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iki Felipe empresas\_wiki\_models\"/>
    </mc:Choice>
  </mc:AlternateContent>
  <xr:revisionPtr revIDLastSave="0" documentId="13_ncr:1_{DDD86916-8F67-4AE3-96C0-CBAC368B0BE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Assumptions" sheetId="1" r:id="rId1"/>
    <sheet name="Model" sheetId="2" r:id="rId2"/>
    <sheet name="vs Consensus" sheetId="3" r:id="rId3"/>
    <sheet name="Sensitivity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D10" i="2"/>
  <c r="C10" i="2"/>
  <c r="F8" i="2"/>
  <c r="E8" i="2"/>
  <c r="E10" i="2" s="1"/>
  <c r="D8" i="2"/>
  <c r="C8" i="2"/>
  <c r="B8" i="2"/>
  <c r="G6" i="2"/>
  <c r="H6" i="2" s="1"/>
  <c r="I6" i="2" s="1"/>
  <c r="J6" i="2" s="1"/>
  <c r="G5" i="2"/>
  <c r="B13" i="2" l="1"/>
  <c r="H5" i="2"/>
  <c r="G8" i="2"/>
  <c r="F11" i="2"/>
  <c r="D13" i="2"/>
  <c r="F10" i="2"/>
  <c r="B12" i="3" l="1"/>
  <c r="B5" i="3"/>
  <c r="G10" i="2"/>
  <c r="G11" i="2"/>
  <c r="H8" i="2"/>
  <c r="I5" i="2"/>
  <c r="B16" i="2"/>
  <c r="H10" i="2" l="1"/>
  <c r="H11" i="2"/>
  <c r="B6" i="3"/>
  <c r="I8" i="2"/>
  <c r="J5" i="2"/>
  <c r="J8" i="2" s="1"/>
  <c r="D5" i="3"/>
  <c r="E5" i="3"/>
  <c r="J10" i="2" l="1"/>
  <c r="J11" i="2"/>
  <c r="B7" i="3"/>
  <c r="I11" i="2"/>
  <c r="I10" i="2"/>
  <c r="B15" i="2"/>
  <c r="B8" i="3"/>
  <c r="E6" i="3"/>
  <c r="D6" i="3"/>
  <c r="E8" i="3" l="1"/>
  <c r="D8" i="3"/>
</calcChain>
</file>

<file path=xl/sharedStrings.xml><?xml version="1.0" encoding="utf-8"?>
<sst xmlns="http://schemas.openxmlformats.org/spreadsheetml/2006/main" count="228" uniqueCount="178">
  <si>
    <t>TXN — Bottoms-Up Quarterly Revenue Model — Assumptions</t>
  </si>
  <si>
    <t>Build date 2026-07-01 · consensus asof 2026-07-01 (BBG) · segment build is HARD quarterly disclosure; end-market is annual-only (ANCHOR)</t>
  </si>
  <si>
    <t>Legend:</t>
  </si>
  <si>
    <t>HARD (filed/guided + cite)</t>
  </si>
  <si>
    <t>PARTIAL / ANCHOR</t>
  </si>
  <si>
    <t>ESTIMATE</t>
  </si>
  <si>
    <t>Input</t>
  </si>
  <si>
    <t>Value</t>
  </si>
  <si>
    <t>Tag</t>
  </si>
  <si>
    <t>Source / basis</t>
  </si>
  <si>
    <t>SEGMENT ACTUALS ($m) — from filings</t>
  </si>
  <si>
    <t>Q1FY26 Analog revenue</t>
  </si>
  <si>
    <t>HARD</t>
  </si>
  <si>
    <t>10-Q filed 2026-04-24, segment note</t>
  </si>
  <si>
    <t>Q1FY26 Embedded revenue</t>
  </si>
  <si>
    <t>10-Q 2026-04-24</t>
  </si>
  <si>
    <t>Q1FY26 Other revenue</t>
  </si>
  <si>
    <t>Q1FY26 Total (tie-out target)</t>
  </si>
  <si>
    <t>10-Q 2026-04-24; +19% YoY, +9% QoQ</t>
  </si>
  <si>
    <t>Q4FY25 Total (Dec-25)</t>
  </si>
  <si>
    <t>FY25 10-K 2026-02-06 less 9-mo 10-Q (Q1+Q2+Q3)</t>
  </si>
  <si>
    <t>Q3FY25 Total (Sep-25)</t>
  </si>
  <si>
    <t>10-Q filed 2025-10-23</t>
  </si>
  <si>
    <t>Q2FY25 Total (Jun-25)</t>
  </si>
  <si>
    <t>10-Q filed 2025-07-29 (3-mo table)</t>
  </si>
  <si>
    <t>Q1FY25 Total (Mar-25)</t>
  </si>
  <si>
    <t>10-Q filed 2025-04-24</t>
  </si>
  <si>
    <t>NEXT-QUARTER GUIDE — HARD</t>
  </si>
  <si>
    <t>Q2FY26 revenue guide LOW</t>
  </si>
  <si>
    <t>Q1FY26 call 2026-04-22 (Lizardi)</t>
  </si>
  <si>
    <t>Q2FY26 revenue guide HIGH</t>
  </si>
  <si>
    <t>Q1FY26 call 2026-04-22</t>
  </si>
  <si>
    <t>Q2FY26 guide MIDPOINT</t>
  </si>
  <si>
    <t>midpoint (5000+5400)/2 ; ~+7.8% QoQ</t>
  </si>
  <si>
    <t>CALIBRATED GROWTH SLOPES (from observed QoQ)</t>
  </si>
  <si>
    <t>Analog up-quarter QoQ (Q2/Q3)</t>
  </si>
  <si>
    <t>Observed up-qtr avg +8.0% (Q2F25 +7.5, Q3F25 +8.0, Q1F26 +8.5); use 7.5% as base</t>
  </si>
  <si>
    <t>Analog Q3 QoQ (moderating)</t>
  </si>
  <si>
    <t>Q3F25 tot was +6.6% QoQ; cycle maturing</t>
  </si>
  <si>
    <t>Analog Q4 seasonal QoQ</t>
  </si>
  <si>
    <t>Q4F25 was -3.1%; milder now on 2H pricing + DC (Ilan, Jefferies July hike)</t>
  </si>
  <si>
    <t>Analog Q1 up-quarter QoQ</t>
  </si>
  <si>
    <t>Q1F26 was +8.5% QoQ</t>
  </si>
  <si>
    <t>Embedded up-quarter QoQ</t>
  </si>
  <si>
    <t>~+4.5% (up-quarter average, excluding seasonal Q4 dip); +3.5% forecast conservative vs trailing; lags Analog in recovery</t>
  </si>
  <si>
    <t>Embedded Q4 seasonal QoQ</t>
  </si>
  <si>
    <t>Q4F25 Emb -6.6%; softened for pricing</t>
  </si>
  <si>
    <t>END-MARKET ANCHOR (annual %, 10-K MD&amp;A)</t>
  </si>
  <si>
    <t>Industrial % of revenue</t>
  </si>
  <si>
    <t>ANCHOR</t>
  </si>
  <si>
    <t>FY25 10-K 2026-02-06 (annual, rounded, not quarterly)</t>
  </si>
  <si>
    <t>Automotive % of revenue</t>
  </si>
  <si>
    <t>FY25 10-K 2026-02-06</t>
  </si>
  <si>
    <t>Personal electronics %</t>
  </si>
  <si>
    <t>Data center %</t>
  </si>
  <si>
    <t>FY25 10-K; DC +~90% YoY Q1F26 (call)</t>
  </si>
  <si>
    <t>Comms equipment %</t>
  </si>
  <si>
    <t>Calculators %</t>
  </si>
  <si>
    <t>TXN — Quarterly Revenue Build ($m) — Analog / Embedded / Other</t>
  </si>
  <si>
    <t>Cols B-F = ACTUAL (tie to filed total). Cols G-J = FORECAST. Q2FY26 anchored to guide midpoint; forward slopes calibrated to observed QoQ.</t>
  </si>
  <si>
    <t>Line ($m)</t>
  </si>
  <si>
    <t>Q1FY25</t>
  </si>
  <si>
    <t>Q2FY25</t>
  </si>
  <si>
    <t>Q3FY25</t>
  </si>
  <si>
    <t>Q4FY25</t>
  </si>
  <si>
    <t>Q1FY26</t>
  </si>
  <si>
    <t>Q2FY26E</t>
  </si>
  <si>
    <t>Q3FY26E</t>
  </si>
  <si>
    <t>Q4FY26E</t>
  </si>
  <si>
    <t>Q1FY27E</t>
  </si>
  <si>
    <t>Analog</t>
  </si>
  <si>
    <t>Embedded Processing</t>
  </si>
  <si>
    <t>Other</t>
  </si>
  <si>
    <t>TOTAL REVENUE</t>
  </si>
  <si>
    <t>Total QoQ %</t>
  </si>
  <si>
    <t>Total YoY %</t>
  </si>
  <si>
    <t>TIE-OUT CHECK (Q1FY26)</t>
  </si>
  <si>
    <t>CY2026E (Q1F26 act + Q2-Q4F26E)</t>
  </si>
  <si>
    <t>CY2026E QoQ note</t>
  </si>
  <si>
    <t>Forecast parameters (calibrated slopes)</t>
  </si>
  <si>
    <t>Analog Q2 QoQ</t>
  </si>
  <si>
    <t>Analog Q3 QoQ</t>
  </si>
  <si>
    <t>Analog Q4 QoQ</t>
  </si>
  <si>
    <t>Analog Q1F27 QoQ</t>
  </si>
  <si>
    <t>Emb Q2 QoQ</t>
  </si>
  <si>
    <t>Emb Q3 QoQ</t>
  </si>
  <si>
    <t>Emb Q4 QoQ</t>
  </si>
  <si>
    <t>Emb Q1F27 QoQ</t>
  </si>
  <si>
    <t>TXN — Bottoms-Up vs BBG Consensus &amp; vs Guidance</t>
  </si>
  <si>
    <t>BBG BEST_SALES asof 2026-07-01. Nearest-quarter also checked vs TXN's own guided range (sharper than consensus).</t>
  </si>
  <si>
    <t>Period</t>
  </si>
  <si>
    <t>Bottoms-up ($m)</t>
  </si>
  <si>
    <t>BBG cons ($m)</t>
  </si>
  <si>
    <t>$ var</t>
  </si>
  <si>
    <t>% var</t>
  </si>
  <si>
    <t>TXN guide range</t>
  </si>
  <si>
    <t>Inside guide?</t>
  </si>
  <si>
    <t>$5,000–5,400</t>
  </si>
  <si>
    <t>Q2 guide (call 2026-04-22)</t>
  </si>
  <si>
    <t>n/a (not guided)</t>
  </si>
  <si>
    <t>beyond guided qtr</t>
  </si>
  <si>
    <t>n/a</t>
  </si>
  <si>
    <t>no discrete cons qtr</t>
  </si>
  <si>
    <t>CY2026E</t>
  </si>
  <si>
    <t>vs cons FY</t>
  </si>
  <si>
    <t>CY2027E</t>
  </si>
  <si>
    <t>[!] 7 of 8 quarters extrapolated (0 explicitly guided) — treat CY27 as directional, not precise</t>
  </si>
  <si>
    <t>Q2FY26 inside guide 5,000–5,400?</t>
  </si>
  <si>
    <t>[!] CY2027E CONFIDENCE FLAG: only Q2FY26 is hard-guided ($5.0-5.4B). 7 of the 8 quarters in the CY27 comparison are EXTRAPOLATED off the observed up-quarter recovery slope (Analog ~+7.5-8%/qtr). The +5.1% above-Street headline holds only if that slope persists for all 7 unguided quarters. Treat CY27 as directional, not precise. See Sensitivity tab flat-sequential row for the downside stress case.</t>
  </si>
  <si>
    <t>TXN — Sensitivity: load-bearing ESTIMATE inputs at +/-25%</t>
  </si>
  <si>
    <t>Two most sensitive: (1) Analog recovery slope (industrial), (2) Analog Q4 seasonal dip (auto/China + 2H pricing offset).</t>
  </si>
  <si>
    <t>Scenario</t>
  </si>
  <si>
    <t>Analog Q2/Q3/Q1F27 slope</t>
  </si>
  <si>
    <t>CY26E rev ($m)</t>
  </si>
  <si>
    <t>CY27E rev ($m)</t>
  </si>
  <si>
    <t>vs base CY26</t>
  </si>
  <si>
    <t>vs base CY27</t>
  </si>
  <si>
    <t>Slope +25%</t>
  </si>
  <si>
    <t>0.094/0.075/0.100</t>
  </si>
  <si>
    <t>Base</t>
  </si>
  <si>
    <t>0.075/0.060/0.080</t>
  </si>
  <si>
    <t>Slope -25%</t>
  </si>
  <si>
    <t>0.056/0.045/0.060</t>
  </si>
  <si>
    <t>Q4 seasonal-dip sensitivity (Analog Q4 QoQ)</t>
  </si>
  <si>
    <t>Mild dip -1.5%</t>
  </si>
  <si>
    <t>Base -2.0%</t>
  </si>
  <si>
    <t>Deep dip -6.7% (=Q4F25)</t>
  </si>
  <si>
    <t>NORMALIZATION SCENARIO (skeptic downside stress)</t>
  </si>
  <si>
    <t>Analog/Emb QoQ from Q3FY26E</t>
  </si>
  <si>
    <t>% vs BBG cons CY27</t>
  </si>
  <si>
    <t>Flat-sequential from Q3FY26E onward (no further recovery, cycle normalizes)</t>
  </si>
  <si>
    <t>0.0% / 0.0% (held flat)</t>
  </si>
  <si>
    <t>Base case = +5.1% ABOVE Street on CY27. Flat-sequential collapses CY27 to $20,694 (-11.6% vs BBG cons $23,421) — i.e. ~10-12% BELOW consensus. This is the swing from the recovery-slope assumption: base case assumes Analog ~+7.5-8%/qtr persists through 7 unguided quarters; flat case assumes the cycle stops recovering after the one guided quarter (Q2FY26). Directional only.</t>
  </si>
  <si>
    <t>TXN Model — Sources</t>
  </si>
  <si>
    <t>Type</t>
  </si>
  <si>
    <t>Document</t>
  </si>
  <si>
    <t>Date</t>
  </si>
  <si>
    <t>Used for</t>
  </si>
  <si>
    <t>Filing</t>
  </si>
  <si>
    <t>TXN 10-K FY2025 (acc 0000097476-26-000059)</t>
  </si>
  <si>
    <t>2026-02-06</t>
  </si>
  <si>
    <t>FY25/24/23 annual segment rev; end-market % (annual)</t>
  </si>
  <si>
    <t>TXN 10-Q Q1FY26 (acc ...-26-000101)</t>
  </si>
  <si>
    <t>2026-04-24</t>
  </si>
  <si>
    <t>Q1FY26 segment rev (tie-out); Q1FY25 comp</t>
  </si>
  <si>
    <t>TXN 10-Q Q3FY25 (acc ...-25-000060)</t>
  </si>
  <si>
    <t>2025-10-23</t>
  </si>
  <si>
    <t>Q3FY25 quarter + 9-mo (Q4 back-out)</t>
  </si>
  <si>
    <t>TXN 10-Q Q2FY25 (acc ...-25-000036)</t>
  </si>
  <si>
    <t>2025-07-29</t>
  </si>
  <si>
    <t>Q2FY25 quarter (3-mo table)</t>
  </si>
  <si>
    <t>TXN 10-Q Q1FY25 (acc ...-25-000027)</t>
  </si>
  <si>
    <t>2025-04-24</t>
  </si>
  <si>
    <t>Q1FY25 quarter</t>
  </si>
  <si>
    <t>Transcript</t>
  </si>
  <si>
    <t>TXN Q1FY26 earnings call</t>
  </si>
  <si>
    <t>2026-04-22</t>
  </si>
  <si>
    <t>Q2FY26 guide $5.0-5.4bn; end-market color; capex/FCF</t>
  </si>
  <si>
    <t>TXN Q4FY25 earnings call</t>
  </si>
  <si>
    <t>2026-01-27</t>
  </si>
  <si>
    <t>Q1FY26 guide; DC +70% YoY; loadings/GM</t>
  </si>
  <si>
    <t>TXN Q3FY25 earnings call</t>
  </si>
  <si>
    <t>2025-10-22</t>
  </si>
  <si>
    <t>Industrial recovery pace; DC $1.2bn run-rate</t>
  </si>
  <si>
    <t>Equity call</t>
  </si>
  <si>
    <t>UBS/Arcuri TXN callback</t>
  </si>
  <si>
    <t>2026-04-23</t>
  </si>
  <si>
    <t>Pricing scrapes (TXN sandbagging 2H); industrial pull-in debate</t>
  </si>
  <si>
    <t>BofA/Arya TXN analog</t>
  </si>
  <si>
    <t>AI/DC exposure framing; own-analog H1 call</t>
  </si>
  <si>
    <t>Consensus</t>
  </si>
  <si>
    <t>BBG estimates.json companies.TXN (asof)</t>
  </si>
  <si>
    <t>2026-07-01</t>
  </si>
  <si>
    <t>BEST_SALES Q2/Q3/CY26/CY27; px 298.41</t>
  </si>
  <si>
    <t>Wiki</t>
  </si>
  <si>
    <t>_wiki/TXN.md (thesis/debate)</t>
  </si>
  <si>
    <t>2026-06-19</t>
  </si>
  <si>
    <t>Broker PTs/stances; end-market mix; DC bull/bear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</si>
</sst>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b/>
      <sz val="9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C000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4" fillId="5" borderId="1" xfId="0" applyFont="1" applyFill="1" applyBorder="1" applyAlignment="1">
      <alignment horizontal="center" wrapText="1"/>
    </xf>
    <xf numFmtId="0" fontId="3" fillId="6" borderId="0" xfId="0" applyFont="1" applyFill="1"/>
    <xf numFmtId="0" fontId="0" fillId="6" borderId="0" xfId="0" applyFill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5" fillId="0" borderId="0" xfId="0" applyFont="1"/>
    <xf numFmtId="3" fontId="0" fillId="0" borderId="0" xfId="0" applyNumberFormat="1"/>
    <xf numFmtId="3" fontId="0" fillId="4" borderId="0" xfId="0" applyNumberFormat="1" applyFill="1"/>
    <xf numFmtId="3" fontId="3" fillId="6" borderId="0" xfId="0" applyNumberFormat="1" applyFont="1" applyFill="1"/>
    <xf numFmtId="164" fontId="0" fillId="0" borderId="0" xfId="0" applyNumberFormat="1"/>
    <xf numFmtId="164" fontId="0" fillId="4" borderId="1" xfId="0" applyNumberFormat="1" applyFill="1" applyBorder="1"/>
    <xf numFmtId="0" fontId="0" fillId="0" borderId="1" xfId="0" applyBorder="1" applyAlignment="1">
      <alignment vertical="center" wrapText="1"/>
    </xf>
    <xf numFmtId="3" fontId="0" fillId="8" borderId="1" xfId="0" applyNumberFormat="1" applyFill="1" applyBorder="1"/>
    <xf numFmtId="164" fontId="0" fillId="8" borderId="1" xfId="0" applyNumberFormat="1" applyFill="1" applyBorder="1"/>
    <xf numFmtId="0" fontId="7" fillId="7" borderId="1" xfId="0" applyFont="1" applyFill="1" applyBorder="1" applyAlignment="1">
      <alignment vertical="center" wrapText="1"/>
    </xf>
    <xf numFmtId="0" fontId="0" fillId="0" borderId="1" xfId="0" applyBorder="1"/>
    <xf numFmtId="0" fontId="6" fillId="7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defaultRowHeight="15" x14ac:dyDescent="0.25"/>
  <cols>
    <col min="1" max="1" width="42" customWidth="1"/>
    <col min="2" max="3" width="12" customWidth="1"/>
    <col min="4" max="4" width="62" customWidth="1"/>
  </cols>
  <sheetData>
    <row r="1" spans="1:4" ht="17.25" x14ac:dyDescent="0.3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4" t="s">
        <v>3</v>
      </c>
      <c r="C4" s="5" t="s">
        <v>4</v>
      </c>
      <c r="D4" s="6" t="s">
        <v>5</v>
      </c>
    </row>
    <row r="6" spans="1:4" x14ac:dyDescent="0.25">
      <c r="A6" s="7" t="s">
        <v>6</v>
      </c>
      <c r="B6" s="7" t="s">
        <v>7</v>
      </c>
      <c r="C6" s="7" t="s">
        <v>8</v>
      </c>
      <c r="D6" s="7" t="s">
        <v>9</v>
      </c>
    </row>
    <row r="7" spans="1:4" x14ac:dyDescent="0.25">
      <c r="A7" s="8" t="s">
        <v>10</v>
      </c>
      <c r="B7" s="9"/>
      <c r="C7" s="9"/>
      <c r="D7" s="9"/>
    </row>
    <row r="8" spans="1:4" x14ac:dyDescent="0.25">
      <c r="A8" s="10" t="s">
        <v>11</v>
      </c>
      <c r="B8" s="11">
        <v>3924</v>
      </c>
      <c r="C8" s="4" t="s">
        <v>12</v>
      </c>
      <c r="D8" s="10" t="s">
        <v>13</v>
      </c>
    </row>
    <row r="9" spans="1:4" x14ac:dyDescent="0.25">
      <c r="A9" s="10" t="s">
        <v>14</v>
      </c>
      <c r="B9" s="11">
        <v>723</v>
      </c>
      <c r="C9" s="4" t="s">
        <v>12</v>
      </c>
      <c r="D9" s="10" t="s">
        <v>15</v>
      </c>
    </row>
    <row r="10" spans="1:4" x14ac:dyDescent="0.25">
      <c r="A10" s="10" t="s">
        <v>16</v>
      </c>
      <c r="B10" s="11">
        <v>178</v>
      </c>
      <c r="C10" s="4" t="s">
        <v>12</v>
      </c>
      <c r="D10" s="10" t="s">
        <v>15</v>
      </c>
    </row>
    <row r="11" spans="1:4" x14ac:dyDescent="0.25">
      <c r="A11" s="10" t="s">
        <v>17</v>
      </c>
      <c r="B11" s="11">
        <v>4825</v>
      </c>
      <c r="C11" s="4" t="s">
        <v>12</v>
      </c>
      <c r="D11" s="10" t="s">
        <v>18</v>
      </c>
    </row>
    <row r="12" spans="1:4" x14ac:dyDescent="0.25">
      <c r="A12" s="10" t="s">
        <v>19</v>
      </c>
      <c r="B12" s="11">
        <v>4423</v>
      </c>
      <c r="C12" s="4" t="s">
        <v>12</v>
      </c>
      <c r="D12" s="10" t="s">
        <v>20</v>
      </c>
    </row>
    <row r="13" spans="1:4" x14ac:dyDescent="0.25">
      <c r="A13" s="10" t="s">
        <v>21</v>
      </c>
      <c r="B13" s="11">
        <v>4742</v>
      </c>
      <c r="C13" s="4" t="s">
        <v>12</v>
      </c>
      <c r="D13" s="10" t="s">
        <v>22</v>
      </c>
    </row>
    <row r="14" spans="1:4" x14ac:dyDescent="0.25">
      <c r="A14" s="10" t="s">
        <v>23</v>
      </c>
      <c r="B14" s="11">
        <v>4448</v>
      </c>
      <c r="C14" s="4" t="s">
        <v>12</v>
      </c>
      <c r="D14" s="10" t="s">
        <v>24</v>
      </c>
    </row>
    <row r="15" spans="1:4" x14ac:dyDescent="0.25">
      <c r="A15" s="10" t="s">
        <v>25</v>
      </c>
      <c r="B15" s="11">
        <v>4069</v>
      </c>
      <c r="C15" s="4" t="s">
        <v>12</v>
      </c>
      <c r="D15" s="10" t="s">
        <v>26</v>
      </c>
    </row>
    <row r="16" spans="1:4" x14ac:dyDescent="0.25">
      <c r="A16" s="8" t="s">
        <v>27</v>
      </c>
      <c r="B16" s="9"/>
      <c r="C16" s="9"/>
      <c r="D16" s="9"/>
    </row>
    <row r="17" spans="1:4" x14ac:dyDescent="0.25">
      <c r="A17" s="10" t="s">
        <v>28</v>
      </c>
      <c r="B17" s="11">
        <v>5000</v>
      </c>
      <c r="C17" s="4" t="s">
        <v>12</v>
      </c>
      <c r="D17" s="10" t="s">
        <v>29</v>
      </c>
    </row>
    <row r="18" spans="1:4" x14ac:dyDescent="0.25">
      <c r="A18" s="10" t="s">
        <v>30</v>
      </c>
      <c r="B18" s="11">
        <v>5400</v>
      </c>
      <c r="C18" s="4" t="s">
        <v>12</v>
      </c>
      <c r="D18" s="10" t="s">
        <v>31</v>
      </c>
    </row>
    <row r="19" spans="1:4" x14ac:dyDescent="0.25">
      <c r="A19" s="10" t="s">
        <v>32</v>
      </c>
      <c r="B19" s="11">
        <v>5200</v>
      </c>
      <c r="C19" s="4" t="s">
        <v>12</v>
      </c>
      <c r="D19" s="10" t="s">
        <v>33</v>
      </c>
    </row>
    <row r="20" spans="1:4" x14ac:dyDescent="0.25">
      <c r="A20" s="8" t="s">
        <v>34</v>
      </c>
      <c r="B20" s="9"/>
      <c r="C20" s="9"/>
      <c r="D20" s="9"/>
    </row>
    <row r="21" spans="1:4" x14ac:dyDescent="0.25">
      <c r="A21" s="10" t="s">
        <v>35</v>
      </c>
      <c r="B21" s="12">
        <v>7.4999999999999997E-2</v>
      </c>
      <c r="C21" s="6" t="s">
        <v>5</v>
      </c>
      <c r="D21" s="10" t="s">
        <v>36</v>
      </c>
    </row>
    <row r="22" spans="1:4" x14ac:dyDescent="0.25">
      <c r="A22" s="10" t="s">
        <v>37</v>
      </c>
      <c r="B22" s="12">
        <v>0.06</v>
      </c>
      <c r="C22" s="6" t="s">
        <v>5</v>
      </c>
      <c r="D22" s="10" t="s">
        <v>38</v>
      </c>
    </row>
    <row r="23" spans="1:4" x14ac:dyDescent="0.25">
      <c r="A23" s="10" t="s">
        <v>39</v>
      </c>
      <c r="B23" s="12">
        <v>-0.02</v>
      </c>
      <c r="C23" s="6" t="s">
        <v>5</v>
      </c>
      <c r="D23" s="10" t="s">
        <v>40</v>
      </c>
    </row>
    <row r="24" spans="1:4" x14ac:dyDescent="0.25">
      <c r="A24" s="10" t="s">
        <v>41</v>
      </c>
      <c r="B24" s="12">
        <v>0.08</v>
      </c>
      <c r="C24" s="6" t="s">
        <v>5</v>
      </c>
      <c r="D24" s="10" t="s">
        <v>42</v>
      </c>
    </row>
    <row r="25" spans="1:4" x14ac:dyDescent="0.25">
      <c r="A25" s="10" t="s">
        <v>43</v>
      </c>
      <c r="B25" s="12">
        <v>3.5000000000000003E-2</v>
      </c>
      <c r="C25" s="6" t="s">
        <v>5</v>
      </c>
      <c r="D25" s="10" t="s">
        <v>44</v>
      </c>
    </row>
    <row r="26" spans="1:4" x14ac:dyDescent="0.25">
      <c r="A26" s="10" t="s">
        <v>45</v>
      </c>
      <c r="B26" s="12">
        <v>-0.03</v>
      </c>
      <c r="C26" s="6" t="s">
        <v>5</v>
      </c>
      <c r="D26" s="10" t="s">
        <v>46</v>
      </c>
    </row>
    <row r="27" spans="1:4" x14ac:dyDescent="0.25">
      <c r="A27" s="8" t="s">
        <v>47</v>
      </c>
      <c r="B27" s="9"/>
      <c r="C27" s="9"/>
      <c r="D27" s="9"/>
    </row>
    <row r="28" spans="1:4" x14ac:dyDescent="0.25">
      <c r="A28" s="10" t="s">
        <v>48</v>
      </c>
      <c r="B28" s="12">
        <v>0.33</v>
      </c>
      <c r="C28" s="5" t="s">
        <v>49</v>
      </c>
      <c r="D28" s="10" t="s">
        <v>50</v>
      </c>
    </row>
    <row r="29" spans="1:4" x14ac:dyDescent="0.25">
      <c r="A29" s="10" t="s">
        <v>51</v>
      </c>
      <c r="B29" s="12">
        <v>0.33</v>
      </c>
      <c r="C29" s="5" t="s">
        <v>49</v>
      </c>
      <c r="D29" s="10" t="s">
        <v>52</v>
      </c>
    </row>
    <row r="30" spans="1:4" x14ac:dyDescent="0.25">
      <c r="A30" s="10" t="s">
        <v>53</v>
      </c>
      <c r="B30" s="12">
        <v>0.21</v>
      </c>
      <c r="C30" s="5" t="s">
        <v>49</v>
      </c>
      <c r="D30" s="10" t="s">
        <v>52</v>
      </c>
    </row>
    <row r="31" spans="1:4" x14ac:dyDescent="0.25">
      <c r="A31" s="10" t="s">
        <v>54</v>
      </c>
      <c r="B31" s="12">
        <v>0.09</v>
      </c>
      <c r="C31" s="5" t="s">
        <v>49</v>
      </c>
      <c r="D31" s="10" t="s">
        <v>55</v>
      </c>
    </row>
    <row r="32" spans="1:4" x14ac:dyDescent="0.25">
      <c r="A32" s="10" t="s">
        <v>56</v>
      </c>
      <c r="B32" s="12">
        <v>0.03</v>
      </c>
      <c r="C32" s="5" t="s">
        <v>49</v>
      </c>
      <c r="D32" s="10" t="s">
        <v>52</v>
      </c>
    </row>
    <row r="33" spans="1:4" x14ac:dyDescent="0.25">
      <c r="A33" s="10" t="s">
        <v>57</v>
      </c>
      <c r="B33" s="12">
        <v>0.01</v>
      </c>
      <c r="C33" s="5" t="s">
        <v>49</v>
      </c>
      <c r="D33" s="10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/>
  </sheetViews>
  <sheetFormatPr defaultRowHeight="15" x14ac:dyDescent="0.25"/>
  <cols>
    <col min="1" max="1" width="30" customWidth="1"/>
    <col min="2" max="10" width="11" customWidth="1"/>
  </cols>
  <sheetData>
    <row r="1" spans="1:10" ht="15.75" x14ac:dyDescent="0.25">
      <c r="A1" s="13" t="s">
        <v>58</v>
      </c>
    </row>
    <row r="2" spans="1:10" x14ac:dyDescent="0.25">
      <c r="A2" s="2" t="s">
        <v>59</v>
      </c>
    </row>
    <row r="4" spans="1:10" x14ac:dyDescent="0.25">
      <c r="A4" s="7" t="s">
        <v>60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  <c r="G4" s="7" t="s">
        <v>66</v>
      </c>
      <c r="H4" s="7" t="s">
        <v>67</v>
      </c>
      <c r="I4" s="7" t="s">
        <v>68</v>
      </c>
      <c r="J4" s="7" t="s">
        <v>69</v>
      </c>
    </row>
    <row r="5" spans="1:10" x14ac:dyDescent="0.25">
      <c r="A5" s="3" t="s">
        <v>70</v>
      </c>
      <c r="B5" s="14">
        <v>3210</v>
      </c>
      <c r="C5" s="14">
        <v>3452</v>
      </c>
      <c r="D5" s="14">
        <v>3729</v>
      </c>
      <c r="E5" s="14">
        <v>3615</v>
      </c>
      <c r="F5" s="14">
        <v>3924</v>
      </c>
      <c r="G5" s="14">
        <f>ROUND(F5*(1+$B$21),0)</f>
        <v>4218</v>
      </c>
      <c r="H5" s="14">
        <f>ROUND(G5*(1+$B$22),0)</f>
        <v>4471</v>
      </c>
      <c r="I5" s="14">
        <f>ROUND(H5*(1+$B$23),0)</f>
        <v>4382</v>
      </c>
      <c r="J5" s="14">
        <f>ROUND(I5*(1+$B$24),0)</f>
        <v>4733</v>
      </c>
    </row>
    <row r="6" spans="1:10" x14ac:dyDescent="0.25">
      <c r="A6" s="3" t="s">
        <v>71</v>
      </c>
      <c r="B6" s="14">
        <v>647</v>
      </c>
      <c r="C6" s="14">
        <v>679</v>
      </c>
      <c r="D6" s="14">
        <v>709</v>
      </c>
      <c r="E6" s="14">
        <v>662</v>
      </c>
      <c r="F6" s="14">
        <v>723</v>
      </c>
      <c r="G6" s="14">
        <f>ROUND(F6*(1+$B$25),0)</f>
        <v>748</v>
      </c>
      <c r="H6" s="14">
        <f>ROUND(G6*(1+$B$26),0)</f>
        <v>770</v>
      </c>
      <c r="I6" s="14">
        <f>ROUND(H6*(1+$B$27),0)</f>
        <v>747</v>
      </c>
      <c r="J6" s="14">
        <f>ROUND(I6*(1+$B$28),0)</f>
        <v>792</v>
      </c>
    </row>
    <row r="7" spans="1:10" x14ac:dyDescent="0.25">
      <c r="A7" s="3" t="s">
        <v>72</v>
      </c>
      <c r="B7" s="14">
        <v>212</v>
      </c>
      <c r="C7" s="14">
        <v>317</v>
      </c>
      <c r="D7" s="14">
        <v>304</v>
      </c>
      <c r="E7" s="14">
        <v>146</v>
      </c>
      <c r="F7" s="14">
        <v>178</v>
      </c>
      <c r="G7" s="15">
        <v>234</v>
      </c>
      <c r="H7" s="15">
        <v>250</v>
      </c>
      <c r="I7" s="15">
        <v>150</v>
      </c>
      <c r="J7" s="15">
        <v>185</v>
      </c>
    </row>
    <row r="8" spans="1:10" x14ac:dyDescent="0.25">
      <c r="A8" s="3" t="s">
        <v>73</v>
      </c>
      <c r="B8" s="16">
        <f t="shared" ref="B8:J8" si="0">SUM(B5:B7)</f>
        <v>4069</v>
      </c>
      <c r="C8" s="16">
        <f t="shared" si="0"/>
        <v>4448</v>
      </c>
      <c r="D8" s="16">
        <f t="shared" si="0"/>
        <v>4742</v>
      </c>
      <c r="E8" s="16">
        <f t="shared" si="0"/>
        <v>4423</v>
      </c>
      <c r="F8" s="16">
        <f t="shared" si="0"/>
        <v>4825</v>
      </c>
      <c r="G8" s="16">
        <f t="shared" si="0"/>
        <v>5200</v>
      </c>
      <c r="H8" s="16">
        <f t="shared" si="0"/>
        <v>5491</v>
      </c>
      <c r="I8" s="16">
        <f t="shared" si="0"/>
        <v>5279</v>
      </c>
      <c r="J8" s="16">
        <f t="shared" si="0"/>
        <v>5710</v>
      </c>
    </row>
    <row r="10" spans="1:10" x14ac:dyDescent="0.25">
      <c r="A10" s="2" t="s">
        <v>74</v>
      </c>
      <c r="C10" s="17">
        <f t="shared" ref="C10:J10" si="1">C8/B8-1</f>
        <v>9.3143278446792932E-2</v>
      </c>
      <c r="D10" s="17">
        <f t="shared" si="1"/>
        <v>6.6097122302158251E-2</v>
      </c>
      <c r="E10" s="17">
        <f t="shared" si="1"/>
        <v>-6.727119358920286E-2</v>
      </c>
      <c r="F10" s="17">
        <f t="shared" si="1"/>
        <v>9.0888537191951224E-2</v>
      </c>
      <c r="G10" s="17">
        <f t="shared" si="1"/>
        <v>7.7720207253886064E-2</v>
      </c>
      <c r="H10" s="17">
        <f t="shared" si="1"/>
        <v>5.5961538461538396E-2</v>
      </c>
      <c r="I10" s="17">
        <f t="shared" si="1"/>
        <v>-3.8608632307412183E-2</v>
      </c>
      <c r="J10" s="17">
        <f t="shared" si="1"/>
        <v>8.1644250805076757E-2</v>
      </c>
    </row>
    <row r="11" spans="1:10" x14ac:dyDescent="0.25">
      <c r="A11" s="2" t="s">
        <v>75</v>
      </c>
      <c r="F11" s="17">
        <f>F8/B8-1</f>
        <v>0.18579503563529132</v>
      </c>
      <c r="G11" s="17">
        <f>G8/C8-1</f>
        <v>0.16906474820143891</v>
      </c>
      <c r="H11" s="17">
        <f>H8/D8-1</f>
        <v>0.15795023196963309</v>
      </c>
      <c r="I11" s="17">
        <f>I8/E8-1</f>
        <v>0.1935338005878362</v>
      </c>
      <c r="J11" s="17">
        <f>J8/F8-1</f>
        <v>0.18341968911917106</v>
      </c>
    </row>
    <row r="13" spans="1:10" x14ac:dyDescent="0.25">
      <c r="A13" s="3" t="s">
        <v>76</v>
      </c>
      <c r="B13" s="14">
        <f>F8</f>
        <v>4825</v>
      </c>
      <c r="C13" s="14">
        <v>4825</v>
      </c>
      <c r="D13" s="3" t="str">
        <f>IF(F8=4825,"PASS","FAIL")</f>
        <v>PASS</v>
      </c>
    </row>
    <row r="15" spans="1:10" x14ac:dyDescent="0.25">
      <c r="A15" s="3" t="s">
        <v>77</v>
      </c>
      <c r="B15" s="14">
        <f>F8+G8+H8+I8</f>
        <v>20795</v>
      </c>
    </row>
    <row r="16" spans="1:10" x14ac:dyDescent="0.25">
      <c r="A16" s="2" t="s">
        <v>78</v>
      </c>
      <c r="B16" s="14">
        <f>SUM(F5:I5)</f>
        <v>16995</v>
      </c>
    </row>
    <row r="20" spans="1:2" x14ac:dyDescent="0.25">
      <c r="A20" s="3" t="s">
        <v>79</v>
      </c>
    </row>
    <row r="21" spans="1:2" x14ac:dyDescent="0.25">
      <c r="A21" s="10" t="s">
        <v>80</v>
      </c>
      <c r="B21" s="18">
        <v>7.4999999999999997E-2</v>
      </c>
    </row>
    <row r="22" spans="1:2" x14ac:dyDescent="0.25">
      <c r="A22" s="10" t="s">
        <v>81</v>
      </c>
      <c r="B22" s="18">
        <v>0.06</v>
      </c>
    </row>
    <row r="23" spans="1:2" x14ac:dyDescent="0.25">
      <c r="A23" s="10" t="s">
        <v>82</v>
      </c>
      <c r="B23" s="18">
        <v>-0.02</v>
      </c>
    </row>
    <row r="24" spans="1:2" x14ac:dyDescent="0.25">
      <c r="A24" s="10" t="s">
        <v>83</v>
      </c>
      <c r="B24" s="18">
        <v>0.08</v>
      </c>
    </row>
    <row r="25" spans="1:2" x14ac:dyDescent="0.25">
      <c r="A25" s="10" t="s">
        <v>84</v>
      </c>
      <c r="B25" s="18">
        <v>3.5000000000000003E-2</v>
      </c>
    </row>
    <row r="26" spans="1:2" x14ac:dyDescent="0.25">
      <c r="A26" s="10" t="s">
        <v>85</v>
      </c>
      <c r="B26" s="18">
        <v>0.03</v>
      </c>
    </row>
    <row r="27" spans="1:2" x14ac:dyDescent="0.25">
      <c r="A27" s="10" t="s">
        <v>86</v>
      </c>
      <c r="B27" s="18">
        <v>-0.03</v>
      </c>
    </row>
    <row r="28" spans="1:2" x14ac:dyDescent="0.25">
      <c r="A28" s="10" t="s">
        <v>87</v>
      </c>
      <c r="B28" s="18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5" x14ac:dyDescent="0.25"/>
  <cols>
    <col min="1" max="2" width="16" customWidth="1"/>
    <col min="3" max="3" width="14" customWidth="1"/>
    <col min="4" max="4" width="10" customWidth="1"/>
    <col min="5" max="5" width="9" customWidth="1"/>
    <col min="6" max="6" width="18" customWidth="1"/>
    <col min="7" max="7" width="26" customWidth="1"/>
  </cols>
  <sheetData>
    <row r="1" spans="1:7" ht="15.75" x14ac:dyDescent="0.25">
      <c r="A1" s="13" t="s">
        <v>88</v>
      </c>
    </row>
    <row r="2" spans="1:7" x14ac:dyDescent="0.25">
      <c r="A2" s="2" t="s">
        <v>89</v>
      </c>
    </row>
    <row r="4" spans="1:7" ht="30" x14ac:dyDescent="0.25">
      <c r="A4" s="7" t="s">
        <v>90</v>
      </c>
      <c r="B4" s="7" t="s">
        <v>91</v>
      </c>
      <c r="C4" s="7" t="s">
        <v>92</v>
      </c>
      <c r="D4" s="7" t="s">
        <v>93</v>
      </c>
      <c r="E4" s="7" t="s">
        <v>94</v>
      </c>
      <c r="F4" s="7" t="s">
        <v>95</v>
      </c>
      <c r="G4" s="7" t="s">
        <v>96</v>
      </c>
    </row>
    <row r="5" spans="1:7" x14ac:dyDescent="0.25">
      <c r="A5" s="10" t="s">
        <v>66</v>
      </c>
      <c r="B5" s="11">
        <f>Model!G8</f>
        <v>5200</v>
      </c>
      <c r="C5" s="11">
        <v>5211</v>
      </c>
      <c r="D5" s="11">
        <f>B5-C5</f>
        <v>-11</v>
      </c>
      <c r="E5" s="12">
        <f>B5/C5-1</f>
        <v>-2.1109192093647922E-3</v>
      </c>
      <c r="F5" s="10" t="s">
        <v>97</v>
      </c>
      <c r="G5" s="10" t="s">
        <v>98</v>
      </c>
    </row>
    <row r="6" spans="1:7" x14ac:dyDescent="0.25">
      <c r="A6" s="10" t="s">
        <v>67</v>
      </c>
      <c r="B6" s="11">
        <f>Model!H8</f>
        <v>5491</v>
      </c>
      <c r="C6" s="11">
        <v>5570</v>
      </c>
      <c r="D6" s="11">
        <f>B6-C6</f>
        <v>-79</v>
      </c>
      <c r="E6" s="12">
        <f>B6/C6-1</f>
        <v>-1.4183123877917425E-2</v>
      </c>
      <c r="F6" s="10" t="s">
        <v>99</v>
      </c>
      <c r="G6" s="10" t="s">
        <v>100</v>
      </c>
    </row>
    <row r="7" spans="1:7" x14ac:dyDescent="0.25">
      <c r="A7" s="10" t="s">
        <v>68</v>
      </c>
      <c r="B7" s="11">
        <f>Model!I8</f>
        <v>5279</v>
      </c>
      <c r="C7" s="10" t="s">
        <v>101</v>
      </c>
      <c r="D7" s="10" t="s">
        <v>101</v>
      </c>
      <c r="E7" s="10" t="s">
        <v>101</v>
      </c>
      <c r="F7" s="10" t="s">
        <v>101</v>
      </c>
      <c r="G7" s="10" t="s">
        <v>102</v>
      </c>
    </row>
    <row r="8" spans="1:7" x14ac:dyDescent="0.25">
      <c r="A8" s="10" t="s">
        <v>103</v>
      </c>
      <c r="B8" s="11">
        <f>Model!F8+Model!G8+Model!H8+Model!I8</f>
        <v>20795</v>
      </c>
      <c r="C8" s="11">
        <v>20689</v>
      </c>
      <c r="D8" s="11">
        <f>B8-C8</f>
        <v>106</v>
      </c>
      <c r="E8" s="12">
        <f>B8/C8-1</f>
        <v>5.1234955773600266E-3</v>
      </c>
      <c r="F8" s="10" t="s">
        <v>101</v>
      </c>
      <c r="G8" s="10" t="s">
        <v>104</v>
      </c>
    </row>
    <row r="9" spans="1:7" ht="42" customHeight="1" x14ac:dyDescent="0.25">
      <c r="A9" s="10" t="s">
        <v>105</v>
      </c>
      <c r="B9" s="11">
        <v>24606</v>
      </c>
      <c r="C9" s="11">
        <v>23421</v>
      </c>
      <c r="D9" s="11">
        <f>B9-C9</f>
        <v>1185</v>
      </c>
      <c r="E9" s="12">
        <f>B9/C9-1</f>
        <v>5.059561931599843E-2</v>
      </c>
      <c r="F9" s="24" t="s">
        <v>106</v>
      </c>
      <c r="G9" s="23"/>
    </row>
    <row r="12" spans="1:7" x14ac:dyDescent="0.25">
      <c r="A12" s="3" t="s">
        <v>107</v>
      </c>
      <c r="B12" s="3" t="str">
        <f>IF(AND(Model!G8&gt;=5000,Model!G8&lt;=5400),"YES","NO")</f>
        <v>YES</v>
      </c>
    </row>
    <row r="14" spans="1:7" ht="69.95" customHeight="1" x14ac:dyDescent="0.25">
      <c r="A14" s="22" t="s">
        <v>108</v>
      </c>
      <c r="B14" s="23"/>
      <c r="C14" s="23"/>
      <c r="D14" s="23"/>
      <c r="E14" s="23"/>
      <c r="F14" s="23"/>
      <c r="G14" s="23"/>
    </row>
  </sheetData>
  <mergeCells count="2">
    <mergeCell ref="A14:G14"/>
    <mergeCell ref="F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5" x14ac:dyDescent="0.25"/>
  <cols>
    <col min="1" max="1" width="26" customWidth="1"/>
    <col min="2" max="2" width="22" customWidth="1"/>
    <col min="3" max="4" width="14" customWidth="1"/>
    <col min="5" max="5" width="12" customWidth="1"/>
    <col min="6" max="6" width="16" customWidth="1"/>
  </cols>
  <sheetData>
    <row r="1" spans="1:6" ht="15.75" x14ac:dyDescent="0.25">
      <c r="A1" s="13" t="s">
        <v>109</v>
      </c>
    </row>
    <row r="2" spans="1:6" x14ac:dyDescent="0.25">
      <c r="A2" s="2" t="s">
        <v>110</v>
      </c>
    </row>
    <row r="4" spans="1:6" ht="30" x14ac:dyDescent="0.25">
      <c r="A4" s="7" t="s">
        <v>111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</row>
    <row r="5" spans="1:6" x14ac:dyDescent="0.25">
      <c r="A5" s="10" t="s">
        <v>117</v>
      </c>
      <c r="B5" s="10" t="s">
        <v>118</v>
      </c>
      <c r="C5" s="11">
        <v>21154</v>
      </c>
      <c r="D5" s="11">
        <v>25651</v>
      </c>
      <c r="E5" s="11">
        <v>357</v>
      </c>
      <c r="F5" s="11">
        <v>1045</v>
      </c>
    </row>
    <row r="6" spans="1:6" x14ac:dyDescent="0.25">
      <c r="A6" s="10" t="s">
        <v>119</v>
      </c>
      <c r="B6" s="10" t="s">
        <v>120</v>
      </c>
      <c r="C6" s="11">
        <v>20797</v>
      </c>
      <c r="D6" s="11">
        <v>24606</v>
      </c>
      <c r="E6" s="11">
        <v>0</v>
      </c>
      <c r="F6" s="11">
        <v>0</v>
      </c>
    </row>
    <row r="7" spans="1:6" x14ac:dyDescent="0.25">
      <c r="A7" s="10" t="s">
        <v>121</v>
      </c>
      <c r="B7" s="10" t="s">
        <v>122</v>
      </c>
      <c r="C7" s="11">
        <v>20448</v>
      </c>
      <c r="D7" s="11">
        <v>23598</v>
      </c>
      <c r="E7" s="11">
        <v>-349</v>
      </c>
      <c r="F7" s="11">
        <v>-1008</v>
      </c>
    </row>
    <row r="10" spans="1:6" x14ac:dyDescent="0.25">
      <c r="A10" s="3" t="s">
        <v>123</v>
      </c>
    </row>
    <row r="11" spans="1:6" ht="30" x14ac:dyDescent="0.25">
      <c r="A11" s="7" t="s">
        <v>111</v>
      </c>
      <c r="B11" s="7" t="s">
        <v>82</v>
      </c>
      <c r="C11" s="7" t="s">
        <v>113</v>
      </c>
      <c r="D11" s="7" t="s">
        <v>114</v>
      </c>
      <c r="E11" s="7" t="s">
        <v>115</v>
      </c>
      <c r="F11" s="7" t="s">
        <v>116</v>
      </c>
    </row>
    <row r="12" spans="1:6" x14ac:dyDescent="0.25">
      <c r="A12" s="10" t="s">
        <v>124</v>
      </c>
      <c r="B12" s="12">
        <v>-1.4999999999999999E-2</v>
      </c>
      <c r="C12" s="11">
        <v>20819</v>
      </c>
      <c r="D12" s="11">
        <v>24708</v>
      </c>
      <c r="E12" s="11">
        <v>22</v>
      </c>
      <c r="F12" s="11">
        <v>102</v>
      </c>
    </row>
    <row r="13" spans="1:6" x14ac:dyDescent="0.25">
      <c r="A13" s="10" t="s">
        <v>125</v>
      </c>
      <c r="B13" s="12">
        <v>-0.02</v>
      </c>
      <c r="C13" s="11">
        <v>20797</v>
      </c>
      <c r="D13" s="11">
        <v>24606</v>
      </c>
      <c r="E13" s="11">
        <v>0</v>
      </c>
      <c r="F13" s="11">
        <v>0</v>
      </c>
    </row>
    <row r="14" spans="1:6" x14ac:dyDescent="0.25">
      <c r="A14" s="10" t="s">
        <v>126</v>
      </c>
      <c r="B14" s="12">
        <v>-6.7000000000000004E-2</v>
      </c>
      <c r="C14" s="11">
        <v>20586</v>
      </c>
      <c r="D14" s="11">
        <v>23620</v>
      </c>
      <c r="E14" s="11">
        <v>-211</v>
      </c>
      <c r="F14" s="11">
        <v>-986</v>
      </c>
    </row>
    <row r="16" spans="1:6" x14ac:dyDescent="0.25">
      <c r="A16" s="3" t="s">
        <v>127</v>
      </c>
    </row>
    <row r="17" spans="1:6" ht="30" x14ac:dyDescent="0.25">
      <c r="A17" s="7" t="s">
        <v>111</v>
      </c>
      <c r="B17" s="7" t="s">
        <v>128</v>
      </c>
      <c r="C17" s="7" t="s">
        <v>113</v>
      </c>
      <c r="D17" s="7" t="s">
        <v>114</v>
      </c>
      <c r="E17" s="7" t="s">
        <v>116</v>
      </c>
      <c r="F17" s="7" t="s">
        <v>129</v>
      </c>
    </row>
    <row r="18" spans="1:6" ht="42" customHeight="1" x14ac:dyDescent="0.25">
      <c r="A18" s="19" t="s">
        <v>130</v>
      </c>
      <c r="B18" s="10" t="s">
        <v>131</v>
      </c>
      <c r="C18" s="11">
        <v>20357</v>
      </c>
      <c r="D18" s="20">
        <v>20694</v>
      </c>
      <c r="E18" s="11">
        <v>-3912</v>
      </c>
      <c r="F18" s="21">
        <v>-0.1164339695145382</v>
      </c>
    </row>
    <row r="20" spans="1:6" ht="57.95" customHeight="1" x14ac:dyDescent="0.25">
      <c r="A20" s="25" t="s">
        <v>132</v>
      </c>
      <c r="B20" s="26"/>
      <c r="C20" s="26"/>
      <c r="D20" s="26"/>
      <c r="E20" s="26"/>
      <c r="F20" s="26"/>
    </row>
  </sheetData>
  <mergeCells count="1"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5" x14ac:dyDescent="0.25"/>
  <cols>
    <col min="1" max="1" width="12" customWidth="1"/>
    <col min="2" max="2" width="48" customWidth="1"/>
    <col min="3" max="3" width="12" customWidth="1"/>
    <col min="4" max="4" width="58" customWidth="1"/>
  </cols>
  <sheetData>
    <row r="1" spans="1:4" ht="15.75" x14ac:dyDescent="0.25">
      <c r="A1" s="13" t="s">
        <v>133</v>
      </c>
    </row>
    <row r="3" spans="1:4" x14ac:dyDescent="0.25">
      <c r="A3" s="7" t="s">
        <v>134</v>
      </c>
      <c r="B3" s="7" t="s">
        <v>135</v>
      </c>
      <c r="C3" s="7" t="s">
        <v>136</v>
      </c>
      <c r="D3" s="7" t="s">
        <v>137</v>
      </c>
    </row>
    <row r="4" spans="1:4" x14ac:dyDescent="0.25">
      <c r="A4" s="10" t="s">
        <v>138</v>
      </c>
      <c r="B4" s="10" t="s">
        <v>139</v>
      </c>
      <c r="C4" s="10" t="s">
        <v>140</v>
      </c>
      <c r="D4" s="10" t="s">
        <v>141</v>
      </c>
    </row>
    <row r="5" spans="1:4" x14ac:dyDescent="0.25">
      <c r="A5" s="10" t="s">
        <v>138</v>
      </c>
      <c r="B5" s="10" t="s">
        <v>142</v>
      </c>
      <c r="C5" s="10" t="s">
        <v>143</v>
      </c>
      <c r="D5" s="10" t="s">
        <v>144</v>
      </c>
    </row>
    <row r="6" spans="1:4" x14ac:dyDescent="0.25">
      <c r="A6" s="10" t="s">
        <v>138</v>
      </c>
      <c r="B6" s="10" t="s">
        <v>145</v>
      </c>
      <c r="C6" s="10" t="s">
        <v>146</v>
      </c>
      <c r="D6" s="10" t="s">
        <v>147</v>
      </c>
    </row>
    <row r="7" spans="1:4" x14ac:dyDescent="0.25">
      <c r="A7" s="10" t="s">
        <v>138</v>
      </c>
      <c r="B7" s="10" t="s">
        <v>148</v>
      </c>
      <c r="C7" s="10" t="s">
        <v>149</v>
      </c>
      <c r="D7" s="10" t="s">
        <v>150</v>
      </c>
    </row>
    <row r="8" spans="1:4" x14ac:dyDescent="0.25">
      <c r="A8" s="10" t="s">
        <v>138</v>
      </c>
      <c r="B8" s="10" t="s">
        <v>151</v>
      </c>
      <c r="C8" s="10" t="s">
        <v>152</v>
      </c>
      <c r="D8" s="10" t="s">
        <v>153</v>
      </c>
    </row>
    <row r="9" spans="1:4" x14ac:dyDescent="0.25">
      <c r="A9" s="10" t="s">
        <v>154</v>
      </c>
      <c r="B9" s="10" t="s">
        <v>155</v>
      </c>
      <c r="C9" s="10" t="s">
        <v>156</v>
      </c>
      <c r="D9" s="10" t="s">
        <v>157</v>
      </c>
    </row>
    <row r="10" spans="1:4" x14ac:dyDescent="0.25">
      <c r="A10" s="10" t="s">
        <v>154</v>
      </c>
      <c r="B10" s="10" t="s">
        <v>158</v>
      </c>
      <c r="C10" s="10" t="s">
        <v>159</v>
      </c>
      <c r="D10" s="10" t="s">
        <v>160</v>
      </c>
    </row>
    <row r="11" spans="1:4" x14ac:dyDescent="0.25">
      <c r="A11" s="10" t="s">
        <v>154</v>
      </c>
      <c r="B11" s="10" t="s">
        <v>161</v>
      </c>
      <c r="C11" s="10" t="s">
        <v>162</v>
      </c>
      <c r="D11" s="10" t="s">
        <v>163</v>
      </c>
    </row>
    <row r="12" spans="1:4" x14ac:dyDescent="0.25">
      <c r="A12" s="10" t="s">
        <v>164</v>
      </c>
      <c r="B12" s="10" t="s">
        <v>165</v>
      </c>
      <c r="C12" s="10" t="s">
        <v>166</v>
      </c>
      <c r="D12" s="10" t="s">
        <v>167</v>
      </c>
    </row>
    <row r="13" spans="1:4" x14ac:dyDescent="0.25">
      <c r="A13" s="10" t="s">
        <v>164</v>
      </c>
      <c r="B13" s="10" t="s">
        <v>168</v>
      </c>
      <c r="C13" s="10" t="s">
        <v>166</v>
      </c>
      <c r="D13" s="10" t="s">
        <v>169</v>
      </c>
    </row>
    <row r="14" spans="1:4" x14ac:dyDescent="0.25">
      <c r="A14" s="10" t="s">
        <v>170</v>
      </c>
      <c r="B14" s="10" t="s">
        <v>171</v>
      </c>
      <c r="C14" s="10" t="s">
        <v>172</v>
      </c>
      <c r="D14" s="10" t="s">
        <v>173</v>
      </c>
    </row>
    <row r="15" spans="1:4" x14ac:dyDescent="0.25">
      <c r="A15" s="10" t="s">
        <v>174</v>
      </c>
      <c r="B15" s="10" t="s">
        <v>175</v>
      </c>
      <c r="C15" s="10" t="s">
        <v>176</v>
      </c>
      <c r="D15" s="10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Model</vt:lpstr>
      <vt:lpstr>vs Consensus</vt:lpstr>
      <vt:lpstr>Sensitivity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2026-07-02T01:45:31Z</dcterms:created>
  <dcterms:modified xsi:type="dcterms:W3CDTF">2026-07-02T01:45:39Z</dcterms:modified>
</cp:coreProperties>
</file>