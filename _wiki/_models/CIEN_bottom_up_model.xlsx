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ki Felipe empresas\_wiki\_models\"/>
    </mc:Choice>
  </mc:AlternateContent>
  <xr:revisionPtr revIDLastSave="0" documentId="13_ncr:1_{71670D7A-2A54-45BE-905D-BEEF48C63331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E8" i="3"/>
  <c r="D8" i="3"/>
  <c r="E6" i="3"/>
  <c r="D6" i="3"/>
  <c r="E5" i="3"/>
  <c r="D5" i="3"/>
  <c r="I9" i="2"/>
  <c r="H9" i="2"/>
  <c r="G9" i="2"/>
  <c r="F9" i="2"/>
  <c r="E9" i="2"/>
  <c r="D9" i="2"/>
  <c r="C9" i="2"/>
  <c r="B9" i="2"/>
  <c r="F10" i="2" l="1"/>
  <c r="H10" i="2"/>
  <c r="C10" i="2"/>
  <c r="G10" i="2"/>
  <c r="E10" i="2"/>
  <c r="I10" i="2"/>
  <c r="B7" i="3"/>
  <c r="D10" i="2"/>
  <c r="E7" i="3" l="1"/>
  <c r="D7" i="3"/>
</calcChain>
</file>

<file path=xl/sharedStrings.xml><?xml version="1.0" encoding="utf-8"?>
<sst xmlns="http://schemas.openxmlformats.org/spreadsheetml/2006/main" count="167" uniqueCount="108">
  <si>
    <t>CIEN — Bottoms-up revenue model | Assumptions</t>
  </si>
  <si>
    <t>All $ in thousands. Tag legend: HARD (green)=mgmt guided / filing actual; PARTIAL/ANCHOR (blue)=mgmt directional color; ESTIMATE (amber)=own extrapolation (near-term calibrated to trailing growth; FY27 anchored to mgmt-color deceleration, see FY27 notes).</t>
  </si>
  <si>
    <t>Guardrail: Q2 FY26 segment sum = $1,570,739k = reported total (tie-out PASSED). BBG consensus asof 2026-07-01, px $462.44.</t>
  </si>
  <si>
    <t>Segment</t>
  </si>
  <si>
    <t>Quarter</t>
  </si>
  <si>
    <t>QoQ growth</t>
  </si>
  <si>
    <t>Tag</t>
  </si>
  <si>
    <t>Source / calibration note</t>
  </si>
  <si>
    <t>Optical Networking</t>
  </si>
  <si>
    <t>Q3FY26</t>
  </si>
  <si>
    <t>ESTIMATE</t>
  </si>
  <si>
    <t>~+7.5% QoQ = high end of trailing-3Q avg (+10.5%), decel; scaled to hit HARD Q3 guide $1.625B</t>
  </si>
  <si>
    <t>Q4FY26</t>
  </si>
  <si>
    <t>decel continues; residual after HARD FY26 $6.3B tie</t>
  </si>
  <si>
    <t>Q1FY27</t>
  </si>
  <si>
    <t>PARTIAL/ANCHOR</t>
  </si>
  <si>
    <t>ESTIMATE - management-color-anchored DECELERATION: ON +6%/qtr is BELOW trailing-3Q run-rate (+10.5%); grounded in Hyper-Rail LINEAR ramp (Gary Smith, Q2 FY26) + supply constraints.</t>
  </si>
  <si>
    <t>Q2FY27</t>
  </si>
  <si>
    <t>ESTIMATE - mgmt-color-anchored deceleration; Hyper-Rail linear ramp thru FY27; ON +6%/qtr below trailing +10.5%.</t>
  </si>
  <si>
    <t>Routing &amp; Switching</t>
  </si>
  <si>
    <t>DCOM ramp continues off the +38% QoQ Q2 spike</t>
  </si>
  <si>
    <t>DCOM</t>
  </si>
  <si>
    <t>ESTIMATE - management-color-anchored DECELERATION: R&amp;S +8%/qtr is BELOW trailing-3Q run-rate (+12.9%); Hyper-Rail + DCOM 2nd/3rd hyperscaler orders (Q2 FY26), throttled by supply constraints.</t>
  </si>
  <si>
    <t>ESTIMATE - mgmt-color-anchored deceleration; Hyper-Rail/DCOM; R&amp;S +8%/qtr below trailing +12.9%.</t>
  </si>
  <si>
    <t>Platform Software &amp; Services</t>
  </si>
  <si>
    <t>trailing QoQ ~+1.4%, treat ~flat</t>
  </si>
  <si>
    <t>flat</t>
  </si>
  <si>
    <t>Blue Planet Automation</t>
  </si>
  <si>
    <t>volatile, YoY declining; hold flat</t>
  </si>
  <si>
    <t>modest recovery</t>
  </si>
  <si>
    <t>recovery</t>
  </si>
  <si>
    <t>Global Services</t>
  </si>
  <si>
    <t>attach to product ramp; trailing QoQ ~+4%</t>
  </si>
  <si>
    <t>steady</t>
  </si>
  <si>
    <t>HARD GUIDE ANCHORS (mgmt, Q2 FY26 call 2026-06-04)</t>
  </si>
  <si>
    <t>Q3 FY26 total revenue</t>
  </si>
  <si>
    <t>'~$1.625B +/- $50M' (Marc Graff, Q2 FY26 call)</t>
  </si>
  <si>
    <t>FY26 total revenue</t>
  </si>
  <si>
    <t>'$6.3B +/- $100M, +32% YoY' (Q2 FY26 call, 3rd raise)</t>
  </si>
  <si>
    <t>FY26 gross margin</t>
  </si>
  <si>
    <t>44.5-45.0% (Q2 FY26)</t>
  </si>
  <si>
    <t>Q3 FY26 gross margin</t>
  </si>
  <si>
    <t>~45% +/- 50bps (Q2 FY26)</t>
  </si>
  <si>
    <t>NOTE - PRE-SCALING INPUTS: The FY26 QoQ rates above (ON +7.5%, R&amp;S +6%, PSS +1%, BP 0%, GS +3%, etc.) are the PRE-SCALING inputs. The Model tab applies a uniform scaling factor (~0.973x) to the resulting Q3/Q4 FY26 segment builds so TOTAL revenue ties EXACTLY to the HARD guides (Q3 FY26 $1,625,000k; FY26 $6,300,000k). Model forecast cells therefore differ from a naive application of these rates BY DESIGN - the tabs are not inconsistent.</t>
  </si>
  <si>
    <t>CIEN — Quarterly revenue build ($000). Actuals tie to filings; forecast = Assumptions QoQ scaled to HARD guide.</t>
  </si>
  <si>
    <t>Segment / $000</t>
  </si>
  <si>
    <t>Q3FY25
Aug 2, 2025</t>
  </si>
  <si>
    <t>Q4FY25
Nov 1, 2025 (derived)</t>
  </si>
  <si>
    <t>Q1FY26
Jan 31, 2026</t>
  </si>
  <si>
    <t>Q2FY26
May 2, 2026</t>
  </si>
  <si>
    <t>Q3FY26
Aug 2026E</t>
  </si>
  <si>
    <t>Q4FY26
Nov 2026E</t>
  </si>
  <si>
    <t>Q1FY27
Feb 2027E</t>
  </si>
  <si>
    <t>Q2FY27
May 2027E</t>
  </si>
  <si>
    <t>TOTAL REVENUE</t>
  </si>
  <si>
    <t>QoQ %</t>
  </si>
  <si>
    <t>vs guide/tie check</t>
  </si>
  <si>
    <t>tie=1,570,739 -&gt; col E must equal reported</t>
  </si>
  <si>
    <t>Q2FY26 col E</t>
  </si>
  <si>
    <t>Green=HARD guide-anchored · Blue=PARTIAL (mgmt Hyper-Rail/DCOM color) · Amber=ESTIMATE (calibrated QoQ) · Grey=Actual (filing)</t>
  </si>
  <si>
    <t>CIEN — Model vs BBG consensus (asof 2026-07-01)</t>
  </si>
  <si>
    <t>BBG 'periods' are calendar-labeled and lag CIEN's fiscal calendar by a quarter; mapped here to the correct unreported fiscal quarters.</t>
  </si>
  <si>
    <t>Period</t>
  </si>
  <si>
    <t>Model total $000</t>
  </si>
  <si>
    <t>BBG consensus $000</t>
  </si>
  <si>
    <t>$ variance</t>
  </si>
  <si>
    <t>% variance</t>
  </si>
  <si>
    <t>Note</t>
  </si>
  <si>
    <t>Q3 FY26 (Aug'26)</t>
  </si>
  <si>
    <t>HARD-anchored to mgmt $1.625B guide</t>
  </si>
  <si>
    <t>Q4 FY26 (Nov'26)</t>
  </si>
  <si>
    <t>Residual to FY26 $6.3B guide</t>
  </si>
  <si>
    <t>CY2026</t>
  </si>
  <si>
    <t>CY2026 = fiscal FY26 (Q1FY26A $1,427,042 + Q2FY26A $1,570,739 + Q3FY26E + Q4FY26E). BBG CY2026 nq=4/n_actual=1 = FY-aligned window, NOT the +1q-shifted window. Corrected read: below Street.</t>
  </si>
  <si>
    <t>CY2027</t>
  </si>
  <si>
    <t>CY2027 = fiscal FY27 (Q1FY27E..Q4FY27E, model FY27 base = Sensitivity Base). Prior shifted-window read was -6.2%; corrected FY-aligned window is materially wider below Street.</t>
  </si>
  <si>
    <t>FY26 fiscal (model) vs guide</t>
  </si>
  <si>
    <t>FY26 fiscal total</t>
  </si>
  <si>
    <t>Ties to guide midpoint by construction</t>
  </si>
  <si>
    <t>SENSITIVITY — Optical Networking QoQ rate (ON ~72% of fwd revenue = load-bearing input)</t>
  </si>
  <si>
    <t>ON QoQ scenario</t>
  </si>
  <si>
    <t>ON QoQ %</t>
  </si>
  <si>
    <t>FY26 total $000</t>
  </si>
  <si>
    <t>FY27 total $000</t>
  </si>
  <si>
    <t>FY27 vs base</t>
  </si>
  <si>
    <t>Bear (-25%)</t>
  </si>
  <si>
    <t>Base</t>
  </si>
  <si>
    <t>Bull (+25%)</t>
  </si>
  <si>
    <t>Read: FY26 is guide-anchored (bear=base=bull=$6,300,000k) so swing = $0. FY27 bear/base/bull = $7,483.6M / $7,682.2M / $7,889.8M -&gt; swing ~+/-$0.20B (~+/-2.6-2.7%) on +/-25% ON QoQ. ON is the single load-bearing input.</t>
  </si>
  <si>
    <t>CIEN model — sources for every HARD / PARTIAL input</t>
  </si>
  <si>
    <t>ACTUALS (segment/product-line revenue, $000) — SEC filings in E:\Wiki Felipe empresas\CIEN\:</t>
  </si>
  <si>
    <t xml:space="preserve">  Q2 FY26 (qtr ended May 2, 2026): 10-Q filed 2026-06-04 (CIEN_10-Q_2026-06-04_0001628280-26-040767.html), Note 3 Revenue disaggregation.</t>
  </si>
  <si>
    <t xml:space="preserve">  Q1 FY26 (qtr ended Jan 31, 2026): 10-Q filed 2026-03-05 (CIEN_10-Q_2026-03-05_0001628280-26-015152.html), Note 3.</t>
  </si>
  <si>
    <t xml:space="preserve">  Q3 FY25 (qtr ended Aug 2, 2025): 10-Q filed 2025-09-04 (CIEN_10-Q_2025-09-04_0000936395-25-000041.html), disaggregation + 9M YTD.</t>
  </si>
  <si>
    <t xml:space="preserve">  Q4 FY25 (qtr ended Nov 1, 2025) DERIVED = FY25 (10-K 2025-12-12, CIEN_10-K_2025-12-12_...056698.html, Note re: renamed product lines) minus 9M-ended-Aug-2-2025 (Q3 10-Q).</t>
  </si>
  <si>
    <t>HARD guide anchors — Q2 FY26 earnings call (2026-06-04), transcripts\CIEN_Q2-FY26-earnings_2026-06-04.md:</t>
  </si>
  <si>
    <t xml:space="preserve">  Marc Graff (CFO): FY26 revenue $6.3B +/- $100M (~+32% YoY, 3rd raise); GM 44.5-45.0%; OpEx ~$1.61B.</t>
  </si>
  <si>
    <t xml:space="preserve">  Marc Graff: Q3 FY26 revenue ~$1.625B +/- $50M; adjusted GM ~45% +/- 50bps; op margin 19-20%.</t>
  </si>
  <si>
    <t>PARTIAL / directional color — same transcript + Q1 FY26 (transcripts\CIEN_Q1-FY26-earnings_2026-03-05.md):</t>
  </si>
  <si>
    <t xml:space="preserve">  Gary Smith (CEO): first multi-rail RLS Hyper-Rail order, 'hundreds of millions over multiple years', revenue starts and is LINEAR in FY27 -&gt; ON/RS FY27 QoQ tagged PARTIAL.</t>
  </si>
  <si>
    <t xml:space="preserve">  DCOM drove +88% YoY Routing &amp; Switching in Q2 FY26; 2nd hyperscaler order received, 3rd in qualification -&gt; RS FY27 uplift.</t>
  </si>
  <si>
    <t xml:space="preserve">  Direct cloud revenue +70% YoY; service providers +28%; India SP revenue &gt;2x YoY on MOFN (Q2 FY26).</t>
  </si>
  <si>
    <t xml:space="preserve">  On track to &gt;2x pluggable revenue vs 2025; #1/near-#1 in 800G exiting the year (Ciena optical equity call, 2026-06-12).</t>
  </si>
  <si>
    <t>CONSENSUS — E:\Wiki Felipe empresas\_wiki\_data\estimates.json, companies.CIEN, asof 2026-07-01, BBG 'CIEN US Equity':</t>
  </si>
  <si>
    <t xml:space="preserve">  Next FQ (Q3 FY26) BEST_SALES $1,638.9M; following FQ (Q4 FY26) $1,698.4M; CY2026 $6,626.6M; CY2027 $8,549.2M.</t>
  </si>
  <si>
    <t>WIKI thesis page: E:\Wiki Felipe empresas\_wiki\CIEN.md (Debate, Catalysts, mgmt-commentary-evolution).</t>
  </si>
  <si>
    <t>SELL-SIDE for the 'why above/below Street' bullets: JPM (Chatterjee) OW PT $635 (2026-06-05); Citi (Malik) PT $658 (2026-06-05 / Asia mtg 2026-06-23);</t>
  </si>
  <si>
    <t xml:space="preserve">  UBS (Vogt) Neutral '85x NTM' (2026-06-05); MS (Marshall) EW PT $490; Redburn 'can't get numbers high enough' (2026-05-19); TD Cowen Buy/Top Pick (2026-03-11).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</si>
</sst>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#,##0;\-#,##0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i/>
      <sz val="11"/>
      <name val="Calibri"/>
    </font>
    <font>
      <i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3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164" fontId="0" fillId="4" borderId="1" xfId="0" applyNumberFormat="1" applyFill="1" applyBorder="1"/>
    <xf numFmtId="0" fontId="0" fillId="4" borderId="1" xfId="0" applyFill="1" applyBorder="1"/>
    <xf numFmtId="0" fontId="4" fillId="0" borderId="0" xfId="0" applyFont="1"/>
    <xf numFmtId="3" fontId="0" fillId="5" borderId="1" xfId="0" applyNumberFormat="1" applyFill="1" applyBorder="1"/>
    <xf numFmtId="164" fontId="0" fillId="5" borderId="1" xfId="0" applyNumberFormat="1" applyFill="1" applyBorder="1"/>
    <xf numFmtId="0" fontId="5" fillId="0" borderId="0" xfId="0" applyFont="1"/>
    <xf numFmtId="0" fontId="4" fillId="0" borderId="1" xfId="0" applyFont="1" applyBorder="1"/>
    <xf numFmtId="3" fontId="0" fillId="6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6" fillId="0" borderId="0" xfId="0" applyFont="1"/>
    <xf numFmtId="164" fontId="0" fillId="0" borderId="0" xfId="0" applyNumberFormat="1"/>
    <xf numFmtId="0" fontId="7" fillId="0" borderId="0" xfId="0" applyFont="1"/>
    <xf numFmtId="3" fontId="0" fillId="0" borderId="1" xfId="0" applyNumberFormat="1" applyBorder="1"/>
    <xf numFmtId="164" fontId="0" fillId="0" borderId="1" xfId="0" applyNumberFormat="1" applyBorder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5" x14ac:dyDescent="0.25"/>
  <cols>
    <col min="1" max="1" width="30" customWidth="1"/>
    <col min="2" max="2" width="10" customWidth="1"/>
    <col min="3" max="3" width="12" customWidth="1"/>
    <col min="4" max="4" width="16" customWidth="1"/>
    <col min="5" max="5" width="70" customWidth="1"/>
  </cols>
  <sheetData>
    <row r="1" spans="1:5" ht="17.25" x14ac:dyDescent="0.3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30" x14ac:dyDescent="0.25">
      <c r="A6" s="4" t="s">
        <v>8</v>
      </c>
      <c r="B6" s="4" t="s">
        <v>9</v>
      </c>
      <c r="C6" s="5">
        <v>7.4999999999999997E-2</v>
      </c>
      <c r="D6" s="6" t="s">
        <v>10</v>
      </c>
      <c r="E6" s="7" t="s">
        <v>11</v>
      </c>
    </row>
    <row r="7" spans="1:5" x14ac:dyDescent="0.25">
      <c r="A7" s="4" t="s">
        <v>8</v>
      </c>
      <c r="B7" s="4" t="s">
        <v>12</v>
      </c>
      <c r="C7" s="5">
        <v>0.06</v>
      </c>
      <c r="D7" s="6" t="s">
        <v>10</v>
      </c>
      <c r="E7" s="7" t="s">
        <v>13</v>
      </c>
    </row>
    <row r="8" spans="1:5" ht="45" x14ac:dyDescent="0.25">
      <c r="A8" s="4" t="s">
        <v>8</v>
      </c>
      <c r="B8" s="4" t="s">
        <v>14</v>
      </c>
      <c r="C8" s="8">
        <v>0.06</v>
      </c>
      <c r="D8" s="9" t="s">
        <v>15</v>
      </c>
      <c r="E8" s="7" t="s">
        <v>16</v>
      </c>
    </row>
    <row r="9" spans="1:5" ht="30" x14ac:dyDescent="0.25">
      <c r="A9" s="4" t="s">
        <v>8</v>
      </c>
      <c r="B9" s="4" t="s">
        <v>17</v>
      </c>
      <c r="C9" s="8">
        <v>0.06</v>
      </c>
      <c r="D9" s="9" t="s">
        <v>15</v>
      </c>
      <c r="E9" s="7" t="s">
        <v>18</v>
      </c>
    </row>
    <row r="10" spans="1:5" x14ac:dyDescent="0.25">
      <c r="A10" s="4" t="s">
        <v>19</v>
      </c>
      <c r="B10" s="4" t="s">
        <v>9</v>
      </c>
      <c r="C10" s="5">
        <v>0.06</v>
      </c>
      <c r="D10" s="6" t="s">
        <v>10</v>
      </c>
      <c r="E10" s="7" t="s">
        <v>20</v>
      </c>
    </row>
    <row r="11" spans="1:5" x14ac:dyDescent="0.25">
      <c r="A11" s="4" t="s">
        <v>19</v>
      </c>
      <c r="B11" s="4" t="s">
        <v>12</v>
      </c>
      <c r="C11" s="5">
        <v>0.06</v>
      </c>
      <c r="D11" s="6" t="s">
        <v>10</v>
      </c>
      <c r="E11" s="7" t="s">
        <v>21</v>
      </c>
    </row>
    <row r="12" spans="1:5" ht="45" x14ac:dyDescent="0.25">
      <c r="A12" s="4" t="s">
        <v>19</v>
      </c>
      <c r="B12" s="4" t="s">
        <v>14</v>
      </c>
      <c r="C12" s="8">
        <v>0.08</v>
      </c>
      <c r="D12" s="9" t="s">
        <v>15</v>
      </c>
      <c r="E12" s="7" t="s">
        <v>22</v>
      </c>
    </row>
    <row r="13" spans="1:5" ht="30" x14ac:dyDescent="0.25">
      <c r="A13" s="4" t="s">
        <v>19</v>
      </c>
      <c r="B13" s="4" t="s">
        <v>17</v>
      </c>
      <c r="C13" s="8">
        <v>0.08</v>
      </c>
      <c r="D13" s="9" t="s">
        <v>15</v>
      </c>
      <c r="E13" s="7" t="s">
        <v>23</v>
      </c>
    </row>
    <row r="14" spans="1:5" x14ac:dyDescent="0.25">
      <c r="A14" s="4" t="s">
        <v>24</v>
      </c>
      <c r="B14" s="4" t="s">
        <v>9</v>
      </c>
      <c r="C14" s="5">
        <v>0.01</v>
      </c>
      <c r="D14" s="6" t="s">
        <v>10</v>
      </c>
      <c r="E14" s="7" t="s">
        <v>25</v>
      </c>
    </row>
    <row r="15" spans="1:5" x14ac:dyDescent="0.25">
      <c r="A15" s="4" t="s">
        <v>24</v>
      </c>
      <c r="B15" s="4" t="s">
        <v>12</v>
      </c>
      <c r="C15" s="5">
        <v>0.01</v>
      </c>
      <c r="D15" s="6" t="s">
        <v>10</v>
      </c>
      <c r="E15" s="7" t="s">
        <v>26</v>
      </c>
    </row>
    <row r="16" spans="1:5" x14ac:dyDescent="0.25">
      <c r="A16" s="4" t="s">
        <v>24</v>
      </c>
      <c r="B16" s="4" t="s">
        <v>14</v>
      </c>
      <c r="C16" s="5">
        <v>0.01</v>
      </c>
      <c r="D16" s="6" t="s">
        <v>10</v>
      </c>
      <c r="E16" s="7" t="s">
        <v>26</v>
      </c>
    </row>
    <row r="17" spans="1:5" x14ac:dyDescent="0.25">
      <c r="A17" s="4" t="s">
        <v>24</v>
      </c>
      <c r="B17" s="4" t="s">
        <v>17</v>
      </c>
      <c r="C17" s="5">
        <v>0.01</v>
      </c>
      <c r="D17" s="6" t="s">
        <v>10</v>
      </c>
      <c r="E17" s="7" t="s">
        <v>26</v>
      </c>
    </row>
    <row r="18" spans="1:5" x14ac:dyDescent="0.25">
      <c r="A18" s="4" t="s">
        <v>27</v>
      </c>
      <c r="B18" s="4" t="s">
        <v>9</v>
      </c>
      <c r="C18" s="5">
        <v>0</v>
      </c>
      <c r="D18" s="6" t="s">
        <v>10</v>
      </c>
      <c r="E18" s="7" t="s">
        <v>28</v>
      </c>
    </row>
    <row r="19" spans="1:5" x14ac:dyDescent="0.25">
      <c r="A19" s="4" t="s">
        <v>27</v>
      </c>
      <c r="B19" s="4" t="s">
        <v>12</v>
      </c>
      <c r="C19" s="5">
        <v>0</v>
      </c>
      <c r="D19" s="6" t="s">
        <v>10</v>
      </c>
      <c r="E19" s="7" t="s">
        <v>26</v>
      </c>
    </row>
    <row r="20" spans="1:5" x14ac:dyDescent="0.25">
      <c r="A20" s="4" t="s">
        <v>27</v>
      </c>
      <c r="B20" s="4" t="s">
        <v>14</v>
      </c>
      <c r="C20" s="5">
        <v>0.02</v>
      </c>
      <c r="D20" s="6" t="s">
        <v>10</v>
      </c>
      <c r="E20" s="7" t="s">
        <v>29</v>
      </c>
    </row>
    <row r="21" spans="1:5" x14ac:dyDescent="0.25">
      <c r="A21" s="4" t="s">
        <v>27</v>
      </c>
      <c r="B21" s="4" t="s">
        <v>17</v>
      </c>
      <c r="C21" s="5">
        <v>0.02</v>
      </c>
      <c r="D21" s="6" t="s">
        <v>10</v>
      </c>
      <c r="E21" s="7" t="s">
        <v>30</v>
      </c>
    </row>
    <row r="22" spans="1:5" x14ac:dyDescent="0.25">
      <c r="A22" s="4" t="s">
        <v>31</v>
      </c>
      <c r="B22" s="4" t="s">
        <v>9</v>
      </c>
      <c r="C22" s="5">
        <v>0.03</v>
      </c>
      <c r="D22" s="6" t="s">
        <v>10</v>
      </c>
      <c r="E22" s="7" t="s">
        <v>32</v>
      </c>
    </row>
    <row r="23" spans="1:5" x14ac:dyDescent="0.25">
      <c r="A23" s="4" t="s">
        <v>31</v>
      </c>
      <c r="B23" s="4" t="s">
        <v>12</v>
      </c>
      <c r="C23" s="5">
        <v>0.02</v>
      </c>
      <c r="D23" s="6" t="s">
        <v>10</v>
      </c>
      <c r="E23" s="7" t="s">
        <v>33</v>
      </c>
    </row>
    <row r="24" spans="1:5" x14ac:dyDescent="0.25">
      <c r="A24" s="4" t="s">
        <v>31</v>
      </c>
      <c r="B24" s="4" t="s">
        <v>14</v>
      </c>
      <c r="C24" s="5">
        <v>0.03</v>
      </c>
      <c r="D24" s="6" t="s">
        <v>10</v>
      </c>
      <c r="E24" s="7" t="s">
        <v>33</v>
      </c>
    </row>
    <row r="25" spans="1:5" x14ac:dyDescent="0.25">
      <c r="A25" s="4" t="s">
        <v>31</v>
      </c>
      <c r="B25" s="4" t="s">
        <v>17</v>
      </c>
      <c r="C25" s="5">
        <v>0.03</v>
      </c>
      <c r="D25" s="6" t="s">
        <v>10</v>
      </c>
      <c r="E25" s="7" t="s">
        <v>33</v>
      </c>
    </row>
    <row r="27" spans="1:5" x14ac:dyDescent="0.25">
      <c r="A27" s="10" t="s">
        <v>34</v>
      </c>
    </row>
    <row r="28" spans="1:5" x14ac:dyDescent="0.25">
      <c r="A28" s="4" t="s">
        <v>35</v>
      </c>
      <c r="C28" s="11">
        <v>1625000</v>
      </c>
      <c r="E28" s="4" t="s">
        <v>36</v>
      </c>
    </row>
    <row r="29" spans="1:5" x14ac:dyDescent="0.25">
      <c r="A29" s="4" t="s">
        <v>37</v>
      </c>
      <c r="C29" s="11">
        <v>6300000</v>
      </c>
      <c r="E29" s="4" t="s">
        <v>38</v>
      </c>
    </row>
    <row r="30" spans="1:5" x14ac:dyDescent="0.25">
      <c r="A30" s="4" t="s">
        <v>39</v>
      </c>
      <c r="C30" s="12">
        <v>0.44750000000000001</v>
      </c>
      <c r="E30" s="4" t="s">
        <v>40</v>
      </c>
    </row>
    <row r="31" spans="1:5" x14ac:dyDescent="0.25">
      <c r="A31" s="4" t="s">
        <v>41</v>
      </c>
      <c r="C31" s="12">
        <v>0.45</v>
      </c>
      <c r="E31" s="4" t="s">
        <v>42</v>
      </c>
    </row>
    <row r="33" spans="1:1" x14ac:dyDescent="0.25">
      <c r="A33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 x14ac:dyDescent="0.25"/>
  <cols>
    <col min="1" max="1" width="30" customWidth="1"/>
    <col min="2" max="9" width="13" customWidth="1"/>
  </cols>
  <sheetData>
    <row r="1" spans="1:9" ht="15.75" x14ac:dyDescent="0.25">
      <c r="A1" s="13" t="s">
        <v>44</v>
      </c>
    </row>
    <row r="3" spans="1:9" ht="45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</row>
    <row r="4" spans="1:9" x14ac:dyDescent="0.25">
      <c r="A4" s="14" t="s">
        <v>8</v>
      </c>
      <c r="B4" s="15">
        <v>815497</v>
      </c>
      <c r="C4" s="15">
        <v>929177</v>
      </c>
      <c r="D4" s="15">
        <v>1023162</v>
      </c>
      <c r="E4" s="15">
        <v>1099848</v>
      </c>
      <c r="F4" s="16">
        <v>1150475.3</v>
      </c>
      <c r="G4" s="16">
        <v>1196594.5</v>
      </c>
      <c r="H4" s="17">
        <v>1268390.2</v>
      </c>
      <c r="I4" s="17">
        <v>1344493.6</v>
      </c>
    </row>
    <row r="5" spans="1:9" x14ac:dyDescent="0.25">
      <c r="A5" s="14" t="s">
        <v>19</v>
      </c>
      <c r="B5" s="15">
        <v>125857</v>
      </c>
      <c r="C5" s="15">
        <v>118389</v>
      </c>
      <c r="D5" s="15">
        <v>126006</v>
      </c>
      <c r="E5" s="15">
        <v>174230</v>
      </c>
      <c r="F5" s="16">
        <v>179707</v>
      </c>
      <c r="G5" s="16">
        <v>186910.9</v>
      </c>
      <c r="H5" s="17">
        <v>201863.8</v>
      </c>
      <c r="I5" s="17">
        <v>218012.9</v>
      </c>
    </row>
    <row r="6" spans="1:9" x14ac:dyDescent="0.25">
      <c r="A6" s="14" t="s">
        <v>24</v>
      </c>
      <c r="B6" s="15">
        <v>89961</v>
      </c>
      <c r="C6" s="15">
        <v>93361</v>
      </c>
      <c r="D6" s="15">
        <v>93384</v>
      </c>
      <c r="E6" s="15">
        <v>93878</v>
      </c>
      <c r="F6" s="16">
        <v>92261.7</v>
      </c>
      <c r="G6" s="16">
        <v>91433.8</v>
      </c>
      <c r="H6" s="16">
        <v>92348.1</v>
      </c>
      <c r="I6" s="16">
        <v>93271.6</v>
      </c>
    </row>
    <row r="7" spans="1:9" x14ac:dyDescent="0.25">
      <c r="A7" s="14" t="s">
        <v>27</v>
      </c>
      <c r="B7" s="15">
        <v>27805</v>
      </c>
      <c r="C7" s="15">
        <v>33760</v>
      </c>
      <c r="D7" s="15">
        <v>20420</v>
      </c>
      <c r="E7" s="15">
        <v>23361</v>
      </c>
      <c r="F7" s="16">
        <v>22731.5</v>
      </c>
      <c r="G7" s="16">
        <v>22304.400000000001</v>
      </c>
      <c r="H7" s="16">
        <v>22750.5</v>
      </c>
      <c r="I7" s="16">
        <v>23205.5</v>
      </c>
    </row>
    <row r="8" spans="1:9" x14ac:dyDescent="0.25">
      <c r="A8" s="14" t="s">
        <v>31</v>
      </c>
      <c r="B8" s="15">
        <v>160265</v>
      </c>
      <c r="C8" s="15">
        <v>177297</v>
      </c>
      <c r="D8" s="15">
        <v>164070</v>
      </c>
      <c r="E8" s="15">
        <v>179422</v>
      </c>
      <c r="F8" s="16">
        <v>179824.6</v>
      </c>
      <c r="G8" s="16">
        <v>179975.4</v>
      </c>
      <c r="H8" s="16">
        <v>185374.6</v>
      </c>
      <c r="I8" s="16">
        <v>190935.9</v>
      </c>
    </row>
    <row r="9" spans="1:9" x14ac:dyDescent="0.25">
      <c r="A9" s="18" t="s">
        <v>54</v>
      </c>
      <c r="B9" s="19">
        <f t="shared" ref="B9:I9" si="0">SUM(B4:B8)</f>
        <v>1219385</v>
      </c>
      <c r="C9" s="19">
        <f t="shared" si="0"/>
        <v>1351984</v>
      </c>
      <c r="D9" s="19">
        <f t="shared" si="0"/>
        <v>1427042</v>
      </c>
      <c r="E9" s="19">
        <f t="shared" si="0"/>
        <v>1570739</v>
      </c>
      <c r="F9" s="19">
        <f t="shared" si="0"/>
        <v>1625000.1</v>
      </c>
      <c r="G9" s="19">
        <f t="shared" si="0"/>
        <v>1677218.9999999998</v>
      </c>
      <c r="H9" s="19">
        <f t="shared" si="0"/>
        <v>1770727.2000000002</v>
      </c>
      <c r="I9" s="19">
        <f t="shared" si="0"/>
        <v>1869919.5</v>
      </c>
    </row>
    <row r="10" spans="1:9" x14ac:dyDescent="0.25">
      <c r="A10" s="20" t="s">
        <v>55</v>
      </c>
      <c r="C10" s="21">
        <f t="shared" ref="C10:I10" si="1">C9/B9-1</f>
        <v>0.10874252184502842</v>
      </c>
      <c r="D10" s="21">
        <f t="shared" si="1"/>
        <v>5.551692919442841E-2</v>
      </c>
      <c r="E10" s="21">
        <f t="shared" si="1"/>
        <v>0.10069570482158197</v>
      </c>
      <c r="F10" s="21">
        <f t="shared" si="1"/>
        <v>3.4544949861180063E-2</v>
      </c>
      <c r="G10" s="21">
        <f t="shared" si="1"/>
        <v>3.213470571478716E-2</v>
      </c>
      <c r="H10" s="21">
        <f t="shared" si="1"/>
        <v>5.5751932216365541E-2</v>
      </c>
      <c r="I10" s="21">
        <f t="shared" si="1"/>
        <v>5.6017832673491252E-2</v>
      </c>
    </row>
    <row r="11" spans="1:9" x14ac:dyDescent="0.25">
      <c r="A11" t="s">
        <v>56</v>
      </c>
      <c r="B11" s="22" t="s">
        <v>57</v>
      </c>
      <c r="E11" s="22" t="s">
        <v>58</v>
      </c>
    </row>
    <row r="13" spans="1:9" x14ac:dyDescent="0.25">
      <c r="A13" s="2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cols>
    <col min="1" max="1" width="26" customWidth="1"/>
    <col min="2" max="2" width="14" customWidth="1"/>
    <col min="3" max="4" width="17" customWidth="1"/>
    <col min="5" max="5" width="16" customWidth="1"/>
    <col min="6" max="6" width="40" customWidth="1"/>
  </cols>
  <sheetData>
    <row r="1" spans="1:6" ht="15.75" x14ac:dyDescent="0.25">
      <c r="A1" s="13" t="s">
        <v>60</v>
      </c>
    </row>
    <row r="2" spans="1:6" x14ac:dyDescent="0.25">
      <c r="A2" s="2" t="s">
        <v>61</v>
      </c>
    </row>
    <row r="4" spans="1:6" ht="30" x14ac:dyDescent="0.2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</row>
    <row r="5" spans="1:6" x14ac:dyDescent="0.25">
      <c r="A5" s="4" t="s">
        <v>68</v>
      </c>
      <c r="B5" s="23">
        <v>1625000</v>
      </c>
      <c r="C5" s="23">
        <v>1638937</v>
      </c>
      <c r="D5" s="23">
        <f>B5-C5</f>
        <v>-13937</v>
      </c>
      <c r="E5" s="24">
        <f>B5/C5-1</f>
        <v>-8.5036825698607821E-3</v>
      </c>
      <c r="F5" s="7" t="s">
        <v>69</v>
      </c>
    </row>
    <row r="6" spans="1:6" x14ac:dyDescent="0.25">
      <c r="A6" s="4" t="s">
        <v>70</v>
      </c>
      <c r="B6" s="23">
        <v>1677219</v>
      </c>
      <c r="C6" s="23">
        <v>1698437</v>
      </c>
      <c r="D6" s="23">
        <f>B6-C6</f>
        <v>-21218</v>
      </c>
      <c r="E6" s="24">
        <f>B6/C6-1</f>
        <v>-1.2492662371344943E-2</v>
      </c>
      <c r="F6" s="7" t="s">
        <v>71</v>
      </c>
    </row>
    <row r="7" spans="1:6" ht="75" x14ac:dyDescent="0.25">
      <c r="A7" s="4" t="s">
        <v>72</v>
      </c>
      <c r="B7" s="23">
        <f>Model!D9+Model!E9+Model!F9+Model!G9</f>
        <v>6300000.0999999996</v>
      </c>
      <c r="C7" s="23">
        <v>6626570</v>
      </c>
      <c r="D7" s="23">
        <f>B7-C7</f>
        <v>-326569.90000000037</v>
      </c>
      <c r="E7" s="24">
        <f>B7/C7-1</f>
        <v>-4.9281890933016714E-2</v>
      </c>
      <c r="F7" s="7" t="s">
        <v>73</v>
      </c>
    </row>
    <row r="8" spans="1:6" ht="75" x14ac:dyDescent="0.25">
      <c r="A8" s="4" t="s">
        <v>74</v>
      </c>
      <c r="B8" s="23">
        <v>7682155</v>
      </c>
      <c r="C8" s="23">
        <v>8549220</v>
      </c>
      <c r="D8" s="23">
        <f>B8-C8</f>
        <v>-867065</v>
      </c>
      <c r="E8" s="24">
        <f>B8/C8-1</f>
        <v>-0.10142036349514927</v>
      </c>
      <c r="F8" s="7" t="s">
        <v>75</v>
      </c>
    </row>
    <row r="10" spans="1:6" x14ac:dyDescent="0.25">
      <c r="A10" s="10" t="s">
        <v>76</v>
      </c>
    </row>
    <row r="11" spans="1:6" x14ac:dyDescent="0.25">
      <c r="A11" t="s">
        <v>77</v>
      </c>
      <c r="B11" s="25">
        <v>6300000</v>
      </c>
      <c r="C11" s="25">
        <v>6300000</v>
      </c>
      <c r="D11" s="25">
        <f>B11-C11</f>
        <v>0</v>
      </c>
      <c r="F11" t="s">
        <v>78</v>
      </c>
    </row>
    <row r="14" spans="1:6" x14ac:dyDescent="0.25">
      <c r="A14" s="10" t="s">
        <v>79</v>
      </c>
    </row>
    <row r="15" spans="1:6" x14ac:dyDescent="0.25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</row>
    <row r="16" spans="1:6" x14ac:dyDescent="0.25">
      <c r="A16" t="s">
        <v>85</v>
      </c>
      <c r="B16" s="21">
        <v>4.4999999999999998E-2</v>
      </c>
      <c r="C16" s="25">
        <v>6300000</v>
      </c>
      <c r="D16" s="25">
        <v>7483571</v>
      </c>
      <c r="E16" s="26">
        <v>-198584</v>
      </c>
    </row>
    <row r="17" spans="1:5" x14ac:dyDescent="0.25">
      <c r="A17" t="s">
        <v>86</v>
      </c>
      <c r="B17" s="21">
        <v>0.06</v>
      </c>
      <c r="C17" s="25">
        <v>6300000</v>
      </c>
      <c r="D17" s="25">
        <v>7682155</v>
      </c>
      <c r="E17" s="26">
        <v>0</v>
      </c>
    </row>
    <row r="18" spans="1:5" x14ac:dyDescent="0.25">
      <c r="A18" t="s">
        <v>87</v>
      </c>
      <c r="B18" s="21">
        <v>7.4999999999999997E-2</v>
      </c>
      <c r="C18" s="25">
        <v>6300000</v>
      </c>
      <c r="D18" s="25">
        <v>7889843</v>
      </c>
      <c r="E18" s="26">
        <v>207688</v>
      </c>
    </row>
    <row r="20" spans="1:5" x14ac:dyDescent="0.25">
      <c r="A20" s="2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workbookViewId="0"/>
  </sheetViews>
  <sheetFormatPr defaultRowHeight="15" x14ac:dyDescent="0.25"/>
  <cols>
    <col min="1" max="1" width="130" customWidth="1"/>
  </cols>
  <sheetData>
    <row r="1" spans="1:1" ht="15.75" x14ac:dyDescent="0.25">
      <c r="A1" s="13" t="s">
        <v>89</v>
      </c>
    </row>
    <row r="3" spans="1:1" x14ac:dyDescent="0.25">
      <c r="A3" s="10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9" spans="1:1" x14ac:dyDescent="0.25">
      <c r="A9" s="10" t="s">
        <v>95</v>
      </c>
    </row>
    <row r="10" spans="1:1" x14ac:dyDescent="0.25">
      <c r="A10" t="s">
        <v>96</v>
      </c>
    </row>
    <row r="11" spans="1:1" x14ac:dyDescent="0.25">
      <c r="A11" t="s">
        <v>97</v>
      </c>
    </row>
    <row r="13" spans="1:1" x14ac:dyDescent="0.25">
      <c r="A13" s="10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9" spans="1:1" x14ac:dyDescent="0.25">
      <c r="A19" s="10" t="s">
        <v>103</v>
      </c>
    </row>
    <row r="20" spans="1:1" x14ac:dyDescent="0.25">
      <c r="A20" t="s">
        <v>104</v>
      </c>
    </row>
    <row r="22" spans="1:1" x14ac:dyDescent="0.25">
      <c r="A22" s="10" t="s">
        <v>105</v>
      </c>
    </row>
    <row r="23" spans="1:1" x14ac:dyDescent="0.25">
      <c r="A23" s="10" t="s">
        <v>106</v>
      </c>
    </row>
    <row r="24" spans="1:1" x14ac:dyDescent="0.25">
      <c r="A2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Model</vt:lpstr>
      <vt:lpstr>vs Consensus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2026-07-02T01:15:30Z</dcterms:created>
  <dcterms:modified xsi:type="dcterms:W3CDTF">2026-07-02T01:39:19Z</dcterms:modified>
</cp:coreProperties>
</file>