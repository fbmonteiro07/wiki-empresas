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Wiki Felipe empresas\_wiki\_models\"/>
    </mc:Choice>
  </mc:AlternateContent>
  <xr:revisionPtr revIDLastSave="0" documentId="13_ncr:1_{D7ABF7C6-6449-4B71-B555-C9F1FBC62F6D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Assumptions" sheetId="1" r:id="rId1"/>
    <sheet name="Model" sheetId="2" r:id="rId2"/>
    <sheet name="vs Consensus" sheetId="3" r:id="rId3"/>
    <sheet name="Sensitivity" sheetId="4" r:id="rId4"/>
    <sheet name="Sourc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I9" i="2"/>
  <c r="I11" i="2" s="1"/>
  <c r="H9" i="2"/>
  <c r="G9" i="2"/>
  <c r="F9" i="2"/>
  <c r="E9" i="2"/>
  <c r="E11" i="2" s="1"/>
  <c r="D9" i="2"/>
  <c r="C9" i="2"/>
  <c r="B9" i="2"/>
  <c r="H11" i="2" l="1"/>
  <c r="F11" i="2"/>
  <c r="G11" i="2"/>
  <c r="C11" i="2"/>
  <c r="D11" i="2"/>
  <c r="J11" i="2"/>
  <c r="B6" i="3"/>
  <c r="B12" i="2"/>
  <c r="B7" i="3" s="1"/>
  <c r="B5" i="3"/>
  <c r="E5" i="3" l="1"/>
  <c r="D5" i="3"/>
  <c r="E7" i="3"/>
  <c r="D7" i="3"/>
  <c r="E6" i="3"/>
  <c r="D6" i="3"/>
</calcChain>
</file>

<file path=xl/sharedStrings.xml><?xml version="1.0" encoding="utf-8"?>
<sst xmlns="http://schemas.openxmlformats.org/spreadsheetml/2006/main" count="175" uniqueCount="145">
  <si>
    <t>VECO Bottoms-Up Revenue Model — Assumptions</t>
  </si>
  <si>
    <t>All figures $000 unless noted. Green=HARD (filing cite) · Blue=ANCHOR (mgmt guide/backlog) · Amber=ESTIMATE.</t>
  </si>
  <si>
    <t>Axcelis merger PENDING as of 2026-07-01 (only China SAMR antitrust outstanding; close guided H2-2026). Model = VECO standalone. SAMR-only status sourced to Q1-26 10-Q Note 10 + Q1-26 call (2026-05-05); 10-K carries deal TERMS only (0.3575 ratio, dates, fees).</t>
  </si>
  <si>
    <t>Input</t>
  </si>
  <si>
    <t>Value</t>
  </si>
  <si>
    <t>Tag</t>
  </si>
  <si>
    <t>Source</t>
  </si>
  <si>
    <t>Q1-26 total revenue (last actual, tie-out)</t>
  </si>
  <si>
    <t>$158.341M</t>
  </si>
  <si>
    <t>HARD</t>
  </si>
  <si>
    <t>10-Q 2026-05-05, disaggregation note</t>
  </si>
  <si>
    <t>FY2025 total revenue</t>
  </si>
  <si>
    <t>$664.294M</t>
  </si>
  <si>
    <t>10-K 2026-02-25</t>
  </si>
  <si>
    <t>FY2025 Semiconductor</t>
  </si>
  <si>
    <t>$476.559M</t>
  </si>
  <si>
    <t>FY2025 Compound Semi</t>
  </si>
  <si>
    <t>$59.557M</t>
  </si>
  <si>
    <t>FY2025 Data Storage</t>
  </si>
  <si>
    <t>$39.238M</t>
  </si>
  <si>
    <t>FY2025 Scientific &amp; Other</t>
  </si>
  <si>
    <t>$88.940M</t>
  </si>
  <si>
    <t>Q4-25 by end-mkt (= FY25 - 9M25)</t>
  </si>
  <si>
    <t>derived, ties to $165.017M</t>
  </si>
  <si>
    <t>10-K less Q3-25 10-Q YTD</t>
  </si>
  <si>
    <t>FY25 exit order backlog</t>
  </si>
  <si>
    <t>$555M (+35% y/y)</t>
  </si>
  <si>
    <t>ANCHOR</t>
  </si>
  <si>
    <t>Q4-25 call 2026-02-25</t>
  </si>
  <si>
    <t>RPO (&gt;1yr contracts), Q1-26</t>
  </si>
  <si>
    <t>$142.8M, ~51% within 12mo</t>
  </si>
  <si>
    <t>10-Q 2026-05-05</t>
  </si>
  <si>
    <t>FY26 revenue guide (reaffirmed)</t>
  </si>
  <si>
    <t>$740-800M (+11-16% y/y)</t>
  </si>
  <si>
    <t>Q1-26 call 2026-05-05</t>
  </si>
  <si>
    <t>FY26 Semiconductor growth guide</t>
  </si>
  <si>
    <t>~mid-teens y/y</t>
  </si>
  <si>
    <t>Q1-26 &amp; Q4-25 calls</t>
  </si>
  <si>
    <t>FY26 Compound Semi growth guide</t>
  </si>
  <si>
    <t>~+50% y/y (=&gt; CS CY26 ~$89-92M; model +52%)</t>
  </si>
  <si>
    <t>FY26 Data Storage guide</t>
  </si>
  <si>
    <t>~doubling to ~$80M</t>
  </si>
  <si>
    <t>Q4-25 &amp; Q1-26 calls</t>
  </si>
  <si>
    <t>InP silicon-photonics order book</t>
  </si>
  <si>
    <t>&gt;$250M (MOCVD/wet/IBD); ship Q3-26, ramp Q1-27</t>
  </si>
  <si>
    <t>Q2-26 revenue guide</t>
  </si>
  <si>
    <t>$170-190M; GM 38-40%</t>
  </si>
  <si>
    <t>China BIS drag Q1-26</t>
  </si>
  <si>
    <t>~$8M LSA removed</t>
  </si>
  <si>
    <t>Q1-26 call / 10-Q</t>
  </si>
  <si>
    <t>Semi fcst Q2/Q3/Q4-26, Q1-27</t>
  </si>
  <si>
    <t>118 / 150 / 166 / 148 ($M)</t>
  </si>
  <si>
    <t>ESTIMATE</t>
  </si>
  <si>
    <t>H2-weighted; adv pkg 2x, LSA/IBD ramp</t>
  </si>
  <si>
    <t>Compound Semi fcst</t>
  </si>
  <si>
    <t>20 / 24 / 28 / 44 ($M)</t>
  </si>
  <si>
    <t>InP ramp Q3-26+; CS CY26 ~$91M = +52% y/y (mgmt guide ~+50%)</t>
  </si>
  <si>
    <t>Data Storage fcst</t>
  </si>
  <si>
    <t>17 / 22 / 22 / 18 ($M)</t>
  </si>
  <si>
    <t>HAMR doubling, booked 2026</t>
  </si>
  <si>
    <t>Scientific &amp; Other fcst</t>
  </si>
  <si>
    <t>21 / 21 / 21 / 20 ($M)</t>
  </si>
  <si>
    <t>trailing trend, no AI lift</t>
  </si>
  <si>
    <t>VECO Quarterly Revenue Build ($000) — Bottoms-Up by End-Market</t>
  </si>
  <si>
    <t>Actuals GREEN (filing). Forecast AMBER (driver-based). Totals are formulas. Last actual (Q1-26) ties to reported $158,341.</t>
  </si>
  <si>
    <t>End-market</t>
  </si>
  <si>
    <t>Q1-25</t>
  </si>
  <si>
    <t>Q2-25</t>
  </si>
  <si>
    <t>Q3-25</t>
  </si>
  <si>
    <t>Q4-25</t>
  </si>
  <si>
    <t>Q1-26</t>
  </si>
  <si>
    <t>Q2-26E</t>
  </si>
  <si>
    <t>Q3-26E</t>
  </si>
  <si>
    <t>Q4-26E</t>
  </si>
  <si>
    <t>Q1-27E</t>
  </si>
  <si>
    <t>Semiconductor</t>
  </si>
  <si>
    <t>Compound Semiconductor</t>
  </si>
  <si>
    <t>Data Storage</t>
  </si>
  <si>
    <t>Scientific &amp; Other</t>
  </si>
  <si>
    <t>Total revenue</t>
  </si>
  <si>
    <t>q/q growth %</t>
  </si>
  <si>
    <t>CY2026 (Q1-Q4 26)</t>
  </si>
  <si>
    <t>Column map: F=Q1-26 (last actual). CY26 = F+G+H+I.</t>
  </si>
  <si>
    <t>Bottoms-Up vs BBG Consensus (BEST_SALES, asof 2026-07-01) — $000</t>
  </si>
  <si>
    <t>Headline: bottoms-up CY2026 = ~$788.3M -- INSIDE the $740-800M guide, near the high end (~$12M below the $800M top, ~$18M above the $770M midpoint); ~+0.9% vs BBG consensus $781.3M. Prior draft ($810M "above top of guide") was driven by an over-aggressive Compound Semi assumption (+89% y/y) now corrected to +52% y/y (mgmt guide ~+50%).</t>
  </si>
  <si>
    <t>Period</t>
  </si>
  <si>
    <t>Bottoms-up</t>
  </si>
  <si>
    <t>BBG consensus</t>
  </si>
  <si>
    <t>$ variance</t>
  </si>
  <si>
    <t>% variance</t>
  </si>
  <si>
    <t>CY2026</t>
  </si>
  <si>
    <t>FY26 guide midpoint</t>
  </si>
  <si>
    <t>$740-800M mgmt guide</t>
  </si>
  <si>
    <t>Note: CY2027 consensus $1,092.08M. Model forecasts only through Q1-27E; full FY27 build not in scope (merger close guided H2-26 muddies standalone FY27).</t>
  </si>
  <si>
    <t>Sensitivity — load-bearing ESTIMATE inputs</t>
  </si>
  <si>
    <t>Semiconductor (AI/adv-pkg/LSA) is the swing segment; InP-driven Compound Semi is the 2nd. Flex each ±25% on the FORECAST quarters only.</t>
  </si>
  <si>
    <t>Driver</t>
  </si>
  <si>
    <t>Base (fcst qtrs)</t>
  </si>
  <si>
    <t>-25%</t>
  </si>
  <si>
    <t>+25%</t>
  </si>
  <si>
    <t>CY26 rev impact -/+</t>
  </si>
  <si>
    <t>FY thru Q1-27 impact -/+</t>
  </si>
  <si>
    <t>Semiconductor bookings conversion</t>
  </si>
  <si>
    <t>-108,500 / +108,500</t>
  </si>
  <si>
    <t>-145,500 / +145,500</t>
  </si>
  <si>
    <t>Compound Semi (InP) conversion</t>
  </si>
  <si>
    <t>-18,000 / +18,000</t>
  </si>
  <si>
    <t>-29,000 / +29,000</t>
  </si>
  <si>
    <t>Base CY26 total bottoms-up (Q1 act + Q2-Q4E): see Model. Semi CY26=543,042; CompSemi CY26=90,808 (+52% y/y, within mgmt ~+50% guide).</t>
  </si>
  <si>
    <t>Sources — filings &amp; transcripts pulled</t>
  </si>
  <si>
    <t>Document</t>
  </si>
  <si>
    <t>Date</t>
  </si>
  <si>
    <t>Used for</t>
  </si>
  <si>
    <t>VECO 10-K FY2025</t>
  </si>
  <si>
    <t>2026-02-25</t>
  </si>
  <si>
    <t>FY25 end-market actuals, FY26 guide, backlog $554.9M; Axcelis DEAL TERMS only (0.3575 exchange ratio, outside dates, termination fees). Does NOT name SAMR.</t>
  </si>
  <si>
    <t>VECO 10-Q Q1-2026</t>
  </si>
  <si>
    <t>2026-05-05</t>
  </si>
  <si>
    <t>Q1-26 end-market actuals (tie-out), RPO $142.8M, China BIS; SOLE filing source naming China SAMR antitrust as the only outstanding approval (Note 10). Verbatim: &gt;$250M InP orders, "fully booked... into 2027".</t>
  </si>
  <si>
    <t>VECO 10-Q Q3-2025</t>
  </si>
  <si>
    <t>2025-11-05</t>
  </si>
  <si>
    <t>9M-25 YTD end-market (to derive Q4-25)</t>
  </si>
  <si>
    <t>VECO 10-Q Q2-2025</t>
  </si>
  <si>
    <t>2025-08-06</t>
  </si>
  <si>
    <t>Q2-25 end-market actuals</t>
  </si>
  <si>
    <t>VECO 10-Q Q1-2025</t>
  </si>
  <si>
    <t>2025-05-07</t>
  </si>
  <si>
    <t>Q1-25 end-market actuals (y/y base)</t>
  </si>
  <si>
    <t>VECO Q1-2026 earnings call</t>
  </si>
  <si>
    <t>Segment guide (Semi mid-teens, CS ~+50%, DS ~doubling), InP &gt;$250M order book, Spectre 10x; names China SAMR as only outstanding antitrust approval (2026-05-05).</t>
  </si>
  <si>
    <t>VECO Q4-2025 earnings call</t>
  </si>
  <si>
    <t>FY26 guide, backlog +35%, adv pkg 2x to $150M, DS ~$80M</t>
  </si>
  <si>
    <t>VECO Q3-2025 earnings call</t>
  </si>
  <si>
    <t>LSA/IBD/NSA eval color</t>
  </si>
  <si>
    <t>VECO Q2-2025 earnings call</t>
  </si>
  <si>
    <t>LSA SAM $1.3B, eval $30-60M follow-on, China 17%</t>
  </si>
  <si>
    <t>BBG estimates.json (VECO)</t>
  </si>
  <si>
    <t>asof 2026-07-01</t>
  </si>
  <si>
    <t>Consensus BEST_SALES Q2/Q3-26, CY26/CY27</t>
  </si>
  <si>
    <t>Wiki VECO.md</t>
  </si>
  <si>
    <t>gen 2026-06-19</t>
  </si>
  <si>
    <t>Thesis, deal terms 0.3575 ACLS, Citi/JPM flow</t>
  </si>
  <si>
    <t>SOURCING CAVEAT</t>
  </si>
  <si>
    <t>2026-07-01</t>
  </si>
  <si>
    <t>VECO_Q1-2026-earnings_2026-05-05.md &amp; VECO_Q4-2025-earnings_2026-02-25.md are SYNTHESIZED secondary notes (Motley Fool / Investing.com / Seeking Alpha), NOT verbatim transcripts. The FY26 guide ($740-800M) and segment growth guides (Semi mid-teens, CS ~+50%, DS ~doubling to $80M) come from these synthesized notes. The load-bearing HARD facts -- "&gt;$250M InP orders", "fully booked... into 2027", "$554.9M backlog +35%" -- are independently confirmed VERBATIM in filings: E:\Wiki Felipe empresas\VECO\VECO_10-Q_2026-05-05_0001104659-26-055672.html and VECO_10-K_2026-02-25_0001104659-26-019711.html.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</si>
</sst>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3"/>
      <color rgb="FF1F4E78"/>
      <name val="Calibri"/>
    </font>
    <font>
      <i/>
      <sz val="9"/>
      <name val="Calibri"/>
    </font>
    <font>
      <i/>
      <sz val="9"/>
      <color rgb="FFC00000"/>
      <name val="Calibri"/>
    </font>
    <font>
      <b/>
      <sz val="11"/>
      <color rgb="FFFFFFFF"/>
      <name val="Calibri"/>
    </font>
    <font>
      <b/>
      <sz val="11"/>
      <name val="Calibri"/>
    </font>
    <font>
      <sz val="9"/>
      <name val="Calibri"/>
    </font>
    <font>
      <i/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FFEB9C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4" fillId="2" borderId="1" xfId="0" applyFont="1" applyFill="1" applyBorder="1"/>
    <xf numFmtId="0" fontId="5" fillId="0" borderId="1" xfId="0" applyFont="1" applyBorder="1"/>
    <xf numFmtId="3" fontId="0" fillId="3" borderId="1" xfId="0" applyNumberFormat="1" applyFill="1" applyBorder="1" applyAlignment="1">
      <alignment horizontal="right"/>
    </xf>
    <xf numFmtId="3" fontId="0" fillId="5" borderId="1" xfId="0" applyNumberFormat="1" applyFill="1" applyBorder="1" applyAlignment="1">
      <alignment horizontal="right"/>
    </xf>
    <xf numFmtId="0" fontId="5" fillId="6" borderId="1" xfId="0" applyFont="1" applyFill="1" applyBorder="1"/>
    <xf numFmtId="3" fontId="5" fillId="6" borderId="1" xfId="0" applyNumberFormat="1" applyFont="1" applyFill="1" applyBorder="1" applyAlignment="1">
      <alignment horizontal="right"/>
    </xf>
    <xf numFmtId="164" fontId="6" fillId="0" borderId="0" xfId="0" applyNumberFormat="1" applyFont="1" applyAlignment="1">
      <alignment horizontal="right"/>
    </xf>
    <xf numFmtId="3" fontId="5" fillId="0" borderId="1" xfId="0" applyNumberFormat="1" applyFont="1" applyBorder="1" applyAlignment="1">
      <alignment horizontal="right"/>
    </xf>
    <xf numFmtId="0" fontId="7" fillId="0" borderId="0" xfId="0" applyFont="1"/>
    <xf numFmtId="3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/>
  </sheetViews>
  <sheetFormatPr defaultRowHeight="15" x14ac:dyDescent="0.25"/>
  <cols>
    <col min="1" max="1" width="42" customWidth="1"/>
    <col min="2" max="2" width="34" customWidth="1"/>
    <col min="3" max="3" width="11" customWidth="1"/>
    <col min="4" max="4" width="44" customWidth="1"/>
  </cols>
  <sheetData>
    <row r="1" spans="1:4" ht="17.25" x14ac:dyDescent="0.3">
      <c r="A1" s="1" t="s">
        <v>0</v>
      </c>
    </row>
    <row r="2" spans="1:4" x14ac:dyDescent="0.25">
      <c r="A2" s="2" t="s">
        <v>1</v>
      </c>
    </row>
    <row r="3" spans="1:4" x14ac:dyDescent="0.25">
      <c r="A3" s="3" t="s">
        <v>2</v>
      </c>
    </row>
    <row r="5" spans="1:4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spans="1:4" x14ac:dyDescent="0.25">
      <c r="A6" s="5" t="s">
        <v>7</v>
      </c>
      <c r="B6" s="5" t="s">
        <v>8</v>
      </c>
      <c r="C6" s="6" t="s">
        <v>9</v>
      </c>
      <c r="D6" s="5" t="s">
        <v>10</v>
      </c>
    </row>
    <row r="7" spans="1:4" x14ac:dyDescent="0.25">
      <c r="A7" s="5" t="s">
        <v>11</v>
      </c>
      <c r="B7" s="5" t="s">
        <v>12</v>
      </c>
      <c r="C7" s="6" t="s">
        <v>9</v>
      </c>
      <c r="D7" s="5" t="s">
        <v>13</v>
      </c>
    </row>
    <row r="8" spans="1:4" x14ac:dyDescent="0.25">
      <c r="A8" s="5" t="s">
        <v>14</v>
      </c>
      <c r="B8" s="5" t="s">
        <v>15</v>
      </c>
      <c r="C8" s="6" t="s">
        <v>9</v>
      </c>
      <c r="D8" s="5" t="s">
        <v>13</v>
      </c>
    </row>
    <row r="9" spans="1:4" x14ac:dyDescent="0.25">
      <c r="A9" s="5" t="s">
        <v>16</v>
      </c>
      <c r="B9" s="5" t="s">
        <v>17</v>
      </c>
      <c r="C9" s="6" t="s">
        <v>9</v>
      </c>
      <c r="D9" s="5" t="s">
        <v>13</v>
      </c>
    </row>
    <row r="10" spans="1:4" x14ac:dyDescent="0.25">
      <c r="A10" s="5" t="s">
        <v>18</v>
      </c>
      <c r="B10" s="5" t="s">
        <v>19</v>
      </c>
      <c r="C10" s="6" t="s">
        <v>9</v>
      </c>
      <c r="D10" s="5" t="s">
        <v>13</v>
      </c>
    </row>
    <row r="11" spans="1:4" x14ac:dyDescent="0.25">
      <c r="A11" s="5" t="s">
        <v>20</v>
      </c>
      <c r="B11" s="5" t="s">
        <v>21</v>
      </c>
      <c r="C11" s="6" t="s">
        <v>9</v>
      </c>
      <c r="D11" s="5" t="s">
        <v>13</v>
      </c>
    </row>
    <row r="12" spans="1:4" x14ac:dyDescent="0.25">
      <c r="A12" s="5" t="s">
        <v>22</v>
      </c>
      <c r="B12" s="5" t="s">
        <v>23</v>
      </c>
      <c r="C12" s="6" t="s">
        <v>9</v>
      </c>
      <c r="D12" s="5" t="s">
        <v>24</v>
      </c>
    </row>
    <row r="13" spans="1:4" x14ac:dyDescent="0.25">
      <c r="A13" s="5" t="s">
        <v>25</v>
      </c>
      <c r="B13" s="5" t="s">
        <v>26</v>
      </c>
      <c r="C13" s="7" t="s">
        <v>27</v>
      </c>
      <c r="D13" s="5" t="s">
        <v>28</v>
      </c>
    </row>
    <row r="14" spans="1:4" x14ac:dyDescent="0.25">
      <c r="A14" s="5" t="s">
        <v>29</v>
      </c>
      <c r="B14" s="5" t="s">
        <v>30</v>
      </c>
      <c r="C14" s="7" t="s">
        <v>27</v>
      </c>
      <c r="D14" s="5" t="s">
        <v>31</v>
      </c>
    </row>
    <row r="15" spans="1:4" x14ac:dyDescent="0.25">
      <c r="A15" s="5" t="s">
        <v>32</v>
      </c>
      <c r="B15" s="5" t="s">
        <v>33</v>
      </c>
      <c r="C15" s="7" t="s">
        <v>27</v>
      </c>
      <c r="D15" s="5" t="s">
        <v>34</v>
      </c>
    </row>
    <row r="16" spans="1:4" x14ac:dyDescent="0.25">
      <c r="A16" s="5" t="s">
        <v>35</v>
      </c>
      <c r="B16" s="5" t="s">
        <v>36</v>
      </c>
      <c r="C16" s="7" t="s">
        <v>27</v>
      </c>
      <c r="D16" s="5" t="s">
        <v>37</v>
      </c>
    </row>
    <row r="17" spans="1:4" x14ac:dyDescent="0.25">
      <c r="A17" s="5" t="s">
        <v>38</v>
      </c>
      <c r="B17" s="5" t="s">
        <v>39</v>
      </c>
      <c r="C17" s="7" t="s">
        <v>27</v>
      </c>
      <c r="D17" s="5" t="s">
        <v>34</v>
      </c>
    </row>
    <row r="18" spans="1:4" x14ac:dyDescent="0.25">
      <c r="A18" s="5" t="s">
        <v>40</v>
      </c>
      <c r="B18" s="5" t="s">
        <v>41</v>
      </c>
      <c r="C18" s="7" t="s">
        <v>27</v>
      </c>
      <c r="D18" s="5" t="s">
        <v>42</v>
      </c>
    </row>
    <row r="19" spans="1:4" x14ac:dyDescent="0.25">
      <c r="A19" s="5" t="s">
        <v>43</v>
      </c>
      <c r="B19" s="5" t="s">
        <v>44</v>
      </c>
      <c r="C19" s="7" t="s">
        <v>27</v>
      </c>
      <c r="D19" s="5" t="s">
        <v>34</v>
      </c>
    </row>
    <row r="20" spans="1:4" x14ac:dyDescent="0.25">
      <c r="A20" s="5" t="s">
        <v>45</v>
      </c>
      <c r="B20" s="5" t="s">
        <v>46</v>
      </c>
      <c r="C20" s="7" t="s">
        <v>27</v>
      </c>
      <c r="D20" s="5" t="s">
        <v>34</v>
      </c>
    </row>
    <row r="21" spans="1:4" x14ac:dyDescent="0.25">
      <c r="A21" s="5" t="s">
        <v>47</v>
      </c>
      <c r="B21" s="5" t="s">
        <v>48</v>
      </c>
      <c r="C21" s="6" t="s">
        <v>9</v>
      </c>
      <c r="D21" s="5" t="s">
        <v>49</v>
      </c>
    </row>
    <row r="22" spans="1:4" x14ac:dyDescent="0.25">
      <c r="A22" s="5" t="s">
        <v>50</v>
      </c>
      <c r="B22" s="5" t="s">
        <v>51</v>
      </c>
      <c r="C22" s="8" t="s">
        <v>52</v>
      </c>
      <c r="D22" s="5" t="s">
        <v>53</v>
      </c>
    </row>
    <row r="23" spans="1:4" x14ac:dyDescent="0.25">
      <c r="A23" s="5" t="s">
        <v>54</v>
      </c>
      <c r="B23" s="5" t="s">
        <v>55</v>
      </c>
      <c r="C23" s="8" t="s">
        <v>52</v>
      </c>
      <c r="D23" s="5" t="s">
        <v>56</v>
      </c>
    </row>
    <row r="24" spans="1:4" x14ac:dyDescent="0.25">
      <c r="A24" s="5" t="s">
        <v>57</v>
      </c>
      <c r="B24" s="5" t="s">
        <v>58</v>
      </c>
      <c r="C24" s="8" t="s">
        <v>52</v>
      </c>
      <c r="D24" s="5" t="s">
        <v>59</v>
      </c>
    </row>
    <row r="25" spans="1:4" x14ac:dyDescent="0.25">
      <c r="A25" s="5" t="s">
        <v>60</v>
      </c>
      <c r="B25" s="5" t="s">
        <v>61</v>
      </c>
      <c r="C25" s="8" t="s">
        <v>52</v>
      </c>
      <c r="D25" s="5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workbookViewId="0"/>
  </sheetViews>
  <sheetFormatPr defaultRowHeight="15" x14ac:dyDescent="0.25"/>
  <cols>
    <col min="1" max="1" width="24" customWidth="1"/>
    <col min="2" max="11" width="11" customWidth="1"/>
  </cols>
  <sheetData>
    <row r="1" spans="1:10" ht="17.25" x14ac:dyDescent="0.3">
      <c r="A1" s="1" t="s">
        <v>63</v>
      </c>
    </row>
    <row r="2" spans="1:10" x14ac:dyDescent="0.25">
      <c r="A2" s="2" t="s">
        <v>64</v>
      </c>
    </row>
    <row r="4" spans="1:10" x14ac:dyDescent="0.25">
      <c r="A4" s="9" t="s">
        <v>65</v>
      </c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  <c r="H4" s="4" t="s">
        <v>72</v>
      </c>
      <c r="I4" s="4" t="s">
        <v>73</v>
      </c>
      <c r="J4" s="4" t="s">
        <v>74</v>
      </c>
    </row>
    <row r="5" spans="1:10" x14ac:dyDescent="0.25">
      <c r="A5" s="10" t="s">
        <v>75</v>
      </c>
      <c r="B5" s="11">
        <v>123823</v>
      </c>
      <c r="C5" s="11">
        <v>123874</v>
      </c>
      <c r="D5" s="11">
        <v>118322</v>
      </c>
      <c r="E5" s="11">
        <v>110540</v>
      </c>
      <c r="F5" s="11">
        <v>109042</v>
      </c>
      <c r="G5" s="12">
        <v>118000</v>
      </c>
      <c r="H5" s="12">
        <v>150000</v>
      </c>
      <c r="I5" s="12">
        <v>166000</v>
      </c>
      <c r="J5" s="12">
        <v>148000</v>
      </c>
    </row>
    <row r="6" spans="1:10" x14ac:dyDescent="0.25">
      <c r="A6" s="10" t="s">
        <v>76</v>
      </c>
      <c r="B6" s="11">
        <v>14397</v>
      </c>
      <c r="C6" s="11">
        <v>14197</v>
      </c>
      <c r="D6" s="11">
        <v>10912</v>
      </c>
      <c r="E6" s="11">
        <v>20051</v>
      </c>
      <c r="F6" s="11">
        <v>18808</v>
      </c>
      <c r="G6" s="12">
        <v>20000</v>
      </c>
      <c r="H6" s="12">
        <v>24000</v>
      </c>
      <c r="I6" s="12">
        <v>28000</v>
      </c>
      <c r="J6" s="12">
        <v>44000</v>
      </c>
    </row>
    <row r="7" spans="1:10" x14ac:dyDescent="0.25">
      <c r="A7" s="10" t="s">
        <v>77</v>
      </c>
      <c r="B7" s="11">
        <v>6705</v>
      </c>
      <c r="C7" s="11">
        <v>12354</v>
      </c>
      <c r="D7" s="11">
        <v>9971</v>
      </c>
      <c r="E7" s="11">
        <v>10208</v>
      </c>
      <c r="F7" s="11">
        <v>10213</v>
      </c>
      <c r="G7" s="12">
        <v>17000</v>
      </c>
      <c r="H7" s="12">
        <v>22000</v>
      </c>
      <c r="I7" s="12">
        <v>22000</v>
      </c>
      <c r="J7" s="12">
        <v>18000</v>
      </c>
    </row>
    <row r="8" spans="1:10" x14ac:dyDescent="0.25">
      <c r="A8" s="10" t="s">
        <v>78</v>
      </c>
      <c r="B8" s="11">
        <v>22367</v>
      </c>
      <c r="C8" s="11">
        <v>15679</v>
      </c>
      <c r="D8" s="11">
        <v>26676</v>
      </c>
      <c r="E8" s="11">
        <v>24218</v>
      </c>
      <c r="F8" s="11">
        <v>20278</v>
      </c>
      <c r="G8" s="12">
        <v>21000</v>
      </c>
      <c r="H8" s="12">
        <v>21000</v>
      </c>
      <c r="I8" s="12">
        <v>21000</v>
      </c>
      <c r="J8" s="12">
        <v>20000</v>
      </c>
    </row>
    <row r="9" spans="1:10" x14ac:dyDescent="0.25">
      <c r="A9" s="13" t="s">
        <v>79</v>
      </c>
      <c r="B9" s="14">
        <f t="shared" ref="B9:J9" si="0">SUM(B5:B8)</f>
        <v>167292</v>
      </c>
      <c r="C9" s="14">
        <f t="shared" si="0"/>
        <v>166104</v>
      </c>
      <c r="D9" s="14">
        <f t="shared" si="0"/>
        <v>165881</v>
      </c>
      <c r="E9" s="14">
        <f t="shared" si="0"/>
        <v>165017</v>
      </c>
      <c r="F9" s="14">
        <f t="shared" si="0"/>
        <v>158341</v>
      </c>
      <c r="G9" s="14">
        <f t="shared" si="0"/>
        <v>176000</v>
      </c>
      <c r="H9" s="14">
        <f t="shared" si="0"/>
        <v>217000</v>
      </c>
      <c r="I9" s="14">
        <f t="shared" si="0"/>
        <v>237000</v>
      </c>
      <c r="J9" s="14">
        <f t="shared" si="0"/>
        <v>230000</v>
      </c>
    </row>
    <row r="11" spans="1:10" x14ac:dyDescent="0.25">
      <c r="A11" s="2" t="s">
        <v>80</v>
      </c>
      <c r="C11" s="15">
        <f t="shared" ref="C11:J11" si="1">C9/B9-1</f>
        <v>-7.1013557133634553E-3</v>
      </c>
      <c r="D11" s="15">
        <f t="shared" si="1"/>
        <v>-1.3425323893464514E-3</v>
      </c>
      <c r="E11" s="15">
        <f t="shared" si="1"/>
        <v>-5.208553119404824E-3</v>
      </c>
      <c r="F11" s="15">
        <f t="shared" si="1"/>
        <v>-4.0456437821557834E-2</v>
      </c>
      <c r="G11" s="15">
        <f t="shared" si="1"/>
        <v>0.11152512615178622</v>
      </c>
      <c r="H11" s="15">
        <f t="shared" si="1"/>
        <v>0.23295454545454541</v>
      </c>
      <c r="I11" s="15">
        <f t="shared" si="1"/>
        <v>9.2165898617511566E-2</v>
      </c>
      <c r="J11" s="15">
        <f t="shared" si="1"/>
        <v>-2.9535864978902926E-2</v>
      </c>
    </row>
    <row r="12" spans="1:10" x14ac:dyDescent="0.25">
      <c r="A12" s="10" t="s">
        <v>81</v>
      </c>
      <c r="B12" s="16">
        <f>F9+G9+H9+I9</f>
        <v>788341</v>
      </c>
    </row>
    <row r="14" spans="1:10" x14ac:dyDescent="0.25">
      <c r="A14" s="17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defaultRowHeight="15" x14ac:dyDescent="0.25"/>
  <cols>
    <col min="1" max="1" width="22" customWidth="1"/>
    <col min="2" max="2" width="14" customWidth="1"/>
    <col min="3" max="3" width="26" customWidth="1"/>
    <col min="4" max="4" width="14" customWidth="1"/>
    <col min="5" max="5" width="12" customWidth="1"/>
  </cols>
  <sheetData>
    <row r="1" spans="1:5" ht="17.25" x14ac:dyDescent="0.3">
      <c r="A1" s="1" t="s">
        <v>83</v>
      </c>
    </row>
    <row r="2" spans="1:5" x14ac:dyDescent="0.25">
      <c r="A2" t="s">
        <v>84</v>
      </c>
    </row>
    <row r="4" spans="1:5" x14ac:dyDescent="0.25">
      <c r="A4" s="4" t="s">
        <v>85</v>
      </c>
      <c r="B4" s="4" t="s">
        <v>86</v>
      </c>
      <c r="C4" s="4" t="s">
        <v>87</v>
      </c>
      <c r="D4" s="4" t="s">
        <v>88</v>
      </c>
      <c r="E4" s="4" t="s">
        <v>89</v>
      </c>
    </row>
    <row r="5" spans="1:5" x14ac:dyDescent="0.25">
      <c r="A5" s="5" t="s">
        <v>71</v>
      </c>
      <c r="B5" s="18">
        <f>Model!G9</f>
        <v>176000</v>
      </c>
      <c r="C5" s="18">
        <v>178800</v>
      </c>
      <c r="D5" s="18">
        <f>B5-C5</f>
        <v>-2800</v>
      </c>
      <c r="E5" s="19">
        <f>B5/C5-1</f>
        <v>-1.5659955257270708E-2</v>
      </c>
    </row>
    <row r="6" spans="1:5" x14ac:dyDescent="0.25">
      <c r="A6" s="5" t="s">
        <v>72</v>
      </c>
      <c r="B6" s="18">
        <f>Model!H9</f>
        <v>217000</v>
      </c>
      <c r="C6" s="18">
        <v>207750</v>
      </c>
      <c r="D6" s="18">
        <f>B6-C6</f>
        <v>9250</v>
      </c>
      <c r="E6" s="19">
        <f>B6/C6-1</f>
        <v>4.4524669073405576E-2</v>
      </c>
    </row>
    <row r="7" spans="1:5" x14ac:dyDescent="0.25">
      <c r="A7" s="10" t="s">
        <v>90</v>
      </c>
      <c r="B7" s="16">
        <f>Model!B12</f>
        <v>788341</v>
      </c>
      <c r="C7" s="18">
        <v>781300</v>
      </c>
      <c r="D7" s="18">
        <f>B7-C7</f>
        <v>7041</v>
      </c>
      <c r="E7" s="19">
        <f>B7/C7-1</f>
        <v>9.0119032381927866E-3</v>
      </c>
    </row>
    <row r="8" spans="1:5" x14ac:dyDescent="0.25">
      <c r="A8" s="5" t="s">
        <v>91</v>
      </c>
      <c r="B8" s="18">
        <v>770000</v>
      </c>
      <c r="C8" s="5" t="s">
        <v>92</v>
      </c>
    </row>
    <row r="10" spans="1:5" x14ac:dyDescent="0.25">
      <c r="A10" s="17" t="s">
        <v>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/>
  </sheetViews>
  <sheetFormatPr defaultRowHeight="15" x14ac:dyDescent="0.25"/>
  <cols>
    <col min="1" max="1" width="34" customWidth="1"/>
    <col min="2" max="2" width="16" customWidth="1"/>
    <col min="3" max="4" width="12" customWidth="1"/>
    <col min="5" max="5" width="22" customWidth="1"/>
    <col min="6" max="6" width="24" customWidth="1"/>
  </cols>
  <sheetData>
    <row r="1" spans="1:6" ht="17.25" x14ac:dyDescent="0.3">
      <c r="A1" s="1" t="s">
        <v>94</v>
      </c>
    </row>
    <row r="2" spans="1:6" x14ac:dyDescent="0.25">
      <c r="A2" s="2" t="s">
        <v>95</v>
      </c>
    </row>
    <row r="4" spans="1:6" x14ac:dyDescent="0.25">
      <c r="A4" s="20" t="s">
        <v>96</v>
      </c>
      <c r="B4" s="21" t="s">
        <v>97</v>
      </c>
      <c r="C4" s="21" t="s">
        <v>98</v>
      </c>
      <c r="D4" s="21" t="s">
        <v>99</v>
      </c>
      <c r="E4" s="21" t="s">
        <v>100</v>
      </c>
      <c r="F4" s="21" t="s">
        <v>101</v>
      </c>
    </row>
    <row r="5" spans="1:6" x14ac:dyDescent="0.25">
      <c r="A5" t="s">
        <v>102</v>
      </c>
      <c r="B5" s="22">
        <v>582000</v>
      </c>
      <c r="C5" s="22">
        <v>436500</v>
      </c>
      <c r="D5" s="22">
        <v>727500</v>
      </c>
      <c r="E5" t="s">
        <v>103</v>
      </c>
      <c r="F5" t="s">
        <v>104</v>
      </c>
    </row>
    <row r="6" spans="1:6" x14ac:dyDescent="0.25">
      <c r="A6" t="s">
        <v>105</v>
      </c>
      <c r="B6" s="22">
        <v>72000</v>
      </c>
      <c r="C6" s="22">
        <v>54000</v>
      </c>
      <c r="D6" s="22">
        <v>90000</v>
      </c>
      <c r="E6" t="s">
        <v>106</v>
      </c>
      <c r="F6" t="s">
        <v>107</v>
      </c>
    </row>
    <row r="8" spans="1:6" x14ac:dyDescent="0.25">
      <c r="A8" s="2" t="s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workbookViewId="0"/>
  </sheetViews>
  <sheetFormatPr defaultRowHeight="15" x14ac:dyDescent="0.25"/>
  <cols>
    <col min="1" max="1" width="30" customWidth="1"/>
    <col min="2" max="2" width="16" customWidth="1"/>
    <col min="3" max="3" width="70" customWidth="1"/>
  </cols>
  <sheetData>
    <row r="1" spans="1:3" ht="17.25" x14ac:dyDescent="0.3">
      <c r="A1" s="1" t="s">
        <v>109</v>
      </c>
    </row>
    <row r="4" spans="1:3" x14ac:dyDescent="0.25">
      <c r="A4" s="4" t="s">
        <v>110</v>
      </c>
      <c r="B4" s="4" t="s">
        <v>111</v>
      </c>
      <c r="C4" s="4" t="s">
        <v>112</v>
      </c>
    </row>
    <row r="5" spans="1:3" x14ac:dyDescent="0.25">
      <c r="A5" s="5" t="s">
        <v>113</v>
      </c>
      <c r="B5" s="5" t="s">
        <v>114</v>
      </c>
      <c r="C5" s="5" t="s">
        <v>115</v>
      </c>
    </row>
    <row r="6" spans="1:3" x14ac:dyDescent="0.25">
      <c r="A6" s="5" t="s">
        <v>116</v>
      </c>
      <c r="B6" s="5" t="s">
        <v>117</v>
      </c>
      <c r="C6" s="5" t="s">
        <v>118</v>
      </c>
    </row>
    <row r="7" spans="1:3" x14ac:dyDescent="0.25">
      <c r="A7" s="5" t="s">
        <v>119</v>
      </c>
      <c r="B7" s="5" t="s">
        <v>120</v>
      </c>
      <c r="C7" s="5" t="s">
        <v>121</v>
      </c>
    </row>
    <row r="8" spans="1:3" x14ac:dyDescent="0.25">
      <c r="A8" s="5" t="s">
        <v>122</v>
      </c>
      <c r="B8" s="5" t="s">
        <v>123</v>
      </c>
      <c r="C8" s="5" t="s">
        <v>124</v>
      </c>
    </row>
    <row r="9" spans="1:3" x14ac:dyDescent="0.25">
      <c r="A9" s="5" t="s">
        <v>125</v>
      </c>
      <c r="B9" s="5" t="s">
        <v>126</v>
      </c>
      <c r="C9" s="5" t="s">
        <v>127</v>
      </c>
    </row>
    <row r="10" spans="1:3" x14ac:dyDescent="0.25">
      <c r="A10" s="5" t="s">
        <v>128</v>
      </c>
      <c r="B10" s="5" t="s">
        <v>117</v>
      </c>
      <c r="C10" s="5" t="s">
        <v>129</v>
      </c>
    </row>
    <row r="11" spans="1:3" x14ac:dyDescent="0.25">
      <c r="A11" s="5" t="s">
        <v>130</v>
      </c>
      <c r="B11" s="5" t="s">
        <v>114</v>
      </c>
      <c r="C11" s="5" t="s">
        <v>131</v>
      </c>
    </row>
    <row r="12" spans="1:3" x14ac:dyDescent="0.25">
      <c r="A12" s="5" t="s">
        <v>132</v>
      </c>
      <c r="B12" s="5" t="s">
        <v>120</v>
      </c>
      <c r="C12" s="5" t="s">
        <v>133</v>
      </c>
    </row>
    <row r="13" spans="1:3" x14ac:dyDescent="0.25">
      <c r="A13" s="5" t="s">
        <v>134</v>
      </c>
      <c r="B13" s="5" t="s">
        <v>123</v>
      </c>
      <c r="C13" s="5" t="s">
        <v>135</v>
      </c>
    </row>
    <row r="14" spans="1:3" x14ac:dyDescent="0.25">
      <c r="A14" s="5" t="s">
        <v>136</v>
      </c>
      <c r="B14" s="5" t="s">
        <v>137</v>
      </c>
      <c r="C14" s="5" t="s">
        <v>138</v>
      </c>
    </row>
    <row r="15" spans="1:3" x14ac:dyDescent="0.25">
      <c r="A15" s="5" t="s">
        <v>139</v>
      </c>
      <c r="B15" s="5" t="s">
        <v>140</v>
      </c>
      <c r="C15" s="5" t="s">
        <v>141</v>
      </c>
    </row>
    <row r="17" spans="1:3" x14ac:dyDescent="0.25">
      <c r="A17" t="s">
        <v>142</v>
      </c>
      <c r="B17" t="s">
        <v>143</v>
      </c>
      <c r="C17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Model</vt:lpstr>
      <vt:lpstr>vs Consensus</vt:lpstr>
      <vt:lpstr>Sensitivity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Monteiro</cp:lastModifiedBy>
  <dcterms:created xsi:type="dcterms:W3CDTF">2026-07-02T01:15:16Z</dcterms:created>
  <dcterms:modified xsi:type="dcterms:W3CDTF">2026-07-02T01:40:16Z</dcterms:modified>
</cp:coreProperties>
</file>