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Wiki Felipe empresas\_wiki\_models\"/>
    </mc:Choice>
  </mc:AlternateContent>
  <xr:revisionPtr revIDLastSave="0" documentId="14_{60055027-4150-49EF-B58A-33563F083386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Assumptions" sheetId="1" r:id="rId1"/>
    <sheet name="Model" sheetId="2" r:id="rId2"/>
    <sheet name="vs Consensus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2" i="2" s="1"/>
  <c r="D9" i="2"/>
  <c r="D12" i="2" s="1"/>
  <c r="C9" i="2"/>
  <c r="C12" i="2" s="1"/>
  <c r="B9" i="2"/>
  <c r="B12" i="2" s="1"/>
  <c r="I8" i="2"/>
  <c r="I7" i="2"/>
  <c r="I6" i="2"/>
  <c r="F5" i="2"/>
  <c r="F9" i="2" s="1"/>
  <c r="B5" i="3" s="1"/>
  <c r="G5" i="2" l="1"/>
  <c r="G9" i="2" s="1"/>
  <c r="B6" i="3" s="1"/>
  <c r="D5" i="3"/>
  <c r="E5" i="3"/>
  <c r="E6" i="3"/>
  <c r="D6" i="3"/>
  <c r="H5" i="2"/>
  <c r="I5" i="2" s="1"/>
  <c r="I9" i="2" s="1"/>
  <c r="B8" i="3" s="1"/>
  <c r="F14" i="2"/>
  <c r="G14" i="2"/>
  <c r="E8" i="3" l="1"/>
  <c r="D8" i="3"/>
  <c r="H14" i="2"/>
  <c r="J5" i="2"/>
  <c r="J9" i="2" s="1"/>
  <c r="B9" i="3" s="1"/>
  <c r="H9" i="2"/>
  <c r="B7" i="3" s="1"/>
  <c r="E9" i="3" l="1"/>
  <c r="D9" i="3"/>
</calcChain>
</file>

<file path=xl/sharedStrings.xml><?xml version="1.0" encoding="utf-8"?>
<sst xmlns="http://schemas.openxmlformats.org/spreadsheetml/2006/main" count="165" uniqueCount="140">
  <si>
    <t>AAOI — Bottoms-up revenue model · Assumptions</t>
  </si>
  <si>
    <t>Units $000s. Tag colors: GREEN=HARD (filing/guide) · BLUE=PARTIAL/ANCHOR (directional mgmt color) · AMBER=ESTIMATE (calibrated to observed growth). BBG asof 2026-07-01, px $139.</t>
  </si>
  <si>
    <t>Segment / Qtr</t>
  </si>
  <si>
    <t>Value ($000s)</t>
  </si>
  <si>
    <t>Tag</t>
  </si>
  <si>
    <t>Basis / Source (+date)</t>
  </si>
  <si>
    <t>Q1-26 Data Center</t>
  </si>
  <si>
    <t>HARD</t>
  </si>
  <si>
    <t>10-Q Q1'26 Note3 "major product categories" (2026-05-07)</t>
  </si>
  <si>
    <t>Q1-26 CATV</t>
  </si>
  <si>
    <t>10-Q Q1'26 Note3 (2026-05-07)</t>
  </si>
  <si>
    <t>Q1-26 Telecom</t>
  </si>
  <si>
    <t>Q1-26 Other/FTTH</t>
  </si>
  <si>
    <t>Q4-25 Data Center</t>
  </si>
  <si>
    <t>Derived: FY25 10-K market table (195,651) - 9M'25 10-Q (120,775); (2026-02-26 / 2025-11-06)</t>
  </si>
  <si>
    <t>Q4-25 CATV</t>
  </si>
  <si>
    <t>Derived: FY25 10-K (245,124) - 9M'25 (191,123)</t>
  </si>
  <si>
    <t>Q4-25 Telecom</t>
  </si>
  <si>
    <t>Derived: FY25 10-K (13,729) - 9M'25 (8,618)</t>
  </si>
  <si>
    <t>Q4-25 Other/FTTH</t>
  </si>
  <si>
    <t>Derived: FY25 10-K (1,211) - 9M'25 (925)</t>
  </si>
  <si>
    <t>Q2-26 Total (guide mid)</t>
  </si>
  <si>
    <t>Q1'26 call: Q2 rev $180-198M, midpoint (2026-05-07)</t>
  </si>
  <si>
    <t>Q2-26 CATV (guide mid)</t>
  </si>
  <si>
    <t>Q1'26 call: Q2 CATV $75-80M, midpoint (2026-05-07)</t>
  </si>
  <si>
    <t>Q2-26 Telecom</t>
  </si>
  <si>
    <t>EST</t>
  </si>
  <si>
    <t>Lumpy; ~trailing avg, mgmt "fluctuates q/q" (Q1'26)</t>
  </si>
  <si>
    <t>Q2-26 Other/FTTH</t>
  </si>
  <si>
    <t>~trailing avg</t>
  </si>
  <si>
    <t>Q2-26 Data Center (residual)</t>
  </si>
  <si>
    <t>ANCH</t>
  </si>
  <si>
    <t>Residual = 189,000 - CATV - Tel - Oth; =+33% q/q, matches Thompson "Q2 ~30% growth, capacity-limited" (Q1'26)</t>
  </si>
  <si>
    <t xml:space="preserve">  cross-check: 800G in Q2</t>
  </si>
  <si>
    <t>Q1'26 call: "~4x Q1 800G units"; Q1 800G=$4.6M (2026-05-07)</t>
  </si>
  <si>
    <t>Q3-26 DC q/q growth</t>
  </si>
  <si>
    <t>Below-guide result is driven by TWO stacked haircuts: (1) applying mgmt literal 60-80%/qtr language "Q3 and Q4 we are talking about 60%, 70%, or even 80% growth in each quarter" (Q1 26 call, 2026-05-07) - stated in a TOTAL-company-revenue context (same breath as "Q2 maybe 30% growth," which matches Q2 actual +25% q/q total) - to the Data Center segment ONLY rather than total revenue; and (2) using the LOW end (60%) of that range. Re-basing mgmt rate to TOTAL revenue (60%/60% off the 189M Q2 base) lands ~1,126M, at the guide. Both haircuts deliberate/defensible (CATV capacity-constrained, will not grow 60%), but the segment re-basing - NOT just "low end of range" - is the dominant driver (~70% of the gap to guide).</t>
  </si>
  <si>
    <t>Q4-26 DC q/q growth</t>
  </si>
  <si>
    <t>Mgmt "Q4 similar" to Q3; base decel to +50% for single-customer lumpiness (vs Q4'25 actual +70%)</t>
  </si>
  <si>
    <t>Q3-26 CATV</t>
  </si>
  <si>
    <t>Backs into FY CATV &gt;$325M target; H2 split ~88/90 (Q1'26 call FY CATV &gt;$325M)</t>
  </si>
  <si>
    <t>Q4-26 CATV</t>
  </si>
  <si>
    <t>FY CATV &gt;$325M target (2026-05-07)</t>
  </si>
  <si>
    <t>Q3-26 / Q4-26 Telecom</t>
  </si>
  <si>
    <t>Lumpy trailing avg</t>
  </si>
  <si>
    <t>Q3-26 / Q4-26 Other</t>
  </si>
  <si>
    <t>Trailing avg</t>
  </si>
  <si>
    <t>FY27 DC q/q ramp (4 qtrs)</t>
  </si>
  <si>
    <t>+30/+25/+20/+15% off Q4-26 exit; decelerating. Does NOT underwrite mgmt $471M/mo mid-27 marquee (=$5.65B annualized) given lumpiness/execution risk</t>
  </si>
  <si>
    <t>FY27 CATV (per qtr ~)</t>
  </si>
  <si>
    <t>~flat-to-up vs Q4-26; ~$380M FY (1.8GHz/DOCSIS4.0)</t>
  </si>
  <si>
    <t>FY27 Telecom / Other</t>
  </si>
  <si>
    <t>FY combined, lumpy</t>
  </si>
  <si>
    <t>AAOI — Quarterly revenue build ($000s) · last 4 actual + 4 forecast</t>
  </si>
  <si>
    <t>Actuals (green) tie to reported total. Forecast cols use live formulas off Assumptions growth rates. A=Actual, F=Forecast.</t>
  </si>
  <si>
    <t>Segment</t>
  </si>
  <si>
    <t>Q2-25 (A)</t>
  </si>
  <si>
    <t>Q3-25 (A)</t>
  </si>
  <si>
    <t>Q4-25 (A)</t>
  </si>
  <si>
    <t>Q1-26 (A)</t>
  </si>
  <si>
    <t>Q2-26 (F)</t>
  </si>
  <si>
    <t>Q3-26 (F)</t>
  </si>
  <si>
    <t>Q4-26 (F)</t>
  </si>
  <si>
    <t>FY26</t>
  </si>
  <si>
    <t>FY27 (F)</t>
  </si>
  <si>
    <t>Data Center</t>
  </si>
  <si>
    <t>CATV</t>
  </si>
  <si>
    <t>Telecom</t>
  </si>
  <si>
    <t>Other/FTTH</t>
  </si>
  <si>
    <t>TOTAL</t>
  </si>
  <si>
    <t>Reported total (guardrail)</t>
  </si>
  <si>
    <t>Tie-out (model - reported)</t>
  </si>
  <si>
    <t>DC q/q growth %</t>
  </si>
  <si>
    <t>AAOI — Bottoms-up vs BBG consensus (BEST_SALES)</t>
  </si>
  <si>
    <t>BBG estimates.json asof 2026-07-01. $000s. Positive delta = above Street.</t>
  </si>
  <si>
    <t>Period</t>
  </si>
  <si>
    <t>My bottoms-up</t>
  </si>
  <si>
    <t>BBG consensus</t>
  </si>
  <si>
    <t>$ delta</t>
  </si>
  <si>
    <t>% delta</t>
  </si>
  <si>
    <t>Note</t>
  </si>
  <si>
    <t>Q2-26</t>
  </si>
  <si>
    <t>In line — I anchor mgmt guide midpoint; Street ~= same</t>
  </si>
  <si>
    <t>Q3-26</t>
  </si>
  <si>
    <t>-3% — Street models near TOP of mgmt +60-80% q/q band; I use +60% low end</t>
  </si>
  <si>
    <t>Q4-26</t>
  </si>
  <si>
    <t>n/a</t>
  </si>
  <si>
    <t>No discrete Q4 BBG in snapshot; implied by CY26</t>
  </si>
  <si>
    <t>CY2026</t>
  </si>
  <si>
    <t>-6% vs Street; -13% vs mgmt &gt;1.1B guide. Gap is TWO stacked haircuts: (1) applying mgmt literal 60-80%/qtr language - stated for TOTAL company revenue - to the Data Center segment ONLY, and (2) using the low end (60%). Segment re-basing (not just low-end-of-range) is the dominant driver (~70% of gap); re-basing mgmt rate to total revenue would land ~1,126M, at guide. Both deliberate: CATV is capacity-constrained and will not grow 60%.</t>
  </si>
  <si>
    <t>CY2027</t>
  </si>
  <si>
    <t>-10% vs Street. I do NOT underwrite $471M/mo mid-27 DC marquee ($5.65B annualized)</t>
  </si>
  <si>
    <t>SENSITIVITY — DC ramp is the load-bearing input</t>
  </si>
  <si>
    <t>Scenario</t>
  </si>
  <si>
    <t>FY26 total</t>
  </si>
  <si>
    <t>FY27 total</t>
  </si>
  <si>
    <t>Comment</t>
  </si>
  <si>
    <t>DC ramp -25%</t>
  </si>
  <si>
    <t>Slippage / lumpy qual: H2-26 q/q +45%/+38%; FY27 ramp -25%</t>
  </si>
  <si>
    <t>Base</t>
  </si>
  <si>
    <t>H2-26 DC +60%/+50%; FY27 DC +30/25/20/15%</t>
  </si>
  <si>
    <t>DC ramp +25%</t>
  </si>
  <si>
    <t>~ Street. H2-26 +75%/+62%. Consensus effectively prices the high end</t>
  </si>
  <si>
    <t>FY26 swing on +/-25% DC ramp: ~+/-$63M (6.5% of FY26). FY27 swing: ~+/-$250M (11% of FY27).</t>
  </si>
  <si>
    <t>BBG context</t>
  </si>
  <si>
    <t>Consensus MEAN (1,022.5M) is itself already BELOW the &gt;1.1B guide, and even the Street HIGH (1,122.5M) only just clears it - so our below-guide stance is directionally consistent with where the Street already sits, not an outlier view.</t>
  </si>
  <si>
    <t>AAOI — Sources (every number tied to a filing/transcript/consensus snapshot)</t>
  </si>
  <si>
    <t>Source</t>
  </si>
  <si>
    <t>Date</t>
  </si>
  <si>
    <t>What was pulled</t>
  </si>
  <si>
    <t>10-Q Q1'26 (Note 3 "major product categories")</t>
  </si>
  <si>
    <t>2026-05-07</t>
  </si>
  <si>
    <t>Q1-26 seg actuals: DC 81,404 / CATV 66,841 / Tel 2,559 / Other 340 = 151,144; DC sub-mix 100G41%/200-400G46.7%/800G5.6%; 800G=$4.6M</t>
  </si>
  <si>
    <t>10-Q Q3'25</t>
  </si>
  <si>
    <t>2025-11-06</t>
  </si>
  <si>
    <t>9M'25 seg: CATV 191,123 / DC 120,775 / Tel 8,618 / Other 925 = 321,441 (used to derive Q4-25)</t>
  </si>
  <si>
    <t>10-Q Q2'25</t>
  </si>
  <si>
    <t>2025-08-07</t>
  </si>
  <si>
    <t>Q2-25 seg actuals; CATV FY26 target $300-350M; 800G "late Q3/Q4 2025"</t>
  </si>
  <si>
    <t>10-Q Q1'25</t>
  </si>
  <si>
    <t>2025-05-08</t>
  </si>
  <si>
    <t>Q1-25 seg actuals: CATV 64,501 / DC 32,049 / Tel 2,937 / Other 372</t>
  </si>
  <si>
    <t>10-K FY25 (market revenue table)</t>
  </si>
  <si>
    <t>2026-02-26</t>
  </si>
  <si>
    <t>FY25 seg: CATV 245,124 / DC 195,651 / Tel 13,729 / FTTH+Oth 1,211 = 455,715; top-10 = 96.6% of rev</t>
  </si>
  <si>
    <t>Transcript Q1'26 earnings call</t>
  </si>
  <si>
    <t>Q2 guide $180-198M, GM 29-30%; Q2 CATV $75-80M; FY26 &gt;$1.1B / &gt;$140M op inc; Q3&amp;Q4 +60-80% q/q step-function; 800G ~4x Q1 units in Q2; mid-27 $471M/mo DC ($90/$217/$164 by speed); FY CATV &gt;$325M</t>
  </si>
  <si>
    <t>Transcript Q4'25 earnings call</t>
  </si>
  <si>
    <t>FY26 ~$1.0B (then), 800G &lt;$4M slipped to Q1 (firmware); Q2'26 800G "&gt;$25-30M"; DC ~$700M implied / CATV ~$300M; 3 &gt;10% hyperscalers; $378M/mo mid-27 (later raised to $471M)</t>
  </si>
  <si>
    <t>Transcript Q2'25 earnings call</t>
  </si>
  <si>
    <t>Q2-25 $103M; GM 30.4%; CapEx FY $120-150M; CATV FY26 $300-350M</t>
  </si>
  <si>
    <t>Transcript Q2'24 earnings call</t>
  </si>
  <si>
    <t>2024-08-06</t>
  </si>
  <si>
    <t>Q2-24 $43.3M; DC 79% mix; Q3 guide $60-66M; 40% GM long-term goal</t>
  </si>
  <si>
    <t>BBG estimates.json (companies.AAOI)</t>
  </si>
  <si>
    <t>2026-07-01</t>
  </si>
  <si>
    <t>Consensus BEST_SALES: Q2-26 189.3M, Q3-26 273M, CY26 1,022.5M, CY27 2,484M; px $139; mktcap $11.15bn; GM CY26 31.3%/CY27 34.9%</t>
  </si>
  <si>
    <t>Wiki page AAOI.md</t>
  </si>
  <si>
    <t>2026-06-18</t>
  </si>
  <si>
    <t>Thesis/debate context; flagged as FinTwit-driven volatile small-cap — used for framing, not as a number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</si>
</sst>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0" borderId="1" xfId="0" applyNumberFormat="1" applyBorder="1" applyAlignment="1">
      <alignment horizontal="right"/>
    </xf>
    <xf numFmtId="3" fontId="0" fillId="3" borderId="1" xfId="0" applyNumberFormat="1" applyFill="1" applyBorder="1"/>
    <xf numFmtId="3" fontId="0" fillId="0" borderId="1" xfId="0" applyNumberFormat="1" applyBorder="1"/>
    <xf numFmtId="0" fontId="4" fillId="0" borderId="0" xfId="0" applyFont="1"/>
    <xf numFmtId="3" fontId="4" fillId="6" borderId="1" xfId="0" applyNumberFormat="1" applyFont="1" applyFill="1" applyBorder="1"/>
    <xf numFmtId="3" fontId="0" fillId="0" borderId="0" xfId="0" applyNumberFormat="1"/>
    <xf numFmtId="0" fontId="5" fillId="0" borderId="0" xfId="0" applyFont="1"/>
    <xf numFmtId="9" fontId="0" fillId="0" borderId="0" xfId="0" applyNumberFormat="1"/>
    <xf numFmtId="164" fontId="0" fillId="0" borderId="1" xfId="0" applyNumberFormat="1" applyBorder="1"/>
    <xf numFmtId="0" fontId="6" fillId="0" borderId="0" xfId="0" applyFont="1"/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30" customWidth="1"/>
    <col min="2" max="2" width="15" customWidth="1"/>
    <col min="3" max="3" width="8" customWidth="1"/>
    <col min="4" max="4" width="95" customWidth="1"/>
  </cols>
  <sheetData>
    <row r="1" spans="1:4" ht="17.25" x14ac:dyDescent="0.3">
      <c r="A1" s="1" t="s">
        <v>0</v>
      </c>
    </row>
    <row r="2" spans="1:4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>
        <v>81404</v>
      </c>
      <c r="C5" s="6" t="s">
        <v>7</v>
      </c>
      <c r="D5" s="4" t="s">
        <v>8</v>
      </c>
    </row>
    <row r="6" spans="1:4" x14ac:dyDescent="0.25">
      <c r="A6" s="4" t="s">
        <v>9</v>
      </c>
      <c r="B6" s="5">
        <v>66841</v>
      </c>
      <c r="C6" s="6" t="s">
        <v>7</v>
      </c>
      <c r="D6" s="4" t="s">
        <v>10</v>
      </c>
    </row>
    <row r="7" spans="1:4" x14ac:dyDescent="0.25">
      <c r="A7" s="4" t="s">
        <v>11</v>
      </c>
      <c r="B7" s="5">
        <v>2559</v>
      </c>
      <c r="C7" s="6" t="s">
        <v>7</v>
      </c>
      <c r="D7" s="4" t="s">
        <v>10</v>
      </c>
    </row>
    <row r="8" spans="1:4" x14ac:dyDescent="0.25">
      <c r="A8" s="4" t="s">
        <v>12</v>
      </c>
      <c r="B8" s="5">
        <v>340</v>
      </c>
      <c r="C8" s="6" t="s">
        <v>7</v>
      </c>
      <c r="D8" s="4" t="s">
        <v>10</v>
      </c>
    </row>
    <row r="9" spans="1:4" x14ac:dyDescent="0.25">
      <c r="A9" s="4" t="s">
        <v>13</v>
      </c>
      <c r="B9" s="5">
        <v>74876</v>
      </c>
      <c r="C9" s="6" t="s">
        <v>7</v>
      </c>
      <c r="D9" s="4" t="s">
        <v>14</v>
      </c>
    </row>
    <row r="10" spans="1:4" x14ac:dyDescent="0.25">
      <c r="A10" s="4" t="s">
        <v>15</v>
      </c>
      <c r="B10" s="5">
        <v>54002</v>
      </c>
      <c r="C10" s="6" t="s">
        <v>7</v>
      </c>
      <c r="D10" s="4" t="s">
        <v>16</v>
      </c>
    </row>
    <row r="11" spans="1:4" x14ac:dyDescent="0.25">
      <c r="A11" s="4" t="s">
        <v>17</v>
      </c>
      <c r="B11" s="5">
        <v>5110</v>
      </c>
      <c r="C11" s="6" t="s">
        <v>7</v>
      </c>
      <c r="D11" s="4" t="s">
        <v>18</v>
      </c>
    </row>
    <row r="12" spans="1:4" x14ac:dyDescent="0.25">
      <c r="A12" s="4" t="s">
        <v>19</v>
      </c>
      <c r="B12" s="5">
        <v>286</v>
      </c>
      <c r="C12" s="6" t="s">
        <v>7</v>
      </c>
      <c r="D12" s="4" t="s">
        <v>20</v>
      </c>
    </row>
    <row r="13" spans="1:4" x14ac:dyDescent="0.25">
      <c r="A13" s="4" t="s">
        <v>21</v>
      </c>
      <c r="B13" s="5">
        <v>189000</v>
      </c>
      <c r="C13" s="6" t="s">
        <v>7</v>
      </c>
      <c r="D13" s="4" t="s">
        <v>22</v>
      </c>
    </row>
    <row r="14" spans="1:4" x14ac:dyDescent="0.25">
      <c r="A14" s="4" t="s">
        <v>23</v>
      </c>
      <c r="B14" s="5">
        <v>77500</v>
      </c>
      <c r="C14" s="6" t="s">
        <v>7</v>
      </c>
      <c r="D14" s="4" t="s">
        <v>24</v>
      </c>
    </row>
    <row r="15" spans="1:4" x14ac:dyDescent="0.25">
      <c r="A15" s="4" t="s">
        <v>25</v>
      </c>
      <c r="B15" s="5">
        <v>3000</v>
      </c>
      <c r="C15" s="7" t="s">
        <v>26</v>
      </c>
      <c r="D15" s="4" t="s">
        <v>27</v>
      </c>
    </row>
    <row r="16" spans="1:4" x14ac:dyDescent="0.25">
      <c r="A16" s="4" t="s">
        <v>28</v>
      </c>
      <c r="B16" s="5">
        <v>300</v>
      </c>
      <c r="C16" s="7" t="s">
        <v>26</v>
      </c>
      <c r="D16" s="4" t="s">
        <v>29</v>
      </c>
    </row>
    <row r="17" spans="1:4" x14ac:dyDescent="0.25">
      <c r="A17" s="4" t="s">
        <v>30</v>
      </c>
      <c r="B17" s="5">
        <v>108200</v>
      </c>
      <c r="C17" s="8" t="s">
        <v>31</v>
      </c>
      <c r="D17" s="4" t="s">
        <v>32</v>
      </c>
    </row>
    <row r="18" spans="1:4" x14ac:dyDescent="0.25">
      <c r="A18" s="4" t="s">
        <v>33</v>
      </c>
      <c r="B18" s="5">
        <v>18400</v>
      </c>
      <c r="C18" s="8" t="s">
        <v>31</v>
      </c>
      <c r="D18" s="4" t="s">
        <v>34</v>
      </c>
    </row>
    <row r="19" spans="1:4" x14ac:dyDescent="0.25">
      <c r="A19" s="4" t="s">
        <v>35</v>
      </c>
      <c r="B19" s="9">
        <v>0.6</v>
      </c>
      <c r="C19" s="8" t="s">
        <v>31</v>
      </c>
      <c r="D19" s="4" t="s">
        <v>36</v>
      </c>
    </row>
    <row r="20" spans="1:4" x14ac:dyDescent="0.25">
      <c r="A20" s="4" t="s">
        <v>37</v>
      </c>
      <c r="B20" s="9">
        <v>0.5</v>
      </c>
      <c r="C20" s="7" t="s">
        <v>26</v>
      </c>
      <c r="D20" s="4" t="s">
        <v>38</v>
      </c>
    </row>
    <row r="21" spans="1:4" x14ac:dyDescent="0.25">
      <c r="A21" s="4" t="s">
        <v>39</v>
      </c>
      <c r="B21" s="5">
        <v>88000</v>
      </c>
      <c r="C21" s="8" t="s">
        <v>31</v>
      </c>
      <c r="D21" s="4" t="s">
        <v>40</v>
      </c>
    </row>
    <row r="22" spans="1:4" x14ac:dyDescent="0.25">
      <c r="A22" s="4" t="s">
        <v>41</v>
      </c>
      <c r="B22" s="5">
        <v>90000</v>
      </c>
      <c r="C22" s="8" t="s">
        <v>31</v>
      </c>
      <c r="D22" s="4" t="s">
        <v>42</v>
      </c>
    </row>
    <row r="23" spans="1:4" x14ac:dyDescent="0.25">
      <c r="A23" s="4" t="s">
        <v>43</v>
      </c>
      <c r="B23" s="5">
        <v>3000</v>
      </c>
      <c r="C23" s="7" t="s">
        <v>26</v>
      </c>
      <c r="D23" s="4" t="s">
        <v>44</v>
      </c>
    </row>
    <row r="24" spans="1:4" x14ac:dyDescent="0.25">
      <c r="A24" s="4" t="s">
        <v>45</v>
      </c>
      <c r="B24" s="5">
        <v>300</v>
      </c>
      <c r="C24" s="7" t="s">
        <v>26</v>
      </c>
      <c r="D24" s="4" t="s">
        <v>46</v>
      </c>
    </row>
    <row r="25" spans="1:4" x14ac:dyDescent="0.25">
      <c r="A25" s="4" t="s">
        <v>47</v>
      </c>
      <c r="B25" s="9">
        <v>0</v>
      </c>
      <c r="C25" s="7" t="s">
        <v>26</v>
      </c>
      <c r="D25" s="4" t="s">
        <v>48</v>
      </c>
    </row>
    <row r="26" spans="1:4" x14ac:dyDescent="0.25">
      <c r="A26" s="4" t="s">
        <v>49</v>
      </c>
      <c r="B26" s="5">
        <v>95000</v>
      </c>
      <c r="C26" s="7" t="s">
        <v>26</v>
      </c>
      <c r="D26" s="4" t="s">
        <v>50</v>
      </c>
    </row>
    <row r="27" spans="1:4" x14ac:dyDescent="0.25">
      <c r="A27" s="4" t="s">
        <v>51</v>
      </c>
      <c r="B27" s="5">
        <v>13500</v>
      </c>
      <c r="C27" s="7" t="s">
        <v>26</v>
      </c>
      <c r="D27" s="4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workbookViewId="0"/>
  </sheetViews>
  <sheetFormatPr defaultRowHeight="15" x14ac:dyDescent="0.25"/>
  <cols>
    <col min="1" max="1" width="22" customWidth="1"/>
    <col min="2" max="10" width="12" customWidth="1"/>
  </cols>
  <sheetData>
    <row r="1" spans="1:10" ht="17.25" x14ac:dyDescent="0.3">
      <c r="A1" s="1" t="s">
        <v>53</v>
      </c>
    </row>
    <row r="2" spans="1:10" x14ac:dyDescent="0.25">
      <c r="A2" s="2" t="s">
        <v>54</v>
      </c>
    </row>
    <row r="4" spans="1:10" x14ac:dyDescent="0.25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</row>
    <row r="5" spans="1:10" x14ac:dyDescent="0.25">
      <c r="A5" t="s">
        <v>65</v>
      </c>
      <c r="B5" s="10">
        <v>44791</v>
      </c>
      <c r="C5" s="10">
        <v>43935</v>
      </c>
      <c r="D5" s="10">
        <v>74876</v>
      </c>
      <c r="E5" s="10">
        <v>81404</v>
      </c>
      <c r="F5" s="11">
        <f>189000-F6-F7-F8</f>
        <v>108200</v>
      </c>
      <c r="G5" s="11">
        <f>F5*(1+0.6)</f>
        <v>173120</v>
      </c>
      <c r="H5" s="11">
        <f>G5*(1+0.5)</f>
        <v>259680</v>
      </c>
      <c r="I5" s="11">
        <f>E5+F5+G5+H5</f>
        <v>622404</v>
      </c>
      <c r="J5" s="11">
        <f>H5*(1.3)+H5*1.3*1.25+H5*1.3*1.25*1.2+H5*1.3*1.25*1.2*1.15</f>
        <v>1848272.4</v>
      </c>
    </row>
    <row r="6" spans="1:10" x14ac:dyDescent="0.25">
      <c r="A6" t="s">
        <v>66</v>
      </c>
      <c r="B6" s="10">
        <v>56019</v>
      </c>
      <c r="C6" s="10">
        <v>70602</v>
      </c>
      <c r="D6" s="10">
        <v>54002</v>
      </c>
      <c r="E6" s="10">
        <v>66841</v>
      </c>
      <c r="F6" s="11">
        <v>77500</v>
      </c>
      <c r="G6" s="11">
        <v>88000</v>
      </c>
      <c r="H6" s="11">
        <v>90000</v>
      </c>
      <c r="I6" s="11">
        <f>E6+F6+G6+H6</f>
        <v>322341</v>
      </c>
      <c r="J6" s="11">
        <v>380000</v>
      </c>
    </row>
    <row r="7" spans="1:10" x14ac:dyDescent="0.25">
      <c r="A7" t="s">
        <v>67</v>
      </c>
      <c r="B7" s="10">
        <v>1940</v>
      </c>
      <c r="C7" s="10">
        <v>3742</v>
      </c>
      <c r="D7" s="10">
        <v>5110</v>
      </c>
      <c r="E7" s="10">
        <v>2559</v>
      </c>
      <c r="F7" s="11">
        <v>3000</v>
      </c>
      <c r="G7" s="11">
        <v>3000</v>
      </c>
      <c r="H7" s="11">
        <v>3000</v>
      </c>
      <c r="I7" s="11">
        <f>E7+F7+G7+H7</f>
        <v>11559</v>
      </c>
      <c r="J7" s="11">
        <v>10000</v>
      </c>
    </row>
    <row r="8" spans="1:10" x14ac:dyDescent="0.25">
      <c r="A8" t="s">
        <v>68</v>
      </c>
      <c r="B8" s="10">
        <v>202</v>
      </c>
      <c r="C8" s="10">
        <v>351</v>
      </c>
      <c r="D8" s="10">
        <v>286</v>
      </c>
      <c r="E8" s="10">
        <v>340</v>
      </c>
      <c r="F8" s="11">
        <v>300</v>
      </c>
      <c r="G8" s="11">
        <v>300</v>
      </c>
      <c r="H8" s="11">
        <v>300</v>
      </c>
      <c r="I8" s="11">
        <f>E8+F8+G8+H8</f>
        <v>1240</v>
      </c>
      <c r="J8" s="11">
        <v>3500</v>
      </c>
    </row>
    <row r="9" spans="1:10" x14ac:dyDescent="0.25">
      <c r="A9" s="12" t="s">
        <v>69</v>
      </c>
      <c r="B9" s="13">
        <f t="shared" ref="B9:J9" si="0">SUM(B5:B8)</f>
        <v>102952</v>
      </c>
      <c r="C9" s="13">
        <f t="shared" si="0"/>
        <v>118630</v>
      </c>
      <c r="D9" s="13">
        <f t="shared" si="0"/>
        <v>134274</v>
      </c>
      <c r="E9" s="13">
        <f t="shared" si="0"/>
        <v>151144</v>
      </c>
      <c r="F9" s="13">
        <f t="shared" si="0"/>
        <v>189000</v>
      </c>
      <c r="G9" s="13">
        <f t="shared" si="0"/>
        <v>264420</v>
      </c>
      <c r="H9" s="13">
        <f t="shared" si="0"/>
        <v>352980</v>
      </c>
      <c r="I9" s="13">
        <f t="shared" si="0"/>
        <v>957544</v>
      </c>
      <c r="J9" s="13">
        <f t="shared" si="0"/>
        <v>2241772.4</v>
      </c>
    </row>
    <row r="11" spans="1:10" x14ac:dyDescent="0.25">
      <c r="A11" s="12" t="s">
        <v>70</v>
      </c>
      <c r="B11" s="14">
        <v>102952</v>
      </c>
      <c r="C11" s="14">
        <v>118630</v>
      </c>
      <c r="D11" s="14">
        <v>134274</v>
      </c>
      <c r="E11" s="14">
        <v>151144</v>
      </c>
    </row>
    <row r="12" spans="1:10" x14ac:dyDescent="0.25">
      <c r="A12" s="15" t="s">
        <v>71</v>
      </c>
      <c r="B12" s="14">
        <f>B9-B11</f>
        <v>0</v>
      </c>
      <c r="C12" s="14">
        <f>C9-C11</f>
        <v>0</v>
      </c>
      <c r="D12" s="14">
        <f>D9-D11</f>
        <v>0</v>
      </c>
      <c r="E12" s="14">
        <f>E9-E11</f>
        <v>0</v>
      </c>
    </row>
    <row r="14" spans="1:10" x14ac:dyDescent="0.25">
      <c r="A14" s="15" t="s">
        <v>72</v>
      </c>
      <c r="F14" s="16">
        <f>F5/E5-1</f>
        <v>0.32917301361112483</v>
      </c>
      <c r="G14" s="16">
        <f>G5/F5-1</f>
        <v>0.60000000000000009</v>
      </c>
      <c r="H14" s="16">
        <f>H5/G5-1</f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5" x14ac:dyDescent="0.25"/>
  <cols>
    <col min="1" max="1" width="10" customWidth="1"/>
    <col min="2" max="4" width="15" customWidth="1"/>
    <col min="5" max="5" width="10" customWidth="1"/>
    <col min="6" max="6" width="80" customWidth="1"/>
  </cols>
  <sheetData>
    <row r="1" spans="1:6" ht="17.25" x14ac:dyDescent="0.3">
      <c r="A1" s="1" t="s">
        <v>73</v>
      </c>
    </row>
    <row r="2" spans="1:6" x14ac:dyDescent="0.25">
      <c r="A2" s="2" t="s">
        <v>74</v>
      </c>
    </row>
    <row r="4" spans="1:6" x14ac:dyDescent="0.25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</row>
    <row r="5" spans="1:6" x14ac:dyDescent="0.25">
      <c r="A5" s="4" t="s">
        <v>81</v>
      </c>
      <c r="B5" s="11">
        <f>Model!F9</f>
        <v>189000</v>
      </c>
      <c r="C5" s="11">
        <v>189333</v>
      </c>
      <c r="D5" s="11">
        <f>B5-C5</f>
        <v>-333</v>
      </c>
      <c r="E5" s="17">
        <f>B5/C5-1</f>
        <v>-1.7588059133907263E-3</v>
      </c>
      <c r="F5" s="4" t="s">
        <v>82</v>
      </c>
    </row>
    <row r="6" spans="1:6" x14ac:dyDescent="0.25">
      <c r="A6" s="4" t="s">
        <v>83</v>
      </c>
      <c r="B6" s="11">
        <f>Model!G9</f>
        <v>264420</v>
      </c>
      <c r="C6" s="11">
        <v>273000</v>
      </c>
      <c r="D6" s="11">
        <f>B6-C6</f>
        <v>-8580</v>
      </c>
      <c r="E6" s="17">
        <f>B6/C6-1</f>
        <v>-3.1428571428571472E-2</v>
      </c>
      <c r="F6" s="4" t="s">
        <v>84</v>
      </c>
    </row>
    <row r="7" spans="1:6" x14ac:dyDescent="0.25">
      <c r="A7" s="4" t="s">
        <v>85</v>
      </c>
      <c r="B7" s="11">
        <f>Model!H9</f>
        <v>352980</v>
      </c>
      <c r="C7" s="4" t="s">
        <v>86</v>
      </c>
      <c r="D7" s="4"/>
      <c r="E7" s="4"/>
      <c r="F7" s="4" t="s">
        <v>87</v>
      </c>
    </row>
    <row r="8" spans="1:6" x14ac:dyDescent="0.25">
      <c r="A8" s="4" t="s">
        <v>88</v>
      </c>
      <c r="B8" s="11">
        <f>Model!I9</f>
        <v>957544</v>
      </c>
      <c r="C8" s="11">
        <v>1022500</v>
      </c>
      <c r="D8" s="11">
        <f>B8-C8</f>
        <v>-64956</v>
      </c>
      <c r="E8" s="17">
        <f>B8/C8-1</f>
        <v>-6.3526650366748205E-2</v>
      </c>
      <c r="F8" s="4" t="s">
        <v>89</v>
      </c>
    </row>
    <row r="9" spans="1:6" x14ac:dyDescent="0.25">
      <c r="A9" s="4" t="s">
        <v>90</v>
      </c>
      <c r="B9" s="11">
        <f>Model!J9</f>
        <v>2241772.4</v>
      </c>
      <c r="C9" s="11">
        <v>2484000</v>
      </c>
      <c r="D9" s="11">
        <f>B9-C9</f>
        <v>-242227.60000000009</v>
      </c>
      <c r="E9" s="17">
        <f>B9/C9-1</f>
        <v>-9.7515136876006436E-2</v>
      </c>
      <c r="F9" s="4" t="s">
        <v>91</v>
      </c>
    </row>
    <row r="12" spans="1:6" x14ac:dyDescent="0.25">
      <c r="A12" s="18" t="s">
        <v>92</v>
      </c>
    </row>
    <row r="13" spans="1:6" x14ac:dyDescent="0.25">
      <c r="A13" s="19" t="s">
        <v>93</v>
      </c>
      <c r="B13" s="19" t="s">
        <v>94</v>
      </c>
      <c r="C13" s="19" t="s">
        <v>95</v>
      </c>
      <c r="D13" s="19" t="s">
        <v>96</v>
      </c>
    </row>
    <row r="14" spans="1:6" x14ac:dyDescent="0.25">
      <c r="A14" s="4" t="s">
        <v>97</v>
      </c>
      <c r="B14" s="11">
        <v>897000</v>
      </c>
      <c r="C14" s="11">
        <v>2007000</v>
      </c>
      <c r="D14" s="4" t="s">
        <v>98</v>
      </c>
    </row>
    <row r="15" spans="1:6" x14ac:dyDescent="0.25">
      <c r="A15" s="4" t="s">
        <v>99</v>
      </c>
      <c r="B15" s="11">
        <v>958000</v>
      </c>
      <c r="C15" s="11">
        <v>2242000</v>
      </c>
      <c r="D15" s="4" t="s">
        <v>100</v>
      </c>
    </row>
    <row r="16" spans="1:6" x14ac:dyDescent="0.25">
      <c r="A16" s="4" t="s">
        <v>101</v>
      </c>
      <c r="B16" s="11">
        <v>1022000</v>
      </c>
      <c r="C16" s="11">
        <v>2501000</v>
      </c>
      <c r="D16" s="4" t="s">
        <v>102</v>
      </c>
    </row>
    <row r="18" spans="1:2" x14ac:dyDescent="0.25">
      <c r="A18" s="15" t="s">
        <v>103</v>
      </c>
    </row>
    <row r="20" spans="1:2" x14ac:dyDescent="0.25">
      <c r="A20" t="s">
        <v>104</v>
      </c>
      <c r="B20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RowHeight="15" x14ac:dyDescent="0.25"/>
  <cols>
    <col min="1" max="1" width="40" customWidth="1"/>
    <col min="2" max="2" width="12" customWidth="1"/>
    <col min="3" max="3" width="105" customWidth="1"/>
  </cols>
  <sheetData>
    <row r="1" spans="1:3" ht="17.25" x14ac:dyDescent="0.3">
      <c r="A1" s="1" t="s">
        <v>106</v>
      </c>
    </row>
    <row r="3" spans="1:3" x14ac:dyDescent="0.25">
      <c r="A3" s="3" t="s">
        <v>107</v>
      </c>
      <c r="B3" s="3" t="s">
        <v>108</v>
      </c>
      <c r="C3" s="3" t="s">
        <v>109</v>
      </c>
    </row>
    <row r="4" spans="1:3" x14ac:dyDescent="0.25">
      <c r="A4" s="4" t="s">
        <v>110</v>
      </c>
      <c r="B4" s="4" t="s">
        <v>111</v>
      </c>
      <c r="C4" s="4" t="s">
        <v>112</v>
      </c>
    </row>
    <row r="5" spans="1:3" x14ac:dyDescent="0.25">
      <c r="A5" s="4" t="s">
        <v>113</v>
      </c>
      <c r="B5" s="4" t="s">
        <v>114</v>
      </c>
      <c r="C5" s="4" t="s">
        <v>115</v>
      </c>
    </row>
    <row r="6" spans="1:3" x14ac:dyDescent="0.25">
      <c r="A6" s="4" t="s">
        <v>116</v>
      </c>
      <c r="B6" s="4" t="s">
        <v>117</v>
      </c>
      <c r="C6" s="4" t="s">
        <v>118</v>
      </c>
    </row>
    <row r="7" spans="1:3" x14ac:dyDescent="0.25">
      <c r="A7" s="4" t="s">
        <v>119</v>
      </c>
      <c r="B7" s="4" t="s">
        <v>120</v>
      </c>
      <c r="C7" s="4" t="s">
        <v>121</v>
      </c>
    </row>
    <row r="8" spans="1:3" x14ac:dyDescent="0.25">
      <c r="A8" s="4" t="s">
        <v>122</v>
      </c>
      <c r="B8" s="4" t="s">
        <v>123</v>
      </c>
      <c r="C8" s="4" t="s">
        <v>124</v>
      </c>
    </row>
    <row r="9" spans="1:3" x14ac:dyDescent="0.25">
      <c r="A9" s="4" t="s">
        <v>125</v>
      </c>
      <c r="B9" s="4" t="s">
        <v>111</v>
      </c>
      <c r="C9" s="4" t="s">
        <v>126</v>
      </c>
    </row>
    <row r="10" spans="1:3" x14ac:dyDescent="0.25">
      <c r="A10" s="4" t="s">
        <v>127</v>
      </c>
      <c r="B10" s="4" t="s">
        <v>123</v>
      </c>
      <c r="C10" s="4" t="s">
        <v>128</v>
      </c>
    </row>
    <row r="11" spans="1:3" x14ac:dyDescent="0.25">
      <c r="A11" s="4" t="s">
        <v>129</v>
      </c>
      <c r="B11" s="4" t="s">
        <v>117</v>
      </c>
      <c r="C11" s="4" t="s">
        <v>130</v>
      </c>
    </row>
    <row r="12" spans="1:3" x14ac:dyDescent="0.25">
      <c r="A12" s="4" t="s">
        <v>131</v>
      </c>
      <c r="B12" s="4" t="s">
        <v>132</v>
      </c>
      <c r="C12" s="4" t="s">
        <v>133</v>
      </c>
    </row>
    <row r="13" spans="1:3" x14ac:dyDescent="0.25">
      <c r="A13" s="4" t="s">
        <v>134</v>
      </c>
      <c r="B13" s="4" t="s">
        <v>135</v>
      </c>
      <c r="C13" s="4" t="s">
        <v>136</v>
      </c>
    </row>
    <row r="14" spans="1:3" x14ac:dyDescent="0.25">
      <c r="A14" s="4" t="s">
        <v>137</v>
      </c>
      <c r="B14" s="4" t="s">
        <v>138</v>
      </c>
      <c r="C14" s="4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Model</vt:lpstr>
      <vt:lpstr>vs Consensus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Monteiro</cp:lastModifiedBy>
  <dcterms:created xsi:type="dcterms:W3CDTF">2026-07-02T01:26:41Z</dcterms:created>
  <dcterms:modified xsi:type="dcterms:W3CDTF">2026-07-02T01:44:47Z</dcterms:modified>
</cp:coreProperties>
</file>