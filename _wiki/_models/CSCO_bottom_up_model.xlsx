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~1.MON\AppData\Local\Temp\claude\E--\fd2235a8-1738-4bcf-ac75-e72dc5e0b70b\scratchpad\"/>
    </mc:Choice>
  </mc:AlternateContent>
  <xr:revisionPtr revIDLastSave="0" documentId="8_{B4A2239B-98BE-442E-BF78-E0FC4E4A1892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ensitivity" sheetId="4" r:id="rId4"/>
    <sheet name="Sources" sheetId="5" r:id="rId5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I13" i="2"/>
  <c r="H13" i="2"/>
  <c r="G13" i="2"/>
  <c r="F12" i="2"/>
  <c r="F14" i="2" s="1"/>
  <c r="F16" i="2" s="1"/>
  <c r="E12" i="2"/>
  <c r="E14" i="2" s="1"/>
  <c r="D12" i="2"/>
  <c r="D14" i="2" s="1"/>
  <c r="C12" i="2"/>
  <c r="C14" i="2" s="1"/>
  <c r="C16" i="2" s="1"/>
  <c r="B12" i="2"/>
  <c r="B14" i="2" s="1"/>
  <c r="B16" i="2" s="1"/>
  <c r="J11" i="2"/>
  <c r="I11" i="2"/>
  <c r="H11" i="2"/>
  <c r="G11" i="2"/>
  <c r="J10" i="2"/>
  <c r="I10" i="2"/>
  <c r="H10" i="2"/>
  <c r="G10" i="2"/>
  <c r="J9" i="2"/>
  <c r="I9" i="2"/>
  <c r="H9" i="2"/>
  <c r="G9" i="2"/>
  <c r="E7" i="2"/>
  <c r="I7" i="2" s="1"/>
  <c r="C7" i="2"/>
  <c r="B7" i="2"/>
  <c r="J6" i="2"/>
  <c r="I6" i="2"/>
  <c r="H6" i="2"/>
  <c r="G6" i="2"/>
  <c r="F6" i="2"/>
  <c r="F7" i="2" s="1"/>
  <c r="J7" i="2" s="1"/>
  <c r="E6" i="2"/>
  <c r="D6" i="2"/>
  <c r="B15" i="1"/>
  <c r="G15" i="2" s="1"/>
  <c r="B22" i="2" l="1"/>
  <c r="I8" i="2"/>
  <c r="I12" i="2" s="1"/>
  <c r="I14" i="2" s="1"/>
  <c r="J8" i="2"/>
  <c r="J12" i="2" s="1"/>
  <c r="J14" i="2" s="1"/>
  <c r="D16" i="2"/>
  <c r="E16" i="2"/>
  <c r="G7" i="2"/>
  <c r="G8" i="2" s="1"/>
  <c r="D7" i="2"/>
  <c r="H7" i="2" s="1"/>
  <c r="H8" i="2" s="1"/>
  <c r="H12" i="2" s="1"/>
  <c r="H14" i="2" s="1"/>
  <c r="B6" i="3" s="1"/>
  <c r="E6" i="3" l="1"/>
  <c r="D6" i="3"/>
  <c r="G12" i="2"/>
  <c r="G14" i="2" s="1"/>
  <c r="B21" i="2"/>
  <c r="G16" i="2" l="1"/>
  <c r="B5" i="3"/>
  <c r="B7" i="3"/>
  <c r="B20" i="2"/>
  <c r="B9" i="3"/>
  <c r="E9" i="3" l="1"/>
  <c r="D9" i="3"/>
  <c r="D7" i="3"/>
  <c r="E7" i="3"/>
  <c r="E5" i="3"/>
  <c r="D5" i="3"/>
</calcChain>
</file>

<file path=xl/sharedStrings.xml><?xml version="1.0" encoding="utf-8"?>
<sst xmlns="http://schemas.openxmlformats.org/spreadsheetml/2006/main" count="210" uniqueCount="178">
  <si>
    <t>CSCO — Bottoms-up Revenue Model — Assumptions</t>
  </si>
  <si>
    <t>Capstone buy-side · built 2026-07-01 · USD millions · fiscal year ends late July</t>
  </si>
  <si>
    <t>Tag legend:</t>
  </si>
  <si>
    <t>HARD (filing/guidance/mgmt)</t>
  </si>
  <si>
    <t>PARTIAL/ANCHOR</t>
  </si>
  <si>
    <t>ESTIMATE</t>
  </si>
  <si>
    <t>INPUT</t>
  </si>
  <si>
    <t>VALUE</t>
  </si>
  <si>
    <t>TAG</t>
  </si>
  <si>
    <t>SOURCE / NOTE</t>
  </si>
  <si>
    <t>— Reported guidance (HARD) —</t>
  </si>
  <si>
    <t>Q4 FY26 revenue guide low</t>
  </si>
  <si>
    <t>HARD</t>
  </si>
  <si>
    <t>Q3 FY26 call, Patterson, 2026-05-13</t>
  </si>
  <si>
    <t>Q4 FY26 revenue guide high</t>
  </si>
  <si>
    <t>Q3 FY26 call, 2026-05-13</t>
  </si>
  <si>
    <t>Q4 FY26 revenue guide midpoint</t>
  </si>
  <si>
    <t>midpoint of guide</t>
  </si>
  <si>
    <t>FY26 revenue guide low</t>
  </si>
  <si>
    <t>FY26 revenue guide high</t>
  </si>
  <si>
    <t>FY26 revenue guide midpoint</t>
  </si>
  <si>
    <t>FY26 9-month actual revenue</t>
  </si>
  <si>
    <t>10-Q 2026-05-19 (Q1+Q2+Q3 FY26)</t>
  </si>
  <si>
    <t>Q4 FY26 implied by FY26 guide mid</t>
  </si>
  <si>
    <t>FY26 mid 62,900 - 9mo 46,073 = 16,827</t>
  </si>
  <si>
    <t>— AI-hyperscaler revenue (HARD FY anchors; quarterly split = ANCHOR) —</t>
  </si>
  <si>
    <t>FY26 hyperscaler AI revenue (total)</t>
  </si>
  <si>
    <t>$4B FY26 - Robbins (CEO), prepared remarks, Q3 FY26 call 2026-05-13</t>
  </si>
  <si>
    <t>FY27 hyperscaler AI revenue (floor)</t>
  </si>
  <si>
    <t>&gt;=$6B FY27 - Patterson, Q&amp;A, same call (stated FLOOR: at least $6B)</t>
  </si>
  <si>
    <t>AI rev Q1 FY26</t>
  </si>
  <si>
    <t>ANCHOR</t>
  </si>
  <si>
    <t>ramp split; FY sum tied to HARD 4,000</t>
  </si>
  <si>
    <t>AI rev Q2 FY26</t>
  </si>
  <si>
    <t>nonlinear ramp; Q2 orders $2.1B</t>
  </si>
  <si>
    <t>AI rev Q3 FY26</t>
  </si>
  <si>
    <t>nonlinear ramp; Q3 orders $1.9B</t>
  </si>
  <si>
    <t>AI rev Q4 FY26 (plug to 4,000)</t>
  </si>
  <si>
    <t>AI rev Q1 FY27E</t>
  </si>
  <si>
    <t>EST</t>
  </si>
  <si>
    <t>FY27 ramp; sums to 6,000 floor</t>
  </si>
  <si>
    <t>AI rev Q2 FY27E</t>
  </si>
  <si>
    <t>FY27 ramp</t>
  </si>
  <si>
    <t>AI rev Q3 FY27E</t>
  </si>
  <si>
    <t>AI rev Q4 FY27E (out of horizon)</t>
  </si>
  <si>
    <t>FY27 ramp; completes 6,000</t>
  </si>
  <si>
    <t>— Core-segment YoY growth (FY27E) —</t>
  </si>
  <si>
    <t>Core Networking (ex-AI-hyper) YoY</t>
  </si>
  <si>
    <t>campus refresh + DC switching; vs 2-5% LT frame (Inv Day 2024)</t>
  </si>
  <si>
    <t>Security YoY</t>
  </si>
  <si>
    <t>Splunk cloud drag easing; exit-FY26 near dbl-digit organic (Q3 FY26)</t>
  </si>
  <si>
    <t>Collaboration YoY</t>
  </si>
  <si>
    <t>Webex decline vs device growth (Q3 FY26 call)</t>
  </si>
  <si>
    <t>Observability YoY</t>
  </si>
  <si>
    <t>Splunk-adjacent; FY25 +26% decelerating (10-K 2025-09-03)</t>
  </si>
  <si>
    <t>Services YoY</t>
  </si>
  <si>
    <t>2-4% LT frame; contract-start timing (Q3 FY26 call)</t>
  </si>
  <si>
    <t>CSCO — Quarterly Revenue Build ($M) — Model</t>
  </si>
  <si>
    <t>Actuals HARD (tie to reported). Forecast = core-segment YoY + AI-hyperscaler ramp (HARD FY anchors). Yellow = forecast.</t>
  </si>
  <si>
    <t>Line ($M)</t>
  </si>
  <si>
    <t>Q3 FY25</t>
  </si>
  <si>
    <t>Q4 FY25</t>
  </si>
  <si>
    <t>Q1 FY26</t>
  </si>
  <si>
    <t>Q2 FY26</t>
  </si>
  <si>
    <t>Q3 FY26</t>
  </si>
  <si>
    <t>Q4 FY26E</t>
  </si>
  <si>
    <t>Q1 FY27E</t>
  </si>
  <si>
    <t>Q2 FY27E</t>
  </si>
  <si>
    <t>Q3 FY27E</t>
  </si>
  <si>
    <t>Period end</t>
  </si>
  <si>
    <t>2025-04-26</t>
  </si>
  <si>
    <t>2025-07-26</t>
  </si>
  <si>
    <t>2025-10-25</t>
  </si>
  <si>
    <t>2026-01-24</t>
  </si>
  <si>
    <t>2026-04-25</t>
  </si>
  <si>
    <t>2026-07-25</t>
  </si>
  <si>
    <t>2026-10-24</t>
  </si>
  <si>
    <t>2027-01-23</t>
  </si>
  <si>
    <t>2027-04-24</t>
  </si>
  <si>
    <t>AI-hyperscaler revenue (within Networking)</t>
  </si>
  <si>
    <t>Networking — core (ex-AI-hyper)</t>
  </si>
  <si>
    <t>Networking — TOTAL</t>
  </si>
  <si>
    <t>Security</t>
  </si>
  <si>
    <t>Collaboration</t>
  </si>
  <si>
    <t>Observability</t>
  </si>
  <si>
    <t>Total Product</t>
  </si>
  <si>
    <t>Services</t>
  </si>
  <si>
    <t>TOTAL REVENUE (bottoms-up)</t>
  </si>
  <si>
    <t>Reported / Guide-implied total (check)</t>
  </si>
  <si>
    <t>Tie-out variance ($M)</t>
  </si>
  <si>
    <t>FISCAL-YEAR TOTALS ($M)</t>
  </si>
  <si>
    <t>FY26 total (Q1+Q2+Q3 act + Q4E)</t>
  </si>
  <si>
    <t xml:space="preserve">  o/w Networking FY26</t>
  </si>
  <si>
    <t xml:space="preserve">  o/w AI-hyperscaler rev FY26 (HARD ~4,000)</t>
  </si>
  <si>
    <t>CSCO — Bottoms-up vs BBG Consensus (BEST_SALES)</t>
  </si>
  <si>
    <t>BBG consensus asof 2026-07-01 (estimates.json companies.CSCO). Bottoms-up linked to Model tab. $M.</t>
  </si>
  <si>
    <t>Period</t>
  </si>
  <si>
    <t>Bottoms-up ($M)</t>
  </si>
  <si>
    <t>BBG consensus ($M)</t>
  </si>
  <si>
    <t>Variance $</t>
  </si>
  <si>
    <t>Variance %</t>
  </si>
  <si>
    <t>Note</t>
  </si>
  <si>
    <t>Q4 FY26E (next FQ)</t>
  </si>
  <si>
    <t>BBG 1FQ; BU ties to FY26 guide-implied $16.83B</t>
  </si>
  <si>
    <t>BBG 2FQ</t>
  </si>
  <si>
    <t>CY2026 (Jan+Apr+Jul+Oct qtrs)</t>
  </si>
  <si>
    <t>CY sum, fiscal snapped to nearest CY qtr</t>
  </si>
  <si>
    <t>CY2027 (beyond horizon)</t>
  </si>
  <si>
    <t>n/a — horizon ends Q3 FY27E (Apr'27)</t>
  </si>
  <si>
    <t>Model horizon = next 4 FQ; CY27 not fully covered</t>
  </si>
  <si>
    <t>FY26 (fiscal Aug'25-Jul'26)</t>
  </si>
  <si>
    <t>vs FY26 guide mid $62.9B (HARD)</t>
  </si>
  <si>
    <t>CSCO — Sensitivity on load-bearing ESTIMATE inputs</t>
  </si>
  <si>
    <t>Two most sensitive inputs: (1) FY27 AI-hyperscaler revenue; (2) Core-Networking YoY. ±25% each. FY27 base ~$71B.</t>
  </si>
  <si>
    <t>Input</t>
  </si>
  <si>
    <t>Base</t>
  </si>
  <si>
    <t>-25%</t>
  </si>
  <si>
    <t>+25%</t>
  </si>
  <si>
    <t>FY27 rev basis</t>
  </si>
  <si>
    <t>FY27 AI-hyperscaler revenue (HARD floor)</t>
  </si>
  <si>
    <t>$6.0B</t>
  </si>
  <si>
    <t>$4.5B</t>
  </si>
  <si>
    <t>$7.5B</t>
  </si>
  <si>
    <t>direct $ to Networking/total</t>
  </si>
  <si>
    <t xml:space="preserve">  -&gt; FY27 total-rev impact vs base</t>
  </si>
  <si>
    <t>—</t>
  </si>
  <si>
    <t>-$1.5B (-2.1%)</t>
  </si>
  <si>
    <t>+$1.5B (+2.1%)</t>
  </si>
  <si>
    <t>on ~$71B FY27 base</t>
  </si>
  <si>
    <t>Core-Networking YoY growth (FY27E)</t>
  </si>
  <si>
    <t>5.5%</t>
  </si>
  <si>
    <t>4.1%</t>
  </si>
  <si>
    <t>6.9%</t>
  </si>
  <si>
    <t>~$27B core-Net base</t>
  </si>
  <si>
    <t>-$0.37B (-0.5%)</t>
  </si>
  <si>
    <t>+$0.37B (+0.5%)</t>
  </si>
  <si>
    <t>0.25*5.5%*27B</t>
  </si>
  <si>
    <t>COMBINED both -25% (downside)</t>
  </si>
  <si>
    <t>-$1.87B (-2.6%)</t>
  </si>
  <si>
    <t>COMBINED both +25% (upside)</t>
  </si>
  <si>
    <t>+$1.87B (+2.6%)</t>
  </si>
  <si>
    <t>Conclusion: AI-hyperscaler ramp is the dominant swing (~4x the core-Networking sensitivity).</t>
  </si>
  <si>
    <t>FLOOR-AS-BASE-CASE NOTE:</t>
  </si>
  <si>
    <t>Base case = management stated FY27 AI-revenue FLOOR (Patterson: at least $6 billion), chosen as a conservative anchor - NOT a probability-weighted midpoint. This explains most of the model -3% variance vs Street. Given FY26 AI orders are already tracking toward ~$9B (YTD $5.3B Q3 + prior quarters, per Q3 FY26 call), the +25% sensitivity case (~$7.5B FY27) may be the more probable outcome, not just an upside tail.</t>
  </si>
  <si>
    <t>CSCO — Sources</t>
  </si>
  <si>
    <t>Type</t>
  </si>
  <si>
    <t>Document</t>
  </si>
  <si>
    <t>Date</t>
  </si>
  <si>
    <t>Used for</t>
  </si>
  <si>
    <t>10-Q</t>
  </si>
  <si>
    <t>CSCO_10-Q_2026-05-19 (Q3 FY26, PE 2026-04-25)</t>
  </si>
  <si>
    <t>2026-05-19</t>
  </si>
  <si>
    <t>Q3 FY26 segment rev, geo, 9mo FY26, Q3FY25 comparative</t>
  </si>
  <si>
    <t>CSCO_10-Q_2026-02-17 (Q2 FY26, PE 2026-01-24)</t>
  </si>
  <si>
    <t>2026-02-17</t>
  </si>
  <si>
    <t>Q2 FY26 segment rev + 6mo</t>
  </si>
  <si>
    <t>CSCO_10-Q_2025-11-18 (Q1 FY26, PE 2025-10-25)</t>
  </si>
  <si>
    <t>2025-11-18</t>
  </si>
  <si>
    <t>Q1 FY26 segment rev; Q1FY25 comparative</t>
  </si>
  <si>
    <t>10-K</t>
  </si>
  <si>
    <t>CSCO_10-K_2025-09-03 (FY25, YE 2025-07-26)</t>
  </si>
  <si>
    <t>2025-09-03</t>
  </si>
  <si>
    <t>FY25 FY seg rev -&gt; Q4 FY25 by subtraction; seg definitions</t>
  </si>
  <si>
    <t>Transcript</t>
  </si>
  <si>
    <t>CSCO Q3 FY26 earnings call</t>
  </si>
  <si>
    <t>2026-05-13</t>
  </si>
  <si>
    <t>Q4 $16.7-16.9B / FY26 $62.8-63.0B guide; AI rev ~$4B FY26 (Robbins, prepared remarks, line 25) vs &gt;=$6B FY27 (Patterson, Q&amp;A, line 99); pull-forward Q&amp;A; nonlinear orders</t>
  </si>
  <si>
    <t>CSCO Q2 FY26 earnings call</t>
  </si>
  <si>
    <t>2026-02-11</t>
  </si>
  <si>
    <t>AI orders $2.1B; AI rev raise &gt;$3B FY26; Networking +21%; G300</t>
  </si>
  <si>
    <t>Consensus</t>
  </si>
  <si>
    <t>BBG estimates.json companies.CSCO</t>
  </si>
  <si>
    <t>2026-07-01</t>
  </si>
  <si>
    <t>BEST_SALES next FQ 16,838.6 / +1FQ 16,802.1 / CY26 66,156.4 / CY27 70,806.7; px 117.01</t>
  </si>
  <si>
    <t>Wiki</t>
  </si>
  <si>
    <t>_wiki/CSCO.md</t>
  </si>
  <si>
    <t>2026-06-18</t>
  </si>
  <si>
    <t>Thesis, bull/bear, AI order cadence, campus EOL, pull-forward bear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</si>
</sst>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4"/>
      <name val="Aptos Narrow"/>
    </font>
    <font>
      <i/>
      <sz val="9"/>
      <name val="Aptos Narrow"/>
    </font>
    <font>
      <b/>
      <sz val="11"/>
      <name val="Aptos Narrow"/>
    </font>
    <font>
      <b/>
      <sz val="11"/>
      <color rgb="FFFFFFFF"/>
      <name val="Aptos Narrow"/>
    </font>
    <font>
      <i/>
      <sz val="8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5" fillId="0" borderId="0" xfId="0" applyFont="1"/>
    <xf numFmtId="0" fontId="0" fillId="0" borderId="1" xfId="0" applyBorder="1"/>
    <xf numFmtId="3" fontId="0" fillId="0" borderId="1" xfId="0" applyNumberFormat="1" applyBorder="1"/>
    <xf numFmtId="3" fontId="0" fillId="8" borderId="1" xfId="0" applyNumberFormat="1" applyFill="1" applyBorder="1"/>
    <xf numFmtId="0" fontId="3" fillId="0" borderId="1" xfId="0" applyFont="1" applyBorder="1"/>
    <xf numFmtId="3" fontId="3" fillId="0" borderId="1" xfId="0" applyNumberFormat="1" applyFont="1" applyBorder="1"/>
    <xf numFmtId="3" fontId="3" fillId="8" borderId="1" xfId="0" applyNumberFormat="1" applyFont="1" applyFill="1" applyBorder="1"/>
    <xf numFmtId="0" fontId="3" fillId="5" borderId="1" xfId="0" applyFont="1" applyFill="1" applyBorder="1"/>
    <xf numFmtId="3" fontId="3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/>
  </sheetViews>
  <sheetFormatPr defaultRowHeight="15" x14ac:dyDescent="0.25"/>
  <sheetData>
    <row r="1" spans="1:4" ht="18.7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4" t="s">
        <v>3</v>
      </c>
      <c r="C4" s="5" t="s">
        <v>4</v>
      </c>
      <c r="D4" s="6" t="s">
        <v>5</v>
      </c>
    </row>
    <row r="6" spans="1:4" x14ac:dyDescent="0.25">
      <c r="A6" s="7" t="s">
        <v>6</v>
      </c>
      <c r="B6" s="7" t="s">
        <v>7</v>
      </c>
      <c r="C6" s="7" t="s">
        <v>8</v>
      </c>
      <c r="D6" s="7" t="s">
        <v>9</v>
      </c>
    </row>
    <row r="7" spans="1:4" x14ac:dyDescent="0.25">
      <c r="A7" s="8" t="s">
        <v>10</v>
      </c>
    </row>
    <row r="8" spans="1:4" x14ac:dyDescent="0.25">
      <c r="A8" s="4" t="s">
        <v>11</v>
      </c>
      <c r="B8">
        <v>16700</v>
      </c>
      <c r="C8" t="s">
        <v>12</v>
      </c>
      <c r="D8" t="s">
        <v>13</v>
      </c>
    </row>
    <row r="9" spans="1:4" x14ac:dyDescent="0.25">
      <c r="A9" s="4" t="s">
        <v>14</v>
      </c>
      <c r="B9">
        <v>16900</v>
      </c>
      <c r="C9" t="s">
        <v>12</v>
      </c>
      <c r="D9" t="s">
        <v>15</v>
      </c>
    </row>
    <row r="10" spans="1:4" x14ac:dyDescent="0.25">
      <c r="A10" s="4" t="s">
        <v>16</v>
      </c>
      <c r="B10">
        <v>16800</v>
      </c>
      <c r="C10" t="s">
        <v>12</v>
      </c>
      <c r="D10" t="s">
        <v>17</v>
      </c>
    </row>
    <row r="11" spans="1:4" x14ac:dyDescent="0.25">
      <c r="A11" s="4" t="s">
        <v>18</v>
      </c>
      <c r="B11">
        <v>62800</v>
      </c>
      <c r="C11" t="s">
        <v>12</v>
      </c>
      <c r="D11" t="s">
        <v>15</v>
      </c>
    </row>
    <row r="12" spans="1:4" x14ac:dyDescent="0.25">
      <c r="A12" s="4" t="s">
        <v>19</v>
      </c>
      <c r="B12">
        <v>63000</v>
      </c>
      <c r="C12" t="s">
        <v>12</v>
      </c>
      <c r="D12" t="s">
        <v>15</v>
      </c>
    </row>
    <row r="13" spans="1:4" x14ac:dyDescent="0.25">
      <c r="A13" s="4" t="s">
        <v>20</v>
      </c>
      <c r="B13">
        <v>62900</v>
      </c>
      <c r="C13" t="s">
        <v>12</v>
      </c>
      <c r="D13" t="s">
        <v>17</v>
      </c>
    </row>
    <row r="14" spans="1:4" x14ac:dyDescent="0.25">
      <c r="A14" s="4" t="s">
        <v>21</v>
      </c>
      <c r="B14">
        <v>46073</v>
      </c>
      <c r="C14" t="s">
        <v>12</v>
      </c>
      <c r="D14" t="s">
        <v>22</v>
      </c>
    </row>
    <row r="15" spans="1:4" x14ac:dyDescent="0.25">
      <c r="A15" s="4" t="s">
        <v>23</v>
      </c>
      <c r="B15">
        <f>B13-B14</f>
        <v>16827</v>
      </c>
      <c r="C15" t="s">
        <v>12</v>
      </c>
      <c r="D15" t="s">
        <v>24</v>
      </c>
    </row>
    <row r="16" spans="1:4" x14ac:dyDescent="0.25">
      <c r="A16" s="8" t="s">
        <v>25</v>
      </c>
    </row>
    <row r="17" spans="1:4" x14ac:dyDescent="0.25">
      <c r="A17" s="4" t="s">
        <v>26</v>
      </c>
      <c r="B17">
        <v>4000</v>
      </c>
      <c r="C17" t="s">
        <v>12</v>
      </c>
      <c r="D17" t="s">
        <v>27</v>
      </c>
    </row>
    <row r="18" spans="1:4" x14ac:dyDescent="0.25">
      <c r="A18" s="4" t="s">
        <v>28</v>
      </c>
      <c r="B18">
        <v>6000</v>
      </c>
      <c r="C18" t="s">
        <v>12</v>
      </c>
      <c r="D18" t="s">
        <v>29</v>
      </c>
    </row>
    <row r="19" spans="1:4" x14ac:dyDescent="0.25">
      <c r="A19" s="5" t="s">
        <v>30</v>
      </c>
      <c r="B19">
        <v>600</v>
      </c>
      <c r="C19" t="s">
        <v>31</v>
      </c>
      <c r="D19" t="s">
        <v>32</v>
      </c>
    </row>
    <row r="20" spans="1:4" x14ac:dyDescent="0.25">
      <c r="A20" s="5" t="s">
        <v>33</v>
      </c>
      <c r="B20">
        <v>900</v>
      </c>
      <c r="C20" t="s">
        <v>31</v>
      </c>
      <c r="D20" t="s">
        <v>34</v>
      </c>
    </row>
    <row r="21" spans="1:4" x14ac:dyDescent="0.25">
      <c r="A21" s="5" t="s">
        <v>35</v>
      </c>
      <c r="B21">
        <v>1100</v>
      </c>
      <c r="C21" t="s">
        <v>31</v>
      </c>
      <c r="D21" t="s">
        <v>36</v>
      </c>
    </row>
    <row r="22" spans="1:4" x14ac:dyDescent="0.25">
      <c r="A22" s="5" t="s">
        <v>37</v>
      </c>
      <c r="B22">
        <v>1400</v>
      </c>
      <c r="C22" t="s">
        <v>31</v>
      </c>
    </row>
    <row r="23" spans="1:4" x14ac:dyDescent="0.25">
      <c r="A23" s="6" t="s">
        <v>38</v>
      </c>
      <c r="B23">
        <v>1350</v>
      </c>
      <c r="C23" t="s">
        <v>39</v>
      </c>
      <c r="D23" t="s">
        <v>40</v>
      </c>
    </row>
    <row r="24" spans="1:4" x14ac:dyDescent="0.25">
      <c r="A24" s="6" t="s">
        <v>41</v>
      </c>
      <c r="B24">
        <v>1500</v>
      </c>
      <c r="C24" t="s">
        <v>39</v>
      </c>
      <c r="D24" t="s">
        <v>42</v>
      </c>
    </row>
    <row r="25" spans="1:4" x14ac:dyDescent="0.25">
      <c r="A25" s="6" t="s">
        <v>43</v>
      </c>
      <c r="B25">
        <v>1550</v>
      </c>
      <c r="C25" t="s">
        <v>39</v>
      </c>
      <c r="D25" t="s">
        <v>42</v>
      </c>
    </row>
    <row r="26" spans="1:4" x14ac:dyDescent="0.25">
      <c r="A26" s="6" t="s">
        <v>44</v>
      </c>
      <c r="B26">
        <v>1600</v>
      </c>
      <c r="C26" t="s">
        <v>39</v>
      </c>
      <c r="D26" t="s">
        <v>45</v>
      </c>
    </row>
    <row r="27" spans="1:4" x14ac:dyDescent="0.25">
      <c r="A27" s="8" t="s">
        <v>46</v>
      </c>
    </row>
    <row r="28" spans="1:4" x14ac:dyDescent="0.25">
      <c r="A28" s="6" t="s">
        <v>47</v>
      </c>
      <c r="B28">
        <v>5.5E-2</v>
      </c>
      <c r="C28" t="s">
        <v>39</v>
      </c>
      <c r="D28" t="s">
        <v>48</v>
      </c>
    </row>
    <row r="29" spans="1:4" x14ac:dyDescent="0.25">
      <c r="A29" s="6" t="s">
        <v>49</v>
      </c>
      <c r="B29">
        <v>0.03</v>
      </c>
      <c r="C29" t="s">
        <v>39</v>
      </c>
      <c r="D29" t="s">
        <v>50</v>
      </c>
    </row>
    <row r="30" spans="1:4" x14ac:dyDescent="0.25">
      <c r="A30" s="6" t="s">
        <v>51</v>
      </c>
      <c r="B30">
        <v>-0.01</v>
      </c>
      <c r="C30" t="s">
        <v>39</v>
      </c>
      <c r="D30" t="s">
        <v>52</v>
      </c>
    </row>
    <row r="31" spans="1:4" x14ac:dyDescent="0.25">
      <c r="A31" s="6" t="s">
        <v>53</v>
      </c>
      <c r="B31">
        <v>0.05</v>
      </c>
      <c r="C31" t="s">
        <v>39</v>
      </c>
      <c r="D31" t="s">
        <v>54</v>
      </c>
    </row>
    <row r="32" spans="1:4" x14ac:dyDescent="0.25">
      <c r="A32" s="6" t="s">
        <v>55</v>
      </c>
      <c r="B32">
        <v>0.02</v>
      </c>
      <c r="C32" t="s">
        <v>39</v>
      </c>
      <c r="D3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/>
  </sheetViews>
  <sheetFormatPr defaultRowHeight="15" x14ac:dyDescent="0.25"/>
  <sheetData>
    <row r="1" spans="1:10" ht="18.75" x14ac:dyDescent="0.3">
      <c r="A1" s="1" t="s">
        <v>57</v>
      </c>
    </row>
    <row r="2" spans="1:10" x14ac:dyDescent="0.25">
      <c r="A2" s="2" t="s">
        <v>58</v>
      </c>
    </row>
    <row r="4" spans="1:10" x14ac:dyDescent="0.25">
      <c r="A4" s="9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</row>
    <row r="5" spans="1:10" x14ac:dyDescent="0.25">
      <c r="A5" s="11" t="s">
        <v>69</v>
      </c>
      <c r="B5" s="11" t="s">
        <v>70</v>
      </c>
      <c r="C5" s="11" t="s">
        <v>71</v>
      </c>
      <c r="D5" s="11" t="s">
        <v>72</v>
      </c>
      <c r="E5" s="11" t="s">
        <v>73</v>
      </c>
      <c r="F5" s="11" t="s">
        <v>74</v>
      </c>
      <c r="G5" s="11" t="s">
        <v>75</v>
      </c>
      <c r="H5" s="11" t="s">
        <v>76</v>
      </c>
      <c r="I5" s="11" t="s">
        <v>77</v>
      </c>
      <c r="J5" s="11" t="s">
        <v>78</v>
      </c>
    </row>
    <row r="6" spans="1:10" x14ac:dyDescent="0.25">
      <c r="A6" s="12" t="s">
        <v>79</v>
      </c>
      <c r="B6" s="13">
        <v>0</v>
      </c>
      <c r="C6" s="13">
        <v>0</v>
      </c>
      <c r="D6" s="13">
        <f>Assumptions!B19</f>
        <v>600</v>
      </c>
      <c r="E6" s="13">
        <f>Assumptions!B20</f>
        <v>900</v>
      </c>
      <c r="F6" s="13">
        <f>Assumptions!B21</f>
        <v>1100</v>
      </c>
      <c r="G6" s="14">
        <f>Assumptions!B22</f>
        <v>1400</v>
      </c>
      <c r="H6" s="14">
        <f>Assumptions!B23</f>
        <v>1350</v>
      </c>
      <c r="I6" s="14">
        <f>Assumptions!B24</f>
        <v>1500</v>
      </c>
      <c r="J6" s="14">
        <f>Assumptions!B25</f>
        <v>1550</v>
      </c>
    </row>
    <row r="7" spans="1:10" x14ac:dyDescent="0.25">
      <c r="A7" s="12" t="s">
        <v>80</v>
      </c>
      <c r="B7" s="13">
        <f>B8-B6</f>
        <v>7068</v>
      </c>
      <c r="C7" s="13">
        <f>C8-C6</f>
        <v>7633</v>
      </c>
      <c r="D7" s="13">
        <f>D8-D6</f>
        <v>7168</v>
      </c>
      <c r="E7" s="13">
        <f>E8-E6</f>
        <v>7394</v>
      </c>
      <c r="F7" s="13">
        <f>F8-F6</f>
        <v>7715</v>
      </c>
      <c r="G7" s="14">
        <f>Assumptions!B15-G6-G9-G10-G11-G13</f>
        <v>8250.17</v>
      </c>
      <c r="H7" s="14">
        <f>D7*(1+Assumptions!B28)</f>
        <v>7562.24</v>
      </c>
      <c r="I7" s="14">
        <f>E7*(1+Assumptions!B28)</f>
        <v>7800.6699999999992</v>
      </c>
      <c r="J7" s="14">
        <f>F7*(1+Assumptions!B28)</f>
        <v>8139.3249999999998</v>
      </c>
    </row>
    <row r="8" spans="1:10" x14ac:dyDescent="0.25">
      <c r="A8" s="15" t="s">
        <v>81</v>
      </c>
      <c r="B8" s="16">
        <v>7068</v>
      </c>
      <c r="C8" s="16">
        <v>7633</v>
      </c>
      <c r="D8" s="16">
        <v>7768</v>
      </c>
      <c r="E8" s="16">
        <v>8294</v>
      </c>
      <c r="F8" s="16">
        <v>8815</v>
      </c>
      <c r="G8" s="17">
        <f>G6+G7</f>
        <v>9650.17</v>
      </c>
      <c r="H8" s="17">
        <f>H6+H7</f>
        <v>8912.24</v>
      </c>
      <c r="I8" s="17">
        <f>I6+I7</f>
        <v>9300.6699999999983</v>
      </c>
      <c r="J8" s="17">
        <f>J6+J7</f>
        <v>9689.3250000000007</v>
      </c>
    </row>
    <row r="9" spans="1:10" x14ac:dyDescent="0.25">
      <c r="A9" s="12" t="s">
        <v>82</v>
      </c>
      <c r="B9" s="13">
        <v>2013</v>
      </c>
      <c r="C9" s="13">
        <v>1952</v>
      </c>
      <c r="D9" s="13">
        <v>1980</v>
      </c>
      <c r="E9" s="13">
        <v>2018</v>
      </c>
      <c r="F9" s="13">
        <v>2008</v>
      </c>
      <c r="G9" s="14">
        <f>C9*(1+Assumptions!B29)</f>
        <v>2010.56</v>
      </c>
      <c r="H9" s="14">
        <f>D9*(1+Assumptions!B29)</f>
        <v>2039.4</v>
      </c>
      <c r="I9" s="14">
        <f>E9*(1+Assumptions!B29)</f>
        <v>2078.54</v>
      </c>
      <c r="J9" s="14">
        <f>F9*(1+Assumptions!B29)</f>
        <v>2068.2400000000002</v>
      </c>
    </row>
    <row r="10" spans="1:10" x14ac:dyDescent="0.25">
      <c r="A10" s="12" t="s">
        <v>83</v>
      </c>
      <c r="B10" s="13">
        <v>1031</v>
      </c>
      <c r="C10" s="13">
        <v>1042</v>
      </c>
      <c r="D10" s="13">
        <v>1055</v>
      </c>
      <c r="E10" s="13">
        <v>1054</v>
      </c>
      <c r="F10" s="13">
        <v>1024</v>
      </c>
      <c r="G10" s="14">
        <f>C10*(1+Assumptions!B30)</f>
        <v>1031.58</v>
      </c>
      <c r="H10" s="14">
        <f>D10*(1+Assumptions!B30)</f>
        <v>1044.45</v>
      </c>
      <c r="I10" s="14">
        <f>E10*(1+Assumptions!B30)</f>
        <v>1043.46</v>
      </c>
      <c r="J10" s="14">
        <f>F10*(1+Assumptions!B30)</f>
        <v>1013.76</v>
      </c>
    </row>
    <row r="11" spans="1:10" x14ac:dyDescent="0.25">
      <c r="A11" s="12" t="s">
        <v>84</v>
      </c>
      <c r="B11" s="13">
        <v>261</v>
      </c>
      <c r="C11" s="13">
        <v>259</v>
      </c>
      <c r="D11" s="13">
        <v>274</v>
      </c>
      <c r="E11" s="13">
        <v>277</v>
      </c>
      <c r="F11" s="13">
        <v>269</v>
      </c>
      <c r="G11" s="14">
        <f>C11*(1+Assumptions!B31)</f>
        <v>271.95</v>
      </c>
      <c r="H11" s="14">
        <f>D11*(1+Assumptions!B31)</f>
        <v>287.7</v>
      </c>
      <c r="I11" s="14">
        <f>E11*(1+Assumptions!B31)</f>
        <v>290.85000000000002</v>
      </c>
      <c r="J11" s="14">
        <f>F11*(1+Assumptions!B31)</f>
        <v>282.45</v>
      </c>
    </row>
    <row r="12" spans="1:10" x14ac:dyDescent="0.25">
      <c r="A12" s="15" t="s">
        <v>85</v>
      </c>
      <c r="B12" s="16">
        <f t="shared" ref="B12:J12" si="0">B8+B9+B10+B11</f>
        <v>10373</v>
      </c>
      <c r="C12" s="16">
        <f t="shared" si="0"/>
        <v>10886</v>
      </c>
      <c r="D12" s="16">
        <f t="shared" si="0"/>
        <v>11077</v>
      </c>
      <c r="E12" s="16">
        <f t="shared" si="0"/>
        <v>11643</v>
      </c>
      <c r="F12" s="16">
        <f t="shared" si="0"/>
        <v>12116</v>
      </c>
      <c r="G12" s="17">
        <f t="shared" si="0"/>
        <v>12964.26</v>
      </c>
      <c r="H12" s="17">
        <f t="shared" si="0"/>
        <v>12283.79</v>
      </c>
      <c r="I12" s="17">
        <f t="shared" si="0"/>
        <v>12713.519999999999</v>
      </c>
      <c r="J12" s="17">
        <f t="shared" si="0"/>
        <v>13053.775000000001</v>
      </c>
    </row>
    <row r="13" spans="1:10" x14ac:dyDescent="0.25">
      <c r="A13" s="12" t="s">
        <v>86</v>
      </c>
      <c r="B13" s="13">
        <v>3775</v>
      </c>
      <c r="C13" s="13">
        <v>3787</v>
      </c>
      <c r="D13" s="13">
        <v>3806</v>
      </c>
      <c r="E13" s="13">
        <v>3707</v>
      </c>
      <c r="F13" s="13">
        <v>3724</v>
      </c>
      <c r="G13" s="14">
        <f>C13*(1+Assumptions!B32)</f>
        <v>3862.7400000000002</v>
      </c>
      <c r="H13" s="14">
        <f>D13*(1+Assumptions!B32)</f>
        <v>3882.12</v>
      </c>
      <c r="I13" s="14">
        <f>E13*(1+Assumptions!B32)</f>
        <v>3781.14</v>
      </c>
      <c r="J13" s="14">
        <f>F13*(1+Assumptions!B32)</f>
        <v>3798.48</v>
      </c>
    </row>
    <row r="14" spans="1:10" x14ac:dyDescent="0.25">
      <c r="A14" s="18" t="s">
        <v>87</v>
      </c>
      <c r="B14" s="16">
        <f t="shared" ref="B14:J14" si="1">B12+B13</f>
        <v>14148</v>
      </c>
      <c r="C14" s="16">
        <f t="shared" si="1"/>
        <v>14673</v>
      </c>
      <c r="D14" s="16">
        <f t="shared" si="1"/>
        <v>14883</v>
      </c>
      <c r="E14" s="16">
        <f t="shared" si="1"/>
        <v>15350</v>
      </c>
      <c r="F14" s="16">
        <f t="shared" si="1"/>
        <v>15840</v>
      </c>
      <c r="G14" s="17">
        <f t="shared" si="1"/>
        <v>16827</v>
      </c>
      <c r="H14" s="17">
        <f t="shared" si="1"/>
        <v>16165.91</v>
      </c>
      <c r="I14" s="17">
        <f t="shared" si="1"/>
        <v>16494.66</v>
      </c>
      <c r="J14" s="17">
        <f t="shared" si="1"/>
        <v>16852.255000000001</v>
      </c>
    </row>
    <row r="15" spans="1:10" x14ac:dyDescent="0.25">
      <c r="A15" s="12" t="s">
        <v>88</v>
      </c>
      <c r="B15" s="13">
        <v>14149</v>
      </c>
      <c r="C15" s="13">
        <v>14673</v>
      </c>
      <c r="D15" s="13">
        <v>14883</v>
      </c>
      <c r="E15" s="13">
        <v>15349</v>
      </c>
      <c r="F15" s="13">
        <v>15841</v>
      </c>
      <c r="G15" s="14">
        <f>Assumptions!B15</f>
        <v>16827</v>
      </c>
      <c r="H15" s="14"/>
      <c r="I15" s="14"/>
      <c r="J15" s="14"/>
    </row>
    <row r="16" spans="1:10" x14ac:dyDescent="0.25">
      <c r="A16" s="12" t="s">
        <v>89</v>
      </c>
      <c r="B16" s="13">
        <f t="shared" ref="B16:G16" si="2">B14-B15</f>
        <v>-1</v>
      </c>
      <c r="C16" s="13">
        <f t="shared" si="2"/>
        <v>0</v>
      </c>
      <c r="D16" s="13">
        <f t="shared" si="2"/>
        <v>0</v>
      </c>
      <c r="E16" s="13">
        <f t="shared" si="2"/>
        <v>1</v>
      </c>
      <c r="F16" s="13">
        <f t="shared" si="2"/>
        <v>-1</v>
      </c>
      <c r="G16" s="14">
        <f t="shared" si="2"/>
        <v>0</v>
      </c>
      <c r="H16" s="14"/>
      <c r="I16" s="14"/>
      <c r="J16" s="14"/>
    </row>
    <row r="19" spans="1:2" x14ac:dyDescent="0.25">
      <c r="A19" s="7" t="s">
        <v>90</v>
      </c>
    </row>
    <row r="20" spans="1:2" x14ac:dyDescent="0.25">
      <c r="A20" t="s">
        <v>91</v>
      </c>
      <c r="B20" s="19">
        <f>D14+E14+F14+G14</f>
        <v>62900</v>
      </c>
    </row>
    <row r="21" spans="1:2" x14ac:dyDescent="0.25">
      <c r="A21" t="s">
        <v>92</v>
      </c>
      <c r="B21" s="20">
        <f>D8+E8+F8+G8</f>
        <v>34527.17</v>
      </c>
    </row>
    <row r="22" spans="1:2" x14ac:dyDescent="0.25">
      <c r="A22" t="s">
        <v>93</v>
      </c>
      <c r="B22" s="20">
        <f>D6+E6+F6+G6</f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 x14ac:dyDescent="0.25"/>
  <sheetData>
    <row r="1" spans="1:6" ht="18.75" x14ac:dyDescent="0.3">
      <c r="A1" s="1" t="s">
        <v>94</v>
      </c>
    </row>
    <row r="2" spans="1:6" x14ac:dyDescent="0.25">
      <c r="A2" s="2" t="s">
        <v>95</v>
      </c>
    </row>
    <row r="4" spans="1:6" x14ac:dyDescent="0.25">
      <c r="A4" s="9" t="s">
        <v>96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</row>
    <row r="5" spans="1:6" x14ac:dyDescent="0.25">
      <c r="A5" t="s">
        <v>102</v>
      </c>
      <c r="B5" s="20">
        <f>Model!G14</f>
        <v>16827</v>
      </c>
      <c r="C5" s="20">
        <v>16838.599999999999</v>
      </c>
      <c r="D5" s="20">
        <f>B5-C5</f>
        <v>-11.599999999998545</v>
      </c>
      <c r="E5" s="21">
        <f>(B5-C5)/C5</f>
        <v>-6.8889337593377987E-4</v>
      </c>
      <c r="F5" t="s">
        <v>103</v>
      </c>
    </row>
    <row r="6" spans="1:6" x14ac:dyDescent="0.25">
      <c r="A6" t="s">
        <v>66</v>
      </c>
      <c r="B6" s="20">
        <f>Model!H14</f>
        <v>16165.91</v>
      </c>
      <c r="C6" s="20">
        <v>16802.099999999999</v>
      </c>
      <c r="D6" s="20">
        <f>B6-C6</f>
        <v>-636.18999999999869</v>
      </c>
      <c r="E6" s="21">
        <f>(B6-C6)/C6</f>
        <v>-3.7863719416025302E-2</v>
      </c>
      <c r="F6" t="s">
        <v>104</v>
      </c>
    </row>
    <row r="7" spans="1:6" x14ac:dyDescent="0.25">
      <c r="A7" t="s">
        <v>105</v>
      </c>
      <c r="B7" s="20">
        <f>Model!E14+Model!F14+Model!G14+Model!H14</f>
        <v>64182.91</v>
      </c>
      <c r="C7" s="20">
        <v>66156.350000000006</v>
      </c>
      <c r="D7" s="20">
        <f>B7-C7</f>
        <v>-1973.4400000000023</v>
      </c>
      <c r="E7" s="21">
        <f>(B7-C7)/C7</f>
        <v>-2.9829940738870905E-2</v>
      </c>
      <c r="F7" t="s">
        <v>106</v>
      </c>
    </row>
    <row r="8" spans="1:6" x14ac:dyDescent="0.25">
      <c r="A8" t="s">
        <v>107</v>
      </c>
      <c r="B8" t="s">
        <v>108</v>
      </c>
      <c r="C8" s="20">
        <v>70806.7</v>
      </c>
      <c r="F8" t="s">
        <v>109</v>
      </c>
    </row>
    <row r="9" spans="1:6" x14ac:dyDescent="0.25">
      <c r="A9" t="s">
        <v>110</v>
      </c>
      <c r="B9" s="20">
        <f>Model!D14+Model!E14+Model!F14+Model!G14</f>
        <v>62900</v>
      </c>
      <c r="C9" s="20">
        <v>62900</v>
      </c>
      <c r="D9" s="20">
        <f>B9-C9</f>
        <v>0</v>
      </c>
      <c r="E9" s="21">
        <f>(B9-C9)/C9</f>
        <v>0</v>
      </c>
      <c r="F9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5" x14ac:dyDescent="0.25"/>
  <sheetData>
    <row r="1" spans="1:5" ht="18.75" x14ac:dyDescent="0.3">
      <c r="A1" s="1" t="s">
        <v>112</v>
      </c>
    </row>
    <row r="2" spans="1:5" x14ac:dyDescent="0.25">
      <c r="A2" s="2" t="s">
        <v>113</v>
      </c>
    </row>
    <row r="4" spans="1:5" x14ac:dyDescent="0.25">
      <c r="A4" s="7" t="s">
        <v>114</v>
      </c>
      <c r="B4" s="7" t="s">
        <v>115</v>
      </c>
      <c r="C4" s="7" t="s">
        <v>116</v>
      </c>
      <c r="D4" s="7" t="s">
        <v>117</v>
      </c>
      <c r="E4" s="7" t="s">
        <v>118</v>
      </c>
    </row>
    <row r="5" spans="1:5" x14ac:dyDescent="0.25">
      <c r="A5" t="s">
        <v>119</v>
      </c>
      <c r="B5" t="s">
        <v>120</v>
      </c>
      <c r="C5" t="s">
        <v>121</v>
      </c>
      <c r="D5" t="s">
        <v>122</v>
      </c>
      <c r="E5" t="s">
        <v>123</v>
      </c>
    </row>
    <row r="6" spans="1:5" x14ac:dyDescent="0.25">
      <c r="A6" t="s">
        <v>124</v>
      </c>
      <c r="B6" t="s">
        <v>125</v>
      </c>
      <c r="C6" t="s">
        <v>126</v>
      </c>
      <c r="D6" t="s">
        <v>127</v>
      </c>
      <c r="E6" t="s">
        <v>128</v>
      </c>
    </row>
    <row r="7" spans="1:5" x14ac:dyDescent="0.25">
      <c r="A7" t="s">
        <v>129</v>
      </c>
      <c r="B7" t="s">
        <v>130</v>
      </c>
      <c r="C7" t="s">
        <v>131</v>
      </c>
      <c r="D7" t="s">
        <v>132</v>
      </c>
      <c r="E7" t="s">
        <v>133</v>
      </c>
    </row>
    <row r="8" spans="1:5" x14ac:dyDescent="0.25">
      <c r="A8" t="s">
        <v>124</v>
      </c>
      <c r="B8" t="s">
        <v>125</v>
      </c>
      <c r="C8" t="s">
        <v>134</v>
      </c>
      <c r="D8" t="s">
        <v>135</v>
      </c>
      <c r="E8" t="s">
        <v>136</v>
      </c>
    </row>
    <row r="9" spans="1:5" x14ac:dyDescent="0.25">
      <c r="A9" t="s">
        <v>137</v>
      </c>
      <c r="B9" t="s">
        <v>125</v>
      </c>
      <c r="C9" t="s">
        <v>138</v>
      </c>
    </row>
    <row r="10" spans="1:5" x14ac:dyDescent="0.25">
      <c r="A10" t="s">
        <v>139</v>
      </c>
      <c r="B10" t="s">
        <v>125</v>
      </c>
      <c r="D10" t="s">
        <v>140</v>
      </c>
    </row>
    <row r="12" spans="1:5" x14ac:dyDescent="0.25">
      <c r="A12" s="3" t="s">
        <v>141</v>
      </c>
    </row>
    <row r="13" spans="1:5" x14ac:dyDescent="0.25">
      <c r="A13" t="s">
        <v>142</v>
      </c>
      <c r="B1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 x14ac:dyDescent="0.25"/>
  <sheetData>
    <row r="1" spans="1:4" ht="18.75" x14ac:dyDescent="0.3">
      <c r="A1" s="1" t="s">
        <v>144</v>
      </c>
    </row>
    <row r="3" spans="1:4" x14ac:dyDescent="0.25">
      <c r="A3" s="7" t="s">
        <v>145</v>
      </c>
      <c r="B3" s="7" t="s">
        <v>146</v>
      </c>
      <c r="C3" s="7" t="s">
        <v>147</v>
      </c>
      <c r="D3" s="7" t="s">
        <v>148</v>
      </c>
    </row>
    <row r="4" spans="1:4" x14ac:dyDescent="0.25">
      <c r="A4" t="s">
        <v>149</v>
      </c>
      <c r="B4" t="s">
        <v>150</v>
      </c>
      <c r="C4" t="s">
        <v>151</v>
      </c>
      <c r="D4" t="s">
        <v>152</v>
      </c>
    </row>
    <row r="5" spans="1:4" x14ac:dyDescent="0.25">
      <c r="A5" t="s">
        <v>149</v>
      </c>
      <c r="B5" t="s">
        <v>153</v>
      </c>
      <c r="C5" t="s">
        <v>154</v>
      </c>
      <c r="D5" t="s">
        <v>155</v>
      </c>
    </row>
    <row r="6" spans="1:4" x14ac:dyDescent="0.25">
      <c r="A6" t="s">
        <v>149</v>
      </c>
      <c r="B6" t="s">
        <v>156</v>
      </c>
      <c r="C6" t="s">
        <v>157</v>
      </c>
      <c r="D6" t="s">
        <v>158</v>
      </c>
    </row>
    <row r="7" spans="1:4" x14ac:dyDescent="0.25">
      <c r="A7" t="s">
        <v>159</v>
      </c>
      <c r="B7" t="s">
        <v>160</v>
      </c>
      <c r="C7" t="s">
        <v>161</v>
      </c>
      <c r="D7" t="s">
        <v>162</v>
      </c>
    </row>
    <row r="8" spans="1:4" x14ac:dyDescent="0.25">
      <c r="A8" t="s">
        <v>163</v>
      </c>
      <c r="B8" t="s">
        <v>164</v>
      </c>
      <c r="C8" t="s">
        <v>165</v>
      </c>
      <c r="D8" t="s">
        <v>166</v>
      </c>
    </row>
    <row r="9" spans="1:4" x14ac:dyDescent="0.25">
      <c r="A9" t="s">
        <v>163</v>
      </c>
      <c r="B9" t="s">
        <v>167</v>
      </c>
      <c r="C9" t="s">
        <v>168</v>
      </c>
      <c r="D9" t="s">
        <v>169</v>
      </c>
    </row>
    <row r="10" spans="1:4" x14ac:dyDescent="0.25">
      <c r="A10" t="s">
        <v>170</v>
      </c>
      <c r="B10" t="s">
        <v>171</v>
      </c>
      <c r="C10" t="s">
        <v>172</v>
      </c>
      <c r="D10" t="s">
        <v>173</v>
      </c>
    </row>
    <row r="11" spans="1:4" x14ac:dyDescent="0.25">
      <c r="A11" t="s">
        <v>174</v>
      </c>
      <c r="B11" t="s">
        <v>175</v>
      </c>
      <c r="C11" t="s">
        <v>176</v>
      </c>
      <c r="D1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vs Consensus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2026-07-02T01:19:30Z</dcterms:created>
  <dcterms:modified xsi:type="dcterms:W3CDTF">2026-07-02T01:41:47Z</dcterms:modified>
</cp:coreProperties>
</file>