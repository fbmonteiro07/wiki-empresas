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Wiki Felipe empresas\_wiki\_models\"/>
    </mc:Choice>
  </mc:AlternateContent>
  <xr:revisionPtr revIDLastSave="0" documentId="13_ncr:1_{DE3761BD-85A5-4EB5-815A-679A6CE65648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Assumptions" sheetId="1" r:id="rId1"/>
    <sheet name="Model" sheetId="2" r:id="rId2"/>
    <sheet name="vs Consensus" sheetId="3" r:id="rId3"/>
    <sheet name="Sensitivity" sheetId="4" r:id="rId4"/>
    <sheet name="Sourc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2" l="1"/>
  <c r="F12" i="2" s="1"/>
  <c r="E10" i="2"/>
  <c r="E12" i="2" s="1"/>
  <c r="D10" i="2"/>
  <c r="D12" i="2" s="1"/>
  <c r="C10" i="2"/>
  <c r="C12" i="2" s="1"/>
  <c r="B10" i="2"/>
  <c r="B12" i="2" s="1"/>
  <c r="I9" i="2"/>
  <c r="H9" i="2"/>
  <c r="G9" i="2"/>
  <c r="J9" i="2" s="1"/>
  <c r="I8" i="2"/>
  <c r="H8" i="2"/>
  <c r="J8" i="2" s="1"/>
  <c r="G8" i="2"/>
  <c r="I7" i="2"/>
  <c r="H7" i="2"/>
  <c r="G7" i="2"/>
  <c r="J7" i="2" s="1"/>
  <c r="I6" i="2"/>
  <c r="H6" i="2"/>
  <c r="G6" i="2"/>
  <c r="J6" i="2" s="1"/>
  <c r="I5" i="2"/>
  <c r="I10" i="2" s="1"/>
  <c r="I12" i="2" s="1"/>
  <c r="H5" i="2"/>
  <c r="J5" i="2" s="1"/>
  <c r="G5" i="2"/>
  <c r="G10" i="2" s="1"/>
  <c r="G12" i="2" s="1"/>
  <c r="J10" i="2" l="1"/>
  <c r="H10" i="2"/>
  <c r="H12" i="2" s="1"/>
  <c r="J12" i="2" s="1"/>
</calcChain>
</file>

<file path=xl/sharedStrings.xml><?xml version="1.0" encoding="utf-8"?>
<sst xmlns="http://schemas.openxmlformats.org/spreadsheetml/2006/main" count="115" uniqueCount="93">
  <si>
    <t>GLW Bottoms-Up Revenue Model — Assumptions</t>
  </si>
  <si>
    <t>Segment net sales basis (Corning core-performance / segment-reporting; sums to reported segment total, GAAP bridge via constant-currency add-back).</t>
  </si>
  <si>
    <t>Tags: GREEN=HARD (filing/guide/transcript w/ cite) | BLUE=PARTIAL / ANCHOR | AMBER=ESTIMATE. All figures $M.</t>
  </si>
  <si>
    <t>Segment</t>
  </si>
  <si>
    <t>Q1-25</t>
  </si>
  <si>
    <t>Q2-25</t>
  </si>
  <si>
    <t>Q3-25</t>
  </si>
  <si>
    <t>Q4-25</t>
  </si>
  <si>
    <t>Q1-26</t>
  </si>
  <si>
    <t>Q2-26E</t>
  </si>
  <si>
    <t>Q3-26E</t>
  </si>
  <si>
    <t>Q4-26E</t>
  </si>
  <si>
    <t>Forecast method / cite</t>
  </si>
  <si>
    <t>Optical Communications</t>
  </si>
  <si>
    <t>FC=YoY +32/30/30% (ESTIMATE, swing). Q1-26 +36% YoY act (Schlesinger, Q1-26). Enterprise=AI ~50% of optical (~$3B ent / $6,274M FY25 optical); FY25 ent ~$3B +60%, hyperscale ~2x (Weeks/Schlesinger, Q4-25).</t>
  </si>
  <si>
    <t>Glass Innovations</t>
  </si>
  <si>
    <t>FC=YoY +2/1/2% (ESTIMATE). Memory-cost headwind 2H26, glass vol down slightly seq (Schlesinger, Q1-26). =Display+Specialty recast.</t>
  </si>
  <si>
    <t>Automotive</t>
  </si>
  <si>
    <t>FC=YoY -1/0/0% (ESTIMATE). Heavy-duty diesel weak N.Am/Europe (Schlesinger, Q4-25). Incl environmental.</t>
  </si>
  <si>
    <t>Solar</t>
  </si>
  <si>
    <t>FC=YoY +35/45/30% (ESTIMATE). Q2 extended shutdown reduces sales ~2mo (Schlesinger, Q1-26); $2.5B/2028 target. =Hemlock + solar wafer + solar module (Emerging Growth is NOT in Solar - it moved to LS+EG), per Q1-26 10-Q Note 14. Q1-25/Q1-26 seeds HARD (filed both bases: Q1-25 Solar=$206M). Q2/Q3/Q4-25 ESTIMATE: reclassed ~$38M/qtr EG out of old Hemlock+EG bucket (Q1-25 recast delta $244M old vs $206M new) into LS+EG; exact quarterly EG split not filed on new basis.</t>
  </si>
  <si>
    <t>Life Sciences + Emerging Growth</t>
  </si>
  <si>
    <t>FC=YoY +2% (ESTIMATE). =old Life Sciences segment + Emerging Growth piece per Q1-26 10-Q Note 14 (Q1-25 recast $272M = old LS $234M + EG $38M). Q1-25/Q1-26 HARD (filed); Q2/Q3/Q4-25 ESTIMATE (EG reclass ~$38M/qtr from Q1-25 delta, exact quarterly split not independently filed on new basis). Corporate/other bucket, not a reportable segment.</t>
  </si>
  <si>
    <t>TOTAL (segment basis)</t>
  </si>
  <si>
    <t>Sum of 5 segments = Corning reported segment net sales total.</t>
  </si>
  <si>
    <t>KEY SWING INPUT — Optical enterprise (AI) YoY growth</t>
  </si>
  <si>
    <t>Optical enterprise share of segment</t>
  </si>
  <si>
    <t>ANCHOR/EST: enterprise ~$3B (Weeks/Schlesinger Q4-25 call: "enterprise business was about $3 billion for the year") / FY25 optical $6,274M (FY25 10-K) = ~48%; use ~50%. Feeds Sensitivity only, not the main revenue build.</t>
  </si>
  <si>
    <t>GLW Quarterly Revenue Build — segment net sales ($M)</t>
  </si>
  <si>
    <t>Actuals HARD/PARTIAL; forecast = YoY growth x year-ago quarter (see Assumptions). Total row = SUM formula (auditable).</t>
  </si>
  <si>
    <t>FY26E</t>
  </si>
  <si>
    <t>Constant-currency adj (to GAAP)</t>
  </si>
  <si>
    <t>Consolidated net sales (GAAP)</t>
  </si>
  <si>
    <t>GUARDRAIL: Q1-26 segment sum ties to reported segment total $4,345M (10-Q Note 14). GAAP $4,144M after -$201M cc adj.</t>
  </si>
  <si>
    <t>GLW Bottoms-Up vs BBG Consensus (BEST_SALES) — $M</t>
  </si>
  <si>
    <t>BBG consensus asof 2026-07-01 (estimates.json). BBG BEST_SALES matches GLW core/segment-performance basis (Q2 +14.6% vs core Q2-25 = the +14% guide). Compare like-for-like to SEGMENT total.</t>
  </si>
  <si>
    <t>Period</t>
  </si>
  <si>
    <t>Bottoms-up (segment)</t>
  </si>
  <si>
    <t>Bottoms-up (GAAP memo)</t>
  </si>
  <si>
    <t>BBG BEST_SALES</t>
  </si>
  <si>
    <t>$ var (seg vs BBG)</t>
  </si>
  <si>
    <t>% var</t>
  </si>
  <si>
    <t>CY2026E</t>
  </si>
  <si>
    <t>CY2027 note: BBG BEST_SALES $22,508M. Bottoms-up not extended to CY27 (only 4 fwd qtrs built); see Sensitivity for CY27 optical scaling.</t>
  </si>
  <si>
    <t>Sensitivity — load-bearing ESTIMATE inputs</t>
  </si>
  <si>
    <t>Total-optical growth is the swing. Solar ramp is secondary. Impact on FY26E segment revenue at +/-25% of the growth ASSUMPTION. NB: +/-25% lever is applied to the WHOLE optical segment growth rate, not just the enterprise/AI ~50% sub-piece.</t>
  </si>
  <si>
    <t>Input</t>
  </si>
  <si>
    <t>-25% growth</t>
  </si>
  <si>
    <t>Base</t>
  </si>
  <si>
    <t>+25% growth</t>
  </si>
  <si>
    <t>Swing (+/-)</t>
  </si>
  <si>
    <t>FY26E total-rev impact</t>
  </si>
  <si>
    <t>Total-optical growth</t>
  </si>
  <si>
    <t>FY26E total moves +/- $480M (~2.5% of $18983M)</t>
  </si>
  <si>
    <t>Solar ramp growth</t>
  </si>
  <si>
    <t>FY26E total moves +/- $140M (~0.7% of $18983M)</t>
  </si>
  <si>
    <t>FY26E segment-basis revenue (base) = $18,983M | GAAP = $18,167M vs BBG $18,986M</t>
  </si>
  <si>
    <t>Sources</t>
  </si>
  <si>
    <t>Type</t>
  </si>
  <si>
    <t>Document</t>
  </si>
  <si>
    <t>Date</t>
  </si>
  <si>
    <t>Used for</t>
  </si>
  <si>
    <t>10-Q</t>
  </si>
  <si>
    <t>GLW_10-Q_2026-05-01 (Q1-26, Note 14 Reportable Segments + Note 2 Disaggregated Revenue)</t>
  </si>
  <si>
    <t>2026-05-01</t>
  </si>
  <si>
    <t>NEW 5-unit structure; Q1-26 &amp; recast Q1-25 segment net sales + net income; GAAP reconciliation (-$201M cc)</t>
  </si>
  <si>
    <t>10-K</t>
  </si>
  <si>
    <t>GLW_10-K_2026-02-12 (FY25, Note 18 + MD&amp;A segment tables)</t>
  </si>
  <si>
    <t>2026-02-12</t>
  </si>
  <si>
    <t>FY25 &amp; FY24 annual segment sales/NI (OLD 6-segment); FY25 total $16,408M; derive Q4-25 by subtraction</t>
  </si>
  <si>
    <t>GLW_10-Q_2025-05-02 (Q1-25)</t>
  </si>
  <si>
    <t>2025-05-02</t>
  </si>
  <si>
    <t>Q1-25 old-structure segment net sales</t>
  </si>
  <si>
    <t>GLW_10-Q_2025-08-01 (Q2-25)</t>
  </si>
  <si>
    <t>2025-08-01</t>
  </si>
  <si>
    <t>Q2-25 old-structure segment net sales</t>
  </si>
  <si>
    <t>GLW_10-Q_2025-10-31 (Q3-25)</t>
  </si>
  <si>
    <t>2025-10-31</t>
  </si>
  <si>
    <t>Q3-25 old-structure segment net sales</t>
  </si>
  <si>
    <t>Transcript</t>
  </si>
  <si>
    <t>GLW_Q1-2026-earnings (Weeks/Schlesinger)</t>
  </si>
  <si>
    <t>2026-04-28</t>
  </si>
  <si>
    <t>Q2-26 guide ~$4.6B/+14%, EPS $0.73-0.77; optical +36% both ent &amp; carrier; solar Q2 shutdown; Display memory headwind; Springboard upgrade</t>
  </si>
  <si>
    <t>GLW_Q4-2025-earnings (Weeks/Schlesinger)</t>
  </si>
  <si>
    <t>2026-01-28</t>
  </si>
  <si>
    <t>FY25 enterprise ~$3B +60% (hyperscale ~2x); Springboard +$6.5B/2026, $24B run-rate/2028; capex $1.7B; Display $900-950M NI target</t>
  </si>
  <si>
    <t>Consensus</t>
  </si>
  <si>
    <t>estimates.json companies.GLW (BBG BEST_SALES)</t>
  </si>
  <si>
    <t>2026-07-01</t>
  </si>
  <si>
    <t>BBG consensus: Q2-26 $4,636M, Q3-26 $4,987M, CY26 $18,986M, CY27 $22,508M (segment/core basis: Q2-26 $4,636M = +14.6% vs core Q2-25 $4,045M, matches "+14% YoY, ~$4.6B core" guide; GAAP YoY would be +20.9%, which nobody guided).</t>
  </si>
  <si>
    <t>Wiki</t>
  </si>
  <si>
    <t>_wiki/GLW.md</t>
  </si>
  <si>
    <t>Thesis/debate; May 6 investor-event Springboard $30B/2028-$40B/2030; sell-side stance (JPM Neutral PT$185, MS EW $180)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</si>
</sst>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+#,##0;\-#,##0"/>
  </numFmts>
  <fonts count="10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9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C00000"/>
      <name val="Calibri"/>
    </font>
    <font>
      <b/>
      <sz val="13"/>
      <name val="Calibri"/>
    </font>
    <font>
      <i/>
      <sz val="11"/>
      <name val="Calibri"/>
    </font>
    <font>
      <i/>
      <sz val="11"/>
      <color rgb="FF008000"/>
      <name val="Calibri"/>
    </font>
    <font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BDD7EE"/>
      </patternFill>
    </fill>
    <fill>
      <patternFill patternType="solid">
        <fgColor rgb="FFFFE699"/>
      </patternFill>
    </fill>
    <fill>
      <patternFill patternType="solid">
        <fgColor rgb="FFFFE699"/>
        <bgColor rgb="FFFFE6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3" fontId="0" fillId="3" borderId="1" xfId="0" applyNumberFormat="1" applyFill="1" applyBorder="1"/>
    <xf numFmtId="3" fontId="0" fillId="4" borderId="1" xfId="0" applyNumberFormat="1" applyFill="1" applyBorder="1"/>
    <xf numFmtId="3" fontId="0" fillId="5" borderId="1" xfId="0" applyNumberFormat="1" applyFill="1" applyBorder="1"/>
    <xf numFmtId="0" fontId="0" fillId="0" borderId="0" xfId="0" applyAlignment="1">
      <alignment vertical="top" wrapText="1"/>
    </xf>
    <xf numFmtId="3" fontId="4" fillId="0" borderId="1" xfId="0" applyNumberFormat="1" applyFont="1" applyBorder="1"/>
    <xf numFmtId="0" fontId="5" fillId="0" borderId="0" xfId="0" applyFont="1"/>
    <xf numFmtId="9" fontId="0" fillId="4" borderId="0" xfId="0" applyNumberFormat="1" applyFill="1"/>
    <xf numFmtId="0" fontId="6" fillId="0" borderId="0" xfId="0" applyFont="1"/>
    <xf numFmtId="0" fontId="7" fillId="0" borderId="0" xfId="0" applyFont="1"/>
    <xf numFmtId="3" fontId="0" fillId="3" borderId="0" xfId="0" applyNumberFormat="1" applyFill="1"/>
    <xf numFmtId="3" fontId="0" fillId="5" borderId="0" xfId="0" applyNumberFormat="1" applyFill="1"/>
    <xf numFmtId="3" fontId="4" fillId="0" borderId="0" xfId="0" applyNumberFormat="1" applyFont="1"/>
    <xf numFmtId="0" fontId="8" fillId="0" borderId="0" xfId="0" applyFont="1"/>
    <xf numFmtId="0" fontId="4" fillId="0" borderId="1" xfId="0" applyFont="1" applyBorder="1"/>
    <xf numFmtId="3" fontId="0" fillId="0" borderId="1" xfId="0" applyNumberFormat="1" applyBorder="1"/>
    <xf numFmtId="38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0" fontId="9" fillId="0" borderId="0" xfId="0" applyFont="1"/>
    <xf numFmtId="0" fontId="0" fillId="0" borderId="1" xfId="0" applyBorder="1" applyAlignment="1">
      <alignment vertical="top" wrapText="1"/>
    </xf>
    <xf numFmtId="3" fontId="0" fillId="6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/>
  </sheetViews>
  <sheetFormatPr defaultRowHeight="15" x14ac:dyDescent="0.25"/>
  <cols>
    <col min="1" max="1" width="34" customWidth="1"/>
    <col min="2" max="9" width="10" customWidth="1"/>
    <col min="10" max="10" width="60" customWidth="1"/>
  </cols>
  <sheetData>
    <row r="1" spans="1:10" ht="18.75" customHeight="1" x14ac:dyDescent="0.3">
      <c r="A1" s="1" t="s">
        <v>0</v>
      </c>
    </row>
    <row r="2" spans="1:10" x14ac:dyDescent="0.25">
      <c r="A2" s="2" t="s">
        <v>1</v>
      </c>
    </row>
    <row r="3" spans="1:10" x14ac:dyDescent="0.25">
      <c r="A3" s="2" t="s">
        <v>2</v>
      </c>
    </row>
    <row r="5" spans="1:10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spans="1:10" ht="60" customHeight="1" x14ac:dyDescent="0.25">
      <c r="A6" s="4" t="s">
        <v>13</v>
      </c>
      <c r="B6" s="5">
        <v>1355</v>
      </c>
      <c r="C6" s="6">
        <v>1566</v>
      </c>
      <c r="D6" s="6">
        <v>1652</v>
      </c>
      <c r="E6" s="6">
        <v>1701</v>
      </c>
      <c r="F6" s="5">
        <v>1846</v>
      </c>
      <c r="G6" s="6">
        <v>2004</v>
      </c>
      <c r="H6" s="7">
        <v>2131</v>
      </c>
      <c r="I6" s="7">
        <v>2211</v>
      </c>
      <c r="J6" s="8" t="s">
        <v>14</v>
      </c>
    </row>
    <row r="7" spans="1:10" ht="45" customHeight="1" x14ac:dyDescent="0.25">
      <c r="A7" s="4" t="s">
        <v>15</v>
      </c>
      <c r="B7" s="5">
        <v>1406</v>
      </c>
      <c r="C7" s="6">
        <v>1443</v>
      </c>
      <c r="D7" s="6">
        <v>1560</v>
      </c>
      <c r="E7" s="6">
        <v>1499</v>
      </c>
      <c r="F7" s="5">
        <v>1420</v>
      </c>
      <c r="G7" s="7">
        <v>1472</v>
      </c>
      <c r="H7" s="7">
        <v>1576</v>
      </c>
      <c r="I7" s="7">
        <v>1529</v>
      </c>
      <c r="J7" s="8" t="s">
        <v>16</v>
      </c>
    </row>
    <row r="8" spans="1:10" ht="30" customHeight="1" x14ac:dyDescent="0.25">
      <c r="A8" s="4" t="s">
        <v>17</v>
      </c>
      <c r="B8" s="5">
        <v>440</v>
      </c>
      <c r="C8" s="6">
        <v>460</v>
      </c>
      <c r="D8" s="6">
        <v>454</v>
      </c>
      <c r="E8" s="6">
        <v>440</v>
      </c>
      <c r="F8" s="5">
        <v>437</v>
      </c>
      <c r="G8" s="7">
        <v>455</v>
      </c>
      <c r="H8" s="7">
        <v>454</v>
      </c>
      <c r="I8" s="7">
        <v>440</v>
      </c>
      <c r="J8" s="8" t="s">
        <v>18</v>
      </c>
    </row>
    <row r="9" spans="1:10" ht="120" customHeight="1" x14ac:dyDescent="0.25">
      <c r="A9" s="4" t="s">
        <v>19</v>
      </c>
      <c r="B9" s="5">
        <v>206</v>
      </c>
      <c r="C9" s="25">
        <v>288</v>
      </c>
      <c r="D9" s="25">
        <v>326</v>
      </c>
      <c r="E9" s="25">
        <v>488</v>
      </c>
      <c r="F9" s="5">
        <v>370</v>
      </c>
      <c r="G9" s="7">
        <v>389</v>
      </c>
      <c r="H9" s="7">
        <v>473</v>
      </c>
      <c r="I9" s="7">
        <v>634</v>
      </c>
      <c r="J9" s="8" t="s">
        <v>20</v>
      </c>
    </row>
    <row r="10" spans="1:10" ht="90" customHeight="1" x14ac:dyDescent="0.25">
      <c r="A10" s="4" t="s">
        <v>21</v>
      </c>
      <c r="B10" s="5">
        <v>272</v>
      </c>
      <c r="C10" s="25">
        <v>288</v>
      </c>
      <c r="D10" s="25">
        <v>280</v>
      </c>
      <c r="E10" s="25">
        <v>284</v>
      </c>
      <c r="F10" s="5">
        <v>272</v>
      </c>
      <c r="G10" s="7">
        <v>294</v>
      </c>
      <c r="H10" s="7">
        <v>286</v>
      </c>
      <c r="I10" s="7">
        <v>290</v>
      </c>
      <c r="J10" s="8" t="s">
        <v>22</v>
      </c>
    </row>
    <row r="11" spans="1:10" x14ac:dyDescent="0.25">
      <c r="A11" s="4" t="s">
        <v>23</v>
      </c>
      <c r="B11" s="9">
        <v>3679</v>
      </c>
      <c r="C11" s="9">
        <v>4045</v>
      </c>
      <c r="D11" s="9">
        <v>4272</v>
      </c>
      <c r="E11" s="9">
        <v>4412</v>
      </c>
      <c r="F11" s="9">
        <v>4345</v>
      </c>
      <c r="G11" s="9">
        <v>4614</v>
      </c>
      <c r="H11" s="9">
        <v>4920</v>
      </c>
      <c r="I11" s="9">
        <v>5104</v>
      </c>
      <c r="J11" t="s">
        <v>24</v>
      </c>
    </row>
    <row r="13" spans="1:10" x14ac:dyDescent="0.25">
      <c r="A13" s="10" t="s">
        <v>25</v>
      </c>
    </row>
    <row r="14" spans="1:10" x14ac:dyDescent="0.25">
      <c r="A14" t="s">
        <v>26</v>
      </c>
      <c r="B14" s="11">
        <v>0.5</v>
      </c>
      <c r="C14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"/>
  <sheetViews>
    <sheetView workbookViewId="0"/>
  </sheetViews>
  <sheetFormatPr defaultRowHeight="15" x14ac:dyDescent="0.25"/>
  <cols>
    <col min="1" max="1" width="34" customWidth="1"/>
    <col min="2" max="9" width="10" customWidth="1"/>
    <col min="10" max="10" width="11" customWidth="1"/>
  </cols>
  <sheetData>
    <row r="1" spans="1:10" ht="17.25" customHeight="1" x14ac:dyDescent="0.3">
      <c r="A1" s="12" t="s">
        <v>28</v>
      </c>
    </row>
    <row r="2" spans="1:10" x14ac:dyDescent="0.25">
      <c r="A2" s="2" t="s">
        <v>29</v>
      </c>
    </row>
    <row r="4" spans="1:10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30</v>
      </c>
    </row>
    <row r="5" spans="1:10" x14ac:dyDescent="0.25">
      <c r="A5" s="4" t="s">
        <v>13</v>
      </c>
      <c r="B5" s="5">
        <v>1355</v>
      </c>
      <c r="C5" s="6">
        <v>1566</v>
      </c>
      <c r="D5" s="6">
        <v>1652</v>
      </c>
      <c r="E5" s="6">
        <v>1701</v>
      </c>
      <c r="F5" s="5">
        <v>1846</v>
      </c>
      <c r="G5" s="6">
        <f>ROUND(C5*(1+0.28),0)</f>
        <v>2004</v>
      </c>
      <c r="H5" s="7">
        <f>ROUND(D5*(1+0.29),0)</f>
        <v>2131</v>
      </c>
      <c r="I5" s="7">
        <f>ROUND(E5*(1+0.3),0)</f>
        <v>2211</v>
      </c>
      <c r="J5" s="9">
        <f>F5+G5+H5+I5</f>
        <v>8192</v>
      </c>
    </row>
    <row r="6" spans="1:10" x14ac:dyDescent="0.25">
      <c r="A6" s="4" t="s">
        <v>15</v>
      </c>
      <c r="B6" s="5">
        <v>1406</v>
      </c>
      <c r="C6" s="6">
        <v>1443</v>
      </c>
      <c r="D6" s="6">
        <v>1560</v>
      </c>
      <c r="E6" s="6">
        <v>1499</v>
      </c>
      <c r="F6" s="5">
        <v>1420</v>
      </c>
      <c r="G6" s="7">
        <f>ROUND(C6*(1+0.02),0)</f>
        <v>1472</v>
      </c>
      <c r="H6" s="7">
        <f>ROUND(D6*(1+0.01),0)</f>
        <v>1576</v>
      </c>
      <c r="I6" s="7">
        <f>ROUND(E6*(1+0.02),0)</f>
        <v>1529</v>
      </c>
      <c r="J6" s="9">
        <f>F6+G6+H6+I6</f>
        <v>5997</v>
      </c>
    </row>
    <row r="7" spans="1:10" x14ac:dyDescent="0.25">
      <c r="A7" s="4" t="s">
        <v>17</v>
      </c>
      <c r="B7" s="5">
        <v>440</v>
      </c>
      <c r="C7" s="6">
        <v>460</v>
      </c>
      <c r="D7" s="6">
        <v>454</v>
      </c>
      <c r="E7" s="6">
        <v>440</v>
      </c>
      <c r="F7" s="5">
        <v>437</v>
      </c>
      <c r="G7" s="7">
        <f>ROUND(C7*(1+-0.01),0)</f>
        <v>455</v>
      </c>
      <c r="H7" s="7">
        <f>ROUND(D7*(1+0),0)</f>
        <v>454</v>
      </c>
      <c r="I7" s="7">
        <f>ROUND(E7*(1+0),0)</f>
        <v>440</v>
      </c>
      <c r="J7" s="9">
        <f>F7+G7+H7+I7</f>
        <v>1786</v>
      </c>
    </row>
    <row r="8" spans="1:10" x14ac:dyDescent="0.25">
      <c r="A8" s="4" t="s">
        <v>19</v>
      </c>
      <c r="B8" s="5">
        <v>206</v>
      </c>
      <c r="C8" s="25">
        <v>288</v>
      </c>
      <c r="D8" s="25">
        <v>326</v>
      </c>
      <c r="E8" s="25">
        <v>488</v>
      </c>
      <c r="F8" s="5">
        <v>370</v>
      </c>
      <c r="G8" s="7">
        <f>ROUND(C8*(1+0.35),0)</f>
        <v>389</v>
      </c>
      <c r="H8" s="7">
        <f>ROUND(D8*(1+0.45),0)</f>
        <v>473</v>
      </c>
      <c r="I8" s="7">
        <f>ROUND(E8*(1+0.3),0)</f>
        <v>634</v>
      </c>
      <c r="J8" s="9">
        <f>F8+G8+H8+I8</f>
        <v>1866</v>
      </c>
    </row>
    <row r="9" spans="1:10" x14ac:dyDescent="0.25">
      <c r="A9" s="4" t="s">
        <v>21</v>
      </c>
      <c r="B9" s="5">
        <v>272</v>
      </c>
      <c r="C9" s="25">
        <v>288</v>
      </c>
      <c r="D9" s="25">
        <v>280</v>
      </c>
      <c r="E9" s="25">
        <v>284</v>
      </c>
      <c r="F9" s="5">
        <v>272</v>
      </c>
      <c r="G9" s="7">
        <f>ROUND(C9*(1+0.02),0)</f>
        <v>294</v>
      </c>
      <c r="H9" s="7">
        <f>ROUND(D9*(1+0.02),0)</f>
        <v>286</v>
      </c>
      <c r="I9" s="7">
        <f>ROUND(E9*(1+0.02),0)</f>
        <v>290</v>
      </c>
      <c r="J9" s="9">
        <f>F9+G9+H9+I9</f>
        <v>1142</v>
      </c>
    </row>
    <row r="10" spans="1:10" x14ac:dyDescent="0.25">
      <c r="A10" s="4" t="s">
        <v>23</v>
      </c>
      <c r="B10" s="9">
        <f t="shared" ref="B10:J10" si="0">SUM(B5:B9)</f>
        <v>3679</v>
      </c>
      <c r="C10" s="9">
        <f t="shared" si="0"/>
        <v>4045</v>
      </c>
      <c r="D10" s="9">
        <f t="shared" si="0"/>
        <v>4272</v>
      </c>
      <c r="E10" s="9">
        <f t="shared" si="0"/>
        <v>4412</v>
      </c>
      <c r="F10" s="9">
        <f t="shared" si="0"/>
        <v>4345</v>
      </c>
      <c r="G10" s="9">
        <f t="shared" si="0"/>
        <v>4614</v>
      </c>
      <c r="H10" s="9">
        <f t="shared" si="0"/>
        <v>4920</v>
      </c>
      <c r="I10" s="9">
        <f t="shared" si="0"/>
        <v>5104</v>
      </c>
      <c r="J10" s="9">
        <f t="shared" si="0"/>
        <v>18983</v>
      </c>
    </row>
    <row r="11" spans="1:10" x14ac:dyDescent="0.25">
      <c r="A11" s="13" t="s">
        <v>31</v>
      </c>
      <c r="B11" s="14">
        <v>-227</v>
      </c>
      <c r="C11" s="15">
        <v>-210</v>
      </c>
      <c r="D11" s="15">
        <v>-210</v>
      </c>
      <c r="E11" s="15">
        <v>-205</v>
      </c>
      <c r="F11" s="14">
        <v>-201</v>
      </c>
      <c r="G11" s="15">
        <v>-205</v>
      </c>
      <c r="H11" s="15">
        <v>-205</v>
      </c>
      <c r="I11" s="15">
        <v>-205</v>
      </c>
    </row>
    <row r="12" spans="1:10" x14ac:dyDescent="0.25">
      <c r="A12" s="4" t="s">
        <v>32</v>
      </c>
      <c r="B12" s="16">
        <f t="shared" ref="B12:I12" si="1">B10+B11</f>
        <v>3452</v>
      </c>
      <c r="C12" s="16">
        <f t="shared" si="1"/>
        <v>3835</v>
      </c>
      <c r="D12" s="16">
        <f t="shared" si="1"/>
        <v>4062</v>
      </c>
      <c r="E12" s="16">
        <f t="shared" si="1"/>
        <v>4207</v>
      </c>
      <c r="F12" s="16">
        <f t="shared" si="1"/>
        <v>4144</v>
      </c>
      <c r="G12" s="16">
        <f t="shared" si="1"/>
        <v>4409</v>
      </c>
      <c r="H12" s="16">
        <f t="shared" si="1"/>
        <v>4715</v>
      </c>
      <c r="I12" s="16">
        <f t="shared" si="1"/>
        <v>4899</v>
      </c>
      <c r="J12" s="16">
        <f>F12+G12+H12+I12</f>
        <v>18167</v>
      </c>
    </row>
    <row r="14" spans="1:10" x14ac:dyDescent="0.25">
      <c r="A14" s="17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/>
  </sheetViews>
  <sheetFormatPr defaultRowHeight="15" x14ac:dyDescent="0.25"/>
  <cols>
    <col min="1" max="1" width="12" customWidth="1"/>
    <col min="2" max="3" width="20" customWidth="1"/>
    <col min="4" max="4" width="18" customWidth="1"/>
    <col min="5" max="5" width="20" customWidth="1"/>
    <col min="6" max="6" width="10" customWidth="1"/>
  </cols>
  <sheetData>
    <row r="1" spans="1:6" ht="17.25" customHeight="1" x14ac:dyDescent="0.3">
      <c r="A1" s="12" t="s">
        <v>34</v>
      </c>
    </row>
    <row r="2" spans="1:6" x14ac:dyDescent="0.25">
      <c r="A2" s="2" t="s">
        <v>35</v>
      </c>
    </row>
    <row r="4" spans="1:6" ht="30" customHeight="1" x14ac:dyDescent="0.25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</row>
    <row r="5" spans="1:6" x14ac:dyDescent="0.25">
      <c r="A5" s="18" t="s">
        <v>9</v>
      </c>
      <c r="B5" s="19">
        <v>4614</v>
      </c>
      <c r="C5" s="19">
        <v>4409</v>
      </c>
      <c r="D5" s="19">
        <v>4636</v>
      </c>
      <c r="E5" s="20">
        <v>-22</v>
      </c>
      <c r="F5" s="21">
        <v>-4.7454702329594476E-3</v>
      </c>
    </row>
    <row r="6" spans="1:6" x14ac:dyDescent="0.25">
      <c r="A6" s="18" t="s">
        <v>10</v>
      </c>
      <c r="B6" s="19">
        <v>4920</v>
      </c>
      <c r="C6" s="19">
        <v>4715</v>
      </c>
      <c r="D6" s="19">
        <v>4987</v>
      </c>
      <c r="E6" s="20">
        <v>-67</v>
      </c>
      <c r="F6" s="21">
        <v>-1.343493082013234E-2</v>
      </c>
    </row>
    <row r="7" spans="1:6" x14ac:dyDescent="0.25">
      <c r="A7" s="18" t="s">
        <v>42</v>
      </c>
      <c r="B7" s="19">
        <v>18983</v>
      </c>
      <c r="C7" s="19">
        <v>18167</v>
      </c>
      <c r="D7" s="19">
        <v>18986</v>
      </c>
      <c r="E7" s="20">
        <v>-3</v>
      </c>
      <c r="F7" s="21">
        <v>-1.5801116612240601E-4</v>
      </c>
    </row>
    <row r="9" spans="1:6" x14ac:dyDescent="0.25">
      <c r="A9" s="2" t="s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/>
  </sheetViews>
  <sheetFormatPr defaultRowHeight="15" x14ac:dyDescent="0.25"/>
  <cols>
    <col min="1" max="1" width="28" customWidth="1"/>
    <col min="2" max="2" width="14" customWidth="1"/>
    <col min="3" max="3" width="12" customWidth="1"/>
    <col min="4" max="4" width="14" customWidth="1"/>
    <col min="5" max="5" width="12" customWidth="1"/>
    <col min="6" max="6" width="42" customWidth="1"/>
  </cols>
  <sheetData>
    <row r="1" spans="1:6" ht="17.25" customHeight="1" x14ac:dyDescent="0.3">
      <c r="A1" s="12" t="s">
        <v>44</v>
      </c>
    </row>
    <row r="2" spans="1:6" x14ac:dyDescent="0.25">
      <c r="A2" s="2" t="s">
        <v>45</v>
      </c>
    </row>
    <row r="4" spans="1:6" x14ac:dyDescent="0.25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</row>
    <row r="5" spans="1:6" x14ac:dyDescent="0.25">
      <c r="A5" s="18" t="s">
        <v>52</v>
      </c>
      <c r="B5" s="19">
        <v>7712</v>
      </c>
      <c r="C5" s="7">
        <v>8192</v>
      </c>
      <c r="D5" s="19">
        <v>8672</v>
      </c>
      <c r="E5" s="22">
        <v>480</v>
      </c>
      <c r="F5" s="23" t="s">
        <v>53</v>
      </c>
    </row>
    <row r="6" spans="1:6" x14ac:dyDescent="0.25">
      <c r="A6" s="18" t="s">
        <v>54</v>
      </c>
      <c r="B6" s="19">
        <v>1726</v>
      </c>
      <c r="C6" s="7">
        <v>1866</v>
      </c>
      <c r="D6" s="19">
        <v>2006</v>
      </c>
      <c r="E6" s="22">
        <v>140</v>
      </c>
      <c r="F6" s="23" t="s">
        <v>55</v>
      </c>
    </row>
    <row r="8" spans="1:6" x14ac:dyDescent="0.25">
      <c r="A8" s="4" t="s">
        <v>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workbookViewId="0"/>
  </sheetViews>
  <sheetFormatPr defaultRowHeight="15" x14ac:dyDescent="0.25"/>
  <cols>
    <col min="1" max="1" width="12" customWidth="1"/>
    <col min="2" max="2" width="60" customWidth="1"/>
    <col min="3" max="3" width="12" customWidth="1"/>
    <col min="4" max="4" width="70" customWidth="1"/>
  </cols>
  <sheetData>
    <row r="1" spans="1:4" ht="17.25" customHeight="1" x14ac:dyDescent="0.3">
      <c r="A1" s="12" t="s">
        <v>57</v>
      </c>
    </row>
    <row r="3" spans="1:4" x14ac:dyDescent="0.25">
      <c r="A3" s="3" t="s">
        <v>58</v>
      </c>
      <c r="B3" s="3" t="s">
        <v>59</v>
      </c>
      <c r="C3" s="3" t="s">
        <v>60</v>
      </c>
      <c r="D3" s="3" t="s">
        <v>61</v>
      </c>
    </row>
    <row r="4" spans="1:4" ht="30" customHeight="1" x14ac:dyDescent="0.25">
      <c r="A4" s="24" t="s">
        <v>62</v>
      </c>
      <c r="B4" s="24" t="s">
        <v>63</v>
      </c>
      <c r="C4" s="24" t="s">
        <v>64</v>
      </c>
      <c r="D4" s="24" t="s">
        <v>65</v>
      </c>
    </row>
    <row r="5" spans="1:4" ht="30" customHeight="1" x14ac:dyDescent="0.25">
      <c r="A5" s="24" t="s">
        <v>66</v>
      </c>
      <c r="B5" s="24" t="s">
        <v>67</v>
      </c>
      <c r="C5" s="24" t="s">
        <v>68</v>
      </c>
      <c r="D5" s="24" t="s">
        <v>69</v>
      </c>
    </row>
    <row r="6" spans="1:4" x14ac:dyDescent="0.25">
      <c r="A6" s="24" t="s">
        <v>62</v>
      </c>
      <c r="B6" s="24" t="s">
        <v>70</v>
      </c>
      <c r="C6" s="24" t="s">
        <v>71</v>
      </c>
      <c r="D6" s="24" t="s">
        <v>72</v>
      </c>
    </row>
    <row r="7" spans="1:4" x14ac:dyDescent="0.25">
      <c r="A7" s="24" t="s">
        <v>62</v>
      </c>
      <c r="B7" s="24" t="s">
        <v>73</v>
      </c>
      <c r="C7" s="24" t="s">
        <v>74</v>
      </c>
      <c r="D7" s="24" t="s">
        <v>75</v>
      </c>
    </row>
    <row r="8" spans="1:4" x14ac:dyDescent="0.25">
      <c r="A8" s="24" t="s">
        <v>62</v>
      </c>
      <c r="B8" s="24" t="s">
        <v>76</v>
      </c>
      <c r="C8" s="24" t="s">
        <v>77</v>
      </c>
      <c r="D8" s="24" t="s">
        <v>78</v>
      </c>
    </row>
    <row r="9" spans="1:4" ht="30" customHeight="1" x14ac:dyDescent="0.25">
      <c r="A9" s="24" t="s">
        <v>79</v>
      </c>
      <c r="B9" s="24" t="s">
        <v>80</v>
      </c>
      <c r="C9" s="24" t="s">
        <v>81</v>
      </c>
      <c r="D9" s="24" t="s">
        <v>82</v>
      </c>
    </row>
    <row r="10" spans="1:4" ht="30" customHeight="1" x14ac:dyDescent="0.25">
      <c r="A10" s="24" t="s">
        <v>79</v>
      </c>
      <c r="B10" s="24" t="s">
        <v>83</v>
      </c>
      <c r="C10" s="24" t="s">
        <v>84</v>
      </c>
      <c r="D10" s="24" t="s">
        <v>85</v>
      </c>
    </row>
    <row r="11" spans="1:4" ht="60" customHeight="1" x14ac:dyDescent="0.25">
      <c r="A11" s="24" t="s">
        <v>86</v>
      </c>
      <c r="B11" s="24" t="s">
        <v>87</v>
      </c>
      <c r="C11" s="24" t="s">
        <v>88</v>
      </c>
      <c r="D11" s="24" t="s">
        <v>89</v>
      </c>
    </row>
    <row r="12" spans="1:4" ht="30" customHeight="1" x14ac:dyDescent="0.25">
      <c r="A12" s="24" t="s">
        <v>90</v>
      </c>
      <c r="B12" s="24" t="s">
        <v>91</v>
      </c>
      <c r="C12" s="24" t="s">
        <v>88</v>
      </c>
      <c r="D12" s="24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Model</vt:lpstr>
      <vt:lpstr>vs Consensus</vt:lpstr>
      <vt:lpstr>Sensitivity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Monteiro</cp:lastModifiedBy>
  <dcterms:created xsi:type="dcterms:W3CDTF">2026-07-02T01:16:30Z</dcterms:created>
  <dcterms:modified xsi:type="dcterms:W3CDTF">2026-07-02T01:41:43Z</dcterms:modified>
</cp:coreProperties>
</file>