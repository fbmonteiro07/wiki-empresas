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_Demand_by_node" sheetId="2" state="visible" r:id="rId2"/>
    <sheet xmlns:r="http://schemas.openxmlformats.org/officeDocument/2006/relationships" name="3_Supply_capacity" sheetId="3" state="visible" r:id="rId3"/>
    <sheet xmlns:r="http://schemas.openxmlformats.org/officeDocument/2006/relationships" name="4_UBS_N3_model" sheetId="4" state="visible" r:id="rId4"/>
    <sheet xmlns:r="http://schemas.openxmlformats.org/officeDocument/2006/relationships" name="5_CPU_demand" sheetId="5" state="visible" r:id="rId5"/>
    <sheet xmlns:r="http://schemas.openxmlformats.org/officeDocument/2006/relationships" name="6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(#,##0.0);&quot;-&quot;"/>
    <numFmt numFmtId="165" formatCode="0%;(0%);&quot;-&quot;"/>
    <numFmt numFmtId="166" formatCode="#,##0;(#,##0);&quot;-&quot;"/>
    <numFmt numFmtId="167" formatCode="$#,##0;($#,##0);&quot;-&quot;"/>
    <numFmt numFmtId="168" formatCode="0.0%;(0.0%);&quot;-&quot;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404040"/>
      <sz val="9"/>
    </font>
    <font>
      <name val="Arial"/>
      <b val="1"/>
      <color rgb="009C0006"/>
      <sz val="9"/>
    </font>
    <font>
      <name val="Arial"/>
      <b val="1"/>
      <color rgb="001F3864"/>
      <sz val="11"/>
    </font>
    <font>
      <name val="Arial"/>
      <sz val="10"/>
    </font>
    <font>
      <name val="Arial"/>
      <i val="1"/>
      <color rgb="00808080"/>
      <sz val="8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0000FF"/>
      <sz val="10"/>
    </font>
    <font>
      <name val="Arial"/>
      <color rgb="000000FF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1" applyAlignment="1" pivotButton="0" quotePrefix="0" xfId="0">
      <alignment horizontal="center"/>
    </xf>
    <xf numFmtId="0" fontId="5" fillId="0" borderId="1" pivotButton="0" quotePrefix="0" xfId="0"/>
    <xf numFmtId="164" fontId="9" fillId="0" borderId="1" pivotButton="0" quotePrefix="0" xfId="0"/>
    <xf numFmtId="0" fontId="6" fillId="0" borderId="0" pivotButton="0" quotePrefix="0" xfId="0"/>
    <xf numFmtId="0" fontId="9" fillId="0" borderId="1" pivotButton="0" quotePrefix="0" xfId="0"/>
    <xf numFmtId="0" fontId="7" fillId="4" borderId="1" pivotButton="0" quotePrefix="0" xfId="0"/>
    <xf numFmtId="164" fontId="7" fillId="4" borderId="1" pivotButton="0" quotePrefix="0" xfId="0"/>
    <xf numFmtId="165" fontId="10" fillId="0" borderId="1" pivotButton="0" quotePrefix="0" xfId="0"/>
    <xf numFmtId="0" fontId="11" fillId="4" borderId="1" pivotButton="0" quotePrefix="0" xfId="0"/>
    <xf numFmtId="166" fontId="9" fillId="4" borderId="1" pivotButton="0" quotePrefix="0" xfId="0"/>
    <xf numFmtId="165" fontId="11" fillId="4" borderId="1" pivotButton="0" quotePrefix="0" xfId="0"/>
    <xf numFmtId="164" fontId="10" fillId="0" borderId="1" pivotButton="0" quotePrefix="0" xfId="0"/>
    <xf numFmtId="0" fontId="10" fillId="0" borderId="1" pivotButton="0" quotePrefix="0" xfId="0"/>
    <xf numFmtId="166" fontId="7" fillId="4" borderId="1" pivotButton="0" quotePrefix="0" xfId="0"/>
    <xf numFmtId="166" fontId="10" fillId="0" borderId="1" pivotButton="0" quotePrefix="0" xfId="0"/>
    <xf numFmtId="0" fontId="7" fillId="0" borderId="1" pivotButton="0" quotePrefix="0" xfId="0"/>
    <xf numFmtId="165" fontId="5" fillId="0" borderId="1" pivotButton="0" quotePrefix="0" xfId="0"/>
    <xf numFmtId="167" fontId="10" fillId="0" borderId="1" pivotButton="0" quotePrefix="0" xfId="0"/>
    <xf numFmtId="167" fontId="7" fillId="4" borderId="1" pivotButton="0" quotePrefix="0" xfId="0"/>
    <xf numFmtId="168" fontId="10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zoomScale="9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  <col width="42" customWidth="1" min="3" max="3"/>
  </cols>
  <sheetData>
    <row r="1">
      <c r="A1" s="1" t="inlineStr">
        <is>
          <t>Foundry leading-edge: N2 / N3 / N5 demand &amp; supply — TSMC and Intel</t>
        </is>
      </c>
    </row>
    <row r="2">
      <c r="A2" s="2" t="inlineStr">
        <is>
          <t>Built 2026-07-02 from UBS Semis Sector Keys July 2026 (Sunny Lin/Randy Abrams, 2026-07-02), UBS N3 model (2026-06-28), MS Charlie Chan (2026-06-23/29), Fubon (2025-10-28 / 2026-06-05), TSMC earnings transcripts.</t>
        </is>
      </c>
    </row>
    <row r="4">
      <c r="A4" s="3" t="inlineStr">
        <is>
          <t>UNITS — never mix bases: kwpm = thousand 12"-equiv wafer starts per month (capacity is PERIOD-END unless noted); annual demand in k wafers/yr ≈ avg kwpm × 12.</t>
        </is>
      </c>
    </row>
    <row r="6" ht="15" customHeight="1">
      <c r="A6" s="4" t="inlineStr">
        <is>
          <t>Headline reads</t>
        </is>
      </c>
      <c r="B6" s="5" t="inlineStr"/>
      <c r="C6" s="6" t="inlineStr"/>
    </row>
    <row r="7" ht="42" customHeight="1">
      <c r="A7" s="7" t="inlineStr">
        <is>
          <t>N3 is structurally sold out</t>
        </is>
      </c>
      <c r="B7" s="5" t="inlineStr">
        <is>
          <t>UBS models 102-110% utilization every quarter through 2027 (demand 1,837k → 2,266k wafers vs capacity 1,710k → 2,190k); MS runs ~12-15% hotter on 2027 demand (~218 vs UBS 189 kwpm avg).</t>
        </is>
      </c>
      <c r="C7" s="6" t="inlineStr">
        <is>
          <t>UBS 2026-06-28 · MS 2026-06-23</t>
        </is>
      </c>
    </row>
    <row r="8" ht="42" customHeight="1">
      <c r="A8" s="7" t="inlineStr">
        <is>
          <t>N2 is the real ramp</t>
        </is>
      </c>
      <c r="B8" s="5" t="inlineStr">
        <is>
          <t>Industry N2 capacity 47 → 114 → 190 → 230 kwpm (2025→2028E): TSMC 40→160, Intel 4→40, Samsung 3→30. MS sits above UBS on TSMC N2 (210k vs 160k by 2028); Fubon below (110-120k in 2027).</t>
        </is>
      </c>
      <c r="C8" s="6" t="inlineStr">
        <is>
          <t>UBS Sector Keys 2026-07-02 p58 · MS 2026-06-23 · Fubon 2026-06-05</t>
        </is>
      </c>
    </row>
    <row r="9" ht="42" customHeight="1">
      <c r="A9" s="7" t="inlineStr">
        <is>
          <t>N5/N4 has peaked</t>
        </is>
      </c>
      <c r="B9" s="5" t="inlineStr">
        <is>
          <t>MS chart-read demand: ~185 kwpm peak 2025e → ~160 (2026e) → ~150 (2027e) as AI/HPC migrates up-node; TSMC even backfills N4 demand with 20nm-era capacity.</t>
        </is>
      </c>
      <c r="C9" s="6" t="inlineStr">
        <is>
          <t>MS 2026-06-23 (chart-read, ±10-15) · JPM Gokul 2026-04-02</t>
        </is>
      </c>
    </row>
    <row r="10" ht="42" customHeight="1">
      <c r="A10" s="7" t="inlineStr">
        <is>
          <t>Server CPU is the new wafer leg</t>
        </is>
      </c>
      <c r="B10" s="5" t="inlineStr">
        <is>
          <t>UBS: server-CPU leading-edge requirement 71.3 → 200.7 kwpm (2025→2030E); TSMC's capture 18 → 122 kwpm = $3.7bn → $44.1bn (3% → 11% of sales). ARM unit share 16%→42%, Intel 60%→29%.</t>
        </is>
      </c>
      <c r="C10" s="6" t="inlineStr">
        <is>
          <t>UBS Sector Keys 2026-07-02 p76-78</t>
        </is>
      </c>
    </row>
    <row r="11" ht="42" customHeight="1">
      <c r="A11" s="7" t="inlineStr">
        <is>
          <t>Intel: 18A ramps, scale gap persists</t>
        </is>
      </c>
      <c r="B11" s="5" t="inlineStr">
        <is>
          <t>Intel 2nm-class (18A/14A, wafer-output basis) 4 → 40 kwpm 2025→2028E; MS: TSMC N2+N3 ~400k by end-2028 ≈ 10x Intel 14A+18A (40-50k). Intel keeps outsourcing PC CPU to TSMC N3 ($9.5bn 2025E, fading to $8.5bn 2027E).</t>
        </is>
      </c>
      <c r="C11" s="6" t="inlineStr">
        <is>
          <t>UBS 2026-07-02 p56/58 · MS 2026-06-29</t>
        </is>
      </c>
    </row>
    <row r="12" ht="42" customHeight="1">
      <c r="A12" s="7" t="inlineStr">
        <is>
          <t>Counterpoint on Intel share</t>
        </is>
      </c>
      <c r="B12" s="5" t="inlineStr">
        <is>
          <t>Redburn ODM expert (contrarian vs UBS): Intel x86 server share 50% (2024) → 55% (2025) → ~60% (2026); Intel 'less capacity-constrained than AMD'; both hiking server-CPU prices +15-20% in H2-26.</t>
        </is>
      </c>
      <c r="C12" s="6" t="inlineStr">
        <is>
          <t>Redburn Conor O'Mara Asia Trip 2026-06-23</t>
        </is>
      </c>
    </row>
    <row r="14">
      <c r="A14" s="2" t="inlineStr">
        <is>
          <t>Sheets: 2_Demand_by_node · 3_Supply_capacity · 4_UBS_N3_model · 5_CPU_demand · 6_Sources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zoomScale="9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70" customWidth="1" min="10" max="10"/>
  </cols>
  <sheetData>
    <row r="1">
      <c r="A1" s="1" t="inlineStr">
        <is>
          <t>TSMC wafer demand by node — historical &amp; forecast</t>
        </is>
      </c>
    </row>
    <row r="3">
      <c r="A3" s="4" t="inlineStr">
        <is>
          <t>2.1  TSMC demand by node, kwpm (MS Charlie Chan, chart-read off stacked bars → ESTIMATE ±10-15 kwpm, italics)</t>
        </is>
      </c>
    </row>
    <row r="4">
      <c r="A4" s="8" t="inlineStr">
        <is>
          <t>Node (kwpm, avg run-rate)</t>
        </is>
      </c>
      <c r="B4" s="8" t="inlineStr">
        <is>
          <t>2020</t>
        </is>
      </c>
      <c r="C4" s="8" t="inlineStr">
        <is>
          <t>2021</t>
        </is>
      </c>
      <c r="D4" s="8" t="inlineStr">
        <is>
          <t>2022</t>
        </is>
      </c>
      <c r="E4" s="8" t="inlineStr">
        <is>
          <t>2023</t>
        </is>
      </c>
      <c r="F4" s="8" t="inlineStr">
        <is>
          <t>2024</t>
        </is>
      </c>
      <c r="G4" s="8" t="inlineStr">
        <is>
          <t>2025</t>
        </is>
      </c>
      <c r="H4" s="8" t="inlineStr">
        <is>
          <t>2026E</t>
        </is>
      </c>
      <c r="I4" s="8" t="inlineStr">
        <is>
          <t>2027E</t>
        </is>
      </c>
      <c r="J4" s="8" t="inlineStr">
        <is>
          <t>Source</t>
        </is>
      </c>
    </row>
    <row r="5">
      <c r="A5" s="9" t="inlineStr">
        <is>
          <t>N5/N4 (5/4nm)</t>
        </is>
      </c>
      <c r="B5" s="10" t="n">
        <v>22</v>
      </c>
      <c r="C5" s="10" t="n">
        <v>52</v>
      </c>
      <c r="D5" s="10" t="n">
        <v>103</v>
      </c>
      <c r="E5" s="10" t="n">
        <v>123</v>
      </c>
      <c r="F5" s="10" t="n">
        <v>150</v>
      </c>
      <c r="G5" s="10" t="n">
        <v>185</v>
      </c>
      <c r="H5" s="10" t="n">
        <v>160</v>
      </c>
      <c r="I5" s="10" t="n">
        <v>150</v>
      </c>
      <c r="J5" s="11" t="inlineStr">
        <is>
          <t>MS Asia AI Supply Chain, Charlie Chan, 2026-06-23, Ex.11 (chart-read; peaks 2025e then declines as AI/HPC migrates up-node)</t>
        </is>
      </c>
    </row>
    <row r="6">
      <c r="A6" s="9" t="inlineStr">
        <is>
          <t>N3 (3nm)</t>
        </is>
      </c>
      <c r="B6" s="12" t="n"/>
      <c r="C6" s="12" t="n"/>
      <c r="D6" s="10" t="n">
        <v>1</v>
      </c>
      <c r="E6" s="10" t="n">
        <v>15</v>
      </c>
      <c r="F6" s="10" t="n">
        <v>62</v>
      </c>
      <c r="G6" s="10" t="n">
        <v>103</v>
      </c>
      <c r="H6" s="10" t="n">
        <v>167</v>
      </c>
      <c r="I6" s="10" t="n">
        <v>218</v>
      </c>
      <c r="J6" s="11" t="inlineStr">
        <is>
          <t>MS 2026-06-23, Ex.10 (chart-read)</t>
        </is>
      </c>
    </row>
    <row r="7">
      <c r="A7" s="9" t="inlineStr">
        <is>
          <t>N2 (2nm)</t>
        </is>
      </c>
      <c r="B7" s="12" t="n"/>
      <c r="C7" s="12" t="n"/>
      <c r="D7" s="12" t="n"/>
      <c r="E7" s="12" t="n"/>
      <c r="F7" s="10" t="n">
        <v>0</v>
      </c>
      <c r="G7" s="10" t="n">
        <v>4</v>
      </c>
      <c r="H7" s="10" t="n">
        <v>58</v>
      </c>
      <c r="I7" s="10" t="n">
        <v>145</v>
      </c>
      <c r="J7" s="11" t="inlineStr">
        <is>
          <t>MS 2026-06-23, Ex.8 (chart-read; AAPL largest block, then AMD/AI-ASIC/AVGO)</t>
        </is>
      </c>
    </row>
    <row r="8">
      <c r="A8" s="13" t="inlineStr">
        <is>
          <t>Total N5+N3+N2</t>
        </is>
      </c>
      <c r="B8" s="14">
        <f>SUM(B5:B7)</f>
        <v/>
      </c>
      <c r="C8" s="14">
        <f>SUM(C5:C7)</f>
        <v/>
      </c>
      <c r="D8" s="14">
        <f>SUM(D5:D7)</f>
        <v/>
      </c>
      <c r="E8" s="14">
        <f>SUM(E5:E7)</f>
        <v/>
      </c>
      <c r="F8" s="14">
        <f>SUM(F5:F7)</f>
        <v/>
      </c>
      <c r="G8" s="14">
        <f>SUM(G5:G7)</f>
        <v/>
      </c>
      <c r="H8" s="14">
        <f>SUM(H5:H7)</f>
        <v/>
      </c>
      <c r="I8" s="14">
        <f>SUM(I5:I7)</f>
        <v/>
      </c>
    </row>
    <row r="10">
      <c r="A10" s="4" t="inlineStr">
        <is>
          <t>2.2  N2 demand by application, kwpm (UBS — chart-read → ESTIMATE; 2028E mix % are printed labels → HARD)</t>
        </is>
      </c>
    </row>
    <row r="11">
      <c r="A11" s="8" t="inlineStr">
        <is>
          <t>N2 foundry demand</t>
        </is>
      </c>
      <c r="B11" s="8" t="inlineStr">
        <is>
          <t>2026E</t>
        </is>
      </c>
      <c r="C11" s="8" t="inlineStr">
        <is>
          <t>2027E</t>
        </is>
      </c>
      <c r="D11" s="8" t="inlineStr">
        <is>
          <t>2028E</t>
        </is>
      </c>
      <c r="E11" s="8" t="inlineStr">
        <is>
          <t>2028E mix</t>
        </is>
      </c>
      <c r="F11" s="8" t="inlineStr">
        <is>
          <t>Source</t>
        </is>
      </c>
    </row>
    <row r="12">
      <c r="A12" s="9" t="inlineStr">
        <is>
          <t>Smartphones / tablets</t>
        </is>
      </c>
      <c r="B12" s="9" t="n"/>
      <c r="C12" s="9" t="n"/>
      <c r="D12" s="9">
        <f>$D$16*E12</f>
        <v/>
      </c>
      <c r="E12" s="15" t="n">
        <v>0.39</v>
      </c>
    </row>
    <row r="13">
      <c r="A13" s="9" t="inlineStr">
        <is>
          <t>PC CPUs</t>
        </is>
      </c>
      <c r="B13" s="9" t="n"/>
      <c r="C13" s="9" t="n"/>
      <c r="D13" s="9">
        <f>$D$16*E13</f>
        <v/>
      </c>
      <c r="E13" s="15" t="n">
        <v>0.17</v>
      </c>
    </row>
    <row r="14">
      <c r="A14" s="9" t="inlineStr">
        <is>
          <t>Server CPUs</t>
        </is>
      </c>
      <c r="B14" s="9" t="n"/>
      <c r="C14" s="9" t="n"/>
      <c r="D14" s="9">
        <f>$D$16*E14</f>
        <v/>
      </c>
      <c r="E14" s="15" t="n">
        <v>0.27</v>
      </c>
    </row>
    <row r="15">
      <c r="A15" s="9" t="inlineStr">
        <is>
          <t>Cloud accelerators &amp; networking</t>
        </is>
      </c>
      <c r="B15" s="9" t="n"/>
      <c r="C15" s="9" t="n"/>
      <c r="D15" s="9">
        <f>$D$16*E15</f>
        <v/>
      </c>
      <c r="E15" s="15" t="n">
        <v>0.17</v>
      </c>
    </row>
    <row r="16">
      <c r="A16" s="16" t="inlineStr">
        <is>
          <t>Total N2 demand (chart-read)</t>
        </is>
      </c>
      <c r="B16" s="17" t="n">
        <v>40</v>
      </c>
      <c r="C16" s="17" t="n">
        <v>112</v>
      </c>
      <c r="D16" s="17" t="n">
        <v>228</v>
      </c>
      <c r="F16" s="11" t="inlineStr">
        <is>
          <t>UBS Semis Sector Keys July 2026, Sunny Lin/Randy Abrams, 2026-07-02, p54 'Quantifying N2 demand opportunities for foundry' (totals chart-read ±10; 2028E mix labels from pie: HPC = 61%)</t>
        </is>
      </c>
    </row>
    <row r="17">
      <c r="A17" s="2" t="inlineStr">
        <is>
          <t>Cross-check: N2 demand 2028E ~228 vs UBS industry N2 capacity 230 kwpm (sheet 3) → node ramps essentially pre-sold.</t>
        </is>
      </c>
    </row>
    <row r="19">
      <c r="A19" s="4" t="inlineStr">
        <is>
          <t>2.3  TSMC node mix, % of wafer revenue (company disclosure — HARD, from earnings transcripts on disk)</t>
        </is>
      </c>
    </row>
    <row r="20">
      <c r="A20" s="8" t="inlineStr">
        <is>
          <t>% of wafer revenue</t>
        </is>
      </c>
      <c r="B20" s="8" t="inlineStr">
        <is>
          <t>3Q24</t>
        </is>
      </c>
      <c r="C20" s="8" t="inlineStr">
        <is>
          <t>4Q24</t>
        </is>
      </c>
      <c r="D20" s="8" t="inlineStr">
        <is>
          <t>1Q25</t>
        </is>
      </c>
      <c r="E20" s="8" t="inlineStr">
        <is>
          <t>2Q25</t>
        </is>
      </c>
      <c r="F20" s="8" t="inlineStr">
        <is>
          <t>3Q25</t>
        </is>
      </c>
      <c r="G20" s="8" t="inlineStr">
        <is>
          <t>4Q25</t>
        </is>
      </c>
      <c r="H20" s="8" t="inlineStr">
        <is>
          <t>1Q26</t>
        </is>
      </c>
      <c r="I20" s="8" t="inlineStr">
        <is>
          <t>Source</t>
        </is>
      </c>
    </row>
    <row r="21">
      <c r="A21" s="9" t="inlineStr">
        <is>
          <t>N3</t>
        </is>
      </c>
      <c r="B21" s="15" t="n">
        <v>0.2</v>
      </c>
      <c r="C21" s="15" t="n">
        <v>0.26</v>
      </c>
      <c r="D21" s="15" t="n">
        <v>0.22</v>
      </c>
      <c r="E21" s="15" t="n">
        <v>0.24</v>
      </c>
      <c r="F21" s="15" t="n">
        <v>0.23</v>
      </c>
      <c r="G21" s="15" t="n">
        <v>0.28</v>
      </c>
      <c r="H21" s="15" t="n">
        <v>0.25</v>
      </c>
      <c r="I21" s="11" t="inlineStr">
        <is>
          <t>TSMC quarterly earnings calls (transcripts: 2024-10-17, 2025-01-16, 2025-04-17, 2025-07-17, 2025-10-17, 2026-01-15, 2026-04-16). N2 revenue % not yet broken out through 1Q26.</t>
        </is>
      </c>
    </row>
    <row r="22">
      <c r="A22" s="9" t="inlineStr">
        <is>
          <t>N5</t>
        </is>
      </c>
      <c r="B22" s="15" t="n">
        <v>0.32</v>
      </c>
      <c r="C22" s="15" t="n">
        <v>0.34</v>
      </c>
      <c r="D22" s="15" t="n">
        <v>0.36</v>
      </c>
      <c r="E22" s="15" t="n">
        <v>0.36</v>
      </c>
      <c r="F22" s="15" t="n">
        <v>0.37</v>
      </c>
      <c r="G22" s="15" t="n">
        <v>0.35</v>
      </c>
      <c r="H22" s="15" t="n">
        <v>0.36</v>
      </c>
    </row>
    <row r="23">
      <c r="A23" s="9" t="inlineStr">
        <is>
          <t>N7</t>
        </is>
      </c>
      <c r="B23" s="15" t="n">
        <v>0.17</v>
      </c>
      <c r="C23" s="15" t="n">
        <v>0.14</v>
      </c>
      <c r="D23" s="15" t="n">
        <v>0.15</v>
      </c>
      <c r="E23" s="15" t="n">
        <v>0.14</v>
      </c>
      <c r="F23" s="15" t="n">
        <v>0.14</v>
      </c>
      <c r="G23" s="15" t="n">
        <v>0.14</v>
      </c>
      <c r="H23" s="15" t="n">
        <v>0.13</v>
      </c>
    </row>
    <row r="24">
      <c r="A24" s="16" t="inlineStr">
        <is>
          <t>Advanced (≤7nm) total</t>
        </is>
      </c>
      <c r="B24" s="18" t="n">
        <v>0.6899999999999999</v>
      </c>
      <c r="C24" s="18" t="n">
        <v>0.74</v>
      </c>
      <c r="D24" s="18" t="n">
        <v>0.73</v>
      </c>
      <c r="E24" s="18" t="n">
        <v>0.74</v>
      </c>
      <c r="F24" s="18" t="n">
        <v>0.74</v>
      </c>
      <c r="G24" s="18" t="n">
        <v>0.77</v>
      </c>
      <c r="H24" s="18" t="n">
        <v>0.74</v>
      </c>
    </row>
    <row r="25">
      <c r="A25" s="2" t="inlineStr">
        <is>
          <t>N2 revenue contribution: 'high single digit % of TSMC sales in 2026 and 15-20% in 2027' (UBS Sector Keys 2026-07-02, p55); N2 GM dilution 2-3pp for FY2026 (TSMC Q4-25 call, 2026-01-15).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zoomScale="9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6" customWidth="1" min="7" max="7"/>
    <col width="60" customWidth="1" min="8" max="8"/>
    <col width="10" customWidth="1" min="9" max="9"/>
    <col width="10" customWidth="1" min="10" max="10"/>
    <col width="70" customWidth="1" min="11" max="11"/>
  </cols>
  <sheetData>
    <row r="1">
      <c r="A1" s="1" t="inlineStr">
        <is>
          <t>Leading-edge wafer supply — TSMC, Intel, peers (period-end installed capacity, kwpm)</t>
        </is>
      </c>
    </row>
    <row r="3">
      <c r="A3" s="4" t="inlineStr">
        <is>
          <t>3.1  N2-class capacity by player (UBS; Intel = 18A/14A on wafer-OUTPUT basis)</t>
        </is>
      </c>
    </row>
    <row r="4">
      <c r="A4" s="8" t="inlineStr">
        <is>
          <t>Period-end kwpm</t>
        </is>
      </c>
      <c r="B4" s="8" t="inlineStr">
        <is>
          <t>2025</t>
        </is>
      </c>
      <c r="C4" s="8" t="inlineStr">
        <is>
          <t>2026E</t>
        </is>
      </c>
      <c r="D4" s="8" t="inlineStr">
        <is>
          <t>2027E</t>
        </is>
      </c>
      <c r="E4" s="8" t="inlineStr">
        <is>
          <t>2028E</t>
        </is>
      </c>
      <c r="F4" s="8" t="inlineStr">
        <is>
          <t>Source</t>
        </is>
      </c>
    </row>
    <row r="5">
      <c r="A5" s="9" t="inlineStr">
        <is>
          <t>TSMC</t>
        </is>
      </c>
      <c r="B5" s="19" t="n">
        <v>40</v>
      </c>
      <c r="C5" s="19" t="n">
        <v>90</v>
      </c>
      <c r="D5" s="19" t="n">
        <v>140</v>
      </c>
      <c r="E5" s="19" t="n">
        <v>160</v>
      </c>
      <c r="F5" s="11" t="inlineStr">
        <is>
          <t>UBS Semis Sector Keys July 2026, 2026-07-02, p58 'N2 foundry capacity forecasts' (Source: Company data, UBS estimates; note: 'Our Intel estimates are based on wafer output')</t>
        </is>
      </c>
    </row>
    <row r="6">
      <c r="A6" s="9" t="inlineStr">
        <is>
          <t>Samsung Foundry</t>
        </is>
      </c>
      <c r="B6" s="19" t="n">
        <v>3</v>
      </c>
      <c r="C6" s="19" t="n">
        <v>10</v>
      </c>
      <c r="D6" s="19" t="n">
        <v>20</v>
      </c>
      <c r="E6" s="19" t="n">
        <v>30</v>
      </c>
    </row>
    <row r="7">
      <c r="A7" s="9" t="inlineStr">
        <is>
          <t>Intel (18A/14A)</t>
        </is>
      </c>
      <c r="B7" s="19" t="n">
        <v>4</v>
      </c>
      <c r="C7" s="19" t="n">
        <v>14</v>
      </c>
      <c r="D7" s="19" t="n">
        <v>30</v>
      </c>
      <c r="E7" s="19" t="n">
        <v>40</v>
      </c>
    </row>
    <row r="8">
      <c r="A8" s="13" t="inlineStr">
        <is>
          <t>Total N2-class wafer supply</t>
        </is>
      </c>
      <c r="B8" s="14">
        <f>SUM(B5:B7)</f>
        <v/>
      </c>
      <c r="C8" s="14">
        <f>SUM(C5:C7)</f>
        <v/>
      </c>
      <c r="D8" s="14">
        <f>SUM(D5:D7)</f>
        <v/>
      </c>
      <c r="E8" s="14">
        <f>SUM(E5:E7)</f>
        <v/>
      </c>
    </row>
    <row r="9">
      <c r="A9" s="9" t="inlineStr">
        <is>
          <t>YoY</t>
        </is>
      </c>
      <c r="B9" s="9" t="n"/>
      <c r="C9" s="9">
        <f>C8/B8-1</f>
        <v/>
      </c>
      <c r="D9" s="9">
        <f>D8/C8-1</f>
        <v/>
      </c>
      <c r="E9" s="9">
        <f>E8/D8-1</f>
        <v/>
      </c>
    </row>
    <row r="11">
      <c r="A11" s="4" t="inlineStr">
        <is>
          <t>3.2  Cross-broker check — TSMC N2 capacity (kwpm, year-end)</t>
        </is>
      </c>
    </row>
    <row r="12">
      <c r="A12" s="8" t="inlineStr">
        <is>
          <t>Broker</t>
        </is>
      </c>
      <c r="B12" s="8" t="inlineStr">
        <is>
          <t>2025</t>
        </is>
      </c>
      <c r="C12" s="8" t="inlineStr">
        <is>
          <t>2026E</t>
        </is>
      </c>
      <c r="D12" s="8" t="inlineStr">
        <is>
          <t>2027E</t>
        </is>
      </c>
      <c r="E12" s="8" t="inlineStr">
        <is>
          <t>2028E</t>
        </is>
      </c>
      <c r="F12" s="8" t="inlineStr">
        <is>
          <t>Source</t>
        </is>
      </c>
    </row>
    <row r="13">
      <c r="A13" s="9" t="inlineStr">
        <is>
          <t>UBS (Sunny Lin)</t>
        </is>
      </c>
      <c r="B13" s="19" t="n">
        <v>40</v>
      </c>
      <c r="C13" s="19" t="n">
        <v>90</v>
      </c>
      <c r="D13" s="19" t="n">
        <v>140</v>
      </c>
      <c r="E13" s="19" t="n">
        <v>160</v>
      </c>
      <c r="F13" s="11" t="inlineStr">
        <is>
          <t>UBS Sector Keys 2026-07-02 p58; same as UBS Q226 preview 2026-06-28 ('N2 potentially ~160kwpm by 2028E, upside possible')</t>
        </is>
      </c>
    </row>
    <row r="14">
      <c r="A14" s="9" t="inlineStr">
        <is>
          <t>Morgan Stanley (N2/A16, midpt)</t>
        </is>
      </c>
      <c r="B14" s="19" t="n">
        <v>45</v>
      </c>
      <c r="C14" s="19" t="n">
        <v>95</v>
      </c>
      <c r="D14" s="19" t="n">
        <v>160</v>
      </c>
      <c r="E14" s="19" t="n">
        <v>210</v>
      </c>
      <c r="F14" s="11" t="inlineStr">
        <is>
          <t>MS fab roadmap Ex.16, Charlie Chan, 2026-06-23 (45 / 90-100 / 150-170 / 210); MS 2026-06-29: 2nm demand +60kwpm vs year-ago plan, F18 P10/11/12 replanned 3nm→2nm</t>
        </is>
      </c>
    </row>
    <row r="15">
      <c r="A15" s="9" t="inlineStr">
        <is>
          <t>Fubon</t>
        </is>
      </c>
      <c r="B15" s="20" t="n"/>
      <c r="C15" s="20" t="n"/>
      <c r="D15" s="19" t="n">
        <v>115</v>
      </c>
      <c r="E15" s="20" t="n"/>
      <c r="F15" s="11" t="inlineStr">
        <is>
          <t>Fubon 2026-06-05 (N2 110-120 kwpm 2027; N2/N3 utilization 110-120%)</t>
        </is>
      </c>
    </row>
    <row r="16">
      <c r="A16" s="9" t="inlineStr">
        <is>
          <t>TSMC guidance color</t>
        </is>
      </c>
      <c r="B16" s="20" t="n"/>
      <c r="C16" s="19" t="n">
        <v>90</v>
      </c>
      <c r="D16" s="20" t="n"/>
      <c r="E16" s="20" t="n"/>
      <c r="F16" s="11" t="inlineStr">
        <is>
          <t>TSMC Q1 FY26 call 2026-04-16 (N2 capacity expansion prioritized); UBS p73: N2 ramp 'potentially reaching 160kwpm by 2028E, with upside'</t>
        </is>
      </c>
    </row>
    <row r="17">
      <c r="A17" s="2" t="inlineStr">
        <is>
          <t>Divergence is genuine: MS →210k vs UBS →160k by 2028 vs Fubon 110-120k in 2027 — the N2-ramp slope is a live debate.</t>
        </is>
      </c>
    </row>
    <row r="19">
      <c r="A19" s="4" t="inlineStr">
        <is>
          <t>3.3  Total leading-edge (FinFET) foundry capacity by player (UBS) — history 2019-2027E</t>
        </is>
      </c>
    </row>
    <row r="20">
      <c r="A20" s="8" t="inlineStr">
        <is>
          <t>Period-end kwpm</t>
        </is>
      </c>
      <c r="B20" s="8" t="inlineStr">
        <is>
          <t>2019</t>
        </is>
      </c>
      <c r="C20" s="8" t="inlineStr">
        <is>
          <t>2020</t>
        </is>
      </c>
      <c r="D20" s="8" t="inlineStr">
        <is>
          <t>2021</t>
        </is>
      </c>
      <c r="E20" s="8" t="inlineStr">
        <is>
          <t>2022</t>
        </is>
      </c>
      <c r="F20" s="8" t="inlineStr">
        <is>
          <t>2023</t>
        </is>
      </c>
      <c r="G20" s="8" t="inlineStr">
        <is>
          <t>2024</t>
        </is>
      </c>
      <c r="H20" s="8" t="inlineStr">
        <is>
          <t>2025</t>
        </is>
      </c>
      <c r="I20" s="8" t="inlineStr">
        <is>
          <t>2026E</t>
        </is>
      </c>
      <c r="J20" s="8" t="inlineStr">
        <is>
          <t>2027E</t>
        </is>
      </c>
      <c r="K20" s="8" t="inlineStr">
        <is>
          <t>Source</t>
        </is>
      </c>
    </row>
    <row r="21">
      <c r="A21" s="9" t="inlineStr">
        <is>
          <t>TSMC</t>
        </is>
      </c>
      <c r="B21" s="19" t="n">
        <v>235</v>
      </c>
      <c r="C21" s="19" t="n">
        <v>280</v>
      </c>
      <c r="D21" s="19" t="n">
        <v>335</v>
      </c>
      <c r="E21" s="19" t="n">
        <v>405</v>
      </c>
      <c r="F21" s="19" t="n">
        <v>445</v>
      </c>
      <c r="G21" s="19" t="n">
        <v>470</v>
      </c>
      <c r="H21" s="19" t="n">
        <v>570</v>
      </c>
      <c r="I21" s="19" t="n">
        <v>650</v>
      </c>
      <c r="J21" s="19" t="n">
        <v>720</v>
      </c>
      <c r="K21" s="11" t="inlineStr">
        <is>
          <t>UBS Sector Keys 2026-07-02, p58 'Our updated leading edge foundry capacity forecasts' (Company data, UBS estimates)</t>
        </is>
      </c>
    </row>
    <row r="22">
      <c r="A22" s="9" t="inlineStr">
        <is>
          <t>Samsung Foundry</t>
        </is>
      </c>
      <c r="B22" s="19" t="n">
        <v>80</v>
      </c>
      <c r="C22" s="19" t="n">
        <v>120</v>
      </c>
      <c r="D22" s="19" t="n">
        <v>160</v>
      </c>
      <c r="E22" s="19" t="n">
        <v>175</v>
      </c>
      <c r="F22" s="19" t="n">
        <v>180</v>
      </c>
      <c r="G22" s="19" t="n">
        <v>190</v>
      </c>
      <c r="H22" s="19" t="n">
        <v>193</v>
      </c>
      <c r="I22" s="19" t="n">
        <v>215</v>
      </c>
      <c r="J22" s="19" t="n">
        <v>240</v>
      </c>
    </row>
    <row r="23">
      <c r="A23" s="9" t="inlineStr">
        <is>
          <t>Intel</t>
        </is>
      </c>
      <c r="B23" s="19" t="n">
        <v>81.3</v>
      </c>
      <c r="C23" s="19" t="n">
        <v>111</v>
      </c>
      <c r="D23" s="19" t="n">
        <v>151.3</v>
      </c>
      <c r="E23" s="19" t="n">
        <v>89</v>
      </c>
      <c r="F23" s="19" t="n">
        <v>142</v>
      </c>
      <c r="G23" s="19" t="n">
        <v>139.4</v>
      </c>
      <c r="H23" s="19" t="n">
        <v>163.9</v>
      </c>
      <c r="I23" s="19" t="n">
        <v>185.2</v>
      </c>
      <c r="J23" s="19" t="n">
        <v>193.8</v>
      </c>
    </row>
    <row r="24">
      <c r="A24" s="9" t="inlineStr">
        <is>
          <t>UMC</t>
        </is>
      </c>
      <c r="B24" s="19" t="n">
        <v>3</v>
      </c>
      <c r="C24" s="19" t="n">
        <v>3</v>
      </c>
      <c r="D24" s="19" t="n">
        <v>3</v>
      </c>
      <c r="E24" s="19" t="n">
        <v>3</v>
      </c>
      <c r="F24" s="19" t="n">
        <v>3</v>
      </c>
      <c r="G24" s="19" t="n">
        <v>3</v>
      </c>
      <c r="H24" s="19" t="n">
        <v>3</v>
      </c>
      <c r="I24" s="19" t="n">
        <v>3</v>
      </c>
      <c r="J24" s="19" t="n">
        <v>13</v>
      </c>
    </row>
    <row r="25">
      <c r="A25" s="9" t="inlineStr">
        <is>
          <t>GlobalFoundries</t>
        </is>
      </c>
      <c r="B25" s="19" t="n">
        <v>25</v>
      </c>
      <c r="C25" s="19" t="n">
        <v>25</v>
      </c>
      <c r="D25" s="19" t="n">
        <v>25</v>
      </c>
      <c r="E25" s="19" t="n">
        <v>25</v>
      </c>
      <c r="F25" s="19" t="n">
        <v>25</v>
      </c>
      <c r="G25" s="19" t="n">
        <v>25</v>
      </c>
      <c r="H25" s="19" t="n">
        <v>20</v>
      </c>
      <c r="I25" s="19" t="n">
        <v>10</v>
      </c>
      <c r="J25" s="19" t="n">
        <v>10</v>
      </c>
    </row>
    <row r="26">
      <c r="A26" s="9" t="inlineStr">
        <is>
          <t>China</t>
        </is>
      </c>
      <c r="B26" s="19" t="n">
        <v>3</v>
      </c>
      <c r="C26" s="19" t="n">
        <v>11</v>
      </c>
      <c r="D26" s="19" t="n">
        <v>15</v>
      </c>
      <c r="E26" s="19" t="n">
        <v>15</v>
      </c>
      <c r="F26" s="19" t="n">
        <v>15</v>
      </c>
      <c r="G26" s="19" t="n">
        <v>20</v>
      </c>
      <c r="H26" s="19" t="n">
        <v>21.4</v>
      </c>
      <c r="I26" s="19" t="n">
        <v>36.4</v>
      </c>
      <c r="J26" s="19" t="n">
        <v>56.4</v>
      </c>
    </row>
    <row r="27">
      <c r="A27" s="13" t="inlineStr">
        <is>
          <t>Total FinFET supply</t>
        </is>
      </c>
      <c r="B27" s="14">
        <f>SUM(B21:B26)</f>
        <v/>
      </c>
      <c r="C27" s="14">
        <f>SUM(C21:C26)</f>
        <v/>
      </c>
      <c r="D27" s="14">
        <f>SUM(D21:D26)</f>
        <v/>
      </c>
      <c r="E27" s="14">
        <f>SUM(E21:E26)</f>
        <v/>
      </c>
      <c r="F27" s="14">
        <f>SUM(F21:F26)</f>
        <v/>
      </c>
      <c r="G27" s="14">
        <f>SUM(G21:G26)</f>
        <v/>
      </c>
      <c r="H27" s="14">
        <f>SUM(H21:H26)</f>
        <v/>
      </c>
      <c r="I27" s="14">
        <f>SUM(I21:I26)</f>
        <v/>
      </c>
      <c r="J27" s="14">
        <f>SUM(J21:J26)</f>
        <v/>
      </c>
    </row>
    <row r="28">
      <c r="A28" s="9" t="inlineStr">
        <is>
          <t>YoY</t>
        </is>
      </c>
      <c r="B28" s="9" t="n"/>
      <c r="C28" s="9">
        <f>C27/B27-1</f>
        <v/>
      </c>
      <c r="D28" s="9">
        <f>D27/C27-1</f>
        <v/>
      </c>
      <c r="E28" s="9">
        <f>E27/D27-1</f>
        <v/>
      </c>
      <c r="F28" s="9">
        <f>F27/E27-1</f>
        <v/>
      </c>
      <c r="G28" s="9">
        <f>G27/F27-1</f>
        <v/>
      </c>
      <c r="H28" s="9">
        <f>H27/G27-1</f>
        <v/>
      </c>
      <c r="I28" s="9">
        <f>I27/H27-1</f>
        <v/>
      </c>
      <c r="J28" s="9">
        <f>J27/I27-1</f>
        <v/>
      </c>
    </row>
    <row r="29">
      <c r="A29" s="9" t="inlineStr">
        <is>
          <t>TSMC share of FinFET supply</t>
        </is>
      </c>
      <c r="B29" s="9">
        <f>B21/B27</f>
        <v/>
      </c>
      <c r="C29" s="9">
        <f>C21/C27</f>
        <v/>
      </c>
      <c r="D29" s="9">
        <f>D21/D27</f>
        <v/>
      </c>
      <c r="E29" s="9">
        <f>E21/E27</f>
        <v/>
      </c>
      <c r="F29" s="9">
        <f>F21/F27</f>
        <v/>
      </c>
      <c r="G29" s="9">
        <f>G21/G27</f>
        <v/>
      </c>
      <c r="H29" s="9">
        <f>H21/H27</f>
        <v/>
      </c>
      <c r="I29" s="9">
        <f>I21/I27</f>
        <v/>
      </c>
      <c r="J29" s="9">
        <f>J21/J27</f>
        <v/>
      </c>
    </row>
    <row r="31">
      <c r="A31" s="4" t="inlineStr">
        <is>
          <t>3.4  TSMC capacity roadmap by node &amp; fab (MS, end-year kwpm; midpoints where MS gives ranges)</t>
        </is>
      </c>
    </row>
    <row r="32">
      <c r="A32" s="8" t="inlineStr">
        <is>
          <t>Node (total)</t>
        </is>
      </c>
      <c r="B32" s="8" t="inlineStr">
        <is>
          <t>2025</t>
        </is>
      </c>
      <c r="C32" s="8" t="inlineStr">
        <is>
          <t>2026</t>
        </is>
      </c>
      <c r="D32" s="8" t="inlineStr">
        <is>
          <t>2027</t>
        </is>
      </c>
      <c r="E32" s="8" t="inlineStr">
        <is>
          <t>2028</t>
        </is>
      </c>
      <c r="F32" s="8" t="inlineStr">
        <is>
          <t>2029</t>
        </is>
      </c>
      <c r="G32" s="8" t="inlineStr">
        <is>
          <t>MS range notes</t>
        </is>
      </c>
      <c r="H32" s="8" t="inlineStr">
        <is>
          <t>Source</t>
        </is>
      </c>
    </row>
    <row r="33">
      <c r="A33" s="9" t="inlineStr">
        <is>
          <t>N3</t>
        </is>
      </c>
      <c r="B33" s="19" t="n">
        <v>110</v>
      </c>
      <c r="C33" s="19" t="n">
        <v>185</v>
      </c>
      <c r="D33" s="19" t="n">
        <v>190</v>
      </c>
      <c r="E33" s="19" t="n">
        <v>202.5</v>
      </c>
      <c r="F33" s="20" t="n"/>
      <c r="G33" s="2" t="inlineStr">
        <is>
          <t>2026: 180-190; 2028: 200-205</t>
        </is>
      </c>
      <c r="H33" s="11" t="inlineStr">
        <is>
          <t>MS 'Exhibit 16: TSMC fab roadmap', Charlie Chan, 2026-06-23 (date inferred). 2026: 180-190; 2028: 200-205. F18 Tainan + AZ F21-P2 (20k, 2027) + Japan F23-P2 (15k, 2028)</t>
        </is>
      </c>
    </row>
    <row r="34">
      <c r="A34" s="9" t="inlineStr">
        <is>
          <t>N2 / A16</t>
        </is>
      </c>
      <c r="B34" s="19" t="n">
        <v>45</v>
      </c>
      <c r="C34" s="19" t="n">
        <v>95</v>
      </c>
      <c r="D34" s="19" t="n">
        <v>160</v>
      </c>
      <c r="E34" s="19" t="n">
        <v>210</v>
      </c>
      <c r="F34" s="20" t="n"/>
      <c r="G34" s="2" t="inlineStr">
        <is>
          <t>2026: 90-100; 2027: 150-170 (KaoHsiung F22 →100k; new Tainan F22 P7/P8/P9 →60k; AZ F21 P3-P6 20k in 2028)</t>
        </is>
      </c>
    </row>
    <row r="35">
      <c r="A35" s="9" t="inlineStr">
        <is>
          <t>A14 (+A13/A12)</t>
        </is>
      </c>
      <c r="B35" s="20" t="n"/>
      <c r="C35" s="20" t="n"/>
      <c r="D35" s="19" t="n">
        <v>30</v>
      </c>
      <c r="E35" s="19" t="n">
        <v>70</v>
      </c>
      <c r="F35" s="19" t="n">
        <v>120</v>
      </c>
      <c r="G35" s="2" t="inlineStr">
        <is>
          <t>2027: 20-40; 2028: 60-80 (HsinChu F20 P3/P4 + Taichung F25)</t>
        </is>
      </c>
    </row>
    <row r="36">
      <c r="A36" s="13" t="inlineStr">
        <is>
          <t>N3 + N2 combined</t>
        </is>
      </c>
      <c r="B36" s="21">
        <f>B33+B34</f>
        <v/>
      </c>
      <c r="C36" s="21">
        <f>C33+C34</f>
        <v/>
      </c>
      <c r="D36" s="21">
        <f>D33+D34</f>
        <v/>
      </c>
      <c r="E36" s="21">
        <f>E33+E34</f>
        <v/>
      </c>
      <c r="F36" s="9" t="n"/>
    </row>
    <row r="37">
      <c r="A37" s="2" t="inlineStr">
        <is>
          <t>Scale gap: MS (2026-06-29): TSMC 2nm+3nm ~400k wpm by end-2028 ≈ 10x Intel 14A+18A (40-50k) and above Samsung SF2; 2027 EUV allocation TSMC 40+ units vs Intel 9-11, Samsung foundry 5-7.</t>
        </is>
      </c>
    </row>
    <row r="38">
      <c r="A38" s="2" t="inlineStr">
        <is>
          <t>Capex per node (Fubon/Jefferies 2025-10-28): ~$28bn per 50kwpm of N2 · $20bn N3 · $16bn N5 · $12.5bn N7. UBS raises TSMC capex to $60/$80/$95bn 2026/27/28E (Sector Keys 2026-07-02 p73).</t>
        </is>
      </c>
    </row>
    <row r="40">
      <c r="A40" s="4" t="inlineStr">
        <is>
          <t>3.5  Intel node context (wiki INTC.md)</t>
        </is>
      </c>
    </row>
    <row r="41" ht="26" customHeight="1">
      <c r="A41" s="5" t="inlineStr">
        <is>
          <t>• 18A: yields improving 6-7pp/month (JPM Harlan Sur, 2026-05-22) but 'still below management's bar' (7-8%/month improvement, not yet industry standard); Panther Lake (NB) through 2026, Nova Lake (NB+DT) late-26/early-27, then server Xeon onto 18A (INTC.md catalysts, 2026-06).</t>
        </is>
      </c>
    </row>
    <row r="42" ht="26" customHeight="1">
      <c r="A42" s="5" t="inlineStr">
        <is>
          <t>• 14A: risk production Q4-2028, volume 2029, first foundry revenue ~end-2028; defect density 0.5 → 0.1-0.2 by 1Q27 target (MS bus tour / Joe Moore, 2026-06-16). 10-K risk factor: no external 14A customer → potential pause of 14A and next-gen nodes.</t>
        </is>
      </c>
    </row>
    <row r="43" ht="26" customHeight="1">
      <c r="A43" s="5" t="inlineStr">
        <is>
          <t>• EUV restraint: despite server-CPU shortage Intel CFO 'shot down' ordering more EUV tools — enough capacity; BofA models ~1 High-NA tool 2026, ~1 in 2027, 3 for 14A ramp 2029 (BofA ASML callback, 2026-04-15).</t>
        </is>
      </c>
    </row>
    <row r="44" ht="26" customHeight="1">
      <c r="A44" s="5" t="inlineStr">
        <is>
          <t>• Redburn ODM read (2026-06-23): Intel moved laptop/desktop designs to 18A, freeing older-node capacity for Xeon → 'less capacity-constrained than AMD'; x86 server share 50%→55%→~60% (2024-26).</t>
        </is>
      </c>
    </row>
  </sheetData>
  <mergeCells count="4">
    <mergeCell ref="A42:I42"/>
    <mergeCell ref="A43:I43"/>
    <mergeCell ref="A41:I41"/>
    <mergeCell ref="A44:I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UBS N3 bottoms-up supply/demand model (Sunny Lin / Randy Abrams, Q2 FY26 preview, 2026-06-28)</t>
        </is>
      </c>
    </row>
    <row r="2">
      <c r="A2" s="2" t="inlineStr">
        <is>
          <t>Quarterly columns = kwpm (monthly run-rate that quarter); annual columns = thousand wafers full-year (≈ sum of quarterly kwpm × 3). As curated on _wiki/TSM.md.</t>
        </is>
      </c>
    </row>
    <row r="4">
      <c r="A4" s="8" t="inlineStr">
        <is>
          <t>Client</t>
        </is>
      </c>
      <c r="B4" s="8" t="inlineStr">
        <is>
          <t>Product</t>
        </is>
      </c>
      <c r="C4" s="8" t="inlineStr">
        <is>
          <t>Die (mm²)</t>
        </is>
      </c>
      <c r="D4" s="8" t="inlineStr">
        <is>
          <t>Q126E</t>
        </is>
      </c>
      <c r="E4" s="8" t="inlineStr">
        <is>
          <t>Q226E</t>
        </is>
      </c>
      <c r="F4" s="8" t="inlineStr">
        <is>
          <t>Q326E</t>
        </is>
      </c>
      <c r="G4" s="8" t="inlineStr">
        <is>
          <t>Q426E</t>
        </is>
      </c>
      <c r="H4" s="8" t="inlineStr">
        <is>
          <t>2026E (k)</t>
        </is>
      </c>
      <c r="I4" s="8" t="inlineStr">
        <is>
          <t>Q127E</t>
        </is>
      </c>
      <c r="J4" s="8" t="inlineStr">
        <is>
          <t>Q227E</t>
        </is>
      </c>
      <c r="K4" s="8" t="inlineStr">
        <is>
          <t>Q327E</t>
        </is>
      </c>
      <c r="L4" s="8" t="inlineStr">
        <is>
          <t>Q427E</t>
        </is>
      </c>
      <c r="M4" s="8" t="inlineStr">
        <is>
          <t>2027E (k)</t>
        </is>
      </c>
    </row>
    <row r="5">
      <c r="A5" s="9" t="inlineStr">
        <is>
          <t>Nvidia</t>
        </is>
      </c>
      <c r="B5" s="9" t="inlineStr">
        <is>
          <t>Rubin</t>
        </is>
      </c>
      <c r="C5" s="22" t="n">
        <v>1628</v>
      </c>
      <c r="D5" s="22" t="n">
        <v>0</v>
      </c>
      <c r="E5" s="22" t="n">
        <v>4</v>
      </c>
      <c r="F5" s="22" t="n">
        <v>15</v>
      </c>
      <c r="G5" s="22" t="n">
        <v>26</v>
      </c>
      <c r="H5" s="22" t="n">
        <v>137</v>
      </c>
      <c r="I5" s="22" t="n">
        <v>34</v>
      </c>
      <c r="J5" s="22" t="n">
        <v>39</v>
      </c>
      <c r="K5" s="22" t="n">
        <v>32</v>
      </c>
      <c r="L5" s="22" t="n">
        <v>15</v>
      </c>
      <c r="M5" s="22" t="n">
        <v>360</v>
      </c>
    </row>
    <row r="6">
      <c r="A6" s="9" t="inlineStr">
        <is>
          <t>Nvidia</t>
        </is>
      </c>
      <c r="B6" s="9" t="inlineStr">
        <is>
          <t>Rubin Ultra</t>
        </is>
      </c>
      <c r="C6" s="22" t="n">
        <v>1628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4</v>
      </c>
      <c r="K6" s="22" t="n">
        <v>16</v>
      </c>
      <c r="L6" s="22" t="n">
        <v>36</v>
      </c>
      <c r="M6" s="22" t="n">
        <v>169</v>
      </c>
    </row>
    <row r="7">
      <c r="A7" s="9" t="inlineStr">
        <is>
          <t>Nvidia</t>
        </is>
      </c>
      <c r="B7" s="9" t="inlineStr">
        <is>
          <t>Vera CPU</t>
        </is>
      </c>
      <c r="C7" s="22" t="n">
        <v>800</v>
      </c>
      <c r="D7" s="22" t="n">
        <v>0</v>
      </c>
      <c r="E7" s="22" t="n">
        <v>1</v>
      </c>
      <c r="F7" s="22" t="n">
        <v>5</v>
      </c>
      <c r="G7" s="22" t="n">
        <v>11</v>
      </c>
      <c r="H7" s="22" t="n">
        <v>51</v>
      </c>
      <c r="I7" s="22" t="n">
        <v>11</v>
      </c>
      <c r="J7" s="22" t="n">
        <v>13</v>
      </c>
      <c r="K7" s="22" t="n">
        <v>13</v>
      </c>
      <c r="L7" s="22" t="n">
        <v>12</v>
      </c>
      <c r="M7" s="22" t="n">
        <v>146</v>
      </c>
    </row>
    <row r="8">
      <c r="A8" s="9" t="inlineStr">
        <is>
          <t>Broadcom</t>
        </is>
      </c>
      <c r="B8" s="9" t="inlineStr">
        <is>
          <t>Google — TPU v7 Ironwood</t>
        </is>
      </c>
      <c r="C8" s="22" t="n">
        <v>1400</v>
      </c>
      <c r="D8" s="22" t="n">
        <v>6</v>
      </c>
      <c r="E8" s="22" t="n">
        <v>11</v>
      </c>
      <c r="F8" s="22" t="n">
        <v>16</v>
      </c>
      <c r="G8" s="22" t="n">
        <v>21</v>
      </c>
      <c r="H8" s="22" t="n">
        <v>158</v>
      </c>
      <c r="I8" s="22" t="n">
        <v>14</v>
      </c>
      <c r="J8" s="22" t="n">
        <v>8</v>
      </c>
      <c r="K8" s="22" t="n">
        <v>6</v>
      </c>
      <c r="L8" s="22" t="n">
        <v>0</v>
      </c>
      <c r="M8" s="22" t="n">
        <v>85</v>
      </c>
    </row>
    <row r="9">
      <c r="A9" s="9" t="inlineStr">
        <is>
          <t>Broadcom</t>
        </is>
      </c>
      <c r="B9" s="9" t="inlineStr">
        <is>
          <t>Google — TPU v8i</t>
        </is>
      </c>
      <c r="C9" s="22" t="n">
        <v>1400</v>
      </c>
      <c r="D9" s="22" t="n">
        <v>0</v>
      </c>
      <c r="E9" s="22" t="n">
        <v>0</v>
      </c>
      <c r="F9" s="22" t="n">
        <v>2</v>
      </c>
      <c r="G9" s="22" t="n">
        <v>4</v>
      </c>
      <c r="H9" s="22" t="n">
        <v>18</v>
      </c>
      <c r="I9" s="22" t="n">
        <v>7</v>
      </c>
      <c r="J9" s="22" t="n">
        <v>17</v>
      </c>
      <c r="K9" s="22" t="n">
        <v>25</v>
      </c>
      <c r="L9" s="22" t="n">
        <v>35</v>
      </c>
      <c r="M9" s="22" t="n">
        <v>250</v>
      </c>
    </row>
    <row r="10">
      <c r="A10" s="9" t="inlineStr">
        <is>
          <t>Broadcom</t>
        </is>
      </c>
      <c r="B10" s="9" t="inlineStr">
        <is>
          <t>Meta — MTIA v3</t>
        </is>
      </c>
      <c r="C10" s="22" t="n">
        <v>1600</v>
      </c>
      <c r="D10" s="22" t="n">
        <v>0</v>
      </c>
      <c r="E10" s="22" t="n">
        <v>0</v>
      </c>
      <c r="F10" s="22" t="n">
        <v>0</v>
      </c>
      <c r="G10" s="22" t="n">
        <v>0</v>
      </c>
      <c r="H10" s="22" t="n">
        <v>2</v>
      </c>
      <c r="I10" s="22" t="n">
        <v>1</v>
      </c>
      <c r="J10" s="22" t="n">
        <v>1</v>
      </c>
      <c r="K10" s="22" t="n">
        <v>2</v>
      </c>
      <c r="L10" s="22" t="n">
        <v>3</v>
      </c>
      <c r="M10" s="22" t="n">
        <v>19</v>
      </c>
    </row>
    <row r="11">
      <c r="A11" s="9" t="inlineStr">
        <is>
          <t>Broadcom</t>
        </is>
      </c>
      <c r="B11" s="9" t="inlineStr">
        <is>
          <t>OpenAI</t>
        </is>
      </c>
      <c r="C11" s="22" t="n">
        <v>1600</v>
      </c>
      <c r="D11" s="22" t="n">
        <v>0</v>
      </c>
      <c r="E11" s="22" t="n">
        <v>0</v>
      </c>
      <c r="F11" s="22" t="n">
        <v>0</v>
      </c>
      <c r="G11" s="22" t="n">
        <v>3</v>
      </c>
      <c r="H11" s="22" t="n">
        <v>11</v>
      </c>
      <c r="I11" s="22" t="n">
        <v>3</v>
      </c>
      <c r="J11" s="22" t="n">
        <v>4</v>
      </c>
      <c r="K11" s="22" t="n">
        <v>4</v>
      </c>
      <c r="L11" s="22" t="n">
        <v>1</v>
      </c>
      <c r="M11" s="22" t="n">
        <v>36</v>
      </c>
    </row>
    <row r="12">
      <c r="A12" s="9" t="inlineStr">
        <is>
          <t>AMD</t>
        </is>
      </c>
      <c r="B12" s="9" t="inlineStr">
        <is>
          <t>MI355</t>
        </is>
      </c>
      <c r="C12" s="22" t="n">
        <v>840</v>
      </c>
      <c r="D12" s="22" t="n">
        <v>2</v>
      </c>
      <c r="E12" s="22" t="n">
        <v>2</v>
      </c>
      <c r="F12" s="22" t="n">
        <v>1</v>
      </c>
      <c r="G12" s="22" t="n">
        <v>1</v>
      </c>
      <c r="H12" s="22" t="n">
        <v>17</v>
      </c>
      <c r="I12" s="22" t="n">
        <v>1</v>
      </c>
      <c r="J12" s="22" t="n">
        <v>1</v>
      </c>
      <c r="K12" s="22" t="n">
        <v>0</v>
      </c>
      <c r="L12" s="22" t="n">
        <v>0</v>
      </c>
      <c r="M12" s="22" t="n">
        <v>7</v>
      </c>
    </row>
    <row r="13">
      <c r="A13" s="9" t="inlineStr">
        <is>
          <t>Alchip</t>
        </is>
      </c>
      <c r="B13" s="9" t="inlineStr">
        <is>
          <t>Amazon — Trainium 3</t>
        </is>
      </c>
      <c r="C13" s="22" t="n">
        <v>1600</v>
      </c>
      <c r="D13" s="22" t="n">
        <v>0</v>
      </c>
      <c r="E13" s="22" t="n">
        <v>4</v>
      </c>
      <c r="F13" s="22" t="n">
        <v>11</v>
      </c>
      <c r="G13" s="22" t="n">
        <v>22</v>
      </c>
      <c r="H13" s="22" t="n">
        <v>110</v>
      </c>
      <c r="I13" s="22" t="n">
        <v>20</v>
      </c>
      <c r="J13" s="22" t="n">
        <v>17</v>
      </c>
      <c r="K13" s="22" t="n">
        <v>10</v>
      </c>
      <c r="L13" s="22" t="n">
        <v>2</v>
      </c>
      <c r="M13" s="22" t="n">
        <v>149</v>
      </c>
    </row>
    <row r="14">
      <c r="A14" s="9" t="inlineStr">
        <is>
          <t>Marvell</t>
        </is>
      </c>
      <c r="B14" s="9" t="inlineStr">
        <is>
          <t>Amazon — Trainium 2.5</t>
        </is>
      </c>
      <c r="C14" s="22" t="n">
        <v>1600</v>
      </c>
      <c r="D14" s="22" t="n">
        <v>0</v>
      </c>
      <c r="E14" s="22" t="n">
        <v>0</v>
      </c>
      <c r="F14" s="22" t="n">
        <v>0</v>
      </c>
      <c r="G14" s="22" t="n">
        <v>2</v>
      </c>
      <c r="H14" s="22" t="n">
        <v>7</v>
      </c>
      <c r="I14" s="22" t="n">
        <v>0</v>
      </c>
      <c r="J14" s="22" t="n">
        <v>0</v>
      </c>
      <c r="K14" s="22" t="n">
        <v>0</v>
      </c>
      <c r="L14" s="22" t="n">
        <v>0</v>
      </c>
      <c r="M14" s="22" t="n">
        <v>2</v>
      </c>
    </row>
    <row r="15">
      <c r="A15" s="9" t="inlineStr">
        <is>
          <t>MediaTek</t>
        </is>
      </c>
      <c r="B15" s="9" t="inlineStr">
        <is>
          <t>Google — TPU v8t</t>
        </is>
      </c>
      <c r="C15" s="22" t="n">
        <v>800</v>
      </c>
      <c r="D15" s="22" t="n">
        <v>0</v>
      </c>
      <c r="E15" s="22" t="n">
        <v>0</v>
      </c>
      <c r="F15" s="22" t="n">
        <v>1</v>
      </c>
      <c r="G15" s="22" t="n">
        <v>4</v>
      </c>
      <c r="H15" s="22" t="n">
        <v>15</v>
      </c>
      <c r="I15" s="22" t="n">
        <v>7</v>
      </c>
      <c r="J15" s="22" t="n">
        <v>10</v>
      </c>
      <c r="K15" s="22" t="n">
        <v>9</v>
      </c>
      <c r="L15" s="22" t="n">
        <v>7</v>
      </c>
      <c r="M15" s="22" t="n">
        <v>101</v>
      </c>
    </row>
    <row r="16">
      <c r="A16" s="9" t="inlineStr">
        <is>
          <t>Other</t>
        </is>
      </c>
      <c r="B16" s="9" t="inlineStr">
        <is>
          <t>CPUs / accelerators &amp; networking</t>
        </is>
      </c>
      <c r="C16" s="22" t="n"/>
      <c r="D16" s="22" t="n">
        <v>2</v>
      </c>
      <c r="E16" s="22" t="n">
        <v>4</v>
      </c>
      <c r="F16" s="22" t="n">
        <v>10</v>
      </c>
      <c r="G16" s="22" t="n">
        <v>19</v>
      </c>
      <c r="H16" s="22" t="n">
        <v>105</v>
      </c>
      <c r="I16" s="22" t="n">
        <v>20</v>
      </c>
      <c r="J16" s="22" t="n">
        <v>23</v>
      </c>
      <c r="K16" s="22" t="n">
        <v>23</v>
      </c>
      <c r="L16" s="22" t="n">
        <v>28</v>
      </c>
      <c r="M16" s="22" t="n">
        <v>281</v>
      </c>
    </row>
    <row r="17">
      <c r="A17" s="13" t="inlineStr">
        <is>
          <t>Cloud AI</t>
        </is>
      </c>
      <c r="B17" s="21" t="inlineStr">
        <is>
          <t>Capacity requirement (kwpm)</t>
        </is>
      </c>
      <c r="C17" s="21" t="n"/>
      <c r="D17" s="21">
        <f>SUM(D5:D16)</f>
        <v/>
      </c>
      <c r="E17" s="21">
        <f>SUM(E5:E16)</f>
        <v/>
      </c>
      <c r="F17" s="21">
        <f>SUM(F5:F16)</f>
        <v/>
      </c>
      <c r="G17" s="21">
        <f>SUM(G5:G16)</f>
        <v/>
      </c>
      <c r="H17" s="21">
        <f>SUM(H5:H16)</f>
        <v/>
      </c>
      <c r="I17" s="21">
        <f>SUM(I5:I16)</f>
        <v/>
      </c>
      <c r="J17" s="21">
        <f>SUM(J5:J16)</f>
        <v/>
      </c>
      <c r="K17" s="21">
        <f>SUM(K5:K16)</f>
        <v/>
      </c>
      <c r="L17" s="21">
        <f>SUM(L5:L16)</f>
        <v/>
      </c>
      <c r="M17" s="21">
        <f>SUM(M5:M16)</f>
        <v/>
      </c>
    </row>
    <row r="18">
      <c r="A18" s="9" t="inlineStr">
        <is>
          <t>Apple</t>
        </is>
      </c>
      <c r="B18" s="9" t="inlineStr">
        <is>
          <t>iPhone apps processor</t>
        </is>
      </c>
      <c r="C18" s="22" t="n">
        <v>110</v>
      </c>
      <c r="D18" s="22" t="n">
        <v>43</v>
      </c>
      <c r="E18" s="22" t="n">
        <v>43</v>
      </c>
      <c r="F18" s="22" t="n">
        <v>39</v>
      </c>
      <c r="G18" s="22" t="n">
        <v>22</v>
      </c>
      <c r="H18" s="22" t="n">
        <v>442</v>
      </c>
      <c r="I18" s="22" t="n">
        <v>13</v>
      </c>
      <c r="J18" s="22" t="n">
        <v>11</v>
      </c>
      <c r="K18" s="22" t="n">
        <v>9</v>
      </c>
      <c r="L18" s="22" t="n">
        <v>10</v>
      </c>
      <c r="M18" s="22" t="n">
        <v>128</v>
      </c>
    </row>
    <row r="19">
      <c r="A19" s="9" t="inlineStr">
        <is>
          <t>Apple</t>
        </is>
      </c>
      <c r="B19" s="9" t="inlineStr">
        <is>
          <t>Mac processor</t>
        </is>
      </c>
      <c r="C19" s="22" t="n">
        <v>165</v>
      </c>
      <c r="D19" s="22" t="n">
        <v>10</v>
      </c>
      <c r="E19" s="22" t="n">
        <v>10</v>
      </c>
      <c r="F19" s="22" t="n">
        <v>8</v>
      </c>
      <c r="G19" s="22" t="n">
        <v>7</v>
      </c>
      <c r="H19" s="22" t="n">
        <v>106</v>
      </c>
      <c r="I19" s="22" t="n">
        <v>7</v>
      </c>
      <c r="J19" s="22" t="n">
        <v>6</v>
      </c>
      <c r="K19" s="22" t="n">
        <v>6</v>
      </c>
      <c r="L19" s="22" t="n">
        <v>6</v>
      </c>
      <c r="M19" s="22" t="n">
        <v>74</v>
      </c>
    </row>
    <row r="20">
      <c r="A20" s="9" t="inlineStr">
        <is>
          <t>Apple</t>
        </is>
      </c>
      <c r="B20" s="9" t="inlineStr">
        <is>
          <t>iPad M processor (Pro &amp; Air)</t>
        </is>
      </c>
      <c r="C20" s="22" t="n">
        <v>160</v>
      </c>
      <c r="D20" s="22" t="n">
        <v>14</v>
      </c>
      <c r="E20" s="22" t="n">
        <v>12</v>
      </c>
      <c r="F20" s="22" t="n">
        <v>12</v>
      </c>
      <c r="G20" s="22" t="n">
        <v>8</v>
      </c>
      <c r="H20" s="22" t="n">
        <v>135</v>
      </c>
      <c r="I20" s="22" t="n">
        <v>11</v>
      </c>
      <c r="J20" s="22" t="n">
        <v>10</v>
      </c>
      <c r="K20" s="22" t="n">
        <v>8</v>
      </c>
      <c r="L20" s="22" t="n">
        <v>8</v>
      </c>
      <c r="M20" s="22" t="n">
        <v>111</v>
      </c>
    </row>
    <row r="21">
      <c r="A21" s="9" t="inlineStr">
        <is>
          <t>Apple</t>
        </is>
      </c>
      <c r="B21" s="9" t="inlineStr">
        <is>
          <t>iPad A17 Pro processor</t>
        </is>
      </c>
      <c r="C21" s="22" t="n">
        <v>104</v>
      </c>
      <c r="D21" s="22" t="n">
        <v>2</v>
      </c>
      <c r="E21" s="22" t="n">
        <v>2</v>
      </c>
      <c r="F21" s="22" t="n">
        <v>1</v>
      </c>
      <c r="G21" s="22" t="n">
        <v>1</v>
      </c>
      <c r="H21" s="22" t="n">
        <v>15</v>
      </c>
      <c r="I21" s="22" t="n">
        <v>3</v>
      </c>
      <c r="J21" s="22" t="n">
        <v>2</v>
      </c>
      <c r="K21" s="22" t="n">
        <v>2</v>
      </c>
      <c r="L21" s="22" t="n">
        <v>2</v>
      </c>
      <c r="M21" s="22" t="n">
        <v>30</v>
      </c>
    </row>
    <row r="22">
      <c r="A22" s="9" t="inlineStr">
        <is>
          <t>Qualcomm</t>
        </is>
      </c>
      <c r="B22" s="9" t="inlineStr">
        <is>
          <t>Flagship smartphone SoC</t>
        </is>
      </c>
      <c r="C22" s="22" t="n">
        <v>120</v>
      </c>
      <c r="D22" s="22" t="n">
        <v>17</v>
      </c>
      <c r="E22" s="22" t="n">
        <v>13</v>
      </c>
      <c r="F22" s="22" t="n">
        <v>9</v>
      </c>
      <c r="G22" s="22" t="n">
        <v>3</v>
      </c>
      <c r="H22" s="22" t="n">
        <v>129</v>
      </c>
      <c r="I22" s="22" t="n">
        <v>5</v>
      </c>
      <c r="J22" s="22" t="n">
        <v>5</v>
      </c>
      <c r="K22" s="22" t="n">
        <v>4</v>
      </c>
      <c r="L22" s="22" t="n">
        <v>3</v>
      </c>
      <c r="M22" s="22" t="n">
        <v>51</v>
      </c>
    </row>
    <row r="23">
      <c r="A23" s="9" t="inlineStr">
        <is>
          <t>MediaTek</t>
        </is>
      </c>
      <c r="B23" s="9" t="inlineStr">
        <is>
          <t>5G smartphone SoC</t>
        </is>
      </c>
      <c r="C23" s="22" t="n">
        <v>120</v>
      </c>
      <c r="D23" s="22" t="n">
        <v>5</v>
      </c>
      <c r="E23" s="22" t="n">
        <v>4</v>
      </c>
      <c r="F23" s="22" t="n">
        <v>3</v>
      </c>
      <c r="G23" s="22" t="n">
        <v>1</v>
      </c>
      <c r="H23" s="22" t="n">
        <v>39</v>
      </c>
      <c r="I23" s="22" t="n">
        <v>2</v>
      </c>
      <c r="J23" s="22" t="n">
        <v>2</v>
      </c>
      <c r="K23" s="22" t="n">
        <v>2</v>
      </c>
      <c r="L23" s="22" t="n">
        <v>1</v>
      </c>
      <c r="M23" s="22" t="n">
        <v>19</v>
      </c>
    </row>
    <row r="24">
      <c r="A24" s="9" t="inlineStr">
        <is>
          <t>Intel</t>
        </is>
      </c>
      <c r="B24" s="9" t="inlineStr">
        <is>
          <t>Outsourced PC CPUs</t>
        </is>
      </c>
      <c r="C24" s="22" t="n">
        <v>100</v>
      </c>
      <c r="D24" s="22" t="n">
        <v>19</v>
      </c>
      <c r="E24" s="22" t="n">
        <v>19</v>
      </c>
      <c r="F24" s="22" t="n">
        <v>11</v>
      </c>
      <c r="G24" s="22" t="n">
        <v>4</v>
      </c>
      <c r="H24" s="22" t="n">
        <v>161</v>
      </c>
      <c r="I24" s="22" t="n">
        <v>8</v>
      </c>
      <c r="J24" s="22" t="n">
        <v>8</v>
      </c>
      <c r="K24" s="22" t="n">
        <v>8</v>
      </c>
      <c r="L24" s="22" t="n">
        <v>5</v>
      </c>
      <c r="M24" s="22" t="n">
        <v>85</v>
      </c>
    </row>
    <row r="25">
      <c r="A25" s="9" t="inlineStr">
        <is>
          <t>Other</t>
        </is>
      </c>
      <c r="B25" s="9" t="inlineStr">
        <is>
          <t>Bitcoin, tablet, ARM-based PC CPU</t>
        </is>
      </c>
      <c r="C25" s="22" t="n"/>
      <c r="D25" s="22" t="n">
        <v>10</v>
      </c>
      <c r="E25" s="22" t="n">
        <v>10</v>
      </c>
      <c r="F25" s="22" t="n">
        <v>20</v>
      </c>
      <c r="G25" s="22" t="n">
        <v>20</v>
      </c>
      <c r="H25" s="22" t="n">
        <v>180</v>
      </c>
      <c r="I25" s="22" t="n">
        <v>10</v>
      </c>
      <c r="J25" s="22" t="n">
        <v>10</v>
      </c>
      <c r="K25" s="22" t="n">
        <v>15</v>
      </c>
      <c r="L25" s="22" t="n">
        <v>20</v>
      </c>
      <c r="M25" s="22" t="n">
        <v>165</v>
      </c>
    </row>
    <row r="26">
      <c r="A26" s="13" t="inlineStr">
        <is>
          <t>Consumer &amp; other</t>
        </is>
      </c>
      <c r="B26" s="21" t="inlineStr">
        <is>
          <t>Capacity requirement (kwpm)</t>
        </is>
      </c>
      <c r="C26" s="21" t="n"/>
      <c r="D26" s="21">
        <f>SUM(D18:D25)</f>
        <v/>
      </c>
      <c r="E26" s="21">
        <f>SUM(E18:E25)</f>
        <v/>
      </c>
      <c r="F26" s="21">
        <f>SUM(F18:F25)</f>
        <v/>
      </c>
      <c r="G26" s="21">
        <f>SUM(G18:G25)</f>
        <v/>
      </c>
      <c r="H26" s="21">
        <f>SUM(H18:H25)</f>
        <v/>
      </c>
      <c r="I26" s="21">
        <f>SUM(I18:I25)</f>
        <v/>
      </c>
      <c r="J26" s="21">
        <f>SUM(J18:J25)</f>
        <v/>
      </c>
      <c r="K26" s="21">
        <f>SUM(K18:K25)</f>
        <v/>
      </c>
      <c r="L26" s="21">
        <f>SUM(L18:L25)</f>
        <v/>
      </c>
      <c r="M26" s="21">
        <f>SUM(M18:M25)</f>
        <v/>
      </c>
    </row>
    <row r="27">
      <c r="A27" s="13" t="inlineStr">
        <is>
          <t>Total N3 demand</t>
        </is>
      </c>
      <c r="B27" s="21" t="n"/>
      <c r="C27" s="21" t="n"/>
      <c r="D27" s="21">
        <f>D17+D26</f>
        <v/>
      </c>
      <c r="E27" s="21">
        <f>E17+E26</f>
        <v/>
      </c>
      <c r="F27" s="21">
        <f>F17+F26</f>
        <v/>
      </c>
      <c r="G27" s="21">
        <f>G17+G26</f>
        <v/>
      </c>
      <c r="H27" s="21">
        <f>H17+H26</f>
        <v/>
      </c>
      <c r="I27" s="21">
        <f>I17+I26</f>
        <v/>
      </c>
      <c r="J27" s="21">
        <f>J17+J26</f>
        <v/>
      </c>
      <c r="K27" s="21">
        <f>K17+K26</f>
        <v/>
      </c>
      <c r="L27" s="21">
        <f>L17+L26</f>
        <v/>
      </c>
      <c r="M27" s="21">
        <f>M17+M26</f>
        <v/>
      </c>
    </row>
    <row r="28">
      <c r="A28" s="23" t="inlineStr">
        <is>
          <t>TSMC N3 capacity</t>
        </is>
      </c>
      <c r="B28" s="20" t="n"/>
      <c r="C28" s="20" t="n"/>
      <c r="D28" s="22" t="n">
        <v>120</v>
      </c>
      <c r="E28" s="22" t="n">
        <v>130</v>
      </c>
      <c r="F28" s="22" t="n">
        <v>150</v>
      </c>
      <c r="G28" s="22" t="n">
        <v>170</v>
      </c>
      <c r="H28" s="22" t="n">
        <v>1710</v>
      </c>
      <c r="I28" s="22" t="n">
        <v>175</v>
      </c>
      <c r="J28" s="22" t="n">
        <v>180</v>
      </c>
      <c r="K28" s="22" t="n">
        <v>185</v>
      </c>
      <c r="L28" s="22" t="n">
        <v>190</v>
      </c>
      <c r="M28" s="22" t="n">
        <v>2190</v>
      </c>
    </row>
    <row r="29">
      <c r="A29" s="7" t="inlineStr">
        <is>
          <t>Capacity utilisation</t>
        </is>
      </c>
      <c r="D29" s="24">
        <f>D27/D28</f>
        <v/>
      </c>
      <c r="E29" s="24">
        <f>E27/E28</f>
        <v/>
      </c>
      <c r="F29" s="24">
        <f>F27/F28</f>
        <v/>
      </c>
      <c r="G29" s="24">
        <f>G27/G28</f>
        <v/>
      </c>
      <c r="H29" s="24">
        <f>H27/H28</f>
        <v/>
      </c>
      <c r="I29" s="24">
        <f>I27/I28</f>
        <v/>
      </c>
      <c r="J29" s="24">
        <f>J27/J28</f>
        <v/>
      </c>
      <c r="K29" s="24">
        <f>K27/K28</f>
        <v/>
      </c>
      <c r="L29" s="24">
        <f>L27/L28</f>
        <v/>
      </c>
      <c r="M29" s="24">
        <f>M27/M28</f>
        <v/>
      </c>
    </row>
    <row r="31">
      <c r="A31" s="2" t="inlineStr">
        <is>
          <t>Cloud AI flips the node: 7% of N3 demand Q126E → 64% Q426E → ~71-72% across 2027 (Apple consumer base gives way to Rubin/Vera, Google TPU, Trainium 3, MTIA).</t>
        </is>
      </c>
    </row>
    <row r="32">
      <c r="A32" s="2" t="inlineStr">
        <is>
          <t>Totals/utilization here are formula sums of UBS component rows; they differ from UBS printed totals by &lt;=1 kwpm (e.g. Q126E total 130 vs UBS 129, util 108% vs 107%) due to source rounding.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zoomScale="9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0" customWidth="1" min="10" max="10"/>
  </cols>
  <sheetData>
    <row r="1">
      <c r="A1" s="1" t="inlineStr">
        <is>
          <t>Server CPU demand → leading-edge wafer requirement (UBS) + Intel-at-TSMC</t>
        </is>
      </c>
    </row>
    <row r="3">
      <c r="A3" s="4" t="inlineStr">
        <is>
          <t>5.1  UBS server-CPU model (Sector Keys July 2026, p76-78, 2026-07-02)</t>
        </is>
      </c>
    </row>
    <row r="4">
      <c r="A4" s="8" t="inlineStr">
        <is>
          <t>Server CPU units (mn)</t>
        </is>
      </c>
      <c r="B4" s="8" t="inlineStr">
        <is>
          <t>2025</t>
        </is>
      </c>
      <c r="C4" s="8" t="inlineStr">
        <is>
          <t>2027E</t>
        </is>
      </c>
      <c r="D4" s="8" t="inlineStr">
        <is>
          <t>2030E</t>
        </is>
      </c>
      <c r="E4" s="8" t="inlineStr">
        <is>
          <t>Source</t>
        </is>
      </c>
    </row>
    <row r="5">
      <c r="A5" s="9" t="inlineStr">
        <is>
          <t>Traditional servers</t>
        </is>
      </c>
      <c r="B5" s="22" t="n">
        <v>20</v>
      </c>
      <c r="C5" s="22" t="n">
        <v>26</v>
      </c>
      <c r="D5" s="22" t="n">
        <v>30</v>
      </c>
      <c r="E5" s="11" t="inlineStr">
        <is>
          <t>UBS Sector Keys 2026-07-02, p78 (Company data, UBS estimates). Global server-CPU shipments 23m (2025) → 63-70m (2030), 30% CAGR</t>
        </is>
      </c>
    </row>
    <row r="6">
      <c r="A6" s="9" t="inlineStr">
        <is>
          <t>AI server: head node</t>
        </is>
      </c>
      <c r="B6" s="22" t="n">
        <v>3</v>
      </c>
      <c r="C6" s="22" t="n">
        <v>10</v>
      </c>
      <c r="D6" s="22" t="n">
        <v>20</v>
      </c>
    </row>
    <row r="7">
      <c r="A7" s="9" t="inlineStr">
        <is>
          <t>AI server: standalone</t>
        </is>
      </c>
      <c r="B7" s="22" t="n">
        <v>0</v>
      </c>
      <c r="C7" s="22" t="n">
        <v>2</v>
      </c>
      <c r="D7" s="22" t="n">
        <v>13</v>
      </c>
    </row>
    <row r="8">
      <c r="A8" s="13" t="inlineStr">
        <is>
          <t>Total</t>
        </is>
      </c>
      <c r="B8" s="21">
        <f>SUM(B5:B7)</f>
        <v/>
      </c>
      <c r="C8" s="21">
        <f>SUM(C5:C7)</f>
        <v/>
      </c>
      <c r="D8" s="21">
        <f>SUM(D5:D7)</f>
        <v/>
      </c>
    </row>
    <row r="10">
      <c r="A10" s="8" t="inlineStr">
        <is>
          <t>Unit share</t>
        </is>
      </c>
      <c r="B10" s="8" t="inlineStr">
        <is>
          <t>2025</t>
        </is>
      </c>
      <c r="C10" s="8" t="inlineStr">
        <is>
          <t>2027E</t>
        </is>
      </c>
      <c r="D10" s="8" t="inlineStr">
        <is>
          <t>2030E</t>
        </is>
      </c>
      <c r="E10" s="8" t="inlineStr"/>
    </row>
    <row r="11">
      <c r="A11" s="9" t="inlineStr">
        <is>
          <t>ARM</t>
        </is>
      </c>
      <c r="B11" s="15" t="n">
        <v>0.16</v>
      </c>
      <c r="C11" s="15" t="n">
        <v>0.32</v>
      </c>
      <c r="D11" s="15" t="n">
        <v>0.42</v>
      </c>
    </row>
    <row r="12">
      <c r="A12" s="9" t="inlineStr">
        <is>
          <t>AMD</t>
        </is>
      </c>
      <c r="B12" s="15" t="n">
        <v>0.24</v>
      </c>
      <c r="C12" s="15" t="n">
        <v>0.27</v>
      </c>
      <c r="D12" s="15" t="n">
        <v>0.29</v>
      </c>
    </row>
    <row r="13">
      <c r="A13" s="9" t="inlineStr">
        <is>
          <t>Intel</t>
        </is>
      </c>
      <c r="B13" s="15" t="n">
        <v>0.6</v>
      </c>
      <c r="C13" s="15" t="n">
        <v>0.4</v>
      </c>
      <c r="D13" s="15" t="n">
        <v>0.29</v>
      </c>
      <c r="E13" s="11" t="inlineStr">
        <is>
          <t>Counterpoint — Redburn ODM expert (2026-06-23): Intel x86 server share RISING 50%→55%→~60% 2024-26 (18A freeing capacity for Xeon)</t>
        </is>
      </c>
    </row>
    <row r="15">
      <c r="A15" s="8" t="inlineStr">
        <is>
          <t>Adv capacity requirement (kwpm)</t>
        </is>
      </c>
      <c r="B15" s="8" t="inlineStr">
        <is>
          <t>2025</t>
        </is>
      </c>
      <c r="C15" s="8" t="inlineStr">
        <is>
          <t>2027E</t>
        </is>
      </c>
      <c r="D15" s="8" t="inlineStr">
        <is>
          <t>2030E</t>
        </is>
      </c>
      <c r="E15" s="8" t="inlineStr"/>
    </row>
    <row r="16">
      <c r="A16" s="9" t="inlineStr">
        <is>
          <t>ARM (on TSMC)</t>
        </is>
      </c>
      <c r="B16" s="19" t="n">
        <v>6.1</v>
      </c>
      <c r="C16" s="19" t="n">
        <v>21</v>
      </c>
      <c r="D16" s="19" t="n">
        <v>65.7</v>
      </c>
    </row>
    <row r="17">
      <c r="A17" s="9" t="inlineStr">
        <is>
          <t>AMD (on TSMC)</t>
        </is>
      </c>
      <c r="B17" s="19" t="n">
        <v>11.8</v>
      </c>
      <c r="C17" s="19" t="n">
        <v>27.6</v>
      </c>
      <c r="D17" s="19" t="n">
        <v>56.7</v>
      </c>
    </row>
    <row r="18">
      <c r="A18" s="9" t="inlineStr">
        <is>
          <t>Intel (mostly own fabs)</t>
        </is>
      </c>
      <c r="B18" s="19" t="n">
        <v>53.3</v>
      </c>
      <c r="C18" s="19" t="n">
        <v>60.9</v>
      </c>
      <c r="D18" s="19" t="n">
        <v>78.3</v>
      </c>
    </row>
    <row r="19">
      <c r="A19" s="13" t="inlineStr">
        <is>
          <t>Total server-CPU wafer demand</t>
        </is>
      </c>
      <c r="B19" s="14">
        <f>SUM(B16:B18)</f>
        <v/>
      </c>
      <c r="C19" s="14">
        <f>SUM(C16:C18)</f>
        <v/>
      </c>
      <c r="D19" s="14">
        <f>SUM(D16:D18)</f>
        <v/>
      </c>
    </row>
    <row r="21">
      <c r="A21" s="23" t="inlineStr">
        <is>
          <t>TSMC's capacity demand (kwpm)</t>
        </is>
      </c>
      <c r="B21" s="19" t="n">
        <v>18</v>
      </c>
      <c r="C21" s="19" t="n">
        <v>48.6</v>
      </c>
      <c r="D21" s="19" t="n">
        <v>122.4</v>
      </c>
      <c r="E21" s="11" t="inlineStr">
        <is>
          <t>UBS p78; 'server CPUs may require 200kwpm of leading-edge foundry capacity by 2030E vs 71kwpm in 2025' (p76). First published UBS 2026-05-21 'Quantifying the server CPU opportunity', reiterated here</t>
        </is>
      </c>
    </row>
    <row r="22">
      <c r="A22" s="9" t="inlineStr">
        <is>
          <t>Wafer ASP (US$)</t>
        </is>
      </c>
      <c r="B22" s="25" t="n">
        <v>17000</v>
      </c>
      <c r="C22" s="25" t="n">
        <v>24000</v>
      </c>
      <c r="D22" s="25" t="n">
        <v>30000</v>
      </c>
    </row>
    <row r="23">
      <c r="A23" s="9" t="inlineStr">
        <is>
          <t>TSMC sales opportunity (US$mn) — implied</t>
        </is>
      </c>
      <c r="B23" s="9">
        <f>B21*12*B22</f>
        <v/>
      </c>
      <c r="C23" s="9">
        <f>C21*12*C22</f>
        <v/>
      </c>
      <c r="D23" s="9">
        <f>D21*12*D22</f>
        <v/>
      </c>
    </row>
    <row r="24">
      <c r="A24" s="9" t="inlineStr">
        <is>
          <t>TSMC sales opportunity (US$mn) — UBS reported</t>
        </is>
      </c>
      <c r="B24" s="25" t="n">
        <v>3667</v>
      </c>
      <c r="C24" s="25" t="n">
        <v>14003</v>
      </c>
      <c r="D24" s="25" t="n">
        <v>44068</v>
      </c>
    </row>
    <row r="25">
      <c r="A25" s="9" t="inlineStr">
        <is>
          <t>Server CPU as % of TSMC sales</t>
        </is>
      </c>
      <c r="B25" s="15" t="n">
        <v>0.03</v>
      </c>
      <c r="C25" s="15" t="n">
        <v>0.06</v>
      </c>
      <c r="D25" s="15" t="n">
        <v>0.11</v>
      </c>
    </row>
    <row r="26">
      <c r="A26" s="2" t="inlineStr">
        <is>
          <t>Node placement: Nvidia Vera CPU = N3 (5.75mn units 2027); AMD Venice CPU = N2 (6.75mn units 2027 vs ~1.25mn 2026) (MS 2026-06-23). UBS p54: server CPUs = 27% of 2028E N2 demand.</t>
        </is>
      </c>
    </row>
    <row r="28">
      <c r="A28" s="4" t="inlineStr">
        <is>
          <t>5.2  Node ramp speed — N5 vs N3 vs N2 capacity in same year of mass production (UBS, chart-read → ESTIMATE)</t>
        </is>
      </c>
    </row>
    <row r="29">
      <c r="A29" s="8" t="inlineStr">
        <is>
          <t>kwpm</t>
        </is>
      </c>
      <c r="B29" s="8" t="inlineStr">
        <is>
          <t>Year 1</t>
        </is>
      </c>
      <c r="C29" s="8" t="inlineStr">
        <is>
          <t>Year 2</t>
        </is>
      </c>
      <c r="D29" s="8" t="inlineStr">
        <is>
          <t>Year 3</t>
        </is>
      </c>
      <c r="E29" s="8" t="inlineStr">
        <is>
          <t>Year 4</t>
        </is>
      </c>
      <c r="F29" s="8" t="inlineStr">
        <is>
          <t>Source</t>
        </is>
      </c>
    </row>
    <row r="30">
      <c r="A30" s="9" t="inlineStr">
        <is>
          <t>N5 (MP 2020)</t>
        </is>
      </c>
      <c r="B30" s="10" t="n">
        <v>55</v>
      </c>
      <c r="C30" s="10" t="n">
        <v>85</v>
      </c>
      <c r="D30" s="10" t="n">
        <v>150</v>
      </c>
      <c r="E30" s="10" t="n">
        <v>150</v>
      </c>
      <c r="F30" s="11" t="inlineStr">
        <is>
          <t>UBS Sector Keys 2026-07-02, p55 'TSMC's N5 vs N3 vs N2 capacity ramp in the same year of mass productions' (chart-read ±10)</t>
        </is>
      </c>
    </row>
    <row r="31">
      <c r="A31" s="9" t="inlineStr">
        <is>
          <t>N3 (MP 2022)</t>
        </is>
      </c>
      <c r="B31" s="10" t="n">
        <v>5</v>
      </c>
      <c r="C31" s="10" t="n">
        <v>45</v>
      </c>
      <c r="D31" s="10" t="n">
        <v>100</v>
      </c>
      <c r="E31" s="10" t="n">
        <v>120</v>
      </c>
    </row>
    <row r="32">
      <c r="A32" s="9" t="inlineStr">
        <is>
          <t>N2 (MP 2025)</t>
        </is>
      </c>
      <c r="B32" s="10" t="n">
        <v>40</v>
      </c>
      <c r="C32" s="10" t="n">
        <v>90</v>
      </c>
      <c r="D32" s="10" t="n">
        <v>140</v>
      </c>
      <c r="E32" s="10" t="n">
        <v>160</v>
      </c>
    </row>
    <row r="33">
      <c r="A33" s="2" t="inlineStr">
        <is>
          <t>Read: N2 ramps ~8x N3's year-1 scale and out-ramps N5 from year 2 — the fastest node ramp in TSMC history; N2 to be high-single-digit % of sales in 2026, 15-20% in 2027 (UBS p55).</t>
        </is>
      </c>
    </row>
    <row r="35">
      <c r="A35" s="4" t="inlineStr">
        <is>
          <t>5.3  Intel outsourcing at TSMC (UBS: 'Intel's outsourcing to stay at TSMC for longer', p56, updated with TSMC Q126 preview)</t>
        </is>
      </c>
    </row>
    <row r="36">
      <c r="A36" s="8" t="inlineStr">
        <is>
          <t>TSMC sales from Intel (US$mn)</t>
        </is>
      </c>
      <c r="B36" s="8" t="inlineStr">
        <is>
          <t>2020</t>
        </is>
      </c>
      <c r="C36" s="8" t="inlineStr">
        <is>
          <t>2021</t>
        </is>
      </c>
      <c r="D36" s="8" t="inlineStr">
        <is>
          <t>2022</t>
        </is>
      </c>
      <c r="E36" s="8" t="inlineStr">
        <is>
          <t>2023</t>
        </is>
      </c>
      <c r="F36" s="8" t="inlineStr">
        <is>
          <t>2024</t>
        </is>
      </c>
      <c r="G36" s="8" t="inlineStr">
        <is>
          <t>2025E</t>
        </is>
      </c>
      <c r="H36" s="8" t="inlineStr">
        <is>
          <t>2026E</t>
        </is>
      </c>
      <c r="I36" s="8" t="inlineStr">
        <is>
          <t>2027E</t>
        </is>
      </c>
      <c r="J36" s="8" t="inlineStr">
        <is>
          <t>Source</t>
        </is>
      </c>
    </row>
    <row r="37">
      <c r="A37" s="9" t="inlineStr">
        <is>
          <t>Client Computing Group (CCG)</t>
        </is>
      </c>
      <c r="B37" s="25" t="n">
        <v>589</v>
      </c>
      <c r="C37" s="25" t="n">
        <v>1074</v>
      </c>
      <c r="D37" s="25" t="n">
        <v>1296</v>
      </c>
      <c r="E37" s="25" t="n">
        <v>1909</v>
      </c>
      <c r="F37" s="25" t="n">
        <v>6361</v>
      </c>
      <c r="G37" s="25" t="n">
        <v>8479</v>
      </c>
      <c r="H37" s="25" t="n">
        <v>8389</v>
      </c>
      <c r="I37" s="25" t="n">
        <v>7304</v>
      </c>
    </row>
    <row r="38">
      <c r="A38" s="9" t="inlineStr">
        <is>
          <t>Data Center &amp; AI Group (DCAI)</t>
        </is>
      </c>
      <c r="B38" s="25" t="n">
        <v>182</v>
      </c>
      <c r="C38" s="25" t="n">
        <v>236</v>
      </c>
      <c r="D38" s="25" t="n">
        <v>320</v>
      </c>
      <c r="E38" s="25" t="n">
        <v>262</v>
      </c>
      <c r="F38" s="25" t="n">
        <v>300</v>
      </c>
      <c r="G38" s="25" t="n">
        <v>302</v>
      </c>
      <c r="H38" s="25" t="n">
        <v>377</v>
      </c>
      <c r="I38" s="25" t="n">
        <v>516</v>
      </c>
    </row>
    <row r="39">
      <c r="A39" s="9" t="inlineStr">
        <is>
          <t>Network and Edge</t>
        </is>
      </c>
      <c r="B39" s="25" t="n">
        <v>271</v>
      </c>
      <c r="C39" s="25" t="n">
        <v>368</v>
      </c>
      <c r="D39" s="25" t="n">
        <v>450</v>
      </c>
      <c r="E39" s="25" t="n">
        <v>407</v>
      </c>
      <c r="F39" s="25" t="n">
        <v>412</v>
      </c>
      <c r="G39" s="25" t="n">
        <v>0</v>
      </c>
      <c r="H39" s="25" t="n">
        <v>0</v>
      </c>
      <c r="I39" s="25" t="n">
        <v>0</v>
      </c>
    </row>
    <row r="40">
      <c r="A40" s="9" t="inlineStr">
        <is>
          <t>Mobileye</t>
        </is>
      </c>
      <c r="B40" s="25" t="n">
        <v>290</v>
      </c>
      <c r="C40" s="25" t="n">
        <v>416</v>
      </c>
      <c r="D40" s="25" t="n">
        <v>561</v>
      </c>
      <c r="E40" s="25" t="n">
        <v>624</v>
      </c>
      <c r="F40" s="25" t="n">
        <v>496</v>
      </c>
      <c r="G40" s="25" t="n">
        <v>497</v>
      </c>
      <c r="H40" s="25" t="n">
        <v>523</v>
      </c>
      <c r="I40" s="25" t="n">
        <v>541</v>
      </c>
    </row>
    <row r="41">
      <c r="A41" s="9" t="inlineStr">
        <is>
          <t>Accel Compute &amp; Graphics (AXG)</t>
        </is>
      </c>
      <c r="B41" s="25" t="n">
        <v>273</v>
      </c>
      <c r="C41" s="25" t="n">
        <v>325</v>
      </c>
      <c r="D41" s="25" t="n">
        <v>427</v>
      </c>
      <c r="E41" s="25" t="n">
        <v>0</v>
      </c>
      <c r="F41" s="25" t="n">
        <v>0</v>
      </c>
      <c r="G41" s="25" t="n">
        <v>0</v>
      </c>
      <c r="H41" s="25" t="n">
        <v>0</v>
      </c>
      <c r="I41" s="25" t="n">
        <v>0</v>
      </c>
    </row>
    <row r="42">
      <c r="A42" s="9" t="inlineStr">
        <is>
          <t>Other/NAND</t>
        </is>
      </c>
      <c r="B42" s="25" t="n">
        <v>186</v>
      </c>
      <c r="C42" s="25" t="n">
        <v>34</v>
      </c>
      <c r="D42" s="25" t="n">
        <v>56</v>
      </c>
      <c r="E42" s="25" t="n">
        <v>72</v>
      </c>
      <c r="F42" s="25" t="n">
        <v>46</v>
      </c>
      <c r="G42" s="25" t="n">
        <v>210</v>
      </c>
      <c r="H42" s="25" t="n">
        <v>174</v>
      </c>
      <c r="I42" s="25" t="n">
        <v>172</v>
      </c>
    </row>
    <row r="43">
      <c r="A43" s="13" t="inlineStr">
        <is>
          <t>TSMC sales from Intel</t>
        </is>
      </c>
      <c r="B43" s="26">
        <f>SUM(B37:B42)</f>
        <v/>
      </c>
      <c r="C43" s="26">
        <f>SUM(C37:C42)</f>
        <v/>
      </c>
      <c r="D43" s="26">
        <f>SUM(D37:D42)</f>
        <v/>
      </c>
      <c r="E43" s="26">
        <f>SUM(E37:E42)</f>
        <v/>
      </c>
      <c r="F43" s="26">
        <f>SUM(F37:F42)</f>
        <v/>
      </c>
      <c r="G43" s="26">
        <f>SUM(G37:G42)</f>
        <v/>
      </c>
      <c r="H43" s="26">
        <f>SUM(H37:H42)</f>
        <v/>
      </c>
      <c r="I43" s="26">
        <f>SUM(I37:I42)</f>
        <v/>
      </c>
    </row>
    <row r="44">
      <c r="A44" s="9" t="inlineStr">
        <is>
          <t>Intel % of TSMC sales</t>
        </is>
      </c>
      <c r="B44" s="27" t="n">
        <v>0.039</v>
      </c>
      <c r="C44" s="27" t="n">
        <v>0.043</v>
      </c>
      <c r="D44" s="27" t="n">
        <v>0.041</v>
      </c>
      <c r="E44" s="27" t="n">
        <v>0.047</v>
      </c>
      <c r="F44" s="27" t="n">
        <v>0.08400000000000001</v>
      </c>
      <c r="G44" s="27" t="n">
        <v>0.078</v>
      </c>
      <c r="H44" s="27" t="n">
        <v>0.057</v>
      </c>
      <c r="I44" s="27" t="n">
        <v>0.037</v>
      </c>
      <c r="J44" s="11" t="inlineStr">
        <is>
          <t>UBS Sector Keys 2026-07-02, p56 (Company data, UBS estimates; updated with TSMC Q126 preview)</t>
        </is>
      </c>
    </row>
    <row r="45">
      <c r="A45" s="9" t="inlineStr">
        <is>
          <t>Intel PC-CPU wafers on TSMC N3 (k wafers/yr)</t>
        </is>
      </c>
      <c r="B45" s="20" t="n"/>
      <c r="C45" s="20" t="n"/>
      <c r="D45" s="20" t="n"/>
      <c r="E45" s="20" t="n"/>
      <c r="F45" s="20" t="n"/>
      <c r="G45" s="20" t="n"/>
      <c r="H45" s="22" t="n">
        <v>161</v>
      </c>
      <c r="I45" s="22" t="n">
        <v>85</v>
      </c>
      <c r="J45" s="11" t="inlineStr">
        <is>
          <t>UBS N3 model 2026-06-28 (sheet 4): Intel outsourced PC CPUs 161k wafers 2026E → 85k 2027E as Nova Lake moves home to 18A</t>
        </is>
      </c>
    </row>
    <row r="47">
      <c r="A47" s="2" t="inlineStr">
        <is>
          <t>MS (2026-06-29): 'doesn't rule out Intel outsourcing 2nm server CPU from 2028' — watch as N2 demand swing factor.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zoomScale="90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90" customWidth="1" min="3" max="3"/>
    <col width="40" customWidth="1" min="4" max="4"/>
  </cols>
  <sheetData>
    <row r="1">
      <c r="A1" s="1" t="inlineStr">
        <is>
          <t>Sources &amp; tagging</t>
        </is>
      </c>
    </row>
    <row r="3">
      <c r="A3" s="8" t="inlineStr">
        <is>
          <t>Source</t>
        </is>
      </c>
      <c r="B3" s="8" t="inlineStr">
        <is>
          <t>Date</t>
        </is>
      </c>
      <c r="C3" s="8" t="inlineStr">
        <is>
          <t>What it feeds</t>
        </is>
      </c>
      <c r="D3" s="8" t="inlineStr">
        <is>
          <t>On disk</t>
        </is>
      </c>
    </row>
    <row r="4" ht="40" customHeight="1">
      <c r="A4" s="28" t="inlineStr">
        <is>
          <t>UBS — Semis Sector Keys July 2026 (Sunny Lin, Randy Abrams et al., Asia Semiconductors)</t>
        </is>
      </c>
      <c r="B4" s="28" t="inlineStr">
        <is>
          <t>2026-07-02</t>
        </is>
      </c>
      <c r="C4" s="28" t="inlineStr">
        <is>
          <t>N2 capacity by player (p58); leading-edge FinFET capacity 2019-27E (p58); N2 demand by application (p54); N5/N3/N2 ramp comparison (p55); server-CPU model (p76-78); Intel-at-TSMC revenue (p56); TSMC capex $60/80/95bn (p73)</t>
        </is>
      </c>
      <c r="D4" s="28" t="inlineStr">
        <is>
          <t>_inbox\UBS - Semis Sector Keys July 2026.pdf</t>
        </is>
      </c>
    </row>
    <row r="5" ht="40" customHeight="1">
      <c r="A5" s="28" t="inlineStr">
        <is>
          <t>UBS — TSMC Q226 preview + N3 bottoms-up model (Sunny Lin / Randy Abrams), Buy PT NT$3,400</t>
        </is>
      </c>
      <c r="B5" s="28" t="inlineStr">
        <is>
          <t>2026-06-28</t>
        </is>
      </c>
      <c r="C5" s="28" t="inlineStr">
        <is>
          <t>Sheet 4 entire N3 quarterly model; N3 →220kwpm 2028E; N2 →160kwpm 2028E</t>
        </is>
      </c>
      <c r="D5" s="28" t="inlineStr">
        <is>
          <t>_wiki\TSM.md (curated table + changelog 06-28)</t>
        </is>
      </c>
    </row>
    <row r="6" ht="40" customHeight="1">
      <c r="A6" s="28" t="inlineStr">
        <is>
          <t>Morgan Stanley — Asia AI Supply Chain (Charlie Chan), TSMC fab roadmap Ex.16 + node demand Ex.8/10/11</t>
        </is>
      </c>
      <c r="B6" s="28" t="inlineStr">
        <is>
          <t>2026-06-23 (date inferred)</t>
        </is>
      </c>
      <c r="C6" s="28" t="inlineStr">
        <is>
          <t>Node demand history/forecast 2020-27E (chart-read ESTIMATE ±10-15 kwpm); fab-by-fab capacity roadmap</t>
        </is>
      </c>
      <c r="D6" s="28" t="inlineStr">
        <is>
          <t>_wiki\TSM.md (curated)</t>
        </is>
      </c>
    </row>
    <row r="7" ht="40" customHeight="1">
      <c r="A7" s="28" t="inlineStr">
        <is>
          <t>Morgan Stanley — TSMC PT raise NT$2,888 (Charlie Chan)</t>
        </is>
      </c>
      <c r="B7" s="28" t="inlineStr">
        <is>
          <t>2026-06-29</t>
        </is>
      </c>
      <c r="C7" s="28" t="inlineStr">
        <is>
          <t>2nm demand +60kwpm vs plan; TSMC N2+N3 ~400k end-2028 = 10x Intel 14A+18A; EUV allocation</t>
        </is>
      </c>
      <c r="D7" s="28" t="inlineStr">
        <is>
          <t>_wiki\TSM.md changelog</t>
        </is>
      </c>
    </row>
    <row r="8" ht="40" customHeight="1">
      <c r="A8" s="28" t="inlineStr">
        <is>
          <t>Fubon / Jefferies distribution</t>
        </is>
      </c>
      <c r="B8" s="28" t="inlineStr">
        <is>
          <t>2025-10-28 / 2026-06-05</t>
        </is>
      </c>
      <c r="C8" s="28" t="inlineStr">
        <is>
          <t>Capex per node ($28bn/50kwpm N2, $20bn N3, $16bn N5); N2 110-120kwpm 2027; N2/N3 utilization 110-120%; 2027 supply-demand gap 15-20%</t>
        </is>
      </c>
      <c r="D8" s="28" t="inlineStr">
        <is>
          <t>_wiki\TSM.md</t>
        </is>
      </c>
    </row>
    <row r="9" ht="40" customHeight="1">
      <c r="A9" s="28" t="inlineStr">
        <is>
          <t>TSMC quarterly earnings transcripts (3Q24 -&gt; 1Q26)</t>
        </is>
      </c>
      <c r="B9" s="28" t="inlineStr">
        <is>
          <t>2024-10-17 to 2026-04-16</t>
        </is>
      </c>
      <c r="C9" s="28" t="inlineStr">
        <is>
          <t>Node revenue mix % (N3/N5/N7); N2 GM dilution 2-3pp FY26; N2 fabs Hsinchu + Kaohsiung</t>
        </is>
      </c>
      <c r="D9" s="28" t="inlineStr">
        <is>
          <t>TSM\transcripts</t>
        </is>
      </c>
    </row>
    <row r="10" ht="40" customHeight="1">
      <c r="A10" s="28" t="inlineStr">
        <is>
          <t>Redburn — Conor O'Mara Asia Trip Takeaways</t>
        </is>
      </c>
      <c r="B10" s="28" t="inlineStr">
        <is>
          <t>2026-06-23</t>
        </is>
      </c>
      <c r="C10" s="28" t="inlineStr">
        <is>
          <t>Intel x86 server share counterpoint (50→55→60%); server-CPU price hikes +15-20% H2-26; 2026/27 TSMC wafer price hikes</t>
        </is>
      </c>
      <c r="D10" s="28" t="inlineStr">
        <is>
          <t>_wiki\TSM.md / _wiki\INTC.md</t>
        </is>
      </c>
    </row>
    <row r="11" ht="40" customHeight="1">
      <c r="A11" s="28" t="inlineStr">
        <is>
          <t>JPM (Harlan Sur), MS bus tour (Joe Moore), BofA ASML callback, StoneX</t>
        </is>
      </c>
      <c r="B11" s="28" t="inlineStr">
        <is>
          <t>2026-04-15 to 2026-06-16</t>
        </is>
      </c>
      <c r="C11" s="28" t="inlineStr">
        <is>
          <t>Intel 18A/14A yield &amp; timeline context (sheet 3, section 3.5)</t>
        </is>
      </c>
      <c r="D11" s="28" t="inlineStr">
        <is>
          <t>_wiki\INTC.md</t>
        </is>
      </c>
    </row>
    <row r="13">
      <c r="A13" s="2" t="inlineStr">
        <is>
          <t>Tagging: BLUE = hardcoded as reported by source (HARD). BLUE ITALIC = chart-read estimate (±10-15 kwpm, directional). BLACK = formula. Never mix kwpm (monthly run-rate) with k wafers/yr (annual).</t>
        </is>
      </c>
    </row>
  </sheetData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2026-07-02T12:49:39Z</dcterms:created>
  <dcterms:modified xmlns:dcterms="http://purl.org/dc/terms/" xmlns:xsi="http://www.w3.org/2001/XMLSchema-instance" xsi:type="dcterms:W3CDTF">2026-07-02T12:50:27Z</dcterms:modified>
</cp:coreProperties>
</file>