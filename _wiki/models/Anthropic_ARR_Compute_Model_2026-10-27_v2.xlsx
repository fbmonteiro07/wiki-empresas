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Felipe.monteiro\AppData\Local\Temp\claude\E--Wiki-Felipe-empresas\e67b0948-5bbc-4a40-af59-71b1aa16b158\scratchpad\"/>
    </mc:Choice>
  </mc:AlternateContent>
  <xr:revisionPtr revIDLastSave="0" documentId="13_ncr:1_{F90C75D5-3149-4D3E-A508-9C098FE906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" sheetId="1" r:id="rId1"/>
    <sheet name="ARR Monthly" sheetId="2" r:id="rId2"/>
    <sheet name="ANT Dashboard" sheetId="3" r:id="rId3"/>
    <sheet name="Compute Reconciliation" sheetId="4" r:id="rId4"/>
    <sheet name="Check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5" l="1"/>
  <c r="C61" i="5"/>
  <c r="B61" i="5"/>
  <c r="Q61" i="5" s="1"/>
  <c r="D60" i="5"/>
  <c r="C60" i="5"/>
  <c r="B60" i="5"/>
  <c r="Q60" i="5" s="1"/>
  <c r="C59" i="5"/>
  <c r="B59" i="5"/>
  <c r="Q59" i="5" s="1"/>
  <c r="D58" i="5"/>
  <c r="C58" i="5"/>
  <c r="B58" i="5"/>
  <c r="Q58" i="5" s="1"/>
  <c r="D57" i="5"/>
  <c r="C57" i="5"/>
  <c r="B57" i="5"/>
  <c r="Q57" i="5" s="1"/>
  <c r="D56" i="5"/>
  <c r="C56" i="5"/>
  <c r="B56" i="5"/>
  <c r="Q56" i="5" s="1"/>
  <c r="D55" i="5"/>
  <c r="C55" i="5"/>
  <c r="B55" i="5"/>
  <c r="Q55" i="5" s="1"/>
  <c r="D54" i="5"/>
  <c r="C54" i="5"/>
  <c r="B54" i="5"/>
  <c r="Q54" i="5" s="1"/>
  <c r="D53" i="5"/>
  <c r="C53" i="5"/>
  <c r="B53" i="5"/>
  <c r="Q53" i="5" s="1"/>
  <c r="D52" i="5"/>
  <c r="C52" i="5"/>
  <c r="B52" i="5"/>
  <c r="Q52" i="5" s="1"/>
  <c r="D51" i="5"/>
  <c r="C51" i="5"/>
  <c r="B51" i="5"/>
  <c r="Q51" i="5" s="1"/>
  <c r="D50" i="5"/>
  <c r="C50" i="5"/>
  <c r="B50" i="5"/>
  <c r="Q50" i="5" s="1"/>
  <c r="D49" i="5"/>
  <c r="C49" i="5"/>
  <c r="B49" i="5"/>
  <c r="Q49" i="5" s="1"/>
  <c r="D48" i="5"/>
  <c r="C48" i="5"/>
  <c r="B48" i="5"/>
  <c r="Q48" i="5" s="1"/>
  <c r="F45" i="5"/>
  <c r="E45" i="5"/>
  <c r="D45" i="5"/>
  <c r="C45" i="5"/>
  <c r="B45" i="5"/>
  <c r="Q45" i="5" s="1"/>
  <c r="F44" i="5"/>
  <c r="E44" i="5"/>
  <c r="D44" i="5"/>
  <c r="C44" i="5"/>
  <c r="B44" i="5"/>
  <c r="Q44" i="5" s="1"/>
  <c r="F43" i="5"/>
  <c r="E43" i="5"/>
  <c r="D43" i="5"/>
  <c r="C43" i="5"/>
  <c r="B43" i="5"/>
  <c r="Q43" i="5" s="1"/>
  <c r="G42" i="5"/>
  <c r="Q42" i="5" s="1"/>
  <c r="G41" i="5"/>
  <c r="Q41" i="5" s="1"/>
  <c r="G40" i="5"/>
  <c r="Q40" i="5" s="1"/>
  <c r="G39" i="5"/>
  <c r="Q39" i="5" s="1"/>
  <c r="G38" i="5"/>
  <c r="Q38" i="5" s="1"/>
  <c r="G37" i="5"/>
  <c r="Q37" i="5" s="1"/>
  <c r="G36" i="5"/>
  <c r="Q36" i="5" s="1"/>
  <c r="G35" i="5"/>
  <c r="Q35" i="5" s="1"/>
  <c r="G34" i="5"/>
  <c r="F34" i="5"/>
  <c r="E34" i="5"/>
  <c r="D34" i="5"/>
  <c r="C34" i="5"/>
  <c r="B34" i="5"/>
  <c r="Q34" i="5" s="1"/>
  <c r="G33" i="5"/>
  <c r="F33" i="5"/>
  <c r="E33" i="5"/>
  <c r="D33" i="5"/>
  <c r="C33" i="5"/>
  <c r="B33" i="5"/>
  <c r="Q33" i="5" s="1"/>
  <c r="F30" i="5"/>
  <c r="E30" i="5"/>
  <c r="D30" i="5"/>
  <c r="C30" i="5"/>
  <c r="B30" i="5"/>
  <c r="Q30" i="5" s="1"/>
  <c r="F29" i="5"/>
  <c r="E29" i="5"/>
  <c r="D29" i="5"/>
  <c r="C29" i="5"/>
  <c r="B29" i="5"/>
  <c r="Q29" i="5" s="1"/>
  <c r="N26" i="5"/>
  <c r="M26" i="5"/>
  <c r="L26" i="5"/>
  <c r="K26" i="5"/>
  <c r="J26" i="5"/>
  <c r="I26" i="5"/>
  <c r="H26" i="5"/>
  <c r="G26" i="5"/>
  <c r="F26" i="5"/>
  <c r="E26" i="5"/>
  <c r="D26" i="5"/>
  <c r="C26" i="5"/>
  <c r="Q26" i="5" s="1"/>
  <c r="N25" i="5"/>
  <c r="M25" i="5"/>
  <c r="L25" i="5"/>
  <c r="K25" i="5"/>
  <c r="J25" i="5"/>
  <c r="I25" i="5"/>
  <c r="H25" i="5"/>
  <c r="G25" i="5"/>
  <c r="F25" i="5"/>
  <c r="E25" i="5"/>
  <c r="D25" i="5"/>
  <c r="C25" i="5"/>
  <c r="Q25" i="5" s="1"/>
  <c r="N24" i="5"/>
  <c r="M24" i="5"/>
  <c r="L24" i="5"/>
  <c r="K24" i="5"/>
  <c r="J24" i="5"/>
  <c r="I24" i="5"/>
  <c r="H24" i="5"/>
  <c r="G24" i="5"/>
  <c r="F24" i="5"/>
  <c r="E24" i="5"/>
  <c r="D24" i="5"/>
  <c r="C24" i="5"/>
  <c r="Q24" i="5" s="1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Q23" i="5" s="1"/>
  <c r="O20" i="5"/>
  <c r="N20" i="5"/>
  <c r="M20" i="5"/>
  <c r="L20" i="5"/>
  <c r="K20" i="5"/>
  <c r="J20" i="5"/>
  <c r="I20" i="5"/>
  <c r="H20" i="5"/>
  <c r="G20" i="5"/>
  <c r="F20" i="5"/>
  <c r="Q20" i="5" s="1"/>
  <c r="O19" i="5"/>
  <c r="N19" i="5"/>
  <c r="M19" i="5"/>
  <c r="L19" i="5"/>
  <c r="K19" i="5"/>
  <c r="J19" i="5"/>
  <c r="I19" i="5"/>
  <c r="H19" i="5"/>
  <c r="G19" i="5"/>
  <c r="F19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Q18" i="5" s="1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Q17" i="5" s="1"/>
  <c r="O16" i="5"/>
  <c r="N16" i="5"/>
  <c r="M16" i="5"/>
  <c r="L16" i="5"/>
  <c r="I16" i="5"/>
  <c r="H16" i="5"/>
  <c r="G16" i="5"/>
  <c r="F16" i="5"/>
  <c r="Q16" i="5" s="1"/>
  <c r="O15" i="5"/>
  <c r="N15" i="5"/>
  <c r="M15" i="5"/>
  <c r="L15" i="5"/>
  <c r="I15" i="5"/>
  <c r="H15" i="5"/>
  <c r="G15" i="5"/>
  <c r="F15" i="5"/>
  <c r="Q15" i="5" s="1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Q14" i="5" s="1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Q13" i="5" s="1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Q12" i="5" s="1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Q11" i="5" s="1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Q10" i="5" s="1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Q9" i="5" s="1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Q8" i="5" s="1"/>
  <c r="L7" i="5"/>
  <c r="K7" i="5"/>
  <c r="J7" i="5"/>
  <c r="I7" i="5"/>
  <c r="H7" i="5"/>
  <c r="G7" i="5"/>
  <c r="F7" i="5"/>
  <c r="E7" i="5"/>
  <c r="D7" i="5"/>
  <c r="C7" i="5"/>
  <c r="Q7" i="5" s="1"/>
  <c r="O6" i="5"/>
  <c r="N6" i="5"/>
  <c r="M6" i="5"/>
  <c r="L6" i="5"/>
  <c r="K6" i="5"/>
  <c r="J6" i="5"/>
  <c r="I6" i="5"/>
  <c r="H6" i="5"/>
  <c r="G6" i="5"/>
  <c r="F6" i="5"/>
  <c r="E6" i="5"/>
  <c r="D6" i="5"/>
  <c r="Q6" i="5" s="1"/>
  <c r="Q19" i="5" l="1"/>
</calcChain>
</file>

<file path=xl/sharedStrings.xml><?xml version="1.0" encoding="utf-8"?>
<sst xmlns="http://schemas.openxmlformats.org/spreadsheetml/2006/main" count="328" uniqueCount="252">
  <si>
    <t>Anthropic ARR, FUNDA ANT dashboard and compute-spend reconciliation — transcription</t>
  </si>
  <si>
    <t>SOURCE: FundaAI — FUNDA ANT dashboard, 2026-10-26 (all three exhibits; the ARR tab legend reads "v7 (2026-10-26)"). Attribution confirmed by Felipe Monteiro on 2026-10-27; screenshots pasted in Claude Code the same day. Cite as "FundaAI, FUNDA ANT dashboard, 2026-10-26".</t>
  </si>
  <si>
    <t>Tabs</t>
  </si>
  <si>
    <t>ARR Monthly — screenshot 1: monthly T28 / exit run-rate ARR Dec-25 to Dec-26 plus the quarterly summary ($Bn).</t>
  </si>
  <si>
    <t>ANT Dashboard — screenshot 2: quarterly 3Q25-2Q27E and annual 2025-2030E P&amp;L, drivers, cost structure, compute commitments, Broadcom TPU leases, AMD Helios and cash flow (US$ M).</t>
  </si>
  <si>
    <t>Compute Reconciliation — screenshot 3: P&amp;L-basis to commitment-basis compute spend 2026E-2030E vs the ~$750B press figure, and S-1 contract values vs amounts expensed through 2030E (US$ M).</t>
  </si>
  <si>
    <t>Checks — live formulas tying each subtotal to its components across and within tabs.</t>
  </si>
  <si>
    <t>Conventions</t>
  </si>
  <si>
    <t>Every number is typed exactly as displayed in the screenshots (hard-coded, display-rounded). The source model's formulas are not visible, so none are reproduced; the only formulas are in Checks.</t>
  </si>
  <si>
    <t>A "-" in the source is stored as 0 (renders as a dash); an empty cell in the source is left empty; "–" in the ARR tab is kept as text.</t>
  </si>
  <si>
    <t>Percentages are stored as fractions; multiples (1.50x) as numbers. Blue font in ARR Monthly mirrors the source's blue (input) cells.</t>
  </si>
  <si>
    <t>Cell comments in the source (red corner markers; text not visible): ARR Monthly T28 ARR for Feb-26, Apr-26, May-26, Jun-26, Aug-26; Distillation ARR for Aug-26 and Sep-26; Reported Revenue for Q1-26, Q2-26, Q3-26.</t>
  </si>
  <si>
    <t>Truncated in the screenshots: ARR legend ends "v7 (2026-10-26): Q1/Q2 ti..."; the dashboard label "Cloud service agreements signed in 2026 (expensed as delive..." was completed as "delivered"; the reconciliation label "...(renewals, ahead of..." was completed from the dashboard rows it ties to.</t>
  </si>
  <si>
    <t>Observations from the tie-outs (in the source, not the transcription)</t>
  </si>
  <si>
    <t>3Q25 / 2025 total operating expenses carry 1,500 that no line item shows (components sum to 2,971 vs 4,471); the same 1,500 is added back to reach adjusted operating income.</t>
  </si>
  <si>
    <t>Screenshot 1 (v7) and screenshot 2 differ on exit run-rate: Mar-26 26.9 vs 27,183; Jun-26 59.0 vs 59,407 (Sep-26 and Dec-26 agree). They may be different versions of the model.</t>
  </si>
  <si>
    <t>2026E contracted compute cost (23,912) covers 3Q26E+4Q26E only, while the 2026E cloud-agreement line (25,527) includes 2Q26 (5,741).</t>
  </si>
  <si>
    <t>S-1 table: Broadcom "expensed to 2030E" 99,824 = S-1 161,200 less the 2030E lease liability 61,376, while the dashboard amortization rows sum to 99,424; Note 13 "expensed" 42,751 vs 39,251 in the dashboard annual rows (the table counts from Jan-26).</t>
  </si>
  <si>
    <t>Built 2026-10-27 by Claude Code from the pasted images; builder script kept in the session scratchpad.</t>
  </si>
  <si>
    <t>Anthropic ARR</t>
  </si>
  <si>
    <t>Units: $Bn. T28 ARR is on a reported basis (incl. distillation). Blue = inputs; black = formulas; yellow = levers. Oct-26 onward = forecast. v7 (2026-10-26): Q1/Q2 ti... [legend truncated in the screenshot]</t>
  </si>
  <si>
    <t>Month</t>
  </si>
  <si>
    <t>Days</t>
  </si>
  <si>
    <t>T28 ARR ($Bn)</t>
  </si>
  <si>
    <t>Distillation ARR</t>
  </si>
  <si>
    <t>Ex-Distillation ARR</t>
  </si>
  <si>
    <t>Net Add ARR</t>
  </si>
  <si>
    <t>Ex-Distillation Net Add ARR</t>
  </si>
  <si>
    <t>Exit Run-Rate ARR ($Bn)</t>
  </si>
  <si>
    <t>MoM Growth (T28)</t>
  </si>
  <si>
    <t>MoM Growth (Exit RR)</t>
  </si>
  <si>
    <t>Monthly Revenue ($Bn)</t>
  </si>
  <si>
    <t>–</t>
  </si>
  <si>
    <t>Quarterly Summary</t>
  </si>
  <si>
    <t>Period</t>
  </si>
  <si>
    <t>Revenue ($Bn)</t>
  </si>
  <si>
    <t>Period-End T28 ARR ($Bn)</t>
  </si>
  <si>
    <t>Period-End Exit RR ARR ($Bn)</t>
  </si>
  <si>
    <t>QoQ Revenue Growth</t>
  </si>
  <si>
    <t>Reported Revenue ($Bn)</t>
  </si>
  <si>
    <t>Diff vs Reported</t>
  </si>
  <si>
    <t>Q1-26</t>
  </si>
  <si>
    <t>Q2-26</t>
  </si>
  <si>
    <t>Q3-26</t>
  </si>
  <si>
    <t>Q4-26E</t>
  </si>
  <si>
    <t>FY26E</t>
  </si>
  <si>
    <t>Period end date</t>
  </si>
  <si>
    <t>Days in period</t>
  </si>
  <si>
    <t>FUNDA ANT Dashboard</t>
  </si>
  <si>
    <t>3Q25</t>
  </si>
  <si>
    <t>4Q25</t>
  </si>
  <si>
    <t>1Q26</t>
  </si>
  <si>
    <t>2Q26</t>
  </si>
  <si>
    <t>3Q26E</t>
  </si>
  <si>
    <t>4Q26E</t>
  </si>
  <si>
    <t>1Q27E</t>
  </si>
  <si>
    <t>2Q27E</t>
  </si>
  <si>
    <t>2025</t>
  </si>
  <si>
    <t>2026E</t>
  </si>
  <si>
    <t>2027E</t>
  </si>
  <si>
    <t>2028E</t>
  </si>
  <si>
    <t>2029E</t>
  </si>
  <si>
    <t>2030E</t>
  </si>
  <si>
    <t>P&amp;L summary (US$ M)</t>
  </si>
  <si>
    <t>Run-rate revenue (T28 ARR), end of period</t>
  </si>
  <si>
    <t>% growth q/q (annual: y/y)</t>
  </si>
  <si>
    <t>Revenue</t>
  </si>
  <si>
    <t>% growth y/y</t>
  </si>
  <si>
    <t>Consumption-based revenue</t>
  </si>
  <si>
    <t>Subscription-based revenue</t>
  </si>
  <si>
    <t>Compute and infrastructure</t>
  </si>
  <si>
    <t>% of revenue</t>
  </si>
  <si>
    <t>Adjusted operating income (non-GAAP)</t>
  </si>
  <si>
    <t>Adjusted operating margin</t>
  </si>
  <si>
    <t>Operating income (loss), GAAP</t>
  </si>
  <si>
    <t>Operating margin</t>
  </si>
  <si>
    <t>Interest expense on finance leases</t>
  </si>
  <si>
    <t>Net income (loss), GAAP</t>
  </si>
  <si>
    <t>Adjusted net income (non-GAAP)</t>
  </si>
  <si>
    <t>Revenue drivers</t>
  </si>
  <si>
    <t>Exit run-rate (last 7 days), end of period</t>
  </si>
  <si>
    <t>Distillation ARR in T28, end of period</t>
  </si>
  <si>
    <t>T28 ARR excluding distillation</t>
  </si>
  <si>
    <t>Revenue as % of average run-rate revenue</t>
  </si>
  <si>
    <t>Subscription share of revenue</t>
  </si>
  <si>
    <t>Share of revenue through CSP marketplaces (memo)</t>
  </si>
  <si>
    <t>Cost structure and assumptions (US$ M)</t>
  </si>
  <si>
    <t>Customer-serving compute (cost of revenue)</t>
  </si>
  <si>
    <t>Serving cost, % of revenue (assumption)</t>
  </si>
  <si>
    <t>Training, research and internal use (remaining capacity)</t>
  </si>
  <si>
    <t>Minimum training and research need, % of revenue (assumption)</t>
  </si>
  <si>
    <t>Compute beyond disclosed contracts</t>
  </si>
  <si>
    <t>New long-term contracts</t>
  </si>
  <si>
    <t>Short-term compute (incl. premium)</t>
  </si>
  <si>
    <t>Share covered by new long-term contracts</t>
  </si>
  <si>
    <t>Short-term premium</t>
  </si>
  <si>
    <t>Personnel</t>
  </si>
  <si>
    <t>Personnel excluding SBC</t>
  </si>
  <si>
    <t>Average employees</t>
  </si>
  <si>
    <t>Cash cost per employee ($K, annualized)</t>
  </si>
  <si>
    <t>% growth (q/q; annual: y/y)</t>
  </si>
  <si>
    <t>Stock-based compensation</t>
  </si>
  <si>
    <t>Sales, marketing, and partnerships</t>
  </si>
  <si>
    <t>% of revenue (includes CSP fees)</t>
  </si>
  <si>
    <t>Other operating and administrative</t>
  </si>
  <si>
    <t>Excluding one-off charges, % of revenue</t>
  </si>
  <si>
    <t>One-off charges (charity, Bartz settlement)</t>
  </si>
  <si>
    <t>Total operating expenses</t>
  </si>
  <si>
    <t>Compute commitments: contracted capacity cost (US$ M)</t>
  </si>
  <si>
    <t>Contracted compute capacity cost</t>
  </si>
  <si>
    <t>Cloud service agreements signed in 2026 (expensed as delivered)</t>
  </si>
  <si>
    <t>Google</t>
  </si>
  <si>
    <t>Amazon</t>
  </si>
  <si>
    <t>Microsoft (2026 increase)</t>
  </si>
  <si>
    <t>SpaceXAI</t>
  </si>
  <si>
    <t>Nscale</t>
  </si>
  <si>
    <t>Lambda</t>
  </si>
  <si>
    <t>Google / TPU providers 2028-31</t>
  </si>
  <si>
    <t>Commitments existing at Dec 31, 2025 (S-1 Note 13)</t>
  </si>
  <si>
    <t>Broadcom TPU leases: right-of-use amortization</t>
  </si>
  <si>
    <t>Data center, colocation and power for Broadcom capacity</t>
  </si>
  <si>
    <t>AMD Helios hardware: depreciation</t>
  </si>
  <si>
    <t>Renewals of expiring contracts</t>
  </si>
  <si>
    <t>New contracts signed ahead of demand</t>
  </si>
  <si>
    <t>Broadcom TPU leases, data centers and AMD hardware</t>
  </si>
  <si>
    <t>1. Commencement and amortization</t>
  </si>
  <si>
    <t>Google TPU systems sold to third parties (thousand)</t>
  </si>
  <si>
    <t>Net ASP per TPU (US$ thousand)</t>
  </si>
  <si>
    <t>Google TPU sales value (US$ M)</t>
  </si>
  <si>
    <t>Share leased to Anthropic via Broadcom</t>
  </si>
  <si>
    <t>Leased system value / TPU sale value</t>
  </si>
  <si>
    <t>New right-of-use assets (ready for service, next quarter)</t>
  </si>
  <si>
    <t>Cumulative right-of-use additions</t>
  </si>
  <si>
    <t>Amortization rate (annual)</t>
  </si>
  <si>
    <t>Right-of-use amortization (in compute)</t>
  </si>
  <si>
    <t>2. Interest, liability and principal</t>
  </si>
  <si>
    <t>Lease interest rate (S-1: 7.1%)</t>
  </si>
  <si>
    <t>Interest expense (below operating income)</t>
  </si>
  <si>
    <t>Principal payments (financing cash flow)</t>
  </si>
  <si>
    <t>Finance lease liability, end of period</t>
  </si>
  <si>
    <t>3. Data center, colocation and power</t>
  </si>
  <si>
    <t>TPUs ready for service (thousand)</t>
  </si>
  <si>
    <t>TPUs in service, end of period (thousand)</t>
  </si>
  <si>
    <t>IT power per TPU (kW)</t>
  </si>
  <si>
    <t>IT power in service (MW)</t>
  </si>
  <si>
    <t>Cost per MW per year (US$ M)</t>
  </si>
  <si>
    <t>Data center, colocation and power cost (in compute)</t>
  </si>
  <si>
    <t>AMD Helios hardware (capex and depreciation)</t>
  </si>
  <si>
    <t>AMD Helios purchases (capex)</t>
  </si>
  <si>
    <t>Depreciation rate (annual)</t>
  </si>
  <si>
    <t>AMD depreciation (in compute)</t>
  </si>
  <si>
    <t>Cash flow and balance sheet (US$ M)</t>
  </si>
  <si>
    <t>Net cash provided by (used in) operating activities</t>
  </si>
  <si>
    <t>Purchases of property and equipment</t>
  </si>
  <si>
    <t>Purchases of compute hardware (AMD)</t>
  </si>
  <si>
    <t>Free cash flow</t>
  </si>
  <si>
    <t>Principal payments on finance leases (Broadcom)</t>
  </si>
  <si>
    <t>Free cash flow after finance lease principal</t>
  </si>
  <si>
    <t>Cash, cash equivalents and short-term investments, end of period</t>
  </si>
  <si>
    <t>Finance lease liabilities (Broadcom), end of period</t>
  </si>
  <si>
    <t>Compute spend reconciliation 2026E-2030E: P&amp;L basis -&gt; spend basis, vs press report (~$750B through 2030)</t>
  </si>
  <si>
    <t>US$ M</t>
  </si>
  <si>
    <t>2026-30E</t>
  </si>
  <si>
    <t>Compute and infrastructure (P&amp;L basis)</t>
  </si>
  <si>
    <t>Plus: Broadcom right-of-use commenced less amortization</t>
  </si>
  <si>
    <t>Plus: AMD Helios capex less depreciation</t>
  </si>
  <si>
    <t>Compute spend, commitment basis (excl. lease interest)</t>
  </si>
  <si>
    <t>Memo: Broadcom lease interest (below operating income)</t>
  </si>
  <si>
    <t>Compute spend including lease interest</t>
  </si>
  <si>
    <t>Of which assumptions beyond S-1 contracts (renewals, ahead of demand, beyond disclosed contracts)</t>
  </si>
  <si>
    <t>Press report: company compute plan through 2030</t>
  </si>
  <si>
    <t>Difference: model spend (excl. interest) less press report</t>
  </si>
  <si>
    <t>Compute commitments: S-1 contract values vs payments expensed in the model through 2030E</t>
  </si>
  <si>
    <t>S-1 value</t>
  </si>
  <si>
    <t>Expensed to 2030E</t>
  </si>
  <si>
    <t>Tail after 2030E</t>
  </si>
  <si>
    <t>% within 2030E</t>
  </si>
  <si>
    <t>Google / TPU providers 2028-31 (midpoint of $125-150B)</t>
  </si>
  <si>
    <t>Cloud service agreements signed in 2026</t>
  </si>
  <si>
    <t>Commitments at Dec 31, 2025 (Note 13; from Jan-26)</t>
  </si>
  <si>
    <t>Broadcom TPU leases (rent excl. interest; amortization)</t>
  </si>
  <si>
    <t>AMD Helios hardware (lower bound; depreciation)</t>
  </si>
  <si>
    <t>Total S-1 compute commitments</t>
  </si>
  <si>
    <t>Transcription tie-outs (live formulas)</t>
  </si>
  <si>
    <t>Each cell = components minus total, as transcribed. Status OK when every |diff| &lt;= tolerance (display rounding). A GAP that is also explained in column R sits in the source exhibit itself, not the transcription.</t>
  </si>
  <si>
    <t>ANT Dashboard (US$ M)</t>
  </si>
  <si>
    <t>Status</t>
  </si>
  <si>
    <t>Note (source-level gap)</t>
  </si>
  <si>
    <t>Consumption + subscription - revenue</t>
  </si>
  <si>
    <t>Distillation + ex-distillation - T28 ARR</t>
  </si>
  <si>
    <t>2028E-2030E excluded: the source leaves distillation and ex-distillation as "-" in those years</t>
  </si>
  <si>
    <t>Customer-serving + training - compute and infrastructure</t>
  </si>
  <si>
    <t>New long-term + short-term - compute beyond contracts</t>
  </si>
  <si>
    <t>Personnel ex-SBC + SBC - personnel</t>
  </si>
  <si>
    <t>Compute + personnel + S&amp;M + other - total opex</t>
  </si>
  <si>
    <t>3Q25 and 2025: 1,500 in total opex is not itemised in any line of the exhibit</t>
  </si>
  <si>
    <t>Revenue - total opex - GAAP operating income</t>
  </si>
  <si>
    <t>GAAP OI + SBC + one-offs - adjusted OI</t>
  </si>
  <si>
    <t>3Q25 and 2025: the same un-itemised 1,500 is added back</t>
  </si>
  <si>
    <t>Counterparties - cloud service agreements signed in 2026</t>
  </si>
  <si>
    <t>Cloud + Note 13 + Broadcom ROU + DC + AMD dep + renewals + ahead-of-demand - contracted cost</t>
  </si>
  <si>
    <t>2026E excluded: contracted cost (23,912) covers 3Q26E+4Q26E only, while the 2026E cloud-agreement line (25,527) includes 2Q26 (5,741)</t>
  </si>
  <si>
    <t>Contracted + beyond contracts - compute and infrastructure</t>
  </si>
  <si>
    <t>2026E excluded: compute (33,807) includes 1H26 actuals; contracted cost is H2-only</t>
  </si>
  <si>
    <t>ROU amortization (lease block) - ROU line in compute</t>
  </si>
  <si>
    <t>DC/colo/power (lease block) - DC line in compute</t>
  </si>
  <si>
    <t>OCF + PP&amp;E + AMD purchases - FCF</t>
  </si>
  <si>
    <t>FCF + lease principal - FCF after principal</t>
  </si>
  <si>
    <t>ARR Monthly ($Bn)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</si>
  <si>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</si>
  <si>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</si>
  <si>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</si>
  <si>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</si>
  <si>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</si>
  <si>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</si>
  <si>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</si>
  <si>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</si>
  <si>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</si>
  <si>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</si>
  <si>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</si>
  <si>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</si>
  <si>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</si>
  <si>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T28 change - net add</t>
  </si>
  <si>
    <t>Ex-distillation change - ex-distillation net add</t>
  </si>
  <si>
    <t>T28 ARR x days/365 - monthly revenue</t>
  </si>
  <si>
    <t>ARR Quarterly ($Bn)</t>
  </si>
  <si>
    <t>Sum of monthly revenue - quarterly revenue</t>
  </si>
  <si>
    <t>ARR tab revenue x 1,000 - dashboard revenue (US$ M)</t>
  </si>
  <si>
    <t>Q2-26 and FY26E: $Bn shown to 2 decimals, so up to ~5-10 US$ M rounding</t>
  </si>
  <si>
    <t>Compute Reconciliation (US$ M)</t>
  </si>
  <si>
    <t>P&amp;L + ROU + AMD - commitment-basis spend</t>
  </si>
  <si>
    <t>Commitment-basis spend + lease interest - spend incl. interest</t>
  </si>
  <si>
    <t>Sum of 2026E-2030E - 2026-30E column</t>
  </si>
  <si>
    <t>Row sum 2026E-2030E - 2026-30E (P&amp;L basis)</t>
  </si>
  <si>
    <t>Row sum 2026E-2030E - 2026-30E (Broadcom ROU)</t>
  </si>
  <si>
    <t>Row sum 2026E-2030E - 2026-30E (AMD)</t>
  </si>
  <si>
    <t>Row sum 2026E-2030E - 2026-30E (lease interest)</t>
  </si>
  <si>
    <t>Row sum 2026E-2030E - 2026-30E (spend incl. interest)</t>
  </si>
  <si>
    <t>Row sum 2026E-2030E - 2026-30E (beyond-S-1 assumptions)</t>
  </si>
  <si>
    <t>Commitment-basis total - press report - difference</t>
  </si>
  <si>
    <t>Cross-sheet: P&amp;L-basis compute - dashboard compute (annual)</t>
  </si>
  <si>
    <t>Cross-sheet: lease interest - dashboard interest expense (sign flipped)</t>
  </si>
  <si>
    <t>Cross-sheet: beyond-S-1 row - (beyond contracts + renewals + ahead of demand)</t>
  </si>
  <si>
    <t>S-1 commitments table (US$ M)</t>
  </si>
  <si>
    <t>S-1 - expensed - tail</t>
  </si>
  <si>
    <t>Expensed / S-1 - %</t>
  </si>
  <si>
    <t>Expensed - model sum 2026E-30E</t>
  </si>
  <si>
    <t>expensed counts from Jan-26; dashboard Note 13 line starts in 3Q26E (1H26 sits in actuals)</t>
  </si>
  <si>
    <t>expensed = S-1 less 2030E lease liability (61,376); amortization rows sum to 99,424</t>
  </si>
  <si>
    <t>Counterparties - cloud service agreements (S-1 / expensed / tail)</t>
  </si>
  <si>
    <t>Four categories - total S-1 commitments (S-1 / expensed / tail)</t>
  </si>
  <si>
    <t>Column "Expensed / S-1 - %" is shown x1,000 (tolerance 2 = 0.2pp).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</si>
</sst>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#,##0;\(#,##0\);&quot;-&quot;"/>
    <numFmt numFmtId="166" formatCode="#,##0.0;\(#,##0.0\);&quot;-&quot;"/>
    <numFmt numFmtId="167" formatCode="0.0%;\(0.0%\);&quot;-&quot;"/>
    <numFmt numFmtId="168" formatCode="#,##0.00;\(#,##0.00\);&quot;-&quot;"/>
    <numFmt numFmtId="169" formatCode="m/d/yy"/>
    <numFmt numFmtId="170" formatCode="0.00&quot;x&quot;;\(0.00&quot;x&quot;\);&quot;-&quot;"/>
  </numFmts>
  <fonts count="14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0000"/>
      <name val="Arial"/>
    </font>
    <font>
      <b/>
      <sz val="11"/>
      <name val="Arial"/>
    </font>
    <font>
      <b/>
      <sz val="10"/>
      <name val="Arial"/>
    </font>
    <font>
      <b/>
      <sz val="10"/>
      <color rgb="FF000000"/>
      <name val="Arial"/>
    </font>
    <font>
      <sz val="9"/>
      <color rgb="FF595959"/>
      <name val="Arial"/>
    </font>
    <font>
      <i/>
      <sz val="10"/>
      <color rgb="FF595959"/>
      <name val="Arial"/>
    </font>
    <font>
      <b/>
      <u/>
      <sz val="10"/>
      <color rgb="FF000000"/>
      <name val="Arial"/>
    </font>
    <font>
      <b/>
      <sz val="12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0B1F4E"/>
        <bgColor rgb="FF0B1F4E"/>
      </patternFill>
    </fill>
    <fill>
      <patternFill patternType="solid">
        <fgColor rgb="FF375623"/>
        <bgColor rgb="FF375623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/>
    </fill>
  </fills>
  <borders count="2">
    <border>
      <left/>
      <right/>
      <top/>
      <bottom/>
      <diagonal/>
    </border>
    <border>
      <left/>
      <right/>
      <top/>
      <bottom style="hair">
        <color rgb="FFBFBFBF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8" fillId="7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17" fontId="4" fillId="0" borderId="1" xfId="0" applyNumberFormat="1" applyFont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166" fontId="5" fillId="0" borderId="1" xfId="0" applyNumberFormat="1" applyFont="1" applyBorder="1" applyAlignment="1">
      <alignment horizontal="right"/>
    </xf>
    <xf numFmtId="166" fontId="6" fillId="0" borderId="1" xfId="0" applyNumberFormat="1" applyFont="1" applyBorder="1" applyAlignment="1">
      <alignment horizontal="right"/>
    </xf>
    <xf numFmtId="167" fontId="6" fillId="0" borderId="1" xfId="0" applyNumberFormat="1" applyFont="1" applyBorder="1" applyAlignment="1">
      <alignment horizontal="right"/>
    </xf>
    <xf numFmtId="168" fontId="6" fillId="0" borderId="1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7" fontId="4" fillId="3" borderId="1" xfId="0" applyNumberFormat="1" applyFont="1" applyFill="1" applyBorder="1" applyAlignment="1">
      <alignment horizontal="right"/>
    </xf>
    <xf numFmtId="165" fontId="6" fillId="3" borderId="1" xfId="0" applyNumberFormat="1" applyFont="1" applyFill="1" applyBorder="1" applyAlignment="1">
      <alignment horizontal="right"/>
    </xf>
    <xf numFmtId="166" fontId="6" fillId="3" borderId="1" xfId="0" applyNumberFormat="1" applyFont="1" applyFill="1" applyBorder="1" applyAlignment="1">
      <alignment horizontal="right"/>
    </xf>
    <xf numFmtId="166" fontId="5" fillId="3" borderId="1" xfId="0" applyNumberFormat="1" applyFont="1" applyFill="1" applyBorder="1" applyAlignment="1">
      <alignment horizontal="right"/>
    </xf>
    <xf numFmtId="167" fontId="6" fillId="3" borderId="1" xfId="0" applyNumberFormat="1" applyFont="1" applyFill="1" applyBorder="1" applyAlignment="1">
      <alignment horizontal="right"/>
    </xf>
    <xf numFmtId="168" fontId="6" fillId="3" borderId="1" xfId="0" applyNumberFormat="1" applyFont="1" applyFill="1" applyBorder="1" applyAlignment="1">
      <alignment horizontal="right"/>
    </xf>
    <xf numFmtId="0" fontId="7" fillId="0" borderId="0" xfId="0" applyFont="1"/>
    <xf numFmtId="0" fontId="4" fillId="0" borderId="1" xfId="0" applyFont="1" applyBorder="1"/>
    <xf numFmtId="168" fontId="5" fillId="0" borderId="1" xfId="0" applyNumberFormat="1" applyFont="1" applyBorder="1" applyAlignment="1">
      <alignment horizontal="right"/>
    </xf>
    <xf numFmtId="0" fontId="8" fillId="0" borderId="1" xfId="0" applyFont="1" applyBorder="1"/>
    <xf numFmtId="168" fontId="9" fillId="0" borderId="1" xfId="0" applyNumberFormat="1" applyFont="1" applyBorder="1" applyAlignment="1">
      <alignment horizontal="right"/>
    </xf>
    <xf numFmtId="166" fontId="9" fillId="0" borderId="1" xfId="0" applyNumberFormat="1" applyFont="1" applyBorder="1" applyAlignment="1">
      <alignment horizontal="right"/>
    </xf>
    <xf numFmtId="167" fontId="9" fillId="0" borderId="1" xfId="0" applyNumberFormat="1" applyFont="1" applyBorder="1" applyAlignment="1">
      <alignment horizontal="right"/>
    </xf>
    <xf numFmtId="0" fontId="10" fillId="0" borderId="0" xfId="0" applyFont="1"/>
    <xf numFmtId="169" fontId="10" fillId="0" borderId="0" xfId="0" applyNumberFormat="1" applyFont="1" applyAlignment="1">
      <alignment horizontal="right"/>
    </xf>
    <xf numFmtId="0" fontId="10" fillId="8" borderId="0" xfId="0" applyFont="1" applyFill="1" applyAlignment="1">
      <alignment horizontal="right"/>
    </xf>
    <xf numFmtId="1" fontId="10" fillId="0" borderId="0" xfId="0" applyNumberFormat="1" applyFont="1" applyAlignment="1">
      <alignment horizontal="right"/>
    </xf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8" borderId="0" xfId="0" applyFont="1" applyFill="1"/>
    <xf numFmtId="0" fontId="0" fillId="8" borderId="0" xfId="0" applyFill="1"/>
    <xf numFmtId="0" fontId="9" fillId="6" borderId="1" xfId="0" applyFont="1" applyFill="1" applyBorder="1"/>
    <xf numFmtId="0" fontId="0" fillId="6" borderId="1" xfId="0" applyFill="1" applyBorder="1"/>
    <xf numFmtId="0" fontId="9" fillId="3" borderId="1" xfId="0" applyFont="1" applyFill="1" applyBorder="1"/>
    <xf numFmtId="165" fontId="9" fillId="3" borderId="1" xfId="0" applyNumberFormat="1" applyFont="1" applyFill="1" applyBorder="1" applyAlignment="1">
      <alignment horizontal="right"/>
    </xf>
    <xf numFmtId="0" fontId="11" fillId="0" borderId="1" xfId="0" applyFont="1" applyBorder="1" applyAlignment="1">
      <alignment indent="1"/>
    </xf>
    <xf numFmtId="167" fontId="11" fillId="0" borderId="1" xfId="0" applyNumberFormat="1" applyFont="1" applyBorder="1" applyAlignment="1">
      <alignment horizontal="right"/>
    </xf>
    <xf numFmtId="0" fontId="12" fillId="7" borderId="1" xfId="0" applyFont="1" applyFill="1" applyBorder="1"/>
    <xf numFmtId="165" fontId="9" fillId="7" borderId="1" xfId="0" applyNumberFormat="1" applyFont="1" applyFill="1" applyBorder="1" applyAlignment="1">
      <alignment horizontal="right"/>
    </xf>
    <xf numFmtId="0" fontId="6" fillId="0" borderId="1" xfId="0" applyFont="1" applyBorder="1" applyAlignment="1">
      <alignment indent="1"/>
    </xf>
    <xf numFmtId="0" fontId="9" fillId="0" borderId="1" xfId="0" applyFont="1" applyBorder="1"/>
    <xf numFmtId="165" fontId="9" fillId="0" borderId="1" xfId="0" applyNumberFormat="1" applyFont="1" applyBorder="1" applyAlignment="1">
      <alignment horizontal="right"/>
    </xf>
    <xf numFmtId="0" fontId="6" fillId="0" borderId="0" xfId="0" applyFont="1"/>
    <xf numFmtId="0" fontId="9" fillId="0" borderId="1" xfId="0" applyFont="1" applyBorder="1" applyAlignment="1">
      <alignment indent="1"/>
    </xf>
    <xf numFmtId="0" fontId="11" fillId="0" borderId="1" xfId="0" applyFont="1" applyBorder="1" applyAlignment="1">
      <alignment indent="2"/>
    </xf>
    <xf numFmtId="0" fontId="6" fillId="0" borderId="1" xfId="0" applyFont="1" applyBorder="1" applyAlignment="1">
      <alignment indent="2"/>
    </xf>
    <xf numFmtId="165" fontId="11" fillId="0" borderId="1" xfId="0" applyNumberFormat="1" applyFont="1" applyBorder="1" applyAlignment="1">
      <alignment horizontal="right"/>
    </xf>
    <xf numFmtId="0" fontId="12" fillId="0" borderId="1" xfId="0" applyFont="1" applyBorder="1"/>
    <xf numFmtId="0" fontId="0" fillId="0" borderId="1" xfId="0" applyBorder="1"/>
    <xf numFmtId="170" fontId="11" fillId="0" borderId="1" xfId="0" applyNumberFormat="1" applyFont="1" applyBorder="1" applyAlignment="1">
      <alignment horizontal="right"/>
    </xf>
    <xf numFmtId="166" fontId="11" fillId="0" borderId="1" xfId="0" applyNumberFormat="1" applyFont="1" applyBorder="1" applyAlignment="1">
      <alignment horizontal="right"/>
    </xf>
    <xf numFmtId="0" fontId="7" fillId="6" borderId="0" xfId="0" applyFont="1" applyFill="1"/>
    <xf numFmtId="0" fontId="0" fillId="6" borderId="0" xfId="0" applyFill="1"/>
    <xf numFmtId="0" fontId="3" fillId="4" borderId="0" xfId="0" applyFont="1" applyFill="1" applyAlignment="1">
      <alignment horizontal="right" wrapText="1"/>
    </xf>
    <xf numFmtId="0" fontId="8" fillId="3" borderId="1" xfId="0" applyFont="1" applyFill="1" applyBorder="1"/>
    <xf numFmtId="165" fontId="8" fillId="3" borderId="1" xfId="0" applyNumberFormat="1" applyFont="1" applyFill="1" applyBorder="1" applyAlignment="1">
      <alignment horizontal="right"/>
    </xf>
    <xf numFmtId="0" fontId="4" fillId="0" borderId="1" xfId="0" applyFont="1" applyBorder="1" applyAlignment="1">
      <alignment indent="1"/>
    </xf>
    <xf numFmtId="165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indent="2"/>
    </xf>
    <xf numFmtId="167" fontId="4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indent="1"/>
    </xf>
    <xf numFmtId="165" fontId="8" fillId="0" borderId="1" xfId="0" applyNumberFormat="1" applyFont="1" applyBorder="1" applyAlignment="1">
      <alignment horizontal="right"/>
    </xf>
    <xf numFmtId="167" fontId="8" fillId="0" borderId="1" xfId="0" applyNumberFormat="1" applyFont="1" applyBorder="1" applyAlignment="1">
      <alignment horizontal="right"/>
    </xf>
    <xf numFmtId="167" fontId="8" fillId="3" borderId="1" xfId="0" applyNumberFormat="1" applyFont="1" applyFill="1" applyBorder="1" applyAlignment="1">
      <alignment horizontal="right"/>
    </xf>
    <xf numFmtId="0" fontId="13" fillId="0" borderId="0" xfId="0" applyFont="1"/>
    <xf numFmtId="0" fontId="3" fillId="4" borderId="0" xfId="0" applyFont="1" applyFill="1" applyAlignment="1">
      <alignment horizontal="right"/>
    </xf>
    <xf numFmtId="0" fontId="4" fillId="0" borderId="0" xfId="0" applyFont="1"/>
    <xf numFmtId="165" fontId="4" fillId="0" borderId="0" xfId="0" applyNumberFormat="1" applyFont="1"/>
    <xf numFmtId="0" fontId="8" fillId="0" borderId="0" xfId="0" applyFont="1"/>
    <xf numFmtId="168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showGridLines="0" tabSelected="1" workbookViewId="0"/>
  </sheetViews>
  <sheetFormatPr defaultRowHeight="15" x14ac:dyDescent="0.25"/>
  <cols>
    <col min="1" max="1" width="15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ht="25.5" x14ac:dyDescent="0.25">
      <c r="A3" s="3" t="s">
        <v>1</v>
      </c>
    </row>
    <row r="4" spans="1:1" x14ac:dyDescent="0.25">
      <c r="A4" s="2"/>
    </row>
    <row r="5" spans="1:1" x14ac:dyDescent="0.25">
      <c r="A5" s="4" t="s">
        <v>2</v>
      </c>
    </row>
    <row r="6" spans="1:1" x14ac:dyDescent="0.25">
      <c r="A6" s="2" t="s">
        <v>3</v>
      </c>
    </row>
    <row r="7" spans="1:1" ht="25.5" x14ac:dyDescent="0.25">
      <c r="A7" s="2" t="s">
        <v>4</v>
      </c>
    </row>
    <row r="8" spans="1:1" ht="25.5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/>
    </row>
    <row r="11" spans="1:1" x14ac:dyDescent="0.25">
      <c r="A11" s="4" t="s">
        <v>7</v>
      </c>
    </row>
    <row r="12" spans="1:1" ht="25.5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ht="25.5" x14ac:dyDescent="0.25">
      <c r="A15" s="2" t="s">
        <v>11</v>
      </c>
    </row>
    <row r="16" spans="1:1" ht="25.5" x14ac:dyDescent="0.25">
      <c r="A16" s="2" t="s">
        <v>12</v>
      </c>
    </row>
    <row r="17" spans="1:1" x14ac:dyDescent="0.25">
      <c r="A17" s="2"/>
    </row>
    <row r="18" spans="1:1" x14ac:dyDescent="0.25">
      <c r="A18" s="4" t="s">
        <v>13</v>
      </c>
    </row>
    <row r="19" spans="1:1" ht="25.5" x14ac:dyDescent="0.25">
      <c r="A19" s="2" t="s">
        <v>14</v>
      </c>
    </row>
    <row r="20" spans="1:1" ht="25.5" x14ac:dyDescent="0.25">
      <c r="A20" s="2" t="s">
        <v>15</v>
      </c>
    </row>
    <row r="21" spans="1:1" x14ac:dyDescent="0.25">
      <c r="A21" s="2" t="s">
        <v>16</v>
      </c>
    </row>
    <row r="22" spans="1:1" ht="25.5" x14ac:dyDescent="0.25">
      <c r="A22" s="2" t="s">
        <v>17</v>
      </c>
    </row>
    <row r="23" spans="1:1" x14ac:dyDescent="0.25">
      <c r="A23" s="2"/>
    </row>
    <row r="24" spans="1:1" x14ac:dyDescent="0.25">
      <c r="A24" s="5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showGridLines="0" workbookViewId="0"/>
  </sheetViews>
  <sheetFormatPr defaultRowHeight="15" x14ac:dyDescent="0.25"/>
  <cols>
    <col min="1" max="1" width="11" customWidth="1"/>
    <col min="2" max="2" width="8" customWidth="1"/>
    <col min="3" max="3" width="12" customWidth="1"/>
    <col min="4" max="5" width="13" customWidth="1"/>
    <col min="6" max="6" width="11" customWidth="1"/>
    <col min="7" max="8" width="14" customWidth="1"/>
    <col min="9" max="10" width="12" customWidth="1"/>
    <col min="11" max="11" width="14" customWidth="1"/>
  </cols>
  <sheetData>
    <row r="1" spans="1:11" ht="18" x14ac:dyDescent="0.25">
      <c r="A1" s="6" t="s">
        <v>19</v>
      </c>
    </row>
    <row r="2" spans="1:11" x14ac:dyDescent="0.25">
      <c r="A2" s="7" t="s">
        <v>20</v>
      </c>
    </row>
    <row r="4" spans="1:11" ht="30" customHeight="1" x14ac:dyDescent="0.25">
      <c r="A4" s="8" t="s">
        <v>21</v>
      </c>
      <c r="B4" s="8" t="s">
        <v>22</v>
      </c>
      <c r="C4" s="8" t="s">
        <v>23</v>
      </c>
      <c r="D4" s="8" t="s">
        <v>24</v>
      </c>
      <c r="E4" s="8" t="s">
        <v>25</v>
      </c>
      <c r="F4" s="8" t="s">
        <v>26</v>
      </c>
      <c r="G4" s="8" t="s">
        <v>27</v>
      </c>
      <c r="H4" s="8" t="s">
        <v>28</v>
      </c>
      <c r="I4" s="8" t="s">
        <v>29</v>
      </c>
      <c r="J4" s="8" t="s">
        <v>30</v>
      </c>
      <c r="K4" s="8" t="s">
        <v>31</v>
      </c>
    </row>
    <row r="5" spans="1:11" x14ac:dyDescent="0.25">
      <c r="A5" s="9">
        <v>45992</v>
      </c>
      <c r="B5" s="10">
        <v>31</v>
      </c>
      <c r="C5" s="11">
        <v>8.9</v>
      </c>
      <c r="D5" s="12">
        <v>0.7</v>
      </c>
      <c r="E5" s="12">
        <v>8.1999999999999993</v>
      </c>
      <c r="F5" s="12"/>
      <c r="G5" s="12"/>
      <c r="H5" s="12">
        <v>10.3</v>
      </c>
      <c r="I5" s="13" t="s">
        <v>32</v>
      </c>
      <c r="J5" s="13" t="s">
        <v>32</v>
      </c>
      <c r="K5" s="14" t="s">
        <v>32</v>
      </c>
    </row>
    <row r="6" spans="1:11" x14ac:dyDescent="0.25">
      <c r="A6" s="9">
        <v>46023</v>
      </c>
      <c r="B6" s="15">
        <v>31</v>
      </c>
      <c r="C6" s="11">
        <v>13.8</v>
      </c>
      <c r="D6" s="12">
        <v>1.2</v>
      </c>
      <c r="E6" s="12">
        <v>12.6</v>
      </c>
      <c r="F6" s="12">
        <v>4.9000000000000004</v>
      </c>
      <c r="G6" s="12">
        <v>4.4000000000000004</v>
      </c>
      <c r="H6" s="12">
        <v>15.9</v>
      </c>
      <c r="I6" s="13">
        <v>0.55100000000000005</v>
      </c>
      <c r="J6" s="13">
        <v>0.55100000000000005</v>
      </c>
      <c r="K6" s="14">
        <v>1.17</v>
      </c>
    </row>
    <row r="7" spans="1:11" x14ac:dyDescent="0.25">
      <c r="A7" s="9">
        <v>46054</v>
      </c>
      <c r="B7" s="15">
        <v>28</v>
      </c>
      <c r="C7" s="12">
        <v>19</v>
      </c>
      <c r="D7" s="12">
        <v>1.6</v>
      </c>
      <c r="E7" s="12">
        <v>17.5</v>
      </c>
      <c r="F7" s="12">
        <v>5.2</v>
      </c>
      <c r="G7" s="12">
        <v>4.9000000000000004</v>
      </c>
      <c r="H7" s="12">
        <v>21.4</v>
      </c>
      <c r="I7" s="13">
        <v>0.38</v>
      </c>
      <c r="J7" s="13">
        <v>0.34499999999999997</v>
      </c>
      <c r="K7" s="14">
        <v>1.46</v>
      </c>
    </row>
    <row r="8" spans="1:11" x14ac:dyDescent="0.25">
      <c r="A8" s="9">
        <v>46082</v>
      </c>
      <c r="B8" s="15">
        <v>31</v>
      </c>
      <c r="C8" s="11">
        <v>24.7</v>
      </c>
      <c r="D8" s="12">
        <v>2.1</v>
      </c>
      <c r="E8" s="12">
        <v>22.6</v>
      </c>
      <c r="F8" s="12">
        <v>5.7</v>
      </c>
      <c r="G8" s="12">
        <v>5.0999999999999996</v>
      </c>
      <c r="H8" s="12">
        <v>26.9</v>
      </c>
      <c r="I8" s="13">
        <v>0.29699999999999999</v>
      </c>
      <c r="J8" s="13">
        <v>0.25700000000000001</v>
      </c>
      <c r="K8" s="14">
        <v>2.1</v>
      </c>
    </row>
    <row r="9" spans="1:11" x14ac:dyDescent="0.25">
      <c r="A9" s="9">
        <v>46113</v>
      </c>
      <c r="B9" s="15">
        <v>30</v>
      </c>
      <c r="C9" s="11">
        <v>39</v>
      </c>
      <c r="D9" s="12">
        <v>2.8</v>
      </c>
      <c r="E9" s="12">
        <v>36.200000000000003</v>
      </c>
      <c r="F9" s="12">
        <v>14.3</v>
      </c>
      <c r="G9" s="12">
        <v>13.6</v>
      </c>
      <c r="H9" s="12">
        <v>45.4</v>
      </c>
      <c r="I9" s="13">
        <v>0.57899999999999996</v>
      </c>
      <c r="J9" s="13">
        <v>0.68799999999999994</v>
      </c>
      <c r="K9" s="14">
        <v>3.21</v>
      </c>
    </row>
    <row r="10" spans="1:11" x14ac:dyDescent="0.25">
      <c r="A10" s="9">
        <v>46143</v>
      </c>
      <c r="B10" s="15">
        <v>31</v>
      </c>
      <c r="C10" s="12">
        <v>45</v>
      </c>
      <c r="D10" s="12">
        <v>4</v>
      </c>
      <c r="E10" s="12">
        <v>41</v>
      </c>
      <c r="F10" s="12">
        <v>6</v>
      </c>
      <c r="G10" s="12">
        <v>4.8</v>
      </c>
      <c r="H10" s="12">
        <v>47.2</v>
      </c>
      <c r="I10" s="13">
        <v>0.154</v>
      </c>
      <c r="J10" s="13">
        <v>3.9E-2</v>
      </c>
      <c r="K10" s="14">
        <v>3.82</v>
      </c>
    </row>
    <row r="11" spans="1:11" x14ac:dyDescent="0.25">
      <c r="A11" s="9">
        <v>46174</v>
      </c>
      <c r="B11" s="15">
        <v>30</v>
      </c>
      <c r="C11" s="12">
        <v>55.1</v>
      </c>
      <c r="D11" s="12">
        <v>4.7</v>
      </c>
      <c r="E11" s="12">
        <v>50.4</v>
      </c>
      <c r="F11" s="12">
        <v>10.1</v>
      </c>
      <c r="G11" s="12">
        <v>9.4</v>
      </c>
      <c r="H11" s="12">
        <v>59</v>
      </c>
      <c r="I11" s="13">
        <v>0.224</v>
      </c>
      <c r="J11" s="13">
        <v>0.251</v>
      </c>
      <c r="K11" s="14">
        <v>4.53</v>
      </c>
    </row>
    <row r="12" spans="1:11" x14ac:dyDescent="0.25">
      <c r="A12" s="9">
        <v>46204</v>
      </c>
      <c r="B12" s="15">
        <v>31</v>
      </c>
      <c r="C12" s="11">
        <v>65</v>
      </c>
      <c r="D12" s="12">
        <v>5.2</v>
      </c>
      <c r="E12" s="12">
        <v>59.8</v>
      </c>
      <c r="F12" s="12">
        <v>9.9</v>
      </c>
      <c r="G12" s="12">
        <v>9.4</v>
      </c>
      <c r="H12" s="12">
        <v>68.7</v>
      </c>
      <c r="I12" s="13">
        <v>0.18</v>
      </c>
      <c r="J12" s="13">
        <v>0.16300000000000001</v>
      </c>
      <c r="K12" s="14">
        <v>5.52</v>
      </c>
    </row>
    <row r="13" spans="1:11" x14ac:dyDescent="0.25">
      <c r="A13" s="9">
        <v>46235</v>
      </c>
      <c r="B13" s="15">
        <v>31</v>
      </c>
      <c r="C13" s="12">
        <v>66.2</v>
      </c>
      <c r="D13" s="12">
        <v>2</v>
      </c>
      <c r="E13" s="12">
        <v>64.2</v>
      </c>
      <c r="F13" s="12">
        <v>1.2</v>
      </c>
      <c r="G13" s="12">
        <v>4.4000000000000004</v>
      </c>
      <c r="H13" s="12">
        <v>66.599999999999994</v>
      </c>
      <c r="I13" s="13">
        <v>1.9E-2</v>
      </c>
      <c r="J13" s="13">
        <v>-0.03</v>
      </c>
      <c r="K13" s="14">
        <v>5.62</v>
      </c>
    </row>
    <row r="14" spans="1:11" x14ac:dyDescent="0.25">
      <c r="A14" s="9">
        <v>46266</v>
      </c>
      <c r="B14" s="15">
        <v>30</v>
      </c>
      <c r="C14" s="11">
        <v>68.8</v>
      </c>
      <c r="D14" s="11">
        <v>0.2</v>
      </c>
      <c r="E14" s="12">
        <v>68.599999999999994</v>
      </c>
      <c r="F14" s="12">
        <v>2.6</v>
      </c>
      <c r="G14" s="12">
        <v>4.4000000000000004</v>
      </c>
      <c r="H14" s="12">
        <v>69.7</v>
      </c>
      <c r="I14" s="13">
        <v>3.9E-2</v>
      </c>
      <c r="J14" s="13">
        <v>4.5999999999999999E-2</v>
      </c>
      <c r="K14" s="14">
        <v>5.65</v>
      </c>
    </row>
    <row r="15" spans="1:11" x14ac:dyDescent="0.25">
      <c r="A15" s="16">
        <v>46296</v>
      </c>
      <c r="B15" s="17">
        <v>31</v>
      </c>
      <c r="C15" s="18">
        <v>73.3</v>
      </c>
      <c r="D15" s="19">
        <v>0.2</v>
      </c>
      <c r="E15" s="18">
        <v>73.099999999999994</v>
      </c>
      <c r="F15" s="18">
        <v>4.5</v>
      </c>
      <c r="G15" s="18">
        <v>4.5</v>
      </c>
      <c r="H15" s="18">
        <v>74.900000000000006</v>
      </c>
      <c r="I15" s="20">
        <v>6.5000000000000002E-2</v>
      </c>
      <c r="J15" s="20">
        <v>7.3999999999999996E-2</v>
      </c>
      <c r="K15" s="21">
        <v>6.23</v>
      </c>
    </row>
    <row r="16" spans="1:11" x14ac:dyDescent="0.25">
      <c r="A16" s="16">
        <v>46327</v>
      </c>
      <c r="B16" s="17">
        <v>30</v>
      </c>
      <c r="C16" s="18">
        <v>78.099999999999994</v>
      </c>
      <c r="D16" s="19">
        <v>0.2</v>
      </c>
      <c r="E16" s="18">
        <v>77.900000000000006</v>
      </c>
      <c r="F16" s="18">
        <v>4.8</v>
      </c>
      <c r="G16" s="18">
        <v>4.8</v>
      </c>
      <c r="H16" s="18">
        <v>79.8</v>
      </c>
      <c r="I16" s="20">
        <v>6.5000000000000002E-2</v>
      </c>
      <c r="J16" s="20">
        <v>6.6000000000000003E-2</v>
      </c>
      <c r="K16" s="21">
        <v>6.42</v>
      </c>
    </row>
    <row r="17" spans="1:11" x14ac:dyDescent="0.25">
      <c r="A17" s="16">
        <v>46357</v>
      </c>
      <c r="B17" s="17">
        <v>31</v>
      </c>
      <c r="C17" s="18">
        <v>83.2</v>
      </c>
      <c r="D17" s="19">
        <v>0.2</v>
      </c>
      <c r="E17" s="18">
        <v>83</v>
      </c>
      <c r="F17" s="18">
        <v>5.0999999999999996</v>
      </c>
      <c r="G17" s="18">
        <v>5.0999999999999996</v>
      </c>
      <c r="H17" s="18">
        <v>85</v>
      </c>
      <c r="I17" s="20">
        <v>6.5000000000000002E-2</v>
      </c>
      <c r="J17" s="20">
        <v>6.5000000000000002E-2</v>
      </c>
      <c r="K17" s="21">
        <v>7.07</v>
      </c>
    </row>
    <row r="19" spans="1:11" x14ac:dyDescent="0.25">
      <c r="A19" s="22" t="s">
        <v>33</v>
      </c>
    </row>
    <row r="20" spans="1:11" ht="42" customHeight="1" x14ac:dyDescent="0.25">
      <c r="A20" s="8" t="s">
        <v>34</v>
      </c>
      <c r="B20" s="8" t="s">
        <v>35</v>
      </c>
      <c r="C20" s="8" t="s">
        <v>36</v>
      </c>
      <c r="D20" s="8" t="s">
        <v>37</v>
      </c>
      <c r="E20" s="8" t="s">
        <v>38</v>
      </c>
      <c r="F20" s="8" t="s">
        <v>39</v>
      </c>
      <c r="G20" s="8" t="s">
        <v>40</v>
      </c>
    </row>
    <row r="21" spans="1:11" x14ac:dyDescent="0.25">
      <c r="A21" s="23" t="s">
        <v>41</v>
      </c>
      <c r="B21" s="14">
        <v>4.7300000000000004</v>
      </c>
      <c r="C21" s="12">
        <v>24.7</v>
      </c>
      <c r="D21" s="12">
        <v>26.9</v>
      </c>
      <c r="E21" s="13" t="s">
        <v>32</v>
      </c>
      <c r="F21" s="24">
        <v>4.7300000000000004</v>
      </c>
      <c r="G21" s="14">
        <v>0</v>
      </c>
    </row>
    <row r="22" spans="1:11" x14ac:dyDescent="0.25">
      <c r="A22" s="23" t="s">
        <v>42</v>
      </c>
      <c r="B22" s="14">
        <v>11.56</v>
      </c>
      <c r="C22" s="12">
        <v>55.1</v>
      </c>
      <c r="D22" s="12">
        <v>59</v>
      </c>
      <c r="E22" s="13">
        <v>1.4419999999999999</v>
      </c>
      <c r="F22" s="24">
        <v>11.56</v>
      </c>
      <c r="G22" s="14">
        <v>0</v>
      </c>
    </row>
    <row r="23" spans="1:11" x14ac:dyDescent="0.25">
      <c r="A23" s="23" t="s">
        <v>43</v>
      </c>
      <c r="B23" s="14">
        <v>16.8</v>
      </c>
      <c r="C23" s="12">
        <v>68.8</v>
      </c>
      <c r="D23" s="12">
        <v>69.7</v>
      </c>
      <c r="E23" s="13">
        <v>0.45400000000000001</v>
      </c>
      <c r="F23" s="24">
        <v>16.8</v>
      </c>
      <c r="G23" s="14">
        <v>0</v>
      </c>
    </row>
    <row r="24" spans="1:11" x14ac:dyDescent="0.25">
      <c r="A24" s="23" t="s">
        <v>44</v>
      </c>
      <c r="B24" s="14">
        <v>19.71</v>
      </c>
      <c r="C24" s="12">
        <v>83.2</v>
      </c>
      <c r="D24" s="12">
        <v>85</v>
      </c>
      <c r="E24" s="13">
        <v>0.17299999999999999</v>
      </c>
      <c r="F24" s="14"/>
      <c r="G24" s="14"/>
    </row>
    <row r="25" spans="1:11" x14ac:dyDescent="0.25">
      <c r="A25" s="25" t="s">
        <v>45</v>
      </c>
      <c r="B25" s="26">
        <v>52.8</v>
      </c>
      <c r="C25" s="27"/>
      <c r="D25" s="27"/>
      <c r="E25" s="28"/>
      <c r="F25" s="26"/>
      <c r="G25" s="2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5"/>
  <sheetViews>
    <sheetView showGridLines="0" workbookViewId="0"/>
  </sheetViews>
  <sheetFormatPr defaultRowHeight="15" x14ac:dyDescent="0.25"/>
  <cols>
    <col min="1" max="1" width="62" customWidth="1"/>
    <col min="2" max="9" width="10.42578125" customWidth="1"/>
    <col min="10" max="10" width="1.140625" customWidth="1"/>
    <col min="11" max="16" width="10.42578125" customWidth="1"/>
  </cols>
  <sheetData>
    <row r="1" spans="1:16" x14ac:dyDescent="0.25">
      <c r="A1" s="29" t="s">
        <v>46</v>
      </c>
      <c r="B1" s="30">
        <v>45930</v>
      </c>
      <c r="C1" s="30">
        <v>46022</v>
      </c>
      <c r="D1" s="30">
        <v>46112</v>
      </c>
      <c r="E1" s="30">
        <v>46203</v>
      </c>
      <c r="F1" s="30">
        <v>46295</v>
      </c>
      <c r="G1" s="30">
        <v>46387</v>
      </c>
      <c r="H1" s="30">
        <v>46477</v>
      </c>
      <c r="I1" s="30">
        <v>46568</v>
      </c>
      <c r="J1" s="31"/>
      <c r="K1" s="30">
        <v>46022</v>
      </c>
      <c r="L1" s="30">
        <v>46387</v>
      </c>
      <c r="M1" s="30">
        <v>46752</v>
      </c>
      <c r="N1" s="30">
        <v>47118</v>
      </c>
      <c r="O1" s="30">
        <v>47483</v>
      </c>
      <c r="P1" s="30">
        <v>47848</v>
      </c>
    </row>
    <row r="2" spans="1:16" x14ac:dyDescent="0.25">
      <c r="A2" s="29" t="s">
        <v>47</v>
      </c>
      <c r="B2" s="32">
        <v>92</v>
      </c>
      <c r="C2" s="32">
        <v>92</v>
      </c>
      <c r="D2" s="32">
        <v>90</v>
      </c>
      <c r="E2" s="32">
        <v>91</v>
      </c>
      <c r="F2" s="32">
        <v>92</v>
      </c>
      <c r="G2" s="32">
        <v>92</v>
      </c>
      <c r="H2" s="32">
        <v>90</v>
      </c>
      <c r="I2" s="32">
        <v>91</v>
      </c>
      <c r="J2" s="31"/>
      <c r="K2" s="32">
        <v>365</v>
      </c>
      <c r="L2" s="32">
        <v>365</v>
      </c>
      <c r="M2" s="32">
        <v>365</v>
      </c>
      <c r="N2" s="32">
        <v>366</v>
      </c>
      <c r="O2" s="32">
        <v>365</v>
      </c>
      <c r="P2" s="32">
        <v>365</v>
      </c>
    </row>
    <row r="3" spans="1:16" x14ac:dyDescent="0.25">
      <c r="A3" s="33" t="s">
        <v>48</v>
      </c>
      <c r="B3" s="34" t="s">
        <v>49</v>
      </c>
      <c r="C3" s="34" t="s">
        <v>50</v>
      </c>
      <c r="D3" s="34" t="s">
        <v>51</v>
      </c>
      <c r="E3" s="34" t="s">
        <v>52</v>
      </c>
      <c r="F3" s="35" t="s">
        <v>53</v>
      </c>
      <c r="G3" s="35" t="s">
        <v>54</v>
      </c>
      <c r="H3" s="35" t="s">
        <v>55</v>
      </c>
      <c r="I3" s="35" t="s">
        <v>56</v>
      </c>
      <c r="J3" s="36"/>
      <c r="K3" s="34" t="s">
        <v>57</v>
      </c>
      <c r="L3" s="35" t="s">
        <v>58</v>
      </c>
      <c r="M3" s="35" t="s">
        <v>59</v>
      </c>
      <c r="N3" s="35" t="s">
        <v>60</v>
      </c>
      <c r="O3" s="35" t="s">
        <v>61</v>
      </c>
      <c r="P3" s="35" t="s">
        <v>62</v>
      </c>
    </row>
    <row r="4" spans="1:16" x14ac:dyDescent="0.25">
      <c r="J4" s="37"/>
    </row>
    <row r="5" spans="1:16" x14ac:dyDescent="0.25">
      <c r="A5" s="38" t="s">
        <v>63</v>
      </c>
      <c r="B5" s="39"/>
      <c r="C5" s="39"/>
      <c r="D5" s="39"/>
      <c r="E5" s="39"/>
      <c r="F5" s="39"/>
      <c r="G5" s="39"/>
      <c r="H5" s="39"/>
      <c r="I5" s="39"/>
      <c r="J5" s="37"/>
      <c r="K5" s="39"/>
      <c r="L5" s="39"/>
      <c r="M5" s="39"/>
      <c r="N5" s="39"/>
      <c r="O5" s="39"/>
      <c r="P5" s="39"/>
    </row>
    <row r="6" spans="1:16" x14ac:dyDescent="0.25">
      <c r="A6" s="40" t="s">
        <v>64</v>
      </c>
      <c r="B6" s="41"/>
      <c r="C6" s="41">
        <v>8900</v>
      </c>
      <c r="D6" s="41">
        <v>24700</v>
      </c>
      <c r="E6" s="41">
        <v>55086</v>
      </c>
      <c r="F6" s="41">
        <v>68800</v>
      </c>
      <c r="G6" s="41">
        <v>83201</v>
      </c>
      <c r="H6" s="41">
        <v>98494</v>
      </c>
      <c r="I6" s="41">
        <v>114954</v>
      </c>
      <c r="J6" s="37"/>
      <c r="K6" s="41">
        <v>8900</v>
      </c>
      <c r="L6" s="41">
        <v>83201</v>
      </c>
      <c r="M6" s="41">
        <v>150007</v>
      </c>
      <c r="N6" s="41">
        <v>240011</v>
      </c>
      <c r="O6" s="41">
        <v>360016</v>
      </c>
      <c r="P6" s="41">
        <v>504023</v>
      </c>
    </row>
    <row r="7" spans="1:16" x14ac:dyDescent="0.25">
      <c r="A7" s="42" t="s">
        <v>65</v>
      </c>
      <c r="B7" s="43"/>
      <c r="C7" s="43"/>
      <c r="D7" s="43">
        <v>1.7749999999999999</v>
      </c>
      <c r="E7" s="43">
        <v>1.23</v>
      </c>
      <c r="F7" s="43">
        <v>0.249</v>
      </c>
      <c r="G7" s="43">
        <v>0.20899999999999999</v>
      </c>
      <c r="H7" s="43">
        <v>0.184</v>
      </c>
      <c r="I7" s="43">
        <v>0.16700000000000001</v>
      </c>
      <c r="J7" s="37"/>
      <c r="K7" s="43">
        <v>0</v>
      </c>
      <c r="L7" s="43">
        <v>8.3480000000000008</v>
      </c>
      <c r="M7" s="43">
        <v>0.80300000000000005</v>
      </c>
      <c r="N7" s="43">
        <v>0.6</v>
      </c>
      <c r="O7" s="43">
        <v>0.5</v>
      </c>
      <c r="P7" s="43">
        <v>0.4</v>
      </c>
    </row>
    <row r="8" spans="1:16" x14ac:dyDescent="0.25">
      <c r="A8" s="44" t="s">
        <v>66</v>
      </c>
      <c r="B8" s="45">
        <v>1382</v>
      </c>
      <c r="C8" s="45">
        <v>2040</v>
      </c>
      <c r="D8" s="45">
        <v>4731</v>
      </c>
      <c r="E8" s="45">
        <v>11555</v>
      </c>
      <c r="F8" s="45">
        <v>16800</v>
      </c>
      <c r="G8" s="45">
        <v>19710</v>
      </c>
      <c r="H8" s="45">
        <v>22983</v>
      </c>
      <c r="I8" s="45">
        <v>27245</v>
      </c>
      <c r="J8" s="37"/>
      <c r="K8" s="45">
        <v>4585</v>
      </c>
      <c r="L8" s="45">
        <v>52796</v>
      </c>
      <c r="M8" s="45">
        <v>118326</v>
      </c>
      <c r="N8" s="45">
        <v>197890</v>
      </c>
      <c r="O8" s="45">
        <v>304446</v>
      </c>
      <c r="P8" s="45">
        <v>438402</v>
      </c>
    </row>
    <row r="9" spans="1:16" x14ac:dyDescent="0.25">
      <c r="A9" s="42" t="s">
        <v>67</v>
      </c>
      <c r="B9" s="43"/>
      <c r="C9" s="43"/>
      <c r="D9" s="43">
        <v>11.582000000000001</v>
      </c>
      <c r="E9" s="43">
        <v>13.682</v>
      </c>
      <c r="F9" s="43">
        <v>11.156000000000001</v>
      </c>
      <c r="G9" s="43">
        <v>8.6620000000000008</v>
      </c>
      <c r="H9" s="43">
        <v>3.8580000000000001</v>
      </c>
      <c r="I9" s="43">
        <v>1.3580000000000001</v>
      </c>
      <c r="J9" s="37"/>
      <c r="K9" s="43">
        <v>10.878</v>
      </c>
      <c r="L9" s="43">
        <v>10.515000000000001</v>
      </c>
      <c r="M9" s="43">
        <v>1.2410000000000001</v>
      </c>
      <c r="N9" s="43">
        <v>0.67200000000000004</v>
      </c>
      <c r="O9" s="43">
        <v>0.53800000000000003</v>
      </c>
      <c r="P9" s="43">
        <v>0.44</v>
      </c>
    </row>
    <row r="10" spans="1:16" x14ac:dyDescent="0.25">
      <c r="A10" s="46" t="s">
        <v>68</v>
      </c>
      <c r="B10" s="15"/>
      <c r="C10" s="15"/>
      <c r="D10" s="15">
        <v>3795</v>
      </c>
      <c r="E10" s="15">
        <v>9269</v>
      </c>
      <c r="F10" s="15">
        <v>13440</v>
      </c>
      <c r="G10" s="15">
        <v>15768</v>
      </c>
      <c r="H10" s="15">
        <v>18386</v>
      </c>
      <c r="I10" s="15">
        <v>21796</v>
      </c>
      <c r="J10" s="37"/>
      <c r="K10" s="15">
        <v>3796</v>
      </c>
      <c r="L10" s="15">
        <v>42272</v>
      </c>
      <c r="M10" s="15">
        <v>94661</v>
      </c>
      <c r="N10" s="15">
        <v>158312</v>
      </c>
      <c r="O10" s="15">
        <v>243557</v>
      </c>
      <c r="P10" s="15">
        <v>350722</v>
      </c>
    </row>
    <row r="11" spans="1:16" x14ac:dyDescent="0.25">
      <c r="A11" s="46" t="s">
        <v>69</v>
      </c>
      <c r="B11" s="15"/>
      <c r="C11" s="15"/>
      <c r="D11" s="15">
        <v>936</v>
      </c>
      <c r="E11" s="15">
        <v>2286</v>
      </c>
      <c r="F11" s="15">
        <v>3360</v>
      </c>
      <c r="G11" s="15">
        <v>3942</v>
      </c>
      <c r="H11" s="15">
        <v>4597</v>
      </c>
      <c r="I11" s="15">
        <v>5449</v>
      </c>
      <c r="J11" s="37"/>
      <c r="K11" s="15">
        <v>789</v>
      </c>
      <c r="L11" s="15">
        <v>10524</v>
      </c>
      <c r="M11" s="15">
        <v>23665</v>
      </c>
      <c r="N11" s="15">
        <v>39578</v>
      </c>
      <c r="O11" s="15">
        <v>60889</v>
      </c>
      <c r="P11" s="15">
        <v>87680</v>
      </c>
    </row>
    <row r="12" spans="1:16" x14ac:dyDescent="0.25">
      <c r="A12" s="46" t="s">
        <v>70</v>
      </c>
      <c r="B12" s="15">
        <v>2047</v>
      </c>
      <c r="C12" s="15">
        <v>2945</v>
      </c>
      <c r="D12" s="15">
        <v>3387</v>
      </c>
      <c r="E12" s="15">
        <v>5558</v>
      </c>
      <c r="F12" s="15">
        <v>9497</v>
      </c>
      <c r="G12" s="15">
        <v>15365</v>
      </c>
      <c r="H12" s="15">
        <v>21180</v>
      </c>
      <c r="I12" s="15">
        <v>23168</v>
      </c>
      <c r="J12" s="37"/>
      <c r="K12" s="15">
        <v>7326</v>
      </c>
      <c r="L12" s="15">
        <v>33807</v>
      </c>
      <c r="M12" s="15">
        <v>98619</v>
      </c>
      <c r="N12" s="15">
        <v>152285</v>
      </c>
      <c r="O12" s="15">
        <v>181989</v>
      </c>
      <c r="P12" s="15">
        <v>212011</v>
      </c>
    </row>
    <row r="13" spans="1:16" x14ac:dyDescent="0.25">
      <c r="A13" s="42" t="s">
        <v>71</v>
      </c>
      <c r="B13" s="43">
        <v>1.4810000000000001</v>
      </c>
      <c r="C13" s="43">
        <v>1.444</v>
      </c>
      <c r="D13" s="43">
        <v>0.71599999999999997</v>
      </c>
      <c r="E13" s="43">
        <v>0.48099999999999998</v>
      </c>
      <c r="F13" s="43">
        <v>0.56499999999999995</v>
      </c>
      <c r="G13" s="43">
        <v>0.78</v>
      </c>
      <c r="H13" s="43">
        <v>0.92200000000000004</v>
      </c>
      <c r="I13" s="43">
        <v>0.85</v>
      </c>
      <c r="J13" s="37"/>
      <c r="K13" s="43">
        <v>1.5980000000000001</v>
      </c>
      <c r="L13" s="43">
        <v>0.64</v>
      </c>
      <c r="M13" s="43">
        <v>0.83299999999999996</v>
      </c>
      <c r="N13" s="43">
        <v>0.77</v>
      </c>
      <c r="O13" s="43">
        <v>0.59799999999999998</v>
      </c>
      <c r="P13" s="43">
        <v>0.48399999999999999</v>
      </c>
    </row>
    <row r="14" spans="1:16" x14ac:dyDescent="0.25">
      <c r="A14" s="47" t="s">
        <v>72</v>
      </c>
      <c r="B14" s="48">
        <v>-1284</v>
      </c>
      <c r="C14" s="48">
        <v>-1721</v>
      </c>
      <c r="D14" s="48">
        <v>-617</v>
      </c>
      <c r="E14" s="48">
        <v>2235</v>
      </c>
      <c r="F14" s="48">
        <v>2023</v>
      </c>
      <c r="G14" s="48">
        <v>-1820</v>
      </c>
      <c r="H14" s="48">
        <v>-5084</v>
      </c>
      <c r="I14" s="48">
        <v>-4010</v>
      </c>
      <c r="J14" s="37"/>
      <c r="K14" s="48">
        <v>-4854</v>
      </c>
      <c r="L14" s="48">
        <v>1821</v>
      </c>
      <c r="M14" s="48">
        <v>-15263</v>
      </c>
      <c r="N14" s="48">
        <v>-7126</v>
      </c>
      <c r="O14" s="48">
        <v>43073</v>
      </c>
      <c r="P14" s="48">
        <v>113670</v>
      </c>
    </row>
    <row r="15" spans="1:16" x14ac:dyDescent="0.25">
      <c r="A15" s="42" t="s">
        <v>73</v>
      </c>
      <c r="B15" s="43">
        <v>-0.92900000000000005</v>
      </c>
      <c r="C15" s="43">
        <v>-0.84399999999999997</v>
      </c>
      <c r="D15" s="43">
        <v>-0.13</v>
      </c>
      <c r="E15" s="43">
        <v>0.193</v>
      </c>
      <c r="F15" s="43">
        <v>0.12</v>
      </c>
      <c r="G15" s="43">
        <v>-9.1999999999999998E-2</v>
      </c>
      <c r="H15" s="43">
        <v>-0.221</v>
      </c>
      <c r="I15" s="43">
        <v>-0.14699999999999999</v>
      </c>
      <c r="J15" s="37"/>
      <c r="K15" s="43">
        <v>-1.0589999999999999</v>
      </c>
      <c r="L15" s="43">
        <v>3.4000000000000002E-2</v>
      </c>
      <c r="M15" s="43">
        <v>-0.129</v>
      </c>
      <c r="N15" s="43">
        <v>-3.5999999999999997E-2</v>
      </c>
      <c r="O15" s="43">
        <v>0.14099999999999999</v>
      </c>
      <c r="P15" s="43">
        <v>0.25900000000000001</v>
      </c>
    </row>
    <row r="16" spans="1:16" x14ac:dyDescent="0.25">
      <c r="A16" s="46" t="s">
        <v>74</v>
      </c>
      <c r="B16" s="15">
        <v>-3089</v>
      </c>
      <c r="C16" s="15">
        <v>-2836</v>
      </c>
      <c r="D16" s="15">
        <v>-1667</v>
      </c>
      <c r="E16" s="15">
        <v>974</v>
      </c>
      <c r="F16" s="15">
        <v>427</v>
      </c>
      <c r="G16" s="15">
        <v>-3594</v>
      </c>
      <c r="H16" s="15">
        <v>-6922</v>
      </c>
      <c r="I16" s="15">
        <v>-6190</v>
      </c>
      <c r="J16" s="37"/>
      <c r="K16" s="15">
        <v>-8060</v>
      </c>
      <c r="L16" s="15">
        <v>-3860</v>
      </c>
      <c r="M16" s="15">
        <v>-24729</v>
      </c>
      <c r="N16" s="15">
        <v>-20978</v>
      </c>
      <c r="O16" s="15">
        <v>24806</v>
      </c>
      <c r="P16" s="15">
        <v>91749</v>
      </c>
    </row>
    <row r="17" spans="1:16" x14ac:dyDescent="0.25">
      <c r="A17" s="42" t="s">
        <v>75</v>
      </c>
      <c r="B17" s="43">
        <v>-2.2349999999999999</v>
      </c>
      <c r="C17" s="43">
        <v>-1.39</v>
      </c>
      <c r="D17" s="43">
        <v>-0.35199999999999998</v>
      </c>
      <c r="E17" s="43">
        <v>8.4000000000000005E-2</v>
      </c>
      <c r="F17" s="43">
        <v>2.5000000000000001E-2</v>
      </c>
      <c r="G17" s="43">
        <v>-0.182</v>
      </c>
      <c r="H17" s="43">
        <v>-0.30099999999999999</v>
      </c>
      <c r="I17" s="43">
        <v>-0.22700000000000001</v>
      </c>
      <c r="J17" s="37"/>
      <c r="K17" s="43">
        <v>-1.758</v>
      </c>
      <c r="L17" s="43">
        <v>-7.2999999999999995E-2</v>
      </c>
      <c r="M17" s="43">
        <v>-0.20899999999999999</v>
      </c>
      <c r="N17" s="43">
        <v>-0.106</v>
      </c>
      <c r="O17" s="43">
        <v>8.1000000000000003E-2</v>
      </c>
      <c r="P17" s="43">
        <v>0.20899999999999999</v>
      </c>
    </row>
    <row r="18" spans="1:16" x14ac:dyDescent="0.25">
      <c r="A18" s="46" t="s">
        <v>76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-52</v>
      </c>
      <c r="H18" s="15">
        <v>-151</v>
      </c>
      <c r="I18" s="15">
        <v>-316</v>
      </c>
      <c r="J18" s="37"/>
      <c r="K18" s="15">
        <v>0</v>
      </c>
      <c r="L18" s="15">
        <v>-52</v>
      </c>
      <c r="M18" s="15">
        <v>-2128</v>
      </c>
      <c r="N18" s="15">
        <v>-6386</v>
      </c>
      <c r="O18" s="15">
        <v>-8924</v>
      </c>
      <c r="P18" s="15">
        <v>-6641</v>
      </c>
    </row>
    <row r="19" spans="1:16" x14ac:dyDescent="0.25">
      <c r="A19" s="46" t="s">
        <v>77</v>
      </c>
      <c r="B19" s="15">
        <v>-12138</v>
      </c>
      <c r="C19" s="15">
        <v>-16858</v>
      </c>
      <c r="D19" s="15">
        <v>-14439</v>
      </c>
      <c r="E19" s="15">
        <v>-66309</v>
      </c>
      <c r="F19" s="15">
        <v>1667</v>
      </c>
      <c r="G19" s="15">
        <v>-2303</v>
      </c>
      <c r="H19" s="15">
        <v>-5178</v>
      </c>
      <c r="I19" s="15">
        <v>-4630</v>
      </c>
      <c r="J19" s="37"/>
      <c r="K19" s="15">
        <v>-41965</v>
      </c>
      <c r="L19" s="15">
        <v>-81384</v>
      </c>
      <c r="M19" s="15">
        <v>-19455</v>
      </c>
      <c r="N19" s="15">
        <v>-20568</v>
      </c>
      <c r="O19" s="15">
        <v>20791</v>
      </c>
      <c r="P19" s="15">
        <v>87888</v>
      </c>
    </row>
    <row r="20" spans="1:16" x14ac:dyDescent="0.25">
      <c r="A20" s="47" t="s">
        <v>78</v>
      </c>
      <c r="B20" s="48">
        <v>-1168</v>
      </c>
      <c r="C20" s="48">
        <v>-1539</v>
      </c>
      <c r="D20" s="48">
        <v>-310</v>
      </c>
      <c r="E20" s="48">
        <v>2981</v>
      </c>
      <c r="F20" s="48">
        <v>3263</v>
      </c>
      <c r="G20" s="48">
        <v>-529</v>
      </c>
      <c r="H20" s="48">
        <v>-3339</v>
      </c>
      <c r="I20" s="48">
        <v>-2451</v>
      </c>
      <c r="J20" s="37"/>
      <c r="K20" s="48">
        <v>-4448</v>
      </c>
      <c r="L20" s="48">
        <v>5405</v>
      </c>
      <c r="M20" s="48">
        <v>-9989</v>
      </c>
      <c r="N20" s="48">
        <v>-6715</v>
      </c>
      <c r="O20" s="48">
        <v>39058</v>
      </c>
      <c r="P20" s="48">
        <v>109808</v>
      </c>
    </row>
    <row r="21" spans="1:16" x14ac:dyDescent="0.25">
      <c r="A21" s="49"/>
      <c r="J21" s="37"/>
    </row>
    <row r="22" spans="1:16" x14ac:dyDescent="0.25">
      <c r="A22" s="38" t="s">
        <v>79</v>
      </c>
      <c r="B22" s="39"/>
      <c r="C22" s="39"/>
      <c r="D22" s="39"/>
      <c r="E22" s="39"/>
      <c r="F22" s="39"/>
      <c r="G22" s="39"/>
      <c r="H22" s="39"/>
      <c r="I22" s="39"/>
      <c r="J22" s="37"/>
      <c r="K22" s="39"/>
      <c r="L22" s="39"/>
      <c r="M22" s="39"/>
      <c r="N22" s="39"/>
      <c r="O22" s="39"/>
      <c r="P22" s="39"/>
    </row>
    <row r="23" spans="1:16" x14ac:dyDescent="0.25">
      <c r="A23" s="40" t="s">
        <v>64</v>
      </c>
      <c r="B23" s="41"/>
      <c r="C23" s="41">
        <v>8900</v>
      </c>
      <c r="D23" s="41">
        <v>24700</v>
      </c>
      <c r="E23" s="41">
        <v>55086</v>
      </c>
      <c r="F23" s="41">
        <v>68800</v>
      </c>
      <c r="G23" s="41">
        <v>83201</v>
      </c>
      <c r="H23" s="41">
        <v>98494</v>
      </c>
      <c r="I23" s="41">
        <v>114954</v>
      </c>
      <c r="J23" s="37"/>
      <c r="K23" s="41">
        <v>8900</v>
      </c>
      <c r="L23" s="41">
        <v>83201</v>
      </c>
      <c r="M23" s="41">
        <v>150007</v>
      </c>
      <c r="N23" s="41">
        <v>240011</v>
      </c>
      <c r="O23" s="41">
        <v>360016</v>
      </c>
      <c r="P23" s="41">
        <v>504023</v>
      </c>
    </row>
    <row r="24" spans="1:16" x14ac:dyDescent="0.25">
      <c r="A24" s="42" t="s">
        <v>65</v>
      </c>
      <c r="B24" s="43"/>
      <c r="C24" s="43"/>
      <c r="D24" s="43">
        <v>1.7749999999999999</v>
      </c>
      <c r="E24" s="43">
        <v>1.23</v>
      </c>
      <c r="F24" s="43">
        <v>0.249</v>
      </c>
      <c r="G24" s="43">
        <v>0.20899999999999999</v>
      </c>
      <c r="H24" s="43">
        <v>0.184</v>
      </c>
      <c r="I24" s="43">
        <v>0.16700000000000001</v>
      </c>
      <c r="J24" s="37"/>
      <c r="K24" s="43">
        <v>0</v>
      </c>
      <c r="L24" s="43">
        <v>8.3480000000000008</v>
      </c>
      <c r="M24" s="43">
        <v>0.80300000000000005</v>
      </c>
      <c r="N24" s="43">
        <v>0.6</v>
      </c>
      <c r="O24" s="43">
        <v>0.5</v>
      </c>
      <c r="P24" s="43">
        <v>0.4</v>
      </c>
    </row>
    <row r="25" spans="1:16" x14ac:dyDescent="0.25">
      <c r="A25" s="46" t="s">
        <v>80</v>
      </c>
      <c r="B25" s="15"/>
      <c r="C25" s="15">
        <v>0</v>
      </c>
      <c r="D25" s="15">
        <v>27183</v>
      </c>
      <c r="E25" s="15">
        <v>59407</v>
      </c>
      <c r="F25" s="15">
        <v>69736</v>
      </c>
      <c r="G25" s="15">
        <v>85044</v>
      </c>
      <c r="H25" s="15">
        <v>100425</v>
      </c>
      <c r="I25" s="15">
        <v>117080</v>
      </c>
      <c r="J25" s="37"/>
      <c r="K25" s="15">
        <v>0</v>
      </c>
      <c r="L25" s="15">
        <v>85044</v>
      </c>
      <c r="M25" s="15">
        <v>152184</v>
      </c>
      <c r="N25" s="15">
        <v>0</v>
      </c>
      <c r="O25" s="15">
        <v>0</v>
      </c>
      <c r="P25" s="15">
        <v>0</v>
      </c>
    </row>
    <row r="26" spans="1:16" x14ac:dyDescent="0.25">
      <c r="A26" s="46" t="s">
        <v>81</v>
      </c>
      <c r="B26" s="15"/>
      <c r="C26" s="15">
        <v>695</v>
      </c>
      <c r="D26" s="15">
        <v>2085</v>
      </c>
      <c r="E26" s="15">
        <v>4690</v>
      </c>
      <c r="F26" s="15">
        <v>200</v>
      </c>
      <c r="G26" s="15">
        <v>200</v>
      </c>
      <c r="H26" s="15">
        <v>200</v>
      </c>
      <c r="I26" s="15">
        <v>200</v>
      </c>
      <c r="J26" s="37"/>
      <c r="K26" s="15">
        <v>695</v>
      </c>
      <c r="L26" s="15">
        <v>200</v>
      </c>
      <c r="M26" s="15">
        <v>200</v>
      </c>
      <c r="N26" s="15">
        <v>0</v>
      </c>
      <c r="O26" s="15">
        <v>0</v>
      </c>
      <c r="P26" s="15">
        <v>0</v>
      </c>
    </row>
    <row r="27" spans="1:16" x14ac:dyDescent="0.25">
      <c r="A27" s="46" t="s">
        <v>82</v>
      </c>
      <c r="B27" s="15"/>
      <c r="C27" s="15">
        <v>8205</v>
      </c>
      <c r="D27" s="15">
        <v>22615</v>
      </c>
      <c r="E27" s="15">
        <v>50395</v>
      </c>
      <c r="F27" s="15">
        <v>68600</v>
      </c>
      <c r="G27" s="15">
        <v>83001</v>
      </c>
      <c r="H27" s="15">
        <v>98294</v>
      </c>
      <c r="I27" s="15">
        <v>114754</v>
      </c>
      <c r="J27" s="37"/>
      <c r="K27" s="15">
        <v>8205</v>
      </c>
      <c r="L27" s="15">
        <v>83001</v>
      </c>
      <c r="M27" s="15">
        <v>149807</v>
      </c>
      <c r="N27" s="15">
        <v>0</v>
      </c>
      <c r="O27" s="15">
        <v>0</v>
      </c>
      <c r="P27" s="15">
        <v>0</v>
      </c>
    </row>
    <row r="28" spans="1:16" x14ac:dyDescent="0.25">
      <c r="A28" s="44" t="s">
        <v>66</v>
      </c>
      <c r="B28" s="45">
        <v>1382</v>
      </c>
      <c r="C28" s="45">
        <v>2040</v>
      </c>
      <c r="D28" s="45">
        <v>4731</v>
      </c>
      <c r="E28" s="45">
        <v>11555</v>
      </c>
      <c r="F28" s="45">
        <v>16800</v>
      </c>
      <c r="G28" s="45">
        <v>19710</v>
      </c>
      <c r="H28" s="45">
        <v>22983</v>
      </c>
      <c r="I28" s="45">
        <v>27245</v>
      </c>
      <c r="J28" s="37"/>
      <c r="K28" s="45">
        <v>4585</v>
      </c>
      <c r="L28" s="45">
        <v>52796</v>
      </c>
      <c r="M28" s="45">
        <v>118326</v>
      </c>
      <c r="N28" s="45">
        <v>197890</v>
      </c>
      <c r="O28" s="45">
        <v>304446</v>
      </c>
      <c r="P28" s="45">
        <v>438402</v>
      </c>
    </row>
    <row r="29" spans="1:16" x14ac:dyDescent="0.25">
      <c r="A29" s="42" t="s">
        <v>83</v>
      </c>
      <c r="B29" s="43">
        <v>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37"/>
      <c r="K29" s="43">
        <v>0</v>
      </c>
      <c r="L29" s="43">
        <v>0</v>
      </c>
      <c r="M29" s="43">
        <v>1.0149999999999999</v>
      </c>
      <c r="N29" s="43">
        <v>1.0149999999999999</v>
      </c>
      <c r="O29" s="43">
        <v>1.0149999999999999</v>
      </c>
      <c r="P29" s="43">
        <v>1.0149999999999999</v>
      </c>
    </row>
    <row r="30" spans="1:16" x14ac:dyDescent="0.25">
      <c r="A30" s="42" t="s">
        <v>84</v>
      </c>
      <c r="B30" s="43"/>
      <c r="C30" s="43"/>
      <c r="D30" s="43">
        <v>0.19800000000000001</v>
      </c>
      <c r="E30" s="43">
        <v>0.19800000000000001</v>
      </c>
      <c r="F30" s="43">
        <v>0.2</v>
      </c>
      <c r="G30" s="43">
        <v>0.2</v>
      </c>
      <c r="H30" s="43">
        <v>0.2</v>
      </c>
      <c r="I30" s="43">
        <v>0.2</v>
      </c>
      <c r="J30" s="37"/>
      <c r="K30" s="43">
        <v>0.17199999999999999</v>
      </c>
      <c r="L30" s="43">
        <v>0.19900000000000001</v>
      </c>
      <c r="M30" s="43">
        <v>0.2</v>
      </c>
      <c r="N30" s="43">
        <v>0.2</v>
      </c>
      <c r="O30" s="43">
        <v>0.2</v>
      </c>
      <c r="P30" s="43">
        <v>0.2</v>
      </c>
    </row>
    <row r="31" spans="1:16" x14ac:dyDescent="0.25">
      <c r="A31" s="42" t="s">
        <v>85</v>
      </c>
      <c r="B31" s="43">
        <v>0</v>
      </c>
      <c r="C31" s="43">
        <v>0</v>
      </c>
      <c r="D31" s="43">
        <v>0</v>
      </c>
      <c r="E31" s="43">
        <v>0.48</v>
      </c>
      <c r="F31" s="43">
        <v>0.48</v>
      </c>
      <c r="G31" s="43">
        <v>0.48</v>
      </c>
      <c r="H31" s="43">
        <v>0.48</v>
      </c>
      <c r="I31" s="43">
        <v>0.48</v>
      </c>
      <c r="J31" s="37"/>
      <c r="K31" s="43">
        <v>0.47</v>
      </c>
      <c r="L31" s="43">
        <v>0</v>
      </c>
      <c r="M31" s="43">
        <v>0</v>
      </c>
      <c r="N31" s="43">
        <v>0.48</v>
      </c>
      <c r="O31" s="43">
        <v>0.48</v>
      </c>
      <c r="P31" s="43">
        <v>0.48</v>
      </c>
    </row>
    <row r="32" spans="1:16" x14ac:dyDescent="0.25">
      <c r="A32" s="49"/>
      <c r="J32" s="37"/>
    </row>
    <row r="33" spans="1:16" x14ac:dyDescent="0.25">
      <c r="A33" s="38" t="s">
        <v>86</v>
      </c>
      <c r="B33" s="39"/>
      <c r="C33" s="39"/>
      <c r="D33" s="39"/>
      <c r="E33" s="39"/>
      <c r="F33" s="39"/>
      <c r="G33" s="39"/>
      <c r="H33" s="39"/>
      <c r="I33" s="39"/>
      <c r="J33" s="37"/>
      <c r="K33" s="39"/>
      <c r="L33" s="39"/>
      <c r="M33" s="39"/>
      <c r="N33" s="39"/>
      <c r="O33" s="39"/>
      <c r="P33" s="39"/>
    </row>
    <row r="34" spans="1:16" x14ac:dyDescent="0.25">
      <c r="A34" s="40" t="s">
        <v>70</v>
      </c>
      <c r="B34" s="41">
        <v>2047</v>
      </c>
      <c r="C34" s="41">
        <v>2945</v>
      </c>
      <c r="D34" s="41">
        <v>3387</v>
      </c>
      <c r="E34" s="41">
        <v>5558</v>
      </c>
      <c r="F34" s="41">
        <v>9497</v>
      </c>
      <c r="G34" s="41">
        <v>15365</v>
      </c>
      <c r="H34" s="41">
        <v>21180</v>
      </c>
      <c r="I34" s="41">
        <v>23168</v>
      </c>
      <c r="J34" s="37"/>
      <c r="K34" s="41">
        <v>7326</v>
      </c>
      <c r="L34" s="41">
        <v>33807</v>
      </c>
      <c r="M34" s="41">
        <v>98619</v>
      </c>
      <c r="N34" s="41">
        <v>152285</v>
      </c>
      <c r="O34" s="41">
        <v>181989</v>
      </c>
      <c r="P34" s="41">
        <v>212011</v>
      </c>
    </row>
    <row r="35" spans="1:16" x14ac:dyDescent="0.25">
      <c r="A35" s="42" t="s">
        <v>71</v>
      </c>
      <c r="B35" s="43">
        <v>1.4810000000000001</v>
      </c>
      <c r="C35" s="43">
        <v>1.444</v>
      </c>
      <c r="D35" s="43">
        <v>0.71599999999999997</v>
      </c>
      <c r="E35" s="43">
        <v>0.48099999999999998</v>
      </c>
      <c r="F35" s="43">
        <v>0.56499999999999995</v>
      </c>
      <c r="G35" s="43">
        <v>0.78</v>
      </c>
      <c r="H35" s="43">
        <v>0.92200000000000004</v>
      </c>
      <c r="I35" s="43">
        <v>0.85</v>
      </c>
      <c r="J35" s="37"/>
      <c r="K35" s="43">
        <v>1.5980000000000001</v>
      </c>
      <c r="L35" s="43">
        <v>0.64</v>
      </c>
      <c r="M35" s="43">
        <v>0.83299999999999996</v>
      </c>
      <c r="N35" s="43">
        <v>0.77</v>
      </c>
      <c r="O35" s="43">
        <v>0.59799999999999998</v>
      </c>
      <c r="P35" s="43">
        <v>0.48399999999999999</v>
      </c>
    </row>
    <row r="36" spans="1:16" x14ac:dyDescent="0.25">
      <c r="A36" s="50" t="s">
        <v>87</v>
      </c>
      <c r="B36" s="48">
        <v>782</v>
      </c>
      <c r="C36" s="48">
        <v>972</v>
      </c>
      <c r="D36" s="48">
        <v>1119</v>
      </c>
      <c r="E36" s="48">
        <v>1261</v>
      </c>
      <c r="F36" s="48">
        <v>2016</v>
      </c>
      <c r="G36" s="48">
        <v>2464</v>
      </c>
      <c r="H36" s="48">
        <v>2988</v>
      </c>
      <c r="I36" s="48">
        <v>3542</v>
      </c>
      <c r="J36" s="37"/>
      <c r="K36" s="48">
        <v>2773</v>
      </c>
      <c r="L36" s="48">
        <v>6860</v>
      </c>
      <c r="M36" s="48">
        <v>15723</v>
      </c>
      <c r="N36" s="48">
        <v>27705</v>
      </c>
      <c r="O36" s="48">
        <v>44145</v>
      </c>
      <c r="P36" s="48">
        <v>65760</v>
      </c>
    </row>
    <row r="37" spans="1:16" x14ac:dyDescent="0.25">
      <c r="A37" s="51" t="s">
        <v>88</v>
      </c>
      <c r="B37" s="43">
        <v>0.56599999999999995</v>
      </c>
      <c r="C37" s="43">
        <v>0.47599999999999998</v>
      </c>
      <c r="D37" s="43">
        <v>0.23599999999999999</v>
      </c>
      <c r="E37" s="43">
        <v>0.109</v>
      </c>
      <c r="F37" s="43">
        <v>0.12</v>
      </c>
      <c r="G37" s="43">
        <v>0.125</v>
      </c>
      <c r="H37" s="43">
        <v>0.13</v>
      </c>
      <c r="I37" s="43">
        <v>0.13</v>
      </c>
      <c r="J37" s="37"/>
      <c r="K37" s="43">
        <v>0.60499999999999998</v>
      </c>
      <c r="L37" s="43">
        <v>0.13</v>
      </c>
      <c r="M37" s="43">
        <v>0.13300000000000001</v>
      </c>
      <c r="N37" s="43">
        <v>0.14000000000000001</v>
      </c>
      <c r="O37" s="43">
        <v>0.14499999999999999</v>
      </c>
      <c r="P37" s="43">
        <v>0.15</v>
      </c>
    </row>
    <row r="38" spans="1:16" x14ac:dyDescent="0.25">
      <c r="A38" s="50" t="s">
        <v>89</v>
      </c>
      <c r="B38" s="48">
        <v>1265</v>
      </c>
      <c r="C38" s="48">
        <v>1973</v>
      </c>
      <c r="D38" s="48">
        <v>2268</v>
      </c>
      <c r="E38" s="48">
        <v>4297</v>
      </c>
      <c r="F38" s="48">
        <v>7481</v>
      </c>
      <c r="G38" s="48">
        <v>12901</v>
      </c>
      <c r="H38" s="48">
        <v>18192</v>
      </c>
      <c r="I38" s="48">
        <v>19626</v>
      </c>
      <c r="J38" s="37"/>
      <c r="K38" s="48">
        <v>4553</v>
      </c>
      <c r="L38" s="48">
        <v>26947</v>
      </c>
      <c r="M38" s="48">
        <v>82896</v>
      </c>
      <c r="N38" s="48">
        <v>124581</v>
      </c>
      <c r="O38" s="48">
        <v>137844</v>
      </c>
      <c r="P38" s="48">
        <v>146251</v>
      </c>
    </row>
    <row r="39" spans="1:16" x14ac:dyDescent="0.25">
      <c r="A39" s="51" t="s">
        <v>71</v>
      </c>
      <c r="B39" s="43">
        <v>0.91500000000000004</v>
      </c>
      <c r="C39" s="43">
        <v>0.96699999999999997</v>
      </c>
      <c r="D39" s="43">
        <v>0.47899999999999998</v>
      </c>
      <c r="E39" s="43">
        <v>0.372</v>
      </c>
      <c r="F39" s="43">
        <v>0.44500000000000001</v>
      </c>
      <c r="G39" s="43">
        <v>0.65500000000000003</v>
      </c>
      <c r="H39" s="43">
        <v>0.79200000000000004</v>
      </c>
      <c r="I39" s="43">
        <v>0.72</v>
      </c>
      <c r="J39" s="37"/>
      <c r="K39" s="43">
        <v>0.99299999999999999</v>
      </c>
      <c r="L39" s="43">
        <v>0.51</v>
      </c>
      <c r="M39" s="43">
        <v>0.70099999999999996</v>
      </c>
      <c r="N39" s="43">
        <v>0.63</v>
      </c>
      <c r="O39" s="43">
        <v>0.45300000000000001</v>
      </c>
      <c r="P39" s="43">
        <v>0.33400000000000002</v>
      </c>
    </row>
    <row r="40" spans="1:16" x14ac:dyDescent="0.25">
      <c r="A40" s="51" t="s">
        <v>90</v>
      </c>
      <c r="B40" s="43"/>
      <c r="C40" s="43"/>
      <c r="D40" s="43"/>
      <c r="E40" s="43"/>
      <c r="F40" s="43">
        <v>0.442</v>
      </c>
      <c r="G40" s="43">
        <v>0.46500000000000002</v>
      </c>
      <c r="H40" s="43">
        <v>0.46</v>
      </c>
      <c r="I40" s="43">
        <v>0.46</v>
      </c>
      <c r="J40" s="37"/>
      <c r="K40" s="43"/>
      <c r="L40" s="43"/>
      <c r="M40" s="43"/>
      <c r="N40" s="43"/>
      <c r="O40" s="43"/>
      <c r="P40" s="43"/>
    </row>
    <row r="41" spans="1:16" x14ac:dyDescent="0.25">
      <c r="A41" s="50" t="s">
        <v>91</v>
      </c>
      <c r="B41" s="48">
        <v>0</v>
      </c>
      <c r="C41" s="48">
        <v>0</v>
      </c>
      <c r="D41" s="48">
        <v>0</v>
      </c>
      <c r="E41" s="48">
        <v>0</v>
      </c>
      <c r="F41" s="48">
        <v>950</v>
      </c>
      <c r="G41" s="48">
        <v>0</v>
      </c>
      <c r="H41" s="48">
        <v>0</v>
      </c>
      <c r="I41" s="48">
        <v>0</v>
      </c>
      <c r="J41" s="37"/>
      <c r="K41" s="48">
        <v>0</v>
      </c>
      <c r="L41" s="48">
        <v>950</v>
      </c>
      <c r="M41" s="48">
        <v>0</v>
      </c>
      <c r="N41" s="48">
        <v>0</v>
      </c>
      <c r="O41" s="48">
        <v>0</v>
      </c>
      <c r="P41" s="48">
        <v>30023</v>
      </c>
    </row>
    <row r="42" spans="1:16" x14ac:dyDescent="0.25">
      <c r="A42" s="52" t="s">
        <v>92</v>
      </c>
      <c r="B42" s="15">
        <v>0</v>
      </c>
      <c r="C42" s="15">
        <v>0</v>
      </c>
      <c r="D42" s="15">
        <v>0</v>
      </c>
      <c r="E42" s="15">
        <v>0</v>
      </c>
      <c r="F42" s="15">
        <v>717</v>
      </c>
      <c r="G42" s="15">
        <v>0</v>
      </c>
      <c r="H42" s="15">
        <v>0</v>
      </c>
      <c r="I42" s="15">
        <v>0</v>
      </c>
      <c r="J42" s="37"/>
      <c r="K42" s="15">
        <v>0</v>
      </c>
      <c r="L42" s="15">
        <v>717</v>
      </c>
      <c r="M42" s="15">
        <v>0</v>
      </c>
      <c r="N42" s="15">
        <v>0</v>
      </c>
      <c r="O42" s="15">
        <v>0</v>
      </c>
      <c r="P42" s="15">
        <v>30023</v>
      </c>
    </row>
    <row r="43" spans="1:16" x14ac:dyDescent="0.25">
      <c r="A43" s="52" t="s">
        <v>93</v>
      </c>
      <c r="B43" s="15">
        <v>0</v>
      </c>
      <c r="C43" s="15">
        <v>0</v>
      </c>
      <c r="D43" s="15">
        <v>0</v>
      </c>
      <c r="E43" s="15">
        <v>0</v>
      </c>
      <c r="F43" s="15">
        <v>233</v>
      </c>
      <c r="G43" s="15">
        <v>0</v>
      </c>
      <c r="H43" s="15">
        <v>0</v>
      </c>
      <c r="I43" s="15">
        <v>0</v>
      </c>
      <c r="J43" s="37"/>
      <c r="K43" s="15">
        <v>0</v>
      </c>
      <c r="L43" s="15">
        <v>233</v>
      </c>
      <c r="M43" s="15">
        <v>0</v>
      </c>
      <c r="N43" s="15">
        <v>0</v>
      </c>
      <c r="O43" s="15">
        <v>0</v>
      </c>
      <c r="P43" s="15">
        <v>0</v>
      </c>
    </row>
    <row r="44" spans="1:16" x14ac:dyDescent="0.25">
      <c r="A44" s="51" t="s">
        <v>94</v>
      </c>
      <c r="B44" s="43"/>
      <c r="C44" s="43"/>
      <c r="D44" s="43"/>
      <c r="E44" s="43"/>
      <c r="F44" s="43">
        <v>0.8</v>
      </c>
      <c r="G44" s="43">
        <v>0.8</v>
      </c>
      <c r="H44" s="43">
        <v>0.8</v>
      </c>
      <c r="I44" s="43">
        <v>0.8</v>
      </c>
      <c r="J44" s="37"/>
      <c r="K44" s="43"/>
      <c r="L44" s="43"/>
      <c r="M44" s="43"/>
      <c r="N44" s="43"/>
      <c r="O44" s="43"/>
      <c r="P44" s="43"/>
    </row>
    <row r="45" spans="1:16" x14ac:dyDescent="0.25">
      <c r="A45" s="51" t="s">
        <v>95</v>
      </c>
      <c r="B45" s="43"/>
      <c r="C45" s="43"/>
      <c r="D45" s="43"/>
      <c r="E45" s="43"/>
      <c r="F45" s="43">
        <v>0.3</v>
      </c>
      <c r="G45" s="43">
        <v>0.3</v>
      </c>
      <c r="H45" s="43">
        <v>0.3</v>
      </c>
      <c r="I45" s="43">
        <v>0.3</v>
      </c>
      <c r="J45" s="37"/>
      <c r="K45" s="43"/>
      <c r="L45" s="43"/>
      <c r="M45" s="43"/>
      <c r="N45" s="43"/>
      <c r="O45" s="43"/>
      <c r="P45" s="43"/>
    </row>
    <row r="46" spans="1:16" x14ac:dyDescent="0.25">
      <c r="A46" s="40" t="s">
        <v>96</v>
      </c>
      <c r="B46" s="41">
        <v>489</v>
      </c>
      <c r="C46" s="41">
        <v>812</v>
      </c>
      <c r="D46" s="41">
        <v>1295</v>
      </c>
      <c r="E46" s="41">
        <v>1857</v>
      </c>
      <c r="F46" s="41">
        <v>2340</v>
      </c>
      <c r="G46" s="41">
        <v>2618</v>
      </c>
      <c r="H46" s="41">
        <v>2750</v>
      </c>
      <c r="I46" s="41">
        <v>3183</v>
      </c>
      <c r="J46" s="37"/>
      <c r="K46" s="41">
        <v>1839</v>
      </c>
      <c r="L46" s="41">
        <v>8109</v>
      </c>
      <c r="M46" s="41">
        <v>13671</v>
      </c>
      <c r="N46" s="41">
        <v>19089</v>
      </c>
      <c r="O46" s="41">
        <v>24584</v>
      </c>
      <c r="P46" s="41">
        <v>29425</v>
      </c>
    </row>
    <row r="47" spans="1:16" x14ac:dyDescent="0.25">
      <c r="A47" s="42" t="s">
        <v>71</v>
      </c>
      <c r="B47" s="43">
        <v>0.35399999999999998</v>
      </c>
      <c r="C47" s="43">
        <v>0.39800000000000002</v>
      </c>
      <c r="D47" s="43">
        <v>0.27400000000000002</v>
      </c>
      <c r="E47" s="43">
        <v>0.161</v>
      </c>
      <c r="F47" s="43">
        <v>0.13900000000000001</v>
      </c>
      <c r="G47" s="43">
        <v>0.13300000000000001</v>
      </c>
      <c r="H47" s="43">
        <v>0.12</v>
      </c>
      <c r="I47" s="43">
        <v>0.11700000000000001</v>
      </c>
      <c r="J47" s="37"/>
      <c r="K47" s="43">
        <v>0.40100000000000002</v>
      </c>
      <c r="L47" s="43">
        <v>0.154</v>
      </c>
      <c r="M47" s="43">
        <v>0.11600000000000001</v>
      </c>
      <c r="N47" s="43">
        <v>9.6000000000000002E-2</v>
      </c>
      <c r="O47" s="43">
        <v>8.1000000000000003E-2</v>
      </c>
      <c r="P47" s="43">
        <v>6.7000000000000004E-2</v>
      </c>
    </row>
    <row r="48" spans="1:16" x14ac:dyDescent="0.25">
      <c r="A48" s="50" t="s">
        <v>97</v>
      </c>
      <c r="B48" s="48">
        <v>184</v>
      </c>
      <c r="C48" s="48">
        <v>238</v>
      </c>
      <c r="D48" s="48">
        <v>371</v>
      </c>
      <c r="E48" s="48">
        <v>596</v>
      </c>
      <c r="F48" s="48">
        <v>744</v>
      </c>
      <c r="G48" s="48">
        <v>844</v>
      </c>
      <c r="H48" s="48">
        <v>911</v>
      </c>
      <c r="I48" s="48">
        <v>1004</v>
      </c>
      <c r="J48" s="37"/>
      <c r="K48" s="48">
        <v>674</v>
      </c>
      <c r="L48" s="48">
        <v>2554</v>
      </c>
      <c r="M48" s="48">
        <v>4205</v>
      </c>
      <c r="N48" s="48">
        <v>5237</v>
      </c>
      <c r="O48" s="48">
        <v>6317</v>
      </c>
      <c r="P48" s="48">
        <v>7505</v>
      </c>
    </row>
    <row r="49" spans="1:16" x14ac:dyDescent="0.25">
      <c r="A49" s="51" t="s">
        <v>98</v>
      </c>
      <c r="B49" s="53">
        <v>1795</v>
      </c>
      <c r="C49" s="53">
        <v>2330</v>
      </c>
      <c r="D49" s="53">
        <v>3150</v>
      </c>
      <c r="E49" s="53">
        <v>4050</v>
      </c>
      <c r="F49" s="53">
        <v>4900</v>
      </c>
      <c r="G49" s="53">
        <v>5450</v>
      </c>
      <c r="H49" s="53">
        <v>5900</v>
      </c>
      <c r="I49" s="53">
        <v>6300</v>
      </c>
      <c r="J49" s="37"/>
      <c r="K49" s="53">
        <v>1685</v>
      </c>
      <c r="L49" s="53">
        <v>4388</v>
      </c>
      <c r="M49" s="53">
        <v>6500</v>
      </c>
      <c r="N49" s="53">
        <v>7475</v>
      </c>
      <c r="O49" s="53">
        <v>8372</v>
      </c>
      <c r="P49" s="53">
        <v>9209</v>
      </c>
    </row>
    <row r="50" spans="1:16" x14ac:dyDescent="0.25">
      <c r="A50" s="51" t="s">
        <v>99</v>
      </c>
      <c r="B50" s="53">
        <v>407</v>
      </c>
      <c r="C50" s="53">
        <v>405</v>
      </c>
      <c r="D50" s="53">
        <v>478</v>
      </c>
      <c r="E50" s="53">
        <v>590</v>
      </c>
      <c r="F50" s="53">
        <v>602</v>
      </c>
      <c r="G50" s="53">
        <v>614</v>
      </c>
      <c r="H50" s="53">
        <v>626</v>
      </c>
      <c r="I50" s="53">
        <v>639</v>
      </c>
      <c r="J50" s="37"/>
      <c r="K50" s="53">
        <v>400</v>
      </c>
      <c r="L50" s="53">
        <v>582</v>
      </c>
      <c r="M50" s="53">
        <v>647</v>
      </c>
      <c r="N50" s="53">
        <v>699</v>
      </c>
      <c r="O50" s="53">
        <v>755</v>
      </c>
      <c r="P50" s="53">
        <v>815</v>
      </c>
    </row>
    <row r="51" spans="1:16" x14ac:dyDescent="0.25">
      <c r="A51" s="51" t="s">
        <v>100</v>
      </c>
      <c r="B51" s="43">
        <v>6.9000000000000006E-2</v>
      </c>
      <c r="C51" s="43">
        <v>-4.0000000000000001E-3</v>
      </c>
      <c r="D51" s="43">
        <v>0.17899999999999999</v>
      </c>
      <c r="E51" s="43">
        <v>0.23599999999999999</v>
      </c>
      <c r="F51" s="43">
        <v>0.02</v>
      </c>
      <c r="G51" s="43">
        <v>0.02</v>
      </c>
      <c r="H51" s="43">
        <v>0.02</v>
      </c>
      <c r="I51" s="43">
        <v>0.02</v>
      </c>
      <c r="J51" s="37"/>
      <c r="K51" s="43">
        <v>0</v>
      </c>
      <c r="L51" s="43">
        <v>0.45500000000000002</v>
      </c>
      <c r="M51" s="43">
        <v>0.111</v>
      </c>
      <c r="N51" s="43">
        <v>0.08</v>
      </c>
      <c r="O51" s="43">
        <v>0.08</v>
      </c>
      <c r="P51" s="43">
        <v>0.08</v>
      </c>
    </row>
    <row r="52" spans="1:16" x14ac:dyDescent="0.25">
      <c r="A52" s="50" t="s">
        <v>101</v>
      </c>
      <c r="B52" s="48">
        <v>305</v>
      </c>
      <c r="C52" s="48">
        <v>574</v>
      </c>
      <c r="D52" s="48">
        <v>924</v>
      </c>
      <c r="E52" s="48">
        <v>1261</v>
      </c>
      <c r="F52" s="48">
        <v>1596</v>
      </c>
      <c r="G52" s="48">
        <v>1774</v>
      </c>
      <c r="H52" s="48">
        <v>1839</v>
      </c>
      <c r="I52" s="48">
        <v>2180</v>
      </c>
      <c r="J52" s="37"/>
      <c r="K52" s="48">
        <v>1165</v>
      </c>
      <c r="L52" s="48">
        <v>5555</v>
      </c>
      <c r="M52" s="48">
        <v>9466</v>
      </c>
      <c r="N52" s="48">
        <v>13852</v>
      </c>
      <c r="O52" s="48">
        <v>18267</v>
      </c>
      <c r="P52" s="48">
        <v>21920</v>
      </c>
    </row>
    <row r="53" spans="1:16" x14ac:dyDescent="0.25">
      <c r="A53" s="51" t="s">
        <v>71</v>
      </c>
      <c r="B53" s="43">
        <v>0.221</v>
      </c>
      <c r="C53" s="43">
        <v>0.28100000000000003</v>
      </c>
      <c r="D53" s="43">
        <v>0.19500000000000001</v>
      </c>
      <c r="E53" s="43">
        <v>0.109</v>
      </c>
      <c r="F53" s="43">
        <v>9.5000000000000001E-2</v>
      </c>
      <c r="G53" s="43">
        <v>0.09</v>
      </c>
      <c r="H53" s="43">
        <v>0.08</v>
      </c>
      <c r="I53" s="43">
        <v>0.08</v>
      </c>
      <c r="J53" s="37"/>
      <c r="K53" s="43">
        <v>0.254</v>
      </c>
      <c r="L53" s="43">
        <v>0.105</v>
      </c>
      <c r="M53" s="43">
        <v>0.08</v>
      </c>
      <c r="N53" s="43">
        <v>7.0000000000000007E-2</v>
      </c>
      <c r="O53" s="43">
        <v>0.06</v>
      </c>
      <c r="P53" s="43">
        <v>0.05</v>
      </c>
    </row>
    <row r="54" spans="1:16" x14ac:dyDescent="0.25">
      <c r="A54" s="47" t="s">
        <v>102</v>
      </c>
      <c r="B54" s="48">
        <v>202</v>
      </c>
      <c r="C54" s="48">
        <v>246</v>
      </c>
      <c r="D54" s="48">
        <v>1033</v>
      </c>
      <c r="E54" s="48">
        <v>2135</v>
      </c>
      <c r="F54" s="48">
        <v>3108</v>
      </c>
      <c r="G54" s="48">
        <v>3646</v>
      </c>
      <c r="H54" s="48">
        <v>4137</v>
      </c>
      <c r="I54" s="48">
        <v>4904</v>
      </c>
      <c r="J54" s="37"/>
      <c r="K54" s="48">
        <v>568</v>
      </c>
      <c r="L54" s="48">
        <v>9922</v>
      </c>
      <c r="M54" s="48">
        <v>21299</v>
      </c>
      <c r="N54" s="48">
        <v>33641</v>
      </c>
      <c r="O54" s="48">
        <v>51756</v>
      </c>
      <c r="P54" s="48">
        <v>74528</v>
      </c>
    </row>
    <row r="55" spans="1:16" x14ac:dyDescent="0.25">
      <c r="A55" s="42" t="s">
        <v>103</v>
      </c>
      <c r="B55" s="43">
        <v>0.14599999999999999</v>
      </c>
      <c r="C55" s="43">
        <v>0.121</v>
      </c>
      <c r="D55" s="43">
        <v>0.218</v>
      </c>
      <c r="E55" s="43">
        <v>0.185</v>
      </c>
      <c r="F55" s="43">
        <v>0.185</v>
      </c>
      <c r="G55" s="43">
        <v>0.185</v>
      </c>
      <c r="H55" s="43">
        <v>0.18</v>
      </c>
      <c r="I55" s="43">
        <v>0.18</v>
      </c>
      <c r="J55" s="37"/>
      <c r="K55" s="43">
        <v>0.124</v>
      </c>
      <c r="L55" s="43">
        <v>0.188</v>
      </c>
      <c r="M55" s="43">
        <v>0.18</v>
      </c>
      <c r="N55" s="43">
        <v>0.17</v>
      </c>
      <c r="O55" s="43">
        <v>0.17</v>
      </c>
      <c r="P55" s="43">
        <v>0.17</v>
      </c>
    </row>
    <row r="56" spans="1:16" x14ac:dyDescent="0.25">
      <c r="A56" s="47" t="s">
        <v>104</v>
      </c>
      <c r="B56" s="48">
        <v>233</v>
      </c>
      <c r="C56" s="48">
        <v>873</v>
      </c>
      <c r="D56" s="48">
        <v>683</v>
      </c>
      <c r="E56" s="48">
        <v>1031</v>
      </c>
      <c r="F56" s="48">
        <v>1428</v>
      </c>
      <c r="G56" s="48">
        <v>1675</v>
      </c>
      <c r="H56" s="48">
        <v>1839</v>
      </c>
      <c r="I56" s="48">
        <v>2180</v>
      </c>
      <c r="J56" s="37"/>
      <c r="K56" s="48">
        <v>1412</v>
      </c>
      <c r="L56" s="48">
        <v>4817</v>
      </c>
      <c r="M56" s="48">
        <v>9466</v>
      </c>
      <c r="N56" s="48">
        <v>13852</v>
      </c>
      <c r="O56" s="48">
        <v>21311</v>
      </c>
      <c r="P56" s="48">
        <v>30688</v>
      </c>
    </row>
    <row r="57" spans="1:16" x14ac:dyDescent="0.25">
      <c r="A57" s="42" t="s">
        <v>105</v>
      </c>
      <c r="B57" s="43">
        <v>0.16900000000000001</v>
      </c>
      <c r="C57" s="43">
        <v>0.16300000000000001</v>
      </c>
      <c r="D57" s="43">
        <v>0.11799999999999999</v>
      </c>
      <c r="E57" s="43">
        <v>8.8999999999999996E-2</v>
      </c>
      <c r="F57" s="43">
        <v>8.5000000000000006E-2</v>
      </c>
      <c r="G57" s="43">
        <v>8.5000000000000006E-2</v>
      </c>
      <c r="H57" s="43">
        <v>0.08</v>
      </c>
      <c r="I57" s="43">
        <v>0.08</v>
      </c>
      <c r="J57" s="37"/>
      <c r="K57" s="43">
        <v>0.19</v>
      </c>
      <c r="L57" s="43">
        <v>8.8999999999999996E-2</v>
      </c>
      <c r="M57" s="43">
        <v>0.08</v>
      </c>
      <c r="N57" s="43">
        <v>7.0000000000000007E-2</v>
      </c>
      <c r="O57" s="43">
        <v>7.0000000000000007E-2</v>
      </c>
      <c r="P57" s="43">
        <v>7.0000000000000007E-2</v>
      </c>
    </row>
    <row r="58" spans="1:16" x14ac:dyDescent="0.25">
      <c r="A58" s="46" t="s">
        <v>106</v>
      </c>
      <c r="B58" s="15">
        <v>0</v>
      </c>
      <c r="C58" s="15">
        <v>541</v>
      </c>
      <c r="D58" s="15">
        <v>126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37"/>
      <c r="K58" s="15">
        <v>541</v>
      </c>
      <c r="L58" s="15">
        <v>126</v>
      </c>
      <c r="M58" s="15">
        <v>0</v>
      </c>
      <c r="N58" s="15">
        <v>0</v>
      </c>
      <c r="O58" s="15">
        <v>0</v>
      </c>
      <c r="P58" s="15">
        <v>0</v>
      </c>
    </row>
    <row r="59" spans="1:16" x14ac:dyDescent="0.25">
      <c r="A59" s="44" t="s">
        <v>107</v>
      </c>
      <c r="B59" s="45">
        <v>4471</v>
      </c>
      <c r="C59" s="45">
        <v>4876</v>
      </c>
      <c r="D59" s="45">
        <v>6398</v>
      </c>
      <c r="E59" s="45">
        <v>10581</v>
      </c>
      <c r="F59" s="45">
        <v>16373</v>
      </c>
      <c r="G59" s="45">
        <v>23304</v>
      </c>
      <c r="H59" s="45">
        <v>29905</v>
      </c>
      <c r="I59" s="45">
        <v>33434</v>
      </c>
      <c r="J59" s="37"/>
      <c r="K59" s="45">
        <v>12645</v>
      </c>
      <c r="L59" s="45">
        <v>56656</v>
      </c>
      <c r="M59" s="45">
        <v>143055</v>
      </c>
      <c r="N59" s="45">
        <v>218868</v>
      </c>
      <c r="O59" s="45">
        <v>279640</v>
      </c>
      <c r="P59" s="45">
        <v>346653</v>
      </c>
    </row>
    <row r="60" spans="1:16" x14ac:dyDescent="0.25">
      <c r="A60" s="42" t="s">
        <v>71</v>
      </c>
      <c r="B60" s="43">
        <v>3.2349999999999999</v>
      </c>
      <c r="C60" s="43">
        <v>2.39</v>
      </c>
      <c r="D60" s="43">
        <v>1.3520000000000001</v>
      </c>
      <c r="E60" s="43">
        <v>0.91600000000000004</v>
      </c>
      <c r="F60" s="43">
        <v>0.97499999999999998</v>
      </c>
      <c r="G60" s="43">
        <v>1.1819999999999999</v>
      </c>
      <c r="H60" s="43">
        <v>1.3009999999999999</v>
      </c>
      <c r="I60" s="43">
        <v>1.2270000000000001</v>
      </c>
      <c r="J60" s="37"/>
      <c r="K60" s="43">
        <v>2.758</v>
      </c>
      <c r="L60" s="43">
        <v>1.073</v>
      </c>
      <c r="M60" s="43">
        <v>1.2090000000000001</v>
      </c>
      <c r="N60" s="43">
        <v>1.1060000000000001</v>
      </c>
      <c r="O60" s="43">
        <v>0.91900000000000004</v>
      </c>
      <c r="P60" s="43">
        <v>0.79100000000000004</v>
      </c>
    </row>
    <row r="61" spans="1:16" x14ac:dyDescent="0.25">
      <c r="A61" s="47" t="s">
        <v>72</v>
      </c>
      <c r="B61" s="48">
        <v>-1284</v>
      </c>
      <c r="C61" s="48">
        <v>-1721</v>
      </c>
      <c r="D61" s="48">
        <v>-617</v>
      </c>
      <c r="E61" s="48">
        <v>2235</v>
      </c>
      <c r="F61" s="48">
        <v>2023</v>
      </c>
      <c r="G61" s="48">
        <v>-1820</v>
      </c>
      <c r="H61" s="48">
        <v>-5084</v>
      </c>
      <c r="I61" s="48">
        <v>-4010</v>
      </c>
      <c r="J61" s="37"/>
      <c r="K61" s="48">
        <v>-4854</v>
      </c>
      <c r="L61" s="48">
        <v>1821</v>
      </c>
      <c r="M61" s="48">
        <v>-15263</v>
      </c>
      <c r="N61" s="48">
        <v>-7126</v>
      </c>
      <c r="O61" s="48">
        <v>43073</v>
      </c>
      <c r="P61" s="48">
        <v>113670</v>
      </c>
    </row>
    <row r="62" spans="1:16" x14ac:dyDescent="0.25">
      <c r="A62" s="42" t="s">
        <v>73</v>
      </c>
      <c r="B62" s="43">
        <v>-0.92900000000000005</v>
      </c>
      <c r="C62" s="43">
        <v>-0.84399999999999997</v>
      </c>
      <c r="D62" s="43">
        <v>-0.13</v>
      </c>
      <c r="E62" s="43">
        <v>0.193</v>
      </c>
      <c r="F62" s="43">
        <v>0.12</v>
      </c>
      <c r="G62" s="43">
        <v>-9.1999999999999998E-2</v>
      </c>
      <c r="H62" s="43">
        <v>-0.221</v>
      </c>
      <c r="I62" s="43">
        <v>-0.14699999999999999</v>
      </c>
      <c r="J62" s="37"/>
      <c r="K62" s="43">
        <v>-1.0589999999999999</v>
      </c>
      <c r="L62" s="43">
        <v>3.4000000000000002E-2</v>
      </c>
      <c r="M62" s="43">
        <v>-0.129</v>
      </c>
      <c r="N62" s="43">
        <v>-3.5999999999999997E-2</v>
      </c>
      <c r="O62" s="43">
        <v>0.14099999999999999</v>
      </c>
      <c r="P62" s="43">
        <v>0.25900000000000001</v>
      </c>
    </row>
    <row r="63" spans="1:16" x14ac:dyDescent="0.25">
      <c r="A63" s="49"/>
      <c r="J63" s="37"/>
    </row>
    <row r="64" spans="1:16" x14ac:dyDescent="0.25">
      <c r="A64" s="38" t="s">
        <v>108</v>
      </c>
      <c r="B64" s="39"/>
      <c r="C64" s="39"/>
      <c r="D64" s="39"/>
      <c r="E64" s="39"/>
      <c r="F64" s="39"/>
      <c r="G64" s="39"/>
      <c r="H64" s="39"/>
      <c r="I64" s="39"/>
      <c r="J64" s="37"/>
      <c r="K64" s="39"/>
      <c r="L64" s="39"/>
      <c r="M64" s="39"/>
      <c r="N64" s="39"/>
      <c r="O64" s="39"/>
      <c r="P64" s="39"/>
    </row>
    <row r="65" spans="1:16" x14ac:dyDescent="0.25">
      <c r="A65" s="40" t="s">
        <v>109</v>
      </c>
      <c r="B65" s="41">
        <v>0</v>
      </c>
      <c r="C65" s="41">
        <v>0</v>
      </c>
      <c r="D65" s="41">
        <v>0</v>
      </c>
      <c r="E65" s="41">
        <v>0</v>
      </c>
      <c r="F65" s="41">
        <v>8547</v>
      </c>
      <c r="G65" s="41">
        <v>15365</v>
      </c>
      <c r="H65" s="41">
        <v>21180</v>
      </c>
      <c r="I65" s="41">
        <v>23168</v>
      </c>
      <c r="J65" s="37"/>
      <c r="K65" s="41">
        <v>0</v>
      </c>
      <c r="L65" s="41">
        <v>23912</v>
      </c>
      <c r="M65" s="41">
        <v>98619</v>
      </c>
      <c r="N65" s="41">
        <v>152285</v>
      </c>
      <c r="O65" s="41">
        <v>181989</v>
      </c>
      <c r="P65" s="41">
        <v>181989</v>
      </c>
    </row>
    <row r="66" spans="1:16" x14ac:dyDescent="0.25">
      <c r="A66" s="50" t="s">
        <v>110</v>
      </c>
      <c r="B66" s="48">
        <v>0</v>
      </c>
      <c r="C66" s="48">
        <v>0</v>
      </c>
      <c r="D66" s="48">
        <v>0</v>
      </c>
      <c r="E66" s="48">
        <v>5741</v>
      </c>
      <c r="F66" s="48">
        <v>6654</v>
      </c>
      <c r="G66" s="48">
        <v>13132</v>
      </c>
      <c r="H66" s="48">
        <v>17415</v>
      </c>
      <c r="I66" s="48">
        <v>18309</v>
      </c>
      <c r="J66" s="37"/>
      <c r="K66" s="48">
        <v>0</v>
      </c>
      <c r="L66" s="48">
        <v>25527</v>
      </c>
      <c r="M66" s="48">
        <v>75028</v>
      </c>
      <c r="N66" s="48">
        <v>101018</v>
      </c>
      <c r="O66" s="48">
        <v>114768</v>
      </c>
      <c r="P66" s="48">
        <v>87243</v>
      </c>
    </row>
    <row r="67" spans="1:16" x14ac:dyDescent="0.25">
      <c r="A67" s="52" t="s">
        <v>111</v>
      </c>
      <c r="B67" s="15">
        <v>0</v>
      </c>
      <c r="C67" s="15">
        <v>0</v>
      </c>
      <c r="D67" s="15">
        <v>0</v>
      </c>
      <c r="E67" s="15">
        <v>3904</v>
      </c>
      <c r="F67" s="15">
        <v>3904</v>
      </c>
      <c r="G67" s="15">
        <v>3904</v>
      </c>
      <c r="H67" s="15">
        <v>3904</v>
      </c>
      <c r="I67" s="15">
        <v>3904</v>
      </c>
      <c r="J67" s="37"/>
      <c r="K67" s="15">
        <v>0</v>
      </c>
      <c r="L67" s="15">
        <v>11712</v>
      </c>
      <c r="M67" s="15">
        <v>15616</v>
      </c>
      <c r="N67" s="15">
        <v>15614</v>
      </c>
      <c r="O67" s="15">
        <v>15614</v>
      </c>
      <c r="P67" s="15">
        <v>15614</v>
      </c>
    </row>
    <row r="68" spans="1:16" x14ac:dyDescent="0.25">
      <c r="A68" s="52" t="s">
        <v>112</v>
      </c>
      <c r="B68" s="15">
        <v>0</v>
      </c>
      <c r="C68" s="15">
        <v>0</v>
      </c>
      <c r="D68" s="15">
        <v>0</v>
      </c>
      <c r="E68" s="15">
        <v>1837</v>
      </c>
      <c r="F68" s="15">
        <v>2750</v>
      </c>
      <c r="G68" s="15">
        <v>2750</v>
      </c>
      <c r="H68" s="15">
        <v>2750</v>
      </c>
      <c r="I68" s="15">
        <v>2750</v>
      </c>
      <c r="J68" s="37"/>
      <c r="K68" s="15">
        <v>0</v>
      </c>
      <c r="L68" s="15">
        <v>7337</v>
      </c>
      <c r="M68" s="15">
        <v>11000</v>
      </c>
      <c r="N68" s="15">
        <v>11000</v>
      </c>
      <c r="O68" s="15">
        <v>11000</v>
      </c>
      <c r="P68" s="15">
        <v>11000</v>
      </c>
    </row>
    <row r="69" spans="1:16" x14ac:dyDescent="0.25">
      <c r="A69" s="52" t="s">
        <v>113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378</v>
      </c>
      <c r="H69" s="15">
        <v>566</v>
      </c>
      <c r="I69" s="15">
        <v>566</v>
      </c>
      <c r="J69" s="37"/>
      <c r="K69" s="15">
        <v>0</v>
      </c>
      <c r="L69" s="15">
        <v>378</v>
      </c>
      <c r="M69" s="15">
        <v>2264</v>
      </c>
      <c r="N69" s="15">
        <v>2263</v>
      </c>
      <c r="O69" s="15">
        <v>2263</v>
      </c>
      <c r="P69" s="15">
        <v>2263</v>
      </c>
    </row>
    <row r="70" spans="1:16" x14ac:dyDescent="0.25">
      <c r="A70" s="52" t="s">
        <v>114</v>
      </c>
      <c r="B70" s="15">
        <v>0</v>
      </c>
      <c r="C70" s="15">
        <v>0</v>
      </c>
      <c r="D70" s="15">
        <v>0</v>
      </c>
      <c r="E70" s="15">
        <v>0</v>
      </c>
      <c r="F70" s="15">
        <v>0</v>
      </c>
      <c r="G70" s="15">
        <v>6100</v>
      </c>
      <c r="H70" s="15">
        <v>9300</v>
      </c>
      <c r="I70" s="15">
        <v>9300</v>
      </c>
      <c r="J70" s="37"/>
      <c r="K70" s="15">
        <v>0</v>
      </c>
      <c r="L70" s="15">
        <v>6100</v>
      </c>
      <c r="M70" s="15">
        <v>37200</v>
      </c>
      <c r="N70" s="15">
        <v>37200</v>
      </c>
      <c r="O70" s="15">
        <v>37200</v>
      </c>
      <c r="P70" s="15">
        <v>2800</v>
      </c>
    </row>
    <row r="71" spans="1:16" x14ac:dyDescent="0.25">
      <c r="A71" s="52" t="s">
        <v>115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465</v>
      </c>
      <c r="I71" s="15">
        <v>929</v>
      </c>
      <c r="J71" s="37"/>
      <c r="K71" s="15">
        <v>0</v>
      </c>
      <c r="L71" s="15">
        <v>0</v>
      </c>
      <c r="M71" s="15">
        <v>4646</v>
      </c>
      <c r="N71" s="15">
        <v>7433</v>
      </c>
      <c r="O71" s="15">
        <v>7433</v>
      </c>
      <c r="P71" s="15">
        <v>7433</v>
      </c>
    </row>
    <row r="72" spans="1:16" x14ac:dyDescent="0.25">
      <c r="A72" s="52" t="s">
        <v>116</v>
      </c>
      <c r="B72" s="15">
        <v>0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430</v>
      </c>
      <c r="I72" s="15">
        <v>860</v>
      </c>
      <c r="J72" s="37"/>
      <c r="K72" s="15">
        <v>0</v>
      </c>
      <c r="L72" s="15">
        <v>0</v>
      </c>
      <c r="M72" s="15">
        <v>4302</v>
      </c>
      <c r="N72" s="15">
        <v>6883</v>
      </c>
      <c r="O72" s="15">
        <v>6883</v>
      </c>
      <c r="P72" s="15">
        <v>6883</v>
      </c>
    </row>
    <row r="73" spans="1:16" x14ac:dyDescent="0.25">
      <c r="A73" s="52" t="s">
        <v>117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37"/>
      <c r="K73" s="15">
        <v>0</v>
      </c>
      <c r="L73" s="15">
        <v>0</v>
      </c>
      <c r="M73" s="15">
        <v>0</v>
      </c>
      <c r="N73" s="15">
        <v>20625</v>
      </c>
      <c r="O73" s="15">
        <v>34375</v>
      </c>
      <c r="P73" s="15">
        <v>41250</v>
      </c>
    </row>
    <row r="74" spans="1:16" x14ac:dyDescent="0.25">
      <c r="A74" s="50" t="s">
        <v>118</v>
      </c>
      <c r="B74" s="48">
        <v>0</v>
      </c>
      <c r="C74" s="48">
        <v>0</v>
      </c>
      <c r="D74" s="48">
        <v>0</v>
      </c>
      <c r="E74" s="48">
        <v>0</v>
      </c>
      <c r="F74" s="48">
        <v>1779</v>
      </c>
      <c r="G74" s="48">
        <v>1779</v>
      </c>
      <c r="H74" s="48">
        <v>2744</v>
      </c>
      <c r="I74" s="48">
        <v>2774</v>
      </c>
      <c r="J74" s="37"/>
      <c r="K74" s="48">
        <v>0</v>
      </c>
      <c r="L74" s="48">
        <v>3559</v>
      </c>
      <c r="M74" s="48">
        <v>11128</v>
      </c>
      <c r="N74" s="48">
        <v>10832</v>
      </c>
      <c r="O74" s="48">
        <v>8304</v>
      </c>
      <c r="P74" s="48">
        <v>5428</v>
      </c>
    </row>
    <row r="75" spans="1:16" x14ac:dyDescent="0.25">
      <c r="A75" s="50" t="s">
        <v>119</v>
      </c>
      <c r="B75" s="48">
        <v>0</v>
      </c>
      <c r="C75" s="48">
        <v>0</v>
      </c>
      <c r="D75" s="48">
        <v>0</v>
      </c>
      <c r="E75" s="48">
        <v>0</v>
      </c>
      <c r="F75" s="48">
        <v>76</v>
      </c>
      <c r="G75" s="48">
        <v>302</v>
      </c>
      <c r="H75" s="48">
        <v>688</v>
      </c>
      <c r="I75" s="48">
        <v>1436</v>
      </c>
      <c r="J75" s="37"/>
      <c r="K75" s="48">
        <v>0</v>
      </c>
      <c r="L75" s="48">
        <v>378</v>
      </c>
      <c r="M75" s="48">
        <v>8697</v>
      </c>
      <c r="N75" s="48">
        <v>26029</v>
      </c>
      <c r="O75" s="48">
        <v>32160</v>
      </c>
      <c r="P75" s="48">
        <v>32160</v>
      </c>
    </row>
    <row r="76" spans="1:16" x14ac:dyDescent="0.25">
      <c r="A76" s="50" t="s">
        <v>120</v>
      </c>
      <c r="B76" s="48">
        <v>0</v>
      </c>
      <c r="C76" s="48">
        <v>0</v>
      </c>
      <c r="D76" s="48">
        <v>0</v>
      </c>
      <c r="E76" s="48">
        <v>0</v>
      </c>
      <c r="F76" s="48">
        <v>38</v>
      </c>
      <c r="G76" s="48">
        <v>151</v>
      </c>
      <c r="H76" s="48">
        <v>333</v>
      </c>
      <c r="I76" s="48">
        <v>598</v>
      </c>
      <c r="J76" s="37"/>
      <c r="K76" s="48">
        <v>0</v>
      </c>
      <c r="L76" s="48">
        <v>189</v>
      </c>
      <c r="M76" s="48">
        <v>3162</v>
      </c>
      <c r="N76" s="48">
        <v>7399</v>
      </c>
      <c r="O76" s="48">
        <v>8757</v>
      </c>
      <c r="P76" s="48">
        <v>8757</v>
      </c>
    </row>
    <row r="77" spans="1:16" x14ac:dyDescent="0.25">
      <c r="A77" s="50" t="s">
        <v>121</v>
      </c>
      <c r="B77" s="48">
        <v>0</v>
      </c>
      <c r="C77" s="48">
        <v>0</v>
      </c>
      <c r="D77" s="48">
        <v>0</v>
      </c>
      <c r="E77" s="48">
        <v>0</v>
      </c>
      <c r="F77" s="48">
        <v>0</v>
      </c>
      <c r="G77" s="48">
        <v>0</v>
      </c>
      <c r="H77" s="48">
        <v>0</v>
      </c>
      <c r="I77" s="48">
        <v>50</v>
      </c>
      <c r="J77" s="37"/>
      <c r="K77" s="48">
        <v>0</v>
      </c>
      <c r="L77" s="48">
        <v>0</v>
      </c>
      <c r="M77" s="48">
        <v>604</v>
      </c>
      <c r="N77" s="48">
        <v>3008</v>
      </c>
      <c r="O77" s="48">
        <v>4000</v>
      </c>
      <c r="P77" s="48">
        <v>4000</v>
      </c>
    </row>
    <row r="78" spans="1:16" x14ac:dyDescent="0.25">
      <c r="A78" s="50" t="s">
        <v>122</v>
      </c>
      <c r="B78" s="48">
        <v>0</v>
      </c>
      <c r="C78" s="48">
        <v>0</v>
      </c>
      <c r="D78" s="48">
        <v>0</v>
      </c>
      <c r="E78" s="48">
        <v>0</v>
      </c>
      <c r="F78" s="48">
        <v>0</v>
      </c>
      <c r="G78" s="48">
        <v>0</v>
      </c>
      <c r="H78" s="48">
        <v>0</v>
      </c>
      <c r="I78" s="48">
        <v>0</v>
      </c>
      <c r="J78" s="37"/>
      <c r="K78" s="48">
        <v>0</v>
      </c>
      <c r="L78" s="48">
        <v>0</v>
      </c>
      <c r="M78" s="48">
        <v>0</v>
      </c>
      <c r="N78" s="48">
        <v>0</v>
      </c>
      <c r="O78" s="48">
        <v>0</v>
      </c>
      <c r="P78" s="48">
        <v>44401</v>
      </c>
    </row>
    <row r="79" spans="1:16" x14ac:dyDescent="0.25">
      <c r="A79" s="50" t="s">
        <v>123</v>
      </c>
      <c r="B79" s="48">
        <v>0</v>
      </c>
      <c r="C79" s="48">
        <v>0</v>
      </c>
      <c r="D79" s="48">
        <v>0</v>
      </c>
      <c r="E79" s="48">
        <v>0</v>
      </c>
      <c r="F79" s="48">
        <v>0</v>
      </c>
      <c r="G79" s="48">
        <v>0</v>
      </c>
      <c r="H79" s="48">
        <v>0</v>
      </c>
      <c r="I79" s="48">
        <v>0</v>
      </c>
      <c r="J79" s="37"/>
      <c r="K79" s="48">
        <v>0</v>
      </c>
      <c r="L79" s="48">
        <v>0</v>
      </c>
      <c r="M79" s="48">
        <v>0</v>
      </c>
      <c r="N79" s="48">
        <v>4000</v>
      </c>
      <c r="O79" s="48">
        <v>14000</v>
      </c>
      <c r="P79" s="48">
        <v>0</v>
      </c>
    </row>
    <row r="80" spans="1:16" x14ac:dyDescent="0.25">
      <c r="A80" s="46" t="s">
        <v>91</v>
      </c>
      <c r="B80" s="15">
        <v>0</v>
      </c>
      <c r="C80" s="15">
        <v>0</v>
      </c>
      <c r="D80" s="15">
        <v>0</v>
      </c>
      <c r="E80" s="15">
        <v>0</v>
      </c>
      <c r="F80" s="15">
        <v>950</v>
      </c>
      <c r="G80" s="15">
        <v>0</v>
      </c>
      <c r="H80" s="15">
        <v>0</v>
      </c>
      <c r="I80" s="15">
        <v>0</v>
      </c>
      <c r="J80" s="37"/>
      <c r="K80" s="15">
        <v>0</v>
      </c>
      <c r="L80" s="15">
        <v>950</v>
      </c>
      <c r="M80" s="15">
        <v>0</v>
      </c>
      <c r="N80" s="15">
        <v>0</v>
      </c>
      <c r="O80" s="15">
        <v>0</v>
      </c>
      <c r="P80" s="15">
        <v>30023</v>
      </c>
    </row>
    <row r="81" spans="1:16" x14ac:dyDescent="0.25">
      <c r="A81" s="44" t="s">
        <v>70</v>
      </c>
      <c r="B81" s="45">
        <v>2047</v>
      </c>
      <c r="C81" s="45">
        <v>2945</v>
      </c>
      <c r="D81" s="45">
        <v>3387</v>
      </c>
      <c r="E81" s="45">
        <v>5558</v>
      </c>
      <c r="F81" s="45">
        <v>9497</v>
      </c>
      <c r="G81" s="45">
        <v>15365</v>
      </c>
      <c r="H81" s="45">
        <v>21180</v>
      </c>
      <c r="I81" s="45">
        <v>23168</v>
      </c>
      <c r="J81" s="37"/>
      <c r="K81" s="45">
        <v>7326</v>
      </c>
      <c r="L81" s="45">
        <v>33807</v>
      </c>
      <c r="M81" s="45">
        <v>98619</v>
      </c>
      <c r="N81" s="45">
        <v>152285</v>
      </c>
      <c r="O81" s="45">
        <v>181989</v>
      </c>
      <c r="P81" s="45">
        <v>212011</v>
      </c>
    </row>
    <row r="82" spans="1:16" x14ac:dyDescent="0.25">
      <c r="A82" s="42" t="s">
        <v>71</v>
      </c>
      <c r="B82" s="43">
        <v>1.4810000000000001</v>
      </c>
      <c r="C82" s="43">
        <v>1.444</v>
      </c>
      <c r="D82" s="43">
        <v>0.71599999999999997</v>
      </c>
      <c r="E82" s="43">
        <v>0.48099999999999998</v>
      </c>
      <c r="F82" s="43">
        <v>0.56499999999999995</v>
      </c>
      <c r="G82" s="43">
        <v>0.78</v>
      </c>
      <c r="H82" s="43">
        <v>0.92200000000000004</v>
      </c>
      <c r="I82" s="43">
        <v>0.85</v>
      </c>
      <c r="J82" s="37"/>
      <c r="K82" s="43">
        <v>1.5980000000000001</v>
      </c>
      <c r="L82" s="43">
        <v>0.64</v>
      </c>
      <c r="M82" s="43">
        <v>0.83299999999999996</v>
      </c>
      <c r="N82" s="43">
        <v>0.77</v>
      </c>
      <c r="O82" s="43">
        <v>0.59799999999999998</v>
      </c>
      <c r="P82" s="43">
        <v>0.48399999999999999</v>
      </c>
    </row>
    <row r="83" spans="1:16" x14ac:dyDescent="0.25">
      <c r="A83" s="49"/>
      <c r="J83" s="37"/>
    </row>
    <row r="84" spans="1:16" x14ac:dyDescent="0.25">
      <c r="A84" s="38" t="s">
        <v>124</v>
      </c>
      <c r="B84" s="39"/>
      <c r="C84" s="39"/>
      <c r="D84" s="39"/>
      <c r="E84" s="39"/>
      <c r="F84" s="39"/>
      <c r="G84" s="39"/>
      <c r="H84" s="39"/>
      <c r="I84" s="39"/>
      <c r="J84" s="37"/>
      <c r="K84" s="39"/>
      <c r="L84" s="39"/>
      <c r="M84" s="39"/>
      <c r="N84" s="39"/>
      <c r="O84" s="39"/>
      <c r="P84" s="39"/>
    </row>
    <row r="85" spans="1:16" x14ac:dyDescent="0.25">
      <c r="A85" s="49"/>
      <c r="J85" s="37"/>
    </row>
    <row r="86" spans="1:16" x14ac:dyDescent="0.25">
      <c r="A86" s="54" t="s">
        <v>125</v>
      </c>
      <c r="B86" s="55"/>
      <c r="C86" s="55"/>
      <c r="D86" s="55"/>
      <c r="E86" s="55"/>
      <c r="F86" s="55"/>
      <c r="G86" s="55"/>
      <c r="H86" s="55"/>
      <c r="I86" s="55"/>
      <c r="J86" s="37"/>
      <c r="K86" s="55"/>
      <c r="L86" s="55"/>
      <c r="M86" s="55"/>
      <c r="N86" s="55"/>
      <c r="O86" s="55"/>
      <c r="P86" s="55"/>
    </row>
    <row r="87" spans="1:16" x14ac:dyDescent="0.25">
      <c r="A87" s="46" t="s">
        <v>126</v>
      </c>
      <c r="B87" s="15">
        <v>0</v>
      </c>
      <c r="C87" s="15">
        <v>0</v>
      </c>
      <c r="D87" s="15">
        <v>0</v>
      </c>
      <c r="E87" s="15">
        <v>100</v>
      </c>
      <c r="F87" s="15">
        <v>200</v>
      </c>
      <c r="G87" s="15">
        <v>300</v>
      </c>
      <c r="H87" s="15">
        <v>400</v>
      </c>
      <c r="I87" s="15">
        <v>450</v>
      </c>
      <c r="J87" s="37"/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</row>
    <row r="88" spans="1:16" x14ac:dyDescent="0.25">
      <c r="A88" s="51" t="s">
        <v>127</v>
      </c>
      <c r="B88" s="53">
        <v>0</v>
      </c>
      <c r="C88" s="53">
        <v>0</v>
      </c>
      <c r="D88" s="53">
        <v>0</v>
      </c>
      <c r="E88" s="53">
        <v>20</v>
      </c>
      <c r="F88" s="53">
        <v>20</v>
      </c>
      <c r="G88" s="53">
        <v>22</v>
      </c>
      <c r="H88" s="53">
        <v>33</v>
      </c>
      <c r="I88" s="53">
        <v>34</v>
      </c>
      <c r="J88" s="37"/>
      <c r="K88" s="53"/>
      <c r="L88" s="53"/>
      <c r="M88" s="53"/>
      <c r="N88" s="53"/>
      <c r="O88" s="53"/>
      <c r="P88" s="53"/>
    </row>
    <row r="89" spans="1:16" x14ac:dyDescent="0.25">
      <c r="A89" s="46" t="s">
        <v>128</v>
      </c>
      <c r="B89" s="15">
        <v>0</v>
      </c>
      <c r="C89" s="15">
        <v>0</v>
      </c>
      <c r="D89" s="15">
        <v>0</v>
      </c>
      <c r="E89" s="15">
        <v>2000</v>
      </c>
      <c r="F89" s="15">
        <v>4000</v>
      </c>
      <c r="G89" s="15">
        <v>6600</v>
      </c>
      <c r="H89" s="15">
        <v>13200</v>
      </c>
      <c r="I89" s="15">
        <v>15300</v>
      </c>
      <c r="J89" s="37"/>
      <c r="K89" s="15">
        <v>0</v>
      </c>
      <c r="L89" s="15">
        <v>12600</v>
      </c>
      <c r="M89" s="15">
        <v>80250</v>
      </c>
      <c r="N89" s="15">
        <v>0</v>
      </c>
      <c r="O89" s="15">
        <v>0</v>
      </c>
      <c r="P89" s="15">
        <v>0</v>
      </c>
    </row>
    <row r="90" spans="1:16" x14ac:dyDescent="0.25">
      <c r="A90" s="51" t="s">
        <v>129</v>
      </c>
      <c r="B90" s="43"/>
      <c r="C90" s="43"/>
      <c r="D90" s="43"/>
      <c r="E90" s="43"/>
      <c r="F90" s="43">
        <v>1</v>
      </c>
      <c r="G90" s="43">
        <v>1</v>
      </c>
      <c r="H90" s="43">
        <v>1</v>
      </c>
      <c r="I90" s="43">
        <v>1</v>
      </c>
      <c r="J90" s="37"/>
      <c r="K90" s="43"/>
      <c r="L90" s="43"/>
      <c r="M90" s="43"/>
      <c r="N90" s="43"/>
      <c r="O90" s="43"/>
      <c r="P90" s="43"/>
    </row>
    <row r="91" spans="1:16" x14ac:dyDescent="0.25">
      <c r="A91" s="51" t="s">
        <v>130</v>
      </c>
      <c r="B91" s="56"/>
      <c r="C91" s="56"/>
      <c r="D91" s="56"/>
      <c r="E91" s="56"/>
      <c r="F91" s="56">
        <v>1.5</v>
      </c>
      <c r="G91" s="56">
        <v>1.5</v>
      </c>
      <c r="H91" s="56">
        <v>1.5</v>
      </c>
      <c r="I91" s="56">
        <v>1.5</v>
      </c>
      <c r="J91" s="37"/>
      <c r="K91" s="56"/>
      <c r="L91" s="56"/>
      <c r="M91" s="56"/>
      <c r="N91" s="56"/>
      <c r="O91" s="56"/>
      <c r="P91" s="56"/>
    </row>
    <row r="92" spans="1:16" x14ac:dyDescent="0.25">
      <c r="A92" s="46" t="s">
        <v>131</v>
      </c>
      <c r="B92" s="15">
        <v>0</v>
      </c>
      <c r="C92" s="15">
        <v>0</v>
      </c>
      <c r="D92" s="15">
        <v>0</v>
      </c>
      <c r="E92" s="15">
        <v>0</v>
      </c>
      <c r="F92" s="15">
        <v>3000</v>
      </c>
      <c r="G92" s="15">
        <v>6000</v>
      </c>
      <c r="H92" s="15">
        <v>9900</v>
      </c>
      <c r="I92" s="15">
        <v>19800</v>
      </c>
      <c r="J92" s="37"/>
      <c r="K92" s="15">
        <v>0</v>
      </c>
      <c r="L92" s="15">
        <v>9000</v>
      </c>
      <c r="M92" s="15">
        <v>89775</v>
      </c>
      <c r="N92" s="15">
        <v>62025</v>
      </c>
      <c r="O92" s="15">
        <v>0</v>
      </c>
      <c r="P92" s="15">
        <v>0</v>
      </c>
    </row>
    <row r="93" spans="1:16" x14ac:dyDescent="0.25">
      <c r="A93" s="46" t="s">
        <v>132</v>
      </c>
      <c r="B93" s="15">
        <v>0</v>
      </c>
      <c r="C93" s="15">
        <v>0</v>
      </c>
      <c r="D93" s="15">
        <v>0</v>
      </c>
      <c r="E93" s="15">
        <v>0</v>
      </c>
      <c r="F93" s="15">
        <v>3000</v>
      </c>
      <c r="G93" s="15">
        <v>9000</v>
      </c>
      <c r="H93" s="15">
        <v>18900</v>
      </c>
      <c r="I93" s="15">
        <v>38700</v>
      </c>
      <c r="J93" s="37"/>
      <c r="K93" s="15">
        <v>0</v>
      </c>
      <c r="L93" s="15">
        <v>9000</v>
      </c>
      <c r="M93" s="15">
        <v>98775</v>
      </c>
      <c r="N93" s="15">
        <v>160800</v>
      </c>
      <c r="O93" s="15">
        <v>160800</v>
      </c>
      <c r="P93" s="15">
        <v>160800</v>
      </c>
    </row>
    <row r="94" spans="1:16" x14ac:dyDescent="0.25">
      <c r="A94" s="51" t="s">
        <v>133</v>
      </c>
      <c r="B94" s="43"/>
      <c r="C94" s="43"/>
      <c r="D94" s="43"/>
      <c r="E94" s="43"/>
      <c r="F94" s="43">
        <v>0.2</v>
      </c>
      <c r="G94" s="43">
        <v>0.2</v>
      </c>
      <c r="H94" s="43">
        <v>0.2</v>
      </c>
      <c r="I94" s="43">
        <v>0.2</v>
      </c>
      <c r="J94" s="37"/>
      <c r="K94" s="43"/>
      <c r="L94" s="43"/>
      <c r="M94" s="43"/>
      <c r="N94" s="43"/>
      <c r="O94" s="43"/>
      <c r="P94" s="43"/>
    </row>
    <row r="95" spans="1:16" x14ac:dyDescent="0.25">
      <c r="A95" s="40" t="s">
        <v>134</v>
      </c>
      <c r="B95" s="41">
        <v>0</v>
      </c>
      <c r="C95" s="41">
        <v>0</v>
      </c>
      <c r="D95" s="41">
        <v>0</v>
      </c>
      <c r="E95" s="41">
        <v>0</v>
      </c>
      <c r="F95" s="41">
        <v>76</v>
      </c>
      <c r="G95" s="41">
        <v>302</v>
      </c>
      <c r="H95" s="41">
        <v>688</v>
      </c>
      <c r="I95" s="41">
        <v>1436</v>
      </c>
      <c r="J95" s="37"/>
      <c r="K95" s="41">
        <v>0</v>
      </c>
      <c r="L95" s="41">
        <v>378</v>
      </c>
      <c r="M95" s="41">
        <v>8697</v>
      </c>
      <c r="N95" s="41">
        <v>26029</v>
      </c>
      <c r="O95" s="41">
        <v>32160</v>
      </c>
      <c r="P95" s="41">
        <v>32160</v>
      </c>
    </row>
    <row r="96" spans="1:16" x14ac:dyDescent="0.25">
      <c r="A96" s="49"/>
      <c r="J96" s="37"/>
    </row>
    <row r="97" spans="1:16" x14ac:dyDescent="0.25">
      <c r="A97" s="54" t="s">
        <v>135</v>
      </c>
      <c r="B97" s="55"/>
      <c r="C97" s="55"/>
      <c r="D97" s="55"/>
      <c r="E97" s="55"/>
      <c r="F97" s="55"/>
      <c r="G97" s="55"/>
      <c r="H97" s="55"/>
      <c r="I97" s="55"/>
      <c r="J97" s="37"/>
      <c r="K97" s="55"/>
      <c r="L97" s="55"/>
      <c r="M97" s="55"/>
      <c r="N97" s="55"/>
      <c r="O97" s="55"/>
      <c r="P97" s="55"/>
    </row>
    <row r="98" spans="1:16" x14ac:dyDescent="0.25">
      <c r="A98" s="51" t="s">
        <v>136</v>
      </c>
      <c r="B98" s="43"/>
      <c r="C98" s="43"/>
      <c r="D98" s="43"/>
      <c r="E98" s="43"/>
      <c r="F98" s="43">
        <v>7.0999999999999994E-2</v>
      </c>
      <c r="G98" s="43">
        <v>7.0999999999999994E-2</v>
      </c>
      <c r="H98" s="43">
        <v>7.0999999999999994E-2</v>
      </c>
      <c r="I98" s="43">
        <v>7.0999999999999994E-2</v>
      </c>
      <c r="J98" s="37"/>
      <c r="K98" s="43"/>
      <c r="L98" s="43"/>
      <c r="M98" s="43"/>
      <c r="N98" s="43"/>
      <c r="O98" s="43"/>
      <c r="P98" s="43"/>
    </row>
    <row r="99" spans="1:16" x14ac:dyDescent="0.25">
      <c r="A99" s="46" t="s">
        <v>137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52</v>
      </c>
      <c r="H99" s="15">
        <v>151</v>
      </c>
      <c r="I99" s="15">
        <v>316</v>
      </c>
      <c r="J99" s="37"/>
      <c r="K99" s="15">
        <v>0</v>
      </c>
      <c r="L99" s="15">
        <v>52</v>
      </c>
      <c r="M99" s="15">
        <v>2128</v>
      </c>
      <c r="N99" s="15">
        <v>6386</v>
      </c>
      <c r="O99" s="15">
        <v>8924</v>
      </c>
      <c r="P99" s="15">
        <v>6641</v>
      </c>
    </row>
    <row r="100" spans="1:16" x14ac:dyDescent="0.25">
      <c r="A100" s="46" t="s">
        <v>138</v>
      </c>
      <c r="B100" s="15">
        <v>0</v>
      </c>
      <c r="C100" s="15">
        <v>0</v>
      </c>
      <c r="D100" s="15">
        <v>0</v>
      </c>
      <c r="E100" s="15">
        <v>0</v>
      </c>
      <c r="F100" s="15">
        <v>76</v>
      </c>
      <c r="G100" s="15">
        <v>302</v>
      </c>
      <c r="H100" s="15">
        <v>688</v>
      </c>
      <c r="I100" s="15">
        <v>1436</v>
      </c>
      <c r="J100" s="37"/>
      <c r="K100" s="15">
        <v>0</v>
      </c>
      <c r="L100" s="15">
        <v>378</v>
      </c>
      <c r="M100" s="15">
        <v>8697</v>
      </c>
      <c r="N100" s="15">
        <v>26029</v>
      </c>
      <c r="O100" s="15">
        <v>32160</v>
      </c>
      <c r="P100" s="15">
        <v>32160</v>
      </c>
    </row>
    <row r="101" spans="1:16" x14ac:dyDescent="0.25">
      <c r="A101" s="40" t="s">
        <v>139</v>
      </c>
      <c r="B101" s="41">
        <v>0</v>
      </c>
      <c r="C101" s="41">
        <v>0</v>
      </c>
      <c r="D101" s="41">
        <v>0</v>
      </c>
      <c r="E101" s="41">
        <v>0</v>
      </c>
      <c r="F101" s="41">
        <v>2924</v>
      </c>
      <c r="G101" s="41">
        <v>8622</v>
      </c>
      <c r="H101" s="41">
        <v>17834</v>
      </c>
      <c r="I101" s="41">
        <v>36198</v>
      </c>
      <c r="J101" s="37"/>
      <c r="K101" s="41">
        <v>0</v>
      </c>
      <c r="L101" s="41">
        <v>8622</v>
      </c>
      <c r="M101" s="41">
        <v>89700</v>
      </c>
      <c r="N101" s="41">
        <v>125696</v>
      </c>
      <c r="O101" s="41">
        <v>93536</v>
      </c>
      <c r="P101" s="41">
        <v>61376</v>
      </c>
    </row>
    <row r="102" spans="1:16" x14ac:dyDescent="0.25">
      <c r="A102" s="49"/>
      <c r="J102" s="37"/>
    </row>
    <row r="103" spans="1:16" x14ac:dyDescent="0.25">
      <c r="A103" s="54" t="s">
        <v>140</v>
      </c>
      <c r="B103" s="55"/>
      <c r="C103" s="55"/>
      <c r="D103" s="55"/>
      <c r="E103" s="55"/>
      <c r="F103" s="55"/>
      <c r="G103" s="55"/>
      <c r="H103" s="55"/>
      <c r="I103" s="55"/>
      <c r="J103" s="37"/>
      <c r="K103" s="55"/>
      <c r="L103" s="55"/>
      <c r="M103" s="55"/>
      <c r="N103" s="55"/>
      <c r="O103" s="55"/>
      <c r="P103" s="55"/>
    </row>
    <row r="104" spans="1:16" x14ac:dyDescent="0.25">
      <c r="A104" s="46" t="s">
        <v>141</v>
      </c>
      <c r="B104" s="15">
        <v>0</v>
      </c>
      <c r="C104" s="15">
        <v>0</v>
      </c>
      <c r="D104" s="15">
        <v>0</v>
      </c>
      <c r="E104" s="15">
        <v>0</v>
      </c>
      <c r="F104" s="15">
        <v>100</v>
      </c>
      <c r="G104" s="15">
        <v>200</v>
      </c>
      <c r="H104" s="15">
        <v>300</v>
      </c>
      <c r="I104" s="15">
        <v>400</v>
      </c>
      <c r="J104" s="37"/>
      <c r="K104" s="15">
        <v>0</v>
      </c>
      <c r="L104" s="15">
        <v>300</v>
      </c>
      <c r="M104" s="15">
        <v>1700</v>
      </c>
      <c r="N104" s="15">
        <v>919</v>
      </c>
      <c r="O104" s="15">
        <v>0</v>
      </c>
      <c r="P104" s="15">
        <v>0</v>
      </c>
    </row>
    <row r="105" spans="1:16" x14ac:dyDescent="0.25">
      <c r="A105" s="46" t="s">
        <v>142</v>
      </c>
      <c r="B105" s="15">
        <v>0</v>
      </c>
      <c r="C105" s="15">
        <v>0</v>
      </c>
      <c r="D105" s="15">
        <v>0</v>
      </c>
      <c r="E105" s="15">
        <v>0</v>
      </c>
      <c r="F105" s="15">
        <v>100</v>
      </c>
      <c r="G105" s="15">
        <v>300</v>
      </c>
      <c r="H105" s="15">
        <v>600</v>
      </c>
      <c r="I105" s="15">
        <v>1000</v>
      </c>
      <c r="J105" s="37"/>
      <c r="K105" s="15">
        <v>0</v>
      </c>
      <c r="L105" s="15">
        <v>300</v>
      </c>
      <c r="M105" s="15">
        <v>2000</v>
      </c>
      <c r="N105" s="15">
        <v>2919</v>
      </c>
      <c r="O105" s="15">
        <v>2919</v>
      </c>
      <c r="P105" s="15">
        <v>2919</v>
      </c>
    </row>
    <row r="106" spans="1:16" x14ac:dyDescent="0.25">
      <c r="A106" s="51" t="s">
        <v>143</v>
      </c>
      <c r="B106" s="57"/>
      <c r="C106" s="57"/>
      <c r="D106" s="57"/>
      <c r="E106" s="57"/>
      <c r="F106" s="57">
        <v>1.2</v>
      </c>
      <c r="G106" s="57">
        <v>1.2</v>
      </c>
      <c r="H106" s="57">
        <v>1.2</v>
      </c>
      <c r="I106" s="57">
        <v>1.2</v>
      </c>
      <c r="J106" s="37"/>
      <c r="K106" s="57"/>
      <c r="L106" s="57"/>
      <c r="M106" s="57"/>
      <c r="N106" s="57"/>
      <c r="O106" s="57"/>
      <c r="P106" s="57"/>
    </row>
    <row r="107" spans="1:16" x14ac:dyDescent="0.25">
      <c r="A107" s="46" t="s">
        <v>144</v>
      </c>
      <c r="B107" s="15">
        <v>0</v>
      </c>
      <c r="C107" s="15">
        <v>0</v>
      </c>
      <c r="D107" s="15">
        <v>0</v>
      </c>
      <c r="E107" s="15">
        <v>0</v>
      </c>
      <c r="F107" s="15">
        <v>120</v>
      </c>
      <c r="G107" s="15">
        <v>360</v>
      </c>
      <c r="H107" s="15">
        <v>720</v>
      </c>
      <c r="I107" s="15">
        <v>1200</v>
      </c>
      <c r="J107" s="37"/>
      <c r="K107" s="15">
        <v>0</v>
      </c>
      <c r="L107" s="15">
        <v>360</v>
      </c>
      <c r="M107" s="15">
        <v>2400</v>
      </c>
      <c r="N107" s="15">
        <v>3503</v>
      </c>
      <c r="O107" s="15">
        <v>3503</v>
      </c>
      <c r="P107" s="15">
        <v>3503</v>
      </c>
    </row>
    <row r="108" spans="1:16" x14ac:dyDescent="0.25">
      <c r="A108" s="51" t="s">
        <v>145</v>
      </c>
      <c r="B108" s="57"/>
      <c r="C108" s="57"/>
      <c r="D108" s="57"/>
      <c r="E108" s="57"/>
      <c r="F108" s="57">
        <v>2.5</v>
      </c>
      <c r="G108" s="57">
        <v>2.5</v>
      </c>
      <c r="H108" s="57">
        <v>2.5</v>
      </c>
      <c r="I108" s="57">
        <v>2.5</v>
      </c>
      <c r="J108" s="37"/>
      <c r="K108" s="57"/>
      <c r="L108" s="57"/>
      <c r="M108" s="57"/>
      <c r="N108" s="57"/>
      <c r="O108" s="57"/>
      <c r="P108" s="57"/>
    </row>
    <row r="109" spans="1:16" x14ac:dyDescent="0.25">
      <c r="A109" s="40" t="s">
        <v>146</v>
      </c>
      <c r="B109" s="41">
        <v>0</v>
      </c>
      <c r="C109" s="41">
        <v>0</v>
      </c>
      <c r="D109" s="41">
        <v>0</v>
      </c>
      <c r="E109" s="41">
        <v>0</v>
      </c>
      <c r="F109" s="41">
        <v>38</v>
      </c>
      <c r="G109" s="41">
        <v>151</v>
      </c>
      <c r="H109" s="41">
        <v>333</v>
      </c>
      <c r="I109" s="41">
        <v>598</v>
      </c>
      <c r="J109" s="37"/>
      <c r="K109" s="41">
        <v>0</v>
      </c>
      <c r="L109" s="41">
        <v>189</v>
      </c>
      <c r="M109" s="41">
        <v>3162</v>
      </c>
      <c r="N109" s="41">
        <v>7399</v>
      </c>
      <c r="O109" s="41">
        <v>8757</v>
      </c>
      <c r="P109" s="41">
        <v>8757</v>
      </c>
    </row>
    <row r="110" spans="1:16" x14ac:dyDescent="0.25">
      <c r="A110" s="49"/>
      <c r="J110" s="37"/>
    </row>
    <row r="111" spans="1:16" x14ac:dyDescent="0.25">
      <c r="A111" s="54" t="s">
        <v>147</v>
      </c>
      <c r="B111" s="55"/>
      <c r="C111" s="55"/>
      <c r="D111" s="55"/>
      <c r="E111" s="55"/>
      <c r="F111" s="55"/>
      <c r="G111" s="55"/>
      <c r="H111" s="55"/>
      <c r="I111" s="55"/>
      <c r="J111" s="37"/>
      <c r="K111" s="55"/>
      <c r="L111" s="55"/>
      <c r="M111" s="55"/>
      <c r="N111" s="55"/>
      <c r="O111" s="55"/>
      <c r="P111" s="55"/>
    </row>
    <row r="112" spans="1:16" x14ac:dyDescent="0.25">
      <c r="A112" s="46" t="s">
        <v>148</v>
      </c>
      <c r="B112" s="15">
        <v>0</v>
      </c>
      <c r="C112" s="15">
        <v>0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2000</v>
      </c>
      <c r="J112" s="37"/>
      <c r="K112" s="15">
        <v>0</v>
      </c>
      <c r="L112" s="15">
        <v>0</v>
      </c>
      <c r="M112" s="15">
        <v>10000</v>
      </c>
      <c r="N112" s="15">
        <v>10000</v>
      </c>
      <c r="O112" s="15">
        <v>0</v>
      </c>
      <c r="P112" s="15">
        <v>0</v>
      </c>
    </row>
    <row r="113" spans="1:16" x14ac:dyDescent="0.25">
      <c r="A113" s="51" t="s">
        <v>149</v>
      </c>
      <c r="B113" s="43"/>
      <c r="C113" s="43"/>
      <c r="D113" s="43"/>
      <c r="E113" s="43"/>
      <c r="F113" s="43">
        <v>0.2</v>
      </c>
      <c r="G113" s="43">
        <v>0.2</v>
      </c>
      <c r="H113" s="43">
        <v>0.2</v>
      </c>
      <c r="I113" s="43">
        <v>0.2</v>
      </c>
      <c r="J113" s="37"/>
      <c r="K113" s="43"/>
      <c r="L113" s="43"/>
      <c r="M113" s="43"/>
      <c r="N113" s="43"/>
      <c r="O113" s="43"/>
      <c r="P113" s="43"/>
    </row>
    <row r="114" spans="1:16" x14ac:dyDescent="0.25">
      <c r="A114" s="40" t="s">
        <v>150</v>
      </c>
      <c r="B114" s="41">
        <v>0</v>
      </c>
      <c r="C114" s="41">
        <v>0</v>
      </c>
      <c r="D114" s="41">
        <v>0</v>
      </c>
      <c r="E114" s="41">
        <v>0</v>
      </c>
      <c r="F114" s="41">
        <v>0</v>
      </c>
      <c r="G114" s="41">
        <v>0</v>
      </c>
      <c r="H114" s="41">
        <v>0</v>
      </c>
      <c r="I114" s="41">
        <v>50</v>
      </c>
      <c r="J114" s="37"/>
      <c r="K114" s="41">
        <v>0</v>
      </c>
      <c r="L114" s="41">
        <v>0</v>
      </c>
      <c r="M114" s="41">
        <v>604</v>
      </c>
      <c r="N114" s="41">
        <v>3008</v>
      </c>
      <c r="O114" s="41">
        <v>4000</v>
      </c>
      <c r="P114" s="41">
        <v>4000</v>
      </c>
    </row>
    <row r="115" spans="1:16" x14ac:dyDescent="0.25">
      <c r="A115" s="49"/>
      <c r="J115" s="37"/>
    </row>
    <row r="116" spans="1:16" x14ac:dyDescent="0.25">
      <c r="A116" s="38" t="s">
        <v>151</v>
      </c>
      <c r="B116" s="39"/>
      <c r="C116" s="39"/>
      <c r="D116" s="39"/>
      <c r="E116" s="39"/>
      <c r="F116" s="39"/>
      <c r="G116" s="39"/>
      <c r="H116" s="39"/>
      <c r="I116" s="39"/>
      <c r="J116" s="37"/>
      <c r="K116" s="39"/>
      <c r="L116" s="39"/>
      <c r="M116" s="39"/>
      <c r="N116" s="39"/>
      <c r="O116" s="39"/>
      <c r="P116" s="39"/>
    </row>
    <row r="117" spans="1:16" x14ac:dyDescent="0.25">
      <c r="A117" s="40" t="s">
        <v>152</v>
      </c>
      <c r="B117" s="41"/>
      <c r="C117" s="41"/>
      <c r="D117" s="41"/>
      <c r="E117" s="41"/>
      <c r="F117" s="41">
        <v>2173</v>
      </c>
      <c r="G117" s="41">
        <v>-167</v>
      </c>
      <c r="H117" s="41">
        <v>-2774</v>
      </c>
      <c r="I117" s="41">
        <v>-888</v>
      </c>
      <c r="J117" s="37"/>
      <c r="K117" s="41">
        <v>-2637</v>
      </c>
      <c r="L117" s="41">
        <v>5936</v>
      </c>
      <c r="M117" s="41">
        <v>-486</v>
      </c>
      <c r="N117" s="41">
        <v>22602</v>
      </c>
      <c r="O117" s="41">
        <v>76342</v>
      </c>
      <c r="P117" s="41">
        <v>148442</v>
      </c>
    </row>
    <row r="118" spans="1:16" x14ac:dyDescent="0.25">
      <c r="A118" s="46" t="s">
        <v>153</v>
      </c>
      <c r="B118" s="15"/>
      <c r="C118" s="15"/>
      <c r="D118" s="15"/>
      <c r="E118" s="15"/>
      <c r="F118" s="15">
        <v>-504</v>
      </c>
      <c r="G118" s="15">
        <v>-591</v>
      </c>
      <c r="H118" s="15">
        <v>-689</v>
      </c>
      <c r="I118" s="15">
        <v>-817</v>
      </c>
      <c r="J118" s="37"/>
      <c r="K118" s="15">
        <v>-131</v>
      </c>
      <c r="L118" s="15">
        <v>-1577</v>
      </c>
      <c r="M118" s="15">
        <v>-3550</v>
      </c>
      <c r="N118" s="15">
        <v>-5937</v>
      </c>
      <c r="O118" s="15">
        <v>-9133</v>
      </c>
      <c r="P118" s="15">
        <v>-13152</v>
      </c>
    </row>
    <row r="119" spans="1:16" x14ac:dyDescent="0.25">
      <c r="A119" s="46" t="s">
        <v>154</v>
      </c>
      <c r="B119" s="15"/>
      <c r="C119" s="15"/>
      <c r="D119" s="15"/>
      <c r="E119" s="15"/>
      <c r="F119" s="15">
        <v>0</v>
      </c>
      <c r="G119" s="15">
        <v>0</v>
      </c>
      <c r="H119" s="15">
        <v>0</v>
      </c>
      <c r="I119" s="15">
        <v>-2000</v>
      </c>
      <c r="J119" s="37"/>
      <c r="K119" s="15">
        <v>0</v>
      </c>
      <c r="L119" s="15">
        <v>0</v>
      </c>
      <c r="M119" s="15">
        <v>-10000</v>
      </c>
      <c r="N119" s="15">
        <v>-10000</v>
      </c>
      <c r="O119" s="15">
        <v>0</v>
      </c>
      <c r="P119" s="15">
        <v>0</v>
      </c>
    </row>
    <row r="120" spans="1:16" x14ac:dyDescent="0.25">
      <c r="A120" s="47" t="s">
        <v>155</v>
      </c>
      <c r="B120" s="48"/>
      <c r="C120" s="48"/>
      <c r="D120" s="48"/>
      <c r="E120" s="48"/>
      <c r="F120" s="48">
        <v>1669</v>
      </c>
      <c r="G120" s="48">
        <v>-758</v>
      </c>
      <c r="H120" s="48">
        <v>-3463</v>
      </c>
      <c r="I120" s="48">
        <v>-3705</v>
      </c>
      <c r="J120" s="37"/>
      <c r="K120" s="48">
        <v>-2768</v>
      </c>
      <c r="L120" s="48">
        <v>4358</v>
      </c>
      <c r="M120" s="48">
        <v>-14036</v>
      </c>
      <c r="N120" s="48">
        <v>6665</v>
      </c>
      <c r="O120" s="48">
        <v>67208</v>
      </c>
      <c r="P120" s="48">
        <v>135290</v>
      </c>
    </row>
    <row r="121" spans="1:16" x14ac:dyDescent="0.25">
      <c r="A121" s="42" t="s">
        <v>71</v>
      </c>
      <c r="B121" s="43"/>
      <c r="C121" s="43"/>
      <c r="D121" s="43"/>
      <c r="E121" s="43"/>
      <c r="F121" s="43">
        <v>9.9000000000000005E-2</v>
      </c>
      <c r="G121" s="43">
        <v>-3.7999999999999999E-2</v>
      </c>
      <c r="H121" s="43">
        <v>-0.151</v>
      </c>
      <c r="I121" s="43">
        <v>-0.13600000000000001</v>
      </c>
      <c r="J121" s="37"/>
      <c r="K121" s="43">
        <v>-0.60399999999999998</v>
      </c>
      <c r="L121" s="43">
        <v>8.3000000000000004E-2</v>
      </c>
      <c r="M121" s="43">
        <v>-0.11899999999999999</v>
      </c>
      <c r="N121" s="43">
        <v>3.4000000000000002E-2</v>
      </c>
      <c r="O121" s="43">
        <v>0.221</v>
      </c>
      <c r="P121" s="43">
        <v>0.309</v>
      </c>
    </row>
    <row r="122" spans="1:16" x14ac:dyDescent="0.25">
      <c r="A122" s="46" t="s">
        <v>156</v>
      </c>
      <c r="B122" s="15"/>
      <c r="C122" s="15"/>
      <c r="D122" s="15"/>
      <c r="E122" s="15"/>
      <c r="F122" s="15">
        <v>-76</v>
      </c>
      <c r="G122" s="15">
        <v>-302</v>
      </c>
      <c r="H122" s="15">
        <v>-688</v>
      </c>
      <c r="I122" s="15">
        <v>-1436</v>
      </c>
      <c r="J122" s="37"/>
      <c r="K122" s="15">
        <v>0</v>
      </c>
      <c r="L122" s="15">
        <v>-378</v>
      </c>
      <c r="M122" s="15">
        <v>-8697</v>
      </c>
      <c r="N122" s="15">
        <v>-26029</v>
      </c>
      <c r="O122" s="15">
        <v>-32160</v>
      </c>
      <c r="P122" s="15">
        <v>-32160</v>
      </c>
    </row>
    <row r="123" spans="1:16" x14ac:dyDescent="0.25">
      <c r="A123" s="47" t="s">
        <v>157</v>
      </c>
      <c r="B123" s="48"/>
      <c r="C123" s="48"/>
      <c r="D123" s="48"/>
      <c r="E123" s="48"/>
      <c r="F123" s="48">
        <v>1593</v>
      </c>
      <c r="G123" s="48">
        <v>-1060</v>
      </c>
      <c r="H123" s="48">
        <v>-4151</v>
      </c>
      <c r="I123" s="48">
        <v>-5141</v>
      </c>
      <c r="J123" s="37"/>
      <c r="K123" s="48">
        <v>-2768</v>
      </c>
      <c r="L123" s="48">
        <v>3980</v>
      </c>
      <c r="M123" s="48">
        <v>-22733</v>
      </c>
      <c r="N123" s="48">
        <v>-19364</v>
      </c>
      <c r="O123" s="48">
        <v>35048</v>
      </c>
      <c r="P123" s="48">
        <v>103130</v>
      </c>
    </row>
    <row r="124" spans="1:16" x14ac:dyDescent="0.25">
      <c r="A124" s="47" t="s">
        <v>158</v>
      </c>
      <c r="B124" s="48"/>
      <c r="C124" s="48">
        <v>20277</v>
      </c>
      <c r="D124" s="48"/>
      <c r="E124" s="48">
        <v>131651</v>
      </c>
      <c r="F124" s="48">
        <v>133244</v>
      </c>
      <c r="G124" s="48">
        <v>192184</v>
      </c>
      <c r="H124" s="48">
        <v>188033</v>
      </c>
      <c r="I124" s="48">
        <v>182891</v>
      </c>
      <c r="J124" s="37"/>
      <c r="K124" s="48">
        <v>20277</v>
      </c>
      <c r="L124" s="48">
        <v>192184</v>
      </c>
      <c r="M124" s="48">
        <v>169451</v>
      </c>
      <c r="N124" s="48">
        <v>150087</v>
      </c>
      <c r="O124" s="48">
        <v>185135</v>
      </c>
      <c r="P124" s="48">
        <v>288265</v>
      </c>
    </row>
    <row r="125" spans="1:16" x14ac:dyDescent="0.25">
      <c r="A125" s="46" t="s">
        <v>159</v>
      </c>
      <c r="B125" s="15"/>
      <c r="C125" s="15">
        <v>0</v>
      </c>
      <c r="D125" s="15"/>
      <c r="E125" s="15">
        <v>0</v>
      </c>
      <c r="F125" s="15">
        <v>2924</v>
      </c>
      <c r="G125" s="15">
        <v>8622</v>
      </c>
      <c r="H125" s="15">
        <v>17834</v>
      </c>
      <c r="I125" s="15">
        <v>36198</v>
      </c>
      <c r="J125" s="37"/>
      <c r="K125" s="15">
        <v>0</v>
      </c>
      <c r="L125" s="15">
        <v>8622</v>
      </c>
      <c r="M125" s="15">
        <v>89700</v>
      </c>
      <c r="N125" s="15">
        <v>125696</v>
      </c>
      <c r="O125" s="15">
        <v>93536</v>
      </c>
      <c r="P125" s="15">
        <v>61376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showGridLines="0" workbookViewId="0"/>
  </sheetViews>
  <sheetFormatPr defaultRowHeight="15" x14ac:dyDescent="0.25"/>
  <cols>
    <col min="1" max="1" width="74" customWidth="1"/>
    <col min="2" max="7" width="12" customWidth="1"/>
  </cols>
  <sheetData>
    <row r="1" spans="1:7" x14ac:dyDescent="0.25">
      <c r="A1" s="58" t="s">
        <v>160</v>
      </c>
      <c r="B1" s="59"/>
      <c r="C1" s="59"/>
      <c r="D1" s="59"/>
      <c r="E1" s="59"/>
      <c r="F1" s="59"/>
      <c r="G1" s="59"/>
    </row>
    <row r="2" spans="1:7" ht="30" customHeight="1" x14ac:dyDescent="0.25">
      <c r="A2" s="33" t="s">
        <v>161</v>
      </c>
      <c r="B2" s="60" t="s">
        <v>58</v>
      </c>
      <c r="C2" s="60" t="s">
        <v>59</v>
      </c>
      <c r="D2" s="60" t="s">
        <v>60</v>
      </c>
      <c r="E2" s="60" t="s">
        <v>61</v>
      </c>
      <c r="F2" s="60" t="s">
        <v>62</v>
      </c>
      <c r="G2" s="60" t="s">
        <v>162</v>
      </c>
    </row>
    <row r="3" spans="1:7" x14ac:dyDescent="0.25">
      <c r="A3" s="61" t="s">
        <v>163</v>
      </c>
      <c r="B3" s="62">
        <v>33807</v>
      </c>
      <c r="C3" s="62">
        <v>98619</v>
      </c>
      <c r="D3" s="62">
        <v>152285</v>
      </c>
      <c r="E3" s="62">
        <v>181989</v>
      </c>
      <c r="F3" s="62">
        <v>212011</v>
      </c>
      <c r="G3" s="62">
        <v>678712</v>
      </c>
    </row>
    <row r="4" spans="1:7" x14ac:dyDescent="0.25">
      <c r="A4" s="63" t="s">
        <v>164</v>
      </c>
      <c r="B4" s="64">
        <v>8622</v>
      </c>
      <c r="C4" s="64">
        <v>81078</v>
      </c>
      <c r="D4" s="64">
        <v>35996</v>
      </c>
      <c r="E4" s="64">
        <v>-32160</v>
      </c>
      <c r="F4" s="64">
        <v>-32160</v>
      </c>
      <c r="G4" s="64">
        <v>61376</v>
      </c>
    </row>
    <row r="5" spans="1:7" x14ac:dyDescent="0.25">
      <c r="A5" s="63" t="s">
        <v>165</v>
      </c>
      <c r="B5" s="64">
        <v>0</v>
      </c>
      <c r="C5" s="64">
        <v>9396</v>
      </c>
      <c r="D5" s="64">
        <v>6992</v>
      </c>
      <c r="E5" s="64">
        <v>-4000</v>
      </c>
      <c r="F5" s="64">
        <v>-4000</v>
      </c>
      <c r="G5" s="64">
        <v>8387</v>
      </c>
    </row>
    <row r="6" spans="1:7" x14ac:dyDescent="0.25">
      <c r="A6" s="61" t="s">
        <v>166</v>
      </c>
      <c r="B6" s="62">
        <v>42429</v>
      </c>
      <c r="C6" s="62">
        <v>189093</v>
      </c>
      <c r="D6" s="62">
        <v>195274</v>
      </c>
      <c r="E6" s="62">
        <v>145829</v>
      </c>
      <c r="F6" s="62">
        <v>175851</v>
      </c>
      <c r="G6" s="62">
        <v>748475</v>
      </c>
    </row>
    <row r="7" spans="1:7" x14ac:dyDescent="0.25">
      <c r="A7" s="63" t="s">
        <v>167</v>
      </c>
      <c r="B7" s="64">
        <v>52</v>
      </c>
      <c r="C7" s="64">
        <v>2128</v>
      </c>
      <c r="D7" s="64">
        <v>6386</v>
      </c>
      <c r="E7" s="64">
        <v>8924</v>
      </c>
      <c r="F7" s="64">
        <v>6641</v>
      </c>
      <c r="G7" s="64">
        <v>24132</v>
      </c>
    </row>
    <row r="8" spans="1:7" x14ac:dyDescent="0.25">
      <c r="A8" s="63" t="s">
        <v>168</v>
      </c>
      <c r="B8" s="64">
        <v>42481</v>
      </c>
      <c r="C8" s="64">
        <v>191221</v>
      </c>
      <c r="D8" s="64">
        <v>201660</v>
      </c>
      <c r="E8" s="64">
        <v>154753</v>
      </c>
      <c r="F8" s="64">
        <v>182492</v>
      </c>
      <c r="G8" s="64">
        <v>772607</v>
      </c>
    </row>
    <row r="9" spans="1:7" x14ac:dyDescent="0.25">
      <c r="A9" s="63" t="s">
        <v>169</v>
      </c>
      <c r="B9" s="64">
        <v>950</v>
      </c>
      <c r="C9" s="64">
        <v>0</v>
      </c>
      <c r="D9" s="64">
        <v>4000</v>
      </c>
      <c r="E9" s="64">
        <v>14000</v>
      </c>
      <c r="F9" s="64">
        <v>74424</v>
      </c>
      <c r="G9" s="64">
        <v>93374</v>
      </c>
    </row>
    <row r="10" spans="1:7" x14ac:dyDescent="0.25">
      <c r="A10" s="63" t="s">
        <v>170</v>
      </c>
      <c r="B10" s="64"/>
      <c r="C10" s="64"/>
      <c r="D10" s="64"/>
      <c r="E10" s="64"/>
      <c r="F10" s="64"/>
      <c r="G10" s="64">
        <v>750000</v>
      </c>
    </row>
    <row r="11" spans="1:7" x14ac:dyDescent="0.25">
      <c r="A11" s="61" t="s">
        <v>171</v>
      </c>
      <c r="B11" s="62"/>
      <c r="C11" s="62"/>
      <c r="D11" s="62"/>
      <c r="E11" s="62"/>
      <c r="F11" s="62"/>
      <c r="G11" s="62">
        <v>-1525</v>
      </c>
    </row>
    <row r="13" spans="1:7" x14ac:dyDescent="0.25">
      <c r="A13" s="58" t="s">
        <v>172</v>
      </c>
      <c r="B13" s="59"/>
      <c r="C13" s="59"/>
      <c r="D13" s="59"/>
      <c r="E13" s="59"/>
    </row>
    <row r="14" spans="1:7" ht="30" customHeight="1" x14ac:dyDescent="0.25">
      <c r="A14" s="33" t="s">
        <v>161</v>
      </c>
      <c r="B14" s="60" t="s">
        <v>173</v>
      </c>
      <c r="C14" s="60" t="s">
        <v>174</v>
      </c>
      <c r="D14" s="60" t="s">
        <v>175</v>
      </c>
      <c r="E14" s="60" t="s">
        <v>176</v>
      </c>
    </row>
    <row r="15" spans="1:7" x14ac:dyDescent="0.25">
      <c r="A15" s="65" t="s">
        <v>111</v>
      </c>
      <c r="B15" s="64">
        <v>114500</v>
      </c>
      <c r="C15" s="64">
        <v>74170</v>
      </c>
      <c r="D15" s="64">
        <v>40330</v>
      </c>
      <c r="E15" s="66">
        <v>0.64800000000000002</v>
      </c>
    </row>
    <row r="16" spans="1:7" x14ac:dyDescent="0.25">
      <c r="A16" s="65" t="s">
        <v>112</v>
      </c>
      <c r="B16" s="64">
        <v>110000</v>
      </c>
      <c r="C16" s="64">
        <v>51337</v>
      </c>
      <c r="D16" s="64">
        <v>58663</v>
      </c>
      <c r="E16" s="66">
        <v>0.46700000000000003</v>
      </c>
    </row>
    <row r="17" spans="1:5" x14ac:dyDescent="0.25">
      <c r="A17" s="65" t="s">
        <v>113</v>
      </c>
      <c r="B17" s="64">
        <v>14900</v>
      </c>
      <c r="C17" s="64">
        <v>9431</v>
      </c>
      <c r="D17" s="64">
        <v>5469</v>
      </c>
      <c r="E17" s="66">
        <v>0.63300000000000001</v>
      </c>
    </row>
    <row r="18" spans="1:5" x14ac:dyDescent="0.25">
      <c r="A18" s="65" t="s">
        <v>114</v>
      </c>
      <c r="B18" s="64">
        <v>120500</v>
      </c>
      <c r="C18" s="64">
        <v>120500</v>
      </c>
      <c r="D18" s="64">
        <v>0</v>
      </c>
      <c r="E18" s="66">
        <v>1</v>
      </c>
    </row>
    <row r="19" spans="1:5" x14ac:dyDescent="0.25">
      <c r="A19" s="65" t="s">
        <v>115</v>
      </c>
      <c r="B19" s="64">
        <v>44600</v>
      </c>
      <c r="C19" s="64">
        <v>26945</v>
      </c>
      <c r="D19" s="64">
        <v>17655</v>
      </c>
      <c r="E19" s="66">
        <v>0.60399999999999998</v>
      </c>
    </row>
    <row r="20" spans="1:5" x14ac:dyDescent="0.25">
      <c r="A20" s="65" t="s">
        <v>116</v>
      </c>
      <c r="B20" s="64">
        <v>41300</v>
      </c>
      <c r="C20" s="64">
        <v>24951</v>
      </c>
      <c r="D20" s="64">
        <v>16349</v>
      </c>
      <c r="E20" s="66">
        <v>0.60399999999999998</v>
      </c>
    </row>
    <row r="21" spans="1:5" x14ac:dyDescent="0.25">
      <c r="A21" s="65" t="s">
        <v>177</v>
      </c>
      <c r="B21" s="64">
        <v>137500</v>
      </c>
      <c r="C21" s="64">
        <v>96250</v>
      </c>
      <c r="D21" s="64">
        <v>41250</v>
      </c>
      <c r="E21" s="66">
        <v>0.7</v>
      </c>
    </row>
    <row r="22" spans="1:5" x14ac:dyDescent="0.25">
      <c r="A22" s="67" t="s">
        <v>178</v>
      </c>
      <c r="B22" s="68">
        <v>583300</v>
      </c>
      <c r="C22" s="68">
        <v>403584</v>
      </c>
      <c r="D22" s="68">
        <v>179716</v>
      </c>
      <c r="E22" s="69">
        <v>0.69199999999999995</v>
      </c>
    </row>
    <row r="23" spans="1:5" x14ac:dyDescent="0.25">
      <c r="A23" s="67" t="s">
        <v>179</v>
      </c>
      <c r="B23" s="68">
        <v>54559</v>
      </c>
      <c r="C23" s="68">
        <v>42751</v>
      </c>
      <c r="D23" s="68">
        <v>11808</v>
      </c>
      <c r="E23" s="69">
        <v>0.78400000000000003</v>
      </c>
    </row>
    <row r="24" spans="1:5" x14ac:dyDescent="0.25">
      <c r="A24" s="67" t="s">
        <v>180</v>
      </c>
      <c r="B24" s="68">
        <v>161200</v>
      </c>
      <c r="C24" s="68">
        <v>99824</v>
      </c>
      <c r="D24" s="68">
        <v>61376</v>
      </c>
      <c r="E24" s="69">
        <v>0.61899999999999999</v>
      </c>
    </row>
    <row r="25" spans="1:5" x14ac:dyDescent="0.25">
      <c r="A25" s="67" t="s">
        <v>181</v>
      </c>
      <c r="B25" s="68">
        <v>20000</v>
      </c>
      <c r="C25" s="68">
        <v>11613</v>
      </c>
      <c r="D25" s="68">
        <v>8387</v>
      </c>
      <c r="E25" s="69">
        <v>0.58099999999999996</v>
      </c>
    </row>
    <row r="26" spans="1:5" x14ac:dyDescent="0.25">
      <c r="A26" s="61" t="s">
        <v>182</v>
      </c>
      <c r="B26" s="62">
        <v>819059</v>
      </c>
      <c r="C26" s="62">
        <v>557771</v>
      </c>
      <c r="D26" s="62">
        <v>261288</v>
      </c>
      <c r="E26" s="70">
        <v>0.68100000000000005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63"/>
  <sheetViews>
    <sheetView showGridLines="0" workbookViewId="0"/>
  </sheetViews>
  <sheetFormatPr defaultRowHeight="15" x14ac:dyDescent="0.25"/>
  <cols>
    <col min="1" max="1" width="70" customWidth="1"/>
    <col min="2" max="15" width="10" customWidth="1"/>
    <col min="17" max="17" width="8" customWidth="1"/>
    <col min="18" max="18" width="90" customWidth="1"/>
  </cols>
  <sheetData>
    <row r="1" spans="1:18" ht="15.75" x14ac:dyDescent="0.25">
      <c r="A1" s="71" t="s">
        <v>183</v>
      </c>
    </row>
    <row r="2" spans="1:18" x14ac:dyDescent="0.25">
      <c r="A2" s="7" t="s">
        <v>184</v>
      </c>
    </row>
    <row r="5" spans="1:18" x14ac:dyDescent="0.25">
      <c r="A5" s="33" t="s">
        <v>185</v>
      </c>
      <c r="B5" s="72" t="s">
        <v>49</v>
      </c>
      <c r="C5" s="72" t="s">
        <v>50</v>
      </c>
      <c r="D5" s="72" t="s">
        <v>51</v>
      </c>
      <c r="E5" s="72" t="s">
        <v>52</v>
      </c>
      <c r="F5" s="72" t="s">
        <v>53</v>
      </c>
      <c r="G5" s="72" t="s">
        <v>54</v>
      </c>
      <c r="H5" s="72" t="s">
        <v>55</v>
      </c>
      <c r="I5" s="72" t="s">
        <v>56</v>
      </c>
      <c r="J5" s="72" t="s">
        <v>57</v>
      </c>
      <c r="K5" s="72" t="s">
        <v>58</v>
      </c>
      <c r="L5" s="72" t="s">
        <v>59</v>
      </c>
      <c r="M5" s="72" t="s">
        <v>60</v>
      </c>
      <c r="N5" s="72" t="s">
        <v>61</v>
      </c>
      <c r="O5" s="72" t="s">
        <v>62</v>
      </c>
      <c r="Q5" s="33" t="s">
        <v>186</v>
      </c>
      <c r="R5" s="33" t="s">
        <v>187</v>
      </c>
    </row>
    <row r="6" spans="1:18" x14ac:dyDescent="0.25">
      <c r="A6" s="73" t="s">
        <v>188</v>
      </c>
      <c r="D6" s="74">
        <f>+'ANT Dashboard'!D10+'ANT Dashboard'!D11-'ANT Dashboard'!D8</f>
        <v>0</v>
      </c>
      <c r="E6" s="74">
        <f>+'ANT Dashboard'!E10+'ANT Dashboard'!E11-'ANT Dashboard'!E8</f>
        <v>0</v>
      </c>
      <c r="F6" s="74">
        <f>+'ANT Dashboard'!F10+'ANT Dashboard'!F11-'ANT Dashboard'!F8</f>
        <v>0</v>
      </c>
      <c r="G6" s="74">
        <f>+'ANT Dashboard'!G10+'ANT Dashboard'!G11-'ANT Dashboard'!G8</f>
        <v>0</v>
      </c>
      <c r="H6" s="74">
        <f>+'ANT Dashboard'!H10+'ANT Dashboard'!H11-'ANT Dashboard'!H8</f>
        <v>0</v>
      </c>
      <c r="I6" s="74">
        <f>+'ANT Dashboard'!I10+'ANT Dashboard'!I11-'ANT Dashboard'!I8</f>
        <v>0</v>
      </c>
      <c r="J6" s="74">
        <f>+'ANT Dashboard'!K10+'ANT Dashboard'!K11-'ANT Dashboard'!K8</f>
        <v>0</v>
      </c>
      <c r="K6" s="74">
        <f>+'ANT Dashboard'!L10+'ANT Dashboard'!L11-'ANT Dashboard'!L8</f>
        <v>0</v>
      </c>
      <c r="L6" s="74">
        <f>+'ANT Dashboard'!M10+'ANT Dashboard'!M11-'ANT Dashboard'!M8</f>
        <v>0</v>
      </c>
      <c r="M6" s="74">
        <f>+'ANT Dashboard'!N10+'ANT Dashboard'!N11-'ANT Dashboard'!N8</f>
        <v>0</v>
      </c>
      <c r="N6" s="74">
        <f>+'ANT Dashboard'!O10+'ANT Dashboard'!O11-'ANT Dashboard'!O8</f>
        <v>0</v>
      </c>
      <c r="O6" s="74">
        <f>+'ANT Dashboard'!P10+'ANT Dashboard'!P11-'ANT Dashboard'!P8</f>
        <v>0</v>
      </c>
      <c r="Q6" s="75" t="str">
        <f>IF(MAX(MAX(D6:O6),-MIN(D6:O6))&lt;=2,"OK","GAP")</f>
        <v>OK</v>
      </c>
      <c r="R6" s="29"/>
    </row>
    <row r="7" spans="1:18" x14ac:dyDescent="0.25">
      <c r="A7" s="73" t="s">
        <v>189</v>
      </c>
      <c r="C7" s="74">
        <f>+'ANT Dashboard'!C26+'ANT Dashboard'!C27-'ANT Dashboard'!C6</f>
        <v>0</v>
      </c>
      <c r="D7" s="74">
        <f>+'ANT Dashboard'!D26+'ANT Dashboard'!D27-'ANT Dashboard'!D6</f>
        <v>0</v>
      </c>
      <c r="E7" s="74">
        <f>+'ANT Dashboard'!E26+'ANT Dashboard'!E27-'ANT Dashboard'!E6</f>
        <v>-1</v>
      </c>
      <c r="F7" s="74">
        <f>+'ANT Dashboard'!F26+'ANT Dashboard'!F27-'ANT Dashboard'!F6</f>
        <v>0</v>
      </c>
      <c r="G7" s="74">
        <f>+'ANT Dashboard'!G26+'ANT Dashboard'!G27-'ANT Dashboard'!G6</f>
        <v>0</v>
      </c>
      <c r="H7" s="74">
        <f>+'ANT Dashboard'!H26+'ANT Dashboard'!H27-'ANT Dashboard'!H6</f>
        <v>0</v>
      </c>
      <c r="I7" s="74">
        <f>+'ANT Dashboard'!I26+'ANT Dashboard'!I27-'ANT Dashboard'!I6</f>
        <v>0</v>
      </c>
      <c r="J7" s="74">
        <f>+'ANT Dashboard'!K26+'ANT Dashboard'!K27-'ANT Dashboard'!K6</f>
        <v>0</v>
      </c>
      <c r="K7" s="74">
        <f>+'ANT Dashboard'!L26+'ANT Dashboard'!L27-'ANT Dashboard'!L6</f>
        <v>0</v>
      </c>
      <c r="L7" s="74">
        <f>+'ANT Dashboard'!M26+'ANT Dashboard'!M27-'ANT Dashboard'!M6</f>
        <v>0</v>
      </c>
      <c r="Q7" s="75" t="str">
        <f>IF(MAX(MAX(C7:L7),-MIN(C7:L7))&lt;=2,"OK","GAP")</f>
        <v>OK</v>
      </c>
      <c r="R7" s="29" t="s">
        <v>190</v>
      </c>
    </row>
    <row r="8" spans="1:18" x14ac:dyDescent="0.25">
      <c r="A8" s="73" t="s">
        <v>191</v>
      </c>
      <c r="B8" s="74">
        <f>+'ANT Dashboard'!B36+'ANT Dashboard'!B38-'ANT Dashboard'!B34</f>
        <v>0</v>
      </c>
      <c r="C8" s="74">
        <f>+'ANT Dashboard'!C36+'ANT Dashboard'!C38-'ANT Dashboard'!C34</f>
        <v>0</v>
      </c>
      <c r="D8" s="74">
        <f>+'ANT Dashboard'!D36+'ANT Dashboard'!D38-'ANT Dashboard'!D34</f>
        <v>0</v>
      </c>
      <c r="E8" s="74">
        <f>+'ANT Dashboard'!E36+'ANT Dashboard'!E38-'ANT Dashboard'!E34</f>
        <v>0</v>
      </c>
      <c r="F8" s="74">
        <f>+'ANT Dashboard'!F36+'ANT Dashboard'!F38-'ANT Dashboard'!F34</f>
        <v>0</v>
      </c>
      <c r="G8" s="74">
        <f>+'ANT Dashboard'!G36+'ANT Dashboard'!G38-'ANT Dashboard'!G34</f>
        <v>0</v>
      </c>
      <c r="H8" s="74">
        <f>+'ANT Dashboard'!H36+'ANT Dashboard'!H38-'ANT Dashboard'!H34</f>
        <v>0</v>
      </c>
      <c r="I8" s="74">
        <f>+'ANT Dashboard'!I36+'ANT Dashboard'!I38-'ANT Dashboard'!I34</f>
        <v>0</v>
      </c>
      <c r="J8" s="74">
        <f>+'ANT Dashboard'!K36+'ANT Dashboard'!K38-'ANT Dashboard'!K34</f>
        <v>0</v>
      </c>
      <c r="K8" s="74">
        <f>+'ANT Dashboard'!L36+'ANT Dashboard'!L38-'ANT Dashboard'!L34</f>
        <v>0</v>
      </c>
      <c r="L8" s="74">
        <f>+'ANT Dashboard'!M36+'ANT Dashboard'!M38-'ANT Dashboard'!M34</f>
        <v>0</v>
      </c>
      <c r="M8" s="74">
        <f>+'ANT Dashboard'!N36+'ANT Dashboard'!N38-'ANT Dashboard'!N34</f>
        <v>1</v>
      </c>
      <c r="N8" s="74">
        <f>+'ANT Dashboard'!O36+'ANT Dashboard'!O38-'ANT Dashboard'!O34</f>
        <v>0</v>
      </c>
      <c r="O8" s="74">
        <f>+'ANT Dashboard'!P36+'ANT Dashboard'!P38-'ANT Dashboard'!P34</f>
        <v>0</v>
      </c>
      <c r="Q8" s="75" t="str">
        <f t="shared" ref="Q8:Q14" si="0">IF(MAX(MAX(B8:O8),-MIN(B8:O8))&lt;=2,"OK","GAP")</f>
        <v>OK</v>
      </c>
      <c r="R8" s="29"/>
    </row>
    <row r="9" spans="1:18" x14ac:dyDescent="0.25">
      <c r="A9" s="73" t="s">
        <v>192</v>
      </c>
      <c r="B9" s="74">
        <f>+'ANT Dashboard'!B42+'ANT Dashboard'!B43-'ANT Dashboard'!B41</f>
        <v>0</v>
      </c>
      <c r="C9" s="74">
        <f>+'ANT Dashboard'!C42+'ANT Dashboard'!C43-'ANT Dashboard'!C41</f>
        <v>0</v>
      </c>
      <c r="D9" s="74">
        <f>+'ANT Dashboard'!D42+'ANT Dashboard'!D43-'ANT Dashboard'!D41</f>
        <v>0</v>
      </c>
      <c r="E9" s="74">
        <f>+'ANT Dashboard'!E42+'ANT Dashboard'!E43-'ANT Dashboard'!E41</f>
        <v>0</v>
      </c>
      <c r="F9" s="74">
        <f>+'ANT Dashboard'!F42+'ANT Dashboard'!F43-'ANT Dashboard'!F41</f>
        <v>0</v>
      </c>
      <c r="G9" s="74">
        <f>+'ANT Dashboard'!G42+'ANT Dashboard'!G43-'ANT Dashboard'!G41</f>
        <v>0</v>
      </c>
      <c r="H9" s="74">
        <f>+'ANT Dashboard'!H42+'ANT Dashboard'!H43-'ANT Dashboard'!H41</f>
        <v>0</v>
      </c>
      <c r="I9" s="74">
        <f>+'ANT Dashboard'!I42+'ANT Dashboard'!I43-'ANT Dashboard'!I41</f>
        <v>0</v>
      </c>
      <c r="J9" s="74">
        <f>+'ANT Dashboard'!K42+'ANT Dashboard'!K43-'ANT Dashboard'!K41</f>
        <v>0</v>
      </c>
      <c r="K9" s="74">
        <f>+'ANT Dashboard'!L42+'ANT Dashboard'!L43-'ANT Dashboard'!L41</f>
        <v>0</v>
      </c>
      <c r="L9" s="74">
        <f>+'ANT Dashboard'!M42+'ANT Dashboard'!M43-'ANT Dashboard'!M41</f>
        <v>0</v>
      </c>
      <c r="M9" s="74">
        <f>+'ANT Dashboard'!N42+'ANT Dashboard'!N43-'ANT Dashboard'!N41</f>
        <v>0</v>
      </c>
      <c r="N9" s="74">
        <f>+'ANT Dashboard'!O42+'ANT Dashboard'!O43-'ANT Dashboard'!O41</f>
        <v>0</v>
      </c>
      <c r="O9" s="74">
        <f>+'ANT Dashboard'!P42+'ANT Dashboard'!P43-'ANT Dashboard'!P41</f>
        <v>0</v>
      </c>
      <c r="Q9" s="75" t="str">
        <f t="shared" si="0"/>
        <v>OK</v>
      </c>
      <c r="R9" s="29"/>
    </row>
    <row r="10" spans="1:18" x14ac:dyDescent="0.25">
      <c r="A10" s="73" t="s">
        <v>193</v>
      </c>
      <c r="B10" s="74">
        <f>+'ANT Dashboard'!B48+'ANT Dashboard'!B52-'ANT Dashboard'!B46</f>
        <v>0</v>
      </c>
      <c r="C10" s="74">
        <f>+'ANT Dashboard'!C48+'ANT Dashboard'!C52-'ANT Dashboard'!C46</f>
        <v>0</v>
      </c>
      <c r="D10" s="74">
        <f>+'ANT Dashboard'!D48+'ANT Dashboard'!D52-'ANT Dashboard'!D46</f>
        <v>0</v>
      </c>
      <c r="E10" s="74">
        <f>+'ANT Dashboard'!E48+'ANT Dashboard'!E52-'ANT Dashboard'!E46</f>
        <v>0</v>
      </c>
      <c r="F10" s="74">
        <f>+'ANT Dashboard'!F48+'ANT Dashboard'!F52-'ANT Dashboard'!F46</f>
        <v>0</v>
      </c>
      <c r="G10" s="74">
        <f>+'ANT Dashboard'!G48+'ANT Dashboard'!G52-'ANT Dashboard'!G46</f>
        <v>0</v>
      </c>
      <c r="H10" s="74">
        <f>+'ANT Dashboard'!H48+'ANT Dashboard'!H52-'ANT Dashboard'!H46</f>
        <v>0</v>
      </c>
      <c r="I10" s="74">
        <f>+'ANT Dashboard'!I48+'ANT Dashboard'!I52-'ANT Dashboard'!I46</f>
        <v>1</v>
      </c>
      <c r="J10" s="74">
        <f>+'ANT Dashboard'!K48+'ANT Dashboard'!K52-'ANT Dashboard'!K46</f>
        <v>0</v>
      </c>
      <c r="K10" s="74">
        <f>+'ANT Dashboard'!L48+'ANT Dashboard'!L52-'ANT Dashboard'!L46</f>
        <v>0</v>
      </c>
      <c r="L10" s="74">
        <f>+'ANT Dashboard'!M48+'ANT Dashboard'!M52-'ANT Dashboard'!M46</f>
        <v>0</v>
      </c>
      <c r="M10" s="74">
        <f>+'ANT Dashboard'!N48+'ANT Dashboard'!N52-'ANT Dashboard'!N46</f>
        <v>0</v>
      </c>
      <c r="N10" s="74">
        <f>+'ANT Dashboard'!O48+'ANT Dashboard'!O52-'ANT Dashboard'!O46</f>
        <v>0</v>
      </c>
      <c r="O10" s="74">
        <f>+'ANT Dashboard'!P48+'ANT Dashboard'!P52-'ANT Dashboard'!P46</f>
        <v>0</v>
      </c>
      <c r="Q10" s="75" t="str">
        <f t="shared" si="0"/>
        <v>OK</v>
      </c>
      <c r="R10" s="29"/>
    </row>
    <row r="11" spans="1:18" x14ac:dyDescent="0.25">
      <c r="A11" s="73" t="s">
        <v>194</v>
      </c>
      <c r="B11" s="74">
        <f>+'ANT Dashboard'!B34+'ANT Dashboard'!B46+'ANT Dashboard'!B54+'ANT Dashboard'!B56-'ANT Dashboard'!B59</f>
        <v>-1500</v>
      </c>
      <c r="C11" s="74">
        <f>+'ANT Dashboard'!C34+'ANT Dashboard'!C46+'ANT Dashboard'!C54+'ANT Dashboard'!C56-'ANT Dashboard'!C59</f>
        <v>0</v>
      </c>
      <c r="D11" s="74">
        <f>+'ANT Dashboard'!D34+'ANT Dashboard'!D46+'ANT Dashboard'!D54+'ANT Dashboard'!D56-'ANT Dashboard'!D59</f>
        <v>0</v>
      </c>
      <c r="E11" s="74">
        <f>+'ANT Dashboard'!E34+'ANT Dashboard'!E46+'ANT Dashboard'!E54+'ANT Dashboard'!E56-'ANT Dashboard'!E59</f>
        <v>0</v>
      </c>
      <c r="F11" s="74">
        <f>+'ANT Dashboard'!F34+'ANT Dashboard'!F46+'ANT Dashboard'!F54+'ANT Dashboard'!F56-'ANT Dashboard'!F59</f>
        <v>0</v>
      </c>
      <c r="G11" s="74">
        <f>+'ANT Dashboard'!G34+'ANT Dashboard'!G46+'ANT Dashboard'!G54+'ANT Dashboard'!G56-'ANT Dashboard'!G59</f>
        <v>0</v>
      </c>
      <c r="H11" s="74">
        <f>+'ANT Dashboard'!H34+'ANT Dashboard'!H46+'ANT Dashboard'!H54+'ANT Dashboard'!H56-'ANT Dashboard'!H59</f>
        <v>1</v>
      </c>
      <c r="I11" s="74">
        <f>+'ANT Dashboard'!I34+'ANT Dashboard'!I46+'ANT Dashboard'!I54+'ANT Dashboard'!I56-'ANT Dashboard'!I59</f>
        <v>1</v>
      </c>
      <c r="J11" s="74">
        <f>+'ANT Dashboard'!K34+'ANT Dashboard'!K46+'ANT Dashboard'!K54+'ANT Dashboard'!K56-'ANT Dashboard'!K59</f>
        <v>-1500</v>
      </c>
      <c r="K11" s="74">
        <f>+'ANT Dashboard'!L34+'ANT Dashboard'!L46+'ANT Dashboard'!L54+'ANT Dashboard'!L56-'ANT Dashboard'!L59</f>
        <v>-1</v>
      </c>
      <c r="L11" s="74">
        <f>+'ANT Dashboard'!M34+'ANT Dashboard'!M46+'ANT Dashboard'!M54+'ANT Dashboard'!M56-'ANT Dashboard'!M59</f>
        <v>0</v>
      </c>
      <c r="M11" s="74">
        <f>+'ANT Dashboard'!N34+'ANT Dashboard'!N46+'ANT Dashboard'!N54+'ANT Dashboard'!N56-'ANT Dashboard'!N59</f>
        <v>-1</v>
      </c>
      <c r="N11" s="74">
        <f>+'ANT Dashboard'!O34+'ANT Dashboard'!O46+'ANT Dashboard'!O54+'ANT Dashboard'!O56-'ANT Dashboard'!O59</f>
        <v>0</v>
      </c>
      <c r="O11" s="74">
        <f>+'ANT Dashboard'!P34+'ANT Dashboard'!P46+'ANT Dashboard'!P54+'ANT Dashboard'!P56-'ANT Dashboard'!P59</f>
        <v>-1</v>
      </c>
      <c r="Q11" s="75" t="str">
        <f t="shared" si="0"/>
        <v>GAP</v>
      </c>
      <c r="R11" s="29" t="s">
        <v>195</v>
      </c>
    </row>
    <row r="12" spans="1:18" x14ac:dyDescent="0.25">
      <c r="A12" s="73" t="s">
        <v>196</v>
      </c>
      <c r="B12" s="74">
        <f>'ANT Dashboard'!B8-'ANT Dashboard'!B59-'ANT Dashboard'!B16</f>
        <v>0</v>
      </c>
      <c r="C12" s="74">
        <f>'ANT Dashboard'!C8-'ANT Dashboard'!C59-'ANT Dashboard'!C16</f>
        <v>0</v>
      </c>
      <c r="D12" s="74">
        <f>'ANT Dashboard'!D8-'ANT Dashboard'!D59-'ANT Dashboard'!D16</f>
        <v>0</v>
      </c>
      <c r="E12" s="74">
        <f>'ANT Dashboard'!E8-'ANT Dashboard'!E59-'ANT Dashboard'!E16</f>
        <v>0</v>
      </c>
      <c r="F12" s="74">
        <f>'ANT Dashboard'!F8-'ANT Dashboard'!F59-'ANT Dashboard'!F16</f>
        <v>0</v>
      </c>
      <c r="G12" s="74">
        <f>'ANT Dashboard'!G8-'ANT Dashboard'!G59-'ANT Dashboard'!G16</f>
        <v>0</v>
      </c>
      <c r="H12" s="74">
        <f>'ANT Dashboard'!H8-'ANT Dashboard'!H59-'ANT Dashboard'!H16</f>
        <v>0</v>
      </c>
      <c r="I12" s="74">
        <f>'ANT Dashboard'!I8-'ANT Dashboard'!I59-'ANT Dashboard'!I16</f>
        <v>1</v>
      </c>
      <c r="J12" s="74">
        <f>'ANT Dashboard'!K8-'ANT Dashboard'!K59-'ANT Dashboard'!K16</f>
        <v>0</v>
      </c>
      <c r="K12" s="74">
        <f>'ANT Dashboard'!L8-'ANT Dashboard'!L59-'ANT Dashboard'!L16</f>
        <v>0</v>
      </c>
      <c r="L12" s="74">
        <f>'ANT Dashboard'!M8-'ANT Dashboard'!M59-'ANT Dashboard'!M16</f>
        <v>0</v>
      </c>
      <c r="M12" s="74">
        <f>'ANT Dashboard'!N8-'ANT Dashboard'!N59-'ANT Dashboard'!N16</f>
        <v>0</v>
      </c>
      <c r="N12" s="74">
        <f>'ANT Dashboard'!O8-'ANT Dashboard'!O59-'ANT Dashboard'!O16</f>
        <v>0</v>
      </c>
      <c r="O12" s="74">
        <f>'ANT Dashboard'!P8-'ANT Dashboard'!P59-'ANT Dashboard'!P16</f>
        <v>0</v>
      </c>
      <c r="Q12" s="75" t="str">
        <f t="shared" si="0"/>
        <v>OK</v>
      </c>
      <c r="R12" s="29"/>
    </row>
    <row r="13" spans="1:18" x14ac:dyDescent="0.25">
      <c r="A13" s="73" t="s">
        <v>197</v>
      </c>
      <c r="B13" s="74">
        <f>+'ANT Dashboard'!B16+'ANT Dashboard'!B52+'ANT Dashboard'!B58-'ANT Dashboard'!B14</f>
        <v>-1500</v>
      </c>
      <c r="C13" s="74">
        <f>+'ANT Dashboard'!C16+'ANT Dashboard'!C52+'ANT Dashboard'!C58-'ANT Dashboard'!C14</f>
        <v>0</v>
      </c>
      <c r="D13" s="74">
        <f>+'ANT Dashboard'!D16+'ANT Dashboard'!D52+'ANT Dashboard'!D58-'ANT Dashboard'!D14</f>
        <v>0</v>
      </c>
      <c r="E13" s="74">
        <f>+'ANT Dashboard'!E16+'ANT Dashboard'!E52+'ANT Dashboard'!E58-'ANT Dashboard'!E14</f>
        <v>0</v>
      </c>
      <c r="F13" s="74">
        <f>+'ANT Dashboard'!F16+'ANT Dashboard'!F52+'ANT Dashboard'!F58-'ANT Dashboard'!F14</f>
        <v>0</v>
      </c>
      <c r="G13" s="74">
        <f>+'ANT Dashboard'!G16+'ANT Dashboard'!G52+'ANT Dashboard'!G58-'ANT Dashboard'!G14</f>
        <v>0</v>
      </c>
      <c r="H13" s="74">
        <f>+'ANT Dashboard'!H16+'ANT Dashboard'!H52+'ANT Dashboard'!H58-'ANT Dashboard'!H14</f>
        <v>1</v>
      </c>
      <c r="I13" s="74">
        <f>+'ANT Dashboard'!I16+'ANT Dashboard'!I52+'ANT Dashboard'!I58-'ANT Dashboard'!I14</f>
        <v>0</v>
      </c>
      <c r="J13" s="74">
        <f>+'ANT Dashboard'!K16+'ANT Dashboard'!K52+'ANT Dashboard'!K58-'ANT Dashboard'!K14</f>
        <v>-1500</v>
      </c>
      <c r="K13" s="74">
        <f>+'ANT Dashboard'!L16+'ANT Dashboard'!L52+'ANT Dashboard'!L58-'ANT Dashboard'!L14</f>
        <v>0</v>
      </c>
      <c r="L13" s="74">
        <f>+'ANT Dashboard'!M16+'ANT Dashboard'!M52+'ANT Dashboard'!M58-'ANT Dashboard'!M14</f>
        <v>0</v>
      </c>
      <c r="M13" s="74">
        <f>+'ANT Dashboard'!N16+'ANT Dashboard'!N52+'ANT Dashboard'!N58-'ANT Dashboard'!N14</f>
        <v>0</v>
      </c>
      <c r="N13" s="74">
        <f>+'ANT Dashboard'!O16+'ANT Dashboard'!O52+'ANT Dashboard'!O58-'ANT Dashboard'!O14</f>
        <v>0</v>
      </c>
      <c r="O13" s="74">
        <f>+'ANT Dashboard'!P16+'ANT Dashboard'!P52+'ANT Dashboard'!P58-'ANT Dashboard'!P14</f>
        <v>-1</v>
      </c>
      <c r="Q13" s="75" t="str">
        <f t="shared" si="0"/>
        <v>GAP</v>
      </c>
      <c r="R13" s="29" t="s">
        <v>198</v>
      </c>
    </row>
    <row r="14" spans="1:18" x14ac:dyDescent="0.25">
      <c r="A14" s="73" t="s">
        <v>199</v>
      </c>
      <c r="B14" s="74">
        <f>+'ANT Dashboard'!B67+'ANT Dashboard'!B68+'ANT Dashboard'!B69+'ANT Dashboard'!B70+'ANT Dashboard'!B71+'ANT Dashboard'!B72+'ANT Dashboard'!B73-'ANT Dashboard'!B66</f>
        <v>0</v>
      </c>
      <c r="C14" s="74">
        <f>+'ANT Dashboard'!C67+'ANT Dashboard'!C68+'ANT Dashboard'!C69+'ANT Dashboard'!C70+'ANT Dashboard'!C71+'ANT Dashboard'!C72+'ANT Dashboard'!C73-'ANT Dashboard'!C66</f>
        <v>0</v>
      </c>
      <c r="D14" s="74">
        <f>+'ANT Dashboard'!D67+'ANT Dashboard'!D68+'ANT Dashboard'!D69+'ANT Dashboard'!D70+'ANT Dashboard'!D71+'ANT Dashboard'!D72+'ANT Dashboard'!D73-'ANT Dashboard'!D66</f>
        <v>0</v>
      </c>
      <c r="E14" s="74">
        <f>+'ANT Dashboard'!E67+'ANT Dashboard'!E68+'ANT Dashboard'!E69+'ANT Dashboard'!E70+'ANT Dashboard'!E71+'ANT Dashboard'!E72+'ANT Dashboard'!E73-'ANT Dashboard'!E66</f>
        <v>0</v>
      </c>
      <c r="F14" s="74">
        <f>+'ANT Dashboard'!F67+'ANT Dashboard'!F68+'ANT Dashboard'!F69+'ANT Dashboard'!F70+'ANT Dashboard'!F71+'ANT Dashboard'!F72+'ANT Dashboard'!F73-'ANT Dashboard'!F66</f>
        <v>0</v>
      </c>
      <c r="G14" s="74">
        <f>+'ANT Dashboard'!G67+'ANT Dashboard'!G68+'ANT Dashboard'!G69+'ANT Dashboard'!G70+'ANT Dashboard'!G71+'ANT Dashboard'!G72+'ANT Dashboard'!G73-'ANT Dashboard'!G66</f>
        <v>0</v>
      </c>
      <c r="H14" s="74">
        <f>+'ANT Dashboard'!H67+'ANT Dashboard'!H68+'ANT Dashboard'!H69+'ANT Dashboard'!H70+'ANT Dashboard'!H71+'ANT Dashboard'!H72+'ANT Dashboard'!H73-'ANT Dashboard'!H66</f>
        <v>0</v>
      </c>
      <c r="I14" s="74">
        <f>+'ANT Dashboard'!I67+'ANT Dashboard'!I68+'ANT Dashboard'!I69+'ANT Dashboard'!I70+'ANT Dashboard'!I71+'ANT Dashboard'!I72+'ANT Dashboard'!I73-'ANT Dashboard'!I66</f>
        <v>0</v>
      </c>
      <c r="J14" s="74">
        <f>+'ANT Dashboard'!K67+'ANT Dashboard'!K68+'ANT Dashboard'!K69+'ANT Dashboard'!K70+'ANT Dashboard'!K71+'ANT Dashboard'!K72+'ANT Dashboard'!K73-'ANT Dashboard'!K66</f>
        <v>0</v>
      </c>
      <c r="K14" s="74">
        <f>+'ANT Dashboard'!L67+'ANT Dashboard'!L68+'ANT Dashboard'!L69+'ANT Dashboard'!L70+'ANT Dashboard'!L71+'ANT Dashboard'!L72+'ANT Dashboard'!L73-'ANT Dashboard'!L66</f>
        <v>0</v>
      </c>
      <c r="L14" s="74">
        <f>+'ANT Dashboard'!M67+'ANT Dashboard'!M68+'ANT Dashboard'!M69+'ANT Dashboard'!M70+'ANT Dashboard'!M71+'ANT Dashboard'!M72+'ANT Dashboard'!M73-'ANT Dashboard'!M66</f>
        <v>0</v>
      </c>
      <c r="M14" s="74">
        <f>+'ANT Dashboard'!N67+'ANT Dashboard'!N68+'ANT Dashboard'!N69+'ANT Dashboard'!N70+'ANT Dashboard'!N71+'ANT Dashboard'!N72+'ANT Dashboard'!N73-'ANT Dashboard'!N66</f>
        <v>0</v>
      </c>
      <c r="N14" s="74">
        <f>+'ANT Dashboard'!O67+'ANT Dashboard'!O68+'ANT Dashboard'!O69+'ANT Dashboard'!O70+'ANT Dashboard'!O71+'ANT Dashboard'!O72+'ANT Dashboard'!O73-'ANT Dashboard'!O66</f>
        <v>0</v>
      </c>
      <c r="O14" s="74">
        <f>+'ANT Dashboard'!P67+'ANT Dashboard'!P68+'ANT Dashboard'!P69+'ANT Dashboard'!P70+'ANT Dashboard'!P71+'ANT Dashboard'!P72+'ANT Dashboard'!P73-'ANT Dashboard'!P66</f>
        <v>0</v>
      </c>
      <c r="Q14" s="75" t="str">
        <f t="shared" si="0"/>
        <v>OK</v>
      </c>
      <c r="R14" s="29"/>
    </row>
    <row r="15" spans="1:18" x14ac:dyDescent="0.25">
      <c r="A15" s="73" t="s">
        <v>200</v>
      </c>
      <c r="F15" s="74">
        <f>+'ANT Dashboard'!F66+'ANT Dashboard'!F74+'ANT Dashboard'!F75+'ANT Dashboard'!F76+'ANT Dashboard'!F77+'ANT Dashboard'!F78+'ANT Dashboard'!F79-'ANT Dashboard'!F65</f>
        <v>0</v>
      </c>
      <c r="G15" s="74">
        <f>+'ANT Dashboard'!G66+'ANT Dashboard'!G74+'ANT Dashboard'!G75+'ANT Dashboard'!G76+'ANT Dashboard'!G77+'ANT Dashboard'!G78+'ANT Dashboard'!G79-'ANT Dashboard'!G65</f>
        <v>-1</v>
      </c>
      <c r="H15" s="74">
        <f>+'ANT Dashboard'!H66+'ANT Dashboard'!H74+'ANT Dashboard'!H75+'ANT Dashboard'!H76+'ANT Dashboard'!H77+'ANT Dashboard'!H78+'ANT Dashboard'!H79-'ANT Dashboard'!H65</f>
        <v>0</v>
      </c>
      <c r="I15" s="74">
        <f>+'ANT Dashboard'!I66+'ANT Dashboard'!I74+'ANT Dashboard'!I75+'ANT Dashboard'!I76+'ANT Dashboard'!I77+'ANT Dashboard'!I78+'ANT Dashboard'!I79-'ANT Dashboard'!I65</f>
        <v>-1</v>
      </c>
      <c r="L15" s="74">
        <f>+'ANT Dashboard'!M66+'ANT Dashboard'!M74+'ANT Dashboard'!M75+'ANT Dashboard'!M76+'ANT Dashboard'!M77+'ANT Dashboard'!M78+'ANT Dashboard'!M79-'ANT Dashboard'!M65</f>
        <v>0</v>
      </c>
      <c r="M15" s="74">
        <f>+'ANT Dashboard'!N66+'ANT Dashboard'!N74+'ANT Dashboard'!N75+'ANT Dashboard'!N76+'ANT Dashboard'!N77+'ANT Dashboard'!N78+'ANT Dashboard'!N79-'ANT Dashboard'!N65</f>
        <v>1</v>
      </c>
      <c r="N15" s="74">
        <f>+'ANT Dashboard'!O66+'ANT Dashboard'!O74+'ANT Dashboard'!O75+'ANT Dashboard'!O76+'ANT Dashboard'!O77+'ANT Dashboard'!O78+'ANT Dashboard'!O79-'ANT Dashboard'!O65</f>
        <v>0</v>
      </c>
      <c r="O15" s="74">
        <f>+'ANT Dashboard'!P66+'ANT Dashboard'!P74+'ANT Dashboard'!P75+'ANT Dashboard'!P76+'ANT Dashboard'!P77+'ANT Dashboard'!P78+'ANT Dashboard'!P79-'ANT Dashboard'!P65</f>
        <v>0</v>
      </c>
      <c r="Q15" s="75" t="str">
        <f>IF(MAX(MAX(F15:O15),-MIN(F15:O15))&lt;=2,"OK","GAP")</f>
        <v>OK</v>
      </c>
      <c r="R15" s="29" t="s">
        <v>201</v>
      </c>
    </row>
    <row r="16" spans="1:18" x14ac:dyDescent="0.25">
      <c r="A16" s="73" t="s">
        <v>202</v>
      </c>
      <c r="F16" s="74">
        <f>+'ANT Dashboard'!F65+'ANT Dashboard'!F80-'ANT Dashboard'!F81</f>
        <v>0</v>
      </c>
      <c r="G16" s="74">
        <f>+'ANT Dashboard'!G65+'ANT Dashboard'!G80-'ANT Dashboard'!G81</f>
        <v>0</v>
      </c>
      <c r="H16" s="74">
        <f>+'ANT Dashboard'!H65+'ANT Dashboard'!H80-'ANT Dashboard'!H81</f>
        <v>0</v>
      </c>
      <c r="I16" s="74">
        <f>+'ANT Dashboard'!I65+'ANT Dashboard'!I80-'ANT Dashboard'!I81</f>
        <v>0</v>
      </c>
      <c r="L16" s="74">
        <f>+'ANT Dashboard'!M65+'ANT Dashboard'!M80-'ANT Dashboard'!M81</f>
        <v>0</v>
      </c>
      <c r="M16" s="74">
        <f>+'ANT Dashboard'!N65+'ANT Dashboard'!N80-'ANT Dashboard'!N81</f>
        <v>0</v>
      </c>
      <c r="N16" s="74">
        <f>+'ANT Dashboard'!O65+'ANT Dashboard'!O80-'ANT Dashboard'!O81</f>
        <v>0</v>
      </c>
      <c r="O16" s="74">
        <f>+'ANT Dashboard'!P65+'ANT Dashboard'!P80-'ANT Dashboard'!P81</f>
        <v>1</v>
      </c>
      <c r="Q16" s="75" t="str">
        <f>IF(MAX(MAX(F16:O16),-MIN(F16:O16))&lt;=2,"OK","GAP")</f>
        <v>OK</v>
      </c>
      <c r="R16" s="29" t="s">
        <v>203</v>
      </c>
    </row>
    <row r="17" spans="1:18" x14ac:dyDescent="0.25">
      <c r="A17" s="73" t="s">
        <v>204</v>
      </c>
      <c r="B17" s="74">
        <f>+'ANT Dashboard'!B95-'ANT Dashboard'!B75</f>
        <v>0</v>
      </c>
      <c r="C17" s="74">
        <f>+'ANT Dashboard'!C95-'ANT Dashboard'!C75</f>
        <v>0</v>
      </c>
      <c r="D17" s="74">
        <f>+'ANT Dashboard'!D95-'ANT Dashboard'!D75</f>
        <v>0</v>
      </c>
      <c r="E17" s="74">
        <f>+'ANT Dashboard'!E95-'ANT Dashboard'!E75</f>
        <v>0</v>
      </c>
      <c r="F17" s="74">
        <f>+'ANT Dashboard'!F95-'ANT Dashboard'!F75</f>
        <v>0</v>
      </c>
      <c r="G17" s="74">
        <f>+'ANT Dashboard'!G95-'ANT Dashboard'!G75</f>
        <v>0</v>
      </c>
      <c r="H17" s="74">
        <f>+'ANT Dashboard'!H95-'ANT Dashboard'!H75</f>
        <v>0</v>
      </c>
      <c r="I17" s="74">
        <f>+'ANT Dashboard'!I95-'ANT Dashboard'!I75</f>
        <v>0</v>
      </c>
      <c r="J17" s="74">
        <f>+'ANT Dashboard'!K95-'ANT Dashboard'!K75</f>
        <v>0</v>
      </c>
      <c r="K17" s="74">
        <f>+'ANT Dashboard'!L95-'ANT Dashboard'!L75</f>
        <v>0</v>
      </c>
      <c r="L17" s="74">
        <f>+'ANT Dashboard'!M95-'ANT Dashboard'!M75</f>
        <v>0</v>
      </c>
      <c r="M17" s="74">
        <f>+'ANT Dashboard'!N95-'ANT Dashboard'!N75</f>
        <v>0</v>
      </c>
      <c r="N17" s="74">
        <f>+'ANT Dashboard'!O95-'ANT Dashboard'!O75</f>
        <v>0</v>
      </c>
      <c r="O17" s="74">
        <f>+'ANT Dashboard'!P95-'ANT Dashboard'!P75</f>
        <v>0</v>
      </c>
      <c r="Q17" s="75" t="str">
        <f>IF(MAX(MAX(B17:O17),-MIN(B17:O17))&lt;=2,"OK","GAP")</f>
        <v>OK</v>
      </c>
      <c r="R17" s="29"/>
    </row>
    <row r="18" spans="1:18" x14ac:dyDescent="0.25">
      <c r="A18" s="73" t="s">
        <v>205</v>
      </c>
      <c r="B18" s="74">
        <f>+'ANT Dashboard'!B109-'ANT Dashboard'!B76</f>
        <v>0</v>
      </c>
      <c r="C18" s="74">
        <f>+'ANT Dashboard'!C109-'ANT Dashboard'!C76</f>
        <v>0</v>
      </c>
      <c r="D18" s="74">
        <f>+'ANT Dashboard'!D109-'ANT Dashboard'!D76</f>
        <v>0</v>
      </c>
      <c r="E18" s="74">
        <f>+'ANT Dashboard'!E109-'ANT Dashboard'!E76</f>
        <v>0</v>
      </c>
      <c r="F18" s="74">
        <f>+'ANT Dashboard'!F109-'ANT Dashboard'!F76</f>
        <v>0</v>
      </c>
      <c r="G18" s="74">
        <f>+'ANT Dashboard'!G109-'ANT Dashboard'!G76</f>
        <v>0</v>
      </c>
      <c r="H18" s="74">
        <f>+'ANT Dashboard'!H109-'ANT Dashboard'!H76</f>
        <v>0</v>
      </c>
      <c r="I18" s="74">
        <f>+'ANT Dashboard'!I109-'ANT Dashboard'!I76</f>
        <v>0</v>
      </c>
      <c r="J18" s="74">
        <f>+'ANT Dashboard'!K109-'ANT Dashboard'!K76</f>
        <v>0</v>
      </c>
      <c r="K18" s="74">
        <f>+'ANT Dashboard'!L109-'ANT Dashboard'!L76</f>
        <v>0</v>
      </c>
      <c r="L18" s="74">
        <f>+'ANT Dashboard'!M109-'ANT Dashboard'!M76</f>
        <v>0</v>
      </c>
      <c r="M18" s="74">
        <f>+'ANT Dashboard'!N109-'ANT Dashboard'!N76</f>
        <v>0</v>
      </c>
      <c r="N18" s="74">
        <f>+'ANT Dashboard'!O109-'ANT Dashboard'!O76</f>
        <v>0</v>
      </c>
      <c r="O18" s="74">
        <f>+'ANT Dashboard'!P109-'ANT Dashboard'!P76</f>
        <v>0</v>
      </c>
      <c r="Q18" s="75" t="str">
        <f>IF(MAX(MAX(B18:O18),-MIN(B18:O18))&lt;=2,"OK","GAP")</f>
        <v>OK</v>
      </c>
      <c r="R18" s="29"/>
    </row>
    <row r="19" spans="1:18" x14ac:dyDescent="0.25">
      <c r="A19" s="73" t="s">
        <v>206</v>
      </c>
      <c r="F19" s="74">
        <f>+'ANT Dashboard'!F117+'ANT Dashboard'!F118+'ANT Dashboard'!F119-'ANT Dashboard'!F120</f>
        <v>0</v>
      </c>
      <c r="G19" s="74">
        <f>+'ANT Dashboard'!G117+'ANT Dashboard'!G118+'ANT Dashboard'!G119-'ANT Dashboard'!G120</f>
        <v>0</v>
      </c>
      <c r="H19" s="74">
        <f>+'ANT Dashboard'!H117+'ANT Dashboard'!H118+'ANT Dashboard'!H119-'ANT Dashboard'!H120</f>
        <v>0</v>
      </c>
      <c r="I19" s="74">
        <f>+'ANT Dashboard'!I117+'ANT Dashboard'!I118+'ANT Dashboard'!I119-'ANT Dashboard'!I120</f>
        <v>0</v>
      </c>
      <c r="J19" s="74">
        <f>+'ANT Dashboard'!K117+'ANT Dashboard'!K118+'ANT Dashboard'!K119-'ANT Dashboard'!K120</f>
        <v>0</v>
      </c>
      <c r="K19" s="74">
        <f>+'ANT Dashboard'!L117+'ANT Dashboard'!L118+'ANT Dashboard'!L119-'ANT Dashboard'!L120</f>
        <v>1</v>
      </c>
      <c r="L19" s="74">
        <f>+'ANT Dashboard'!M117+'ANT Dashboard'!M118+'ANT Dashboard'!M119-'ANT Dashboard'!M120</f>
        <v>0</v>
      </c>
      <c r="M19" s="74">
        <f>+'ANT Dashboard'!N117+'ANT Dashboard'!N118+'ANT Dashboard'!N119-'ANT Dashboard'!N120</f>
        <v>0</v>
      </c>
      <c r="N19" s="74">
        <f>+'ANT Dashboard'!O117+'ANT Dashboard'!O118+'ANT Dashboard'!O119-'ANT Dashboard'!O120</f>
        <v>1</v>
      </c>
      <c r="O19" s="74">
        <f>+'ANT Dashboard'!P117+'ANT Dashboard'!P118+'ANT Dashboard'!P119-'ANT Dashboard'!P120</f>
        <v>0</v>
      </c>
      <c r="Q19" s="75" t="str">
        <f>IF(MAX(MAX(F19:O19),-MIN(F19:O19))&lt;=2,"OK","GAP")</f>
        <v>OK</v>
      </c>
      <c r="R19" s="29"/>
    </row>
    <row r="20" spans="1:18" x14ac:dyDescent="0.25">
      <c r="A20" s="73" t="s">
        <v>207</v>
      </c>
      <c r="F20" s="74">
        <f>+'ANT Dashboard'!F120+'ANT Dashboard'!F122-'ANT Dashboard'!F123</f>
        <v>0</v>
      </c>
      <c r="G20" s="74">
        <f>+'ANT Dashboard'!G120+'ANT Dashboard'!G122-'ANT Dashboard'!G123</f>
        <v>0</v>
      </c>
      <c r="H20" s="74">
        <f>+'ANT Dashboard'!H120+'ANT Dashboard'!H122-'ANT Dashboard'!H123</f>
        <v>0</v>
      </c>
      <c r="I20" s="74">
        <f>+'ANT Dashboard'!I120+'ANT Dashboard'!I122-'ANT Dashboard'!I123</f>
        <v>0</v>
      </c>
      <c r="J20" s="74">
        <f>+'ANT Dashboard'!K120+'ANT Dashboard'!K122-'ANT Dashboard'!K123</f>
        <v>0</v>
      </c>
      <c r="K20" s="74">
        <f>+'ANT Dashboard'!L120+'ANT Dashboard'!L122-'ANT Dashboard'!L123</f>
        <v>0</v>
      </c>
      <c r="L20" s="74">
        <f>+'ANT Dashboard'!M120+'ANT Dashboard'!M122-'ANT Dashboard'!M123</f>
        <v>0</v>
      </c>
      <c r="M20" s="74">
        <f>+'ANT Dashboard'!N120+'ANT Dashboard'!N122-'ANT Dashboard'!N123</f>
        <v>0</v>
      </c>
      <c r="N20" s="74">
        <f>+'ANT Dashboard'!O120+'ANT Dashboard'!O122-'ANT Dashboard'!O123</f>
        <v>0</v>
      </c>
      <c r="O20" s="74">
        <f>+'ANT Dashboard'!P120+'ANT Dashboard'!P122-'ANT Dashboard'!P123</f>
        <v>0</v>
      </c>
      <c r="Q20" s="75" t="str">
        <f>IF(MAX(MAX(F20:O20),-MIN(F20:O20))&lt;=2,"OK","GAP")</f>
        <v>OK</v>
      </c>
      <c r="R20" s="29"/>
    </row>
    <row r="22" spans="1:18" x14ac:dyDescent="0.25">
      <c r="A22" s="33" t="s">
        <v>208</v>
      </c>
      <c r="B22" s="72" t="s">
        <v>209</v>
      </c>
      <c r="C22" s="72" t="s">
        <v>210</v>
      </c>
      <c r="D22" s="72" t="s">
        <v>211</v>
      </c>
      <c r="E22" s="72" t="s">
        <v>212</v>
      </c>
      <c r="F22" s="72" t="s">
        <v>213</v>
      </c>
      <c r="G22" s="72" t="s">
        <v>214</v>
      </c>
      <c r="H22" s="72" t="s">
        <v>215</v>
      </c>
      <c r="I22" s="72" t="s">
        <v>216</v>
      </c>
      <c r="J22" s="72" t="s">
        <v>217</v>
      </c>
      <c r="K22" s="72" t="s">
        <v>218</v>
      </c>
      <c r="L22" s="72" t="s">
        <v>219</v>
      </c>
      <c r="M22" s="72" t="s">
        <v>220</v>
      </c>
      <c r="N22" s="72" t="s">
        <v>221</v>
      </c>
      <c r="Q22" s="33" t="s">
        <v>186</v>
      </c>
      <c r="R22" s="33" t="s">
        <v>187</v>
      </c>
    </row>
    <row r="23" spans="1:18" x14ac:dyDescent="0.25">
      <c r="A23" s="73" t="s">
        <v>189</v>
      </c>
      <c r="B23" s="76">
        <f>'ARR Monthly'!D5+'ARR Monthly'!E5-'ARR Monthly'!C5</f>
        <v>0</v>
      </c>
      <c r="C23" s="76">
        <f>'ARR Monthly'!D6+'ARR Monthly'!E6-'ARR Monthly'!C6</f>
        <v>0</v>
      </c>
      <c r="D23" s="76">
        <f>'ARR Monthly'!D7+'ARR Monthly'!E7-'ARR Monthly'!C7</f>
        <v>0.10000000000000142</v>
      </c>
      <c r="E23" s="76">
        <f>'ARR Monthly'!D8+'ARR Monthly'!E8-'ARR Monthly'!C8</f>
        <v>0</v>
      </c>
      <c r="F23" s="76">
        <f>'ARR Monthly'!D9+'ARR Monthly'!E9-'ARR Monthly'!C9</f>
        <v>0</v>
      </c>
      <c r="G23" s="76">
        <f>'ARR Monthly'!D10+'ARR Monthly'!E10-'ARR Monthly'!C10</f>
        <v>0</v>
      </c>
      <c r="H23" s="76">
        <f>'ARR Monthly'!D11+'ARR Monthly'!E11-'ARR Monthly'!C11</f>
        <v>0</v>
      </c>
      <c r="I23" s="76">
        <f>'ARR Monthly'!D12+'ARR Monthly'!E12-'ARR Monthly'!C12</f>
        <v>0</v>
      </c>
      <c r="J23" s="76">
        <f>'ARR Monthly'!D13+'ARR Monthly'!E13-'ARR Monthly'!C13</f>
        <v>0</v>
      </c>
      <c r="K23" s="76">
        <f>'ARR Monthly'!D14+'ARR Monthly'!E14-'ARR Monthly'!C14</f>
        <v>0</v>
      </c>
      <c r="L23" s="76">
        <f>'ARR Monthly'!D15+'ARR Monthly'!E15-'ARR Monthly'!C15</f>
        <v>0</v>
      </c>
      <c r="M23" s="76">
        <f>'ARR Monthly'!D16+'ARR Monthly'!E16-'ARR Monthly'!C16</f>
        <v>0</v>
      </c>
      <c r="N23" s="76">
        <f>'ARR Monthly'!D17+'ARR Monthly'!E17-'ARR Monthly'!C17</f>
        <v>0</v>
      </c>
      <c r="Q23" s="75" t="str">
        <f>IF(MAX(MAX(B23:N23),-MIN(B23:N23))&lt;=0.11,"OK","GAP")</f>
        <v>OK</v>
      </c>
      <c r="R23" s="29"/>
    </row>
    <row r="24" spans="1:18" x14ac:dyDescent="0.25">
      <c r="A24" s="73" t="s">
        <v>222</v>
      </c>
      <c r="C24" s="76">
        <f>'ARR Monthly'!C6-'ARR Monthly'!C5-'ARR Monthly'!F6</f>
        <v>0</v>
      </c>
      <c r="D24" s="76">
        <f>'ARR Monthly'!C7-'ARR Monthly'!C6-'ARR Monthly'!F7</f>
        <v>0</v>
      </c>
      <c r="E24" s="76">
        <f>'ARR Monthly'!C8-'ARR Monthly'!C7-'ARR Monthly'!F8</f>
        <v>0</v>
      </c>
      <c r="F24" s="76">
        <f>'ARR Monthly'!C9-'ARR Monthly'!C8-'ARR Monthly'!F9</f>
        <v>0</v>
      </c>
      <c r="G24" s="76">
        <f>'ARR Monthly'!C10-'ARR Monthly'!C9-'ARR Monthly'!F10</f>
        <v>0</v>
      </c>
      <c r="H24" s="76">
        <f>'ARR Monthly'!C11-'ARR Monthly'!C10-'ARR Monthly'!F11</f>
        <v>0</v>
      </c>
      <c r="I24" s="76">
        <f>'ARR Monthly'!C12-'ARR Monthly'!C11-'ARR Monthly'!F12</f>
        <v>0</v>
      </c>
      <c r="J24" s="76">
        <f>'ARR Monthly'!C13-'ARR Monthly'!C12-'ARR Monthly'!F13</f>
        <v>2.886579864025407E-15</v>
      </c>
      <c r="K24" s="76">
        <f>'ARR Monthly'!C14-'ARR Monthly'!C13-'ARR Monthly'!F14</f>
        <v>-5.773159728050814E-15</v>
      </c>
      <c r="L24" s="76">
        <f>'ARR Monthly'!C15-'ARR Monthly'!C14-'ARR Monthly'!F15</f>
        <v>0</v>
      </c>
      <c r="M24" s="76">
        <f>'ARR Monthly'!C16-'ARR Monthly'!C15-'ARR Monthly'!F16</f>
        <v>0</v>
      </c>
      <c r="N24" s="76">
        <f>'ARR Monthly'!C17-'ARR Monthly'!C16-'ARR Monthly'!F17</f>
        <v>8.8817841970012523E-15</v>
      </c>
      <c r="Q24" s="75" t="str">
        <f>IF(MAX(MAX(C24:N24),-MIN(C24:N24))&lt;=0.11,"OK","GAP")</f>
        <v>OK</v>
      </c>
      <c r="R24" s="29"/>
    </row>
    <row r="25" spans="1:18" x14ac:dyDescent="0.25">
      <c r="A25" s="73" t="s">
        <v>223</v>
      </c>
      <c r="C25" s="76">
        <f>'ARR Monthly'!E6-'ARR Monthly'!E5-'ARR Monthly'!G6</f>
        <v>0</v>
      </c>
      <c r="D25" s="76">
        <f>'ARR Monthly'!E7-'ARR Monthly'!E6-'ARR Monthly'!G7</f>
        <v>0</v>
      </c>
      <c r="E25" s="76">
        <f>'ARR Monthly'!E8-'ARR Monthly'!E7-'ARR Monthly'!G8</f>
        <v>0</v>
      </c>
      <c r="F25" s="76">
        <f>'ARR Monthly'!E9-'ARR Monthly'!E8-'ARR Monthly'!G9</f>
        <v>0</v>
      </c>
      <c r="G25" s="76">
        <f>'ARR Monthly'!E10-'ARR Monthly'!E9-'ARR Monthly'!G10</f>
        <v>0</v>
      </c>
      <c r="H25" s="76">
        <f>'ARR Monthly'!E11-'ARR Monthly'!E10-'ARR Monthly'!G11</f>
        <v>0</v>
      </c>
      <c r="I25" s="76">
        <f>'ARR Monthly'!E12-'ARR Monthly'!E11-'ARR Monthly'!G12</f>
        <v>0</v>
      </c>
      <c r="J25" s="76">
        <f>'ARR Monthly'!E13-'ARR Monthly'!E12-'ARR Monthly'!G13</f>
        <v>0</v>
      </c>
      <c r="K25" s="76">
        <f>'ARR Monthly'!E14-'ARR Monthly'!E13-'ARR Monthly'!G14</f>
        <v>-8.8817841970012523E-15</v>
      </c>
      <c r="L25" s="76">
        <f>'ARR Monthly'!E15-'ARR Monthly'!E14-'ARR Monthly'!G15</f>
        <v>0</v>
      </c>
      <c r="M25" s="76">
        <f>'ARR Monthly'!E16-'ARR Monthly'!E15-'ARR Monthly'!G16</f>
        <v>1.1546319456101628E-14</v>
      </c>
      <c r="N25" s="76">
        <f>'ARR Monthly'!E17-'ARR Monthly'!E16-'ARR Monthly'!G17</f>
        <v>0</v>
      </c>
      <c r="Q25" s="75" t="str">
        <f>IF(MAX(MAX(C25:N25),-MIN(C25:N25))&lt;=0.11,"OK","GAP")</f>
        <v>OK</v>
      </c>
      <c r="R25" s="29"/>
    </row>
    <row r="26" spans="1:18" x14ac:dyDescent="0.25">
      <c r="A26" s="73" t="s">
        <v>224</v>
      </c>
      <c r="C26" s="76">
        <f>'ARR Monthly'!C6*'ARR Monthly'!B6/365-'ARR Monthly'!K6</f>
        <v>2.05479452054802E-3</v>
      </c>
      <c r="D26" s="76">
        <f>'ARR Monthly'!C7*'ARR Monthly'!B7/365-'ARR Monthly'!K7</f>
        <v>-2.4657534246574908E-3</v>
      </c>
      <c r="E26" s="76">
        <f>'ARR Monthly'!C8*'ARR Monthly'!B8/365-'ARR Monthly'!K8</f>
        <v>-2.1917808219180657E-3</v>
      </c>
      <c r="F26" s="76">
        <f>'ARR Monthly'!C9*'ARR Monthly'!B9/365-'ARR Monthly'!K9</f>
        <v>-4.5205479452055108E-3</v>
      </c>
      <c r="G26" s="76">
        <f>'ARR Monthly'!C10*'ARR Monthly'!B10/365-'ARR Monthly'!K10</f>
        <v>1.9178082191784185E-3</v>
      </c>
      <c r="H26" s="76">
        <f>'ARR Monthly'!C11*'ARR Monthly'!B11/365-'ARR Monthly'!K11</f>
        <v>-1.2328767123293005E-3</v>
      </c>
      <c r="I26" s="76">
        <f>'ARR Monthly'!C12*'ARR Monthly'!B12/365-'ARR Monthly'!K12</f>
        <v>5.4794520548018255E-4</v>
      </c>
      <c r="J26" s="76">
        <f>'ARR Monthly'!C13*'ARR Monthly'!B13/365-'ARR Monthly'!K13</f>
        <v>2.465753424658601E-3</v>
      </c>
      <c r="K26" s="76">
        <f>'ARR Monthly'!C14*'ARR Monthly'!B14/365-'ARR Monthly'!K14</f>
        <v>4.7945205479447139E-3</v>
      </c>
      <c r="L26" s="76">
        <f>'ARR Monthly'!C15*'ARR Monthly'!B15/365-'ARR Monthly'!K15</f>
        <v>-4.5205479452068431E-3</v>
      </c>
      <c r="M26" s="76">
        <f>'ARR Monthly'!C16*'ARR Monthly'!B16/365-'ARR Monthly'!K16</f>
        <v>-8.2191780821894156E-4</v>
      </c>
      <c r="N26" s="76">
        <f>'ARR Monthly'!C17*'ARR Monthly'!B17/365-'ARR Monthly'!K17</f>
        <v>-3.6986301369861252E-3</v>
      </c>
      <c r="Q26" s="75" t="str">
        <f>IF(MAX(MAX(C26:N26),-MIN(C26:N26))&lt;=0.02,"OK","GAP")</f>
        <v>OK</v>
      </c>
      <c r="R26" s="29"/>
    </row>
    <row r="28" spans="1:18" x14ac:dyDescent="0.25">
      <c r="A28" s="33" t="s">
        <v>225</v>
      </c>
      <c r="B28" s="72" t="s">
        <v>41</v>
      </c>
      <c r="C28" s="72" t="s">
        <v>42</v>
      </c>
      <c r="D28" s="72" t="s">
        <v>43</v>
      </c>
      <c r="E28" s="72" t="s">
        <v>44</v>
      </c>
      <c r="F28" s="72" t="s">
        <v>45</v>
      </c>
      <c r="Q28" s="33" t="s">
        <v>186</v>
      </c>
      <c r="R28" s="33" t="s">
        <v>187</v>
      </c>
    </row>
    <row r="29" spans="1:18" x14ac:dyDescent="0.25">
      <c r="A29" s="73" t="s">
        <v>226</v>
      </c>
      <c r="B29" s="76">
        <f>SUM('ARR Monthly'!K6:'ARR Monthly'!K8)-'ARR Monthly'!B21</f>
        <v>0</v>
      </c>
      <c r="C29" s="76">
        <f>SUM('ARR Monthly'!K9:'ARR Monthly'!K11)-'ARR Monthly'!B22</f>
        <v>0</v>
      </c>
      <c r="D29" s="76">
        <f>SUM('ARR Monthly'!K12:'ARR Monthly'!K14)-'ARR Monthly'!B23</f>
        <v>-1.0000000000001563E-2</v>
      </c>
      <c r="E29" s="76">
        <f>SUM('ARR Monthly'!K15:'ARR Monthly'!K17)-'ARR Monthly'!B24</f>
        <v>9.9999999999980105E-3</v>
      </c>
      <c r="F29" s="76">
        <f>SUM('ARR Monthly'!B21:'ARR Monthly'!B24)-'ARR Monthly'!B25</f>
        <v>0</v>
      </c>
      <c r="Q29" s="75" t="str">
        <f>IF(MAX(MAX(B29:F29),-MIN(B29:F29))&lt;=0.02,"OK","GAP")</f>
        <v>OK</v>
      </c>
      <c r="R29" s="29"/>
    </row>
    <row r="30" spans="1:18" x14ac:dyDescent="0.25">
      <c r="A30" s="73" t="s">
        <v>227</v>
      </c>
      <c r="B30" s="74">
        <f>'ARR Monthly'!B21*1000-'ANT Dashboard'!D8</f>
        <v>-1</v>
      </c>
      <c r="C30" s="74">
        <f>'ARR Monthly'!B22*1000-'ANT Dashboard'!E8</f>
        <v>5</v>
      </c>
      <c r="D30" s="74">
        <f>'ARR Monthly'!B23*1000-'ANT Dashboard'!F8</f>
        <v>0</v>
      </c>
      <c r="E30" s="74">
        <f>'ARR Monthly'!B24*1000-'ANT Dashboard'!G8</f>
        <v>0</v>
      </c>
      <c r="F30" s="74">
        <f>'ARR Monthly'!B25*1000-'ANT Dashboard'!L8</f>
        <v>4</v>
      </c>
      <c r="Q30" s="75" t="str">
        <f>IF(MAX(MAX(B30:F30),-MIN(B30:F30))&lt;=10,"OK","GAP")</f>
        <v>OK</v>
      </c>
      <c r="R30" s="29" t="s">
        <v>228</v>
      </c>
    </row>
    <row r="32" spans="1:18" x14ac:dyDescent="0.25">
      <c r="A32" s="33" t="s">
        <v>229</v>
      </c>
      <c r="B32" s="72" t="s">
        <v>58</v>
      </c>
      <c r="C32" s="72" t="s">
        <v>59</v>
      </c>
      <c r="D32" s="72" t="s">
        <v>60</v>
      </c>
      <c r="E32" s="72" t="s">
        <v>61</v>
      </c>
      <c r="F32" s="72" t="s">
        <v>62</v>
      </c>
      <c r="G32" s="72" t="s">
        <v>162</v>
      </c>
      <c r="Q32" s="33" t="s">
        <v>186</v>
      </c>
      <c r="R32" s="33" t="s">
        <v>187</v>
      </c>
    </row>
    <row r="33" spans="1:18" x14ac:dyDescent="0.25">
      <c r="A33" s="73" t="s">
        <v>230</v>
      </c>
      <c r="B33" s="74">
        <f>'Compute Reconciliation'!B3+'Compute Reconciliation'!B4+'Compute Reconciliation'!B5-'Compute Reconciliation'!B6</f>
        <v>0</v>
      </c>
      <c r="C33" s="74">
        <f>'Compute Reconciliation'!C3+'Compute Reconciliation'!C4+'Compute Reconciliation'!C5-'Compute Reconciliation'!C6</f>
        <v>0</v>
      </c>
      <c r="D33" s="74">
        <f>'Compute Reconciliation'!D3+'Compute Reconciliation'!D4+'Compute Reconciliation'!D5-'Compute Reconciliation'!D6</f>
        <v>-1</v>
      </c>
      <c r="E33" s="74">
        <f>'Compute Reconciliation'!E3+'Compute Reconciliation'!E4+'Compute Reconciliation'!E5-'Compute Reconciliation'!E6</f>
        <v>0</v>
      </c>
      <c r="F33" s="74">
        <f>'Compute Reconciliation'!F3+'Compute Reconciliation'!F4+'Compute Reconciliation'!F5-'Compute Reconciliation'!F6</f>
        <v>0</v>
      </c>
      <c r="G33" s="74">
        <f>'Compute Reconciliation'!G3+'Compute Reconciliation'!G4+'Compute Reconciliation'!G5-'Compute Reconciliation'!G6</f>
        <v>0</v>
      </c>
      <c r="Q33" s="75" t="str">
        <f>IF(MAX(MAX(B33:G33),-MIN(B33:G33))&lt;=2,"OK","GAP")</f>
        <v>OK</v>
      </c>
      <c r="R33" s="29"/>
    </row>
    <row r="34" spans="1:18" x14ac:dyDescent="0.25">
      <c r="A34" s="73" t="s">
        <v>231</v>
      </c>
      <c r="B34" s="74">
        <f>'Compute Reconciliation'!B6+'Compute Reconciliation'!B7-'Compute Reconciliation'!B8</f>
        <v>0</v>
      </c>
      <c r="C34" s="74">
        <f>'Compute Reconciliation'!C6+'Compute Reconciliation'!C7-'Compute Reconciliation'!C8</f>
        <v>0</v>
      </c>
      <c r="D34" s="74">
        <f>'Compute Reconciliation'!D6+'Compute Reconciliation'!D7-'Compute Reconciliation'!D8</f>
        <v>0</v>
      </c>
      <c r="E34" s="74">
        <f>'Compute Reconciliation'!E6+'Compute Reconciliation'!E7-'Compute Reconciliation'!E8</f>
        <v>0</v>
      </c>
      <c r="F34" s="74">
        <f>'Compute Reconciliation'!F6+'Compute Reconciliation'!F7-'Compute Reconciliation'!F8</f>
        <v>0</v>
      </c>
      <c r="G34" s="74">
        <f>'Compute Reconciliation'!G6+'Compute Reconciliation'!G7-'Compute Reconciliation'!G8</f>
        <v>0</v>
      </c>
      <c r="Q34" s="75" t="str">
        <f>IF(MAX(MAX(B34:G34),-MIN(B34:G34))&lt;=2,"OK","GAP")</f>
        <v>OK</v>
      </c>
      <c r="R34" s="29"/>
    </row>
    <row r="35" spans="1:18" x14ac:dyDescent="0.25">
      <c r="A35" s="73" t="s">
        <v>232</v>
      </c>
      <c r="G35" s="74">
        <f>SUM('Compute Reconciliation'!B6:'Compute Reconciliation'!F6)-'Compute Reconciliation'!G6</f>
        <v>1</v>
      </c>
      <c r="Q35" s="75" t="str">
        <f t="shared" ref="Q35:Q41" si="1">IF(MAX(MAX(G35:G35),-MIN(G35:G35))&lt;=3,"OK","GAP")</f>
        <v>OK</v>
      </c>
      <c r="R35" s="29"/>
    </row>
    <row r="36" spans="1:18" x14ac:dyDescent="0.25">
      <c r="A36" s="73" t="s">
        <v>233</v>
      </c>
      <c r="G36" s="74">
        <f>SUM('Compute Reconciliation'!B3:'Compute Reconciliation'!F3)-'Compute Reconciliation'!G3</f>
        <v>-1</v>
      </c>
      <c r="Q36" s="75" t="str">
        <f t="shared" si="1"/>
        <v>OK</v>
      </c>
      <c r="R36" s="29"/>
    </row>
    <row r="37" spans="1:18" x14ac:dyDescent="0.25">
      <c r="A37" s="73" t="s">
        <v>234</v>
      </c>
      <c r="G37" s="74">
        <f>SUM('Compute Reconciliation'!B4:'Compute Reconciliation'!F4)-'Compute Reconciliation'!G4</f>
        <v>0</v>
      </c>
      <c r="Q37" s="75" t="str">
        <f t="shared" si="1"/>
        <v>OK</v>
      </c>
      <c r="R37" s="29"/>
    </row>
    <row r="38" spans="1:18" x14ac:dyDescent="0.25">
      <c r="A38" s="73" t="s">
        <v>235</v>
      </c>
      <c r="G38" s="74">
        <f>SUM('Compute Reconciliation'!B5:'Compute Reconciliation'!F5)-'Compute Reconciliation'!G5</f>
        <v>1</v>
      </c>
      <c r="Q38" s="75" t="str">
        <f t="shared" si="1"/>
        <v>OK</v>
      </c>
      <c r="R38" s="29"/>
    </row>
    <row r="39" spans="1:18" x14ac:dyDescent="0.25">
      <c r="A39" s="73" t="s">
        <v>236</v>
      </c>
      <c r="G39" s="74">
        <f>SUM('Compute Reconciliation'!B7:'Compute Reconciliation'!F7)-'Compute Reconciliation'!G7</f>
        <v>-1</v>
      </c>
      <c r="Q39" s="75" t="str">
        <f t="shared" si="1"/>
        <v>OK</v>
      </c>
      <c r="R39" s="29"/>
    </row>
    <row r="40" spans="1:18" x14ac:dyDescent="0.25">
      <c r="A40" s="73" t="s">
        <v>237</v>
      </c>
      <c r="G40" s="74">
        <f>SUM('Compute Reconciliation'!B8:'Compute Reconciliation'!F8)-'Compute Reconciliation'!G8</f>
        <v>0</v>
      </c>
      <c r="Q40" s="75" t="str">
        <f t="shared" si="1"/>
        <v>OK</v>
      </c>
      <c r="R40" s="29"/>
    </row>
    <row r="41" spans="1:18" x14ac:dyDescent="0.25">
      <c r="A41" s="73" t="s">
        <v>238</v>
      </c>
      <c r="G41" s="74">
        <f>SUM('Compute Reconciliation'!B9:'Compute Reconciliation'!F9)-'Compute Reconciliation'!G9</f>
        <v>0</v>
      </c>
      <c r="Q41" s="75" t="str">
        <f t="shared" si="1"/>
        <v>OK</v>
      </c>
      <c r="R41" s="29"/>
    </row>
    <row r="42" spans="1:18" x14ac:dyDescent="0.25">
      <c r="A42" s="73" t="s">
        <v>239</v>
      </c>
      <c r="G42" s="74">
        <f>'Compute Reconciliation'!G6-'Compute Reconciliation'!G10-'Compute Reconciliation'!G11</f>
        <v>0</v>
      </c>
      <c r="Q42" s="75" t="str">
        <f>IF(MAX(MAX(G42:G42),-MIN(G42:G42))&lt;=0,"OK","GAP")</f>
        <v>OK</v>
      </c>
      <c r="R42" s="29"/>
    </row>
    <row r="43" spans="1:18" x14ac:dyDescent="0.25">
      <c r="A43" s="73" t="s">
        <v>240</v>
      </c>
      <c r="B43" s="74">
        <f>'Compute Reconciliation'!B3-'ANT Dashboard'!L34</f>
        <v>0</v>
      </c>
      <c r="C43" s="74">
        <f>'Compute Reconciliation'!C3-'ANT Dashboard'!M34</f>
        <v>0</v>
      </c>
      <c r="D43" s="74">
        <f>'Compute Reconciliation'!D3-'ANT Dashboard'!N34</f>
        <v>0</v>
      </c>
      <c r="E43" s="74">
        <f>'Compute Reconciliation'!E3-'ANT Dashboard'!O34</f>
        <v>0</v>
      </c>
      <c r="F43" s="74">
        <f>'Compute Reconciliation'!F3-'ANT Dashboard'!P34</f>
        <v>0</v>
      </c>
      <c r="Q43" s="75" t="str">
        <f>IF(MAX(MAX(B43:F43),-MIN(B43:F43))&lt;=0,"OK","GAP")</f>
        <v>OK</v>
      </c>
      <c r="R43" s="29"/>
    </row>
    <row r="44" spans="1:18" x14ac:dyDescent="0.25">
      <c r="A44" s="73" t="s">
        <v>241</v>
      </c>
      <c r="B44" s="74">
        <f>'Compute Reconciliation'!B7+'ANT Dashboard'!L18</f>
        <v>0</v>
      </c>
      <c r="C44" s="74">
        <f>'Compute Reconciliation'!C7+'ANT Dashboard'!M18</f>
        <v>0</v>
      </c>
      <c r="D44" s="74">
        <f>'Compute Reconciliation'!D7+'ANT Dashboard'!N18</f>
        <v>0</v>
      </c>
      <c r="E44" s="74">
        <f>'Compute Reconciliation'!E7+'ANT Dashboard'!O18</f>
        <v>0</v>
      </c>
      <c r="F44" s="74">
        <f>'Compute Reconciliation'!F7+'ANT Dashboard'!P18</f>
        <v>0</v>
      </c>
      <c r="Q44" s="75" t="str">
        <f>IF(MAX(MAX(B44:F44),-MIN(B44:F44))&lt;=0,"OK","GAP")</f>
        <v>OK</v>
      </c>
      <c r="R44" s="29"/>
    </row>
    <row r="45" spans="1:18" x14ac:dyDescent="0.25">
      <c r="A45" s="73" t="s">
        <v>242</v>
      </c>
      <c r="B45" s="74">
        <f>'Compute Reconciliation'!B9-('ANT Dashboard'!L80+'ANT Dashboard'!L78+'ANT Dashboard'!L79)</f>
        <v>0</v>
      </c>
      <c r="C45" s="74">
        <f>'Compute Reconciliation'!C9-('ANT Dashboard'!M80+'ANT Dashboard'!M78+'ANT Dashboard'!M79)</f>
        <v>0</v>
      </c>
      <c r="D45" s="74">
        <f>'Compute Reconciliation'!D9-('ANT Dashboard'!N80+'ANT Dashboard'!N78+'ANT Dashboard'!N79)</f>
        <v>0</v>
      </c>
      <c r="E45" s="74">
        <f>'Compute Reconciliation'!E9-('ANT Dashboard'!O80+'ANT Dashboard'!O78+'ANT Dashboard'!O79)</f>
        <v>0</v>
      </c>
      <c r="F45" s="74">
        <f>'Compute Reconciliation'!F9-('ANT Dashboard'!P80+'ANT Dashboard'!P78+'ANT Dashboard'!P79)</f>
        <v>0</v>
      </c>
      <c r="Q45" s="75" t="str">
        <f>IF(MAX(MAX(B45:F45),-MIN(B45:F45))&lt;=2,"OK","GAP")</f>
        <v>OK</v>
      </c>
      <c r="R45" s="29"/>
    </row>
    <row r="47" spans="1:18" x14ac:dyDescent="0.25">
      <c r="A47" s="33" t="s">
        <v>243</v>
      </c>
      <c r="B47" s="72" t="s">
        <v>244</v>
      </c>
      <c r="C47" s="72" t="s">
        <v>245</v>
      </c>
      <c r="D47" s="72" t="s">
        <v>246</v>
      </c>
      <c r="Q47" s="33" t="s">
        <v>186</v>
      </c>
      <c r="R47" s="33" t="s">
        <v>187</v>
      </c>
    </row>
    <row r="48" spans="1:18" x14ac:dyDescent="0.25">
      <c r="A48" s="73" t="s">
        <v>111</v>
      </c>
      <c r="B48" s="74">
        <f>'Compute Reconciliation'!B15-'Compute Reconciliation'!C15-'Compute Reconciliation'!D15</f>
        <v>0</v>
      </c>
      <c r="C48" s="74">
        <f>('Compute Reconciliation'!C15/'Compute Reconciliation'!B15-'Compute Reconciliation'!E15)*1000</f>
        <v>-0.22707423580792252</v>
      </c>
      <c r="D48" s="74">
        <f>'Compute Reconciliation'!C15-(SUM('ANT Dashboard'!L67:'ANT Dashboard'!P67))</f>
        <v>0</v>
      </c>
      <c r="Q48" s="75" t="str">
        <f t="shared" ref="Q48:Q58" si="2">IF(MAX(MAX(B48:D48),-MIN(B48:D48))&lt;=2,"OK","GAP")</f>
        <v>OK</v>
      </c>
      <c r="R48" s="29"/>
    </row>
    <row r="49" spans="1:18" x14ac:dyDescent="0.25">
      <c r="A49" s="73" t="s">
        <v>112</v>
      </c>
      <c r="B49" s="74">
        <f>'Compute Reconciliation'!B16-'Compute Reconciliation'!C16-'Compute Reconciliation'!D16</f>
        <v>0</v>
      </c>
      <c r="C49" s="74">
        <f>('Compute Reconciliation'!C16/'Compute Reconciliation'!B16-'Compute Reconciliation'!E16)*1000</f>
        <v>-0.30000000000002247</v>
      </c>
      <c r="D49" s="74">
        <f>'Compute Reconciliation'!C16-(SUM('ANT Dashboard'!L68:'ANT Dashboard'!P68))</f>
        <v>0</v>
      </c>
      <c r="Q49" s="75" t="str">
        <f t="shared" si="2"/>
        <v>OK</v>
      </c>
      <c r="R49" s="29"/>
    </row>
    <row r="50" spans="1:18" x14ac:dyDescent="0.25">
      <c r="A50" s="73" t="s">
        <v>113</v>
      </c>
      <c r="B50" s="74">
        <f>'Compute Reconciliation'!B17-'Compute Reconciliation'!C17-'Compute Reconciliation'!D17</f>
        <v>0</v>
      </c>
      <c r="C50" s="74">
        <f>('Compute Reconciliation'!C17/'Compute Reconciliation'!B17-'Compute Reconciliation'!E17)*1000</f>
        <v>-4.6979865771845652E-2</v>
      </c>
      <c r="D50" s="74">
        <f>'Compute Reconciliation'!C17-(SUM('ANT Dashboard'!L69:'ANT Dashboard'!P69))</f>
        <v>0</v>
      </c>
      <c r="Q50" s="75" t="str">
        <f t="shared" si="2"/>
        <v>OK</v>
      </c>
      <c r="R50" s="29"/>
    </row>
    <row r="51" spans="1:18" x14ac:dyDescent="0.25">
      <c r="A51" s="73" t="s">
        <v>114</v>
      </c>
      <c r="B51" s="74">
        <f>'Compute Reconciliation'!B18-'Compute Reconciliation'!C18-'Compute Reconciliation'!D18</f>
        <v>0</v>
      </c>
      <c r="C51" s="74">
        <f>('Compute Reconciliation'!C18/'Compute Reconciliation'!B18-'Compute Reconciliation'!E18)*1000</f>
        <v>0</v>
      </c>
      <c r="D51" s="74">
        <f>'Compute Reconciliation'!C18-(SUM('ANT Dashboard'!L70:'ANT Dashboard'!P70))</f>
        <v>0</v>
      </c>
      <c r="Q51" s="75" t="str">
        <f t="shared" si="2"/>
        <v>OK</v>
      </c>
      <c r="R51" s="29"/>
    </row>
    <row r="52" spans="1:18" x14ac:dyDescent="0.25">
      <c r="A52" s="73" t="s">
        <v>115</v>
      </c>
      <c r="B52" s="74">
        <f>'Compute Reconciliation'!B19-'Compute Reconciliation'!C19-'Compute Reconciliation'!D19</f>
        <v>0</v>
      </c>
      <c r="C52" s="74">
        <f>('Compute Reconciliation'!C19/'Compute Reconciliation'!B19-'Compute Reconciliation'!E19)*1000</f>
        <v>0.14798206278032744</v>
      </c>
      <c r="D52" s="74">
        <f>'Compute Reconciliation'!C19-(SUM('ANT Dashboard'!L71:'ANT Dashboard'!P71))</f>
        <v>0</v>
      </c>
      <c r="Q52" s="75" t="str">
        <f t="shared" si="2"/>
        <v>OK</v>
      </c>
      <c r="R52" s="29"/>
    </row>
    <row r="53" spans="1:18" x14ac:dyDescent="0.25">
      <c r="A53" s="73" t="s">
        <v>116</v>
      </c>
      <c r="B53" s="74">
        <f>'Compute Reconciliation'!B20-'Compute Reconciliation'!C20-'Compute Reconciliation'!D20</f>
        <v>0</v>
      </c>
      <c r="C53" s="74">
        <f>('Compute Reconciliation'!C20/'Compute Reconciliation'!B20-'Compute Reconciliation'!E20)*1000</f>
        <v>0.14043583535106041</v>
      </c>
      <c r="D53" s="74">
        <f>'Compute Reconciliation'!C20-(SUM('ANT Dashboard'!L72:'ANT Dashboard'!P72))</f>
        <v>0</v>
      </c>
      <c r="Q53" s="75" t="str">
        <f t="shared" si="2"/>
        <v>OK</v>
      </c>
      <c r="R53" s="29"/>
    </row>
    <row r="54" spans="1:18" x14ac:dyDescent="0.25">
      <c r="A54" s="73" t="s">
        <v>177</v>
      </c>
      <c r="B54" s="74">
        <f>'Compute Reconciliation'!B21-'Compute Reconciliation'!C21-'Compute Reconciliation'!D21</f>
        <v>0</v>
      </c>
      <c r="C54" s="74">
        <f>('Compute Reconciliation'!C21/'Compute Reconciliation'!B21-'Compute Reconciliation'!E21)*1000</f>
        <v>0</v>
      </c>
      <c r="D54" s="74">
        <f>'Compute Reconciliation'!C21-(SUM('ANT Dashboard'!L73:'ANT Dashboard'!P73))</f>
        <v>0</v>
      </c>
      <c r="Q54" s="75" t="str">
        <f t="shared" si="2"/>
        <v>OK</v>
      </c>
      <c r="R54" s="29"/>
    </row>
    <row r="55" spans="1:18" x14ac:dyDescent="0.25">
      <c r="A55" s="73" t="s">
        <v>178</v>
      </c>
      <c r="B55" s="74">
        <f>'Compute Reconciliation'!B22-'Compute Reconciliation'!C22-'Compute Reconciliation'!D22</f>
        <v>0</v>
      </c>
      <c r="C55" s="74">
        <f>('Compute Reconciliation'!C22/'Compute Reconciliation'!B22-'Compute Reconciliation'!E22)*1000</f>
        <v>-0.10217726727235199</v>
      </c>
      <c r="D55" s="74">
        <f>'Compute Reconciliation'!C22-(SUM('ANT Dashboard'!L66:'ANT Dashboard'!P66))</f>
        <v>0</v>
      </c>
      <c r="Q55" s="75" t="str">
        <f t="shared" si="2"/>
        <v>OK</v>
      </c>
      <c r="R55" s="29"/>
    </row>
    <row r="56" spans="1:18" x14ac:dyDescent="0.25">
      <c r="A56" s="73" t="s">
        <v>179</v>
      </c>
      <c r="B56" s="74">
        <f>'Compute Reconciliation'!B23-'Compute Reconciliation'!C23-'Compute Reconciliation'!D23</f>
        <v>0</v>
      </c>
      <c r="C56" s="74">
        <f>('Compute Reconciliation'!C23/'Compute Reconciliation'!B23-'Compute Reconciliation'!E23)*1000</f>
        <v>-0.42625414688690633</v>
      </c>
      <c r="D56" s="74">
        <f>'Compute Reconciliation'!C23-(SUM('ANT Dashboard'!L74:'ANT Dashboard'!P74))</f>
        <v>3500</v>
      </c>
      <c r="Q56" s="75" t="str">
        <f t="shared" si="2"/>
        <v>GAP</v>
      </c>
      <c r="R56" s="29" t="s">
        <v>247</v>
      </c>
    </row>
    <row r="57" spans="1:18" x14ac:dyDescent="0.25">
      <c r="A57" s="73" t="s">
        <v>180</v>
      </c>
      <c r="B57" s="74">
        <f>'Compute Reconciliation'!B24-'Compute Reconciliation'!C24-'Compute Reconciliation'!D24</f>
        <v>0</v>
      </c>
      <c r="C57" s="74">
        <f>('Compute Reconciliation'!C24/'Compute Reconciliation'!B24-'Compute Reconciliation'!E24)*1000</f>
        <v>0.25558312655082904</v>
      </c>
      <c r="D57" s="74">
        <f>'Compute Reconciliation'!C24-(SUM('ANT Dashboard'!L75:'ANT Dashboard'!P75))</f>
        <v>400</v>
      </c>
      <c r="Q57" s="75" t="str">
        <f t="shared" si="2"/>
        <v>GAP</v>
      </c>
      <c r="R57" s="29" t="s">
        <v>248</v>
      </c>
    </row>
    <row r="58" spans="1:18" x14ac:dyDescent="0.25">
      <c r="A58" s="73" t="s">
        <v>181</v>
      </c>
      <c r="B58" s="74">
        <f>'Compute Reconciliation'!B25-'Compute Reconciliation'!C25-'Compute Reconciliation'!D25</f>
        <v>0</v>
      </c>
      <c r="C58" s="74">
        <f>('Compute Reconciliation'!C25/'Compute Reconciliation'!B25-'Compute Reconciliation'!E25)*1000</f>
        <v>-0.34999999999996145</v>
      </c>
      <c r="D58" s="74">
        <f>'Compute Reconciliation'!C25-(SUM('ANT Dashboard'!L77:'ANT Dashboard'!P77))</f>
        <v>1</v>
      </c>
      <c r="Q58" s="75" t="str">
        <f t="shared" si="2"/>
        <v>OK</v>
      </c>
      <c r="R58" s="29"/>
    </row>
    <row r="59" spans="1:18" x14ac:dyDescent="0.25">
      <c r="A59" s="73" t="s">
        <v>182</v>
      </c>
      <c r="B59" s="74">
        <f>'Compute Reconciliation'!B26-'Compute Reconciliation'!C26-'Compute Reconciliation'!D26</f>
        <v>0</v>
      </c>
      <c r="C59" s="74">
        <f>('Compute Reconciliation'!C26/'Compute Reconciliation'!B26-'Compute Reconciliation'!E26)*1000</f>
        <v>-9.9858496153126808E-3</v>
      </c>
      <c r="Q59" s="75" t="str">
        <f>IF(MAX(MAX(B59:C59),-MIN(B59:C59))&lt;=2,"OK","GAP")</f>
        <v>OK</v>
      </c>
      <c r="R59" s="29"/>
    </row>
    <row r="60" spans="1:18" x14ac:dyDescent="0.25">
      <c r="A60" s="73" t="s">
        <v>249</v>
      </c>
      <c r="B60" s="74">
        <f>SUM('Compute Reconciliation'!B15:'Compute Reconciliation'!B21)-'Compute Reconciliation'!B22</f>
        <v>0</v>
      </c>
      <c r="C60" s="74">
        <f>SUM('Compute Reconciliation'!C15:'Compute Reconciliation'!C21)-'Compute Reconciliation'!C22</f>
        <v>0</v>
      </c>
      <c r="D60" s="74">
        <f>SUM('Compute Reconciliation'!D15:'Compute Reconciliation'!D21)-'Compute Reconciliation'!D22</f>
        <v>0</v>
      </c>
      <c r="Q60" s="75" t="str">
        <f>IF(MAX(MAX(B60:D60),-MIN(B60:D60))&lt;=2,"OK","GAP")</f>
        <v>OK</v>
      </c>
      <c r="R60" s="29"/>
    </row>
    <row r="61" spans="1:18" x14ac:dyDescent="0.25">
      <c r="A61" s="73" t="s">
        <v>250</v>
      </c>
      <c r="B61" s="74">
        <f>'Compute Reconciliation'!B22+'Compute Reconciliation'!B23+'Compute Reconciliation'!B24+'Compute Reconciliation'!B25-'Compute Reconciliation'!B26</f>
        <v>0</v>
      </c>
      <c r="C61" s="74">
        <f>'Compute Reconciliation'!C22+'Compute Reconciliation'!C23+'Compute Reconciliation'!C24+'Compute Reconciliation'!C25-'Compute Reconciliation'!C26</f>
        <v>1</v>
      </c>
      <c r="D61" s="74">
        <f>'Compute Reconciliation'!D22+'Compute Reconciliation'!D23+'Compute Reconciliation'!D24+'Compute Reconciliation'!D25-'Compute Reconciliation'!D26</f>
        <v>-1</v>
      </c>
      <c r="Q61" s="75" t="str">
        <f>IF(MAX(MAX(B61:D61),-MIN(B61:D61))&lt;=2,"OK","GAP")</f>
        <v>OK</v>
      </c>
      <c r="R61" s="29"/>
    </row>
    <row r="63" spans="1:18" x14ac:dyDescent="0.25">
      <c r="A63" s="7" t="s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ARR Monthly</vt:lpstr>
      <vt:lpstr>ANT Dashboard</vt:lpstr>
      <vt:lpstr>Compute Reconciliation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Monteiro</cp:lastModifiedBy>
  <dcterms:created xsi:type="dcterms:W3CDTF">2026-10-27T13:42:25Z</dcterms:created>
  <dcterms:modified xsi:type="dcterms:W3CDTF">2026-10-27T13:42:31Z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