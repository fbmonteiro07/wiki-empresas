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ELIPE~1.MON\AppData\Local\Temp\claude\E--Wiki-Felipe-empresas\c67260d5-2867-4d0e-acfe-b5b156226aba\scratchpad\"/>
    </mc:Choice>
  </mc:AlternateContent>
  <xr:revisionPtr revIDLastSave="0" documentId="13_ncr:1_{28F3B7E8-1FA9-4B81-9935-5A08A23FC799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README" sheetId="1" r:id="rId1"/>
    <sheet name="Dashboard" sheetId="2" r:id="rId2"/>
    <sheet name="Model" sheetId="3" r:id="rId3"/>
    <sheet name="Inputs" sheetId="4" r:id="rId4"/>
    <sheet name="Calibration" sheetId="5" r:id="rId5"/>
    <sheet name="Guardrails" sheetId="6" r:id="rId6"/>
    <sheet name="Comparators" sheetId="7" r:id="rId7"/>
    <sheet name="Sourc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6" l="1"/>
  <c r="E17" i="6"/>
  <c r="E16" i="6"/>
  <c r="E15" i="6"/>
  <c r="I14" i="6"/>
  <c r="E13" i="6"/>
  <c r="D13" i="6"/>
  <c r="H13" i="6" s="1"/>
  <c r="I13" i="6" s="1"/>
  <c r="E12" i="6"/>
  <c r="E9" i="6"/>
  <c r="D9" i="6"/>
  <c r="I9" i="6" s="1"/>
  <c r="E8" i="6"/>
  <c r="E7" i="6"/>
  <c r="E6" i="6"/>
  <c r="C11" i="5"/>
  <c r="C5" i="5"/>
  <c r="C4" i="5"/>
  <c r="C6" i="5" s="1"/>
  <c r="H59" i="4"/>
  <c r="G59" i="4"/>
  <c r="J58" i="4"/>
  <c r="J5" i="3" s="1"/>
  <c r="I58" i="4"/>
  <c r="I5" i="3" s="1"/>
  <c r="H58" i="4"/>
  <c r="H5" i="3" s="1"/>
  <c r="G58" i="4"/>
  <c r="C47" i="4"/>
  <c r="C46" i="4"/>
  <c r="C45" i="4"/>
  <c r="C88" i="3"/>
  <c r="C87" i="3"/>
  <c r="C82" i="3"/>
  <c r="H57" i="3"/>
  <c r="G57" i="3"/>
  <c r="F57" i="3"/>
  <c r="E57" i="3"/>
  <c r="D55" i="3"/>
  <c r="C55" i="3"/>
  <c r="H51" i="3"/>
  <c r="G51" i="3"/>
  <c r="C51" i="3"/>
  <c r="G40" i="3"/>
  <c r="F40" i="3"/>
  <c r="E40" i="3"/>
  <c r="D40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G29" i="3"/>
  <c r="F29" i="3"/>
  <c r="E29" i="3"/>
  <c r="D29" i="3"/>
  <c r="C29" i="3"/>
  <c r="G26" i="3"/>
  <c r="F26" i="3"/>
  <c r="F27" i="3" s="1"/>
  <c r="E26" i="3"/>
  <c r="E27" i="3" s="1"/>
  <c r="C91" i="3" s="1"/>
  <c r="D8" i="6" s="1"/>
  <c r="I8" i="6" s="1"/>
  <c r="D26" i="3"/>
  <c r="D27" i="3" s="1"/>
  <c r="C26" i="3"/>
  <c r="C27" i="3" s="1"/>
  <c r="G25" i="3"/>
  <c r="G30" i="3" s="1"/>
  <c r="G31" i="3" s="1"/>
  <c r="F25" i="3"/>
  <c r="E25" i="3"/>
  <c r="D25" i="3"/>
  <c r="C25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E14" i="3"/>
  <c r="D14" i="3"/>
  <c r="E13" i="3"/>
  <c r="E15" i="3" s="1"/>
  <c r="D13" i="3"/>
  <c r="D15" i="3" s="1"/>
  <c r="J12" i="3"/>
  <c r="I12" i="3"/>
  <c r="H12" i="3"/>
  <c r="G12" i="3"/>
  <c r="F12" i="3"/>
  <c r="J11" i="3"/>
  <c r="I11" i="3"/>
  <c r="H11" i="3"/>
  <c r="G11" i="3"/>
  <c r="F11" i="3"/>
  <c r="J10" i="3"/>
  <c r="I10" i="3"/>
  <c r="H10" i="3"/>
  <c r="G10" i="3"/>
  <c r="F10" i="3"/>
  <c r="E10" i="3"/>
  <c r="D10" i="3"/>
  <c r="J9" i="3"/>
  <c r="I9" i="3"/>
  <c r="H9" i="3"/>
  <c r="G9" i="3"/>
  <c r="F9" i="3"/>
  <c r="F6" i="3"/>
  <c r="E6" i="3"/>
  <c r="E7" i="3" s="1"/>
  <c r="D6" i="3"/>
  <c r="D7" i="3" s="1"/>
  <c r="C6" i="3"/>
  <c r="C7" i="3" s="1"/>
  <c r="E53" i="2"/>
  <c r="D53" i="2"/>
  <c r="E52" i="2"/>
  <c r="D52" i="2"/>
  <c r="E51" i="2"/>
  <c r="D51" i="2"/>
  <c r="E50" i="2"/>
  <c r="D50" i="2"/>
  <c r="E49" i="2"/>
  <c r="D49" i="2"/>
  <c r="H38" i="2"/>
  <c r="G38" i="2"/>
  <c r="F38" i="2"/>
  <c r="E38" i="2"/>
  <c r="D32" i="2"/>
  <c r="C32" i="2"/>
  <c r="C6" i="2"/>
  <c r="G27" i="3" l="1"/>
  <c r="G28" i="3" s="1"/>
  <c r="C10" i="5" s="1"/>
  <c r="F30" i="3"/>
  <c r="F31" i="3" s="1"/>
  <c r="E30" i="3"/>
  <c r="E31" i="3" s="1"/>
  <c r="D30" i="3"/>
  <c r="D31" i="3" s="1"/>
  <c r="C30" i="3"/>
  <c r="C31" i="3" s="1"/>
  <c r="C33" i="3" s="1"/>
  <c r="F28" i="3"/>
  <c r="C9" i="5" s="1"/>
  <c r="D17" i="3"/>
  <c r="C19" i="5"/>
  <c r="D16" i="6"/>
  <c r="H16" i="6" s="1"/>
  <c r="I16" i="6" s="1"/>
  <c r="G5" i="3"/>
  <c r="D15" i="6"/>
  <c r="H15" i="6" s="1"/>
  <c r="I15" i="6" s="1"/>
  <c r="D58" i="3"/>
  <c r="C34" i="3"/>
  <c r="D34" i="3" s="1"/>
  <c r="E34" i="3" s="1"/>
  <c r="F34" i="3" s="1"/>
  <c r="P37" i="3"/>
  <c r="O37" i="3"/>
  <c r="N37" i="3"/>
  <c r="M37" i="3"/>
  <c r="L37" i="3"/>
  <c r="E37" i="3"/>
  <c r="E28" i="3"/>
  <c r="D37" i="3"/>
  <c r="D28" i="3"/>
  <c r="C48" i="3" s="1"/>
  <c r="C37" i="3"/>
  <c r="C46" i="3"/>
  <c r="C27" i="2" s="1"/>
  <c r="D46" i="3"/>
  <c r="C17" i="5" s="1"/>
  <c r="D47" i="3"/>
  <c r="C47" i="3"/>
  <c r="C28" i="3"/>
  <c r="D48" i="3"/>
  <c r="E16" i="3"/>
  <c r="E17" i="3"/>
  <c r="F7" i="3"/>
  <c r="G6" i="3"/>
  <c r="F33" i="3"/>
  <c r="D33" i="3"/>
  <c r="E8" i="3"/>
  <c r="D8" i="3"/>
  <c r="E33" i="3"/>
  <c r="C68" i="3" l="1"/>
  <c r="C70" i="3" s="1"/>
  <c r="C71" i="3" s="1"/>
  <c r="C49" i="3"/>
  <c r="C29" i="2" s="1"/>
  <c r="D68" i="3"/>
  <c r="F8" i="7"/>
  <c r="D33" i="2"/>
  <c r="G33" i="3"/>
  <c r="G34" i="3" s="1"/>
  <c r="C35" i="3"/>
  <c r="C36" i="3" s="1"/>
  <c r="D6" i="6"/>
  <c r="H6" i="6" s="1"/>
  <c r="I6" i="6" s="1"/>
  <c r="F6" i="7"/>
  <c r="D27" i="2"/>
  <c r="F13" i="3"/>
  <c r="F14" i="3"/>
  <c r="F8" i="3"/>
  <c r="H25" i="3"/>
  <c r="H6" i="3"/>
  <c r="G7" i="3"/>
  <c r="F35" i="3"/>
  <c r="F36" i="3" s="1"/>
  <c r="D35" i="3"/>
  <c r="D36" i="3" s="1"/>
  <c r="E35" i="3"/>
  <c r="E36" i="3" s="1"/>
  <c r="D38" i="3"/>
  <c r="D39" i="3" s="1"/>
  <c r="E38" i="3"/>
  <c r="E39" i="3" s="1"/>
  <c r="C38" i="3"/>
  <c r="C39" i="3" s="1"/>
  <c r="D49" i="3" l="1"/>
  <c r="G35" i="3"/>
  <c r="G36" i="3" s="1"/>
  <c r="H26" i="3"/>
  <c r="F15" i="3"/>
  <c r="H30" i="3"/>
  <c r="H31" i="3" s="1"/>
  <c r="H33" i="3" s="1"/>
  <c r="I6" i="3"/>
  <c r="H7" i="3"/>
  <c r="G13" i="3"/>
  <c r="G14" i="3"/>
  <c r="G8" i="3"/>
  <c r="I25" i="3" s="1"/>
  <c r="C53" i="3"/>
  <c r="D41" i="3"/>
  <c r="E41" i="3"/>
  <c r="C85" i="3"/>
  <c r="C52" i="3"/>
  <c r="D29" i="2" l="1"/>
  <c r="C7" i="5"/>
  <c r="D60" i="3"/>
  <c r="D35" i="2" s="1"/>
  <c r="H35" i="3"/>
  <c r="H36" i="3" s="1"/>
  <c r="F16" i="3"/>
  <c r="F17" i="3"/>
  <c r="H27" i="3"/>
  <c r="J6" i="3"/>
  <c r="J7" i="3" s="1"/>
  <c r="I7" i="3"/>
  <c r="H13" i="3"/>
  <c r="H14" i="3"/>
  <c r="H8" i="3"/>
  <c r="K25" i="3"/>
  <c r="C28" i="2"/>
  <c r="C67" i="3"/>
  <c r="C41" i="2" s="1"/>
  <c r="C64" i="3"/>
  <c r="C40" i="2" s="1"/>
  <c r="C56" i="3"/>
  <c r="C89" i="3"/>
  <c r="D7" i="6"/>
  <c r="H7" i="6" s="1"/>
  <c r="I7" i="6" s="1"/>
  <c r="C65" i="3"/>
  <c r="C30" i="2"/>
  <c r="C50" i="3"/>
  <c r="C31" i="2" s="1"/>
  <c r="G15" i="3"/>
  <c r="C92" i="3"/>
  <c r="D12" i="6" s="1"/>
  <c r="H12" i="6" s="1"/>
  <c r="I12" i="6" s="1"/>
  <c r="H34" i="3"/>
  <c r="I30" i="3"/>
  <c r="I31" i="3" s="1"/>
  <c r="E46" i="3"/>
  <c r="J25" i="3"/>
  <c r="H15" i="3" l="1"/>
  <c r="C8" i="5"/>
  <c r="C18" i="5"/>
  <c r="H28" i="3"/>
  <c r="J13" i="3"/>
  <c r="J14" i="3"/>
  <c r="J8" i="3"/>
  <c r="O25" i="3"/>
  <c r="I13" i="3"/>
  <c r="I14" i="3"/>
  <c r="I8" i="3"/>
  <c r="M25" i="3"/>
  <c r="E61" i="2"/>
  <c r="D10" i="6"/>
  <c r="I10" i="6" s="1"/>
  <c r="G16" i="3"/>
  <c r="I27" i="3" s="1"/>
  <c r="G17" i="3"/>
  <c r="I33" i="3"/>
  <c r="I34" i="3" s="1"/>
  <c r="E27" i="2"/>
  <c r="G6" i="7"/>
  <c r="J30" i="3"/>
  <c r="J31" i="3" s="1"/>
  <c r="F46" i="3"/>
  <c r="K30" i="3"/>
  <c r="K31" i="3" s="1"/>
  <c r="L25" i="3"/>
  <c r="H17" i="3" l="1"/>
  <c r="H16" i="3"/>
  <c r="K27" i="3" s="1"/>
  <c r="E47" i="3"/>
  <c r="E68" i="3" s="1"/>
  <c r="J27" i="3"/>
  <c r="G27" i="5"/>
  <c r="D27" i="5"/>
  <c r="G26" i="5"/>
  <c r="D26" i="5"/>
  <c r="F25" i="5"/>
  <c r="F24" i="5"/>
  <c r="E27" i="5"/>
  <c r="F26" i="5"/>
  <c r="G25" i="5"/>
  <c r="D25" i="5"/>
  <c r="G24" i="5"/>
  <c r="D24" i="5"/>
  <c r="C14" i="5"/>
  <c r="C12" i="5"/>
  <c r="F27" i="5"/>
  <c r="C27" i="5"/>
  <c r="E26" i="5"/>
  <c r="C26" i="5"/>
  <c r="E25" i="5"/>
  <c r="C25" i="5"/>
  <c r="E24" i="5"/>
  <c r="C24" i="5"/>
  <c r="I28" i="3"/>
  <c r="E48" i="3" s="1"/>
  <c r="I26" i="3"/>
  <c r="J33" i="3"/>
  <c r="J34" i="3" s="1"/>
  <c r="E49" i="3"/>
  <c r="I35" i="3"/>
  <c r="I36" i="3" s="1"/>
  <c r="F27" i="2"/>
  <c r="H6" i="7"/>
  <c r="L30" i="3"/>
  <c r="L31" i="3" s="1"/>
  <c r="G46" i="3"/>
  <c r="G27" i="2" s="1"/>
  <c r="J15" i="3"/>
  <c r="I15" i="3"/>
  <c r="O30" i="3"/>
  <c r="O31" i="3" s="1"/>
  <c r="P25" i="3"/>
  <c r="P30" i="3" s="1"/>
  <c r="P31" i="3" s="1"/>
  <c r="M30" i="3"/>
  <c r="M31" i="3" s="1"/>
  <c r="N25" i="3"/>
  <c r="L27" i="3" l="1"/>
  <c r="K28" i="3"/>
  <c r="K26" i="3"/>
  <c r="F47" i="3"/>
  <c r="F68" i="3" s="1"/>
  <c r="J28" i="3"/>
  <c r="J26" i="3"/>
  <c r="C79" i="2"/>
  <c r="G37" i="3"/>
  <c r="G38" i="3" s="1"/>
  <c r="C13" i="5"/>
  <c r="C15" i="5" s="1"/>
  <c r="D5" i="6"/>
  <c r="D51" i="3"/>
  <c r="C70" i="2"/>
  <c r="J35" i="3"/>
  <c r="J36" i="3" s="1"/>
  <c r="K33" i="3"/>
  <c r="E29" i="2"/>
  <c r="E60" i="3"/>
  <c r="E35" i="2" s="1"/>
  <c r="J16" i="3"/>
  <c r="O27" i="3" s="1"/>
  <c r="P27" i="3" s="1"/>
  <c r="J17" i="3"/>
  <c r="I16" i="3"/>
  <c r="M27" i="3" s="1"/>
  <c r="N27" i="3" s="1"/>
  <c r="I17" i="3"/>
  <c r="C93" i="3"/>
  <c r="N30" i="3"/>
  <c r="N31" i="3" s="1"/>
  <c r="H46" i="3"/>
  <c r="H27" i="2" s="1"/>
  <c r="F48" i="3" l="1"/>
  <c r="L26" i="3"/>
  <c r="L28" i="3"/>
  <c r="L38" i="3" s="1"/>
  <c r="F49" i="3"/>
  <c r="F29" i="2" s="1"/>
  <c r="K34" i="3"/>
  <c r="G39" i="3"/>
  <c r="C55" i="2"/>
  <c r="E5" i="6"/>
  <c r="I5" i="6" s="1"/>
  <c r="F37" i="3"/>
  <c r="F38" i="3" s="1"/>
  <c r="E51" i="3"/>
  <c r="F51" i="3"/>
  <c r="D70" i="3"/>
  <c r="K35" i="3"/>
  <c r="K36" i="3" s="1"/>
  <c r="O28" i="3"/>
  <c r="O38" i="3" s="1"/>
  <c r="O26" i="3"/>
  <c r="P28" i="3"/>
  <c r="P38" i="3" s="1"/>
  <c r="P26" i="3"/>
  <c r="G47" i="3"/>
  <c r="G68" i="3" s="1"/>
  <c r="G70" i="3" s="1"/>
  <c r="M28" i="3"/>
  <c r="M26" i="3"/>
  <c r="H47" i="3"/>
  <c r="H68" i="3" s="1"/>
  <c r="H70" i="3" s="1"/>
  <c r="N28" i="3"/>
  <c r="N26" i="3"/>
  <c r="G96" i="2"/>
  <c r="D18" i="6"/>
  <c r="H18" i="6" s="1"/>
  <c r="I18" i="6" s="1"/>
  <c r="L33" i="3" l="1"/>
  <c r="L34" i="3" s="1"/>
  <c r="M33" i="3" s="1"/>
  <c r="C86" i="3"/>
  <c r="C90" i="3" s="1"/>
  <c r="G41" i="3"/>
  <c r="G42" i="3" s="1"/>
  <c r="F39" i="3"/>
  <c r="D52" i="3"/>
  <c r="H37" i="3"/>
  <c r="H38" i="3" s="1"/>
  <c r="I37" i="3"/>
  <c r="I38" i="3" s="1"/>
  <c r="I39" i="3" s="1"/>
  <c r="E70" i="3"/>
  <c r="J37" i="3"/>
  <c r="J38" i="3" s="1"/>
  <c r="K37" i="3"/>
  <c r="K38" i="3" s="1"/>
  <c r="K39" i="3" s="1"/>
  <c r="F70" i="3"/>
  <c r="D71" i="3"/>
  <c r="D74" i="3" s="1"/>
  <c r="D43" i="2" s="1"/>
  <c r="D73" i="3"/>
  <c r="D42" i="2" s="1"/>
  <c r="G71" i="3"/>
  <c r="G48" i="3"/>
  <c r="M38" i="3"/>
  <c r="G52" i="3" s="1"/>
  <c r="H71" i="3"/>
  <c r="N38" i="3"/>
  <c r="H52" i="3" s="1"/>
  <c r="H48" i="3"/>
  <c r="L39" i="3" l="1"/>
  <c r="L35" i="3"/>
  <c r="L36" i="3" s="1"/>
  <c r="G49" i="3"/>
  <c r="G29" i="2" s="1"/>
  <c r="M34" i="3"/>
  <c r="D11" i="6"/>
  <c r="I11" i="6" s="1"/>
  <c r="G70" i="2"/>
  <c r="F41" i="3"/>
  <c r="F42" i="3" s="1"/>
  <c r="C94" i="3" s="1"/>
  <c r="D53" i="3"/>
  <c r="D50" i="3"/>
  <c r="D31" i="2" s="1"/>
  <c r="D30" i="2"/>
  <c r="F5" i="7"/>
  <c r="D65" i="3"/>
  <c r="F7" i="7" s="1"/>
  <c r="D61" i="3"/>
  <c r="C83" i="3"/>
  <c r="C84" i="3" s="1"/>
  <c r="H39" i="3"/>
  <c r="E53" i="3" s="1"/>
  <c r="E52" i="3"/>
  <c r="E71" i="3"/>
  <c r="E74" i="3" s="1"/>
  <c r="E43" i="2" s="1"/>
  <c r="E73" i="3"/>
  <c r="E42" i="2" s="1"/>
  <c r="J39" i="3"/>
  <c r="F53" i="3" s="1"/>
  <c r="F52" i="3"/>
  <c r="F71" i="3"/>
  <c r="M39" i="3"/>
  <c r="M35" i="3"/>
  <c r="M36" i="3" s="1"/>
  <c r="G50" i="3"/>
  <c r="G31" i="2" s="1"/>
  <c r="G30" i="2"/>
  <c r="H50" i="3"/>
  <c r="H31" i="2" s="1"/>
  <c r="H30" i="2"/>
  <c r="G53" i="3" l="1"/>
  <c r="N33" i="3"/>
  <c r="D19" i="6"/>
  <c r="H19" i="6" s="1"/>
  <c r="I19" i="6" s="1"/>
  <c r="F61" i="2"/>
  <c r="H70" i="2"/>
  <c r="D28" i="2"/>
  <c r="D67" i="3"/>
  <c r="D41" i="2" s="1"/>
  <c r="D64" i="3"/>
  <c r="D59" i="3"/>
  <c r="D56" i="3"/>
  <c r="E76" i="3" s="1"/>
  <c r="F9" i="7"/>
  <c r="D36" i="2"/>
  <c r="H96" i="2"/>
  <c r="D14" i="6"/>
  <c r="E59" i="3"/>
  <c r="E67" i="3"/>
  <c r="E41" i="2" s="1"/>
  <c r="E28" i="2"/>
  <c r="E30" i="2"/>
  <c r="E50" i="3"/>
  <c r="E31" i="2" s="1"/>
  <c r="G5" i="7"/>
  <c r="E61" i="3"/>
  <c r="F67" i="3"/>
  <c r="F41" i="2" s="1"/>
  <c r="F28" i="2"/>
  <c r="F50" i="3"/>
  <c r="F31" i="2" s="1"/>
  <c r="F30" i="2"/>
  <c r="H5" i="7"/>
  <c r="G67" i="3" l="1"/>
  <c r="G41" i="2" s="1"/>
  <c r="G28" i="2"/>
  <c r="N35" i="3"/>
  <c r="N36" i="3" s="1"/>
  <c r="N39" i="3"/>
  <c r="N34" i="3"/>
  <c r="D79" i="2"/>
  <c r="D40" i="2"/>
  <c r="D63" i="3"/>
  <c r="D39" i="2" s="1"/>
  <c r="C61" i="2"/>
  <c r="D34" i="2"/>
  <c r="C49" i="2"/>
  <c r="D62" i="3"/>
  <c r="D37" i="2" s="1"/>
  <c r="D57" i="3"/>
  <c r="E56" i="3"/>
  <c r="C50" i="2"/>
  <c r="D70" i="2"/>
  <c r="E79" i="2"/>
  <c r="C86" i="2"/>
  <c r="C96" i="2"/>
  <c r="C102" i="2"/>
  <c r="G111" i="2"/>
  <c r="G122" i="2"/>
  <c r="E34" i="2"/>
  <c r="G9" i="7"/>
  <c r="B11" i="7" s="1"/>
  <c r="E36" i="2"/>
  <c r="O33" i="3" l="1"/>
  <c r="O34" i="3" s="1"/>
  <c r="D61" i="2"/>
  <c r="D38" i="2"/>
  <c r="F56" i="3"/>
  <c r="E62" i="3"/>
  <c r="E37" i="2" s="1"/>
  <c r="E55" i="3"/>
  <c r="O35" i="3" l="1"/>
  <c r="O36" i="3" s="1"/>
  <c r="O39" i="3"/>
  <c r="H53" i="3" s="1"/>
  <c r="H49" i="3"/>
  <c r="H29" i="2" s="1"/>
  <c r="P33" i="3"/>
  <c r="P34" i="3" s="1"/>
  <c r="C81" i="3" s="1"/>
  <c r="G56" i="3"/>
  <c r="F62" i="3"/>
  <c r="F37" i="2" s="1"/>
  <c r="F55" i="3"/>
  <c r="F59" i="3"/>
  <c r="E65" i="3"/>
  <c r="G7" i="7" s="1"/>
  <c r="E64" i="3"/>
  <c r="E40" i="2" s="1"/>
  <c r="F61" i="3"/>
  <c r="F73" i="3"/>
  <c r="F42" i="2" s="1"/>
  <c r="F74" i="3"/>
  <c r="F43" i="2" s="1"/>
  <c r="F60" i="3"/>
  <c r="F35" i="2" s="1"/>
  <c r="E58" i="3"/>
  <c r="E32" i="2"/>
  <c r="H67" i="3" l="1"/>
  <c r="H41" i="2" s="1"/>
  <c r="H28" i="2"/>
  <c r="P35" i="3"/>
  <c r="P36" i="3" s="1"/>
  <c r="D69" i="3" s="1"/>
  <c r="P39" i="3"/>
  <c r="C80" i="3"/>
  <c r="H56" i="3"/>
  <c r="G62" i="3"/>
  <c r="G37" i="2" s="1"/>
  <c r="G55" i="3"/>
  <c r="F64" i="3"/>
  <c r="F40" i="2" s="1"/>
  <c r="G59" i="3"/>
  <c r="F65" i="3"/>
  <c r="H7" i="7" s="1"/>
  <c r="G61" i="3"/>
  <c r="G36" i="2" s="1"/>
  <c r="G60" i="3"/>
  <c r="G35" i="2" s="1"/>
  <c r="G74" i="3"/>
  <c r="G43" i="2" s="1"/>
  <c r="G73" i="3"/>
  <c r="G42" i="2" s="1"/>
  <c r="F58" i="3"/>
  <c r="F32" i="2"/>
  <c r="H122" i="2"/>
  <c r="H111" i="2"/>
  <c r="D102" i="2"/>
  <c r="D96" i="2"/>
  <c r="D86" i="2"/>
  <c r="F79" i="2"/>
  <c r="E70" i="2"/>
  <c r="C51" i="2"/>
  <c r="F34" i="2"/>
  <c r="F36" i="2"/>
  <c r="H9" i="7"/>
  <c r="E63" i="3"/>
  <c r="E39" i="2" s="1"/>
  <c r="G8" i="7"/>
  <c r="C52" i="2"/>
  <c r="F70" i="2"/>
  <c r="G79" i="2"/>
  <c r="E86" i="2"/>
  <c r="E102" i="2"/>
  <c r="C111" i="2"/>
  <c r="C122" i="2"/>
  <c r="E33" i="2"/>
  <c r="D17" i="6"/>
  <c r="H17" i="6" s="1"/>
  <c r="I17" i="6" s="1"/>
  <c r="C21" i="6" s="1"/>
  <c r="C57" i="2" s="1"/>
  <c r="C69" i="3" l="1"/>
  <c r="E69" i="3"/>
  <c r="H69" i="3"/>
  <c r="F69" i="3"/>
  <c r="G69" i="3"/>
  <c r="C72" i="3"/>
  <c r="C45" i="2"/>
  <c r="D72" i="3"/>
  <c r="D75" i="3" s="1"/>
  <c r="D44" i="2" s="1"/>
  <c r="D45" i="2"/>
  <c r="I111" i="2"/>
  <c r="I122" i="2"/>
  <c r="H129" i="2"/>
  <c r="C56" i="2"/>
  <c r="H62" i="3"/>
  <c r="H37" i="2" s="1"/>
  <c r="H55" i="3"/>
  <c r="H59" i="3"/>
  <c r="H60" i="3"/>
  <c r="H35" i="2" s="1"/>
  <c r="G64" i="3"/>
  <c r="G40" i="2" s="1"/>
  <c r="H61" i="3"/>
  <c r="H36" i="2" s="1"/>
  <c r="G65" i="3"/>
  <c r="H73" i="3"/>
  <c r="H42" i="2" s="1"/>
  <c r="H74" i="3"/>
  <c r="H43" i="2" s="1"/>
  <c r="G58" i="3"/>
  <c r="G32" i="2"/>
  <c r="F129" i="2"/>
  <c r="G34" i="2"/>
  <c r="F63" i="3"/>
  <c r="F39" i="2" s="1"/>
  <c r="H8" i="7"/>
  <c r="F33" i="2"/>
  <c r="C53" i="2"/>
  <c r="F86" i="2"/>
  <c r="E96" i="2"/>
  <c r="F102" i="2"/>
  <c r="D111" i="2"/>
  <c r="D122" i="2"/>
  <c r="C129" i="2"/>
  <c r="B137" i="2"/>
  <c r="E72" i="3" l="1"/>
  <c r="E75" i="3" s="1"/>
  <c r="E44" i="2" s="1"/>
  <c r="E45" i="2"/>
  <c r="H45" i="2"/>
  <c r="H72" i="3"/>
  <c r="H75" i="3" s="1"/>
  <c r="H44" i="2" s="1"/>
  <c r="F72" i="3"/>
  <c r="F75" i="3" s="1"/>
  <c r="F44" i="2" s="1"/>
  <c r="F45" i="2"/>
  <c r="G72" i="3"/>
  <c r="G75" i="3" s="1"/>
  <c r="G44" i="2" s="1"/>
  <c r="G45" i="2"/>
  <c r="H64" i="3"/>
  <c r="H65" i="3"/>
  <c r="H58" i="3"/>
  <c r="H32" i="2"/>
  <c r="H34" i="2"/>
  <c r="G129" i="2"/>
  <c r="G63" i="3"/>
  <c r="G39" i="2" s="1"/>
  <c r="G86" i="2"/>
  <c r="F96" i="2"/>
  <c r="E111" i="2"/>
  <c r="E122" i="2"/>
  <c r="D129" i="2"/>
  <c r="G33" i="2"/>
  <c r="H40" i="2" l="1"/>
  <c r="H86" i="2"/>
  <c r="H63" i="3"/>
  <c r="H39" i="2" s="1"/>
  <c r="H33" i="2"/>
  <c r="F111" i="2"/>
  <c r="F122" i="2"/>
  <c r="E129" i="2"/>
</calcChain>
</file>

<file path=xl/sharedStrings.xml><?xml version="1.0" encoding="utf-8"?>
<sst xmlns="http://schemas.openxmlformats.org/spreadsheetml/2006/main" count="967" uniqueCount="701">
  <si>
    <t>OpenAI revenue → Azure growth — link model (v2)</t>
  </si>
  <si>
    <t>Capstone buyside research · 2026-10-26 · $bn · MSFT fiscal years end June · revised after an independent skeptic review</t>
  </si>
  <si>
    <t>THE QUESTION</t>
  </si>
  <si>
    <t>How much of Azure growth is OpenAI, and how does Azure respond when OpenAI revenue moves?</t>
  </si>
  <si>
    <t>WHAT IS PINNED (trust)</t>
  </si>
  <si>
    <t>• FY26 level: Microsoft booked $24.1bn of revenue from OpenAI incl. rev share (10-K related-party note) = ~21-24% of restated FY26 Azure ($101.9bn), depending on how much sits in Azure (80-100%).</t>
  </si>
  <si>
    <t>• Rev-share mechanics: ~20% of OpenAI revenue, booked gross in Azure, "exists through 2030" (Hood), capped. The reported $38bn cap is consistent with 20% × the 2026-30 plan = $135bn max.</t>
  </si>
  <si>
    <t>• FY26 rev share ≈ $3.8bn (±20%). The cap binds in 2028-29 in every scenario, so total 2026-30 rev share is a FIXED ~$38bn pie: OpenAI revenue changes its TIMING, not its size.</t>
  </si>
  <si>
    <t>WHAT IS DIRECTIONAL (ranges on the Dashboard)</t>
  </si>
  <si>
    <t>• FY26 OpenAI contribution to Azure growth (depends on how FY25 training was booked); FY27-FY28 OpenAI points and Azure growth (depend on the H1-26 exit share, terminal share, training path, ε, Azure-booked share).</t>
  </si>
  <si>
    <t>• FY29-FY30 are SCENARIO ONLY: the cap cliff rests on one paywalled article; uncapped, FY29 Azure growth is much higher.</t>
  </si>
  <si>
    <t>THREE CHANNELS</t>
  </si>
  <si>
    <t>1. Compute — OpenAI rents capacity on Azure (inference, training, hosting). Needs capacity. Historically training was funded through Microsoft's investment (off-P&amp;L, UBS); from FY26 it is revenue.</t>
  </si>
  <si>
    <t>2. Rev share — ~20% of OpenAI revenue, capped, guaranteed through 2030. Lands in Azure. Needs no capacity, ~100% margin.</t>
  </si>
  <si>
    <t>3. Azure OpenAI Service / Foundry — Microsoft selling OpenAI models to enterprises. In Azure but NOT in the $24.1bn; competes with OpenAI's own API. Kept in non-OpenAI Azure; used only in the AI run-rate checks.</t>
  </si>
  <si>
    <t>THE EQUATION</t>
  </si>
  <si>
    <t>OpenAI-related Azure (half) = min(20% × (OpenAI revenue − recognised Azure-API revenue), cap remaining) + s(half) × OpenAI compute eligible to be Azure revenue</t>
  </si>
  <si>
    <t>Compute = training(plan or WFS) × (rev ÷ plan rev)^ε + (inference + hosting)(WFS) × (rev ÷ WFS rev)^ε.  FY25: training × tf25 only (off-P&amp;L lever).</t>
  </si>
  <si>
    <t>Calibration: frac × $24.1bn − FY26 rev share = s(H2-25) × compute(H2-25) + s(H1-26) × compute(H1-26), with s(H2-25) = s(H1-26) + d. s(H1-26) then glides to the terminal share.</t>
  </si>
  <si>
    <t>Azure = non-OpenAI Azure (FY26 actual residual, then growth from the RPO ex-OpenAI proxy) + OpenAI-related Azure.</t>
  </si>
  <si>
    <t>LOAD-BEARING LEVERS (challenge these first)</t>
  </si>
  <si>
    <t>A1 FY25 training booked as revenue (0) · A2 Azure-share drop inside FY26 (10pts) · A3 share of $24.1bn in Azure (90%) · A4 terminal share (33%) · A5 training path (OpenAI plan) · A6 ε (0.5) · non-OpenAI growth (25% FY27, −2pts/yr).</t>
  </si>
  <si>
    <t>HOW TO USE</t>
  </si>
  <si>
    <t>Dashboard: change the blue controls; outputs, chart and ten live data tables update. "Headline with honest ranges" shows default + low/high across A1-A6.</t>
  </si>
  <si>
    <t>Guardrails: checks against observables, each labelled for independence. Calibration: the back-solve and its sensitivity. Inputs/Sources: every number with tag, broker/company, date, path.</t>
  </si>
  <si>
    <t>WHAT WOULD MOVE IT</t>
  </si>
  <si>
    <t>Microsoft F1Q27 print (late Oct-26): Azure growth vs 44-45% cc guide and any OpenAI disclosure. FY27 10-K (Jul-27): next related-party revenue figure. Any disclosure of the cap size/window or the term of the $250bn commitment.</t>
  </si>
  <si>
    <t>HARD</t>
  </si>
  <si>
    <t>PARTIAL</t>
  </si>
  <si>
    <t>ANCHOR</t>
  </si>
  <si>
    <t>CALIBRATED</t>
  </si>
  <si>
    <t>ESTIMATE</t>
  </si>
  <si>
    <t>OpenAI revenue → Azure growth — link model (v2, skeptic-revised)</t>
  </si>
  <si>
    <t>Capstone · 2026-10-26 · MSFT fiscal years (June YE), $bn · blue = control · tags: green HARD, blue PARTIAL, amber ESTIMATE · ranges below are the honest output</t>
  </si>
  <si>
    <t>Control</t>
  </si>
  <si>
    <t>Value</t>
  </si>
  <si>
    <t>Tag</t>
  </si>
  <si>
    <t>Basis / source</t>
  </si>
  <si>
    <t>Scenario (1 Bear · 2 Base · 3 Bull)</t>
  </si>
  <si>
    <t>Base = OpenAI 1Q26 internal-plan growth (S11) re-based to FT 2026 $36bn (S13). Bull = FUNDA run-rates (S17). Bear = placeholder.</t>
  </si>
  <si>
    <t>Scenario name</t>
  </si>
  <si>
    <t>OpenAI revenue shock (× on CY2027+ revenue)</t>
  </si>
  <si>
    <t>Outcome lever.</t>
  </si>
  <si>
    <t>ε — compute elasticity to revenue (0 = compute fixed at plan $, 1 = fixed $ per revenue $)</t>
  </si>
  <si>
    <t>Near term compute is contracted (ε≈0); long run it is funded by revenue (ε≈1). Midpoint.</t>
  </si>
  <si>
    <t>Terminal Azure share of OpenAI compute</t>
  </si>
  <si>
    <t>250/750 cloud commitments (S15); stock share used as flow share — see Inputs note. Alt 38.5% (S16).</t>
  </si>
  <si>
    <t>FY in which the Azure share reaches the terminal level</t>
  </si>
  <si>
    <t>Linear glide from the H1-26 exit share.</t>
  </si>
  <si>
    <t>Rev-share rate (OpenAI → Microsoft, % of OpenAI revenue)</t>
  </si>
  <si>
    <t>~20% (S9); "percentage stays the same" (S7); 20% × 2026-30 plan = $135bn max (S8).</t>
  </si>
  <si>
    <t>Rev-share cap, cumulative inside the window ($bn)</t>
  </si>
  <si>
    <t>The Information (S8) only. Microsoft: a cap exists, size not given (S7).</t>
  </si>
  <si>
    <t>Cap window starts at half-year index (5 = H1-26, 6 = H2-26)</t>
  </si>
  <si>
    <t>Derived from $135bn = 20% × 2026-30 plan (G7 is that identity, not a test).</t>
  </si>
  <si>
    <t>Cap window ends (calendar year)</t>
  </si>
  <si>
    <t>Window per S8. The rev share itself "exists through 2030" is HARD (Hood, S26).</t>
  </si>
  <si>
    <t>Share of the $24.1bn booked in Azure</t>
  </si>
  <si>
    <t>Rev share lands in Azure (S6); segment of the rest not disclosed (S1). Frontier slice of Cloud $21-26bn incl. Anthropic (S5) → 0.8-1.0.</t>
  </si>
  <si>
    <t>FY25 Azure share of OpenAI inference + hosting (back-cast)</t>
  </si>
  <si>
    <t>All OpenAI cloud spend on Azure as of Q2-25 (S10).</t>
  </si>
  <si>
    <t>FY25 share of OpenAI training on Azure booked as Azure REVENUE</t>
  </si>
  <si>
    <t>UBS: training "off-P&amp;L, netted against MSFT's equity stake" (S9). Microsoft AI run-rate check (G5a) fails above ~0.4.</t>
  </si>
  <si>
    <t>Azure-share drop H2-25 → H1-26 (pts)</t>
  </si>
  <si>
    <t>Unidentified by one annual anchor. 0 = smoothest non-OpenAI profile (G12); ≥0.2 = more AI run-rate headroom (G5b).</t>
  </si>
  <si>
    <t>Training-compute path (1 = OpenAI plan / WSJ, 2 = WFS haircut)</t>
  </si>
  <si>
    <t>LOAD-BEARING from FY28. Plan is the same family as the revenue plan.</t>
  </si>
  <si>
    <t>Backfill if OpenAI compute demand is lost (capacity-constrained regime)</t>
  </si>
  <si>
    <t>Microsoft IR: capacity-constrained, losing some OpenAI spend matters less (S6).</t>
  </si>
  <si>
    <t>OpenAI CY2026 revenue (net, $bn)</t>
  </si>
  <si>
    <t>FT plan (S13); fits $25bn ARR Mar-26 (S12) and ~$50bn net Sep-26 (S14).</t>
  </si>
  <si>
    <t>Non-OpenAI Azure growth FY27E</t>
  </si>
  <si>
    <t>Proxy: commercial RPO ex-OpenAI +25% (S5). Street-implied ~31% (Model diag.); FY26 back-cast 21-35%.</t>
  </si>
  <si>
    <t>Non-OpenAI growth fade per year after FY27 (pts)</t>
  </si>
  <si>
    <t>Outputs (live)</t>
  </si>
  <si>
    <t>FY25 back-cast</t>
  </si>
  <si>
    <t>FY26 anchor</t>
  </si>
  <si>
    <t>FY27E</t>
  </si>
  <si>
    <t>FY28E</t>
  </si>
  <si>
    <t>FY29E scen.</t>
  </si>
  <si>
    <t>FY30E scen.</t>
  </si>
  <si>
    <t>OpenAI revenue ($bn, MSFT FY)</t>
  </si>
  <si>
    <t>OpenAI-related Azure revenue ($bn)</t>
  </si>
  <si>
    <t xml:space="preserve">  of which rev share</t>
  </si>
  <si>
    <t xml:space="preserve">  of which compute</t>
  </si>
  <si>
    <t>Azure share of OpenAI compute (FY average)</t>
  </si>
  <si>
    <t>Azure revenue ($bn)</t>
  </si>
  <si>
    <t>Azure growth y/y</t>
  </si>
  <si>
    <t>OpenAI contribution (pts)</t>
  </si>
  <si>
    <t xml:space="preserve">  rev share (pts)</t>
  </si>
  <si>
    <t xml:space="preserve">  compute (pts)</t>
  </si>
  <si>
    <t>Non-OpenAI contribution (pts)</t>
  </si>
  <si>
    <t>Non-OpenAI Azure growth</t>
  </si>
  <si>
    <t>OpenAI share of Azure growth</t>
  </si>
  <si>
    <t>OpenAI share of Azure revenue</t>
  </si>
  <si>
    <t>Conversion: OpenAI-related Azure ÷ OpenAI revenue</t>
  </si>
  <si>
    <t>Azure pts per +$10bn OpenAI revenue — durable (compute), demand regime</t>
  </si>
  <si>
    <t xml:space="preserve">  durable, capacity regime (75% backfill)</t>
  </si>
  <si>
    <t xml:space="preserve">  rev-share TIMING (pulled forward, given back when the cap binds)</t>
  </si>
  <si>
    <t>Rev-share cap reached by FY-end (1/0)</t>
  </si>
  <si>
    <t>Headline with honest ranges (one-at-a-time assumption envelope, A1-A6)</t>
  </si>
  <si>
    <t>Metric</t>
  </si>
  <si>
    <t>Default</t>
  </si>
  <si>
    <t>Low</t>
  </si>
  <si>
    <t>High</t>
  </si>
  <si>
    <t>FY26 OpenAI contribution to Azure growth (pts)</t>
  </si>
  <si>
    <t>FY27E OpenAI contribution (pts)</t>
  </si>
  <si>
    <t>FY28E OpenAI contribution (pts)</t>
  </si>
  <si>
    <t>FY27E Azure growth</t>
  </si>
  <si>
    <t>FY28E Azure growth</t>
  </si>
  <si>
    <t>Calibrated Azure share H2-25 / H1-26 (exit)</t>
  </si>
  <si>
    <t>Rev-share cap first binds in (scenario)</t>
  </si>
  <si>
    <t>Guardrails</t>
  </si>
  <si>
    <t>A1 · FY25 training booked as Azure revenue (0 = off-P&amp;L per UBS)</t>
  </si>
  <si>
    <t>Input</t>
  </si>
  <si>
    <t>FY26 OpenAI pts</t>
  </si>
  <si>
    <t>FY26 non-OpenAI growth</t>
  </si>
  <si>
    <t>G5a: AI run-rate left Mar-25</t>
  </si>
  <si>
    <t>G12 swing (pts)</t>
  </si>
  <si>
    <t>A2 · Azure-share drop H2-25 → H1-26 (start of the glide)</t>
  </si>
  <si>
    <t>H1-26 exit share</t>
  </si>
  <si>
    <t>FY27 OpenAI pts</t>
  </si>
  <si>
    <t>FY28 OpenAI pts</t>
  </si>
  <si>
    <t>FY27 Azure g</t>
  </si>
  <si>
    <t>G5b: AI run-rate left Mar-26</t>
  </si>
  <si>
    <t>A3 · Share of the $24.1bn booked in Azure</t>
  </si>
  <si>
    <t>FY26 OpenAI % of Azure</t>
  </si>
  <si>
    <t>A4 · Terminal Azure share of OpenAI compute</t>
  </si>
  <si>
    <t>FY28 Azure g</t>
  </si>
  <si>
    <t>FY29 Azure g</t>
  </si>
  <si>
    <t>FY30 OpenAI % of Azure</t>
  </si>
  <si>
    <t>A5 · Training-compute path (1 = OpenAI plan, 2 = WFS haircut)</t>
  </si>
  <si>
    <t>Compute 2026-30 $bn</t>
  </si>
  <si>
    <t>RPO burn by Jun-30</t>
  </si>
  <si>
    <t>A6 · ε compute elasticity to revenue</t>
  </si>
  <si>
    <t>O1 · OpenAI revenue OUTCOME: shock × on CY27+ revenue</t>
  </si>
  <si>
    <t>FY30 Azure g</t>
  </si>
  <si>
    <t>Cap binds</t>
  </si>
  <si>
    <t>O2 · Scenario (1 Bear · 2 Base · 3 Bull)</t>
  </si>
  <si>
    <t>O3 · Rev-share cap size ($bn; 1,000 = effectively uncapped) — FY29-30 are scenario-only</t>
  </si>
  <si>
    <t>FY29 OpenAI pts</t>
  </si>
  <si>
    <t>FY30 OpenAI pts</t>
  </si>
  <si>
    <t>O4 · FY28 Azure growth: revenue shock (rows) × ε (columns)</t>
  </si>
  <si>
    <t>A# = assumption levers (unidentified by the data → their spread is model uncertainty). O# = outcome levers (what happens to Azure if OpenAI revenue / the cap differ). Grey italic rows drive Excel {=TABLE()} grids that recalculate live (Excel must not be on "Automatic except data tables").</t>
  </si>
  <si>
    <t>Model — calendar-year → half-year → MSFT fiscal-year engine</t>
  </si>
  <si>
    <t>All formulas. Half-years are the unit: the rev-share cap is cumulative and MSFT FY = H2 of one calendar year + H1 of the next.</t>
  </si>
  <si>
    <t>Calendar-year engine ($bn)</t>
  </si>
  <si>
    <t>Scenario revenue growth (CY27-30)</t>
  </si>
  <si>
    <t>OpenAI revenue, scenario (pre-shock)</t>
  </si>
  <si>
    <t>OpenAI revenue (after shock)</t>
  </si>
  <si>
    <t>Revenue growth factor (×)</t>
  </si>
  <si>
    <t>Plan revenue (1Q26 internal plan)</t>
  </si>
  <si>
    <t>WFS revenue (scales WFS inference/hosting)</t>
  </si>
  <si>
    <t>Training compute at plan/WFS revenue (selected path)</t>
  </si>
  <si>
    <t>Inference + hosting at WFS revenue</t>
  </si>
  <si>
    <t>Training compute (scenario)</t>
  </si>
  <si>
    <t>Inference + hosting (scenario)</t>
  </si>
  <si>
    <t>OpenAI total compute spend</t>
  </si>
  <si>
    <t>Compute growth factor (×)</t>
  </si>
  <si>
    <t>Compute intensity k</t>
  </si>
  <si>
    <t>Half-year engine ($bn)</t>
  </si>
  <si>
    <t>H1'24</t>
  </si>
  <si>
    <t>H2'24</t>
  </si>
  <si>
    <t>H1'25</t>
  </si>
  <si>
    <t>H2'25</t>
  </si>
  <si>
    <t>H1'26</t>
  </si>
  <si>
    <t>H2'26</t>
  </si>
  <si>
    <t>H1'27</t>
  </si>
  <si>
    <t>H2'27</t>
  </si>
  <si>
    <t>H1'28</t>
  </si>
  <si>
    <t>H2'28</t>
  </si>
  <si>
    <t>H1'29</t>
  </si>
  <si>
    <t>H2'29</t>
  </si>
  <si>
    <t>H1'30</t>
  </si>
  <si>
    <t>H2'30</t>
  </si>
  <si>
    <t>Calendar year</t>
  </si>
  <si>
    <t>Half (1/2)</t>
  </si>
  <si>
    <t>MSFT fiscal year</t>
  </si>
  <si>
    <t>Half index</t>
  </si>
  <si>
    <t>OpenAI revenue</t>
  </si>
  <si>
    <t xml:space="preserve">  of which training compute (memo)</t>
  </si>
  <si>
    <t>Compute eligible to be Azure revenue (FY25: ex off-P&amp;L training)</t>
  </si>
  <si>
    <t>Recognised Azure-API revenue (excluded from rev-share base)</t>
  </si>
  <si>
    <t>Rev-share base</t>
  </si>
  <si>
    <t>Rev share, uncapped</t>
  </si>
  <si>
    <t>Inside cap window? (1/0)</t>
  </si>
  <si>
    <t>Rev share paid to Microsoft</t>
  </si>
  <si>
    <t>Cumulative rev share inside window</t>
  </si>
  <si>
    <t>Cap binding this half? (1/0)</t>
  </si>
  <si>
    <t>helper: index if binding, else 99</t>
  </si>
  <si>
    <t>Azure share of OpenAI compute</t>
  </si>
  <si>
    <t>Azure compute revenue from OpenAI</t>
  </si>
  <si>
    <t>OpenAI-related Azure revenue (rev share + compute)</t>
  </si>
  <si>
    <t>Azure revenue, restated (HARD; FY25-26 halves)</t>
  </si>
  <si>
    <t>Non-OpenAI Azure revenue (halves)</t>
  </si>
  <si>
    <t>Non-OpenAI Azure y/y (halves) — diagnostic G12</t>
  </si>
  <si>
    <t>Fiscal-year roll-up (MSFT FY, $bn)</t>
  </si>
  <si>
    <t>OpenAI revenue (FY)</t>
  </si>
  <si>
    <t>OpenAI total compute spend (FY)</t>
  </si>
  <si>
    <t>Compute eligible to be Azure revenue</t>
  </si>
  <si>
    <t>Azure share of OpenAI compute (effective FY average)</t>
  </si>
  <si>
    <t>Azure share path (FY26 = H1-26 exit; glide to terminal)</t>
  </si>
  <si>
    <t>OpenAI-related Azure revenue</t>
  </si>
  <si>
    <t>Azure revenue</t>
  </si>
  <si>
    <t>Non-OpenAI Azure revenue</t>
  </si>
  <si>
    <t>OpenAI contribution to Azure growth (pts)</t>
  </si>
  <si>
    <t xml:space="preserve">  of which rev share (pts)</t>
  </si>
  <si>
    <t xml:space="preserve">  of which compute (pts)</t>
  </si>
  <si>
    <t>OpenAI COMPUTE share of Azure revenue (FUNDA-comparable)</t>
  </si>
  <si>
    <t>Conversion: OpenAI-related Azure revenue ÷ OpenAI revenue</t>
  </si>
  <si>
    <t>Compute intensity k (FY)</t>
  </si>
  <si>
    <t>Rev-share cap reached by FY-end? (1/0)</t>
  </si>
  <si>
    <t>Durable marginal: Azure $ per +$1 OpenAI revenue (compute only, demand regime)</t>
  </si>
  <si>
    <t>Durable marginal, capacity regime (after backfill)</t>
  </si>
  <si>
    <t>Rev-share timing: $ pulled forward per +$1 (given back once the cap binds)</t>
  </si>
  <si>
    <t>Azure pts per +$10bn OpenAI revenue — durable, demand regime</t>
  </si>
  <si>
    <t>Azure pts per +$10bn — durable, capacity regime</t>
  </si>
  <si>
    <t>Azure pts per +$10bn — rev-share TIMING only</t>
  </si>
  <si>
    <t>Diagnostic: Street-implied non-OpenAI growth (MS FY27 Azure less this OpenAI path)</t>
  </si>
  <si>
    <t>Single-cell outputs and diagnostics</t>
  </si>
  <si>
    <t>Rev-share cap first binds in</t>
  </si>
  <si>
    <t>Cumulative rev share inside the window ($bn)</t>
  </si>
  <si>
    <t>OpenAI share of commercial RPO, Dec-25 ($bn) — STOCK</t>
  </si>
  <si>
    <t>Cumulative Azure compute revenue from OpenAI, Jan-26 → Jun-30 ($bn) — cumulative FLOW</t>
  </si>
  <si>
    <t>Share of the Dec-25 OpenAI RPO consumed by Jun-30</t>
  </si>
  <si>
    <t>Annualised OpenAI-related Azure revenue, H1-25 (Jan-Jun 25)</t>
  </si>
  <si>
    <t>Annualised OpenAI-related Azure revenue, H1-26 (Jan-Jun 26)</t>
  </si>
  <si>
    <t>Annualised Azure OpenAI Service gross sales, H1-25 (WFS)</t>
  </si>
  <si>
    <t>Annualised Azure OpenAI Service gross sales, H1-26 (WFS est.)</t>
  </si>
  <si>
    <t>AI run-rate left for Copilots &amp; other AI, Mar-25 (% of run-rate)</t>
  </si>
  <si>
    <t>AI run-rate left for Copilots &amp; other AI, Mar-26 (% of run-rate)</t>
  </si>
  <si>
    <t>Annualised OpenAI total compute spend, H1-25</t>
  </si>
  <si>
    <t>Rev share paid in CY26 ($bn)</t>
  </si>
  <si>
    <t>OpenAI total compute spend 2026-30, selected scenario ($bn)</t>
  </si>
  <si>
    <t>Non-OpenAI y/y swing H2-25 → H1-26 (pts)</t>
  </si>
  <si>
    <t>Inputs — every sourced number, tagged</t>
  </si>
  <si>
    <t>Values in $bn unless stated. Fill: green HARD · blue PARTIAL · dark blue ANCHOR · amber ESTIMATE. Source IDs → Sources sheet.</t>
  </si>
  <si>
    <t>ID</t>
  </si>
  <si>
    <t>Item</t>
  </si>
  <si>
    <t>Unit</t>
  </si>
  <si>
    <t>Source</t>
  </si>
  <si>
    <t>Note</t>
  </si>
  <si>
    <t>anchor</t>
  </si>
  <si>
    <t>FY26 Microsoft revenue from commercial arrangements with OpenAI, incl. revenue-sharing payments (related-party note)</t>
  </si>
  <si>
    <t>$bn</t>
  </si>
  <si>
    <t>S1</t>
  </si>
  <si>
    <t>Company-wide (segment not named), Jul-25 to Jun-26. First-ever disclosure (ASC 850). The calibration anchor.</t>
  </si>
  <si>
    <t>ar</t>
  </si>
  <si>
    <t>Accounts receivable from OpenAI, 30-Jun-26</t>
  </si>
  <si>
    <t>Memo.</t>
  </si>
  <si>
    <t>az25</t>
  </si>
  <si>
    <t>Azure revenue FY25, restated to the FY27 definition</t>
  </si>
  <si>
    <t>S2</t>
  </si>
  <si>
    <t>az26</t>
  </si>
  <si>
    <t>Azure revenue FY26, restated to the FY27 definition</t>
  </si>
  <si>
    <t>+40.4% y/y.</t>
  </si>
  <si>
    <t>az25q1</t>
  </si>
  <si>
    <t>Azure F1Q25 (Sep-24 qtr), restated</t>
  </si>
  <si>
    <t>az25q2</t>
  </si>
  <si>
    <t>Azure F2Q25 (Dec-24 qtr), restated</t>
  </si>
  <si>
    <t>az25q3</t>
  </si>
  <si>
    <t>Azure F3Q25 (Mar-25 qtr), restated</t>
  </si>
  <si>
    <t>az25q4</t>
  </si>
  <si>
    <t>Azure F4Q25 (Jun-25 qtr), restated</t>
  </si>
  <si>
    <t>az26q1</t>
  </si>
  <si>
    <t>Azure F1Q26 (Sep-25 qtr), restated</t>
  </si>
  <si>
    <t>az26q2</t>
  </si>
  <si>
    <t>Azure F2Q26 (Dec-25 qtr), restated</t>
  </si>
  <si>
    <t>az26q3</t>
  </si>
  <si>
    <t>Azure F3Q26 (Mar-26 qtr), restated</t>
  </si>
  <si>
    <t>az26q4</t>
  </si>
  <si>
    <t>Azure F4Q26 (Jun-26 qtr), restated</t>
  </si>
  <si>
    <t>rpo</t>
  </si>
  <si>
    <t>Commercial RPO, 31-Dec-25</t>
  </si>
  <si>
    <t>S3</t>
  </si>
  <si>
    <t>rposh</t>
  </si>
  <si>
    <t>Share of commercial RPO from OpenAI, 31-Dec-25</t>
  </si>
  <si>
    <t>%</t>
  </si>
  <si>
    <t>"Approximately 45%" (±~$16bn of rounding). Only quarter with an OpenAI %; F3Q26/F4Q26 give ex-OpenAI growth only.</t>
  </si>
  <si>
    <t>rpo_x</t>
  </si>
  <si>
    <t>Commercial RPO growth EXCLUDING OpenAI, F4Q26</t>
  </si>
  <si>
    <t>S5</t>
  </si>
  <si>
    <t>Proxy used for the FY27 non-OpenAI Azure growth default.</t>
  </si>
  <si>
    <t>commit</t>
  </si>
  <si>
    <t>Incremental Azure commitment from OpenAI, Oct-25</t>
  </si>
  <si>
    <t>S4</t>
  </si>
  <si>
    <t>Term not disclosed.</t>
  </si>
  <si>
    <t>cloud26</t>
  </si>
  <si>
    <t>Microsoft Cloud revenue FY26 (as reported)</t>
  </si>
  <si>
    <t>"nearly 90% from customers outside of Frontier model companies".</t>
  </si>
  <si>
    <t>fr_lo</t>
  </si>
  <si>
    <t>Frontier-model companies' share of Microsoft Cloud, low end</t>
  </si>
  <si>
    <t>Capstone reading of "nearly 90% outside": 10-13%. Includes Anthropic.</t>
  </si>
  <si>
    <t>fr_hi</t>
  </si>
  <si>
    <t>Frontier-model companies' share of Microsoft Cloud, high end</t>
  </si>
  <si>
    <t>ai_dec24</t>
  </si>
  <si>
    <t>Microsoft AI business annual revenue run-rate, Dec-24</t>
  </si>
  <si>
    <t>S24</t>
  </si>
  <si>
    <t>"surpassed $13 billion, up 175%".</t>
  </si>
  <si>
    <t>ai_rr</t>
  </si>
  <si>
    <t>Microsoft AI business annual revenue run-rate, Mar-26</t>
  </si>
  <si>
    <t>S20</t>
  </si>
  <si>
    <t>"surpassed $37 billion ARR, up 123%". Company-wide (Azure AI + Copilots + OpenAI).</t>
  </si>
  <si>
    <t>ai_g</t>
  </si>
  <si>
    <t>Growth of that run-rate y/y, Mar-26</t>
  </si>
  <si>
    <t>Implies ~$16.6bn at Mar-25.</t>
  </si>
  <si>
    <t>ubs_rr</t>
  </si>
  <si>
    <t>UBS: Azure AI revenue run-rate at Jun-25, "substantially all" OpenAI-tied</t>
  </si>
  <si>
    <t>S9</t>
  </si>
  <si>
    <t>Broker estimate; sits near the whole of Microsoft's AI run-rate at the time (see G3).</t>
  </si>
  <si>
    <t>semi</t>
  </si>
  <si>
    <t>SemiAnalysis: OpenAI cloud spend, all booked by Azure, as of Q2-25 ("&gt;$10B")</t>
  </si>
  <si>
    <t>S10</t>
  </si>
  <si>
    <t>A floor.</t>
  </si>
  <si>
    <t>info_rs</t>
  </si>
  <si>
    <t>The Information: Microsoft rev share from OpenAI in 2026</t>
  </si>
  <si>
    <t>S8</t>
  </si>
  <si>
    <t>"~$6B (vs $4B planned) of $30B" via @wallstengine 2026-05-12.</t>
  </si>
  <si>
    <t>info_max</t>
  </si>
  <si>
    <t>The Information: uncapped rev share 2026-30 ("$135B max")</t>
  </si>
  <si>
    <t>Cap $38B vs $135B max -&gt; "saves $97B".</t>
  </si>
  <si>
    <t>ft30</t>
  </si>
  <si>
    <t>FT: OpenAI plan revenue, 2030</t>
  </si>
  <si>
    <t>S13</t>
  </si>
  <si>
    <t>ftcum</t>
  </si>
  <si>
    <t>FT: OpenAI plan revenue "between now and the end of 2030"</t>
  </si>
  <si>
    <t>"Now" = Sep-26: window read as Sep-26 to Dec-30.</t>
  </si>
  <si>
    <t>ftcomp</t>
  </si>
  <si>
    <t>FT: OpenAI spend "on computing power and infrastructure by the end of 2030"</t>
  </si>
  <si>
    <t>Same plan vintage as the revenue ladder. Includes infrastructure, so a ceiling-ish check on compute.</t>
  </si>
  <si>
    <t>ftsep</t>
  </si>
  <si>
    <t>FT: OpenAI NET annualised revenue, Sep-26</t>
  </si>
  <si>
    <t>S14</t>
  </si>
  <si>
    <t>NET basis. Axios ~$70bn is GROSS: never mix.</t>
  </si>
  <si>
    <t>c_orcl</t>
  </si>
  <si>
    <t>OpenAI compute agreement: Oracle / Stargate</t>
  </si>
  <si>
    <t>S15</t>
  </si>
  <si>
    <t>c_az</t>
  </si>
  <si>
    <t>OpenAI compute agreement: Microsoft Azure</t>
  </si>
  <si>
    <t>c_aws</t>
  </si>
  <si>
    <t>OpenAI compute agreement: AWS</t>
  </si>
  <si>
    <t>"over 8 yrs, ramping" — terms differ by contract.</t>
  </si>
  <si>
    <t>c_gcp</t>
  </si>
  <si>
    <t>OpenAI compute agreement: Google Cloud</t>
  </si>
  <si>
    <t>c_crwv</t>
  </si>
  <si>
    <t>OpenAI compute agreement: CoreWeave</t>
  </si>
  <si>
    <t>c_nov</t>
  </si>
  <si>
    <t>Barclays Nov-25: total OpenAI compute obligations</t>
  </si>
  <si>
    <t>S16</t>
  </si>
  <si>
    <t>Alternative denominator.</t>
  </si>
  <si>
    <t>ms_fy27</t>
  </si>
  <si>
    <t>Morgan Stanley: FY27E Azure growth, new definition ($147.2bn)</t>
  </si>
  <si>
    <t>S25</t>
  </si>
  <si>
    <t>Full-year Street comparator (G10).</t>
  </si>
  <si>
    <t>funda_rev26</t>
  </si>
  <si>
    <t>FUNDA: OpenAI revenue, MSFT FY26</t>
  </si>
  <si>
    <t>S17</t>
  </si>
  <si>
    <t>G2.</t>
  </si>
  <si>
    <t>funda_rr27</t>
  </si>
  <si>
    <t>FUNDA: OpenAI annualised revenue run-rate, Jun-27E</t>
  </si>
  <si>
    <t>Bull scenario CY27.</t>
  </si>
  <si>
    <t>funda_rr28</t>
  </si>
  <si>
    <t>FUNDA: OpenAI annualised revenue run-rate, Jun-28E</t>
  </si>
  <si>
    <t>Bull scenario CY28.</t>
  </si>
  <si>
    <t>term_share</t>
  </si>
  <si>
    <t>Derived: Azure share of OpenAI cloud commitments = Azure ÷ (Oracle + Azure + AWS + GCP + CoreWeave)</t>
  </si>
  <si>
    <t>A share of contract STOCKS used as an annual FLOW share (terms differ). Omits AMD/Broadcom/Cerebras/owned capacity (pushes lower); adding ~$31bn pre-existing Azure RPO pushes to ~36%.</t>
  </si>
  <si>
    <t>term_alt</t>
  </si>
  <si>
    <t>Derived (alt): Azure ÷ Barclays Nov-25 total obligations</t>
  </si>
  <si>
    <t>ai_mar25</t>
  </si>
  <si>
    <t>Derived: Microsoft AI run-rate at Mar-25 = Mar-26 ÷ (1 + growth)</t>
  </si>
  <si>
    <t>Between the Dec-24 $13bn and Mar-26 $37bn marks.</t>
  </si>
  <si>
    <t>Calendar-year series ($bn)</t>
  </si>
  <si>
    <t>rev_wfs</t>
  </si>
  <si>
    <t>OpenAI net (recognised) revenue — WFS model</t>
  </si>
  <si>
    <t>S11</t>
  </si>
  <si>
    <t>WFS tabulation (2023-25) and estimates (2026-30, Jul-26 vintage). Denominator for scaling WFS inference/hosting.</t>
  </si>
  <si>
    <t>rev_co25</t>
  </si>
  <si>
    <t>OpenAI 2025 revenue — company figure</t>
  </si>
  <si>
    <t>S12</t>
  </si>
  <si>
    <t>Memo: model uses WFS quarters (12.5) to stay consistent with the WFS compute quarters.</t>
  </si>
  <si>
    <t>plan_rev</t>
  </si>
  <si>
    <t>OpenAI internal plan revenue, as of 1Q26</t>
  </si>
  <si>
    <t>Plan as tabulated by WFS. Sum 2026-30 = $674.6bn; 20% of it = $134.9bn (G7).</t>
  </si>
  <si>
    <t>train_plan</t>
  </si>
  <si>
    <t>Training &amp; R&amp;D compute — OpenAI internal plan (WSJ)</t>
  </si>
  <si>
    <t>WSJ 2026-04-05 internal projections via WFS. Path 1 (default). LOAD-BEARING for FY28+.</t>
  </si>
  <si>
    <t>train_wfs</t>
  </si>
  <si>
    <t>Training &amp; R&amp;D compute — WFS own estimate</t>
  </si>
  <si>
    <t>Path 2: WFS haircuts the plan by 25-53% from 2027.</t>
  </si>
  <si>
    <t>infer</t>
  </si>
  <si>
    <t>Inference compute (reported)</t>
  </si>
  <si>
    <t>2025 $8.4B / 2026E ~$14B per The Information 2026-02-24; 2027-30 WFS (tied to WFS revenue).</t>
  </si>
  <si>
    <t>host</t>
  </si>
  <si>
    <t>Hosting &amp; other cost of sales (non-GPU cloud services)</t>
  </si>
  <si>
    <t>2024 from The Information (Winter-25 projection); rest WFS. Inside the $24.1bn anchor, so inside the share denominator too.</t>
  </si>
  <si>
    <t>g_bear</t>
  </si>
  <si>
    <t>Scenario 1 Bear — OpenAI revenue growth y/y</t>
  </si>
  <si>
    <t>—</t>
  </si>
  <si>
    <t>Capstone placeholder; no source.</t>
  </si>
  <si>
    <t>g_base</t>
  </si>
  <si>
    <t>Scenario 2 Base — growth of the 1Q26 internal plan</t>
  </si>
  <si>
    <t>S11, S13</t>
  </si>
  <si>
    <t>Plan growth re-based to FT's $36bn 2026 → ~$338bn 2030 vs FT $350bn (G9).</t>
  </si>
  <si>
    <t>g_bull</t>
  </si>
  <si>
    <t>Scenario 3 Bull — FUNDA run-rate path, then fade</t>
  </si>
  <si>
    <t>CY27/CY28 = FUNDA Jun-27E / Jun-28E run-rates (mid-year run-rate ≈ calendar-year revenue); 2029-30 fade ESTIMATE.</t>
  </si>
  <si>
    <t>WFS quarterly lines ($bn) — basis for the H1-24 … H1-26 half-years</t>
  </si>
  <si>
    <t>1Q24</t>
  </si>
  <si>
    <t>2Q24</t>
  </si>
  <si>
    <t>3Q24</t>
  </si>
  <si>
    <t>4Q24</t>
  </si>
  <si>
    <t>1Q25</t>
  </si>
  <si>
    <t>2Q25</t>
  </si>
  <si>
    <t>3Q25</t>
  </si>
  <si>
    <t>4Q25</t>
  </si>
  <si>
    <t>1Q26E</t>
  </si>
  <si>
    <t>2Q26E</t>
  </si>
  <si>
    <t>Source / note</t>
  </si>
  <si>
    <t>q_rev</t>
  </si>
  <si>
    <t>OpenAI net revenue</t>
  </si>
  <si>
    <t>S11 (WFS OpenAI PnL). OpenAI reports no quarters; 1Q26E-2Q26E are WFS estimates.</t>
  </si>
  <si>
    <t>q_trn</t>
  </si>
  <si>
    <t>Compute — training &amp; R&amp;D</t>
  </si>
  <si>
    <t xml:space="preserve">S11 (WFS OpenAI PnL). </t>
  </si>
  <si>
    <t>q_inf</t>
  </si>
  <si>
    <t>Compute — inference (reported)</t>
  </si>
  <si>
    <t>q_api</t>
  </si>
  <si>
    <t>Recognised Azure-API revenue (OpenAI's 20% of Azure OpenAI Service) — excluded from the rev-share base</t>
  </si>
  <si>
    <t>S11 (WFS OpenAI PnL). Zero after the Apr-26 rework.</t>
  </si>
  <si>
    <t>q_gapi</t>
  </si>
  <si>
    <t>Azure OpenAI Service gross sales (channel 3 — Microsoft revenue, not OpenAI's)</t>
  </si>
  <si>
    <t>S11 (WFS OpenAI PnL). Used only in the AI run-rate checks (G3, G5).</t>
  </si>
  <si>
    <t>Calibration — back-solve the Azure share from the 10-K anchor</t>
  </si>
  <si>
    <t>One disclosed level ($24.1bn) identifies ONE constant. The split of FY26 into halves (the drop d) is a separate, unidentified lever.</t>
  </si>
  <si>
    <t>FY26 Microsoft revenue from OpenAI, incl. rev share (10-K)</t>
  </si>
  <si>
    <t>ANCHOR · S1</t>
  </si>
  <si>
    <t>× share booked in Azure</t>
  </si>
  <si>
    <t>Dashboard control</t>
  </si>
  <si>
    <t>equals: OpenAI-related Azure revenue FY26</t>
  </si>
  <si>
    <t>less: rev share FY26 (20% × OpenAI revenue ex recognised Azure-API revenue)</t>
  </si>
  <si>
    <t>S7/S8/S9 rate · S11 revenue</t>
  </si>
  <si>
    <t>equals: Azure compute revenue from OpenAI FY26</t>
  </si>
  <si>
    <t>OpenAI compute spend H2-25 (WFS, incl. hosting)</t>
  </si>
  <si>
    <t>OpenAI compute spend H1-26 (WFS estimate, incl. hosting)</t>
  </si>
  <si>
    <t>Azure-share drop H2-25 → H1-26 (d)</t>
  </si>
  <si>
    <t>CALIBRATED: Azure share, H1-26 (exit, start of the glide)</t>
  </si>
  <si>
    <t>Solves C8 = s1×C9 + s2×C10 with s1 = s2 + d</t>
  </si>
  <si>
    <t>CALIBRATED: Azure share, H2-25</t>
  </si>
  <si>
    <t>Effective FY26 average share</t>
  </si>
  <si>
    <t>Independent of d</t>
  </si>
  <si>
    <t>Status</t>
  </si>
  <si>
    <t>Guardrail G1</t>
  </si>
  <si>
    <t>Conversion FY26: OpenAI-related Azure revenue ÷ OpenAI revenue</t>
  </si>
  <si>
    <t>Rev share as % of OpenAI-related Azure revenue FY26</t>
  </si>
  <si>
    <t>OpenAI-related revenue as % of restated FY26 Azure</t>
  </si>
  <si>
    <t>Exit share (C12) sensitivity: WFS compute multiplier (columns) × drop d (rows)</t>
  </si>
  <si>
    <t>Read: the FY26 LEVEL of OpenAI-related Azure revenue is pinned by the 10-K (× the Azure-booked share). What is NOT pinned: how it splits between the two halves of FY26, and therefore where the forward glide starts. A ±20% error in the WFS compute halves moves the exit share by roughly ∓8-10pts.</t>
  </si>
  <si>
    <t>Guardrails — checks against observables, with honest independence labels</t>
  </si>
  <si>
    <t>PASS within tolerance · WATCH within 1.6× · FAIL beyond · INFO = cannot realistically fail. NOTHING here tests the share glide, ε, the terminal share or the Azure-booked share: those are shown as ranges on the Dashboard.</t>
  </si>
  <si>
    <t>#</t>
  </si>
  <si>
    <t>Check</t>
  </si>
  <si>
    <t>Type</t>
  </si>
  <si>
    <t>Model</t>
  </si>
  <si>
    <t>Anchor</t>
  </si>
  <si>
    <t>Anchor source</t>
  </si>
  <si>
    <t>Tolerance</t>
  </si>
  <si>
    <t>Deviation</t>
  </si>
  <si>
    <t>Independent of the fit?</t>
  </si>
  <si>
    <t>Read</t>
  </si>
  <si>
    <t>G1</t>
  </si>
  <si>
    <t>Calibrated Azure shares (H2-25, H1-26) inside 0-100%</t>
  </si>
  <si>
    <t>derived constant</t>
  </si>
  <si>
    <t>Calibration</t>
  </si>
  <si>
    <t>No</t>
  </si>
  <si>
    <t>Model = H1-26 exit share; Anchor column = H2-25 share.</t>
  </si>
  <si>
    <t>G2</t>
  </si>
  <si>
    <t>FY26 OpenAI revenue (WFS halves) vs FUNDA FY26</t>
  </si>
  <si>
    <t>flow vs flow</t>
  </si>
  <si>
    <t>FUNDA 2026-10-23 (S17)</t>
  </si>
  <si>
    <t>Yes — different source</t>
  </si>
  <si>
    <t>Validates the revenue base for the rev share.</t>
  </si>
  <si>
    <t>G3</t>
  </si>
  <si>
    <t>H1-25 annualised OpenAI-related Azure + Azure OpenAI Service vs UBS Jun-25 Azure-AI run-rate</t>
  </si>
  <si>
    <t>run-rate vs run-rate</t>
  </si>
  <si>
    <t>UBS 2025-09-02 (S9)</t>
  </si>
  <si>
    <t>Yes — broker</t>
  </si>
  <si>
    <t>UBS's $18.6bn sits near the whole of Microsoft's AI run-rate then (~$16.6bn Mar-25, HARD): G5a governs.</t>
  </si>
  <si>
    <t>G3c</t>
  </si>
  <si>
    <t>OpenAI total compute run-rate H1-25 ≥ SemiAnalysis "&gt;$10B on Azure"</t>
  </si>
  <si>
    <t>floor</t>
  </si>
  <si>
    <t>SemiAnalysis 2025-09-03 (S10)</t>
  </si>
  <si>
    <t>Yes</t>
  </si>
  <si>
    <t>Floor only.</t>
  </si>
  <si>
    <t>G4</t>
  </si>
  <si>
    <t>$24.1bn ÷ Microsoft Cloud FY26 inside the frontier-company band (10-13%)</t>
  </si>
  <si>
    <t>share vs share</t>
  </si>
  <si>
    <t>"nearly 90% outside Frontier model companies" (S5)</t>
  </si>
  <si>
    <t>No — same filer, same year</t>
  </si>
  <si>
    <t>Anchor consistency only.</t>
  </si>
  <si>
    <t>G5a</t>
  </si>
  <si>
    <t>Microsoft AI run-rate Mar-25 left for Copilots &amp; other AI after OpenAI-related + Azure OpenAI Service</t>
  </si>
  <si>
    <t>component vs total</t>
  </si>
  <si>
    <t>Microsoft F3Q26 call: $37bn, +123% (S20)</t>
  </si>
  <si>
    <t>Yes — company AI disclosure, not used in the fit</t>
  </si>
  <si>
    <t>Tests the FY25 back-cast (training off-P&amp;L lever). Needs ≥15% left for M365/GitHub Copilot etc.</t>
  </si>
  <si>
    <t>G5b</t>
  </si>
  <si>
    <t>Same at Mar-26 ($37bn)</t>
  </si>
  <si>
    <t>Tests the H1-26 exit level (d lever). ~30M+ Copilot seats alone are several $bn.</t>
  </si>
  <si>
    <t>G6</t>
  </si>
  <si>
    <t>Rev share paid in CY26 vs The Information (~$6bn)</t>
  </si>
  <si>
    <t>The Information 2026-05-11 (S8)</t>
  </si>
  <si>
    <t>Partly — rate shares a source</t>
  </si>
  <si>
    <t>Gap = revenue base ($36bn FT plan vs $30bn at the time).</t>
  </si>
  <si>
    <t>G7</t>
  </si>
  <si>
    <t>20% × 1Q26 plan revenue 2026-30 vs "$135bn max"</t>
  </si>
  <si>
    <t>identity</t>
  </si>
  <si>
    <t>S8 vs S11</t>
  </si>
  <si>
    <t>No — this identity SETS the window start</t>
  </si>
  <si>
    <t>Consistency of the reported cap terms with the plan, not a test of the model.</t>
  </si>
  <si>
    <t>G8</t>
  </si>
  <si>
    <t>Cumulative Azure compute revenue Jan-26→Jun-30 ÷ OpenAI RPO Dec-25 ($281bn)</t>
  </si>
  <si>
    <t>cumulative flow vs stock</t>
  </si>
  <si>
    <t>S3 (45% × $625bn)</t>
  </si>
  <si>
    <t>Yes, but cannot realistically fail</t>
  </si>
  <si>
    <t>Rev share excluded (sales-based royalty exemption). Jun-26 OpenAI RPO is likely below $281bn (ex-OpenAI RPO growth disclosures).</t>
  </si>
  <si>
    <t>G9a</t>
  </si>
  <si>
    <t>Base path 2030 revenue vs FT plan $350bn</t>
  </si>
  <si>
    <t>FT 2026-09-18 (S13)</t>
  </si>
  <si>
    <t>Base computed explicitly whatever scenario is selected.</t>
  </si>
  <si>
    <t>G9b</t>
  </si>
  <si>
    <t>Base path revenue Sep-26 → Dec-30 vs FT "$840bn between now and end-2030"</t>
  </si>
  <si>
    <t>cumulative vs cumulative</t>
  </si>
  <si>
    <t>Sep-Dec 26 ≈ 2/3 of H2-26.</t>
  </si>
  <si>
    <t>G10</t>
  </si>
  <si>
    <t>FY27 Azure growth (model) vs Morgan Stanley FY27E +44.4% (new definition)</t>
  </si>
  <si>
    <t>rate vs rate</t>
  </si>
  <si>
    <t>MS 2026-10-19 (S25); F1Q27 guide 44-45% cc (S2)</t>
  </si>
  <si>
    <t>Weak — depends on ESTIMATE non-OpenAI growth</t>
  </si>
  <si>
    <t>Street-implied non-OpenAI growth is in Model diagnostics.</t>
  </si>
  <si>
    <t>G11</t>
  </si>
  <si>
    <t>OpenAI compute 2026-30 (selected scenario) vs FT "$856bn on computing power and infrastructure"</t>
  </si>
  <si>
    <t>Partly — same plan family</t>
  </si>
  <si>
    <t>FT figure includes infrastructure; WSJ 2026-07-22 says $750bn compute through 2030 (via WFS).</t>
  </si>
  <si>
    <t>G12</t>
  </si>
  <si>
    <t>Non-OpenAI Azure y/y swing H2-25 → H1-26 (pts)</t>
  </si>
  <si>
    <t>smoothness</t>
  </si>
  <si>
    <t>Restated Azure halves (S2)</t>
  </si>
  <si>
    <t>Yes — HARD halves</t>
  </si>
  <si>
    <t>A large swing means the half-year split of the anchor (d) or the FY25 back-cast is off.</t>
  </si>
  <si>
    <t>Summary (INFO excluded)</t>
  </si>
  <si>
    <t>Comparators — like-for-like against the sell-side</t>
  </si>
  <si>
    <t>FUNDA "OpenAI-related Azure revenue" is inference + training compute only (no rev share), so it is compared with this model's COMPUTE line.</t>
  </si>
  <si>
    <t>Metric (like-for-like)</t>
  </si>
  <si>
    <t>FY26</t>
  </si>
  <si>
    <t>This model FY26</t>
  </si>
  <si>
    <t>OpenAI COMPUTE revenue in Azure ($bn)</t>
  </si>
  <si>
    <t>OpenAI revenue, MSFT FY ($bn)</t>
  </si>
  <si>
    <t>OpenAI COMPUTE as % of Azure</t>
  </si>
  <si>
    <t>OpenAI COMPUTE contribution to Azure growth (pts)</t>
  </si>
  <si>
    <t>🔭 Variant read</t>
  </si>
  <si>
    <t>Datapoint</t>
  </si>
  <si>
    <t>How it relates</t>
  </si>
  <si>
    <t>MS (Weiss), May-2025 (S18)</t>
  </si>
  <si>
    <t>OpenAI explains 49% of CY25 and 100%+ of CY26 Azure AI growth</t>
  </si>
  <si>
    <t>Share of Azure AI growth, not total Azure growth: direction agrees, not comparable in level.</t>
  </si>
  <si>
    <t>UBS (Keirstead), 2025-09-02 (S9)</t>
  </si>
  <si>
    <t>~$18.6bn Azure AI run-rate Jun-25; training spend off-P&amp;L, inference + rev share in Azure</t>
  </si>
  <si>
    <t>G3; training clause → FY25 back-cast lever (default 0).</t>
  </si>
  <si>
    <t>UBS (Keirstead), 2026-07-26 (S19)</t>
  </si>
  <si>
    <t>"a strong majority of Microsoft's AI revenues are derived from OpenAI and selling access to OpenAI models/products"</t>
  </si>
  <si>
    <t>Includes Azure OpenAI Service and Copilots → not a test of OpenAI-as-customer alone; G5 replaces it.</t>
  </si>
  <si>
    <t>UBS 2026-07-30 (S22) / JPM 2026-08-13 (S23)</t>
  </si>
  <si>
    <t>$24bn = ~7% of Microsoft revenue, "company-wide, not just Azure"; ~45% of $625bn RPO ≈ $281bn</t>
  </si>
  <si>
    <t>Hence the Azure-booked share lever (default 90%).</t>
  </si>
  <si>
    <t>Microsoft F4Q26 call, 2026-07-29 (S5)</t>
  </si>
  <si>
    <t>Bookings +18% ex-OpenAI vs +10% incl.; RPO +25% ex-OpenAI; all sequential RPO growth from non-frontier customers</t>
  </si>
  <si>
    <t>OpenAI backlog drawing down; ex-OpenAI RPO +25% = non-OpenAI growth proxy.</t>
  </si>
  <si>
    <t>Morgan Stanley, 2026-10-19 (S25)</t>
  </si>
  <si>
    <t>FY27E Azure $147.2bn, +44.4% (new definition)</t>
  </si>
  <si>
    <t>G10; Street-implied non-OpenAI growth diagnostic.</t>
  </si>
  <si>
    <t>Sources — every datapoint attributed (who · what · date · where on disk)</t>
  </si>
  <si>
    <t>Paths relative to E:\Wiki Felipe empresas. Journalism and broker relays are PARTIAL; filings and management on calls are HARD.</t>
  </si>
  <si>
    <t>Source (who · document · date)</t>
  </si>
  <si>
    <t>Datapoints used</t>
  </si>
  <si>
    <t>Location on disk</t>
  </si>
  <si>
    <t>Role in the model</t>
  </si>
  <si>
    <t>Microsoft Form 10-K FY26, related-party note (ASC 850), filed 2026-07-29</t>
  </si>
  <si>
    <t>"revenue from commercial arrangements with OpenAI, inclusive of revenue-sharing payments, of $24.1 billion"; A/R $6.0bn; ~25% as-converted interest; $13.0bn funding commitment ($11.6bn funded Sep-25 → $11.9bn Jun-26 per 10-Qs/10-K)</t>
  </si>
  <si>
    <t>HARD / ANCHOR</t>
  </si>
  <si>
    <t>MSFT\MSFT_10-K_2026-07-29_0001193125-26-323660.html</t>
  </si>
  <si>
    <t>Calibration anchor</t>
  </si>
  <si>
    <t>Microsoft "FY27 Segments and Investor Metrics" (8-K Ex.99.1), 2026-09-02/03</t>
  </si>
  <si>
    <t>Restated Azure FY25 $72,610m / FY26 $101,938m and quarters (p.17); F1Q27 Azure guide 44-45% cc (p.21)</t>
  </si>
  <si>
    <t>relatórios bons\20260903_Microsoft_FY27_Segments_and_Investor_Metrics.html (image deck; p017/p021 in _assets); _wiki\MSFT.md 09-03 block</t>
  </si>
  <si>
    <t>Azure base; G12</t>
  </si>
  <si>
    <t>Microsoft F2Q26 earnings call, 2026-01-28 (Amy Hood)</t>
  </si>
  <si>
    <t>Commercial RPO $625bn; "Approximately 45% of our commercial RPO balance is from OpenAI"; non-OpenAI RPO +28%</t>
  </si>
  <si>
    <t>MSFT\transcripts\MSFT_Q2-FY26-earnings_2026-01-28.md</t>
  </si>
  <si>
    <t>Microsoft F1Q26 earnings call, 2025-10-29</t>
  </si>
  <si>
    <t>"OpenAI has contracted an incremental $250 billion of Azure services"</t>
  </si>
  <si>
    <t>MSFT\transcripts\MSFT_Q1-FY26-earnings_2025-10-29.md</t>
  </si>
  <si>
    <t>Terminal-share numerator</t>
  </si>
  <si>
    <t>Microsoft F4Q26 earnings call, 2026-07-29</t>
  </si>
  <si>
    <t>Cloud revenue &gt;$214bn, "nearly 90% from customers outside of Frontier model companies"; RPO $678bn, +25% ex-OpenAI; bookings +18% ex-OpenAI</t>
  </si>
  <si>
    <t>MSFT\transcripts\MSFT_Q4-FY26-earnings_2026-07-29.md</t>
  </si>
  <si>
    <t>G4; non-OpenAI growth proxy</t>
  </si>
  <si>
    <t>S6</t>
  </si>
  <si>
    <t>Microsoft IR (Jonathan Nielsen) relayed by UBS · Karl Keirstead, F3Q26 recap call, 2026-04-30</t>
  </si>
  <si>
    <t>OpenAI→Microsoft rev share "does land in Azure"; Microsoft→OpenAI rev share was a COGS item, now removed; capacity-constrained so losing some OpenAI spend matters less</t>
  </si>
  <si>
    <t>PARTIAL (mgmt via broker)</t>
  </si>
  <si>
    <t>relatórios bons\2026_04_30_msft_ubs_recap_30_par_2026.html</t>
  </si>
  <si>
    <t>Channel map; backfill</t>
  </si>
  <si>
    <t>S7</t>
  </si>
  <si>
    <t>Microsoft IR investor call, 2026-05-18 (IR speaker unlabelled "Speaker 2" in the machine transcript)</t>
  </si>
  <si>
    <t>"we continue to get a revenue share from OpenAI, the percentage stays the same. There's a cap"; cap size not disclosed; IP royalty-free through 2032</t>
  </si>
  <si>
    <t>HARD (mgmt, machine transcript)</t>
  </si>
  <si>
    <t>relatórios bons\2026_05_18_msft_ir_call_18_may_26.html</t>
  </si>
  <si>
    <t>Rate unchanged; cap exists</t>
  </si>
  <si>
    <t>The Information · Sri Muppidi &amp; Aaron Holmes, "OpenAI to Save $97 Billion Through 2030 in Latest Microsoft Deal", 2026-05-11, relayed by @wallstengine 2026-05-12</t>
  </si>
  <si>
    <t>Cap $38bn vs $135bn max; Microsoft ~$6bn (vs $4bn planned) of OpenAI's ~$30bn 2026 revenue</t>
  </si>
  <si>
    <t>PARTIAL (journalism; not on disk)</t>
  </si>
  <si>
    <t>_briefings\by-ticker\MSFT.md lines ~693-722</t>
  </si>
  <si>
    <t>Cap size and window; G6; G7</t>
  </si>
  <si>
    <t>UBS · Karl Keirstead, OpenAI deep-dive, 2025-09-02</t>
  </si>
  <si>
    <t>~20% rev share; Azure AI run-rate ~$18.6bn Jun-25, substantially all OpenAI-tied; "OpenAI's training supercluster spend is off-P&amp;L (netted against MSFT's equity stake...), while inference compute and the rev-share land in reported Azure"</t>
  </si>
  <si>
    <t>_wiki\MSFT.md line 22 (primary not on disk)</t>
  </si>
  <si>
    <t>Rate; FY25 training lever; G3</t>
  </si>
  <si>
    <t>SemiAnalysis, "Amazon's AI Resurgence: AWS &amp; Anthropic's Multi-Gigawatt Trainium Expansion", 2025-09-03</t>
  </si>
  <si>
    <t>"As of Q2 2025 (June 2025), all of OpenAI's &gt;$10B cloud spending is booked by Azure"</t>
  </si>
  <si>
    <t>relatórios bons\2025_09_03_ENC_Amazons_AI_Resurgence_AWS_Anthropics_Multi-Gigawatt_Trainium_Expansion_email.html</t>
  </si>
  <si>
    <t>FY25 share; G3c</t>
  </si>
  <si>
    <t>Wells Fargo Securities · Ken Gawrelski (w/ Morrissey, Umansky), OpenAI &amp; Anthropic model workbook, 2026-07-31</t>
  </si>
  <si>
    <t>OpenAI quarterly revenue/compute/recognised Azure-API/Azure API gross sales 1Q24-2Q26E; 2023-30 annual lines; 1Q26 internal plan; training plan per WSJ 2026-04-05; inference per The Information 2026-02-24; hosting; WSJ 2026-07-22 "$750B compute through 2030" memo</t>
  </si>
  <si>
    <t>_inbox\_done\WFS_Distribution_OpenAi and Anthropic Models_073126.xlsx (sheet OpenAI PnL)</t>
  </si>
  <si>
    <t>Revenue &amp; compute halves; plan; Base</t>
  </si>
  <si>
    <t>Barclays "Framework" note, Mar-2026 (citing The Information 2026-03-04)</t>
  </si>
  <si>
    <t>OpenAI FY25 revenue $13.1bn; $25bn ARR Mar-26</t>
  </si>
  <si>
    <t>_wiki\OPENAI.md Private snapshot</t>
  </si>
  <si>
    <t>Cross-check</t>
  </si>
  <si>
    <t>Financial Times, OpenAI internal investor presentation, 2026-09-18</t>
  </si>
  <si>
    <t>"from $36bn this year to $350bn in 2030"; "$840bn in revenue between now and the end of 2030"; "about $856bn on computing power and infrastructure by the end of 2030"</t>
  </si>
  <si>
    <t>PARTIAL (plan as reported)</t>
  </si>
  <si>
    <t>_wiki\OPENAI.md lines 75, 113-114</t>
  </si>
  <si>
    <t>CY26 revenue; G9; G11</t>
  </si>
  <si>
    <t>FT 2026-10-08 via Wells Fargo TMT desk (Andrew Rocha); Axios 2026-09-29</t>
  </si>
  <si>
    <t>~$50bn NET annualised Sep-26 (~$30bn July); ~$70bn GROSS (Axios)</t>
  </si>
  <si>
    <t>Cross-check; basis warning</t>
  </si>
  <si>
    <t>Barclays "AI's S-Curve Is Steepening", 2026-06-01</t>
  </si>
  <si>
    <t>OpenAI compute agreements: Oracle/Stargate $300bn, Azure $250bn, AWS $138bn, GCP $40bn, CoreWeave $22bn</t>
  </si>
  <si>
    <t>relatórios bons\Barclays_U_S_Internet_Semiconductors_AI_s_S_Curve_Is_Steepening.html</t>
  </si>
  <si>
    <t>Terminal share 33%</t>
  </si>
  <si>
    <t>Barclays OpenAI note, Nov-2025</t>
  </si>
  <si>
    <t>~$650bn compute obligations, Oracle ~$300bn + Azure ~$250bn</t>
  </si>
  <si>
    <t>_wiki\OPENAI.md line 491</t>
  </si>
  <si>
    <t>Alt terminal 38.5%</t>
  </si>
  <si>
    <t>FUNDA model, 2026-10-23 (Felipe's label "funda model 23-10")</t>
  </si>
  <si>
    <t>OpenAI compute revenue in Azure $12.2/37.0/66.7bn FY26-28 (inference + training only; training zero before F3Q26); OpenAI revenue FY26 $19.7bn; run-rate $111.8bn Jun-27E / $212.9bn Jun-28E; Azure +48.0%/+45.5%</t>
  </si>
  <si>
    <t>relatórios bons\2026_10_23_funda_model_MSFT.html; MSFT\MSFT_FUNDA_model_exhibit_2026-10-23.xlsx</t>
  </si>
  <si>
    <t>Bull; G2; Comparators</t>
  </si>
  <si>
    <t>S18</t>
  </si>
  <si>
    <t>Morgan Stanley · Keith Weiss, MSFT/OpenAI, 2025-05-21</t>
  </si>
  <si>
    <t>_wiki\MSFT.md line 22</t>
  </si>
  <si>
    <t>Comparator</t>
  </si>
  <si>
    <t>S19</t>
  </si>
  <si>
    <t>UBS · Keirstead / McGinnis / Fyda, "Microsoft Corp. — Update on Azure, Capex and M365", 2026-07-26</t>
  </si>
  <si>
    <t>_wiki\OPENAI.md line 566</t>
  </si>
  <si>
    <t>Comparator (too wide to test)</t>
  </si>
  <si>
    <t>Microsoft F3Q26 earnings call, 2026-04-29</t>
  </si>
  <si>
    <t>"Our AI business surpassed $37 billion ARR, up 123%"</t>
  </si>
  <si>
    <t>MSFT\transcripts\MSFT_Q3-FY26-earnings_2026-04-29.md</t>
  </si>
  <si>
    <t>G5</t>
  </si>
  <si>
    <t>S21</t>
  </si>
  <si>
    <t>Microsoft earnings calls F4Q24-F3Q25</t>
  </si>
  <si>
    <t>Azure growth included 8 / ~12 / 13 / 16 pts from AI services</t>
  </si>
  <si>
    <t>MSFT\transcripts\MSFT_Q4-FY24 … Q3-FY25</t>
  </si>
  <si>
    <t>Context</t>
  </si>
  <si>
    <t>S22</t>
  </si>
  <si>
    <t>UBS · Karl Keirstead, "Winning Formula — Azure Estimates Up, Capex Reaffirmed", 2026-07-30</t>
  </si>
  <si>
    <t>$24bn FY26 revenue from OpenAI, "company-wide, not just Azure", ~7% revenue customer</t>
  </si>
  <si>
    <t>PARTIAL (relay of S1)</t>
  </si>
  <si>
    <t>_wiki\MSFT.md line 198</t>
  </si>
  <si>
    <t>Azure-booked share lever</t>
  </si>
  <si>
    <t>S23</t>
  </si>
  <si>
    <t>JPMorgan · Samik Chatterjee, 2026-08-13</t>
  </si>
  <si>
    <t>OpenAI ~45% of $625bn ≈ $281bn; $24.1bn ~7%; ~90% of cloud outside frontier</t>
  </si>
  <si>
    <t>PARTIAL (relay)</t>
  </si>
  <si>
    <t>_wiki\MSFT.md line 513</t>
  </si>
  <si>
    <t>Confirms S1/S3</t>
  </si>
  <si>
    <t>Microsoft F2Q25 earnings call, 2025-01-29</t>
  </si>
  <si>
    <t>"our AI business has now surpassed an annual revenue run rate of $13 billion, up 175%"</t>
  </si>
  <si>
    <t>MSFT\transcripts\MSFT_Q2-FY25-earnings_2025-01-29.md</t>
  </si>
  <si>
    <t>G5 context</t>
  </si>
  <si>
    <t>Morgan Stanley MSFT F1Q27 preview / ModelWare, 2026-10-19</t>
  </si>
  <si>
    <t>FY27E Azure (new definition) $147.2bn, +44.4% (Exhibit 10); Azure 44.5% cc Sep-26E</t>
  </si>
  <si>
    <t>_wiki\MSFT.md line 47</t>
  </si>
  <si>
    <t>G10; Street-implied diag.</t>
  </si>
  <si>
    <t>S26</t>
  </si>
  <si>
    <t>Microsoft F3Q26 earnings call, 2026-04-29 (Amy Hood)</t>
  </si>
  <si>
    <t>"having the revenue share exist through 2030. And the predictability of that is a real positive for us"</t>
  </si>
  <si>
    <t>Rev share through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</si>
</sst>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0"/>
    <numFmt numFmtId="165" formatCode="#,##0.0"/>
    <numFmt numFmtId="166" formatCode="0.0%"/>
    <numFmt numFmtId="167" formatCode="0.000"/>
    <numFmt numFmtId="168" formatCode="0.00&quot;x&quot;"/>
    <numFmt numFmtId="169" formatCode="0.0"/>
    <numFmt numFmtId="170" formatCode="&quot;d = &quot;0%"/>
    <numFmt numFmtId="171" formatCode="&quot;ε=&quot;0.00"/>
  </numFmts>
  <fonts count="9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sz val="8"/>
      <color rgb="FF808080"/>
      <name val="Calibri"/>
    </font>
    <font>
      <sz val="9"/>
      <name val="Calibri"/>
    </font>
    <font>
      <b/>
      <sz val="11"/>
      <color rgb="FF0000FF"/>
      <name val="Calibri"/>
    </font>
    <font>
      <b/>
      <sz val="11"/>
      <name val="Calibri"/>
    </font>
    <font>
      <b/>
      <sz val="11"/>
      <color rgb="FF1F3864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9BC2E6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FFEB9C"/>
      </patternFill>
    </fill>
    <fill>
      <patternFill patternType="solid">
        <fgColor rgb="FFE4DFEC"/>
      </patternFill>
    </fill>
    <fill>
      <patternFill patternType="solid">
        <fgColor rgb="FFF2F2F2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7" fillId="4" borderId="0" xfId="0" applyFont="1" applyFill="1" applyAlignment="1">
      <alignment horizontal="center" vertical="top"/>
    </xf>
    <xf numFmtId="0" fontId="7" fillId="5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7" fillId="7" borderId="0" xfId="0" applyFont="1" applyFill="1" applyAlignment="1">
      <alignment horizontal="center" vertical="top"/>
    </xf>
    <xf numFmtId="0" fontId="7" fillId="6" borderId="0" xfId="0" applyFont="1" applyFill="1" applyAlignment="1">
      <alignment horizontal="center" vertical="top"/>
    </xf>
    <xf numFmtId="0" fontId="3" fillId="2" borderId="0" xfId="0" applyFont="1" applyFill="1"/>
    <xf numFmtId="1" fontId="6" fillId="6" borderId="0" xfId="0" applyNumberFormat="1" applyFont="1" applyFill="1"/>
    <xf numFmtId="0" fontId="0" fillId="6" borderId="0" xfId="0" applyFill="1"/>
    <xf numFmtId="0" fontId="5" fillId="0" borderId="0" xfId="0" applyFont="1" applyAlignment="1">
      <alignment vertical="top" wrapText="1"/>
    </xf>
    <xf numFmtId="0" fontId="7" fillId="0" borderId="0" xfId="0" applyFont="1"/>
    <xf numFmtId="168" fontId="6" fillId="6" borderId="0" xfId="0" applyNumberFormat="1" applyFont="1" applyFill="1"/>
    <xf numFmtId="2" fontId="6" fillId="6" borderId="0" xfId="0" applyNumberFormat="1" applyFont="1" applyFill="1"/>
    <xf numFmtId="166" fontId="6" fillId="5" borderId="0" xfId="0" applyNumberFormat="1" applyFont="1" applyFill="1"/>
    <xf numFmtId="0" fontId="0" fillId="5" borderId="0" xfId="0" applyFill="1"/>
    <xf numFmtId="165" fontId="6" fillId="5" borderId="0" xfId="0" applyNumberFormat="1" applyFont="1" applyFill="1"/>
    <xf numFmtId="1" fontId="6" fillId="5" borderId="0" xfId="0" applyNumberFormat="1" applyFont="1" applyFill="1"/>
    <xf numFmtId="166" fontId="6" fillId="6" borderId="0" xfId="0" applyNumberFormat="1" applyFont="1" applyFill="1"/>
    <xf numFmtId="165" fontId="0" fillId="0" borderId="0" xfId="0" applyNumberFormat="1"/>
    <xf numFmtId="165" fontId="0" fillId="8" borderId="0" xfId="0" applyNumberFormat="1" applyFill="1"/>
    <xf numFmtId="166" fontId="0" fillId="0" borderId="0" xfId="0" applyNumberFormat="1"/>
    <xf numFmtId="166" fontId="0" fillId="8" borderId="0" xfId="0" applyNumberFormat="1" applyFill="1"/>
    <xf numFmtId="169" fontId="0" fillId="0" borderId="0" xfId="0" applyNumberFormat="1"/>
    <xf numFmtId="169" fontId="0" fillId="8" borderId="0" xfId="0" applyNumberFormat="1" applyFill="1"/>
    <xf numFmtId="168" fontId="0" fillId="0" borderId="0" xfId="0" applyNumberFormat="1"/>
    <xf numFmtId="168" fontId="0" fillId="8" borderId="0" xfId="0" applyNumberFormat="1" applyFill="1"/>
    <xf numFmtId="4" fontId="0" fillId="0" borderId="0" xfId="0" applyNumberFormat="1"/>
    <xf numFmtId="4" fontId="0" fillId="8" borderId="0" xfId="0" applyNumberFormat="1" applyFill="1"/>
    <xf numFmtId="1" fontId="0" fillId="0" borderId="0" xfId="0" applyNumberFormat="1"/>
    <xf numFmtId="1" fontId="0" fillId="8" borderId="0" xfId="0" applyNumberFormat="1" applyFill="1"/>
    <xf numFmtId="0" fontId="7" fillId="9" borderId="0" xfId="0" applyFont="1" applyFill="1"/>
    <xf numFmtId="169" fontId="7" fillId="8" borderId="0" xfId="0" applyNumberFormat="1" applyFont="1" applyFill="1"/>
    <xf numFmtId="166" fontId="7" fillId="8" borderId="0" xfId="0" applyNumberFormat="1" applyFont="1" applyFill="1"/>
    <xf numFmtId="0" fontId="7" fillId="8" borderId="0" xfId="0" applyFont="1" applyFill="1"/>
    <xf numFmtId="0" fontId="7" fillId="9" borderId="0" xfId="0" applyFont="1" applyFill="1" applyAlignment="1">
      <alignment vertical="top" wrapText="1"/>
    </xf>
    <xf numFmtId="169" fontId="2" fillId="0" borderId="0" xfId="0" applyNumberFormat="1" applyFont="1"/>
    <xf numFmtId="166" fontId="2" fillId="0" borderId="0" xfId="0" applyNumberFormat="1" applyFont="1"/>
    <xf numFmtId="166" fontId="7" fillId="0" borderId="0" xfId="0" applyNumberFormat="1" applyFont="1"/>
    <xf numFmtId="165" fontId="2" fillId="0" borderId="0" xfId="0" applyNumberFormat="1" applyFont="1"/>
    <xf numFmtId="1" fontId="7" fillId="0" borderId="0" xfId="0" applyNumberFormat="1" applyFont="1"/>
    <xf numFmtId="2" fontId="7" fillId="0" borderId="0" xfId="0" applyNumberFormat="1" applyFont="1"/>
    <xf numFmtId="168" fontId="7" fillId="0" borderId="0" xfId="0" applyNumberFormat="1" applyFont="1"/>
    <xf numFmtId="3" fontId="7" fillId="0" borderId="0" xfId="0" applyNumberFormat="1" applyFont="1"/>
    <xf numFmtId="171" fontId="7" fillId="9" borderId="0" xfId="0" applyNumberFormat="1" applyFont="1" applyFill="1"/>
    <xf numFmtId="168" fontId="7" fillId="9" borderId="0" xfId="0" applyNumberFormat="1" applyFont="1" applyFill="1"/>
    <xf numFmtId="167" fontId="0" fillId="0" borderId="0" xfId="0" applyNumberFormat="1"/>
    <xf numFmtId="4" fontId="0" fillId="5" borderId="0" xfId="0" applyNumberFormat="1" applyFill="1"/>
    <xf numFmtId="1" fontId="2" fillId="0" borderId="0" xfId="0" applyNumberFormat="1" applyFont="1"/>
    <xf numFmtId="166" fontId="0" fillId="7" borderId="0" xfId="0" applyNumberFormat="1" applyFill="1"/>
    <xf numFmtId="4" fontId="0" fillId="4" borderId="0" xfId="0" applyNumberFormat="1" applyFill="1"/>
    <xf numFmtId="166" fontId="0" fillId="5" borderId="0" xfId="0" applyNumberFormat="1" applyFill="1"/>
    <xf numFmtId="166" fontId="0" fillId="6" borderId="0" xfId="0" applyNumberFormat="1" applyFill="1"/>
    <xf numFmtId="165" fontId="7" fillId="0" borderId="0" xfId="0" applyNumberFormat="1" applyFont="1"/>
    <xf numFmtId="165" fontId="0" fillId="4" borderId="0" xfId="0" applyNumberFormat="1" applyFill="1"/>
    <xf numFmtId="0" fontId="0" fillId="8" borderId="0" xfId="0" applyFill="1"/>
    <xf numFmtId="0" fontId="4" fillId="0" borderId="0" xfId="0" applyFont="1"/>
    <xf numFmtId="164" fontId="0" fillId="3" borderId="0" xfId="0" applyNumberFormat="1" applyFill="1"/>
    <xf numFmtId="0" fontId="0" fillId="3" borderId="0" xfId="0" applyFill="1"/>
    <xf numFmtId="164" fontId="0" fillId="4" borderId="0" xfId="0" applyNumberFormat="1" applyFill="1"/>
    <xf numFmtId="0" fontId="0" fillId="4" borderId="0" xfId="0" applyFill="1"/>
    <xf numFmtId="166" fontId="0" fillId="4" borderId="0" xfId="0" applyNumberFormat="1" applyFill="1"/>
    <xf numFmtId="164" fontId="0" fillId="5" borderId="0" xfId="0" applyNumberFormat="1" applyFill="1"/>
    <xf numFmtId="165" fontId="0" fillId="5" borderId="0" xfId="0" applyNumberFormat="1" applyFill="1"/>
    <xf numFmtId="167" fontId="0" fillId="5" borderId="0" xfId="0" applyNumberFormat="1" applyFill="1"/>
    <xf numFmtId="165" fontId="0" fillId="3" borderId="0" xfId="0" applyNumberFormat="1" applyFill="1"/>
    <xf numFmtId="0" fontId="7" fillId="0" borderId="0" xfId="0" applyFont="1" applyAlignment="1">
      <alignment vertical="top" wrapText="1"/>
    </xf>
    <xf numFmtId="166" fontId="7" fillId="7" borderId="0" xfId="0" applyNumberFormat="1" applyFont="1" applyFill="1"/>
    <xf numFmtId="170" fontId="7" fillId="0" borderId="0" xfId="0" applyNumberFormat="1" applyFont="1"/>
    <xf numFmtId="0" fontId="5" fillId="0" borderId="0" xfId="0" applyFont="1"/>
    <xf numFmtId="169" fontId="0" fillId="5" borderId="0" xfId="0" applyNumberFormat="1" applyFill="1"/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  <xf numFmtId="0" fontId="8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Azure growth decomposition (pts)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OpenAI rev share</c:v>
          </c:tx>
          <c:spPr>
            <a:ln>
              <a:prstDash val="solid"/>
            </a:ln>
          </c:spPr>
          <c:invertIfNegative val="1"/>
          <c:cat>
            <c:strRef>
              <c:f>Dashboard!$D$26:$H$26</c:f>
              <c:strCache>
                <c:ptCount val="5"/>
                <c:pt idx="0">
                  <c:v>FY26 anchor</c:v>
                </c:pt>
                <c:pt idx="1">
                  <c:v>FY27E</c:v>
                </c:pt>
                <c:pt idx="2">
                  <c:v>FY28E</c:v>
                </c:pt>
                <c:pt idx="3">
                  <c:v>FY29E scen.</c:v>
                </c:pt>
                <c:pt idx="4">
                  <c:v>FY30E scen.</c:v>
                </c:pt>
              </c:strCache>
            </c:strRef>
          </c:cat>
          <c:val>
            <c:numRef>
              <c:f>Dashboard!$D$35:$H$35</c:f>
              <c:numCache>
                <c:formatCode>0.0</c:formatCode>
                <c:ptCount val="5"/>
                <c:pt idx="0">
                  <c:v>3.3856769040077133</c:v>
                </c:pt>
                <c:pt idx="1">
                  <c:v>6.8274239173375024</c:v>
                </c:pt>
                <c:pt idx="2">
                  <c:v>6.5485090888741313</c:v>
                </c:pt>
                <c:pt idx="3">
                  <c:v>-7.9326927387992834</c:v>
                </c:pt>
                <c:pt idx="4">
                  <c:v>-2.0382478838850653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F8-4B3A-87F0-3875321E3156}"/>
            </c:ext>
          </c:extLst>
        </c:ser>
        <c:ser>
          <c:idx val="1"/>
          <c:order val="1"/>
          <c:tx>
            <c:v>OpenAI compute</c:v>
          </c:tx>
          <c:spPr>
            <a:ln>
              <a:prstDash val="solid"/>
            </a:ln>
          </c:spPr>
          <c:invertIfNegative val="1"/>
          <c:cat>
            <c:strRef>
              <c:f>Dashboard!$D$26:$H$26</c:f>
              <c:strCache>
                <c:ptCount val="5"/>
                <c:pt idx="0">
                  <c:v>FY26 anchor</c:v>
                </c:pt>
                <c:pt idx="1">
                  <c:v>FY27E</c:v>
                </c:pt>
                <c:pt idx="2">
                  <c:v>FY28E</c:v>
                </c:pt>
                <c:pt idx="3">
                  <c:v>FY29E scen.</c:v>
                </c:pt>
                <c:pt idx="4">
                  <c:v>FY30E scen.</c:v>
                </c:pt>
              </c:strCache>
            </c:strRef>
          </c:cat>
          <c:val>
            <c:numRef>
              <c:f>Dashboard!$D$36:$H$36</c:f>
              <c:numCache>
                <c:formatCode>0.0</c:formatCode>
                <c:ptCount val="5"/>
                <c:pt idx="0">
                  <c:v>17.570626699506441</c:v>
                </c:pt>
                <c:pt idx="1">
                  <c:v>15.390865690113431</c:v>
                </c:pt>
                <c:pt idx="2">
                  <c:v>13.927601102998901</c:v>
                </c:pt>
                <c:pt idx="3">
                  <c:v>8.8723135210538953</c:v>
                </c:pt>
                <c:pt idx="4">
                  <c:v>2.6715995020557428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F8-4B3A-87F0-3875321E3156}"/>
            </c:ext>
          </c:extLst>
        </c:ser>
        <c:ser>
          <c:idx val="2"/>
          <c:order val="2"/>
          <c:tx>
            <c:v>Non-OpenAI</c:v>
          </c:tx>
          <c:spPr>
            <a:ln>
              <a:prstDash val="solid"/>
            </a:ln>
          </c:spPr>
          <c:invertIfNegative val="1"/>
          <c:cat>
            <c:strRef>
              <c:f>Dashboard!$D$26:$H$26</c:f>
              <c:strCache>
                <c:ptCount val="5"/>
                <c:pt idx="0">
                  <c:v>FY26 anchor</c:v>
                </c:pt>
                <c:pt idx="1">
                  <c:v>FY27E</c:v>
                </c:pt>
                <c:pt idx="2">
                  <c:v>FY28E</c:v>
                </c:pt>
                <c:pt idx="3">
                  <c:v>FY29E scen.</c:v>
                </c:pt>
                <c:pt idx="4">
                  <c:v>FY30E scen.</c:v>
                </c:pt>
              </c:strCache>
            </c:strRef>
          </c:cat>
          <c:val>
            <c:numRef>
              <c:f>Dashboard!$D$37:$H$37</c:f>
              <c:numCache>
                <c:formatCode>0.0</c:formatCode>
                <c:ptCount val="5"/>
                <c:pt idx="0">
                  <c:v>19.434827094736786</c:v>
                </c:pt>
                <c:pt idx="1">
                  <c:v>19.680590162647881</c:v>
                </c:pt>
                <c:pt idx="2">
                  <c:v>15.949864243970064</c:v>
                </c:pt>
                <c:pt idx="3">
                  <c:v>13.12975120200476</c:v>
                </c:pt>
                <c:pt idx="4">
                  <c:v>12.601061253269741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F8-4B3A-87F0-3875321E3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pts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3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/>
  </sheetViews>
  <sheetFormatPr defaultRowHeight="15" x14ac:dyDescent="0.25"/>
  <cols>
    <col min="1" max="10" width="14" customWidth="1"/>
  </cols>
  <sheetData>
    <row r="1" spans="1:10" ht="18.75" x14ac:dyDescent="0.3">
      <c r="A1" s="1" t="s">
        <v>0</v>
      </c>
    </row>
    <row r="2" spans="1:10" x14ac:dyDescent="0.25">
      <c r="A2" s="2" t="s">
        <v>1</v>
      </c>
    </row>
    <row r="4" spans="1:10" x14ac:dyDescent="0.25">
      <c r="A4" s="77" t="s">
        <v>2</v>
      </c>
      <c r="B4" s="76"/>
      <c r="C4" s="76"/>
      <c r="D4" s="76"/>
      <c r="E4" s="76"/>
      <c r="F4" s="76"/>
      <c r="G4" s="76"/>
      <c r="H4" s="76"/>
      <c r="I4" s="76"/>
      <c r="J4" s="76"/>
    </row>
    <row r="5" spans="1:10" x14ac:dyDescent="0.25">
      <c r="A5" s="75" t="s">
        <v>3</v>
      </c>
      <c r="B5" s="76"/>
      <c r="C5" s="76"/>
      <c r="D5" s="76"/>
      <c r="E5" s="76"/>
      <c r="F5" s="76"/>
      <c r="G5" s="76"/>
      <c r="H5" s="76"/>
      <c r="I5" s="76"/>
      <c r="J5" s="76"/>
    </row>
    <row r="6" spans="1:10" x14ac:dyDescent="0.25">
      <c r="A6" s="75"/>
      <c r="B6" s="76"/>
      <c r="C6" s="76"/>
      <c r="D6" s="76"/>
      <c r="E6" s="76"/>
      <c r="F6" s="76"/>
      <c r="G6" s="76"/>
      <c r="H6" s="76"/>
      <c r="I6" s="76"/>
      <c r="J6" s="76"/>
    </row>
    <row r="7" spans="1:10" x14ac:dyDescent="0.25">
      <c r="A7" s="77" t="s">
        <v>4</v>
      </c>
      <c r="B7" s="76"/>
      <c r="C7" s="76"/>
      <c r="D7" s="76"/>
      <c r="E7" s="76"/>
      <c r="F7" s="76"/>
      <c r="G7" s="76"/>
      <c r="H7" s="76"/>
      <c r="I7" s="76"/>
      <c r="J7" s="76"/>
    </row>
    <row r="8" spans="1:10" ht="30" customHeight="1" x14ac:dyDescent="0.25">
      <c r="A8" s="75" t="s">
        <v>5</v>
      </c>
      <c r="B8" s="76"/>
      <c r="C8" s="76"/>
      <c r="D8" s="76"/>
      <c r="E8" s="76"/>
      <c r="F8" s="76"/>
      <c r="G8" s="76"/>
      <c r="H8" s="76"/>
      <c r="I8" s="76"/>
      <c r="J8" s="76"/>
    </row>
    <row r="9" spans="1:10" ht="30" customHeight="1" x14ac:dyDescent="0.25">
      <c r="A9" s="75" t="s">
        <v>6</v>
      </c>
      <c r="B9" s="76"/>
      <c r="C9" s="76"/>
      <c r="D9" s="76"/>
      <c r="E9" s="76"/>
      <c r="F9" s="76"/>
      <c r="G9" s="76"/>
      <c r="H9" s="76"/>
      <c r="I9" s="76"/>
      <c r="J9" s="76"/>
    </row>
    <row r="10" spans="1:10" ht="30" customHeight="1" x14ac:dyDescent="0.25">
      <c r="A10" s="75" t="s">
        <v>7</v>
      </c>
      <c r="B10" s="76"/>
      <c r="C10" s="76"/>
      <c r="D10" s="76"/>
      <c r="E10" s="76"/>
      <c r="F10" s="76"/>
      <c r="G10" s="76"/>
      <c r="H10" s="76"/>
      <c r="I10" s="76"/>
      <c r="J10" s="76"/>
    </row>
    <row r="11" spans="1:10" x14ac:dyDescent="0.25">
      <c r="A11" s="75"/>
      <c r="B11" s="76"/>
      <c r="C11" s="76"/>
      <c r="D11" s="76"/>
      <c r="E11" s="76"/>
      <c r="F11" s="76"/>
      <c r="G11" s="76"/>
      <c r="H11" s="76"/>
      <c r="I11" s="76"/>
      <c r="J11" s="76"/>
    </row>
    <row r="12" spans="1:10" x14ac:dyDescent="0.25">
      <c r="A12" s="77" t="s">
        <v>8</v>
      </c>
      <c r="B12" s="76"/>
      <c r="C12" s="76"/>
      <c r="D12" s="76"/>
      <c r="E12" s="76"/>
      <c r="F12" s="76"/>
      <c r="G12" s="76"/>
      <c r="H12" s="76"/>
      <c r="I12" s="76"/>
      <c r="J12" s="76"/>
    </row>
    <row r="13" spans="1:10" ht="30" customHeight="1" x14ac:dyDescent="0.25">
      <c r="A13" s="75" t="s">
        <v>9</v>
      </c>
      <c r="B13" s="76"/>
      <c r="C13" s="76"/>
      <c r="D13" s="76"/>
      <c r="E13" s="76"/>
      <c r="F13" s="76"/>
      <c r="G13" s="76"/>
      <c r="H13" s="76"/>
      <c r="I13" s="76"/>
      <c r="J13" s="76"/>
    </row>
    <row r="14" spans="1:10" x14ac:dyDescent="0.25">
      <c r="A14" s="75" t="s">
        <v>10</v>
      </c>
      <c r="B14" s="76"/>
      <c r="C14" s="76"/>
      <c r="D14" s="76"/>
      <c r="E14" s="76"/>
      <c r="F14" s="76"/>
      <c r="G14" s="76"/>
      <c r="H14" s="76"/>
      <c r="I14" s="76"/>
      <c r="J14" s="76"/>
    </row>
    <row r="15" spans="1:10" x14ac:dyDescent="0.25">
      <c r="A15" s="75"/>
      <c r="B15" s="76"/>
      <c r="C15" s="76"/>
      <c r="D15" s="76"/>
      <c r="E15" s="76"/>
      <c r="F15" s="76"/>
      <c r="G15" s="76"/>
      <c r="H15" s="76"/>
      <c r="I15" s="76"/>
      <c r="J15" s="76"/>
    </row>
    <row r="16" spans="1:10" x14ac:dyDescent="0.25">
      <c r="A16" s="77" t="s">
        <v>11</v>
      </c>
      <c r="B16" s="76"/>
      <c r="C16" s="76"/>
      <c r="D16" s="76"/>
      <c r="E16" s="76"/>
      <c r="F16" s="76"/>
      <c r="G16" s="76"/>
      <c r="H16" s="76"/>
      <c r="I16" s="76"/>
      <c r="J16" s="76"/>
    </row>
    <row r="17" spans="1:10" ht="30" customHeight="1" x14ac:dyDescent="0.25">
      <c r="A17" s="75" t="s">
        <v>12</v>
      </c>
      <c r="B17" s="76"/>
      <c r="C17" s="76"/>
      <c r="D17" s="76"/>
      <c r="E17" s="76"/>
      <c r="F17" s="76"/>
      <c r="G17" s="76"/>
      <c r="H17" s="76"/>
      <c r="I17" s="76"/>
      <c r="J17" s="76"/>
    </row>
    <row r="18" spans="1:10" x14ac:dyDescent="0.25">
      <c r="A18" s="75" t="s">
        <v>13</v>
      </c>
      <c r="B18" s="76"/>
      <c r="C18" s="76"/>
      <c r="D18" s="76"/>
      <c r="E18" s="76"/>
      <c r="F18" s="76"/>
      <c r="G18" s="76"/>
      <c r="H18" s="76"/>
      <c r="I18" s="76"/>
      <c r="J18" s="76"/>
    </row>
    <row r="19" spans="1:10" ht="30" customHeight="1" x14ac:dyDescent="0.25">
      <c r="A19" s="75" t="s">
        <v>14</v>
      </c>
      <c r="B19" s="76"/>
      <c r="C19" s="76"/>
      <c r="D19" s="76"/>
      <c r="E19" s="76"/>
      <c r="F19" s="76"/>
      <c r="G19" s="76"/>
      <c r="H19" s="76"/>
      <c r="I19" s="76"/>
      <c r="J19" s="76"/>
    </row>
    <row r="20" spans="1:10" x14ac:dyDescent="0.25">
      <c r="A20" s="75"/>
      <c r="B20" s="76"/>
      <c r="C20" s="76"/>
      <c r="D20" s="76"/>
      <c r="E20" s="76"/>
      <c r="F20" s="76"/>
      <c r="G20" s="76"/>
      <c r="H20" s="76"/>
      <c r="I20" s="76"/>
      <c r="J20" s="76"/>
    </row>
    <row r="21" spans="1:10" x14ac:dyDescent="0.25">
      <c r="A21" s="77" t="s">
        <v>15</v>
      </c>
      <c r="B21" s="76"/>
      <c r="C21" s="76"/>
      <c r="D21" s="76"/>
      <c r="E21" s="76"/>
      <c r="F21" s="76"/>
      <c r="G21" s="76"/>
      <c r="H21" s="76"/>
      <c r="I21" s="76"/>
      <c r="J21" s="76"/>
    </row>
    <row r="22" spans="1:10" ht="30" customHeight="1" x14ac:dyDescent="0.25">
      <c r="A22" s="75" t="s">
        <v>16</v>
      </c>
      <c r="B22" s="76"/>
      <c r="C22" s="76"/>
      <c r="D22" s="76"/>
      <c r="E22" s="76"/>
      <c r="F22" s="76"/>
      <c r="G22" s="76"/>
      <c r="H22" s="76"/>
      <c r="I22" s="76"/>
      <c r="J22" s="76"/>
    </row>
    <row r="23" spans="1:10" ht="30" customHeight="1" x14ac:dyDescent="0.25">
      <c r="A23" s="75" t="s">
        <v>17</v>
      </c>
      <c r="B23" s="76"/>
      <c r="C23" s="76"/>
      <c r="D23" s="76"/>
      <c r="E23" s="76"/>
      <c r="F23" s="76"/>
      <c r="G23" s="76"/>
      <c r="H23" s="76"/>
      <c r="I23" s="76"/>
      <c r="J23" s="76"/>
    </row>
    <row r="24" spans="1:10" ht="30" customHeight="1" x14ac:dyDescent="0.25">
      <c r="A24" s="75" t="s">
        <v>18</v>
      </c>
      <c r="B24" s="76"/>
      <c r="C24" s="76"/>
      <c r="D24" s="76"/>
      <c r="E24" s="76"/>
      <c r="F24" s="76"/>
      <c r="G24" s="76"/>
      <c r="H24" s="76"/>
      <c r="I24" s="76"/>
      <c r="J24" s="76"/>
    </row>
    <row r="25" spans="1:10" x14ac:dyDescent="0.25">
      <c r="A25" s="75" t="s">
        <v>19</v>
      </c>
      <c r="B25" s="76"/>
      <c r="C25" s="76"/>
      <c r="D25" s="76"/>
      <c r="E25" s="76"/>
      <c r="F25" s="76"/>
      <c r="G25" s="76"/>
      <c r="H25" s="76"/>
      <c r="I25" s="76"/>
      <c r="J25" s="76"/>
    </row>
    <row r="26" spans="1:10" x14ac:dyDescent="0.25">
      <c r="A26" s="75"/>
      <c r="B26" s="76"/>
      <c r="C26" s="76"/>
      <c r="D26" s="76"/>
      <c r="E26" s="76"/>
      <c r="F26" s="76"/>
      <c r="G26" s="76"/>
      <c r="H26" s="76"/>
      <c r="I26" s="76"/>
      <c r="J26" s="76"/>
    </row>
    <row r="27" spans="1:10" x14ac:dyDescent="0.25">
      <c r="A27" s="77" t="s">
        <v>20</v>
      </c>
      <c r="B27" s="76"/>
      <c r="C27" s="76"/>
      <c r="D27" s="76"/>
      <c r="E27" s="76"/>
      <c r="F27" s="76"/>
      <c r="G27" s="76"/>
      <c r="H27" s="76"/>
      <c r="I27" s="76"/>
      <c r="J27" s="76"/>
    </row>
    <row r="28" spans="1:10" ht="30" customHeight="1" x14ac:dyDescent="0.25">
      <c r="A28" s="75" t="s">
        <v>21</v>
      </c>
      <c r="B28" s="76"/>
      <c r="C28" s="76"/>
      <c r="D28" s="76"/>
      <c r="E28" s="76"/>
      <c r="F28" s="76"/>
      <c r="G28" s="76"/>
      <c r="H28" s="76"/>
      <c r="I28" s="76"/>
      <c r="J28" s="76"/>
    </row>
    <row r="29" spans="1:10" x14ac:dyDescent="0.25">
      <c r="A29" s="75"/>
      <c r="B29" s="76"/>
      <c r="C29" s="76"/>
      <c r="D29" s="76"/>
      <c r="E29" s="76"/>
      <c r="F29" s="76"/>
      <c r="G29" s="76"/>
      <c r="H29" s="76"/>
      <c r="I29" s="76"/>
      <c r="J29" s="76"/>
    </row>
    <row r="30" spans="1:10" x14ac:dyDescent="0.25">
      <c r="A30" s="77" t="s">
        <v>22</v>
      </c>
      <c r="B30" s="76"/>
      <c r="C30" s="76"/>
      <c r="D30" s="76"/>
      <c r="E30" s="76"/>
      <c r="F30" s="76"/>
      <c r="G30" s="76"/>
      <c r="H30" s="76"/>
      <c r="I30" s="76"/>
      <c r="J30" s="76"/>
    </row>
    <row r="31" spans="1:10" ht="30" customHeight="1" x14ac:dyDescent="0.25">
      <c r="A31" s="75" t="s">
        <v>23</v>
      </c>
      <c r="B31" s="76"/>
      <c r="C31" s="76"/>
      <c r="D31" s="76"/>
      <c r="E31" s="76"/>
      <c r="F31" s="76"/>
      <c r="G31" s="76"/>
      <c r="H31" s="76"/>
      <c r="I31" s="76"/>
      <c r="J31" s="76"/>
    </row>
    <row r="32" spans="1:10" ht="30" customHeight="1" x14ac:dyDescent="0.25">
      <c r="A32" s="75" t="s">
        <v>24</v>
      </c>
      <c r="B32" s="76"/>
      <c r="C32" s="76"/>
      <c r="D32" s="76"/>
      <c r="E32" s="76"/>
      <c r="F32" s="76"/>
      <c r="G32" s="76"/>
      <c r="H32" s="76"/>
      <c r="I32" s="76"/>
      <c r="J32" s="76"/>
    </row>
    <row r="33" spans="1:10" x14ac:dyDescent="0.25">
      <c r="A33" s="75"/>
      <c r="B33" s="76"/>
      <c r="C33" s="76"/>
      <c r="D33" s="76"/>
      <c r="E33" s="76"/>
      <c r="F33" s="76"/>
      <c r="G33" s="76"/>
      <c r="H33" s="76"/>
      <c r="I33" s="76"/>
      <c r="J33" s="76"/>
    </row>
    <row r="34" spans="1:10" x14ac:dyDescent="0.25">
      <c r="A34" s="77" t="s">
        <v>25</v>
      </c>
      <c r="B34" s="76"/>
      <c r="C34" s="76"/>
      <c r="D34" s="76"/>
      <c r="E34" s="76"/>
      <c r="F34" s="76"/>
      <c r="G34" s="76"/>
      <c r="H34" s="76"/>
      <c r="I34" s="76"/>
      <c r="J34" s="76"/>
    </row>
    <row r="35" spans="1:10" ht="30" customHeight="1" x14ac:dyDescent="0.25">
      <c r="A35" s="75" t="s">
        <v>26</v>
      </c>
      <c r="B35" s="76"/>
      <c r="C35" s="76"/>
      <c r="D35" s="76"/>
      <c r="E35" s="76"/>
      <c r="F35" s="76"/>
      <c r="G35" s="76"/>
      <c r="H35" s="76"/>
      <c r="I35" s="76"/>
      <c r="J35" s="76"/>
    </row>
    <row r="37" spans="1:10" x14ac:dyDescent="0.25">
      <c r="B37" s="4" t="s">
        <v>27</v>
      </c>
      <c r="C37" s="5" t="s">
        <v>28</v>
      </c>
      <c r="D37" s="6" t="s">
        <v>29</v>
      </c>
      <c r="E37" s="7" t="s">
        <v>30</v>
      </c>
      <c r="F37" s="8" t="s">
        <v>31</v>
      </c>
    </row>
  </sheetData>
  <mergeCells count="32">
    <mergeCell ref="A33:J33"/>
    <mergeCell ref="A4:J4"/>
    <mergeCell ref="A35:J35"/>
    <mergeCell ref="A20:J20"/>
    <mergeCell ref="A10:J10"/>
    <mergeCell ref="A28:J28"/>
    <mergeCell ref="A19:J19"/>
    <mergeCell ref="A13:J13"/>
    <mergeCell ref="A31:J31"/>
    <mergeCell ref="A9:J9"/>
    <mergeCell ref="A30:J30"/>
    <mergeCell ref="A34:J34"/>
    <mergeCell ref="A15:J15"/>
    <mergeCell ref="A24:J24"/>
    <mergeCell ref="A11:J11"/>
    <mergeCell ref="A6:J6"/>
    <mergeCell ref="A7:J7"/>
    <mergeCell ref="A5:J5"/>
    <mergeCell ref="A23:J23"/>
    <mergeCell ref="A32:J32"/>
    <mergeCell ref="A8:J8"/>
    <mergeCell ref="A14:J14"/>
    <mergeCell ref="A22:J22"/>
    <mergeCell ref="A17:J17"/>
    <mergeCell ref="A29:J29"/>
    <mergeCell ref="A16:J16"/>
    <mergeCell ref="A25:J25"/>
    <mergeCell ref="A18:J18"/>
    <mergeCell ref="A27:J27"/>
    <mergeCell ref="A21:J21"/>
    <mergeCell ref="A12:J12"/>
    <mergeCell ref="A26:J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" customWidth="1"/>
    <col min="2" max="2" width="62" customWidth="1"/>
    <col min="3" max="3" width="13" customWidth="1"/>
    <col min="4" max="9" width="12" customWidth="1"/>
  </cols>
  <sheetData>
    <row r="1" spans="1:11" ht="18.75" x14ac:dyDescent="0.3">
      <c r="A1" s="1" t="s">
        <v>32</v>
      </c>
    </row>
    <row r="2" spans="1:11" x14ac:dyDescent="0.25">
      <c r="A2" s="2" t="s">
        <v>33</v>
      </c>
    </row>
    <row r="4" spans="1:11" x14ac:dyDescent="0.25">
      <c r="B4" s="9" t="s">
        <v>34</v>
      </c>
      <c r="C4" s="9" t="s">
        <v>35</v>
      </c>
      <c r="D4" s="9" t="s">
        <v>36</v>
      </c>
      <c r="E4" s="9" t="s">
        <v>37</v>
      </c>
    </row>
    <row r="5" spans="1:11" ht="30" customHeight="1" x14ac:dyDescent="0.25">
      <c r="B5" s="3" t="s">
        <v>38</v>
      </c>
      <c r="C5" s="10">
        <v>2</v>
      </c>
      <c r="D5" s="11" t="s">
        <v>31</v>
      </c>
      <c r="E5" s="79" t="s">
        <v>39</v>
      </c>
      <c r="F5" s="76"/>
      <c r="G5" s="76"/>
      <c r="H5" s="76"/>
      <c r="I5" s="76"/>
      <c r="J5" s="76"/>
      <c r="K5" s="76"/>
    </row>
    <row r="6" spans="1:11" ht="30" customHeight="1" x14ac:dyDescent="0.25">
      <c r="B6" s="3" t="s">
        <v>40</v>
      </c>
      <c r="C6" s="13" t="str">
        <f>CHOOSE($C$5,"Bear — ESTIMATE decay","Base — OpenAI 1Q26 plan","Bull — FUNDA run-rate path")</f>
        <v>Base — OpenAI 1Q26 plan</v>
      </c>
      <c r="E6" s="79"/>
      <c r="F6" s="76"/>
      <c r="G6" s="76"/>
      <c r="H6" s="76"/>
      <c r="I6" s="76"/>
      <c r="J6" s="76"/>
      <c r="K6" s="76"/>
    </row>
    <row r="7" spans="1:11" ht="30" customHeight="1" x14ac:dyDescent="0.25">
      <c r="B7" s="3" t="s">
        <v>41</v>
      </c>
      <c r="C7" s="14">
        <v>1</v>
      </c>
      <c r="D7" s="11" t="s">
        <v>31</v>
      </c>
      <c r="E7" s="79" t="s">
        <v>42</v>
      </c>
      <c r="F7" s="76"/>
      <c r="G7" s="76"/>
      <c r="H7" s="76"/>
      <c r="I7" s="76"/>
      <c r="J7" s="76"/>
      <c r="K7" s="76"/>
    </row>
    <row r="8" spans="1:11" ht="30" customHeight="1" x14ac:dyDescent="0.25">
      <c r="B8" s="3" t="s">
        <v>43</v>
      </c>
      <c r="C8" s="15">
        <v>0.5</v>
      </c>
      <c r="D8" s="11" t="s">
        <v>31</v>
      </c>
      <c r="E8" s="79" t="s">
        <v>44</v>
      </c>
      <c r="F8" s="76"/>
      <c r="G8" s="76"/>
      <c r="H8" s="76"/>
      <c r="I8" s="76"/>
      <c r="J8" s="76"/>
      <c r="K8" s="76"/>
    </row>
    <row r="9" spans="1:11" ht="30" customHeight="1" x14ac:dyDescent="0.25">
      <c r="B9" s="3" t="s">
        <v>45</v>
      </c>
      <c r="C9" s="16">
        <v>0.33329999999999999</v>
      </c>
      <c r="D9" s="17" t="s">
        <v>28</v>
      </c>
      <c r="E9" s="79" t="s">
        <v>46</v>
      </c>
      <c r="F9" s="76"/>
      <c r="G9" s="76"/>
      <c r="H9" s="76"/>
      <c r="I9" s="76"/>
      <c r="J9" s="76"/>
      <c r="K9" s="76"/>
    </row>
    <row r="10" spans="1:11" ht="30" customHeight="1" x14ac:dyDescent="0.25">
      <c r="B10" s="3" t="s">
        <v>47</v>
      </c>
      <c r="C10" s="10">
        <v>2029</v>
      </c>
      <c r="D10" s="11" t="s">
        <v>31</v>
      </c>
      <c r="E10" s="79" t="s">
        <v>48</v>
      </c>
      <c r="F10" s="76"/>
      <c r="G10" s="76"/>
      <c r="H10" s="76"/>
      <c r="I10" s="76"/>
      <c r="J10" s="76"/>
      <c r="K10" s="76"/>
    </row>
    <row r="11" spans="1:11" ht="30" customHeight="1" x14ac:dyDescent="0.25">
      <c r="B11" s="3" t="s">
        <v>49</v>
      </c>
      <c r="C11" s="16">
        <v>0.2</v>
      </c>
      <c r="D11" s="17" t="s">
        <v>28</v>
      </c>
      <c r="E11" s="79" t="s">
        <v>50</v>
      </c>
      <c r="F11" s="76"/>
      <c r="G11" s="76"/>
      <c r="H11" s="76"/>
      <c r="I11" s="76"/>
      <c r="J11" s="76"/>
      <c r="K11" s="76"/>
    </row>
    <row r="12" spans="1:11" ht="30" customHeight="1" x14ac:dyDescent="0.25">
      <c r="B12" s="3" t="s">
        <v>51</v>
      </c>
      <c r="C12" s="18">
        <v>38</v>
      </c>
      <c r="D12" s="17" t="s">
        <v>28</v>
      </c>
      <c r="E12" s="79" t="s">
        <v>52</v>
      </c>
      <c r="F12" s="76"/>
      <c r="G12" s="76"/>
      <c r="H12" s="76"/>
      <c r="I12" s="76"/>
      <c r="J12" s="76"/>
      <c r="K12" s="76"/>
    </row>
    <row r="13" spans="1:11" ht="30" customHeight="1" x14ac:dyDescent="0.25">
      <c r="B13" s="3" t="s">
        <v>53</v>
      </c>
      <c r="C13" s="10">
        <v>5</v>
      </c>
      <c r="D13" s="11" t="s">
        <v>31</v>
      </c>
      <c r="E13" s="79" t="s">
        <v>54</v>
      </c>
      <c r="F13" s="76"/>
      <c r="G13" s="76"/>
      <c r="H13" s="76"/>
      <c r="I13" s="76"/>
      <c r="J13" s="76"/>
      <c r="K13" s="76"/>
    </row>
    <row r="14" spans="1:11" ht="30" customHeight="1" x14ac:dyDescent="0.25">
      <c r="B14" s="3" t="s">
        <v>55</v>
      </c>
      <c r="C14" s="19">
        <v>2030</v>
      </c>
      <c r="D14" s="17" t="s">
        <v>28</v>
      </c>
      <c r="E14" s="79" t="s">
        <v>56</v>
      </c>
      <c r="F14" s="76"/>
      <c r="G14" s="76"/>
      <c r="H14" s="76"/>
      <c r="I14" s="76"/>
      <c r="J14" s="76"/>
      <c r="K14" s="76"/>
    </row>
    <row r="15" spans="1:11" ht="30" customHeight="1" x14ac:dyDescent="0.25">
      <c r="B15" s="3" t="s">
        <v>57</v>
      </c>
      <c r="C15" s="20">
        <v>0.9</v>
      </c>
      <c r="D15" s="11" t="s">
        <v>31</v>
      </c>
      <c r="E15" s="79" t="s">
        <v>58</v>
      </c>
      <c r="F15" s="76"/>
      <c r="G15" s="76"/>
      <c r="H15" s="76"/>
      <c r="I15" s="76"/>
      <c r="J15" s="76"/>
      <c r="K15" s="76"/>
    </row>
    <row r="16" spans="1:11" ht="30" customHeight="1" x14ac:dyDescent="0.25">
      <c r="B16" s="3" t="s">
        <v>59</v>
      </c>
      <c r="C16" s="16">
        <v>1</v>
      </c>
      <c r="D16" s="17" t="s">
        <v>28</v>
      </c>
      <c r="E16" s="79" t="s">
        <v>60</v>
      </c>
      <c r="F16" s="76"/>
      <c r="G16" s="76"/>
      <c r="H16" s="76"/>
      <c r="I16" s="76"/>
      <c r="J16" s="76"/>
      <c r="K16" s="76"/>
    </row>
    <row r="17" spans="2:11" ht="30" customHeight="1" x14ac:dyDescent="0.25">
      <c r="B17" s="3" t="s">
        <v>61</v>
      </c>
      <c r="C17" s="16">
        <v>0</v>
      </c>
      <c r="D17" s="17" t="s">
        <v>28</v>
      </c>
      <c r="E17" s="79" t="s">
        <v>62</v>
      </c>
      <c r="F17" s="76"/>
      <c r="G17" s="76"/>
      <c r="H17" s="76"/>
      <c r="I17" s="76"/>
      <c r="J17" s="76"/>
      <c r="K17" s="76"/>
    </row>
    <row r="18" spans="2:11" ht="30" customHeight="1" x14ac:dyDescent="0.25">
      <c r="B18" s="3" t="s">
        <v>63</v>
      </c>
      <c r="C18" s="20">
        <v>0.1</v>
      </c>
      <c r="D18" s="11" t="s">
        <v>31</v>
      </c>
      <c r="E18" s="79" t="s">
        <v>64</v>
      </c>
      <c r="F18" s="76"/>
      <c r="G18" s="76"/>
      <c r="H18" s="76"/>
      <c r="I18" s="76"/>
      <c r="J18" s="76"/>
      <c r="K18" s="76"/>
    </row>
    <row r="19" spans="2:11" ht="30" customHeight="1" x14ac:dyDescent="0.25">
      <c r="B19" s="3" t="s">
        <v>65</v>
      </c>
      <c r="C19" s="10">
        <v>1</v>
      </c>
      <c r="D19" s="11" t="s">
        <v>31</v>
      </c>
      <c r="E19" s="79" t="s">
        <v>66</v>
      </c>
      <c r="F19" s="76"/>
      <c r="G19" s="76"/>
      <c r="H19" s="76"/>
      <c r="I19" s="76"/>
      <c r="J19" s="76"/>
      <c r="K19" s="76"/>
    </row>
    <row r="20" spans="2:11" ht="30" customHeight="1" x14ac:dyDescent="0.25">
      <c r="B20" s="3" t="s">
        <v>67</v>
      </c>
      <c r="C20" s="20">
        <v>0.75</v>
      </c>
      <c r="D20" s="11" t="s">
        <v>31</v>
      </c>
      <c r="E20" s="79" t="s">
        <v>68</v>
      </c>
      <c r="F20" s="76"/>
      <c r="G20" s="76"/>
      <c r="H20" s="76"/>
      <c r="I20" s="76"/>
      <c r="J20" s="76"/>
      <c r="K20" s="76"/>
    </row>
    <row r="21" spans="2:11" ht="30" customHeight="1" x14ac:dyDescent="0.25">
      <c r="B21" s="3" t="s">
        <v>69</v>
      </c>
      <c r="C21" s="18">
        <v>36</v>
      </c>
      <c r="D21" s="17" t="s">
        <v>28</v>
      </c>
      <c r="E21" s="79" t="s">
        <v>70</v>
      </c>
      <c r="F21" s="76"/>
      <c r="G21" s="76"/>
      <c r="H21" s="76"/>
      <c r="I21" s="76"/>
      <c r="J21" s="76"/>
      <c r="K21" s="76"/>
    </row>
    <row r="22" spans="2:11" ht="30" customHeight="1" x14ac:dyDescent="0.25">
      <c r="B22" s="3" t="s">
        <v>71</v>
      </c>
      <c r="C22" s="16">
        <v>0.25</v>
      </c>
      <c r="D22" s="17" t="s">
        <v>28</v>
      </c>
      <c r="E22" s="79" t="s">
        <v>72</v>
      </c>
      <c r="F22" s="76"/>
      <c r="G22" s="76"/>
      <c r="H22" s="76"/>
      <c r="I22" s="76"/>
      <c r="J22" s="76"/>
      <c r="K22" s="76"/>
    </row>
    <row r="23" spans="2:11" ht="30" customHeight="1" x14ac:dyDescent="0.25">
      <c r="B23" s="3" t="s">
        <v>73</v>
      </c>
      <c r="C23" s="20">
        <v>-0.02</v>
      </c>
      <c r="D23" s="11" t="s">
        <v>31</v>
      </c>
      <c r="E23" s="79"/>
      <c r="F23" s="76"/>
      <c r="G23" s="76"/>
      <c r="H23" s="76"/>
      <c r="I23" s="76"/>
      <c r="J23" s="76"/>
      <c r="K23" s="76"/>
    </row>
    <row r="26" spans="2:11" x14ac:dyDescent="0.25">
      <c r="B26" s="9" t="s">
        <v>74</v>
      </c>
      <c r="C26" s="9" t="s">
        <v>75</v>
      </c>
      <c r="D26" s="9" t="s">
        <v>76</v>
      </c>
      <c r="E26" s="9" t="s">
        <v>77</v>
      </c>
      <c r="F26" s="9" t="s">
        <v>78</v>
      </c>
      <c r="G26" s="9" t="s">
        <v>79</v>
      </c>
      <c r="H26" s="9" t="s">
        <v>80</v>
      </c>
    </row>
    <row r="27" spans="2:11" x14ac:dyDescent="0.25">
      <c r="B27" t="s">
        <v>81</v>
      </c>
      <c r="C27" s="21">
        <f>Model!C46</f>
        <v>7.5</v>
      </c>
      <c r="D27" s="21">
        <f>Model!D46</f>
        <v>20.350000000000001</v>
      </c>
      <c r="E27" s="22">
        <f>Model!E46</f>
        <v>53.850396964277515</v>
      </c>
      <c r="F27" s="22">
        <f>Model!F46</f>
        <v>101.2121222527104</v>
      </c>
      <c r="G27" s="22">
        <f>Model!G46</f>
        <v>175.45859438340761</v>
      </c>
      <c r="H27" s="22">
        <f>Model!H46</f>
        <v>277.40953293470847</v>
      </c>
    </row>
    <row r="28" spans="2:11" x14ac:dyDescent="0.25">
      <c r="B28" s="13" t="s">
        <v>82</v>
      </c>
      <c r="C28" s="21">
        <f>Model!C53</f>
        <v>6.4736279534883723</v>
      </c>
      <c r="D28" s="21">
        <f>Model!D53</f>
        <v>21.69</v>
      </c>
      <c r="E28" s="22">
        <f>Model!E53</f>
        <v>44.338880060043337</v>
      </c>
      <c r="F28" s="22">
        <f>Model!F53</f>
        <v>73.957344132448057</v>
      </c>
      <c r="G28" s="22">
        <f>Model!G53</f>
        <v>75.81157904413601</v>
      </c>
      <c r="H28" s="22">
        <f>Model!H53</f>
        <v>77.237272233457517</v>
      </c>
    </row>
    <row r="29" spans="2:11" x14ac:dyDescent="0.25">
      <c r="B29" t="s">
        <v>83</v>
      </c>
      <c r="C29" s="21">
        <f>Model!C49</f>
        <v>1.3520000000000001</v>
      </c>
      <c r="D29" s="21">
        <f>Model!D49</f>
        <v>3.8103400000000005</v>
      </c>
      <c r="E29" s="22">
        <f>Model!E49</f>
        <v>10.770079392855504</v>
      </c>
      <c r="F29" s="22">
        <f>Model!F49</f>
        <v>20.242424450542082</v>
      </c>
      <c r="G29" s="22">
        <f>Model!G49</f>
        <v>4.588156156602416</v>
      </c>
      <c r="H29" s="22">
        <f>Model!H49</f>
        <v>0</v>
      </c>
    </row>
    <row r="30" spans="2:11" x14ac:dyDescent="0.25">
      <c r="B30" t="s">
        <v>84</v>
      </c>
      <c r="C30" s="21">
        <f>Model!C52</f>
        <v>5.1216279534883729</v>
      </c>
      <c r="D30" s="21">
        <f>Model!D52</f>
        <v>17.879660000000001</v>
      </c>
      <c r="E30" s="22">
        <f>Model!E52</f>
        <v>33.56880066718783</v>
      </c>
      <c r="F30" s="22">
        <f>Model!F52</f>
        <v>53.714919681905982</v>
      </c>
      <c r="G30" s="22">
        <f>Model!G52</f>
        <v>71.223422887533602</v>
      </c>
      <c r="H30" s="22">
        <f>Model!H52</f>
        <v>77.237272233457517</v>
      </c>
    </row>
    <row r="31" spans="2:11" x14ac:dyDescent="0.25">
      <c r="B31" t="s">
        <v>85</v>
      </c>
      <c r="C31" s="23">
        <f>Model!C50</f>
        <v>1</v>
      </c>
      <c r="D31" s="23">
        <f>Model!D50</f>
        <v>0.55558502545825073</v>
      </c>
      <c r="E31" s="24">
        <f>Model!E50</f>
        <v>0.45397977795795519</v>
      </c>
      <c r="F31" s="24">
        <f>Model!F50</f>
        <v>0.39363988897897761</v>
      </c>
      <c r="G31" s="24">
        <f>Model!G50</f>
        <v>0.33329999999999999</v>
      </c>
      <c r="H31" s="24">
        <f>Model!H50</f>
        <v>0.33329999999999999</v>
      </c>
    </row>
    <row r="32" spans="2:11" x14ac:dyDescent="0.25">
      <c r="B32" t="s">
        <v>86</v>
      </c>
      <c r="C32" s="21">
        <f>Model!C55</f>
        <v>72.61</v>
      </c>
      <c r="D32" s="21">
        <f>Model!D55</f>
        <v>101.938</v>
      </c>
      <c r="E32" s="22">
        <f>Model!E55</f>
        <v>144.64888006004333</v>
      </c>
      <c r="F32" s="22">
        <f>Model!F55</f>
        <v>197.33864413244805</v>
      </c>
      <c r="G32" s="22">
        <f>Model!G55</f>
        <v>225.102952044136</v>
      </c>
      <c r="H32" s="22">
        <f>Model!H55</f>
        <v>254.89400610345751</v>
      </c>
    </row>
    <row r="33" spans="2:8" x14ac:dyDescent="0.25">
      <c r="B33" s="13" t="s">
        <v>87</v>
      </c>
      <c r="D33" s="23">
        <f>Model!D58</f>
        <v>0.40391130698250932</v>
      </c>
      <c r="E33" s="24">
        <f>Model!E58</f>
        <v>0.41898879770098807</v>
      </c>
      <c r="F33" s="24">
        <f>Model!F58</f>
        <v>0.364259744358431</v>
      </c>
      <c r="G33" s="24">
        <f>Model!G58</f>
        <v>0.14069371984259371</v>
      </c>
      <c r="H33" s="24">
        <f>Model!H58</f>
        <v>0.13234412871440426</v>
      </c>
    </row>
    <row r="34" spans="2:8" x14ac:dyDescent="0.25">
      <c r="B34" s="13" t="s">
        <v>88</v>
      </c>
      <c r="D34" s="25">
        <f>Model!D59</f>
        <v>20.956303603514158</v>
      </c>
      <c r="E34" s="26">
        <f>Model!E59</f>
        <v>22.218289607450934</v>
      </c>
      <c r="F34" s="26">
        <f>Model!F59</f>
        <v>20.476110191873026</v>
      </c>
      <c r="G34" s="26">
        <f>Model!G59</f>
        <v>0.93962078225461199</v>
      </c>
      <c r="H34" s="26">
        <f>Model!H59</f>
        <v>0.63335161817068075</v>
      </c>
    </row>
    <row r="35" spans="2:8" x14ac:dyDescent="0.25">
      <c r="B35" t="s">
        <v>89</v>
      </c>
      <c r="D35" s="25">
        <f>Model!D60</f>
        <v>3.3856769040077133</v>
      </c>
      <c r="E35" s="26">
        <f>Model!E60</f>
        <v>6.8274239173375024</v>
      </c>
      <c r="F35" s="26">
        <f>Model!F60</f>
        <v>6.5485090888741313</v>
      </c>
      <c r="G35" s="26">
        <f>Model!G60</f>
        <v>-7.9326927387992834</v>
      </c>
      <c r="H35" s="26">
        <f>Model!H60</f>
        <v>-2.0382478838850653</v>
      </c>
    </row>
    <row r="36" spans="2:8" x14ac:dyDescent="0.25">
      <c r="B36" t="s">
        <v>90</v>
      </c>
      <c r="D36" s="25">
        <f>Model!D61</f>
        <v>17.570626699506441</v>
      </c>
      <c r="E36" s="26">
        <f>Model!E61</f>
        <v>15.390865690113431</v>
      </c>
      <c r="F36" s="26">
        <f>Model!F61</f>
        <v>13.927601102998901</v>
      </c>
      <c r="G36" s="26">
        <f>Model!G61</f>
        <v>8.8723135210538953</v>
      </c>
      <c r="H36" s="26">
        <f>Model!H61</f>
        <v>2.6715995020557428</v>
      </c>
    </row>
    <row r="37" spans="2:8" x14ac:dyDescent="0.25">
      <c r="B37" t="s">
        <v>91</v>
      </c>
      <c r="D37" s="25">
        <f>Model!D62</f>
        <v>19.434827094736786</v>
      </c>
      <c r="E37" s="26">
        <f>Model!E62</f>
        <v>19.680590162647881</v>
      </c>
      <c r="F37" s="26">
        <f>Model!F62</f>
        <v>15.949864243970064</v>
      </c>
      <c r="G37" s="26">
        <f>Model!G62</f>
        <v>13.12975120200476</v>
      </c>
      <c r="H37" s="26">
        <f>Model!H62</f>
        <v>12.601061253269741</v>
      </c>
    </row>
    <row r="38" spans="2:8" x14ac:dyDescent="0.25">
      <c r="B38" t="s">
        <v>92</v>
      </c>
      <c r="D38" s="23">
        <f>Model!D57</f>
        <v>0.21337166700895116</v>
      </c>
      <c r="E38" s="24">
        <f>Model!E57</f>
        <v>0.25</v>
      </c>
      <c r="F38" s="24">
        <f>Model!F57</f>
        <v>0.23</v>
      </c>
      <c r="G38" s="24">
        <f>Model!G57</f>
        <v>0.21</v>
      </c>
      <c r="H38" s="24">
        <f>Model!H57</f>
        <v>0.19</v>
      </c>
    </row>
    <row r="39" spans="2:8" x14ac:dyDescent="0.25">
      <c r="B39" t="s">
        <v>93</v>
      </c>
      <c r="D39" s="23">
        <f>Model!D63</f>
        <v>0.51883428963828526</v>
      </c>
      <c r="E39" s="24">
        <f>Model!E63</f>
        <v>0.53028361926055712</v>
      </c>
      <c r="F39" s="24">
        <f>Model!F63</f>
        <v>0.56212937358580495</v>
      </c>
      <c r="G39" s="24">
        <f>Model!G63</f>
        <v>6.6784841804299958E-2</v>
      </c>
      <c r="H39" s="24">
        <f>Model!H63</f>
        <v>4.7856419799131376E-2</v>
      </c>
    </row>
    <row r="40" spans="2:8" x14ac:dyDescent="0.25">
      <c r="B40" t="s">
        <v>94</v>
      </c>
      <c r="C40" s="23">
        <f>Model!C64</f>
        <v>8.9156148650163511E-2</v>
      </c>
      <c r="D40" s="23">
        <f>Model!D64</f>
        <v>0.21277639349408464</v>
      </c>
      <c r="E40" s="24">
        <f>Model!E64</f>
        <v>0.30652764156651885</v>
      </c>
      <c r="F40" s="24">
        <f>Model!F64</f>
        <v>0.37477375228548748</v>
      </c>
      <c r="G40" s="24">
        <f>Model!G64</f>
        <v>0.33678624982790811</v>
      </c>
      <c r="H40" s="24">
        <f>Model!H64</f>
        <v>0.30301721650570357</v>
      </c>
    </row>
    <row r="41" spans="2:8" x14ac:dyDescent="0.25">
      <c r="B41" t="s">
        <v>95</v>
      </c>
      <c r="C41" s="27">
        <f>Model!C67</f>
        <v>0.8631503937984496</v>
      </c>
      <c r="D41" s="27">
        <f>Model!D67</f>
        <v>1.0658476658476659</v>
      </c>
      <c r="E41" s="28">
        <f>Model!E67</f>
        <v>0.82337146167104791</v>
      </c>
      <c r="F41" s="28">
        <f>Model!F67</f>
        <v>0.73071626684981916</v>
      </c>
      <c r="G41" s="28">
        <f>Model!G67</f>
        <v>0.4320767489934092</v>
      </c>
      <c r="H41" s="28">
        <f>Model!H67</f>
        <v>0.2784232806146435</v>
      </c>
    </row>
    <row r="42" spans="2:8" x14ac:dyDescent="0.25">
      <c r="B42" t="s">
        <v>96</v>
      </c>
      <c r="D42" s="29">
        <f>Model!D73</f>
        <v>5.6008121880315791</v>
      </c>
      <c r="E42" s="30">
        <f>Model!E73</f>
        <v>3.0576010009566978</v>
      </c>
      <c r="F42" s="30">
        <f>Model!F73</f>
        <v>1.8344983612369494</v>
      </c>
      <c r="G42" s="30">
        <f>Model!G73</f>
        <v>1.0285041772107768</v>
      </c>
      <c r="H42" s="30">
        <f>Model!H73</f>
        <v>0.61843542718189892</v>
      </c>
    </row>
    <row r="43" spans="2:8" x14ac:dyDescent="0.25">
      <c r="B43" t="s">
        <v>97</v>
      </c>
      <c r="D43" s="29">
        <f>Model!D74</f>
        <v>1.4002030470078948</v>
      </c>
      <c r="E43" s="30">
        <f>Model!E74</f>
        <v>0.76440025023917446</v>
      </c>
      <c r="F43" s="30">
        <f>Model!F74</f>
        <v>0.45862459030923736</v>
      </c>
      <c r="G43" s="30">
        <f>Model!G74</f>
        <v>0.2571260443026942</v>
      </c>
      <c r="H43" s="30">
        <f>Model!H74</f>
        <v>0.15460885679547473</v>
      </c>
    </row>
    <row r="44" spans="2:8" x14ac:dyDescent="0.25">
      <c r="B44" t="s">
        <v>98</v>
      </c>
      <c r="D44" s="29">
        <f>Model!D75</f>
        <v>2.7544415369783777</v>
      </c>
      <c r="E44" s="30">
        <f>Model!E75</f>
        <v>1.9619768879122603</v>
      </c>
      <c r="F44" s="30">
        <f>Model!F75</f>
        <v>1.3826584755926252</v>
      </c>
      <c r="G44" s="30">
        <f>Model!G75</f>
        <v>0</v>
      </c>
      <c r="H44" s="30">
        <f>Model!H75</f>
        <v>0</v>
      </c>
    </row>
    <row r="45" spans="2:8" x14ac:dyDescent="0.25">
      <c r="B45" t="s">
        <v>99</v>
      </c>
      <c r="C45" s="31">
        <f>Model!C69</f>
        <v>0</v>
      </c>
      <c r="D45" s="31">
        <f>Model!D69</f>
        <v>0</v>
      </c>
      <c r="E45" s="32">
        <f>Model!E69</f>
        <v>0</v>
      </c>
      <c r="F45" s="32">
        <f>Model!F69</f>
        <v>0</v>
      </c>
      <c r="G45" s="32">
        <f>Model!G69</f>
        <v>1</v>
      </c>
      <c r="H45" s="32">
        <f>Model!H69</f>
        <v>1</v>
      </c>
    </row>
    <row r="47" spans="2:8" x14ac:dyDescent="0.25">
      <c r="B47" s="9" t="s">
        <v>100</v>
      </c>
      <c r="C47" s="9"/>
      <c r="D47" s="9"/>
      <c r="E47" s="9"/>
    </row>
    <row r="48" spans="2:8" x14ac:dyDescent="0.25">
      <c r="B48" s="33" t="s">
        <v>101</v>
      </c>
      <c r="C48" s="33" t="s">
        <v>102</v>
      </c>
      <c r="D48" s="33" t="s">
        <v>103</v>
      </c>
      <c r="E48" s="33" t="s">
        <v>104</v>
      </c>
    </row>
    <row r="49" spans="2:6" x14ac:dyDescent="0.25">
      <c r="B49" s="13" t="s">
        <v>105</v>
      </c>
      <c r="C49" s="34">
        <f>Model!D59</f>
        <v>20.956303603514158</v>
      </c>
      <c r="D49" s="26">
        <f>MIN(Dashboard!C62:C66)</f>
        <v>11.499341752529443</v>
      </c>
      <c r="E49" s="26">
        <f>MAX(Dashboard!C62:C66)</f>
        <v>20.956303603514158</v>
      </c>
    </row>
    <row r="50" spans="2:6" x14ac:dyDescent="0.25">
      <c r="B50" s="13" t="s">
        <v>106</v>
      </c>
      <c r="C50" s="34">
        <f>Model!E59</f>
        <v>22.218289607450934</v>
      </c>
      <c r="D50" s="26">
        <f>MIN(Dashboard!D71:D75,Dashboard!E80:E82,Dashboard!C87:C92,Dashboard!C97:C98,Dashboard!C103:C107)</f>
        <v>16.231709105061142</v>
      </c>
      <c r="E50" s="26">
        <f>MAX(Dashboard!D71:D75,Dashboard!E80:E82,Dashboard!C87:C92,Dashboard!C97:C98,Dashboard!C103:C107)</f>
        <v>26.094988575618359</v>
      </c>
    </row>
    <row r="51" spans="2:6" x14ac:dyDescent="0.25">
      <c r="B51" s="13" t="s">
        <v>107</v>
      </c>
      <c r="C51" s="34">
        <f>Model!F59</f>
        <v>20.476110191873026</v>
      </c>
      <c r="D51" s="26">
        <f>MIN(Dashboard!E71:E75,Dashboard!F80:F82,Dashboard!D87:D92,Dashboard!D97:D98,Dashboard!D103:D107)</f>
        <v>12.487748174270321</v>
      </c>
      <c r="E51" s="26">
        <f>MAX(Dashboard!E71:E75,Dashboard!F80:F82,Dashboard!D87:D92,Dashboard!D97:D98,Dashboard!D103:D107)</f>
        <v>25.323403504835813</v>
      </c>
    </row>
    <row r="52" spans="2:6" x14ac:dyDescent="0.25">
      <c r="B52" s="13" t="s">
        <v>108</v>
      </c>
      <c r="C52" s="35">
        <f>Model!E58</f>
        <v>0.41898879770098807</v>
      </c>
      <c r="D52" s="24">
        <f>MIN(Dashboard!F71:F75,Dashboard!G80:G82,Dashboard!E87:E92,Dashboard!E103:E107)</f>
        <v>0.35912299267709025</v>
      </c>
      <c r="E52" s="24">
        <f>MAX(Dashboard!F71:F75,Dashboard!G80:G82,Dashboard!E87:E92,Dashboard!E103:E107)</f>
        <v>0.45775578738266232</v>
      </c>
    </row>
    <row r="53" spans="2:6" x14ac:dyDescent="0.25">
      <c r="B53" s="13" t="s">
        <v>109</v>
      </c>
      <c r="C53" s="35">
        <f>Model!F58</f>
        <v>0.364259744358431</v>
      </c>
      <c r="D53" s="24">
        <f>MIN(Dashboard!F87:F92,Dashboard!E97:E98,Dashboard!F103:F107)</f>
        <v>0.28693034947748464</v>
      </c>
      <c r="E53" s="24">
        <f>MAX(Dashboard!F87:F92,Dashboard!E97:E98,Dashboard!F103:F107)</f>
        <v>0.40962282729596233</v>
      </c>
    </row>
    <row r="55" spans="2:6" x14ac:dyDescent="0.25">
      <c r="B55" s="13" t="s">
        <v>110</v>
      </c>
      <c r="C55" s="36" t="str">
        <f>TEXT(Calibration!$C$13,"0%")&amp;" / "&amp;TEXT(Calibration!$C$12,"0%")</f>
        <v>61% / 51%</v>
      </c>
    </row>
    <row r="56" spans="2:6" x14ac:dyDescent="0.25">
      <c r="B56" s="13" t="s">
        <v>111</v>
      </c>
      <c r="C56" s="36" t="str">
        <f>Model!$C$80</f>
        <v>H2'28</v>
      </c>
    </row>
    <row r="57" spans="2:6" x14ac:dyDescent="0.25">
      <c r="B57" s="13" t="s">
        <v>112</v>
      </c>
      <c r="C57" s="36" t="str">
        <f>Guardrails!$C$21</f>
        <v>12 pass · 2 watch · 0 fail</v>
      </c>
    </row>
    <row r="59" spans="2:6" x14ac:dyDescent="0.25">
      <c r="B59" s="9" t="s">
        <v>113</v>
      </c>
      <c r="C59" s="9"/>
      <c r="D59" s="9"/>
      <c r="E59" s="9"/>
      <c r="F59" s="9"/>
    </row>
    <row r="60" spans="2:6" ht="30" customHeight="1" x14ac:dyDescent="0.25">
      <c r="B60" s="33" t="s">
        <v>114</v>
      </c>
      <c r="C60" s="37" t="s">
        <v>115</v>
      </c>
      <c r="D60" s="37" t="s">
        <v>116</v>
      </c>
      <c r="E60" s="37" t="s">
        <v>117</v>
      </c>
      <c r="F60" s="37" t="s">
        <v>118</v>
      </c>
    </row>
    <row r="61" spans="2:6" x14ac:dyDescent="0.25">
      <c r="C61" s="38">
        <f>Model!D59</f>
        <v>20.956303603514158</v>
      </c>
      <c r="D61" s="39">
        <f>Model!D57</f>
        <v>0.21337166700895116</v>
      </c>
      <c r="E61" s="39">
        <f>Model!$C$89</f>
        <v>0.2075527448648648</v>
      </c>
      <c r="F61" s="38">
        <f>Model!$C$94</f>
        <v>6.3377678465387444</v>
      </c>
    </row>
    <row r="62" spans="2:6" x14ac:dyDescent="0.25">
      <c r="B62" s="40">
        <v>0</v>
      </c>
      <c r="C62" s="25">
        <f t="dataTable" ref="C62:F66" dt2D="0" dtr="0" r1="C17" ca="1"/>
        <v>20.956303603514158</v>
      </c>
      <c r="D62" s="23">
        <v>0.21337166700895116</v>
      </c>
      <c r="E62" s="23">
        <v>0.2075527448648648</v>
      </c>
      <c r="F62" s="25">
        <v>6.3377678465387444</v>
      </c>
    </row>
    <row r="63" spans="2:6" x14ac:dyDescent="0.25">
      <c r="B63" s="40">
        <v>0.25</v>
      </c>
      <c r="C63" s="25">
        <v>18.592063140767976</v>
      </c>
      <c r="D63" s="23">
        <v>0.2457059514275608</v>
      </c>
      <c r="E63" s="23">
        <v>6.6921109729729686E-2</v>
      </c>
      <c r="F63" s="25">
        <v>8.5372388601636651</v>
      </c>
    </row>
    <row r="64" spans="2:6" x14ac:dyDescent="0.25">
      <c r="B64" s="40">
        <v>0.5</v>
      </c>
      <c r="C64" s="25">
        <v>16.227822678021798</v>
      </c>
      <c r="D64" s="23">
        <v>0.27981072332484902</v>
      </c>
      <c r="E64" s="23">
        <v>-7.3710525405405528E-2</v>
      </c>
      <c r="F64" s="25">
        <v>10.969328627349096</v>
      </c>
    </row>
    <row r="65" spans="2:8" x14ac:dyDescent="0.25">
      <c r="B65" s="40">
        <v>0.75</v>
      </c>
      <c r="C65" s="25">
        <v>13.863582215275622</v>
      </c>
      <c r="D65" s="23">
        <v>0.31583549247175524</v>
      </c>
      <c r="E65" s="23">
        <v>-0.21434216054054073</v>
      </c>
      <c r="F65" s="25">
        <v>13.664335322015253</v>
      </c>
    </row>
    <row r="66" spans="2:8" x14ac:dyDescent="0.25">
      <c r="B66" s="40">
        <v>1</v>
      </c>
      <c r="C66" s="25">
        <v>11.499341752529443</v>
      </c>
      <c r="D66" s="23">
        <v>0.35394709012436776</v>
      </c>
      <c r="E66" s="23">
        <v>-0.35497379567567594</v>
      </c>
      <c r="F66" s="25">
        <v>16.657583316859402</v>
      </c>
    </row>
    <row r="68" spans="2:8" x14ac:dyDescent="0.25">
      <c r="B68" s="9" t="s">
        <v>119</v>
      </c>
      <c r="C68" s="9"/>
      <c r="D68" s="9"/>
      <c r="E68" s="9"/>
      <c r="F68" s="9"/>
      <c r="G68" s="9"/>
      <c r="H68" s="9"/>
    </row>
    <row r="69" spans="2:8" ht="30" customHeight="1" x14ac:dyDescent="0.25">
      <c r="B69" s="33" t="s">
        <v>114</v>
      </c>
      <c r="C69" s="37" t="s">
        <v>120</v>
      </c>
      <c r="D69" s="37" t="s">
        <v>121</v>
      </c>
      <c r="E69" s="37" t="s">
        <v>122</v>
      </c>
      <c r="F69" s="37" t="s">
        <v>123</v>
      </c>
      <c r="G69" s="37" t="s">
        <v>124</v>
      </c>
      <c r="H69" s="37" t="s">
        <v>118</v>
      </c>
    </row>
    <row r="70" spans="2:8" x14ac:dyDescent="0.25">
      <c r="C70" s="39">
        <f>Calibration!$C$12</f>
        <v>0.51431966693693276</v>
      </c>
      <c r="D70" s="38">
        <f>Model!E59</f>
        <v>22.218289607450934</v>
      </c>
      <c r="E70" s="38">
        <f>Model!F59</f>
        <v>20.476110191873026</v>
      </c>
      <c r="F70" s="39">
        <f>Model!E58</f>
        <v>0.41898879770098807</v>
      </c>
      <c r="G70" s="39">
        <f>Model!$C$90</f>
        <v>9.3464602404347771E-2</v>
      </c>
      <c r="H70" s="38">
        <f>Model!$C$94</f>
        <v>6.3377678465387444</v>
      </c>
    </row>
    <row r="71" spans="2:8" x14ac:dyDescent="0.25">
      <c r="B71" s="40">
        <v>0</v>
      </c>
      <c r="C71" s="23">
        <f t="dataTable" ref="C71:H75" dt2D="0" dtr="0" r1="C18" ca="1"/>
        <v>0.55558502545825073</v>
      </c>
      <c r="D71" s="25">
        <v>24.21381644158086</v>
      </c>
      <c r="E71" s="25">
        <v>20.084965680444775</v>
      </c>
      <c r="F71" s="23">
        <v>0.43894406604228742</v>
      </c>
      <c r="G71" s="23">
        <v>5.1303016291495335E-2</v>
      </c>
      <c r="H71" s="25">
        <v>1.6069104725849215</v>
      </c>
    </row>
    <row r="72" spans="2:8" x14ac:dyDescent="0.25">
      <c r="B72" s="40">
        <v>0.1</v>
      </c>
      <c r="C72" s="23">
        <v>0.51431966693693276</v>
      </c>
      <c r="D72" s="25">
        <v>22.218289607450934</v>
      </c>
      <c r="E72" s="25">
        <v>20.476110191873026</v>
      </c>
      <c r="F72" s="23">
        <v>0.41898879770098807</v>
      </c>
      <c r="G72" s="23">
        <v>9.3464602404347771E-2</v>
      </c>
      <c r="H72" s="25">
        <v>6.3377678465387444</v>
      </c>
    </row>
    <row r="73" spans="2:8" x14ac:dyDescent="0.25">
      <c r="B73" s="40">
        <v>0.2</v>
      </c>
      <c r="C73" s="23">
        <v>0.47305430841561491</v>
      </c>
      <c r="D73" s="25">
        <v>20.222762773321001</v>
      </c>
      <c r="E73" s="25">
        <v>20.878412968663749</v>
      </c>
      <c r="F73" s="23">
        <v>0.39903352935968872</v>
      </c>
      <c r="G73" s="23">
        <v>0.13562618851720024</v>
      </c>
      <c r="H73" s="25">
        <v>11.068625220492635</v>
      </c>
    </row>
    <row r="74" spans="2:8" x14ac:dyDescent="0.25">
      <c r="B74" s="40">
        <v>0.3</v>
      </c>
      <c r="C74" s="23">
        <v>0.431788949894297</v>
      </c>
      <c r="D74" s="25">
        <v>18.227235939191068</v>
      </c>
      <c r="E74" s="25">
        <v>21.292358391259608</v>
      </c>
      <c r="F74" s="23">
        <v>0.37907826101838937</v>
      </c>
      <c r="G74" s="23">
        <v>0.17778777463005266</v>
      </c>
      <c r="H74" s="25">
        <v>15.799482594446502</v>
      </c>
    </row>
    <row r="75" spans="2:8" x14ac:dyDescent="0.25">
      <c r="B75" s="40">
        <v>0.4</v>
      </c>
      <c r="C75" s="23">
        <v>0.3905235913729791</v>
      </c>
      <c r="D75" s="25">
        <v>16.231709105061142</v>
      </c>
      <c r="E75" s="25">
        <v>21.718459287688315</v>
      </c>
      <c r="F75" s="23">
        <v>0.35912299267709025</v>
      </c>
      <c r="G75" s="23">
        <v>0.21994936074290511</v>
      </c>
      <c r="H75" s="25">
        <v>20.530339968400391</v>
      </c>
    </row>
    <row r="77" spans="2:8" x14ac:dyDescent="0.25">
      <c r="B77" s="9" t="s">
        <v>125</v>
      </c>
      <c r="C77" s="9"/>
      <c r="D77" s="9"/>
      <c r="E77" s="9"/>
      <c r="F77" s="9"/>
      <c r="G77" s="9"/>
    </row>
    <row r="78" spans="2:8" ht="30" customHeight="1" x14ac:dyDescent="0.25">
      <c r="B78" s="33" t="s">
        <v>114</v>
      </c>
      <c r="C78" s="37" t="s">
        <v>120</v>
      </c>
      <c r="D78" s="37" t="s">
        <v>126</v>
      </c>
      <c r="E78" s="37" t="s">
        <v>121</v>
      </c>
      <c r="F78" s="37" t="s">
        <v>122</v>
      </c>
      <c r="G78" s="37" t="s">
        <v>123</v>
      </c>
    </row>
    <row r="79" spans="2:8" x14ac:dyDescent="0.25">
      <c r="C79" s="39">
        <f>Calibration!$C$12</f>
        <v>0.51431966693693276</v>
      </c>
      <c r="D79" s="39">
        <f>Model!D64</f>
        <v>0.21277639349408464</v>
      </c>
      <c r="E79" s="38">
        <f>Model!E59</f>
        <v>22.218289607450934</v>
      </c>
      <c r="F79" s="38">
        <f>Model!F59</f>
        <v>20.476110191873026</v>
      </c>
      <c r="G79" s="39">
        <f>Model!E58</f>
        <v>0.41898879770098807</v>
      </c>
    </row>
    <row r="80" spans="2:8" x14ac:dyDescent="0.25">
      <c r="B80" s="40">
        <v>0.8</v>
      </c>
      <c r="C80" s="23">
        <f t="dataTable" ref="C80:G82" dt2D="0" dtr="0" r1="C15" ca="1"/>
        <v>0.43943234182256352</v>
      </c>
      <c r="D80" s="23">
        <v>0.1891345719947419</v>
      </c>
      <c r="E80" s="25">
        <v>20.96104031568975</v>
      </c>
      <c r="F80" s="25">
        <v>20.770874221047816</v>
      </c>
      <c r="G80" s="23">
        <v>0.4123267601582119</v>
      </c>
    </row>
    <row r="81" spans="2:8" x14ac:dyDescent="0.25">
      <c r="B81" s="40">
        <v>0.9</v>
      </c>
      <c r="C81" s="23">
        <v>0.51431966693693276</v>
      </c>
      <c r="D81" s="23">
        <v>0.21277639349408464</v>
      </c>
      <c r="E81" s="25">
        <v>22.218289607450934</v>
      </c>
      <c r="F81" s="25">
        <v>20.476110191873026</v>
      </c>
      <c r="G81" s="23">
        <v>0.41898879770098807</v>
      </c>
    </row>
    <row r="82" spans="2:8" x14ac:dyDescent="0.25">
      <c r="B82" s="40">
        <v>1</v>
      </c>
      <c r="C82" s="23">
        <v>0.589206992051302</v>
      </c>
      <c r="D82" s="23">
        <v>0.23641821499342738</v>
      </c>
      <c r="E82" s="25">
        <v>23.475538899212108</v>
      </c>
      <c r="F82" s="25">
        <v>20.184101015401414</v>
      </c>
      <c r="G82" s="23">
        <v>0.42565083524376424</v>
      </c>
    </row>
    <row r="84" spans="2:8" x14ac:dyDescent="0.25">
      <c r="B84" s="9" t="s">
        <v>127</v>
      </c>
      <c r="C84" s="9"/>
      <c r="D84" s="9"/>
      <c r="E84" s="9"/>
      <c r="F84" s="9"/>
      <c r="G84" s="9"/>
      <c r="H84" s="9"/>
    </row>
    <row r="85" spans="2:8" ht="30" customHeight="1" x14ac:dyDescent="0.25">
      <c r="B85" s="33" t="s">
        <v>114</v>
      </c>
      <c r="C85" s="37" t="s">
        <v>121</v>
      </c>
      <c r="D85" s="37" t="s">
        <v>122</v>
      </c>
      <c r="E85" s="37" t="s">
        <v>123</v>
      </c>
      <c r="F85" s="37" t="s">
        <v>128</v>
      </c>
      <c r="G85" s="37" t="s">
        <v>129</v>
      </c>
      <c r="H85" s="37" t="s">
        <v>130</v>
      </c>
    </row>
    <row r="86" spans="2:8" x14ac:dyDescent="0.25">
      <c r="C86" s="38">
        <f>Model!E59</f>
        <v>22.218289607450934</v>
      </c>
      <c r="D86" s="38">
        <f>Model!F59</f>
        <v>20.476110191873026</v>
      </c>
      <c r="E86" s="39">
        <f>Model!E58</f>
        <v>0.41898879770098807</v>
      </c>
      <c r="F86" s="39">
        <f>Model!F58</f>
        <v>0.364259744358431</v>
      </c>
      <c r="G86" s="39">
        <f>Model!G58</f>
        <v>0.14069371984259371</v>
      </c>
      <c r="H86" s="39">
        <f>Model!H64</f>
        <v>0.30301721650570357</v>
      </c>
    </row>
    <row r="87" spans="2:8" x14ac:dyDescent="0.25">
      <c r="B87" s="40">
        <v>0.18</v>
      </c>
      <c r="C87" s="25">
        <f t="dataTable" ref="C87:H92" dt2D="0" dtr="0" r1="C9" ca="1"/>
        <v>18.511618023414144</v>
      </c>
      <c r="D87" s="25">
        <v>13.807775731452429</v>
      </c>
      <c r="E87" s="23">
        <v>0.38192208186062038</v>
      </c>
      <c r="F87" s="23">
        <v>0.30185456487933582</v>
      </c>
      <c r="G87" s="23">
        <v>4.8809378510764834E-2</v>
      </c>
      <c r="H87" s="23">
        <v>0.19014670318532426</v>
      </c>
    </row>
    <row r="88" spans="2:8" x14ac:dyDescent="0.25">
      <c r="B88" s="40">
        <v>0.25</v>
      </c>
      <c r="C88" s="25">
        <v>20.204162125714053</v>
      </c>
      <c r="D88" s="25">
        <v>16.896519258951567</v>
      </c>
      <c r="E88" s="23">
        <v>0.39884752288361924</v>
      </c>
      <c r="F88" s="23">
        <v>0.3307603726702546</v>
      </c>
      <c r="G88" s="23">
        <v>9.2441184036043733E-2</v>
      </c>
      <c r="H88" s="23">
        <v>0.24590869376680727</v>
      </c>
    </row>
    <row r="89" spans="2:8" x14ac:dyDescent="0.25">
      <c r="B89" s="40">
        <v>0.33329999999999999</v>
      </c>
      <c r="C89" s="25">
        <v>22.218289607450934</v>
      </c>
      <c r="D89" s="25">
        <v>20.476110191873026</v>
      </c>
      <c r="E89" s="23">
        <v>0.41898879770098807</v>
      </c>
      <c r="F89" s="23">
        <v>0.364259744358431</v>
      </c>
      <c r="G89" s="23">
        <v>0.14069371984259371</v>
      </c>
      <c r="H89" s="23">
        <v>0.30301721650570357</v>
      </c>
    </row>
    <row r="90" spans="2:8" x14ac:dyDescent="0.25">
      <c r="B90" s="40">
        <v>0.36</v>
      </c>
      <c r="C90" s="25">
        <v>22.863874286471034</v>
      </c>
      <c r="D90" s="25">
        <v>21.602061683992659</v>
      </c>
      <c r="E90" s="23">
        <v>0.42544464449118902</v>
      </c>
      <c r="F90" s="23">
        <v>0.37479688903339214</v>
      </c>
      <c r="G90" s="23">
        <v>0.1553852740670012</v>
      </c>
      <c r="H90" s="23">
        <v>0.31953489880938729</v>
      </c>
    </row>
    <row r="91" spans="2:8" x14ac:dyDescent="0.25">
      <c r="B91" s="40">
        <v>0.38500000000000001</v>
      </c>
      <c r="C91" s="25">
        <v>23.468354323006714</v>
      </c>
      <c r="D91" s="25">
        <v>22.64711691852213</v>
      </c>
      <c r="E91" s="23">
        <v>0.43148944485654606</v>
      </c>
      <c r="F91" s="23">
        <v>0.38457697128083601</v>
      </c>
      <c r="G91" s="23">
        <v>0.168821189662961</v>
      </c>
      <c r="H91" s="23">
        <v>0.33430658478635727</v>
      </c>
    </row>
    <row r="92" spans="2:8" x14ac:dyDescent="0.25">
      <c r="B92" s="40">
        <v>0.45</v>
      </c>
      <c r="C92" s="25">
        <v>25.040002417999478</v>
      </c>
      <c r="D92" s="25">
        <v>25.323403504835813</v>
      </c>
      <c r="E92" s="23">
        <v>0.44720592580647356</v>
      </c>
      <c r="F92" s="23">
        <v>0.40962282729596233</v>
      </c>
      <c r="G92" s="23">
        <v>0.2023792040652086</v>
      </c>
      <c r="H92" s="23">
        <v>0.36987188006915067</v>
      </c>
    </row>
    <row r="94" spans="2:8" x14ac:dyDescent="0.25">
      <c r="B94" s="9" t="s">
        <v>131</v>
      </c>
      <c r="C94" s="9"/>
      <c r="D94" s="9"/>
      <c r="E94" s="9"/>
      <c r="F94" s="9"/>
      <c r="G94" s="9"/>
      <c r="H94" s="9"/>
    </row>
    <row r="95" spans="2:8" ht="30" customHeight="1" x14ac:dyDescent="0.25">
      <c r="B95" s="33" t="s">
        <v>114</v>
      </c>
      <c r="C95" s="37" t="s">
        <v>121</v>
      </c>
      <c r="D95" s="37" t="s">
        <v>122</v>
      </c>
      <c r="E95" s="37" t="s">
        <v>128</v>
      </c>
      <c r="F95" s="37" t="s">
        <v>129</v>
      </c>
      <c r="G95" s="37" t="s">
        <v>132</v>
      </c>
      <c r="H95" s="37" t="s">
        <v>133</v>
      </c>
    </row>
    <row r="96" spans="2:8" x14ac:dyDescent="0.25">
      <c r="C96" s="38">
        <f>Model!E59</f>
        <v>22.218289607450934</v>
      </c>
      <c r="D96" s="38">
        <f>Model!F59</f>
        <v>20.476110191873026</v>
      </c>
      <c r="E96" s="39">
        <f>Model!F58</f>
        <v>0.364259744358431</v>
      </c>
      <c r="F96" s="39">
        <f>Model!G58</f>
        <v>0.14069371984259371</v>
      </c>
      <c r="G96" s="41">
        <f>Model!$C$93</f>
        <v>792.92035245943589</v>
      </c>
      <c r="H96" s="39">
        <f>Model!$C$84</f>
        <v>0.87276793004659381</v>
      </c>
    </row>
    <row r="97" spans="2:9" x14ac:dyDescent="0.25">
      <c r="B97" s="42">
        <v>1</v>
      </c>
      <c r="C97" s="25">
        <f t="dataTable" ref="C97:H98" dt2D="0" dtr="0" r1="C19" ca="1"/>
        <v>22.218289607450934</v>
      </c>
      <c r="D97" s="25">
        <v>20.476110191873026</v>
      </c>
      <c r="E97" s="23">
        <v>0.364259744358431</v>
      </c>
      <c r="F97" s="23">
        <v>0.14069371984259371</v>
      </c>
      <c r="G97" s="21">
        <v>792.92035245943589</v>
      </c>
      <c r="H97" s="23">
        <v>0.87276793004659381</v>
      </c>
    </row>
    <row r="98" spans="2:9" x14ac:dyDescent="0.25">
      <c r="B98" s="42">
        <v>2</v>
      </c>
      <c r="C98" s="25">
        <v>19.981725002833262</v>
      </c>
      <c r="D98" s="25">
        <v>12.487748174270321</v>
      </c>
      <c r="E98" s="23">
        <v>0.28693034947748464</v>
      </c>
      <c r="F98" s="23">
        <v>8.5804369648819323E-2</v>
      </c>
      <c r="G98" s="21">
        <v>593.33398617162197</v>
      </c>
      <c r="H98" s="23">
        <v>0.64691934578096066</v>
      </c>
    </row>
    <row r="100" spans="2:9" x14ac:dyDescent="0.25">
      <c r="B100" s="9" t="s">
        <v>134</v>
      </c>
      <c r="C100" s="9"/>
      <c r="D100" s="9"/>
      <c r="E100" s="9"/>
      <c r="F100" s="9"/>
    </row>
    <row r="101" spans="2:9" ht="30" customHeight="1" x14ac:dyDescent="0.25">
      <c r="B101" s="33" t="s">
        <v>114</v>
      </c>
      <c r="C101" s="37" t="s">
        <v>121</v>
      </c>
      <c r="D101" s="37" t="s">
        <v>122</v>
      </c>
      <c r="E101" s="37" t="s">
        <v>123</v>
      </c>
      <c r="F101" s="37" t="s">
        <v>128</v>
      </c>
    </row>
    <row r="102" spans="2:9" x14ac:dyDescent="0.25">
      <c r="C102" s="38">
        <f>Model!E59</f>
        <v>22.218289607450934</v>
      </c>
      <c r="D102" s="38">
        <f>Model!F59</f>
        <v>20.476110191873026</v>
      </c>
      <c r="E102" s="39">
        <f>Model!E58</f>
        <v>0.41898879770098807</v>
      </c>
      <c r="F102" s="39">
        <f>Model!F58</f>
        <v>0.364259744358431</v>
      </c>
    </row>
    <row r="103" spans="2:9" x14ac:dyDescent="0.25">
      <c r="B103" s="43">
        <v>0</v>
      </c>
      <c r="C103" s="25">
        <f t="dataTable" ref="C103:F107" dt2D="0" dtr="0" r1="C8" ca="1"/>
        <v>18.673992385139552</v>
      </c>
      <c r="D103" s="25">
        <v>20.392624846600796</v>
      </c>
      <c r="E103" s="23">
        <v>0.3835458254778743</v>
      </c>
      <c r="F103" s="23">
        <v>0.36751084588422334</v>
      </c>
    </row>
    <row r="104" spans="2:9" x14ac:dyDescent="0.25">
      <c r="B104" s="43">
        <v>0.25</v>
      </c>
      <c r="C104" s="25">
        <v>20.406432524514674</v>
      </c>
      <c r="D104" s="25">
        <v>20.434604698583382</v>
      </c>
      <c r="E104" s="23">
        <v>0.40087022687162555</v>
      </c>
      <c r="F104" s="23">
        <v>0.36590761245351877</v>
      </c>
    </row>
    <row r="105" spans="2:9" x14ac:dyDescent="0.25">
      <c r="B105" s="43">
        <v>0.5</v>
      </c>
      <c r="C105" s="25">
        <v>22.218289607450934</v>
      </c>
      <c r="D105" s="25">
        <v>20.476110191873026</v>
      </c>
      <c r="E105" s="23">
        <v>0.41898879770098807</v>
      </c>
      <c r="F105" s="23">
        <v>0.364259744358431</v>
      </c>
    </row>
    <row r="106" spans="2:9" x14ac:dyDescent="0.25">
      <c r="B106" s="43">
        <v>0.75</v>
      </c>
      <c r="C106" s="25">
        <v>24.11320536448811</v>
      </c>
      <c r="D106" s="25">
        <v>20.517086700498805</v>
      </c>
      <c r="E106" s="23">
        <v>0.43793795527136004</v>
      </c>
      <c r="F106" s="23">
        <v>0.36256763509275958</v>
      </c>
    </row>
    <row r="107" spans="2:9" x14ac:dyDescent="0.25">
      <c r="B107" s="43">
        <v>1</v>
      </c>
      <c r="C107" s="25">
        <v>26.094988575618359</v>
      </c>
      <c r="D107" s="25">
        <v>20.557479611412532</v>
      </c>
      <c r="E107" s="23">
        <v>0.45775578738266232</v>
      </c>
      <c r="F107" s="23">
        <v>0.36083179377407681</v>
      </c>
    </row>
    <row r="109" spans="2:9" x14ac:dyDescent="0.25">
      <c r="B109" s="9" t="s">
        <v>135</v>
      </c>
      <c r="C109" s="9"/>
      <c r="D109" s="9"/>
      <c r="E109" s="9"/>
      <c r="F109" s="9"/>
      <c r="G109" s="9"/>
      <c r="H109" s="9"/>
      <c r="I109" s="9"/>
    </row>
    <row r="110" spans="2:9" ht="30" customHeight="1" x14ac:dyDescent="0.25">
      <c r="B110" s="33" t="s">
        <v>114</v>
      </c>
      <c r="C110" s="37" t="s">
        <v>123</v>
      </c>
      <c r="D110" s="37" t="s">
        <v>128</v>
      </c>
      <c r="E110" s="37" t="s">
        <v>129</v>
      </c>
      <c r="F110" s="37" t="s">
        <v>136</v>
      </c>
      <c r="G110" s="37" t="s">
        <v>121</v>
      </c>
      <c r="H110" s="37" t="s">
        <v>122</v>
      </c>
      <c r="I110" s="37" t="s">
        <v>137</v>
      </c>
    </row>
    <row r="111" spans="2:9" x14ac:dyDescent="0.25">
      <c r="C111" s="39">
        <f>Model!E58</f>
        <v>0.41898879770098807</v>
      </c>
      <c r="D111" s="39">
        <f>Model!F58</f>
        <v>0.364259744358431</v>
      </c>
      <c r="E111" s="39">
        <f>Model!G58</f>
        <v>0.14069371984259371</v>
      </c>
      <c r="F111" s="39">
        <f>Model!H58</f>
        <v>0.13234412871440426</v>
      </c>
      <c r="G111" s="38">
        <f>Model!E59</f>
        <v>22.218289607450934</v>
      </c>
      <c r="H111" s="38">
        <f>Model!F59</f>
        <v>20.476110191873026</v>
      </c>
      <c r="I111" s="2" t="str">
        <f>Model!$C$80</f>
        <v>H2'28</v>
      </c>
    </row>
    <row r="112" spans="2:9" x14ac:dyDescent="0.25">
      <c r="B112" s="44">
        <v>0.6</v>
      </c>
      <c r="C112" s="23">
        <f t="dataTable" ref="C112:I118" dt2D="0" dtr="0" r1="C7" ca="1"/>
        <v>0.36960946729074284</v>
      </c>
      <c r="D112" s="23">
        <v>0.25790951048087107</v>
      </c>
      <c r="E112" s="23">
        <v>0.25030046431399477</v>
      </c>
      <c r="F112" s="23">
        <v>8.1529972256302097E-2</v>
      </c>
      <c r="G112" s="25">
        <v>17.280356566426399</v>
      </c>
      <c r="H112" s="25">
        <v>9.2660370287533134</v>
      </c>
      <c r="I112" t="str">
        <v>H1'29</v>
      </c>
    </row>
    <row r="113" spans="2:9" x14ac:dyDescent="0.25">
      <c r="B113" s="44">
        <v>0.8</v>
      </c>
      <c r="C113" s="23">
        <v>0.39606564696097912</v>
      </c>
      <c r="D113" s="23">
        <v>0.31273890923414571</v>
      </c>
      <c r="E113" s="23">
        <v>0.19286889309267052</v>
      </c>
      <c r="F113" s="23">
        <v>0.10720050846690499</v>
      </c>
      <c r="G113" s="25">
        <v>19.925974533450052</v>
      </c>
      <c r="H113" s="25">
        <v>15.06213273259244</v>
      </c>
      <c r="I113" t="str">
        <v>H2'28</v>
      </c>
    </row>
    <row r="114" spans="2:9" x14ac:dyDescent="0.25">
      <c r="B114" s="44">
        <v>0.9</v>
      </c>
      <c r="C114" s="23">
        <v>0.40788903339910387</v>
      </c>
      <c r="D114" s="23">
        <v>0.33885126792532416</v>
      </c>
      <c r="E114" s="23">
        <v>0.1661882250752349</v>
      </c>
      <c r="F114" s="23">
        <v>0.11981900586968619</v>
      </c>
      <c r="G114" s="25">
        <v>21.108313177262492</v>
      </c>
      <c r="H114" s="25">
        <v>17.8095141908756</v>
      </c>
      <c r="I114" t="str">
        <v>H2'28</v>
      </c>
    </row>
    <row r="115" spans="2:9" x14ac:dyDescent="0.25">
      <c r="B115" s="44">
        <v>1</v>
      </c>
      <c r="C115" s="23">
        <v>0.41898879770098807</v>
      </c>
      <c r="D115" s="23">
        <v>0.364259744358431</v>
      </c>
      <c r="E115" s="23">
        <v>0.14069371984259371</v>
      </c>
      <c r="F115" s="23">
        <v>0.13234412871440426</v>
      </c>
      <c r="G115" s="25">
        <v>22.218289607450934</v>
      </c>
      <c r="H115" s="25">
        <v>20.476110191873026</v>
      </c>
      <c r="I115" t="str">
        <v>H2'28</v>
      </c>
    </row>
    <row r="116" spans="2:9" x14ac:dyDescent="0.25">
      <c r="B116" s="44">
        <v>1.1000000000000001</v>
      </c>
      <c r="C116" s="23">
        <v>0.42947441239880502</v>
      </c>
      <c r="D116" s="23">
        <v>0.3890520450614332</v>
      </c>
      <c r="E116" s="23">
        <v>0.11628145983723104</v>
      </c>
      <c r="F116" s="23">
        <v>0.14480375156262992</v>
      </c>
      <c r="G116" s="25">
        <v>23.266851077232616</v>
      </c>
      <c r="H116" s="25">
        <v>23.072337201393815</v>
      </c>
      <c r="I116" t="str">
        <v>H2'28</v>
      </c>
    </row>
    <row r="117" spans="2:9" x14ac:dyDescent="0.25">
      <c r="B117" s="44">
        <v>1.2</v>
      </c>
      <c r="C117" s="23">
        <v>0.43943054494383782</v>
      </c>
      <c r="D117" s="23">
        <v>0.40867472846718145</v>
      </c>
      <c r="E117" s="23">
        <v>9.9730321451570125E-2</v>
      </c>
      <c r="F117" s="23">
        <v>0.15376703157254701</v>
      </c>
      <c r="G117" s="25">
        <v>24.262464331735895</v>
      </c>
      <c r="H117" s="25">
        <v>25.144116991484356</v>
      </c>
      <c r="I117" t="str">
        <v>H1'28</v>
      </c>
    </row>
    <row r="118" spans="2:9" x14ac:dyDescent="0.25">
      <c r="B118" s="44">
        <v>1.4</v>
      </c>
      <c r="C118" s="23">
        <v>0.45800969763670851</v>
      </c>
      <c r="D118" s="23">
        <v>0.42036635990489524</v>
      </c>
      <c r="E118" s="23">
        <v>0.1063922455612667</v>
      </c>
      <c r="F118" s="23">
        <v>0.15191139789819008</v>
      </c>
      <c r="G118" s="25">
        <v>26.120379601022968</v>
      </c>
      <c r="H118" s="25">
        <v>26.513640002376111</v>
      </c>
      <c r="I118" t="str">
        <v>H1'28</v>
      </c>
    </row>
    <row r="120" spans="2:9" x14ac:dyDescent="0.25">
      <c r="B120" s="9" t="s">
        <v>138</v>
      </c>
      <c r="C120" s="9"/>
      <c r="D120" s="9"/>
      <c r="E120" s="9"/>
      <c r="F120" s="9"/>
      <c r="G120" s="9"/>
      <c r="H120" s="9"/>
      <c r="I120" s="9"/>
    </row>
    <row r="121" spans="2:9" ht="30" customHeight="1" x14ac:dyDescent="0.25">
      <c r="B121" s="33" t="s">
        <v>114</v>
      </c>
      <c r="C121" s="37" t="s">
        <v>123</v>
      </c>
      <c r="D121" s="37" t="s">
        <v>128</v>
      </c>
      <c r="E121" s="37" t="s">
        <v>129</v>
      </c>
      <c r="F121" s="37" t="s">
        <v>136</v>
      </c>
      <c r="G121" s="37" t="s">
        <v>121</v>
      </c>
      <c r="H121" s="37" t="s">
        <v>122</v>
      </c>
      <c r="I121" s="37" t="s">
        <v>137</v>
      </c>
    </row>
    <row r="122" spans="2:9" x14ac:dyDescent="0.25">
      <c r="C122" s="39">
        <f>Model!E58</f>
        <v>0.41898879770098807</v>
      </c>
      <c r="D122" s="39">
        <f>Model!F58</f>
        <v>0.364259744358431</v>
      </c>
      <c r="E122" s="39">
        <f>Model!G58</f>
        <v>0.14069371984259371</v>
      </c>
      <c r="F122" s="39">
        <f>Model!H58</f>
        <v>0.13234412871440426</v>
      </c>
      <c r="G122" s="38">
        <f>Model!E59</f>
        <v>22.218289607450934</v>
      </c>
      <c r="H122" s="38">
        <f>Model!F59</f>
        <v>20.476110191873026</v>
      </c>
      <c r="I122" s="2" t="str">
        <f>Model!$C$80</f>
        <v>H2'28</v>
      </c>
    </row>
    <row r="123" spans="2:9" x14ac:dyDescent="0.25">
      <c r="B123" s="42">
        <v>1</v>
      </c>
      <c r="C123" s="23">
        <f t="dataTable" ref="C123:I125" dt2D="0" dtr="0" r1="C5" ca="1"/>
        <v>0.39320145344269797</v>
      </c>
      <c r="D123" s="23">
        <v>0.27839463430367273</v>
      </c>
      <c r="E123" s="23">
        <v>0.17428843421143414</v>
      </c>
      <c r="F123" s="23">
        <v>6.9247042846028339E-2</v>
      </c>
      <c r="G123" s="25">
        <v>19.639555181621933</v>
      </c>
      <c r="H123" s="25">
        <v>11.594376525585377</v>
      </c>
      <c r="I123" t="str">
        <v>H1'29</v>
      </c>
    </row>
    <row r="124" spans="2:9" x14ac:dyDescent="0.25">
      <c r="B124" s="42">
        <v>2</v>
      </c>
      <c r="C124" s="23">
        <v>0.41898879770098807</v>
      </c>
      <c r="D124" s="23">
        <v>0.364259744358431</v>
      </c>
      <c r="E124" s="23">
        <v>0.14069371984259371</v>
      </c>
      <c r="F124" s="23">
        <v>0.13234412871440426</v>
      </c>
      <c r="G124" s="25">
        <v>22.218289607450934</v>
      </c>
      <c r="H124" s="25">
        <v>20.476110191873026</v>
      </c>
      <c r="I124" t="str">
        <v>H2'28</v>
      </c>
    </row>
    <row r="125" spans="2:9" x14ac:dyDescent="0.25">
      <c r="B125" s="42">
        <v>3</v>
      </c>
      <c r="C125" s="23">
        <v>0.46738871146174121</v>
      </c>
      <c r="D125" s="23">
        <v>0.43030315839940392</v>
      </c>
      <c r="E125" s="23">
        <v>0.10665679320547317</v>
      </c>
      <c r="F125" s="23">
        <v>0.12269094922903778</v>
      </c>
      <c r="G125" s="25">
        <v>27.058280983526238</v>
      </c>
      <c r="H125" s="25">
        <v>27.606537184522299</v>
      </c>
      <c r="I125" t="str">
        <v>H1'28</v>
      </c>
    </row>
    <row r="127" spans="2:9" x14ac:dyDescent="0.25">
      <c r="B127" s="9" t="s">
        <v>139</v>
      </c>
      <c r="C127" s="9"/>
      <c r="D127" s="9"/>
      <c r="E127" s="9"/>
      <c r="F127" s="9"/>
      <c r="G127" s="9"/>
      <c r="H127" s="9"/>
    </row>
    <row r="128" spans="2:9" ht="30" customHeight="1" x14ac:dyDescent="0.25">
      <c r="B128" s="33" t="s">
        <v>114</v>
      </c>
      <c r="C128" s="37" t="s">
        <v>128</v>
      </c>
      <c r="D128" s="37" t="s">
        <v>129</v>
      </c>
      <c r="E128" s="37" t="s">
        <v>136</v>
      </c>
      <c r="F128" s="37" t="s">
        <v>140</v>
      </c>
      <c r="G128" s="37" t="s">
        <v>141</v>
      </c>
      <c r="H128" s="37" t="s">
        <v>137</v>
      </c>
    </row>
    <row r="129" spans="2:9" x14ac:dyDescent="0.25">
      <c r="C129" s="39">
        <f>Model!F58</f>
        <v>0.364259744358431</v>
      </c>
      <c r="D129" s="39">
        <f>Model!G58</f>
        <v>0.14069371984259371</v>
      </c>
      <c r="E129" s="39">
        <f>Model!H58</f>
        <v>0.13234412871440426</v>
      </c>
      <c r="F129" s="38">
        <f>Model!G59</f>
        <v>0.93962078225461199</v>
      </c>
      <c r="G129" s="38">
        <f>Model!H59</f>
        <v>0.63335161817068075</v>
      </c>
      <c r="H129" s="2" t="str">
        <f>Model!$C$80</f>
        <v>H2'28</v>
      </c>
    </row>
    <row r="130" spans="2:9" x14ac:dyDescent="0.25">
      <c r="B130" s="45">
        <v>20</v>
      </c>
      <c r="C130" s="23">
        <f t="dataTable" ref="C130:H134" dt2D="0" dtr="0" r1="C12" ca="1"/>
        <v>0.27153974654143886</v>
      </c>
      <c r="D130" s="23">
        <v>0.19892694017937118</v>
      </c>
      <c r="E130" s="23">
        <v>0.15590432414094302</v>
      </c>
      <c r="F130" s="25">
        <v>5.8055283850435142</v>
      </c>
      <c r="G130" s="25">
        <v>2.727186319502608</v>
      </c>
      <c r="H130" t="str">
        <v>H2'27</v>
      </c>
    </row>
    <row r="131" spans="2:9" x14ac:dyDescent="0.25">
      <c r="B131" s="45">
        <v>38</v>
      </c>
      <c r="C131" s="23">
        <v>0.364259744358431</v>
      </c>
      <c r="D131" s="23">
        <v>0.14069371984259371</v>
      </c>
      <c r="E131" s="23">
        <v>0.13234412871440426</v>
      </c>
      <c r="F131" s="25">
        <v>0.93962078225461199</v>
      </c>
      <c r="G131" s="25">
        <v>0.63335161817068075</v>
      </c>
      <c r="H131" t="str">
        <v>H2'28</v>
      </c>
    </row>
    <row r="132" spans="2:9" x14ac:dyDescent="0.25">
      <c r="B132" s="45">
        <v>60</v>
      </c>
      <c r="C132" s="23">
        <v>0.364259744358431</v>
      </c>
      <c r="D132" s="23">
        <v>0.25217720599259597</v>
      </c>
      <c r="E132" s="23">
        <v>3.1529587141192472E-2</v>
      </c>
      <c r="F132" s="25">
        <v>12.08796939725484</v>
      </c>
      <c r="G132" s="25">
        <v>-8.3262084246584145</v>
      </c>
      <c r="H132" t="str">
        <v>H1'29</v>
      </c>
    </row>
    <row r="133" spans="2:9" x14ac:dyDescent="0.25">
      <c r="B133" s="45">
        <v>100</v>
      </c>
      <c r="C133" s="23">
        <v>0.364259744358431</v>
      </c>
      <c r="D133" s="23">
        <v>0.29526842493485117</v>
      </c>
      <c r="E133" s="23">
        <v>0.12043483573789193</v>
      </c>
      <c r="F133" s="25">
        <v>16.397091291480368</v>
      </c>
      <c r="G133" s="25">
        <v>0.94620739670672038</v>
      </c>
      <c r="H133" t="str">
        <v>H1'30</v>
      </c>
    </row>
    <row r="134" spans="2:9" x14ac:dyDescent="0.25">
      <c r="B134" s="45">
        <v>1000</v>
      </c>
      <c r="C134" s="23">
        <v>0.364259744358431</v>
      </c>
      <c r="D134" s="23">
        <v>0.29526842493485117</v>
      </c>
      <c r="E134" s="23">
        <v>0.21427230826532839</v>
      </c>
      <c r="F134" s="25">
        <v>16.397091291480368</v>
      </c>
      <c r="G134" s="25">
        <v>10.329954649450368</v>
      </c>
      <c r="H134" t="str">
        <v>not reached by 2030</v>
      </c>
    </row>
    <row r="136" spans="2:9" x14ac:dyDescent="0.25">
      <c r="B136" s="9" t="s">
        <v>142</v>
      </c>
      <c r="C136" s="9"/>
      <c r="D136" s="9"/>
      <c r="E136" s="9"/>
      <c r="F136" s="9"/>
      <c r="G136" s="9"/>
    </row>
    <row r="137" spans="2:9" x14ac:dyDescent="0.25">
      <c r="B137" s="39">
        <f>Model!F58</f>
        <v>0.364259744358431</v>
      </c>
      <c r="C137" s="46">
        <v>0</v>
      </c>
      <c r="D137" s="46">
        <v>0.25</v>
      </c>
      <c r="E137" s="46">
        <v>0.5</v>
      </c>
      <c r="F137" s="46">
        <v>0.75</v>
      </c>
      <c r="G137" s="46">
        <v>1</v>
      </c>
    </row>
    <row r="138" spans="2:9" x14ac:dyDescent="0.25">
      <c r="B138" s="47">
        <v>0.6</v>
      </c>
      <c r="C138" s="23">
        <f t="dataTable" ref="C138:G142" dt2D="1" dtr="1" r1="C8" r2="C7"/>
        <v>0.32374135439651597</v>
      </c>
      <c r="D138" s="23">
        <v>0.28962969084029089</v>
      </c>
      <c r="E138" s="23">
        <v>0.25790951048087107</v>
      </c>
      <c r="F138" s="23">
        <v>0.22834538753827105</v>
      </c>
      <c r="G138" s="23">
        <v>0.20071915695037101</v>
      </c>
    </row>
    <row r="139" spans="2:9" x14ac:dyDescent="0.25">
      <c r="B139" s="47">
        <v>0.8</v>
      </c>
      <c r="C139" s="23">
        <v>0.34504678575065562</v>
      </c>
      <c r="D139" s="23">
        <v>0.32891917907042734</v>
      </c>
      <c r="E139" s="23">
        <v>0.31273890923414571</v>
      </c>
      <c r="F139" s="23">
        <v>0.29650291125158623</v>
      </c>
      <c r="G139" s="23">
        <v>0.28020836872077459</v>
      </c>
    </row>
    <row r="140" spans="2:9" x14ac:dyDescent="0.25">
      <c r="B140" s="47">
        <v>1</v>
      </c>
      <c r="C140" s="23">
        <v>0.36751084588422334</v>
      </c>
      <c r="D140" s="23">
        <v>0.36590761245351877</v>
      </c>
      <c r="E140" s="23">
        <v>0.364259744358431</v>
      </c>
      <c r="F140" s="23">
        <v>0.36256763509275958</v>
      </c>
      <c r="G140" s="23">
        <v>0.36083179377407681</v>
      </c>
    </row>
    <row r="141" spans="2:9" x14ac:dyDescent="0.25">
      <c r="B141" s="47">
        <v>1.2</v>
      </c>
      <c r="C141" s="23">
        <v>0.38602085055174706</v>
      </c>
      <c r="D141" s="23">
        <v>0.39665709348627387</v>
      </c>
      <c r="E141" s="23">
        <v>0.40867472846718145</v>
      </c>
      <c r="F141" s="23">
        <v>0.42217397817596924</v>
      </c>
      <c r="G141" s="23">
        <v>0.43725756357991763</v>
      </c>
    </row>
    <row r="142" spans="2:9" x14ac:dyDescent="0.25">
      <c r="B142" s="47">
        <v>1.4</v>
      </c>
      <c r="C142" s="23">
        <v>0.37303549996301077</v>
      </c>
      <c r="D142" s="23">
        <v>0.39484258140705397</v>
      </c>
      <c r="E142" s="23">
        <v>0.42036635990489524</v>
      </c>
      <c r="F142" s="23">
        <v>0.45000722568872797</v>
      </c>
      <c r="G142" s="23">
        <v>0.4841880953046509</v>
      </c>
    </row>
    <row r="144" spans="2:9" ht="45" customHeight="1" x14ac:dyDescent="0.25">
      <c r="B144" s="78" t="s">
        <v>143</v>
      </c>
      <c r="C144" s="76"/>
      <c r="D144" s="76"/>
      <c r="E144" s="76"/>
      <c r="F144" s="76"/>
      <c r="G144" s="76"/>
      <c r="H144" s="76"/>
      <c r="I144" s="76"/>
    </row>
  </sheetData>
  <mergeCells count="20">
    <mergeCell ref="E5:K5"/>
    <mergeCell ref="E23:K23"/>
    <mergeCell ref="E8:K8"/>
    <mergeCell ref="E14:K14"/>
    <mergeCell ref="E17:K17"/>
    <mergeCell ref="E20:K20"/>
    <mergeCell ref="E10:K10"/>
    <mergeCell ref="E19:K19"/>
    <mergeCell ref="E13:K13"/>
    <mergeCell ref="E9:K9"/>
    <mergeCell ref="E6:K6"/>
    <mergeCell ref="E15:K15"/>
    <mergeCell ref="E11:K11"/>
    <mergeCell ref="B144:I144"/>
    <mergeCell ref="E16:K16"/>
    <mergeCell ref="E7:K7"/>
    <mergeCell ref="E22:K22"/>
    <mergeCell ref="E18:K18"/>
    <mergeCell ref="E21:K21"/>
    <mergeCell ref="E12:K12"/>
  </mergeCells>
  <dataValidations count="3">
    <dataValidation type="whole" sqref="C5" xr:uid="{00000000-0002-0000-0100-000000000000}">
      <formula1>1</formula1>
      <formula2>3</formula2>
    </dataValidation>
    <dataValidation type="whole" sqref="C13" xr:uid="{00000000-0002-0000-0100-000001000000}">
      <formula1>1</formula1>
      <formula2>14</formula2>
    </dataValidation>
    <dataValidation type="whole" sqref="C19" xr:uid="{00000000-0002-0000-0100-000002000000}">
      <formula1>1</formula1>
      <formula2>2</formula2>
    </dataValidation>
  </dataValidation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2" max="2" width="66" customWidth="1"/>
    <col min="3" max="16" width="9.42578125" customWidth="1"/>
  </cols>
  <sheetData>
    <row r="1" spans="1:10" ht="18.75" x14ac:dyDescent="0.3">
      <c r="A1" s="1" t="s">
        <v>144</v>
      </c>
    </row>
    <row r="2" spans="1:10" x14ac:dyDescent="0.25">
      <c r="A2" s="2" t="s">
        <v>145</v>
      </c>
    </row>
    <row r="4" spans="1:10" x14ac:dyDescent="0.25">
      <c r="B4" s="9" t="s">
        <v>146</v>
      </c>
      <c r="C4" s="9">
        <v>2023</v>
      </c>
      <c r="D4" s="9">
        <v>2024</v>
      </c>
      <c r="E4" s="9">
        <v>2025</v>
      </c>
      <c r="F4" s="9">
        <v>2026</v>
      </c>
      <c r="G4" s="9">
        <v>2027</v>
      </c>
      <c r="H4" s="9">
        <v>2028</v>
      </c>
      <c r="I4" s="9">
        <v>2029</v>
      </c>
      <c r="J4" s="9">
        <v>2030</v>
      </c>
    </row>
    <row r="5" spans="1:10" x14ac:dyDescent="0.25">
      <c r="B5" t="s">
        <v>147</v>
      </c>
      <c r="G5" s="23">
        <f>CHOOSE(Dashboard!$C$5,Inputs!G57,Inputs!G58,Inputs!G59)</f>
        <v>1.059800664451827</v>
      </c>
      <c r="H5" s="23">
        <f>CHOOSE(Dashboard!$C$5,Inputs!H57,Inputs!H58,Inputs!H59)</f>
        <v>0.82258064516129026</v>
      </c>
      <c r="I5" s="23">
        <f>CHOOSE(Dashboard!$C$5,Inputs!I57,Inputs!I58,Inputs!I59)</f>
        <v>0.65486725663716805</v>
      </c>
      <c r="J5" s="23">
        <f>CHOOSE(Dashboard!$C$5,Inputs!J57,Inputs!J58,Inputs!J59)</f>
        <v>0.51069518716577544</v>
      </c>
    </row>
    <row r="6" spans="1:10" x14ac:dyDescent="0.25">
      <c r="B6" t="s">
        <v>148</v>
      </c>
      <c r="C6" s="21">
        <f>Inputs!C50</f>
        <v>1</v>
      </c>
      <c r="D6" s="21">
        <f>SUM(Inputs!C62:F62)</f>
        <v>4.3</v>
      </c>
      <c r="E6" s="21">
        <f>SUM(Inputs!G62:J62)</f>
        <v>12.5</v>
      </c>
      <c r="F6" s="21">
        <f>Dashboard!$C$21</f>
        <v>36</v>
      </c>
      <c r="G6" s="21">
        <f>F6*(1+G5)</f>
        <v>74.152823920265774</v>
      </c>
      <c r="H6" s="21">
        <f>G6*(1+H5)</f>
        <v>135.14950166112956</v>
      </c>
      <c r="I6" s="21">
        <f>H6*(1+I5)</f>
        <v>223.65448504983385</v>
      </c>
      <c r="J6" s="21">
        <f>I6*(1+J5)</f>
        <v>337.87375415282389</v>
      </c>
    </row>
    <row r="7" spans="1:10" x14ac:dyDescent="0.25">
      <c r="B7" t="s">
        <v>149</v>
      </c>
      <c r="C7" s="21">
        <f>C6</f>
        <v>1</v>
      </c>
      <c r="D7" s="21">
        <f>D6</f>
        <v>4.3</v>
      </c>
      <c r="E7" s="21">
        <f>E6</f>
        <v>12.5</v>
      </c>
      <c r="F7" s="21">
        <f>F6</f>
        <v>36</v>
      </c>
      <c r="G7" s="21">
        <f>G6*Dashboard!$C$7</f>
        <v>74.152823920265774</v>
      </c>
      <c r="H7" s="21">
        <f>H6*Dashboard!$C$7</f>
        <v>135.14950166112956</v>
      </c>
      <c r="I7" s="21">
        <f>I6*Dashboard!$C$7</f>
        <v>223.65448504983385</v>
      </c>
      <c r="J7" s="21">
        <f>J6*Dashboard!$C$7</f>
        <v>337.87375415282389</v>
      </c>
    </row>
    <row r="8" spans="1:10" x14ac:dyDescent="0.25">
      <c r="B8" t="s">
        <v>150</v>
      </c>
      <c r="D8" s="48">
        <f t="shared" ref="D8:J8" si="0">D7/C7</f>
        <v>4.3</v>
      </c>
      <c r="E8" s="48">
        <f t="shared" si="0"/>
        <v>2.9069767441860468</v>
      </c>
      <c r="F8" s="48">
        <f t="shared" si="0"/>
        <v>2.88</v>
      </c>
      <c r="G8" s="48">
        <f t="shared" si="0"/>
        <v>2.059800664451827</v>
      </c>
      <c r="H8" s="48">
        <f t="shared" si="0"/>
        <v>1.8225806451612905</v>
      </c>
      <c r="I8" s="48">
        <f t="shared" si="0"/>
        <v>1.654867256637168</v>
      </c>
      <c r="J8" s="48">
        <f t="shared" si="0"/>
        <v>1.5106951871657754</v>
      </c>
    </row>
    <row r="9" spans="1:10" x14ac:dyDescent="0.25">
      <c r="B9" t="s">
        <v>151</v>
      </c>
      <c r="F9" s="21">
        <f>Inputs!F52</f>
        <v>30.1</v>
      </c>
      <c r="G9" s="21">
        <f>Inputs!G52</f>
        <v>62</v>
      </c>
      <c r="H9" s="21">
        <f>Inputs!H52</f>
        <v>113</v>
      </c>
      <c r="I9" s="21">
        <f>Inputs!I52</f>
        <v>187</v>
      </c>
      <c r="J9" s="21">
        <f>Inputs!J52</f>
        <v>282.5</v>
      </c>
    </row>
    <row r="10" spans="1:10" x14ac:dyDescent="0.25">
      <c r="B10" t="s">
        <v>152</v>
      </c>
      <c r="D10" s="21">
        <f>Inputs!D50</f>
        <v>4.3</v>
      </c>
      <c r="E10" s="21">
        <f>Inputs!E50</f>
        <v>12.5</v>
      </c>
      <c r="F10" s="21">
        <f>Inputs!F50</f>
        <v>30.1951</v>
      </c>
      <c r="G10" s="21">
        <f>Inputs!G50</f>
        <v>61.42</v>
      </c>
      <c r="H10" s="21">
        <f>Inputs!H50</f>
        <v>120.1437</v>
      </c>
      <c r="I10" s="21">
        <f>Inputs!I50</f>
        <v>224.9539</v>
      </c>
      <c r="J10" s="21">
        <f>Inputs!J50</f>
        <v>366.84640000000002</v>
      </c>
    </row>
    <row r="11" spans="1:10" x14ac:dyDescent="0.25">
      <c r="B11" t="s">
        <v>153</v>
      </c>
      <c r="F11" s="21">
        <f>CHOOSE(Dashboard!$C$19,Inputs!F53,Inputs!F54)</f>
        <v>30</v>
      </c>
      <c r="G11" s="21">
        <f>CHOOSE(Dashboard!$C$19,Inputs!G53,Inputs!G54)</f>
        <v>60</v>
      </c>
      <c r="H11" s="21">
        <f>CHOOSE(Dashboard!$C$19,Inputs!H53,Inputs!H54)</f>
        <v>120</v>
      </c>
      <c r="I11" s="21">
        <f>CHOOSE(Dashboard!$C$19,Inputs!I53,Inputs!I54)</f>
        <v>125</v>
      </c>
      <c r="J11" s="21">
        <f>CHOOSE(Dashboard!$C$19,Inputs!J53,Inputs!J54)</f>
        <v>98</v>
      </c>
    </row>
    <row r="12" spans="1:10" x14ac:dyDescent="0.25">
      <c r="B12" t="s">
        <v>154</v>
      </c>
      <c r="F12" s="21">
        <f>Inputs!F55+Inputs!F56</f>
        <v>16.908799999999999</v>
      </c>
      <c r="G12" s="21">
        <f>Inputs!G55+Inputs!G56</f>
        <v>30.822500000000002</v>
      </c>
      <c r="H12" s="21">
        <f>Inputs!H55+Inputs!H56</f>
        <v>51.564299999999996</v>
      </c>
      <c r="I12" s="21">
        <f>Inputs!I55+Inputs!I56</f>
        <v>86.201399999999992</v>
      </c>
      <c r="J12" s="21">
        <f>Inputs!J55+Inputs!J56</f>
        <v>131.71800000000002</v>
      </c>
    </row>
    <row r="13" spans="1:10" x14ac:dyDescent="0.25">
      <c r="B13" t="s">
        <v>155</v>
      </c>
      <c r="D13" s="21">
        <f>SUM(Inputs!C63:F63)</f>
        <v>4</v>
      </c>
      <c r="E13" s="21">
        <f>SUM(Inputs!G63:J63)</f>
        <v>12</v>
      </c>
      <c r="F13" s="21">
        <f>F11*(F7/F9)^Dashboard!$C$8</f>
        <v>32.808717745942012</v>
      </c>
      <c r="G13" s="21">
        <f>G11*(G7/G9)^Dashboard!$C$8</f>
        <v>65.617435491884024</v>
      </c>
      <c r="H13" s="21">
        <f>H11*(H7/H9)^Dashboard!$C$8</f>
        <v>131.23487098376805</v>
      </c>
      <c r="I13" s="21">
        <f>I11*(I7/I9)^Dashboard!$C$8</f>
        <v>136.70299060809171</v>
      </c>
      <c r="J13" s="21">
        <f>J11*(J7/J9)^Dashboard!$C$8</f>
        <v>107.17514463674391</v>
      </c>
    </row>
    <row r="14" spans="1:10" x14ac:dyDescent="0.25">
      <c r="B14" t="s">
        <v>156</v>
      </c>
      <c r="D14" s="21">
        <f>SUM(Inputs!C64:F64)+Inputs!D56</f>
        <v>2.4339</v>
      </c>
      <c r="E14" s="21">
        <f>SUM(Inputs!G64:J64)+Inputs!E56</f>
        <v>9.5067000000000004</v>
      </c>
      <c r="F14" s="21">
        <f>F12*(F7/F10)^Dashboard!$C$8</f>
        <v>18.462725023352078</v>
      </c>
      <c r="G14" s="21">
        <f>G12*(G7/G10)^Dashboard!$C$8</f>
        <v>33.867005831217135</v>
      </c>
      <c r="H14" s="21">
        <f>H12*(H7/H10)^Dashboard!$C$8</f>
        <v>54.689738842158498</v>
      </c>
      <c r="I14" s="21">
        <f>I12*(I7/I10)^Dashboard!$C$8</f>
        <v>85.952074224118533</v>
      </c>
      <c r="J14" s="21">
        <f>J12*(J7/J10)^Dashboard!$C$8</f>
        <v>126.40964907215988</v>
      </c>
    </row>
    <row r="15" spans="1:10" x14ac:dyDescent="0.25">
      <c r="B15" t="s">
        <v>157</v>
      </c>
      <c r="D15" s="21">
        <f t="shared" ref="D15:J15" si="1">D13+D14</f>
        <v>6.4338999999999995</v>
      </c>
      <c r="E15" s="21">
        <f t="shared" si="1"/>
        <v>21.506700000000002</v>
      </c>
      <c r="F15" s="21">
        <f t="shared" si="1"/>
        <v>51.27144276929409</v>
      </c>
      <c r="G15" s="21">
        <f t="shared" si="1"/>
        <v>99.484441323101152</v>
      </c>
      <c r="H15" s="21">
        <f t="shared" si="1"/>
        <v>185.92460982592655</v>
      </c>
      <c r="I15" s="21">
        <f t="shared" si="1"/>
        <v>222.65506483221026</v>
      </c>
      <c r="J15" s="21">
        <f t="shared" si="1"/>
        <v>233.58479370890379</v>
      </c>
    </row>
    <row r="16" spans="1:10" x14ac:dyDescent="0.25">
      <c r="B16" t="s">
        <v>158</v>
      </c>
      <c r="E16" s="48">
        <f t="shared" ref="E16:J16" si="2">E15/D15</f>
        <v>3.3427159265764161</v>
      </c>
      <c r="F16" s="48">
        <f t="shared" si="2"/>
        <v>2.3839753550890692</v>
      </c>
      <c r="G16" s="48">
        <f t="shared" si="2"/>
        <v>1.9403479978269951</v>
      </c>
      <c r="H16" s="48">
        <f t="shared" si="2"/>
        <v>1.8688812778481498</v>
      </c>
      <c r="I16" s="48">
        <f t="shared" si="2"/>
        <v>1.1975556384960167</v>
      </c>
      <c r="J16" s="48">
        <f t="shared" si="2"/>
        <v>1.049088166419794</v>
      </c>
    </row>
    <row r="17" spans="2:16" x14ac:dyDescent="0.25">
      <c r="B17" t="s">
        <v>159</v>
      </c>
      <c r="D17" s="27">
        <f t="shared" ref="D17:J17" si="3">D15/D7</f>
        <v>1.4962558139534883</v>
      </c>
      <c r="E17" s="27">
        <f t="shared" si="3"/>
        <v>1.7205360000000001</v>
      </c>
      <c r="F17" s="27">
        <f t="shared" si="3"/>
        <v>1.4242067435915025</v>
      </c>
      <c r="G17" s="27">
        <f t="shared" si="3"/>
        <v>1.3416136576278428</v>
      </c>
      <c r="H17" s="27">
        <f t="shared" si="3"/>
        <v>1.3756958593314625</v>
      </c>
      <c r="I17" s="27">
        <f t="shared" si="3"/>
        <v>0.99553140990040545</v>
      </c>
      <c r="J17" s="27">
        <f t="shared" si="3"/>
        <v>0.69133749170481851</v>
      </c>
    </row>
    <row r="20" spans="2:16" x14ac:dyDescent="0.25">
      <c r="B20" s="9" t="s">
        <v>160</v>
      </c>
      <c r="C20" s="9" t="s">
        <v>161</v>
      </c>
      <c r="D20" s="9" t="s">
        <v>162</v>
      </c>
      <c r="E20" s="9" t="s">
        <v>163</v>
      </c>
      <c r="F20" s="9" t="s">
        <v>164</v>
      </c>
      <c r="G20" s="9" t="s">
        <v>165</v>
      </c>
      <c r="H20" s="9" t="s">
        <v>166</v>
      </c>
      <c r="I20" s="9" t="s">
        <v>167</v>
      </c>
      <c r="J20" s="9" t="s">
        <v>168</v>
      </c>
      <c r="K20" s="9" t="s">
        <v>169</v>
      </c>
      <c r="L20" s="9" t="s">
        <v>170</v>
      </c>
      <c r="M20" s="9" t="s">
        <v>171</v>
      </c>
      <c r="N20" s="9" t="s">
        <v>172</v>
      </c>
      <c r="O20" s="9" t="s">
        <v>173</v>
      </c>
      <c r="P20" s="9" t="s">
        <v>174</v>
      </c>
    </row>
    <row r="21" spans="2:16" x14ac:dyDescent="0.25">
      <c r="B21" t="s">
        <v>175</v>
      </c>
      <c r="C21" s="31">
        <v>2024</v>
      </c>
      <c r="D21" s="31">
        <v>2024</v>
      </c>
      <c r="E21" s="31">
        <v>2025</v>
      </c>
      <c r="F21" s="31">
        <v>2025</v>
      </c>
      <c r="G21" s="31">
        <v>2026</v>
      </c>
      <c r="H21" s="31">
        <v>2026</v>
      </c>
      <c r="I21" s="31">
        <v>2027</v>
      </c>
      <c r="J21" s="31">
        <v>2027</v>
      </c>
      <c r="K21" s="31">
        <v>2028</v>
      </c>
      <c r="L21" s="31">
        <v>2028</v>
      </c>
      <c r="M21" s="31">
        <v>2029</v>
      </c>
      <c r="N21" s="31">
        <v>2029</v>
      </c>
      <c r="O21" s="31">
        <v>2030</v>
      </c>
      <c r="P21" s="31">
        <v>2030</v>
      </c>
    </row>
    <row r="22" spans="2:16" x14ac:dyDescent="0.25">
      <c r="B22" t="s">
        <v>176</v>
      </c>
      <c r="C22" s="31">
        <v>1</v>
      </c>
      <c r="D22" s="31">
        <v>2</v>
      </c>
      <c r="E22" s="31">
        <v>1</v>
      </c>
      <c r="F22" s="31">
        <v>2</v>
      </c>
      <c r="G22" s="31">
        <v>1</v>
      </c>
      <c r="H22" s="31">
        <v>2</v>
      </c>
      <c r="I22" s="31">
        <v>1</v>
      </c>
      <c r="J22" s="31">
        <v>2</v>
      </c>
      <c r="K22" s="31">
        <v>1</v>
      </c>
      <c r="L22" s="31">
        <v>2</v>
      </c>
      <c r="M22" s="31">
        <v>1</v>
      </c>
      <c r="N22" s="31">
        <v>2</v>
      </c>
      <c r="O22" s="31">
        <v>1</v>
      </c>
      <c r="P22" s="31">
        <v>2</v>
      </c>
    </row>
    <row r="23" spans="2:16" x14ac:dyDescent="0.25">
      <c r="B23" t="s">
        <v>177</v>
      </c>
      <c r="C23" s="31">
        <f t="shared" ref="C23:P23" si="4">IF(C22=1,C21,C21+1)</f>
        <v>2024</v>
      </c>
      <c r="D23" s="31">
        <f t="shared" si="4"/>
        <v>2025</v>
      </c>
      <c r="E23" s="31">
        <f t="shared" si="4"/>
        <v>2025</v>
      </c>
      <c r="F23" s="31">
        <f t="shared" si="4"/>
        <v>2026</v>
      </c>
      <c r="G23" s="31">
        <f t="shared" si="4"/>
        <v>2026</v>
      </c>
      <c r="H23" s="31">
        <f t="shared" si="4"/>
        <v>2027</v>
      </c>
      <c r="I23" s="31">
        <f t="shared" si="4"/>
        <v>2027</v>
      </c>
      <c r="J23" s="31">
        <f t="shared" si="4"/>
        <v>2028</v>
      </c>
      <c r="K23" s="31">
        <f t="shared" si="4"/>
        <v>2028</v>
      </c>
      <c r="L23" s="31">
        <f t="shared" si="4"/>
        <v>2029</v>
      </c>
      <c r="M23" s="31">
        <f t="shared" si="4"/>
        <v>2029</v>
      </c>
      <c r="N23" s="31">
        <f t="shared" si="4"/>
        <v>2030</v>
      </c>
      <c r="O23" s="31">
        <f t="shared" si="4"/>
        <v>2030</v>
      </c>
      <c r="P23" s="31">
        <f t="shared" si="4"/>
        <v>2031</v>
      </c>
    </row>
    <row r="24" spans="2:16" x14ac:dyDescent="0.25">
      <c r="B24" t="s">
        <v>178</v>
      </c>
      <c r="C24" s="31">
        <v>1</v>
      </c>
      <c r="D24" s="31">
        <v>2</v>
      </c>
      <c r="E24" s="31">
        <v>3</v>
      </c>
      <c r="F24" s="31">
        <v>4</v>
      </c>
      <c r="G24" s="31">
        <v>5</v>
      </c>
      <c r="H24" s="31">
        <v>6</v>
      </c>
      <c r="I24" s="31">
        <v>7</v>
      </c>
      <c r="J24" s="31">
        <v>8</v>
      </c>
      <c r="K24" s="31">
        <v>9</v>
      </c>
      <c r="L24" s="31">
        <v>10</v>
      </c>
      <c r="M24" s="31">
        <v>11</v>
      </c>
      <c r="N24" s="31">
        <v>12</v>
      </c>
      <c r="O24" s="31">
        <v>13</v>
      </c>
      <c r="P24" s="31">
        <v>14</v>
      </c>
    </row>
    <row r="25" spans="2:16" x14ac:dyDescent="0.25">
      <c r="B25" t="s">
        <v>179</v>
      </c>
      <c r="C25" s="49">
        <f>Inputs!C62+Inputs!D62</f>
        <v>1.55</v>
      </c>
      <c r="D25" s="49">
        <f>Inputs!E62+Inputs!F62</f>
        <v>2.75</v>
      </c>
      <c r="E25" s="49">
        <f>Inputs!G62+Inputs!H62</f>
        <v>4.75</v>
      </c>
      <c r="F25" s="49">
        <f>Inputs!I62+Inputs!J62</f>
        <v>7.75</v>
      </c>
      <c r="G25" s="49">
        <f>Inputs!K62+Inputs!L62</f>
        <v>12.600000000000001</v>
      </c>
      <c r="H25" s="29">
        <f>$F$7-G25</f>
        <v>23.4</v>
      </c>
      <c r="I25" s="29">
        <f>$G$7/(1+SQRT($G$8))</f>
        <v>30.450396964277516</v>
      </c>
      <c r="J25" s="29">
        <f>$G$7-I25</f>
        <v>43.702426955988258</v>
      </c>
      <c r="K25" s="29">
        <f>$H$7/(1+SQRT($H$8))</f>
        <v>57.509695296722143</v>
      </c>
      <c r="L25" s="29">
        <f>$H$7-K25</f>
        <v>77.63980636440742</v>
      </c>
      <c r="M25" s="29">
        <f>$I$7/(1+SQRT($I$8))</f>
        <v>97.818788019000195</v>
      </c>
      <c r="N25" s="29">
        <f>$I$7-M25</f>
        <v>125.83569703083366</v>
      </c>
      <c r="O25" s="29">
        <f>$J$7/(1+SQRT($J$8))</f>
        <v>151.57383590387482</v>
      </c>
      <c r="P25" s="29">
        <f>$J$7-O25</f>
        <v>186.29991824894907</v>
      </c>
    </row>
    <row r="26" spans="2:16" x14ac:dyDescent="0.25">
      <c r="B26" s="2" t="s">
        <v>180</v>
      </c>
      <c r="C26" s="49">
        <f>Inputs!C63+Inputs!D63</f>
        <v>1.8</v>
      </c>
      <c r="D26" s="49">
        <f>Inputs!E63+Inputs!F63</f>
        <v>2.2000000000000002</v>
      </c>
      <c r="E26" s="49">
        <f>Inputs!G63+Inputs!H63</f>
        <v>4.6667000000000005</v>
      </c>
      <c r="F26" s="49">
        <f>Inputs!I63+Inputs!J63</f>
        <v>7.3332999999999995</v>
      </c>
      <c r="G26" s="49">
        <f>Inputs!K63+Inputs!L63</f>
        <v>12</v>
      </c>
      <c r="H26" s="29">
        <f>$F$13-G26</f>
        <v>20.808717745942012</v>
      </c>
      <c r="I26" s="29">
        <f>I27*$G$13/$G$15</f>
        <v>27.420990226043415</v>
      </c>
      <c r="J26" s="29">
        <f>J27*$G$13/$G$15</f>
        <v>38.196445265840609</v>
      </c>
      <c r="K26" s="29">
        <f>K27*$H$13/$H$15</f>
        <v>55.441897737241391</v>
      </c>
      <c r="L26" s="29">
        <f>L27*$H$13/$H$15</f>
        <v>75.792973246526657</v>
      </c>
      <c r="M26" s="29">
        <f>M27*$I$13/$I$15</f>
        <v>65.272934769837647</v>
      </c>
      <c r="N26" s="29">
        <f>N27*$I$13/$I$15</f>
        <v>71.430055838254063</v>
      </c>
      <c r="O26" s="29">
        <f>O27*$J$13/$J$15</f>
        <v>52.945605508622542</v>
      </c>
      <c r="P26" s="29">
        <f>P27*$J$13/$J$15</f>
        <v>54.229539128121367</v>
      </c>
    </row>
    <row r="27" spans="2:16" x14ac:dyDescent="0.25">
      <c r="B27" t="s">
        <v>157</v>
      </c>
      <c r="C27" s="49">
        <f>C26+Inputs!C64+Inputs!D64+Inputs!D56*C25/Inputs!D50</f>
        <v>2.6723860465116278</v>
      </c>
      <c r="D27" s="49">
        <f>D26+Inputs!E64+Inputs!F64+Inputs!D56*D25/Inputs!D50</f>
        <v>3.7615139534883721</v>
      </c>
      <c r="E27" s="49">
        <f>E26+Inputs!G64+Inputs!H64+Inputs!E56*E25/Inputs!E50</f>
        <v>8.226814000000001</v>
      </c>
      <c r="F27" s="49">
        <f>F26+Inputs!I64+Inputs!J64+Inputs!E56*F25/Inputs!E50</f>
        <v>13.279885999999999</v>
      </c>
      <c r="G27" s="49">
        <f>G26+Inputs!K64+Inputs!L64+Inputs!F56*G25/Inputs!F50</f>
        <v>18.901794896191767</v>
      </c>
      <c r="H27" s="29">
        <f>$F$15-G27</f>
        <v>32.369647873102323</v>
      </c>
      <c r="I27" s="29">
        <f>$G$15/(1+SQRT($G$16))</f>
        <v>41.573735284146508</v>
      </c>
      <c r="J27" s="29">
        <f>$G$15-I27</f>
        <v>57.910706038954643</v>
      </c>
      <c r="K27" s="29">
        <f>$H$15/(1+SQRT($H$16))</f>
        <v>78.546297394390592</v>
      </c>
      <c r="L27" s="29">
        <f>$H$15-K27</f>
        <v>107.37831243153596</v>
      </c>
      <c r="M27" s="29">
        <f>$I$15/(1+SQRT($I$16))</f>
        <v>106.31332539484748</v>
      </c>
      <c r="N27" s="29">
        <f>$I$15-M27</f>
        <v>116.34173943736278</v>
      </c>
      <c r="O27" s="29">
        <f>$J$15/(1+SQRT($J$16))</f>
        <v>115.39325076202974</v>
      </c>
      <c r="P27" s="29">
        <f>$J$15-O27</f>
        <v>118.19154294687405</v>
      </c>
    </row>
    <row r="28" spans="2:16" x14ac:dyDescent="0.25">
      <c r="B28" t="s">
        <v>181</v>
      </c>
      <c r="C28" s="29">
        <f>IF(C23&lt;=2025,C27-(1-Dashboard!$C$17)*C26,C27)</f>
        <v>0.87238604651162777</v>
      </c>
      <c r="D28" s="29">
        <f>IF(D23&lt;=2025,D27-(1-Dashboard!$C$17)*D26,D27)</f>
        <v>1.561513953488372</v>
      </c>
      <c r="E28" s="29">
        <f>IF(E23&lt;=2025,E27-(1-Dashboard!$C$17)*E26,E27)</f>
        <v>3.5601140000000004</v>
      </c>
      <c r="F28" s="29">
        <f>IF(F23&lt;=2025,F27-(1-Dashboard!$C$17)*F26,F27)</f>
        <v>13.279885999999999</v>
      </c>
      <c r="G28" s="29">
        <f>IF(G23&lt;=2025,G27-(1-Dashboard!$C$17)*G26,G27)</f>
        <v>18.901794896191767</v>
      </c>
      <c r="H28" s="29">
        <f>IF(H23&lt;=2025,H27-(1-Dashboard!$C$17)*H26,H27)</f>
        <v>32.369647873102323</v>
      </c>
      <c r="I28" s="29">
        <f>IF(I23&lt;=2025,I27-(1-Dashboard!$C$17)*I26,I27)</f>
        <v>41.573735284146508</v>
      </c>
      <c r="J28" s="29">
        <f>IF(J23&lt;=2025,J27-(1-Dashboard!$C$17)*J26,J27)</f>
        <v>57.910706038954643</v>
      </c>
      <c r="K28" s="29">
        <f>IF(K23&lt;=2025,K27-(1-Dashboard!$C$17)*K26,K27)</f>
        <v>78.546297394390592</v>
      </c>
      <c r="L28" s="29">
        <f>IF(L23&lt;=2025,L27-(1-Dashboard!$C$17)*L26,L27)</f>
        <v>107.37831243153596</v>
      </c>
      <c r="M28" s="29">
        <f>IF(M23&lt;=2025,M27-(1-Dashboard!$C$17)*M26,M27)</f>
        <v>106.31332539484748</v>
      </c>
      <c r="N28" s="29">
        <f>IF(N23&lt;=2025,N27-(1-Dashboard!$C$17)*N26,N27)</f>
        <v>116.34173943736278</v>
      </c>
      <c r="O28" s="29">
        <f>IF(O23&lt;=2025,O27-(1-Dashboard!$C$17)*O26,O27)</f>
        <v>115.39325076202974</v>
      </c>
      <c r="P28" s="29">
        <f>IF(P23&lt;=2025,P27-(1-Dashboard!$C$17)*P26,P27)</f>
        <v>118.19154294687405</v>
      </c>
    </row>
    <row r="29" spans="2:16" x14ac:dyDescent="0.25">
      <c r="B29" t="s">
        <v>182</v>
      </c>
      <c r="C29" s="49">
        <f>Inputs!C65+Inputs!D65</f>
        <v>0.19</v>
      </c>
      <c r="D29" s="49">
        <f>Inputs!E65+Inputs!F65</f>
        <v>0.31000000000000005</v>
      </c>
      <c r="E29" s="49">
        <f>Inputs!G65+Inputs!H65</f>
        <v>0.43</v>
      </c>
      <c r="F29" s="49">
        <f>Inputs!I65+Inputs!J65</f>
        <v>0.69500000000000006</v>
      </c>
      <c r="G29" s="49">
        <f>Inputs!K65+Inputs!L65</f>
        <v>0.60329999999999995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</row>
    <row r="30" spans="2:16" x14ac:dyDescent="0.25">
      <c r="B30" t="s">
        <v>183</v>
      </c>
      <c r="C30" s="29">
        <f t="shared" ref="C30:P30" si="5">C25-C29</f>
        <v>1.36</v>
      </c>
      <c r="D30" s="29">
        <f t="shared" si="5"/>
        <v>2.44</v>
      </c>
      <c r="E30" s="29">
        <f t="shared" si="5"/>
        <v>4.32</v>
      </c>
      <c r="F30" s="29">
        <f t="shared" si="5"/>
        <v>7.0549999999999997</v>
      </c>
      <c r="G30" s="29">
        <f t="shared" si="5"/>
        <v>11.996700000000001</v>
      </c>
      <c r="H30" s="29">
        <f t="shared" si="5"/>
        <v>23.4</v>
      </c>
      <c r="I30" s="29">
        <f t="shared" si="5"/>
        <v>30.450396964277516</v>
      </c>
      <c r="J30" s="29">
        <f t="shared" si="5"/>
        <v>43.702426955988258</v>
      </c>
      <c r="K30" s="29">
        <f t="shared" si="5"/>
        <v>57.509695296722143</v>
      </c>
      <c r="L30" s="29">
        <f t="shared" si="5"/>
        <v>77.63980636440742</v>
      </c>
      <c r="M30" s="29">
        <f t="shared" si="5"/>
        <v>97.818788019000195</v>
      </c>
      <c r="N30" s="29">
        <f t="shared" si="5"/>
        <v>125.83569703083366</v>
      </c>
      <c r="O30" s="29">
        <f t="shared" si="5"/>
        <v>151.57383590387482</v>
      </c>
      <c r="P30" s="29">
        <f t="shared" si="5"/>
        <v>186.29991824894907</v>
      </c>
    </row>
    <row r="31" spans="2:16" x14ac:dyDescent="0.25">
      <c r="B31" t="s">
        <v>184</v>
      </c>
      <c r="C31" s="29">
        <f>Dashboard!$C$11*C30</f>
        <v>0.27200000000000002</v>
      </c>
      <c r="D31" s="29">
        <f>Dashboard!$C$11*D30</f>
        <v>0.48799999999999999</v>
      </c>
      <c r="E31" s="29">
        <f>Dashboard!$C$11*E30</f>
        <v>0.8640000000000001</v>
      </c>
      <c r="F31" s="29">
        <f>Dashboard!$C$11*F30</f>
        <v>1.411</v>
      </c>
      <c r="G31" s="29">
        <f>Dashboard!$C$11*G30</f>
        <v>2.3993400000000005</v>
      </c>
      <c r="H31" s="29">
        <f>Dashboard!$C$11*H30</f>
        <v>4.68</v>
      </c>
      <c r="I31" s="29">
        <f>Dashboard!$C$11*I30</f>
        <v>6.0900793928555039</v>
      </c>
      <c r="J31" s="29">
        <f>Dashboard!$C$11*J30</f>
        <v>8.7404853911976517</v>
      </c>
      <c r="K31" s="29">
        <f>Dashboard!$C$11*K30</f>
        <v>11.50193905934443</v>
      </c>
      <c r="L31" s="29">
        <f>Dashboard!$C$11*L30</f>
        <v>15.527961272881484</v>
      </c>
      <c r="M31" s="29">
        <f>Dashboard!$C$11*M30</f>
        <v>19.563757603800042</v>
      </c>
      <c r="N31" s="29">
        <f>Dashboard!$C$11*N30</f>
        <v>25.167139406166733</v>
      </c>
      <c r="O31" s="29">
        <f>Dashboard!$C$11*O30</f>
        <v>30.314767180774965</v>
      </c>
      <c r="P31" s="29">
        <f>Dashboard!$C$11*P30</f>
        <v>37.259983649789817</v>
      </c>
    </row>
    <row r="32" spans="2:16" x14ac:dyDescent="0.25">
      <c r="B32" t="s">
        <v>185</v>
      </c>
      <c r="C32" s="31">
        <f>IF(AND(C24&gt;=Dashboard!$C$13,C21&lt;=Dashboard!$C$14),1,0)</f>
        <v>0</v>
      </c>
      <c r="D32" s="31">
        <f>IF(AND(D24&gt;=Dashboard!$C$13,D21&lt;=Dashboard!$C$14),1,0)</f>
        <v>0</v>
      </c>
      <c r="E32" s="31">
        <f>IF(AND(E24&gt;=Dashboard!$C$13,E21&lt;=Dashboard!$C$14),1,0)</f>
        <v>0</v>
      </c>
      <c r="F32" s="31">
        <f>IF(AND(F24&gt;=Dashboard!$C$13,F21&lt;=Dashboard!$C$14),1,0)</f>
        <v>0</v>
      </c>
      <c r="G32" s="31">
        <f>IF(AND(G24&gt;=Dashboard!$C$13,G21&lt;=Dashboard!$C$14),1,0)</f>
        <v>1</v>
      </c>
      <c r="H32" s="31">
        <f>IF(AND(H24&gt;=Dashboard!$C$13,H21&lt;=Dashboard!$C$14),1,0)</f>
        <v>1</v>
      </c>
      <c r="I32" s="31">
        <f>IF(AND(I24&gt;=Dashboard!$C$13,I21&lt;=Dashboard!$C$14),1,0)</f>
        <v>1</v>
      </c>
      <c r="J32" s="31">
        <f>IF(AND(J24&gt;=Dashboard!$C$13,J21&lt;=Dashboard!$C$14),1,0)</f>
        <v>1</v>
      </c>
      <c r="K32" s="31">
        <f>IF(AND(K24&gt;=Dashboard!$C$13,K21&lt;=Dashboard!$C$14),1,0)</f>
        <v>1</v>
      </c>
      <c r="L32" s="31">
        <f>IF(AND(L24&gt;=Dashboard!$C$13,L21&lt;=Dashboard!$C$14),1,0)</f>
        <v>1</v>
      </c>
      <c r="M32" s="31">
        <f>IF(AND(M24&gt;=Dashboard!$C$13,M21&lt;=Dashboard!$C$14),1,0)</f>
        <v>1</v>
      </c>
      <c r="N32" s="31">
        <f>IF(AND(N24&gt;=Dashboard!$C$13,N21&lt;=Dashboard!$C$14),1,0)</f>
        <v>1</v>
      </c>
      <c r="O32" s="31">
        <f>IF(AND(O24&gt;=Dashboard!$C$13,O21&lt;=Dashboard!$C$14),1,0)</f>
        <v>1</v>
      </c>
      <c r="P32" s="31">
        <f>IF(AND(P24&gt;=Dashboard!$C$13,P21&lt;=Dashboard!$C$14),1,0)</f>
        <v>1</v>
      </c>
    </row>
    <row r="33" spans="2:16" x14ac:dyDescent="0.25">
      <c r="B33" t="s">
        <v>186</v>
      </c>
      <c r="C33" s="29">
        <f>IF(C32=1,MAX(0,MIN(C31,Dashboard!$C$12-0)),C31)</f>
        <v>0.27200000000000002</v>
      </c>
      <c r="D33" s="29">
        <f>IF(D32=1,MAX(0,MIN(D31,Dashboard!$C$12-C34)),D31)</f>
        <v>0.48799999999999999</v>
      </c>
      <c r="E33" s="29">
        <f>IF(E32=1,MAX(0,MIN(E31,Dashboard!$C$12-D34)),E31)</f>
        <v>0.8640000000000001</v>
      </c>
      <c r="F33" s="29">
        <f>IF(F32=1,MAX(0,MIN(F31,Dashboard!$C$12-E34)),F31)</f>
        <v>1.411</v>
      </c>
      <c r="G33" s="29">
        <f>IF(G32=1,MAX(0,MIN(G31,Dashboard!$C$12-F34)),G31)</f>
        <v>2.3993400000000005</v>
      </c>
      <c r="H33" s="29">
        <f>IF(H32=1,MAX(0,MIN(H31,Dashboard!$C$12-G34)),H31)</f>
        <v>4.68</v>
      </c>
      <c r="I33" s="29">
        <f>IF(I32=1,MAX(0,MIN(I31,Dashboard!$C$12-H34)),I31)</f>
        <v>6.0900793928555039</v>
      </c>
      <c r="J33" s="29">
        <f>IF(J32=1,MAX(0,MIN(J31,Dashboard!$C$12-I34)),J31)</f>
        <v>8.7404853911976517</v>
      </c>
      <c r="K33" s="29">
        <f>IF(K32=1,MAX(0,MIN(K31,Dashboard!$C$12-J34)),K31)</f>
        <v>11.50193905934443</v>
      </c>
      <c r="L33" s="29">
        <f>IF(L32=1,MAX(0,MIN(L31,Dashboard!$C$12-K34)),L31)</f>
        <v>4.588156156602416</v>
      </c>
      <c r="M33" s="29">
        <f>IF(M32=1,MAX(0,MIN(M31,Dashboard!$C$12-L34)),M31)</f>
        <v>0</v>
      </c>
      <c r="N33" s="29">
        <f>IF(N32=1,MAX(0,MIN(N31,Dashboard!$C$12-M34)),N31)</f>
        <v>0</v>
      </c>
      <c r="O33" s="29">
        <f>IF(O32=1,MAX(0,MIN(O31,Dashboard!$C$12-N34)),O31)</f>
        <v>0</v>
      </c>
      <c r="P33" s="29">
        <f>IF(P32=1,MAX(0,MIN(P31,Dashboard!$C$12-O34)),P31)</f>
        <v>0</v>
      </c>
    </row>
    <row r="34" spans="2:16" x14ac:dyDescent="0.25">
      <c r="B34" t="s">
        <v>187</v>
      </c>
      <c r="C34" s="29">
        <f>0+IF(C32=1,C33,0)</f>
        <v>0</v>
      </c>
      <c r="D34" s="29">
        <f t="shared" ref="D34:P34" si="6">C34+IF(D32=1,D33,0)</f>
        <v>0</v>
      </c>
      <c r="E34" s="29">
        <f t="shared" si="6"/>
        <v>0</v>
      </c>
      <c r="F34" s="29">
        <f t="shared" si="6"/>
        <v>0</v>
      </c>
      <c r="G34" s="29">
        <f t="shared" si="6"/>
        <v>2.3993400000000005</v>
      </c>
      <c r="H34" s="29">
        <f t="shared" si="6"/>
        <v>7.0793400000000002</v>
      </c>
      <c r="I34" s="29">
        <f t="shared" si="6"/>
        <v>13.169419392855504</v>
      </c>
      <c r="J34" s="29">
        <f t="shared" si="6"/>
        <v>21.909904784053154</v>
      </c>
      <c r="K34" s="29">
        <f t="shared" si="6"/>
        <v>33.411843843397584</v>
      </c>
      <c r="L34" s="29">
        <f t="shared" si="6"/>
        <v>38</v>
      </c>
      <c r="M34" s="29">
        <f t="shared" si="6"/>
        <v>38</v>
      </c>
      <c r="N34" s="29">
        <f t="shared" si="6"/>
        <v>38</v>
      </c>
      <c r="O34" s="29">
        <f t="shared" si="6"/>
        <v>38</v>
      </c>
      <c r="P34" s="29">
        <f t="shared" si="6"/>
        <v>38</v>
      </c>
    </row>
    <row r="35" spans="2:16" x14ac:dyDescent="0.25">
      <c r="B35" t="s">
        <v>188</v>
      </c>
      <c r="C35" s="31">
        <f t="shared" ref="C35:P35" si="7">IF(C33&lt;C31-0.000001,1,0)</f>
        <v>0</v>
      </c>
      <c r="D35" s="31">
        <f t="shared" si="7"/>
        <v>0</v>
      </c>
      <c r="E35" s="31">
        <f t="shared" si="7"/>
        <v>0</v>
      </c>
      <c r="F35" s="31">
        <f t="shared" si="7"/>
        <v>0</v>
      </c>
      <c r="G35" s="31">
        <f t="shared" si="7"/>
        <v>0</v>
      </c>
      <c r="H35" s="31">
        <f t="shared" si="7"/>
        <v>0</v>
      </c>
      <c r="I35" s="31">
        <f t="shared" si="7"/>
        <v>0</v>
      </c>
      <c r="J35" s="31">
        <f t="shared" si="7"/>
        <v>0</v>
      </c>
      <c r="K35" s="31">
        <f t="shared" si="7"/>
        <v>0</v>
      </c>
      <c r="L35" s="31">
        <f t="shared" si="7"/>
        <v>1</v>
      </c>
      <c r="M35" s="31">
        <f t="shared" si="7"/>
        <v>1</v>
      </c>
      <c r="N35" s="31">
        <f t="shared" si="7"/>
        <v>1</v>
      </c>
      <c r="O35" s="31">
        <f t="shared" si="7"/>
        <v>1</v>
      </c>
      <c r="P35" s="31">
        <f t="shared" si="7"/>
        <v>1</v>
      </c>
    </row>
    <row r="36" spans="2:16" x14ac:dyDescent="0.25">
      <c r="B36" s="2" t="s">
        <v>189</v>
      </c>
      <c r="C36" s="50">
        <f t="shared" ref="C36:P36" si="8">IF(C35=1,C24,99)</f>
        <v>99</v>
      </c>
      <c r="D36" s="50">
        <f t="shared" si="8"/>
        <v>99</v>
      </c>
      <c r="E36" s="50">
        <f t="shared" si="8"/>
        <v>99</v>
      </c>
      <c r="F36" s="50">
        <f t="shared" si="8"/>
        <v>99</v>
      </c>
      <c r="G36" s="50">
        <f t="shared" si="8"/>
        <v>99</v>
      </c>
      <c r="H36" s="50">
        <f t="shared" si="8"/>
        <v>99</v>
      </c>
      <c r="I36" s="50">
        <f t="shared" si="8"/>
        <v>99</v>
      </c>
      <c r="J36" s="50">
        <f t="shared" si="8"/>
        <v>99</v>
      </c>
      <c r="K36" s="50">
        <f t="shared" si="8"/>
        <v>99</v>
      </c>
      <c r="L36" s="50">
        <f t="shared" si="8"/>
        <v>10</v>
      </c>
      <c r="M36" s="50">
        <f t="shared" si="8"/>
        <v>11</v>
      </c>
      <c r="N36" s="50">
        <f t="shared" si="8"/>
        <v>12</v>
      </c>
      <c r="O36" s="50">
        <f t="shared" si="8"/>
        <v>13</v>
      </c>
      <c r="P36" s="50">
        <f t="shared" si="8"/>
        <v>14</v>
      </c>
    </row>
    <row r="37" spans="2:16" x14ac:dyDescent="0.25">
      <c r="B37" t="s">
        <v>190</v>
      </c>
      <c r="C37" s="23">
        <f>IF(C23&lt;=2025,Dashboard!$C$16,IF(C23&gt;2030,Dashboard!$C$9,INDEX($C$51:$H$51,C23-2024)))</f>
        <v>1</v>
      </c>
      <c r="D37" s="23">
        <f>IF(D23&lt;=2025,Dashboard!$C$16,IF(D23&gt;2030,Dashboard!$C$9,INDEX($C$51:$H$51,D23-2024)))</f>
        <v>1</v>
      </c>
      <c r="E37" s="23">
        <f>IF(E23&lt;=2025,Dashboard!$C$16,IF(E23&gt;2030,Dashboard!$C$9,INDEX($C$51:$H$51,E23-2024)))</f>
        <v>1</v>
      </c>
      <c r="F37" s="51">
        <f>Calibration!$C$13</f>
        <v>0.61431966693693274</v>
      </c>
      <c r="G37" s="51">
        <f>Calibration!$C$12</f>
        <v>0.51431966693693276</v>
      </c>
      <c r="H37" s="23">
        <f>IF(H23&lt;=2025,Dashboard!$C$16,IF(H23&gt;2030,Dashboard!$C$9,INDEX($C$51:$H$51,H23-2024)))</f>
        <v>0.45397977795795519</v>
      </c>
      <c r="I37" s="23">
        <f>IF(I23&lt;=2025,Dashboard!$C$16,IF(I23&gt;2030,Dashboard!$C$9,INDEX($C$51:$H$51,I23-2024)))</f>
        <v>0.45397977795795519</v>
      </c>
      <c r="J37" s="23">
        <f>IF(J23&lt;=2025,Dashboard!$C$16,IF(J23&gt;2030,Dashboard!$C$9,INDEX($C$51:$H$51,J23-2024)))</f>
        <v>0.39363988897897756</v>
      </c>
      <c r="K37" s="23">
        <f>IF(K23&lt;=2025,Dashboard!$C$16,IF(K23&gt;2030,Dashboard!$C$9,INDEX($C$51:$H$51,K23-2024)))</f>
        <v>0.39363988897897756</v>
      </c>
      <c r="L37" s="23">
        <f>IF(L23&lt;=2025,Dashboard!$C$16,IF(L23&gt;2030,Dashboard!$C$9,INDEX($C$51:$H$51,L23-2024)))</f>
        <v>0.33329999999999999</v>
      </c>
      <c r="M37" s="23">
        <f>IF(M23&lt;=2025,Dashboard!$C$16,IF(M23&gt;2030,Dashboard!$C$9,INDEX($C$51:$H$51,M23-2024)))</f>
        <v>0.33329999999999999</v>
      </c>
      <c r="N37" s="23">
        <f>IF(N23&lt;=2025,Dashboard!$C$16,IF(N23&gt;2030,Dashboard!$C$9,INDEX($C$51:$H$51,N23-2024)))</f>
        <v>0.33329999999999999</v>
      </c>
      <c r="O37" s="23">
        <f>IF(O23&lt;=2025,Dashboard!$C$16,IF(O23&gt;2030,Dashboard!$C$9,INDEX($C$51:$H$51,O23-2024)))</f>
        <v>0.33329999999999999</v>
      </c>
      <c r="P37" s="23">
        <f>IF(P23&lt;=2025,Dashboard!$C$16,IF(P23&gt;2030,Dashboard!$C$9,INDEX($C$51:$H$51,P23-2024)))</f>
        <v>0.33329999999999999</v>
      </c>
    </row>
    <row r="38" spans="2:16" x14ac:dyDescent="0.25">
      <c r="B38" t="s">
        <v>191</v>
      </c>
      <c r="C38" s="29">
        <f t="shared" ref="C38:P38" si="9">C37*C28</f>
        <v>0.87238604651162777</v>
      </c>
      <c r="D38" s="29">
        <f t="shared" si="9"/>
        <v>1.561513953488372</v>
      </c>
      <c r="E38" s="29">
        <f t="shared" si="9"/>
        <v>3.5601140000000004</v>
      </c>
      <c r="F38" s="29">
        <f t="shared" si="9"/>
        <v>8.1580951444804359</v>
      </c>
      <c r="G38" s="29">
        <f t="shared" si="9"/>
        <v>9.7215648555195653</v>
      </c>
      <c r="H38" s="29">
        <f t="shared" si="9"/>
        <v>14.69516555400819</v>
      </c>
      <c r="I38" s="29">
        <f t="shared" si="9"/>
        <v>18.873635113179638</v>
      </c>
      <c r="J38" s="29">
        <f t="shared" si="9"/>
        <v>22.795963895868312</v>
      </c>
      <c r="K38" s="29">
        <f t="shared" si="9"/>
        <v>30.918955786037667</v>
      </c>
      <c r="L38" s="29">
        <f t="shared" si="9"/>
        <v>35.789191533430937</v>
      </c>
      <c r="M38" s="29">
        <f t="shared" si="9"/>
        <v>35.434231354102664</v>
      </c>
      <c r="N38" s="29">
        <f t="shared" si="9"/>
        <v>38.776701754473009</v>
      </c>
      <c r="O38" s="29">
        <f t="shared" si="9"/>
        <v>38.460570478984508</v>
      </c>
      <c r="P38" s="29">
        <f t="shared" si="9"/>
        <v>39.393241264193122</v>
      </c>
    </row>
    <row r="39" spans="2:16" x14ac:dyDescent="0.25">
      <c r="B39" s="13" t="s">
        <v>192</v>
      </c>
      <c r="C39" s="29">
        <f t="shared" ref="C39:P39" si="10">C33+C38</f>
        <v>1.1443860465116278</v>
      </c>
      <c r="D39" s="29">
        <f t="shared" si="10"/>
        <v>2.049513953488372</v>
      </c>
      <c r="E39" s="29">
        <f t="shared" si="10"/>
        <v>4.4241140000000003</v>
      </c>
      <c r="F39" s="29">
        <f t="shared" si="10"/>
        <v>9.5690951444804355</v>
      </c>
      <c r="G39" s="29">
        <f t="shared" si="10"/>
        <v>12.120904855519566</v>
      </c>
      <c r="H39" s="29">
        <f t="shared" si="10"/>
        <v>19.375165554008191</v>
      </c>
      <c r="I39" s="29">
        <f t="shared" si="10"/>
        <v>24.963714506035142</v>
      </c>
      <c r="J39" s="29">
        <f t="shared" si="10"/>
        <v>31.536449287065963</v>
      </c>
      <c r="K39" s="29">
        <f t="shared" si="10"/>
        <v>42.420894845382094</v>
      </c>
      <c r="L39" s="29">
        <f t="shared" si="10"/>
        <v>40.377347690033353</v>
      </c>
      <c r="M39" s="29">
        <f t="shared" si="10"/>
        <v>35.434231354102664</v>
      </c>
      <c r="N39" s="29">
        <f t="shared" si="10"/>
        <v>38.776701754473009</v>
      </c>
      <c r="O39" s="29">
        <f t="shared" si="10"/>
        <v>38.460570478984508</v>
      </c>
      <c r="P39" s="29">
        <f t="shared" si="10"/>
        <v>39.393241264193122</v>
      </c>
    </row>
    <row r="40" spans="2:16" x14ac:dyDescent="0.25">
      <c r="B40" t="s">
        <v>193</v>
      </c>
      <c r="D40" s="52">
        <f>Inputs!$C$9+Inputs!$C$10</f>
        <v>33.358000000000004</v>
      </c>
      <c r="E40" s="52">
        <f>Inputs!$C$11+Inputs!$C$12</f>
        <v>39.251999999999995</v>
      </c>
      <c r="F40" s="52">
        <f>Inputs!$C$13+Inputs!$C$14</f>
        <v>46.513000000000005</v>
      </c>
      <c r="G40" s="52">
        <f>Inputs!$C$15+Inputs!$C$16</f>
        <v>55.424999999999997</v>
      </c>
    </row>
    <row r="41" spans="2:16" x14ac:dyDescent="0.25">
      <c r="B41" t="s">
        <v>194</v>
      </c>
      <c r="D41" s="29">
        <f>D40-D39</f>
        <v>31.308486046511632</v>
      </c>
      <c r="E41" s="29">
        <f>E40-E39</f>
        <v>34.827885999999992</v>
      </c>
      <c r="F41" s="29">
        <f>F40-F39</f>
        <v>36.94390485551957</v>
      </c>
      <c r="G41" s="29">
        <f>G40-G39</f>
        <v>43.304095144480428</v>
      </c>
    </row>
    <row r="42" spans="2:16" x14ac:dyDescent="0.25">
      <c r="B42" t="s">
        <v>195</v>
      </c>
      <c r="F42" s="23">
        <f>F41/D41-1</f>
        <v>0.17999652875696404</v>
      </c>
      <c r="G42" s="23">
        <f>G41/E41-1</f>
        <v>0.24337420722235148</v>
      </c>
    </row>
    <row r="45" spans="2:16" x14ac:dyDescent="0.25">
      <c r="B45" s="9" t="s">
        <v>196</v>
      </c>
      <c r="C45" s="9">
        <v>2025</v>
      </c>
      <c r="D45" s="9">
        <v>2026</v>
      </c>
      <c r="E45" s="9">
        <v>2027</v>
      </c>
      <c r="F45" s="9">
        <v>2028</v>
      </c>
      <c r="G45" s="9">
        <v>2029</v>
      </c>
      <c r="H45" s="9">
        <v>2030</v>
      </c>
    </row>
    <row r="46" spans="2:16" x14ac:dyDescent="0.25">
      <c r="B46" t="s">
        <v>197</v>
      </c>
      <c r="C46" s="21">
        <f t="shared" ref="C46:H46" si="11">SUMIF($C$23:$P$23,C$45,$C$25:$P$25)</f>
        <v>7.5</v>
      </c>
      <c r="D46" s="21">
        <f t="shared" si="11"/>
        <v>20.350000000000001</v>
      </c>
      <c r="E46" s="21">
        <f t="shared" si="11"/>
        <v>53.850396964277515</v>
      </c>
      <c r="F46" s="21">
        <f t="shared" si="11"/>
        <v>101.2121222527104</v>
      </c>
      <c r="G46" s="21">
        <f t="shared" si="11"/>
        <v>175.45859438340761</v>
      </c>
      <c r="H46" s="21">
        <f t="shared" si="11"/>
        <v>277.40953293470847</v>
      </c>
    </row>
    <row r="47" spans="2:16" x14ac:dyDescent="0.25">
      <c r="B47" t="s">
        <v>198</v>
      </c>
      <c r="C47" s="21">
        <f t="shared" ref="C47:H47" si="12">SUMIF($C$23:$P$23,C$45,$C$27:$P$27)</f>
        <v>11.988327953488373</v>
      </c>
      <c r="D47" s="21">
        <f t="shared" si="12"/>
        <v>32.181680896191764</v>
      </c>
      <c r="E47" s="21">
        <f t="shared" si="12"/>
        <v>73.943383157248832</v>
      </c>
      <c r="F47" s="21">
        <f t="shared" si="12"/>
        <v>136.45700343334522</v>
      </c>
      <c r="G47" s="21">
        <f t="shared" si="12"/>
        <v>213.69163782638344</v>
      </c>
      <c r="H47" s="21">
        <f t="shared" si="12"/>
        <v>231.73499019939251</v>
      </c>
    </row>
    <row r="48" spans="2:16" x14ac:dyDescent="0.25">
      <c r="B48" t="s">
        <v>199</v>
      </c>
      <c r="C48" s="21">
        <f t="shared" ref="C48:H48" si="13">SUMIF($C$23:$P$23,C$45,$C$28:$P$28)</f>
        <v>5.1216279534883729</v>
      </c>
      <c r="D48" s="21">
        <f t="shared" si="13"/>
        <v>32.181680896191764</v>
      </c>
      <c r="E48" s="21">
        <f t="shared" si="13"/>
        <v>73.943383157248832</v>
      </c>
      <c r="F48" s="21">
        <f t="shared" si="13"/>
        <v>136.45700343334522</v>
      </c>
      <c r="G48" s="21">
        <f t="shared" si="13"/>
        <v>213.69163782638344</v>
      </c>
      <c r="H48" s="21">
        <f t="shared" si="13"/>
        <v>231.73499019939251</v>
      </c>
    </row>
    <row r="49" spans="2:8" x14ac:dyDescent="0.25">
      <c r="B49" t="s">
        <v>186</v>
      </c>
      <c r="C49" s="21">
        <f t="shared" ref="C49:H49" si="14">SUMIF($C$23:$P$23,C$45,$C$33:$P$33)</f>
        <v>1.3520000000000001</v>
      </c>
      <c r="D49" s="21">
        <f t="shared" si="14"/>
        <v>3.8103400000000005</v>
      </c>
      <c r="E49" s="21">
        <f t="shared" si="14"/>
        <v>10.770079392855504</v>
      </c>
      <c r="F49" s="21">
        <f t="shared" si="14"/>
        <v>20.242424450542082</v>
      </c>
      <c r="G49" s="21">
        <f t="shared" si="14"/>
        <v>4.588156156602416</v>
      </c>
      <c r="H49" s="21">
        <f t="shared" si="14"/>
        <v>0</v>
      </c>
    </row>
    <row r="50" spans="2:8" x14ac:dyDescent="0.25">
      <c r="B50" t="s">
        <v>200</v>
      </c>
      <c r="C50" s="23">
        <f t="shared" ref="C50:H50" si="15">C52/C48</f>
        <v>1</v>
      </c>
      <c r="D50" s="23">
        <f t="shared" si="15"/>
        <v>0.55558502545825073</v>
      </c>
      <c r="E50" s="23">
        <f t="shared" si="15"/>
        <v>0.45397977795795519</v>
      </c>
      <c r="F50" s="23">
        <f t="shared" si="15"/>
        <v>0.39363988897897761</v>
      </c>
      <c r="G50" s="23">
        <f t="shared" si="15"/>
        <v>0.33329999999999999</v>
      </c>
      <c r="H50" s="23">
        <f t="shared" si="15"/>
        <v>0.33329999999999999</v>
      </c>
    </row>
    <row r="51" spans="2:8" x14ac:dyDescent="0.25">
      <c r="B51" t="s">
        <v>201</v>
      </c>
      <c r="C51" s="53">
        <f>Dashboard!$C$16</f>
        <v>1</v>
      </c>
      <c r="D51" s="51">
        <f>Calibration!$C$12</f>
        <v>0.51431966693693276</v>
      </c>
      <c r="E51" s="54">
        <f>IF(E$45&gt;=Dashboard!$C$10,Dashboard!$C$9,$D$51+(Dashboard!$C$9-$D$51)*(E$45-2026)/(Dashboard!$C$10-2026))</f>
        <v>0.45397977795795519</v>
      </c>
      <c r="F51" s="54">
        <f>IF(F$45&gt;=Dashboard!$C$10,Dashboard!$C$9,$D$51+(Dashboard!$C$9-$D$51)*(F$45-2026)/(Dashboard!$C$10-2026))</f>
        <v>0.39363988897897756</v>
      </c>
      <c r="G51" s="54">
        <f>IF(G$45&gt;=Dashboard!$C$10,Dashboard!$C$9,$D$51+(Dashboard!$C$9-$D$51)*(G$45-2026)/(Dashboard!$C$10-2026))</f>
        <v>0.33329999999999999</v>
      </c>
      <c r="H51" s="54">
        <f>IF(H$45&gt;=Dashboard!$C$10,Dashboard!$C$9,$D$51+(Dashboard!$C$9-$D$51)*(H$45-2026)/(Dashboard!$C$10-2026))</f>
        <v>0.33329999999999999</v>
      </c>
    </row>
    <row r="52" spans="2:8" x14ac:dyDescent="0.25">
      <c r="B52" t="s">
        <v>191</v>
      </c>
      <c r="C52" s="21">
        <f t="shared" ref="C52:H52" si="16">SUMIF($C$23:$P$23,C$45,$C$38:$P$38)</f>
        <v>5.1216279534883729</v>
      </c>
      <c r="D52" s="21">
        <f t="shared" si="16"/>
        <v>17.879660000000001</v>
      </c>
      <c r="E52" s="21">
        <f t="shared" si="16"/>
        <v>33.56880066718783</v>
      </c>
      <c r="F52" s="21">
        <f t="shared" si="16"/>
        <v>53.714919681905982</v>
      </c>
      <c r="G52" s="21">
        <f t="shared" si="16"/>
        <v>71.223422887533602</v>
      </c>
      <c r="H52" s="21">
        <f t="shared" si="16"/>
        <v>77.237272233457517</v>
      </c>
    </row>
    <row r="53" spans="2:8" x14ac:dyDescent="0.25">
      <c r="B53" s="13" t="s">
        <v>202</v>
      </c>
      <c r="C53" s="55">
        <f t="shared" ref="C53:H53" si="17">SUMIF($C$23:$P$23,C$45,$C$39:$P$39)</f>
        <v>6.4736279534883723</v>
      </c>
      <c r="D53" s="55">
        <f t="shared" si="17"/>
        <v>21.69</v>
      </c>
      <c r="E53" s="55">
        <f t="shared" si="17"/>
        <v>44.338880060043337</v>
      </c>
      <c r="F53" s="55">
        <f t="shared" si="17"/>
        <v>73.957344132448057</v>
      </c>
      <c r="G53" s="55">
        <f t="shared" si="17"/>
        <v>75.81157904413601</v>
      </c>
      <c r="H53" s="55">
        <f t="shared" si="17"/>
        <v>77.237272233457517</v>
      </c>
    </row>
    <row r="55" spans="2:8" x14ac:dyDescent="0.25">
      <c r="B55" s="13" t="s">
        <v>203</v>
      </c>
      <c r="C55" s="56">
        <f>Inputs!$C$7</f>
        <v>72.61</v>
      </c>
      <c r="D55" s="56">
        <f>Inputs!$C$8</f>
        <v>101.938</v>
      </c>
      <c r="E55" s="21">
        <f>E56+E53</f>
        <v>144.64888006004333</v>
      </c>
      <c r="F55" s="21">
        <f>F56+F53</f>
        <v>197.33864413244805</v>
      </c>
      <c r="G55" s="21">
        <f>G56+G53</f>
        <v>225.102952044136</v>
      </c>
      <c r="H55" s="21">
        <f>H56+H53</f>
        <v>254.89400610345751</v>
      </c>
    </row>
    <row r="56" spans="2:8" x14ac:dyDescent="0.25">
      <c r="B56" t="s">
        <v>204</v>
      </c>
      <c r="C56" s="21">
        <f>C55-C53</f>
        <v>66.136372046511624</v>
      </c>
      <c r="D56" s="21">
        <f>D55-D53</f>
        <v>80.248000000000005</v>
      </c>
      <c r="E56" s="21">
        <f>D56*(1+E57)</f>
        <v>100.31</v>
      </c>
      <c r="F56" s="21">
        <f>E56*(1+F57)</f>
        <v>123.3813</v>
      </c>
      <c r="G56" s="21">
        <f>F56*(1+G57)</f>
        <v>149.29137299999999</v>
      </c>
      <c r="H56" s="21">
        <f>G56*(1+H57)</f>
        <v>177.65673386999998</v>
      </c>
    </row>
    <row r="57" spans="2:8" x14ac:dyDescent="0.25">
      <c r="B57" t="s">
        <v>92</v>
      </c>
      <c r="D57" s="23">
        <f>D56/C56-1</f>
        <v>0.21337166700895116</v>
      </c>
      <c r="E57" s="54">
        <f>Dashboard!$C$22+Dashboard!$C$23*(E$45-2027)</f>
        <v>0.25</v>
      </c>
      <c r="F57" s="54">
        <f>Dashboard!$C$22+Dashboard!$C$23*(F$45-2027)</f>
        <v>0.23</v>
      </c>
      <c r="G57" s="54">
        <f>Dashboard!$C$22+Dashboard!$C$23*(G$45-2027)</f>
        <v>0.21</v>
      </c>
      <c r="H57" s="54">
        <f>Dashboard!$C$22+Dashboard!$C$23*(H$45-2027)</f>
        <v>0.19</v>
      </c>
    </row>
    <row r="58" spans="2:8" x14ac:dyDescent="0.25">
      <c r="B58" s="13" t="s">
        <v>87</v>
      </c>
      <c r="D58" s="23">
        <f>D55/C55-1</f>
        <v>0.40391130698250932</v>
      </c>
      <c r="E58" s="23">
        <f>E55/D55-1</f>
        <v>0.41898879770098807</v>
      </c>
      <c r="F58" s="23">
        <f>F55/E55-1</f>
        <v>0.364259744358431</v>
      </c>
      <c r="G58" s="23">
        <f>G55/F55-1</f>
        <v>0.14069371984259371</v>
      </c>
      <c r="H58" s="23">
        <f>H55/G55-1</f>
        <v>0.13234412871440426</v>
      </c>
    </row>
    <row r="59" spans="2:8" x14ac:dyDescent="0.25">
      <c r="B59" s="13" t="s">
        <v>205</v>
      </c>
      <c r="D59" s="25">
        <f>(D53-C53)/C55*100</f>
        <v>20.956303603514158</v>
      </c>
      <c r="E59" s="25">
        <f>(E53-D53)/D55*100</f>
        <v>22.218289607450934</v>
      </c>
      <c r="F59" s="25">
        <f>(F53-E53)/E55*100</f>
        <v>20.476110191873026</v>
      </c>
      <c r="G59" s="25">
        <f>(G53-F53)/F55*100</f>
        <v>0.93962078225461199</v>
      </c>
      <c r="H59" s="25">
        <f>(H53-G53)/G55*100</f>
        <v>0.63335161817068075</v>
      </c>
    </row>
    <row r="60" spans="2:8" x14ac:dyDescent="0.25">
      <c r="B60" t="s">
        <v>206</v>
      </c>
      <c r="D60" s="25">
        <f>(D49-C49)/C55*100</f>
        <v>3.3856769040077133</v>
      </c>
      <c r="E60" s="25">
        <f>(E49-D49)/D55*100</f>
        <v>6.8274239173375024</v>
      </c>
      <c r="F60" s="25">
        <f>(F49-E49)/E55*100</f>
        <v>6.5485090888741313</v>
      </c>
      <c r="G60" s="25">
        <f>(G49-F49)/F55*100</f>
        <v>-7.9326927387992834</v>
      </c>
      <c r="H60" s="25">
        <f>(H49-G49)/G55*100</f>
        <v>-2.0382478838850653</v>
      </c>
    </row>
    <row r="61" spans="2:8" x14ac:dyDescent="0.25">
      <c r="B61" t="s">
        <v>207</v>
      </c>
      <c r="D61" s="25">
        <f>(D52-C52)/C55*100</f>
        <v>17.570626699506441</v>
      </c>
      <c r="E61" s="25">
        <f>(E52-D52)/D55*100</f>
        <v>15.390865690113431</v>
      </c>
      <c r="F61" s="25">
        <f>(F52-E52)/E55*100</f>
        <v>13.927601102998901</v>
      </c>
      <c r="G61" s="25">
        <f>(G52-F52)/F55*100</f>
        <v>8.8723135210538953</v>
      </c>
      <c r="H61" s="25">
        <f>(H52-G52)/G55*100</f>
        <v>2.6715995020557428</v>
      </c>
    </row>
    <row r="62" spans="2:8" x14ac:dyDescent="0.25">
      <c r="B62" t="s">
        <v>91</v>
      </c>
      <c r="D62" s="25">
        <f>(D56-C56)/C55*100</f>
        <v>19.434827094736786</v>
      </c>
      <c r="E62" s="25">
        <f>(E56-D56)/D55*100</f>
        <v>19.680590162647881</v>
      </c>
      <c r="F62" s="25">
        <f>(F56-E56)/E55*100</f>
        <v>15.949864243970064</v>
      </c>
      <c r="G62" s="25">
        <f>(G56-F56)/F55*100</f>
        <v>13.12975120200476</v>
      </c>
      <c r="H62" s="25">
        <f>(H56-G56)/G55*100</f>
        <v>12.601061253269741</v>
      </c>
    </row>
    <row r="63" spans="2:8" x14ac:dyDescent="0.25">
      <c r="B63" t="s">
        <v>93</v>
      </c>
      <c r="D63" s="23">
        <f>IF(D58=0,0,D59/(D58*100))</f>
        <v>0.51883428963828526</v>
      </c>
      <c r="E63" s="23">
        <f>IF(E58=0,0,E59/(E58*100))</f>
        <v>0.53028361926055712</v>
      </c>
      <c r="F63" s="23">
        <f>IF(F58=0,0,F59/(F58*100))</f>
        <v>0.56212937358580495</v>
      </c>
      <c r="G63" s="23">
        <f>IF(G58=0,0,G59/(G58*100))</f>
        <v>6.6784841804299958E-2</v>
      </c>
      <c r="H63" s="23">
        <f>IF(H58=0,0,H59/(H58*100))</f>
        <v>4.7856419799131376E-2</v>
      </c>
    </row>
    <row r="64" spans="2:8" x14ac:dyDescent="0.25">
      <c r="B64" t="s">
        <v>94</v>
      </c>
      <c r="C64" s="23">
        <f t="shared" ref="C64:H64" si="18">C53/C55</f>
        <v>8.9156148650163511E-2</v>
      </c>
      <c r="D64" s="23">
        <f t="shared" si="18"/>
        <v>0.21277639349408464</v>
      </c>
      <c r="E64" s="23">
        <f t="shared" si="18"/>
        <v>0.30652764156651885</v>
      </c>
      <c r="F64" s="23">
        <f t="shared" si="18"/>
        <v>0.37477375228548748</v>
      </c>
      <c r="G64" s="23">
        <f t="shared" si="18"/>
        <v>0.33678624982790811</v>
      </c>
      <c r="H64" s="23">
        <f t="shared" si="18"/>
        <v>0.30301721650570357</v>
      </c>
    </row>
    <row r="65" spans="2:8" x14ac:dyDescent="0.25">
      <c r="B65" t="s">
        <v>208</v>
      </c>
      <c r="C65" s="23">
        <f t="shared" ref="C65:H65" si="19">C52/C55</f>
        <v>7.0536123860189689E-2</v>
      </c>
      <c r="D65" s="23">
        <f t="shared" si="19"/>
        <v>0.17539739841864663</v>
      </c>
      <c r="E65" s="23">
        <f t="shared" si="19"/>
        <v>0.23207093378983315</v>
      </c>
      <c r="F65" s="23">
        <f t="shared" si="19"/>
        <v>0.27219665929119319</v>
      </c>
      <c r="G65" s="23">
        <f t="shared" si="19"/>
        <v>0.31640377098905748</v>
      </c>
      <c r="H65" s="23">
        <f t="shared" si="19"/>
        <v>0.30301721650570357</v>
      </c>
    </row>
    <row r="67" spans="2:8" x14ac:dyDescent="0.25">
      <c r="B67" t="s">
        <v>209</v>
      </c>
      <c r="C67" s="27">
        <f t="shared" ref="C67:H67" si="20">C53/C46</f>
        <v>0.8631503937984496</v>
      </c>
      <c r="D67" s="27">
        <f t="shared" si="20"/>
        <v>1.0658476658476659</v>
      </c>
      <c r="E67" s="27">
        <f t="shared" si="20"/>
        <v>0.82337146167104791</v>
      </c>
      <c r="F67" s="27">
        <f t="shared" si="20"/>
        <v>0.73071626684981916</v>
      </c>
      <c r="G67" s="27">
        <f t="shared" si="20"/>
        <v>0.4320767489934092</v>
      </c>
      <c r="H67" s="27">
        <f t="shared" si="20"/>
        <v>0.2784232806146435</v>
      </c>
    </row>
    <row r="68" spans="2:8" x14ac:dyDescent="0.25">
      <c r="B68" t="s">
        <v>210</v>
      </c>
      <c r="C68" s="27">
        <f t="shared" ref="C68:H68" si="21">C47/C46</f>
        <v>1.5984437271317831</v>
      </c>
      <c r="D68" s="27">
        <f t="shared" si="21"/>
        <v>1.5814093806482439</v>
      </c>
      <c r="E68" s="27">
        <f t="shared" si="21"/>
        <v>1.3731260552508147</v>
      </c>
      <c r="F68" s="27">
        <f t="shared" si="21"/>
        <v>1.348227864372155</v>
      </c>
      <c r="G68" s="27">
        <f t="shared" si="21"/>
        <v>1.2179035092429269</v>
      </c>
      <c r="H68" s="27">
        <f t="shared" si="21"/>
        <v>0.8353533771816487</v>
      </c>
    </row>
    <row r="69" spans="2:8" x14ac:dyDescent="0.25">
      <c r="B69" t="s">
        <v>211</v>
      </c>
      <c r="C69" s="31">
        <f t="shared" ref="C69:H69" si="22">IF(MIN($C$36:$P$36)&lt;=2*(C$45-2024)+1,1,0)</f>
        <v>0</v>
      </c>
      <c r="D69" s="31">
        <f t="shared" si="22"/>
        <v>0</v>
      </c>
      <c r="E69" s="31">
        <f t="shared" si="22"/>
        <v>0</v>
      </c>
      <c r="F69" s="31">
        <f t="shared" si="22"/>
        <v>0</v>
      </c>
      <c r="G69" s="31">
        <f t="shared" si="22"/>
        <v>1</v>
      </c>
      <c r="H69" s="31">
        <f t="shared" si="22"/>
        <v>1</v>
      </c>
    </row>
    <row r="70" spans="2:8" x14ac:dyDescent="0.25">
      <c r="B70" t="s">
        <v>212</v>
      </c>
      <c r="C70" s="29">
        <f>C51*C68*Dashboard!$C$8</f>
        <v>0.79922186356589153</v>
      </c>
      <c r="D70" s="29">
        <f>D51*D68*Dashboard!$C$8</f>
        <v>0.40667497297297295</v>
      </c>
      <c r="E70" s="29">
        <f>E51*E68*Dashboard!$C$8</f>
        <v>0.31168573083552387</v>
      </c>
      <c r="F70" s="29">
        <f>F51*F68*Dashboard!$C$8</f>
        <v>0.26535813342490955</v>
      </c>
      <c r="G70" s="29">
        <f>G51*G68*Dashboard!$C$8</f>
        <v>0.20296361981533376</v>
      </c>
      <c r="H70" s="29">
        <f>H51*H68*Dashboard!$C$8</f>
        <v>0.13921164030732175</v>
      </c>
    </row>
    <row r="71" spans="2:8" x14ac:dyDescent="0.25">
      <c r="B71" t="s">
        <v>213</v>
      </c>
      <c r="C71" s="29">
        <f>C70*(1-Dashboard!$C$20)</f>
        <v>0.19980546589147288</v>
      </c>
      <c r="D71" s="29">
        <f>D70*(1-Dashboard!$C$20)</f>
        <v>0.10166874324324324</v>
      </c>
      <c r="E71" s="29">
        <f>E70*(1-Dashboard!$C$20)</f>
        <v>7.7921432708880967E-2</v>
      </c>
      <c r="F71" s="29">
        <f>F70*(1-Dashboard!$C$20)</f>
        <v>6.6339533356227387E-2</v>
      </c>
      <c r="G71" s="29">
        <f>G70*(1-Dashboard!$C$20)</f>
        <v>5.0740904953833439E-2</v>
      </c>
      <c r="H71" s="29">
        <f>H70*(1-Dashboard!$C$20)</f>
        <v>3.4802910076830437E-2</v>
      </c>
    </row>
    <row r="72" spans="2:8" x14ac:dyDescent="0.25">
      <c r="B72" t="s">
        <v>214</v>
      </c>
      <c r="C72" s="29">
        <f>Dashboard!$C$11*(1-C69)</f>
        <v>0.2</v>
      </c>
      <c r="D72" s="29">
        <f>Dashboard!$C$11*(1-D69)</f>
        <v>0.2</v>
      </c>
      <c r="E72" s="29">
        <f>Dashboard!$C$11*(1-E69)</f>
        <v>0.2</v>
      </c>
      <c r="F72" s="29">
        <f>Dashboard!$C$11*(1-F69)</f>
        <v>0.2</v>
      </c>
      <c r="G72" s="29">
        <f>Dashboard!$C$11*(1-G69)</f>
        <v>0</v>
      </c>
      <c r="H72" s="29">
        <f>Dashboard!$C$11*(1-H69)</f>
        <v>0</v>
      </c>
    </row>
    <row r="73" spans="2:8" x14ac:dyDescent="0.25">
      <c r="B73" t="s">
        <v>215</v>
      </c>
      <c r="D73" s="29">
        <f>10*D70/C55*100</f>
        <v>5.6008121880315791</v>
      </c>
      <c r="E73" s="29">
        <f>10*E70/D55*100</f>
        <v>3.0576010009566978</v>
      </c>
      <c r="F73" s="29">
        <f>10*F70/E55*100</f>
        <v>1.8344983612369494</v>
      </c>
      <c r="G73" s="29">
        <f>10*G70/F55*100</f>
        <v>1.0285041772107768</v>
      </c>
      <c r="H73" s="29">
        <f>10*H70/G55*100</f>
        <v>0.61843542718189892</v>
      </c>
    </row>
    <row r="74" spans="2:8" x14ac:dyDescent="0.25">
      <c r="B74" t="s">
        <v>216</v>
      </c>
      <c r="D74" s="29">
        <f>10*D71/C55*100</f>
        <v>1.4002030470078948</v>
      </c>
      <c r="E74" s="29">
        <f>10*E71/D55*100</f>
        <v>0.76440025023917446</v>
      </c>
      <c r="F74" s="29">
        <f>10*F71/E55*100</f>
        <v>0.45862459030923736</v>
      </c>
      <c r="G74" s="29">
        <f>10*G71/F55*100</f>
        <v>0.2571260443026942</v>
      </c>
      <c r="H74" s="29">
        <f>10*H71/G55*100</f>
        <v>0.15460885679547473</v>
      </c>
    </row>
    <row r="75" spans="2:8" x14ac:dyDescent="0.25">
      <c r="B75" t="s">
        <v>217</v>
      </c>
      <c r="D75" s="29">
        <f>10*D72/C55*100</f>
        <v>2.7544415369783777</v>
      </c>
      <c r="E75" s="29">
        <f>10*E72/D55*100</f>
        <v>1.9619768879122603</v>
      </c>
      <c r="F75" s="29">
        <f>10*F72/E55*100</f>
        <v>1.3826584755926252</v>
      </c>
      <c r="G75" s="29">
        <f>10*G72/F55*100</f>
        <v>0</v>
      </c>
      <c r="H75" s="29">
        <f>10*H72/G55*100</f>
        <v>0</v>
      </c>
    </row>
    <row r="76" spans="2:8" x14ac:dyDescent="0.25">
      <c r="B76" t="s">
        <v>218</v>
      </c>
      <c r="E76" s="23">
        <f>(Inputs!$C$8*(1+Inputs!$C$41)-E53)/D56-1</f>
        <v>0.28177140788501487</v>
      </c>
    </row>
    <row r="79" spans="2:8" x14ac:dyDescent="0.25">
      <c r="B79" s="9" t="s">
        <v>219</v>
      </c>
      <c r="C79" s="9"/>
      <c r="D79" s="9"/>
    </row>
    <row r="80" spans="2:8" x14ac:dyDescent="0.25">
      <c r="B80" t="s">
        <v>220</v>
      </c>
      <c r="C80" s="57" t="str">
        <f>IFERROR(INDEX($C$20:$P$20,MIN($C$36:$P$36)),"not reached by 2030")</f>
        <v>H2'28</v>
      </c>
    </row>
    <row r="81" spans="2:3" x14ac:dyDescent="0.25">
      <c r="B81" t="s">
        <v>221</v>
      </c>
      <c r="C81" s="22">
        <f>$P$34</f>
        <v>38</v>
      </c>
    </row>
    <row r="82" spans="2:3" x14ac:dyDescent="0.25">
      <c r="B82" t="s">
        <v>222</v>
      </c>
      <c r="C82" s="22">
        <f>Inputs!$C$17*Inputs!$C$18</f>
        <v>281.25</v>
      </c>
    </row>
    <row r="83" spans="2:3" x14ac:dyDescent="0.25">
      <c r="B83" t="s">
        <v>223</v>
      </c>
      <c r="C83" s="22">
        <f>SUM($G$38:$O$38)</f>
        <v>245.46598032560451</v>
      </c>
    </row>
    <row r="84" spans="2:3" x14ac:dyDescent="0.25">
      <c r="B84" t="s">
        <v>224</v>
      </c>
      <c r="C84" s="24">
        <f>C83/C82</f>
        <v>0.87276793004659381</v>
      </c>
    </row>
    <row r="85" spans="2:3" x14ac:dyDescent="0.25">
      <c r="B85" t="s">
        <v>225</v>
      </c>
      <c r="C85" s="22">
        <f>2*$E$39</f>
        <v>8.8482280000000006</v>
      </c>
    </row>
    <row r="86" spans="2:3" x14ac:dyDescent="0.25">
      <c r="B86" t="s">
        <v>226</v>
      </c>
      <c r="C86" s="22">
        <f>2*$G$39</f>
        <v>24.241809711039132</v>
      </c>
    </row>
    <row r="87" spans="2:3" x14ac:dyDescent="0.25">
      <c r="B87" t="s">
        <v>227</v>
      </c>
      <c r="C87" s="22">
        <f>2*(Inputs!G66+Inputs!H66)</f>
        <v>4.3</v>
      </c>
    </row>
    <row r="88" spans="2:3" x14ac:dyDescent="0.25">
      <c r="B88" t="s">
        <v>228</v>
      </c>
      <c r="C88" s="22">
        <f>2*(Inputs!K66+Inputs!L66)</f>
        <v>9.3000000000000007</v>
      </c>
    </row>
    <row r="89" spans="2:3" x14ac:dyDescent="0.25">
      <c r="B89" t="s">
        <v>229</v>
      </c>
      <c r="C89" s="24">
        <f>(Inputs!$C$47-C85-C87)/Inputs!$C$47</f>
        <v>0.2075527448648648</v>
      </c>
    </row>
    <row r="90" spans="2:3" x14ac:dyDescent="0.25">
      <c r="B90" t="s">
        <v>230</v>
      </c>
      <c r="C90" s="24">
        <f>(Inputs!$C$25-C86-C88)/Inputs!$C$25</f>
        <v>9.3464602404347771E-2</v>
      </c>
    </row>
    <row r="91" spans="2:3" x14ac:dyDescent="0.25">
      <c r="B91" t="s">
        <v>231</v>
      </c>
      <c r="C91" s="22">
        <f>2*$E$27</f>
        <v>16.453628000000002</v>
      </c>
    </row>
    <row r="92" spans="2:3" x14ac:dyDescent="0.25">
      <c r="B92" t="s">
        <v>232</v>
      </c>
      <c r="C92" s="22">
        <f>$G$33+$H$33</f>
        <v>7.0793400000000002</v>
      </c>
    </row>
    <row r="93" spans="2:3" x14ac:dyDescent="0.25">
      <c r="B93" t="s">
        <v>233</v>
      </c>
      <c r="C93" s="22">
        <f>SUM($F$15:$J$15)</f>
        <v>792.92035245943589</v>
      </c>
    </row>
    <row r="94" spans="2:3" x14ac:dyDescent="0.25">
      <c r="B94" t="s">
        <v>234</v>
      </c>
      <c r="C94" s="26">
        <f>(G42-F42)*100</f>
        <v>6.3377678465387444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0" customWidth="1"/>
    <col min="2" max="2" width="60" customWidth="1"/>
    <col min="3" max="12" width="10" customWidth="1"/>
    <col min="13" max="13" width="62" customWidth="1"/>
  </cols>
  <sheetData>
    <row r="1" spans="1:13" ht="18.75" x14ac:dyDescent="0.3">
      <c r="A1" s="1" t="s">
        <v>235</v>
      </c>
    </row>
    <row r="2" spans="1:13" x14ac:dyDescent="0.25">
      <c r="A2" s="2" t="s">
        <v>236</v>
      </c>
    </row>
    <row r="4" spans="1:13" x14ac:dyDescent="0.25">
      <c r="A4" s="9" t="s">
        <v>237</v>
      </c>
      <c r="B4" s="9" t="s">
        <v>238</v>
      </c>
      <c r="C4" s="9" t="s">
        <v>35</v>
      </c>
      <c r="D4" s="9" t="s">
        <v>239</v>
      </c>
      <c r="E4" s="9" t="s">
        <v>36</v>
      </c>
      <c r="F4" s="9" t="s">
        <v>240</v>
      </c>
      <c r="G4" s="9" t="s">
        <v>241</v>
      </c>
      <c r="H4" s="9"/>
      <c r="I4" s="9"/>
      <c r="J4" s="9"/>
      <c r="K4" s="9"/>
      <c r="L4" s="9"/>
      <c r="M4" s="9"/>
    </row>
    <row r="5" spans="1:13" ht="30" customHeight="1" x14ac:dyDescent="0.25">
      <c r="A5" s="58" t="s">
        <v>242</v>
      </c>
      <c r="B5" s="3" t="s">
        <v>243</v>
      </c>
      <c r="C5" s="59">
        <v>24.1</v>
      </c>
      <c r="D5" t="s">
        <v>244</v>
      </c>
      <c r="E5" s="60" t="s">
        <v>29</v>
      </c>
      <c r="F5" t="s">
        <v>245</v>
      </c>
      <c r="G5" s="79" t="s">
        <v>246</v>
      </c>
      <c r="H5" s="76"/>
      <c r="I5" s="76"/>
      <c r="J5" s="76"/>
      <c r="K5" s="76"/>
      <c r="L5" s="76"/>
      <c r="M5" s="76"/>
    </row>
    <row r="6" spans="1:13" ht="15" customHeight="1" x14ac:dyDescent="0.25">
      <c r="A6" s="58" t="s">
        <v>247</v>
      </c>
      <c r="B6" s="3" t="s">
        <v>248</v>
      </c>
      <c r="C6" s="61">
        <v>6</v>
      </c>
      <c r="D6" t="s">
        <v>244</v>
      </c>
      <c r="E6" s="62" t="s">
        <v>27</v>
      </c>
      <c r="F6" t="s">
        <v>245</v>
      </c>
      <c r="G6" s="79" t="s">
        <v>249</v>
      </c>
      <c r="H6" s="76"/>
      <c r="I6" s="76"/>
      <c r="J6" s="76"/>
      <c r="K6" s="76"/>
      <c r="L6" s="76"/>
      <c r="M6" s="76"/>
    </row>
    <row r="7" spans="1:13" ht="15" customHeight="1" x14ac:dyDescent="0.25">
      <c r="A7" s="58" t="s">
        <v>250</v>
      </c>
      <c r="B7" s="3" t="s">
        <v>251</v>
      </c>
      <c r="C7" s="56">
        <v>72.61</v>
      </c>
      <c r="D7" t="s">
        <v>244</v>
      </c>
      <c r="E7" s="62" t="s">
        <v>27</v>
      </c>
      <c r="F7" t="s">
        <v>252</v>
      </c>
      <c r="G7" s="79"/>
      <c r="H7" s="76"/>
      <c r="I7" s="76"/>
      <c r="J7" s="76"/>
      <c r="K7" s="76"/>
      <c r="L7" s="76"/>
      <c r="M7" s="76"/>
    </row>
    <row r="8" spans="1:13" ht="15" customHeight="1" x14ac:dyDescent="0.25">
      <c r="A8" s="58" t="s">
        <v>253</v>
      </c>
      <c r="B8" s="3" t="s">
        <v>254</v>
      </c>
      <c r="C8" s="56">
        <v>101.938</v>
      </c>
      <c r="D8" t="s">
        <v>244</v>
      </c>
      <c r="E8" s="62" t="s">
        <v>27</v>
      </c>
      <c r="F8" t="s">
        <v>252</v>
      </c>
      <c r="G8" s="79" t="s">
        <v>255</v>
      </c>
      <c r="H8" s="76"/>
      <c r="I8" s="76"/>
      <c r="J8" s="76"/>
      <c r="K8" s="76"/>
      <c r="L8" s="76"/>
      <c r="M8" s="76"/>
    </row>
    <row r="9" spans="1:13" ht="15" customHeight="1" x14ac:dyDescent="0.25">
      <c r="A9" s="58" t="s">
        <v>256</v>
      </c>
      <c r="B9" s="3" t="s">
        <v>257</v>
      </c>
      <c r="C9" s="61">
        <v>16.021000000000001</v>
      </c>
      <c r="D9" t="s">
        <v>244</v>
      </c>
      <c r="E9" s="62" t="s">
        <v>27</v>
      </c>
      <c r="F9" t="s">
        <v>252</v>
      </c>
      <c r="G9" s="79"/>
      <c r="H9" s="76"/>
      <c r="I9" s="76"/>
      <c r="J9" s="76"/>
      <c r="K9" s="76"/>
      <c r="L9" s="76"/>
      <c r="M9" s="76"/>
    </row>
    <row r="10" spans="1:13" ht="15" customHeight="1" x14ac:dyDescent="0.25">
      <c r="A10" s="58" t="s">
        <v>258</v>
      </c>
      <c r="B10" s="3" t="s">
        <v>259</v>
      </c>
      <c r="C10" s="61">
        <v>17.337</v>
      </c>
      <c r="D10" t="s">
        <v>244</v>
      </c>
      <c r="E10" s="62" t="s">
        <v>27</v>
      </c>
      <c r="F10" t="s">
        <v>252</v>
      </c>
      <c r="G10" s="79"/>
      <c r="H10" s="76"/>
      <c r="I10" s="76"/>
      <c r="J10" s="76"/>
      <c r="K10" s="76"/>
      <c r="L10" s="76"/>
      <c r="M10" s="76"/>
    </row>
    <row r="11" spans="1:13" ht="15" customHeight="1" x14ac:dyDescent="0.25">
      <c r="A11" s="58" t="s">
        <v>260</v>
      </c>
      <c r="B11" s="3" t="s">
        <v>261</v>
      </c>
      <c r="C11" s="61">
        <v>18.54</v>
      </c>
      <c r="D11" t="s">
        <v>244</v>
      </c>
      <c r="E11" s="62" t="s">
        <v>27</v>
      </c>
      <c r="F11" t="s">
        <v>252</v>
      </c>
      <c r="G11" s="79"/>
      <c r="H11" s="76"/>
      <c r="I11" s="76"/>
      <c r="J11" s="76"/>
      <c r="K11" s="76"/>
      <c r="L11" s="76"/>
      <c r="M11" s="76"/>
    </row>
    <row r="12" spans="1:13" ht="15" customHeight="1" x14ac:dyDescent="0.25">
      <c r="A12" s="58" t="s">
        <v>262</v>
      </c>
      <c r="B12" s="3" t="s">
        <v>263</v>
      </c>
      <c r="C12" s="61">
        <v>20.712</v>
      </c>
      <c r="D12" t="s">
        <v>244</v>
      </c>
      <c r="E12" s="62" t="s">
        <v>27</v>
      </c>
      <c r="F12" t="s">
        <v>252</v>
      </c>
      <c r="G12" s="79"/>
      <c r="H12" s="76"/>
      <c r="I12" s="76"/>
      <c r="J12" s="76"/>
      <c r="K12" s="76"/>
      <c r="L12" s="76"/>
      <c r="M12" s="76"/>
    </row>
    <row r="13" spans="1:13" ht="15" customHeight="1" x14ac:dyDescent="0.25">
      <c r="A13" s="58" t="s">
        <v>264</v>
      </c>
      <c r="B13" s="3" t="s">
        <v>265</v>
      </c>
      <c r="C13" s="61">
        <v>22.384</v>
      </c>
      <c r="D13" t="s">
        <v>244</v>
      </c>
      <c r="E13" s="62" t="s">
        <v>27</v>
      </c>
      <c r="F13" t="s">
        <v>252</v>
      </c>
      <c r="G13" s="79"/>
      <c r="H13" s="76"/>
      <c r="I13" s="76"/>
      <c r="J13" s="76"/>
      <c r="K13" s="76"/>
      <c r="L13" s="76"/>
      <c r="M13" s="76"/>
    </row>
    <row r="14" spans="1:13" ht="15" customHeight="1" x14ac:dyDescent="0.25">
      <c r="A14" s="58" t="s">
        <v>266</v>
      </c>
      <c r="B14" s="3" t="s">
        <v>267</v>
      </c>
      <c r="C14" s="61">
        <v>24.129000000000001</v>
      </c>
      <c r="D14" t="s">
        <v>244</v>
      </c>
      <c r="E14" s="62" t="s">
        <v>27</v>
      </c>
      <c r="F14" t="s">
        <v>252</v>
      </c>
      <c r="G14" s="79"/>
      <c r="H14" s="76"/>
      <c r="I14" s="76"/>
      <c r="J14" s="76"/>
      <c r="K14" s="76"/>
      <c r="L14" s="76"/>
      <c r="M14" s="76"/>
    </row>
    <row r="15" spans="1:13" ht="15" customHeight="1" x14ac:dyDescent="0.25">
      <c r="A15" s="58" t="s">
        <v>268</v>
      </c>
      <c r="B15" s="3" t="s">
        <v>269</v>
      </c>
      <c r="C15" s="61">
        <v>26.007999999999999</v>
      </c>
      <c r="D15" t="s">
        <v>244</v>
      </c>
      <c r="E15" s="62" t="s">
        <v>27</v>
      </c>
      <c r="F15" t="s">
        <v>252</v>
      </c>
      <c r="G15" s="79"/>
      <c r="H15" s="76"/>
      <c r="I15" s="76"/>
      <c r="J15" s="76"/>
      <c r="K15" s="76"/>
      <c r="L15" s="76"/>
      <c r="M15" s="76"/>
    </row>
    <row r="16" spans="1:13" ht="15" customHeight="1" x14ac:dyDescent="0.25">
      <c r="A16" s="58" t="s">
        <v>270</v>
      </c>
      <c r="B16" s="3" t="s">
        <v>271</v>
      </c>
      <c r="C16" s="61">
        <v>29.417000000000002</v>
      </c>
      <c r="D16" t="s">
        <v>244</v>
      </c>
      <c r="E16" s="62" t="s">
        <v>27</v>
      </c>
      <c r="F16" t="s">
        <v>252</v>
      </c>
      <c r="G16" s="79"/>
      <c r="H16" s="76"/>
      <c r="I16" s="76"/>
      <c r="J16" s="76"/>
      <c r="K16" s="76"/>
      <c r="L16" s="76"/>
      <c r="M16" s="76"/>
    </row>
    <row r="17" spans="1:13" ht="15" customHeight="1" x14ac:dyDescent="0.25">
      <c r="A17" s="58" t="s">
        <v>272</v>
      </c>
      <c r="B17" s="3" t="s">
        <v>273</v>
      </c>
      <c r="C17" s="56">
        <v>625</v>
      </c>
      <c r="D17" t="s">
        <v>244</v>
      </c>
      <c r="E17" s="62" t="s">
        <v>27</v>
      </c>
      <c r="F17" t="s">
        <v>274</v>
      </c>
      <c r="G17" s="79"/>
      <c r="H17" s="76"/>
      <c r="I17" s="76"/>
      <c r="J17" s="76"/>
      <c r="K17" s="76"/>
      <c r="L17" s="76"/>
      <c r="M17" s="76"/>
    </row>
    <row r="18" spans="1:13" ht="30" customHeight="1" x14ac:dyDescent="0.25">
      <c r="A18" s="58" t="s">
        <v>275</v>
      </c>
      <c r="B18" s="3" t="s">
        <v>276</v>
      </c>
      <c r="C18" s="63">
        <v>0.45</v>
      </c>
      <c r="D18" t="s">
        <v>277</v>
      </c>
      <c r="E18" s="62" t="s">
        <v>27</v>
      </c>
      <c r="F18" t="s">
        <v>274</v>
      </c>
      <c r="G18" s="79" t="s">
        <v>278</v>
      </c>
      <c r="H18" s="76"/>
      <c r="I18" s="76"/>
      <c r="J18" s="76"/>
      <c r="K18" s="76"/>
      <c r="L18" s="76"/>
      <c r="M18" s="76"/>
    </row>
    <row r="19" spans="1:13" ht="15" customHeight="1" x14ac:dyDescent="0.25">
      <c r="A19" s="58" t="s">
        <v>279</v>
      </c>
      <c r="B19" s="3" t="s">
        <v>280</v>
      </c>
      <c r="C19" s="63">
        <v>0.25</v>
      </c>
      <c r="D19" t="s">
        <v>277</v>
      </c>
      <c r="E19" s="62" t="s">
        <v>27</v>
      </c>
      <c r="F19" t="s">
        <v>281</v>
      </c>
      <c r="G19" s="79" t="s">
        <v>282</v>
      </c>
      <c r="H19" s="76"/>
      <c r="I19" s="76"/>
      <c r="J19" s="76"/>
      <c r="K19" s="76"/>
      <c r="L19" s="76"/>
      <c r="M19" s="76"/>
    </row>
    <row r="20" spans="1:13" ht="15" customHeight="1" x14ac:dyDescent="0.25">
      <c r="A20" s="58" t="s">
        <v>283</v>
      </c>
      <c r="B20" s="3" t="s">
        <v>284</v>
      </c>
      <c r="C20" s="56">
        <v>250</v>
      </c>
      <c r="D20" t="s">
        <v>244</v>
      </c>
      <c r="E20" s="62" t="s">
        <v>27</v>
      </c>
      <c r="F20" t="s">
        <v>285</v>
      </c>
      <c r="G20" s="79" t="s">
        <v>286</v>
      </c>
      <c r="H20" s="76"/>
      <c r="I20" s="76"/>
      <c r="J20" s="76"/>
      <c r="K20" s="76"/>
      <c r="L20" s="76"/>
      <c r="M20" s="76"/>
    </row>
    <row r="21" spans="1:13" ht="15" customHeight="1" x14ac:dyDescent="0.25">
      <c r="A21" s="58" t="s">
        <v>287</v>
      </c>
      <c r="B21" s="3" t="s">
        <v>288</v>
      </c>
      <c r="C21" s="56">
        <v>214</v>
      </c>
      <c r="D21" t="s">
        <v>244</v>
      </c>
      <c r="E21" s="62" t="s">
        <v>27</v>
      </c>
      <c r="F21" t="s">
        <v>281</v>
      </c>
      <c r="G21" s="79" t="s">
        <v>289</v>
      </c>
      <c r="H21" s="76"/>
      <c r="I21" s="76"/>
      <c r="J21" s="76"/>
      <c r="K21" s="76"/>
      <c r="L21" s="76"/>
      <c r="M21" s="76"/>
    </row>
    <row r="22" spans="1:13" ht="15" customHeight="1" x14ac:dyDescent="0.25">
      <c r="A22" s="58" t="s">
        <v>290</v>
      </c>
      <c r="B22" s="3" t="s">
        <v>291</v>
      </c>
      <c r="C22" s="53">
        <v>0.1</v>
      </c>
      <c r="D22" t="s">
        <v>277</v>
      </c>
      <c r="E22" s="17" t="s">
        <v>28</v>
      </c>
      <c r="F22" t="s">
        <v>281</v>
      </c>
      <c r="G22" s="79" t="s">
        <v>292</v>
      </c>
      <c r="H22" s="76"/>
      <c r="I22" s="76"/>
      <c r="J22" s="76"/>
      <c r="K22" s="76"/>
      <c r="L22" s="76"/>
      <c r="M22" s="76"/>
    </row>
    <row r="23" spans="1:13" ht="15" customHeight="1" x14ac:dyDescent="0.25">
      <c r="A23" s="58" t="s">
        <v>293</v>
      </c>
      <c r="B23" s="3" t="s">
        <v>294</v>
      </c>
      <c r="C23" s="53">
        <v>0.13</v>
      </c>
      <c r="D23" t="s">
        <v>277</v>
      </c>
      <c r="E23" s="17" t="s">
        <v>28</v>
      </c>
      <c r="F23" t="s">
        <v>281</v>
      </c>
      <c r="G23" s="79"/>
      <c r="H23" s="76"/>
      <c r="I23" s="76"/>
      <c r="J23" s="76"/>
      <c r="K23" s="76"/>
      <c r="L23" s="76"/>
      <c r="M23" s="76"/>
    </row>
    <row r="24" spans="1:13" ht="15" customHeight="1" x14ac:dyDescent="0.25">
      <c r="A24" s="58" t="s">
        <v>295</v>
      </c>
      <c r="B24" s="3" t="s">
        <v>296</v>
      </c>
      <c r="C24" s="61">
        <v>13</v>
      </c>
      <c r="D24" t="s">
        <v>244</v>
      </c>
      <c r="E24" s="62" t="s">
        <v>27</v>
      </c>
      <c r="F24" t="s">
        <v>297</v>
      </c>
      <c r="G24" s="79" t="s">
        <v>298</v>
      </c>
      <c r="H24" s="76"/>
      <c r="I24" s="76"/>
      <c r="J24" s="76"/>
      <c r="K24" s="76"/>
      <c r="L24" s="76"/>
      <c r="M24" s="76"/>
    </row>
    <row r="25" spans="1:13" ht="30" customHeight="1" x14ac:dyDescent="0.25">
      <c r="A25" s="58" t="s">
        <v>299</v>
      </c>
      <c r="B25" s="3" t="s">
        <v>300</v>
      </c>
      <c r="C25" s="56">
        <v>37</v>
      </c>
      <c r="D25" t="s">
        <v>244</v>
      </c>
      <c r="E25" s="62" t="s">
        <v>27</v>
      </c>
      <c r="F25" t="s">
        <v>301</v>
      </c>
      <c r="G25" s="79" t="s">
        <v>302</v>
      </c>
      <c r="H25" s="76"/>
      <c r="I25" s="76"/>
      <c r="J25" s="76"/>
      <c r="K25" s="76"/>
      <c r="L25" s="76"/>
      <c r="M25" s="76"/>
    </row>
    <row r="26" spans="1:13" ht="15" customHeight="1" x14ac:dyDescent="0.25">
      <c r="A26" s="58" t="s">
        <v>303</v>
      </c>
      <c r="B26" s="3" t="s">
        <v>304</v>
      </c>
      <c r="C26" s="63">
        <v>1.23</v>
      </c>
      <c r="D26" t="s">
        <v>277</v>
      </c>
      <c r="E26" s="62" t="s">
        <v>27</v>
      </c>
      <c r="F26" t="s">
        <v>301</v>
      </c>
      <c r="G26" s="79" t="s">
        <v>305</v>
      </c>
      <c r="H26" s="76"/>
      <c r="I26" s="76"/>
      <c r="J26" s="76"/>
      <c r="K26" s="76"/>
      <c r="L26" s="76"/>
      <c r="M26" s="76"/>
    </row>
    <row r="27" spans="1:13" ht="30" customHeight="1" x14ac:dyDescent="0.25">
      <c r="A27" s="58" t="s">
        <v>306</v>
      </c>
      <c r="B27" s="3" t="s">
        <v>307</v>
      </c>
      <c r="C27" s="64">
        <v>18.600000000000001</v>
      </c>
      <c r="D27" t="s">
        <v>244</v>
      </c>
      <c r="E27" s="17" t="s">
        <v>28</v>
      </c>
      <c r="F27" t="s">
        <v>308</v>
      </c>
      <c r="G27" s="79" t="s">
        <v>309</v>
      </c>
      <c r="H27" s="76"/>
      <c r="I27" s="76"/>
      <c r="J27" s="76"/>
      <c r="K27" s="76"/>
      <c r="L27" s="76"/>
      <c r="M27" s="76"/>
    </row>
    <row r="28" spans="1:13" ht="30" customHeight="1" x14ac:dyDescent="0.25">
      <c r="A28" s="58" t="s">
        <v>310</v>
      </c>
      <c r="B28" s="3" t="s">
        <v>311</v>
      </c>
      <c r="C28" s="64">
        <v>10</v>
      </c>
      <c r="D28" t="s">
        <v>244</v>
      </c>
      <c r="E28" s="17" t="s">
        <v>28</v>
      </c>
      <c r="F28" t="s">
        <v>312</v>
      </c>
      <c r="G28" s="79" t="s">
        <v>313</v>
      </c>
      <c r="H28" s="76"/>
      <c r="I28" s="76"/>
      <c r="J28" s="76"/>
      <c r="K28" s="76"/>
      <c r="L28" s="76"/>
      <c r="M28" s="76"/>
    </row>
    <row r="29" spans="1:13" ht="15" customHeight="1" x14ac:dyDescent="0.25">
      <c r="A29" s="58" t="s">
        <v>314</v>
      </c>
      <c r="B29" s="3" t="s">
        <v>315</v>
      </c>
      <c r="C29" s="64">
        <v>6</v>
      </c>
      <c r="D29" t="s">
        <v>244</v>
      </c>
      <c r="E29" s="17" t="s">
        <v>28</v>
      </c>
      <c r="F29" t="s">
        <v>316</v>
      </c>
      <c r="G29" s="79" t="s">
        <v>317</v>
      </c>
      <c r="H29" s="76"/>
      <c r="I29" s="76"/>
      <c r="J29" s="76"/>
      <c r="K29" s="76"/>
      <c r="L29" s="76"/>
      <c r="M29" s="76"/>
    </row>
    <row r="30" spans="1:13" ht="15" customHeight="1" x14ac:dyDescent="0.25">
      <c r="A30" s="58" t="s">
        <v>318</v>
      </c>
      <c r="B30" s="3" t="s">
        <v>319</v>
      </c>
      <c r="C30" s="65">
        <v>135</v>
      </c>
      <c r="D30" t="s">
        <v>244</v>
      </c>
      <c r="E30" s="17" t="s">
        <v>28</v>
      </c>
      <c r="F30" t="s">
        <v>316</v>
      </c>
      <c r="G30" s="79" t="s">
        <v>320</v>
      </c>
      <c r="H30" s="76"/>
      <c r="I30" s="76"/>
      <c r="J30" s="76"/>
      <c r="K30" s="76"/>
      <c r="L30" s="76"/>
      <c r="M30" s="76"/>
    </row>
    <row r="31" spans="1:13" ht="15" customHeight="1" x14ac:dyDescent="0.25">
      <c r="A31" s="58" t="s">
        <v>321</v>
      </c>
      <c r="B31" s="3" t="s">
        <v>322</v>
      </c>
      <c r="C31" s="65">
        <v>350</v>
      </c>
      <c r="D31" t="s">
        <v>244</v>
      </c>
      <c r="E31" s="17" t="s">
        <v>28</v>
      </c>
      <c r="F31" t="s">
        <v>323</v>
      </c>
      <c r="G31" s="79"/>
      <c r="H31" s="76"/>
      <c r="I31" s="76"/>
      <c r="J31" s="76"/>
      <c r="K31" s="76"/>
      <c r="L31" s="76"/>
      <c r="M31" s="76"/>
    </row>
    <row r="32" spans="1:13" ht="15" customHeight="1" x14ac:dyDescent="0.25">
      <c r="A32" s="58" t="s">
        <v>324</v>
      </c>
      <c r="B32" s="3" t="s">
        <v>325</v>
      </c>
      <c r="C32" s="65">
        <v>840</v>
      </c>
      <c r="D32" t="s">
        <v>244</v>
      </c>
      <c r="E32" s="17" t="s">
        <v>28</v>
      </c>
      <c r="F32" t="s">
        <v>323</v>
      </c>
      <c r="G32" s="79" t="s">
        <v>326</v>
      </c>
      <c r="H32" s="76"/>
      <c r="I32" s="76"/>
      <c r="J32" s="76"/>
      <c r="K32" s="76"/>
      <c r="L32" s="76"/>
      <c r="M32" s="76"/>
    </row>
    <row r="33" spans="1:13" ht="30" customHeight="1" x14ac:dyDescent="0.25">
      <c r="A33" s="58" t="s">
        <v>327</v>
      </c>
      <c r="B33" s="3" t="s">
        <v>328</v>
      </c>
      <c r="C33" s="65">
        <v>856</v>
      </c>
      <c r="D33" t="s">
        <v>244</v>
      </c>
      <c r="E33" s="17" t="s">
        <v>28</v>
      </c>
      <c r="F33" t="s">
        <v>323</v>
      </c>
      <c r="G33" s="79" t="s">
        <v>329</v>
      </c>
      <c r="H33" s="76"/>
      <c r="I33" s="76"/>
      <c r="J33" s="76"/>
      <c r="K33" s="76"/>
      <c r="L33" s="76"/>
      <c r="M33" s="76"/>
    </row>
    <row r="34" spans="1:13" ht="15" customHeight="1" x14ac:dyDescent="0.25">
      <c r="A34" s="58" t="s">
        <v>330</v>
      </c>
      <c r="B34" s="3" t="s">
        <v>331</v>
      </c>
      <c r="C34" s="65">
        <v>50</v>
      </c>
      <c r="D34" t="s">
        <v>244</v>
      </c>
      <c r="E34" s="17" t="s">
        <v>28</v>
      </c>
      <c r="F34" t="s">
        <v>332</v>
      </c>
      <c r="G34" s="79" t="s">
        <v>333</v>
      </c>
      <c r="H34" s="76"/>
      <c r="I34" s="76"/>
      <c r="J34" s="76"/>
      <c r="K34" s="76"/>
      <c r="L34" s="76"/>
      <c r="M34" s="76"/>
    </row>
    <row r="35" spans="1:13" ht="15" customHeight="1" x14ac:dyDescent="0.25">
      <c r="A35" s="58" t="s">
        <v>334</v>
      </c>
      <c r="B35" s="3" t="s">
        <v>335</v>
      </c>
      <c r="C35" s="65">
        <v>300</v>
      </c>
      <c r="D35" t="s">
        <v>244</v>
      </c>
      <c r="E35" s="17" t="s">
        <v>28</v>
      </c>
      <c r="F35" t="s">
        <v>336</v>
      </c>
      <c r="G35" s="79"/>
      <c r="H35" s="76"/>
      <c r="I35" s="76"/>
      <c r="J35" s="76"/>
      <c r="K35" s="76"/>
      <c r="L35" s="76"/>
      <c r="M35" s="76"/>
    </row>
    <row r="36" spans="1:13" ht="15" customHeight="1" x14ac:dyDescent="0.25">
      <c r="A36" s="58" t="s">
        <v>337</v>
      </c>
      <c r="B36" s="3" t="s">
        <v>338</v>
      </c>
      <c r="C36" s="65">
        <v>250</v>
      </c>
      <c r="D36" t="s">
        <v>244</v>
      </c>
      <c r="E36" s="17" t="s">
        <v>28</v>
      </c>
      <c r="F36" t="s">
        <v>336</v>
      </c>
      <c r="G36" s="79"/>
      <c r="H36" s="76"/>
      <c r="I36" s="76"/>
      <c r="J36" s="76"/>
      <c r="K36" s="76"/>
      <c r="L36" s="76"/>
      <c r="M36" s="76"/>
    </row>
    <row r="37" spans="1:13" ht="15" customHeight="1" x14ac:dyDescent="0.25">
      <c r="A37" s="58" t="s">
        <v>339</v>
      </c>
      <c r="B37" s="3" t="s">
        <v>340</v>
      </c>
      <c r="C37" s="65">
        <v>138</v>
      </c>
      <c r="D37" t="s">
        <v>244</v>
      </c>
      <c r="E37" s="17" t="s">
        <v>28</v>
      </c>
      <c r="F37" t="s">
        <v>336</v>
      </c>
      <c r="G37" s="79" t="s">
        <v>341</v>
      </c>
      <c r="H37" s="76"/>
      <c r="I37" s="76"/>
      <c r="J37" s="76"/>
      <c r="K37" s="76"/>
      <c r="L37" s="76"/>
      <c r="M37" s="76"/>
    </row>
    <row r="38" spans="1:13" ht="15" customHeight="1" x14ac:dyDescent="0.25">
      <c r="A38" s="58" t="s">
        <v>342</v>
      </c>
      <c r="B38" s="3" t="s">
        <v>343</v>
      </c>
      <c r="C38" s="65">
        <v>40</v>
      </c>
      <c r="D38" t="s">
        <v>244</v>
      </c>
      <c r="E38" s="17" t="s">
        <v>28</v>
      </c>
      <c r="F38" t="s">
        <v>336</v>
      </c>
      <c r="G38" s="79"/>
      <c r="H38" s="76"/>
      <c r="I38" s="76"/>
      <c r="J38" s="76"/>
      <c r="K38" s="76"/>
      <c r="L38" s="76"/>
      <c r="M38" s="76"/>
    </row>
    <row r="39" spans="1:13" ht="15" customHeight="1" x14ac:dyDescent="0.25">
      <c r="A39" s="58" t="s">
        <v>344</v>
      </c>
      <c r="B39" s="3" t="s">
        <v>345</v>
      </c>
      <c r="C39" s="64">
        <v>22</v>
      </c>
      <c r="D39" t="s">
        <v>244</v>
      </c>
      <c r="E39" s="17" t="s">
        <v>28</v>
      </c>
      <c r="F39" t="s">
        <v>336</v>
      </c>
      <c r="G39" s="79"/>
      <c r="H39" s="76"/>
      <c r="I39" s="76"/>
      <c r="J39" s="76"/>
      <c r="K39" s="76"/>
      <c r="L39" s="76"/>
      <c r="M39" s="76"/>
    </row>
    <row r="40" spans="1:13" ht="15" customHeight="1" x14ac:dyDescent="0.25">
      <c r="A40" s="58" t="s">
        <v>346</v>
      </c>
      <c r="B40" s="3" t="s">
        <v>347</v>
      </c>
      <c r="C40" s="65">
        <v>650</v>
      </c>
      <c r="D40" t="s">
        <v>244</v>
      </c>
      <c r="E40" s="17" t="s">
        <v>28</v>
      </c>
      <c r="F40" t="s">
        <v>348</v>
      </c>
      <c r="G40" s="79" t="s">
        <v>349</v>
      </c>
      <c r="H40" s="76"/>
      <c r="I40" s="76"/>
      <c r="J40" s="76"/>
      <c r="K40" s="76"/>
      <c r="L40" s="76"/>
      <c r="M40" s="76"/>
    </row>
    <row r="41" spans="1:13" ht="15" customHeight="1" x14ac:dyDescent="0.25">
      <c r="A41" s="58" t="s">
        <v>350</v>
      </c>
      <c r="B41" s="3" t="s">
        <v>351</v>
      </c>
      <c r="C41" s="53">
        <v>0.44400000000000001</v>
      </c>
      <c r="D41" t="s">
        <v>277</v>
      </c>
      <c r="E41" s="17" t="s">
        <v>28</v>
      </c>
      <c r="F41" t="s">
        <v>352</v>
      </c>
      <c r="G41" s="79" t="s">
        <v>353</v>
      </c>
      <c r="H41" s="76"/>
      <c r="I41" s="76"/>
      <c r="J41" s="76"/>
      <c r="K41" s="76"/>
      <c r="L41" s="76"/>
      <c r="M41" s="76"/>
    </row>
    <row r="42" spans="1:13" ht="15" customHeight="1" x14ac:dyDescent="0.25">
      <c r="A42" s="58" t="s">
        <v>354</v>
      </c>
      <c r="B42" s="3" t="s">
        <v>355</v>
      </c>
      <c r="C42" s="64">
        <v>19.7</v>
      </c>
      <c r="D42" t="s">
        <v>244</v>
      </c>
      <c r="E42" s="17" t="s">
        <v>28</v>
      </c>
      <c r="F42" t="s">
        <v>356</v>
      </c>
      <c r="G42" s="79" t="s">
        <v>357</v>
      </c>
      <c r="H42" s="76"/>
      <c r="I42" s="76"/>
      <c r="J42" s="76"/>
      <c r="K42" s="76"/>
      <c r="L42" s="76"/>
      <c r="M42" s="76"/>
    </row>
    <row r="43" spans="1:13" ht="15" customHeight="1" x14ac:dyDescent="0.25">
      <c r="A43" s="58" t="s">
        <v>358</v>
      </c>
      <c r="B43" s="3" t="s">
        <v>359</v>
      </c>
      <c r="C43" s="65">
        <v>111.8</v>
      </c>
      <c r="D43" t="s">
        <v>244</v>
      </c>
      <c r="E43" s="17" t="s">
        <v>28</v>
      </c>
      <c r="F43" t="s">
        <v>356</v>
      </c>
      <c r="G43" s="79" t="s">
        <v>360</v>
      </c>
      <c r="H43" s="76"/>
      <c r="I43" s="76"/>
      <c r="J43" s="76"/>
      <c r="K43" s="76"/>
      <c r="L43" s="76"/>
      <c r="M43" s="76"/>
    </row>
    <row r="44" spans="1:13" ht="15" customHeight="1" x14ac:dyDescent="0.25">
      <c r="A44" s="58" t="s">
        <v>361</v>
      </c>
      <c r="B44" s="3" t="s">
        <v>362</v>
      </c>
      <c r="C44" s="65">
        <v>212.9</v>
      </c>
      <c r="D44" t="s">
        <v>244</v>
      </c>
      <c r="E44" s="17" t="s">
        <v>28</v>
      </c>
      <c r="F44" t="s">
        <v>356</v>
      </c>
      <c r="G44" s="79" t="s">
        <v>363</v>
      </c>
      <c r="H44" s="76"/>
      <c r="I44" s="76"/>
      <c r="J44" s="76"/>
      <c r="K44" s="76"/>
      <c r="L44" s="76"/>
      <c r="M44" s="76"/>
    </row>
    <row r="45" spans="1:13" ht="30" customHeight="1" x14ac:dyDescent="0.25">
      <c r="A45" s="58" t="s">
        <v>364</v>
      </c>
      <c r="B45" s="3" t="s">
        <v>365</v>
      </c>
      <c r="C45" s="53">
        <f>Inputs!$C$36/(Inputs!$C$35+Inputs!$C$36+Inputs!$C$37+Inputs!$C$38+Inputs!$C$39)</f>
        <v>0.33333333333333331</v>
      </c>
      <c r="E45" s="17" t="s">
        <v>28</v>
      </c>
      <c r="F45" t="s">
        <v>336</v>
      </c>
      <c r="G45" s="79" t="s">
        <v>366</v>
      </c>
      <c r="H45" s="76"/>
      <c r="I45" s="76"/>
      <c r="J45" s="76"/>
      <c r="K45" s="76"/>
      <c r="L45" s="76"/>
      <c r="M45" s="76"/>
    </row>
    <row r="46" spans="1:13" ht="30" customHeight="1" x14ac:dyDescent="0.25">
      <c r="A46" s="58" t="s">
        <v>367</v>
      </c>
      <c r="B46" s="3" t="s">
        <v>368</v>
      </c>
      <c r="C46" s="53">
        <f>Inputs!$C$36/Inputs!$C$40</f>
        <v>0.38461538461538464</v>
      </c>
      <c r="E46" s="17" t="s">
        <v>28</v>
      </c>
      <c r="F46" t="s">
        <v>348</v>
      </c>
      <c r="G46" s="79"/>
      <c r="H46" s="76"/>
      <c r="I46" s="76"/>
      <c r="J46" s="76"/>
      <c r="K46" s="76"/>
      <c r="L46" s="76"/>
      <c r="M46" s="76"/>
    </row>
    <row r="47" spans="1:13" ht="30" customHeight="1" x14ac:dyDescent="0.25">
      <c r="A47" s="58" t="s">
        <v>369</v>
      </c>
      <c r="B47" s="3" t="s">
        <v>370</v>
      </c>
      <c r="C47" s="65">
        <f>Inputs!$C$25/(1+Inputs!$C$26)</f>
        <v>16.591928251121075</v>
      </c>
      <c r="E47" s="17" t="s">
        <v>28</v>
      </c>
      <c r="F47" t="s">
        <v>301</v>
      </c>
      <c r="G47" s="79" t="s">
        <v>371</v>
      </c>
      <c r="H47" s="76"/>
      <c r="I47" s="76"/>
      <c r="J47" s="76"/>
      <c r="K47" s="76"/>
      <c r="L47" s="76"/>
      <c r="M47" s="76"/>
    </row>
    <row r="49" spans="1:13" x14ac:dyDescent="0.25">
      <c r="A49" s="9"/>
      <c r="B49" s="9" t="s">
        <v>372</v>
      </c>
      <c r="C49" s="9">
        <v>2023</v>
      </c>
      <c r="D49" s="9">
        <v>2024</v>
      </c>
      <c r="E49" s="9">
        <v>2025</v>
      </c>
      <c r="F49" s="9">
        <v>2026</v>
      </c>
      <c r="G49" s="9">
        <v>2027</v>
      </c>
      <c r="H49" s="9">
        <v>2028</v>
      </c>
      <c r="I49" s="9">
        <v>2029</v>
      </c>
      <c r="J49" s="9">
        <v>2030</v>
      </c>
      <c r="K49" s="9" t="s">
        <v>36</v>
      </c>
      <c r="L49" s="9" t="s">
        <v>240</v>
      </c>
      <c r="M49" s="9" t="s">
        <v>241</v>
      </c>
    </row>
    <row r="50" spans="1:13" ht="30" customHeight="1" x14ac:dyDescent="0.25">
      <c r="A50" s="58" t="s">
        <v>373</v>
      </c>
      <c r="B50" s="3" t="s">
        <v>374</v>
      </c>
      <c r="C50" s="65">
        <v>1</v>
      </c>
      <c r="D50" s="65">
        <v>4.3</v>
      </c>
      <c r="E50" s="65">
        <v>12.5</v>
      </c>
      <c r="F50" s="65">
        <v>30.1951</v>
      </c>
      <c r="G50" s="65">
        <v>61.42</v>
      </c>
      <c r="H50" s="65">
        <v>120.1437</v>
      </c>
      <c r="I50" s="65">
        <v>224.9539</v>
      </c>
      <c r="J50" s="65">
        <v>366.84640000000002</v>
      </c>
      <c r="K50" s="17" t="s">
        <v>28</v>
      </c>
      <c r="L50" t="s">
        <v>375</v>
      </c>
      <c r="M50" s="12" t="s">
        <v>376</v>
      </c>
    </row>
    <row r="51" spans="1:13" ht="30" customHeight="1" x14ac:dyDescent="0.25">
      <c r="A51" s="58" t="s">
        <v>377</v>
      </c>
      <c r="B51" s="3" t="s">
        <v>378</v>
      </c>
      <c r="E51" s="65">
        <v>13.1</v>
      </c>
      <c r="K51" s="17" t="s">
        <v>28</v>
      </c>
      <c r="L51" t="s">
        <v>379</v>
      </c>
      <c r="M51" s="12" t="s">
        <v>380</v>
      </c>
    </row>
    <row r="52" spans="1:13" ht="30" customHeight="1" x14ac:dyDescent="0.25">
      <c r="A52" s="58" t="s">
        <v>381</v>
      </c>
      <c r="B52" s="3" t="s">
        <v>382</v>
      </c>
      <c r="C52" s="65">
        <v>1</v>
      </c>
      <c r="D52" s="65">
        <v>4.3</v>
      </c>
      <c r="E52" s="65">
        <v>12.5</v>
      </c>
      <c r="F52" s="65">
        <v>30.1</v>
      </c>
      <c r="G52" s="65">
        <v>62</v>
      </c>
      <c r="H52" s="65">
        <v>113</v>
      </c>
      <c r="I52" s="65">
        <v>187</v>
      </c>
      <c r="J52" s="65">
        <v>282.5</v>
      </c>
      <c r="K52" s="17" t="s">
        <v>28</v>
      </c>
      <c r="L52" t="s">
        <v>375</v>
      </c>
      <c r="M52" s="12" t="s">
        <v>383</v>
      </c>
    </row>
    <row r="53" spans="1:13" ht="30" customHeight="1" x14ac:dyDescent="0.25">
      <c r="A53" s="58" t="s">
        <v>384</v>
      </c>
      <c r="B53" s="3" t="s">
        <v>385</v>
      </c>
      <c r="C53" s="65">
        <v>4</v>
      </c>
      <c r="D53" s="65">
        <v>4</v>
      </c>
      <c r="E53" s="65">
        <v>12</v>
      </c>
      <c r="F53" s="65">
        <v>30</v>
      </c>
      <c r="G53" s="65">
        <v>60</v>
      </c>
      <c r="H53" s="65">
        <v>120</v>
      </c>
      <c r="I53" s="65">
        <v>125</v>
      </c>
      <c r="J53" s="65">
        <v>98</v>
      </c>
      <c r="K53" s="17" t="s">
        <v>28</v>
      </c>
      <c r="L53" t="s">
        <v>375</v>
      </c>
      <c r="M53" s="12" t="s">
        <v>386</v>
      </c>
    </row>
    <row r="54" spans="1:13" ht="15" customHeight="1" x14ac:dyDescent="0.25">
      <c r="A54" s="58" t="s">
        <v>387</v>
      </c>
      <c r="B54" s="3" t="s">
        <v>388</v>
      </c>
      <c r="F54" s="65">
        <v>30</v>
      </c>
      <c r="G54" s="65">
        <v>45</v>
      </c>
      <c r="H54" s="65">
        <v>58.5</v>
      </c>
      <c r="I54" s="65">
        <v>58.5</v>
      </c>
      <c r="J54" s="65">
        <v>58.5</v>
      </c>
      <c r="K54" s="17" t="s">
        <v>28</v>
      </c>
      <c r="L54" t="s">
        <v>375</v>
      </c>
      <c r="M54" s="12" t="s">
        <v>389</v>
      </c>
    </row>
    <row r="55" spans="1:13" ht="30" customHeight="1" x14ac:dyDescent="0.25">
      <c r="A55" s="58" t="s">
        <v>390</v>
      </c>
      <c r="B55" s="3" t="s">
        <v>391</v>
      </c>
      <c r="C55" s="65">
        <v>0.46610000000000001</v>
      </c>
      <c r="D55" s="65">
        <v>2.0337999999999998</v>
      </c>
      <c r="E55" s="65">
        <v>8.4064999999999994</v>
      </c>
      <c r="F55" s="65">
        <v>14.401899999999999</v>
      </c>
      <c r="G55" s="65">
        <v>26.0303</v>
      </c>
      <c r="H55" s="65">
        <v>42.790999999999997</v>
      </c>
      <c r="I55" s="65">
        <v>70.899299999999997</v>
      </c>
      <c r="J55" s="65">
        <v>108.5981</v>
      </c>
      <c r="K55" s="17" t="s">
        <v>28</v>
      </c>
      <c r="L55" t="s">
        <v>375</v>
      </c>
      <c r="M55" s="12" t="s">
        <v>392</v>
      </c>
    </row>
    <row r="56" spans="1:13" ht="30" customHeight="1" x14ac:dyDescent="0.25">
      <c r="A56" s="58" t="s">
        <v>393</v>
      </c>
      <c r="B56" s="3" t="s">
        <v>394</v>
      </c>
      <c r="C56" s="65">
        <v>0.105</v>
      </c>
      <c r="D56" s="65">
        <v>0.4</v>
      </c>
      <c r="E56" s="65">
        <v>1.1003000000000001</v>
      </c>
      <c r="F56" s="65">
        <v>2.5068999999999999</v>
      </c>
      <c r="G56" s="65">
        <v>4.7922000000000002</v>
      </c>
      <c r="H56" s="65">
        <v>8.7733000000000008</v>
      </c>
      <c r="I56" s="65">
        <v>15.302099999999999</v>
      </c>
      <c r="J56" s="65">
        <v>23.119900000000001</v>
      </c>
      <c r="K56" s="17" t="s">
        <v>28</v>
      </c>
      <c r="L56" t="s">
        <v>375</v>
      </c>
      <c r="M56" s="12" t="s">
        <v>395</v>
      </c>
    </row>
    <row r="57" spans="1:13" ht="15" customHeight="1" x14ac:dyDescent="0.25">
      <c r="A57" s="58" t="s">
        <v>396</v>
      </c>
      <c r="B57" s="3" t="s">
        <v>397</v>
      </c>
      <c r="G57" s="54">
        <v>0.6</v>
      </c>
      <c r="H57" s="54">
        <v>0.4</v>
      </c>
      <c r="I57" s="54">
        <v>0.3</v>
      </c>
      <c r="J57" s="54">
        <v>0.25</v>
      </c>
      <c r="K57" s="11" t="s">
        <v>31</v>
      </c>
      <c r="L57" t="s">
        <v>398</v>
      </c>
      <c r="M57" s="12" t="s">
        <v>399</v>
      </c>
    </row>
    <row r="58" spans="1:13" ht="30" customHeight="1" x14ac:dyDescent="0.25">
      <c r="A58" s="58" t="s">
        <v>400</v>
      </c>
      <c r="B58" s="3" t="s">
        <v>401</v>
      </c>
      <c r="G58" s="53">
        <f>G52/F52-1</f>
        <v>1.059800664451827</v>
      </c>
      <c r="H58" s="53">
        <f>H52/G52-1</f>
        <v>0.82258064516129026</v>
      </c>
      <c r="I58" s="53">
        <f>I52/H52-1</f>
        <v>0.65486725663716805</v>
      </c>
      <c r="J58" s="53">
        <f>J52/I52-1</f>
        <v>0.51069518716577544</v>
      </c>
      <c r="K58" s="17" t="s">
        <v>28</v>
      </c>
      <c r="L58" t="s">
        <v>402</v>
      </c>
      <c r="M58" s="12" t="s">
        <v>403</v>
      </c>
    </row>
    <row r="59" spans="1:13" ht="30" customHeight="1" x14ac:dyDescent="0.25">
      <c r="A59" s="58" t="s">
        <v>404</v>
      </c>
      <c r="B59" s="3" t="s">
        <v>405</v>
      </c>
      <c r="G59" s="53">
        <f>Inputs!$C$43/Dashboard!$C$21-1</f>
        <v>2.1055555555555556</v>
      </c>
      <c r="H59" s="53">
        <f>Inputs!$C$44/Inputs!$C$43-1</f>
        <v>0.90429338103756729</v>
      </c>
      <c r="I59" s="54">
        <v>0.45</v>
      </c>
      <c r="J59" s="54">
        <v>0.35</v>
      </c>
      <c r="K59" s="17" t="s">
        <v>28</v>
      </c>
      <c r="L59" t="s">
        <v>356</v>
      </c>
      <c r="M59" s="12" t="s">
        <v>406</v>
      </c>
    </row>
    <row r="61" spans="1:13" x14ac:dyDescent="0.25">
      <c r="A61" s="9"/>
      <c r="B61" s="9" t="s">
        <v>407</v>
      </c>
      <c r="C61" s="9" t="s">
        <v>408</v>
      </c>
      <c r="D61" s="9" t="s">
        <v>409</v>
      </c>
      <c r="E61" s="9" t="s">
        <v>410</v>
      </c>
      <c r="F61" s="9" t="s">
        <v>411</v>
      </c>
      <c r="G61" s="9" t="s">
        <v>412</v>
      </c>
      <c r="H61" s="9" t="s">
        <v>413</v>
      </c>
      <c r="I61" s="9" t="s">
        <v>414</v>
      </c>
      <c r="J61" s="9" t="s">
        <v>415</v>
      </c>
      <c r="K61" s="9" t="s">
        <v>416</v>
      </c>
      <c r="L61" s="9" t="s">
        <v>417</v>
      </c>
      <c r="M61" s="9" t="s">
        <v>418</v>
      </c>
    </row>
    <row r="62" spans="1:13" ht="30" customHeight="1" x14ac:dyDescent="0.25">
      <c r="A62" s="58" t="s">
        <v>419</v>
      </c>
      <c r="B62" s="3" t="s">
        <v>420</v>
      </c>
      <c r="C62" s="66">
        <v>0.65</v>
      </c>
      <c r="D62" s="66">
        <v>0.9</v>
      </c>
      <c r="E62" s="66">
        <v>1.2</v>
      </c>
      <c r="F62" s="66">
        <v>1.55</v>
      </c>
      <c r="G62" s="66">
        <v>2.0499999999999998</v>
      </c>
      <c r="H62" s="66">
        <v>2.7</v>
      </c>
      <c r="I62" s="66">
        <v>3.45</v>
      </c>
      <c r="J62" s="66">
        <v>4.3</v>
      </c>
      <c r="K62" s="66">
        <v>5.65</v>
      </c>
      <c r="L62" s="66">
        <v>6.95</v>
      </c>
      <c r="M62" s="12" t="s">
        <v>421</v>
      </c>
    </row>
    <row r="63" spans="1:13" ht="30" customHeight="1" x14ac:dyDescent="0.25">
      <c r="A63" s="58" t="s">
        <v>422</v>
      </c>
      <c r="B63" s="3" t="s">
        <v>423</v>
      </c>
      <c r="C63" s="66">
        <v>0.86670000000000003</v>
      </c>
      <c r="D63" s="66">
        <v>0.93330000000000002</v>
      </c>
      <c r="E63" s="66">
        <v>1</v>
      </c>
      <c r="F63" s="66">
        <v>1.2</v>
      </c>
      <c r="G63" s="66">
        <v>2</v>
      </c>
      <c r="H63" s="66">
        <v>2.6667000000000001</v>
      </c>
      <c r="I63" s="66">
        <v>3.3332999999999999</v>
      </c>
      <c r="J63" s="66">
        <v>4</v>
      </c>
      <c r="K63" s="66">
        <v>5.3333000000000004</v>
      </c>
      <c r="L63" s="66">
        <v>6.6666999999999996</v>
      </c>
      <c r="M63" s="12" t="s">
        <v>424</v>
      </c>
    </row>
    <row r="64" spans="1:13" ht="30" customHeight="1" x14ac:dyDescent="0.25">
      <c r="A64" s="58" t="s">
        <v>425</v>
      </c>
      <c r="B64" s="3" t="s">
        <v>426</v>
      </c>
      <c r="C64" s="66">
        <v>0.30030000000000001</v>
      </c>
      <c r="D64" s="66">
        <v>0.4279</v>
      </c>
      <c r="E64" s="66">
        <v>0.5575</v>
      </c>
      <c r="F64" s="66">
        <v>0.74819999999999998</v>
      </c>
      <c r="G64" s="66">
        <v>1.3185</v>
      </c>
      <c r="H64" s="66">
        <v>1.8234999999999999</v>
      </c>
      <c r="I64" s="66">
        <v>2.3555999999999999</v>
      </c>
      <c r="J64" s="66">
        <v>2.9087999999999998</v>
      </c>
      <c r="K64" s="66">
        <v>2.5998000000000001</v>
      </c>
      <c r="L64" s="66">
        <v>3.2559</v>
      </c>
      <c r="M64" s="12" t="s">
        <v>424</v>
      </c>
    </row>
    <row r="65" spans="1:13" ht="30" customHeight="1" x14ac:dyDescent="0.25">
      <c r="A65" s="58" t="s">
        <v>427</v>
      </c>
      <c r="B65" s="3" t="s">
        <v>428</v>
      </c>
      <c r="C65" s="66">
        <v>0.08</v>
      </c>
      <c r="D65" s="66">
        <v>0.11</v>
      </c>
      <c r="E65" s="66">
        <v>0.14000000000000001</v>
      </c>
      <c r="F65" s="66">
        <v>0.17</v>
      </c>
      <c r="G65" s="66">
        <v>0.19</v>
      </c>
      <c r="H65" s="66">
        <v>0.24</v>
      </c>
      <c r="I65" s="66">
        <v>0.3</v>
      </c>
      <c r="J65" s="66">
        <v>0.39500000000000002</v>
      </c>
      <c r="K65" s="66">
        <v>0.44</v>
      </c>
      <c r="L65" s="66">
        <v>0.1633</v>
      </c>
      <c r="M65" s="12" t="s">
        <v>429</v>
      </c>
    </row>
    <row r="66" spans="1:13" ht="30" customHeight="1" x14ac:dyDescent="0.25">
      <c r="A66" s="58" t="s">
        <v>430</v>
      </c>
      <c r="B66" s="3" t="s">
        <v>431</v>
      </c>
      <c r="C66" s="66">
        <v>0.4</v>
      </c>
      <c r="D66" s="66">
        <v>0.55000000000000004</v>
      </c>
      <c r="E66" s="66">
        <v>0.7</v>
      </c>
      <c r="F66" s="66">
        <v>0.85</v>
      </c>
      <c r="G66" s="66">
        <v>0.95</v>
      </c>
      <c r="H66" s="66">
        <v>1.2</v>
      </c>
      <c r="I66" s="66">
        <v>1.5</v>
      </c>
      <c r="J66" s="66">
        <v>1.9750000000000001</v>
      </c>
      <c r="K66" s="66">
        <v>2.2000000000000002</v>
      </c>
      <c r="L66" s="66">
        <v>2.4500000000000002</v>
      </c>
      <c r="M66" s="12" t="s">
        <v>432</v>
      </c>
    </row>
  </sheetData>
  <mergeCells count="43">
    <mergeCell ref="G5:M5"/>
    <mergeCell ref="G6:M6"/>
    <mergeCell ref="G13:M13"/>
    <mergeCell ref="G18:M18"/>
    <mergeCell ref="G30:M30"/>
    <mergeCell ref="G34:M34"/>
    <mergeCell ref="G24:M24"/>
    <mergeCell ref="G15:M15"/>
    <mergeCell ref="G33:M33"/>
    <mergeCell ref="G8:M8"/>
    <mergeCell ref="G17:M17"/>
    <mergeCell ref="G7:M7"/>
    <mergeCell ref="G38:M38"/>
    <mergeCell ref="G10:M10"/>
    <mergeCell ref="G28:M28"/>
    <mergeCell ref="G19:M19"/>
    <mergeCell ref="G37:M37"/>
    <mergeCell ref="G9:M9"/>
    <mergeCell ref="G21:M21"/>
    <mergeCell ref="G43:M43"/>
    <mergeCell ref="G12:M12"/>
    <mergeCell ref="G11:M11"/>
    <mergeCell ref="G42:M42"/>
    <mergeCell ref="G27:M27"/>
    <mergeCell ref="G36:M36"/>
    <mergeCell ref="G23:M23"/>
    <mergeCell ref="G39:M39"/>
    <mergeCell ref="G47:M47"/>
    <mergeCell ref="G16:M16"/>
    <mergeCell ref="G32:M32"/>
    <mergeCell ref="G25:M25"/>
    <mergeCell ref="G44:M44"/>
    <mergeCell ref="G41:M41"/>
    <mergeCell ref="G31:M31"/>
    <mergeCell ref="G46:M46"/>
    <mergeCell ref="G22:M22"/>
    <mergeCell ref="G40:M40"/>
    <mergeCell ref="G14:M14"/>
    <mergeCell ref="G45:M45"/>
    <mergeCell ref="G26:M26"/>
    <mergeCell ref="G29:M29"/>
    <mergeCell ref="G35:M35"/>
    <mergeCell ref="G20:M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9"/>
  <sheetViews>
    <sheetView workbookViewId="0"/>
  </sheetViews>
  <sheetFormatPr defaultRowHeight="15" x14ac:dyDescent="0.25"/>
  <cols>
    <col min="2" max="2" width="70" customWidth="1"/>
    <col min="3" max="3" width="12" customWidth="1"/>
    <col min="4" max="4" width="46" customWidth="1"/>
    <col min="5" max="7" width="10" customWidth="1"/>
  </cols>
  <sheetData>
    <row r="1" spans="1:4" ht="18.75" x14ac:dyDescent="0.3">
      <c r="A1" s="1" t="s">
        <v>433</v>
      </c>
    </row>
    <row r="2" spans="1:4" x14ac:dyDescent="0.25">
      <c r="A2" s="2" t="s">
        <v>434</v>
      </c>
    </row>
    <row r="4" spans="1:4" x14ac:dyDescent="0.25">
      <c r="B4" s="3" t="s">
        <v>435</v>
      </c>
      <c r="C4" s="67">
        <f>Inputs!$C$5</f>
        <v>24.1</v>
      </c>
      <c r="D4" s="12" t="s">
        <v>436</v>
      </c>
    </row>
    <row r="5" spans="1:4" x14ac:dyDescent="0.25">
      <c r="B5" s="3" t="s">
        <v>437</v>
      </c>
      <c r="C5" s="54">
        <f>Dashboard!$C$15</f>
        <v>0.9</v>
      </c>
      <c r="D5" s="12" t="s">
        <v>438</v>
      </c>
    </row>
    <row r="6" spans="1:4" x14ac:dyDescent="0.25">
      <c r="B6" s="3" t="s">
        <v>439</v>
      </c>
      <c r="C6" s="21">
        <f>C4*C5</f>
        <v>21.69</v>
      </c>
      <c r="D6" s="12"/>
    </row>
    <row r="7" spans="1:4" ht="30" x14ac:dyDescent="0.25">
      <c r="B7" s="3" t="s">
        <v>440</v>
      </c>
      <c r="C7" s="21">
        <f>Model!$D$49</f>
        <v>3.8103400000000005</v>
      </c>
      <c r="D7" s="12" t="s">
        <v>441</v>
      </c>
    </row>
    <row r="8" spans="1:4" x14ac:dyDescent="0.25">
      <c r="B8" s="3" t="s">
        <v>442</v>
      </c>
      <c r="C8" s="21">
        <f>C6-C7</f>
        <v>17.879660000000001</v>
      </c>
      <c r="D8" s="12"/>
    </row>
    <row r="9" spans="1:4" x14ac:dyDescent="0.25">
      <c r="B9" s="3" t="s">
        <v>443</v>
      </c>
      <c r="C9" s="65">
        <f>Model!$F$28</f>
        <v>13.279885999999999</v>
      </c>
      <c r="D9" s="12" t="s">
        <v>375</v>
      </c>
    </row>
    <row r="10" spans="1:4" x14ac:dyDescent="0.25">
      <c r="B10" s="3" t="s">
        <v>444</v>
      </c>
      <c r="C10" s="65">
        <f>Model!$G$28</f>
        <v>18.901794896191767</v>
      </c>
      <c r="D10" s="12" t="s">
        <v>375</v>
      </c>
    </row>
    <row r="11" spans="1:4" x14ac:dyDescent="0.25">
      <c r="B11" s="3" t="s">
        <v>445</v>
      </c>
      <c r="C11" s="54">
        <f>Dashboard!$C$18</f>
        <v>0.1</v>
      </c>
      <c r="D11" s="12" t="s">
        <v>438</v>
      </c>
    </row>
    <row r="12" spans="1:4" x14ac:dyDescent="0.25">
      <c r="B12" s="68" t="s">
        <v>446</v>
      </c>
      <c r="C12" s="69">
        <f>(C8-C11*C9)/(C9+C10)</f>
        <v>0.51431966693693276</v>
      </c>
      <c r="D12" s="12" t="s">
        <v>447</v>
      </c>
    </row>
    <row r="13" spans="1:4" x14ac:dyDescent="0.25">
      <c r="B13" s="68" t="s">
        <v>448</v>
      </c>
      <c r="C13" s="69">
        <f>C12+C11</f>
        <v>0.61431966693693274</v>
      </c>
      <c r="D13" s="12"/>
    </row>
    <row r="14" spans="1:4" x14ac:dyDescent="0.25">
      <c r="B14" s="3" t="s">
        <v>449</v>
      </c>
      <c r="C14" s="23">
        <f>C8/(C9+C10)</f>
        <v>0.55558502545825073</v>
      </c>
      <c r="D14" s="12" t="s">
        <v>450</v>
      </c>
    </row>
    <row r="15" spans="1:4" x14ac:dyDescent="0.25">
      <c r="B15" s="3" t="s">
        <v>451</v>
      </c>
      <c r="C15" t="str">
        <f>IF(AND(C12&gt;=0,C13&lt;=1),"🟢 PASS — both halves inside 0-100%","🔴 FAIL — anchor, frac or compute basis inconsistent")</f>
        <v>🟢 PASS — both halves inside 0-100%</v>
      </c>
      <c r="D15" s="12" t="s">
        <v>452</v>
      </c>
    </row>
    <row r="17" spans="2:7" x14ac:dyDescent="0.25">
      <c r="B17" s="3" t="s">
        <v>453</v>
      </c>
      <c r="C17" s="27">
        <f>C6/Model!$D$46</f>
        <v>1.0658476658476659</v>
      </c>
      <c r="D17" s="12"/>
    </row>
    <row r="18" spans="2:7" x14ac:dyDescent="0.25">
      <c r="B18" s="3" t="s">
        <v>454</v>
      </c>
      <c r="C18" s="23">
        <f>C7/C6</f>
        <v>0.17567266021207931</v>
      </c>
      <c r="D18" s="12"/>
    </row>
    <row r="19" spans="2:7" x14ac:dyDescent="0.25">
      <c r="B19" s="3" t="s">
        <v>455</v>
      </c>
      <c r="C19" s="23">
        <f>C6/Inputs!$C$8</f>
        <v>0.21277639349408464</v>
      </c>
      <c r="D19" s="12"/>
    </row>
    <row r="22" spans="2:7" x14ac:dyDescent="0.25">
      <c r="B22" s="9" t="s">
        <v>456</v>
      </c>
      <c r="C22" s="9"/>
      <c r="D22" s="9"/>
      <c r="E22" s="9"/>
      <c r="F22" s="9"/>
      <c r="G22" s="9"/>
    </row>
    <row r="23" spans="2:7" x14ac:dyDescent="0.25">
      <c r="C23" s="44">
        <v>0.8</v>
      </c>
      <c r="D23" s="44">
        <v>0.9</v>
      </c>
      <c r="E23" s="44">
        <v>1</v>
      </c>
      <c r="F23" s="44">
        <v>1.1000000000000001</v>
      </c>
      <c r="G23" s="44">
        <v>1.2</v>
      </c>
    </row>
    <row r="24" spans="2:7" x14ac:dyDescent="0.25">
      <c r="B24" s="70">
        <v>0</v>
      </c>
      <c r="C24" s="23">
        <f t="shared" ref="C24:G27" si="0">($C$8-$B24*$C$9*C$23)/(($C$9+$C$10)*C$23)</f>
        <v>0.69448128182281332</v>
      </c>
      <c r="D24" s="23">
        <f t="shared" si="0"/>
        <v>0.61731669495361186</v>
      </c>
      <c r="E24" s="23">
        <f t="shared" si="0"/>
        <v>0.55558502545825073</v>
      </c>
      <c r="F24" s="23">
        <f t="shared" si="0"/>
        <v>0.50507729587113703</v>
      </c>
      <c r="G24" s="23">
        <f t="shared" si="0"/>
        <v>0.46298752121520892</v>
      </c>
    </row>
    <row r="25" spans="2:7" x14ac:dyDescent="0.25">
      <c r="B25" s="70">
        <v>0.1</v>
      </c>
      <c r="C25" s="23">
        <f t="shared" si="0"/>
        <v>0.65321592330149547</v>
      </c>
      <c r="D25" s="23">
        <f t="shared" si="0"/>
        <v>0.576051336432294</v>
      </c>
      <c r="E25" s="23">
        <f t="shared" si="0"/>
        <v>0.51431966693693276</v>
      </c>
      <c r="F25" s="23">
        <f t="shared" si="0"/>
        <v>0.46381193734981913</v>
      </c>
      <c r="G25" s="23">
        <f t="shared" si="0"/>
        <v>0.42172216269389101</v>
      </c>
    </row>
    <row r="26" spans="2:7" x14ac:dyDescent="0.25">
      <c r="B26" s="70">
        <v>0.2</v>
      </c>
      <c r="C26" s="23">
        <f t="shared" si="0"/>
        <v>0.61195056478017751</v>
      </c>
      <c r="D26" s="23">
        <f t="shared" si="0"/>
        <v>0.53478597791097604</v>
      </c>
      <c r="E26" s="23">
        <f t="shared" si="0"/>
        <v>0.47305430841561491</v>
      </c>
      <c r="F26" s="23">
        <f t="shared" si="0"/>
        <v>0.42254657882850116</v>
      </c>
      <c r="G26" s="23">
        <f t="shared" si="0"/>
        <v>0.3804568041725731</v>
      </c>
    </row>
    <row r="27" spans="2:7" x14ac:dyDescent="0.25">
      <c r="B27" s="70">
        <v>0.3</v>
      </c>
      <c r="C27" s="23">
        <f t="shared" si="0"/>
        <v>0.57068520625885966</v>
      </c>
      <c r="D27" s="23">
        <f t="shared" si="0"/>
        <v>0.49352061938965819</v>
      </c>
      <c r="E27" s="23">
        <f t="shared" si="0"/>
        <v>0.431788949894297</v>
      </c>
      <c r="F27" s="23">
        <f t="shared" si="0"/>
        <v>0.38128122030718331</v>
      </c>
      <c r="G27" s="23">
        <f t="shared" si="0"/>
        <v>0.33919144565125525</v>
      </c>
    </row>
    <row r="29" spans="2:7" ht="48" customHeight="1" x14ac:dyDescent="0.25">
      <c r="B29" s="78" t="s">
        <v>457</v>
      </c>
      <c r="C29" s="76"/>
      <c r="D29" s="76"/>
      <c r="E29" s="76"/>
      <c r="F29" s="76"/>
      <c r="G29" s="76"/>
    </row>
  </sheetData>
  <mergeCells count="1">
    <mergeCell ref="B29:G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1"/>
  <sheetViews>
    <sheetView workbookViewId="0"/>
  </sheetViews>
  <sheetFormatPr defaultRowHeight="15" x14ac:dyDescent="0.25"/>
  <cols>
    <col min="1" max="1" width="6" customWidth="1"/>
    <col min="2" max="2" width="50" customWidth="1"/>
    <col min="3" max="3" width="14" customWidth="1"/>
    <col min="4" max="5" width="10" customWidth="1"/>
    <col min="6" max="6" width="28" customWidth="1"/>
    <col min="7" max="7" width="9" customWidth="1"/>
    <col min="8" max="8" width="10" customWidth="1"/>
    <col min="9" max="9" width="12" customWidth="1"/>
    <col min="10" max="10" width="22" customWidth="1"/>
    <col min="11" max="11" width="60" customWidth="1"/>
  </cols>
  <sheetData>
    <row r="1" spans="1:11" ht="18.75" x14ac:dyDescent="0.3">
      <c r="A1" s="1" t="s">
        <v>458</v>
      </c>
    </row>
    <row r="2" spans="1:11" x14ac:dyDescent="0.25">
      <c r="A2" s="2" t="s">
        <v>459</v>
      </c>
    </row>
    <row r="4" spans="1:11" x14ac:dyDescent="0.25">
      <c r="A4" s="9" t="s">
        <v>460</v>
      </c>
      <c r="B4" s="9" t="s">
        <v>461</v>
      </c>
      <c r="C4" s="9" t="s">
        <v>462</v>
      </c>
      <c r="D4" s="9" t="s">
        <v>463</v>
      </c>
      <c r="E4" s="9" t="s">
        <v>464</v>
      </c>
      <c r="F4" s="9" t="s">
        <v>465</v>
      </c>
      <c r="G4" s="9" t="s">
        <v>466</v>
      </c>
      <c r="H4" s="9" t="s">
        <v>467</v>
      </c>
      <c r="I4" s="9" t="s">
        <v>451</v>
      </c>
      <c r="J4" s="9" t="s">
        <v>468</v>
      </c>
      <c r="K4" s="9" t="s">
        <v>469</v>
      </c>
    </row>
    <row r="5" spans="1:11" ht="42" customHeight="1" x14ac:dyDescent="0.25">
      <c r="A5" s="13" t="s">
        <v>470</v>
      </c>
      <c r="B5" s="3" t="s">
        <v>471</v>
      </c>
      <c r="C5" s="71" t="s">
        <v>472</v>
      </c>
      <c r="D5" s="23">
        <f>Calibration!$C$12</f>
        <v>0.51431966693693276</v>
      </c>
      <c r="E5" s="23">
        <f>Calibration!$C$13</f>
        <v>0.61431966693693274</v>
      </c>
      <c r="F5" s="12" t="s">
        <v>473</v>
      </c>
      <c r="I5" s="13" t="str">
        <f>IF(AND(D5&gt;=0,E5&lt;=1),"🟢 PASS","🔴 FAIL")</f>
        <v>🟢 PASS</v>
      </c>
      <c r="J5" s="12" t="s">
        <v>474</v>
      </c>
      <c r="K5" s="12" t="s">
        <v>475</v>
      </c>
    </row>
    <row r="6" spans="1:11" ht="42" customHeight="1" x14ac:dyDescent="0.25">
      <c r="A6" s="13" t="s">
        <v>476</v>
      </c>
      <c r="B6" s="3" t="s">
        <v>477</v>
      </c>
      <c r="C6" s="71" t="s">
        <v>478</v>
      </c>
      <c r="D6" s="21">
        <f>Model!$D$46</f>
        <v>20.350000000000001</v>
      </c>
      <c r="E6" s="21">
        <f>Inputs!$C$42</f>
        <v>19.7</v>
      </c>
      <c r="F6" s="12" t="s">
        <v>479</v>
      </c>
      <c r="G6" s="23">
        <v>0.15</v>
      </c>
      <c r="H6" s="23">
        <f>D6/E6-1</f>
        <v>3.2994923857868175E-2</v>
      </c>
      <c r="I6" s="13" t="str">
        <f>IF(ABS(H6)&lt;=G6,"🟢 PASS",IF(ABS(H6)&lt;=G6*1.6,"🟡 WATCH","🔴 FAIL"))</f>
        <v>🟢 PASS</v>
      </c>
      <c r="J6" s="12" t="s">
        <v>480</v>
      </c>
      <c r="K6" s="12" t="s">
        <v>481</v>
      </c>
    </row>
    <row r="7" spans="1:11" ht="42" customHeight="1" x14ac:dyDescent="0.25">
      <c r="A7" s="13" t="s">
        <v>482</v>
      </c>
      <c r="B7" s="3" t="s">
        <v>483</v>
      </c>
      <c r="C7" s="71" t="s">
        <v>484</v>
      </c>
      <c r="D7" s="21">
        <f>Model!$C$85+Model!$C$87</f>
        <v>13.148228</v>
      </c>
      <c r="E7" s="21">
        <f>Inputs!$C$27</f>
        <v>18.600000000000001</v>
      </c>
      <c r="F7" s="12" t="s">
        <v>485</v>
      </c>
      <c r="G7" s="23">
        <v>0.25</v>
      </c>
      <c r="H7" s="23">
        <f>D7/E7-1</f>
        <v>-0.29310602150537646</v>
      </c>
      <c r="I7" s="13" t="str">
        <f>IF(ABS(H7)&lt;=G7,"🟢 PASS",IF(ABS(H7)&lt;=G7*1.6,"🟡 WATCH","🔴 FAIL"))</f>
        <v>🟡 WATCH</v>
      </c>
      <c r="J7" s="12" t="s">
        <v>486</v>
      </c>
      <c r="K7" s="12" t="s">
        <v>487</v>
      </c>
    </row>
    <row r="8" spans="1:11" ht="42" customHeight="1" x14ac:dyDescent="0.25">
      <c r="A8" s="13" t="s">
        <v>488</v>
      </c>
      <c r="B8" s="3" t="s">
        <v>489</v>
      </c>
      <c r="C8" s="71" t="s">
        <v>490</v>
      </c>
      <c r="D8" s="21">
        <f>Model!$C$91</f>
        <v>16.453628000000002</v>
      </c>
      <c r="E8" s="21">
        <f>Inputs!$C$28</f>
        <v>10</v>
      </c>
      <c r="F8" s="12" t="s">
        <v>491</v>
      </c>
      <c r="I8" s="13" t="str">
        <f>IF(D8&gt;=E8,"🟢 PASS","🔴 FAIL")</f>
        <v>🟢 PASS</v>
      </c>
      <c r="J8" s="12" t="s">
        <v>492</v>
      </c>
      <c r="K8" s="12" t="s">
        <v>493</v>
      </c>
    </row>
    <row r="9" spans="1:11" ht="42" customHeight="1" x14ac:dyDescent="0.25">
      <c r="A9" s="13" t="s">
        <v>494</v>
      </c>
      <c r="B9" s="3" t="s">
        <v>495</v>
      </c>
      <c r="C9" s="71" t="s">
        <v>496</v>
      </c>
      <c r="D9" s="23">
        <f>Inputs!$C$5/Inputs!$C$21</f>
        <v>0.11261682242990655</v>
      </c>
      <c r="E9" s="23">
        <f>Inputs!$C$22</f>
        <v>0.1</v>
      </c>
      <c r="F9" s="12" t="s">
        <v>497</v>
      </c>
      <c r="I9" s="13" t="str">
        <f>IF(AND(D9&gt;=Inputs!$C$22,D9&lt;=Inputs!$C$23),"🟢 PASS","🔴 FAIL")</f>
        <v>🟢 PASS</v>
      </c>
      <c r="J9" s="12" t="s">
        <v>498</v>
      </c>
      <c r="K9" s="12" t="s">
        <v>499</v>
      </c>
    </row>
    <row r="10" spans="1:11" ht="42" customHeight="1" x14ac:dyDescent="0.25">
      <c r="A10" s="13" t="s">
        <v>500</v>
      </c>
      <c r="B10" s="3" t="s">
        <v>501</v>
      </c>
      <c r="C10" s="71" t="s">
        <v>502</v>
      </c>
      <c r="D10" s="23">
        <f>Model!$C$89</f>
        <v>0.2075527448648648</v>
      </c>
      <c r="E10" s="23">
        <v>0.15</v>
      </c>
      <c r="F10" s="12" t="s">
        <v>503</v>
      </c>
      <c r="I10" s="13" t="str">
        <f>IF(D10&gt;=E10,"🟢 PASS",IF(D10&gt;=0,"🟡 WATCH","🔴 FAIL"))</f>
        <v>🟢 PASS</v>
      </c>
      <c r="J10" s="12" t="s">
        <v>504</v>
      </c>
      <c r="K10" s="12" t="s">
        <v>505</v>
      </c>
    </row>
    <row r="11" spans="1:11" ht="42" customHeight="1" x14ac:dyDescent="0.25">
      <c r="A11" s="13" t="s">
        <v>506</v>
      </c>
      <c r="B11" s="3" t="s">
        <v>507</v>
      </c>
      <c r="C11" s="71" t="s">
        <v>502</v>
      </c>
      <c r="D11" s="23">
        <f>Model!$C$90</f>
        <v>9.3464602404347771E-2</v>
      </c>
      <c r="E11" s="23">
        <v>0.15</v>
      </c>
      <c r="F11" s="12" t="s">
        <v>301</v>
      </c>
      <c r="I11" s="13" t="str">
        <f>IF(D11&gt;=E11,"🟢 PASS",IF(D11&gt;=0,"🟡 WATCH","🔴 FAIL"))</f>
        <v>🟡 WATCH</v>
      </c>
      <c r="J11" s="12" t="s">
        <v>492</v>
      </c>
      <c r="K11" s="12" t="s">
        <v>508</v>
      </c>
    </row>
    <row r="12" spans="1:11" ht="42" customHeight="1" x14ac:dyDescent="0.25">
      <c r="A12" s="13" t="s">
        <v>509</v>
      </c>
      <c r="B12" s="3" t="s">
        <v>510</v>
      </c>
      <c r="C12" s="71" t="s">
        <v>478</v>
      </c>
      <c r="D12" s="21">
        <f>Model!$C$92</f>
        <v>7.0793400000000002</v>
      </c>
      <c r="E12" s="21">
        <f>Inputs!$C$29</f>
        <v>6</v>
      </c>
      <c r="F12" s="12" t="s">
        <v>511</v>
      </c>
      <c r="G12" s="23">
        <v>0.25</v>
      </c>
      <c r="H12" s="23">
        <f>D12/E12-1</f>
        <v>0.17989000000000011</v>
      </c>
      <c r="I12" s="13" t="str">
        <f>IF(ABS(H12)&lt;=G12,"🟢 PASS",IF(ABS(H12)&lt;=G12*1.6,"🟡 WATCH","🔴 FAIL"))</f>
        <v>🟢 PASS</v>
      </c>
      <c r="J12" s="12" t="s">
        <v>512</v>
      </c>
      <c r="K12" s="12" t="s">
        <v>513</v>
      </c>
    </row>
    <row r="13" spans="1:11" ht="42" customHeight="1" x14ac:dyDescent="0.25">
      <c r="A13" s="13" t="s">
        <v>514</v>
      </c>
      <c r="B13" s="3" t="s">
        <v>515</v>
      </c>
      <c r="C13" s="71" t="s">
        <v>516</v>
      </c>
      <c r="D13" s="21">
        <f>Dashboard!$C$11*SUM(Inputs!F52:J52)</f>
        <v>134.92000000000002</v>
      </c>
      <c r="E13" s="21">
        <f>Inputs!$C$30</f>
        <v>135</v>
      </c>
      <c r="F13" s="12" t="s">
        <v>517</v>
      </c>
      <c r="G13" s="23">
        <v>0.05</v>
      </c>
      <c r="H13" s="23">
        <f>D13/E13-1</f>
        <v>-5.9259259259247798E-4</v>
      </c>
      <c r="I13" s="13" t="str">
        <f>IF(ABS(H13)&lt;=G13,"🟢 PASS",IF(ABS(H13)&lt;=G13*1.6,"🟡 WATCH","🔴 FAIL"))</f>
        <v>🟢 PASS</v>
      </c>
      <c r="J13" s="12" t="s">
        <v>518</v>
      </c>
      <c r="K13" s="12" t="s">
        <v>519</v>
      </c>
    </row>
    <row r="14" spans="1:11" ht="42" customHeight="1" x14ac:dyDescent="0.25">
      <c r="A14" s="13" t="s">
        <v>520</v>
      </c>
      <c r="B14" s="3" t="s">
        <v>521</v>
      </c>
      <c r="C14" s="71" t="s">
        <v>522</v>
      </c>
      <c r="D14" s="23">
        <f>Model!$C$84</f>
        <v>0.87276793004659381</v>
      </c>
      <c r="F14" s="12" t="s">
        <v>523</v>
      </c>
      <c r="I14" s="13" t="str">
        <f>"ℹ️ INFO"</f>
        <v>ℹ️ INFO</v>
      </c>
      <c r="J14" s="12" t="s">
        <v>524</v>
      </c>
      <c r="K14" s="12" t="s">
        <v>525</v>
      </c>
    </row>
    <row r="15" spans="1:11" ht="42" customHeight="1" x14ac:dyDescent="0.25">
      <c r="A15" s="13" t="s">
        <v>526</v>
      </c>
      <c r="B15" s="3" t="s">
        <v>527</v>
      </c>
      <c r="C15" s="71" t="s">
        <v>478</v>
      </c>
      <c r="D15" s="21">
        <f>Dashboard!$C$21*(1+Inputs!G58)*(1+Inputs!H58)*(1+Inputs!I58)*(1+Inputs!J58)</f>
        <v>337.87375415282389</v>
      </c>
      <c r="E15" s="21">
        <f>Inputs!$C$31</f>
        <v>350</v>
      </c>
      <c r="F15" s="12" t="s">
        <v>528</v>
      </c>
      <c r="G15" s="23">
        <v>0.1</v>
      </c>
      <c r="H15" s="23">
        <f>D15/E15-1</f>
        <v>-3.4646416706217487E-2</v>
      </c>
      <c r="I15" s="13" t="str">
        <f>IF(ABS(H15)&lt;=G15,"🟢 PASS",IF(ABS(H15)&lt;=G15*1.6,"🟡 WATCH","🔴 FAIL"))</f>
        <v>🟢 PASS</v>
      </c>
      <c r="J15" s="12" t="s">
        <v>492</v>
      </c>
      <c r="K15" s="12" t="s">
        <v>529</v>
      </c>
    </row>
    <row r="16" spans="1:11" ht="42" customHeight="1" x14ac:dyDescent="0.25">
      <c r="A16" s="13" t="s">
        <v>530</v>
      </c>
      <c r="B16" s="3" t="s">
        <v>531</v>
      </c>
      <c r="C16" s="71" t="s">
        <v>532</v>
      </c>
      <c r="D16" s="21">
        <f>(Dashboard!$C$21-Model!$G$25)*2/3+Dashboard!$C$21*((1+Inputs!G58)+(1+Inputs!G58)*(1+Inputs!H58)+(1+Inputs!G58)*(1+Inputs!H58)*(1+Inputs!I58)+(1+Inputs!G58)*(1+Inputs!H58)*(1+Inputs!I58)*(1+Inputs!J58))</f>
        <v>786.43056478405299</v>
      </c>
      <c r="E16" s="21">
        <f>Inputs!$C$32</f>
        <v>840</v>
      </c>
      <c r="F16" s="12" t="s">
        <v>528</v>
      </c>
      <c r="G16" s="23">
        <v>0.1</v>
      </c>
      <c r="H16" s="23">
        <f>D16/E16-1</f>
        <v>-6.3773137161841631E-2</v>
      </c>
      <c r="I16" s="13" t="str">
        <f>IF(ABS(H16)&lt;=G16,"🟢 PASS",IF(ABS(H16)&lt;=G16*1.6,"🟡 WATCH","🔴 FAIL"))</f>
        <v>🟢 PASS</v>
      </c>
      <c r="J16" s="12" t="s">
        <v>492</v>
      </c>
      <c r="K16" s="12" t="s">
        <v>533</v>
      </c>
    </row>
    <row r="17" spans="1:11" ht="42" customHeight="1" x14ac:dyDescent="0.25">
      <c r="A17" s="13" t="s">
        <v>534</v>
      </c>
      <c r="B17" s="3" t="s">
        <v>535</v>
      </c>
      <c r="C17" s="71" t="s">
        <v>536</v>
      </c>
      <c r="D17" s="23">
        <f>Model!$E$58</f>
        <v>0.41898879770098807</v>
      </c>
      <c r="E17" s="23">
        <f>Inputs!$C$41</f>
        <v>0.44400000000000001</v>
      </c>
      <c r="F17" s="12" t="s">
        <v>537</v>
      </c>
      <c r="G17" s="23">
        <v>0.06</v>
      </c>
      <c r="H17" s="23">
        <f>D17-E17</f>
        <v>-2.5011202299011936E-2</v>
      </c>
      <c r="I17" s="13" t="str">
        <f>IF(ABS(H17)&lt;=G17,"🟢 PASS",IF(ABS(H17)&lt;=G17*1.6,"🟡 WATCH","🔴 FAIL"))</f>
        <v>🟢 PASS</v>
      </c>
      <c r="J17" s="12" t="s">
        <v>538</v>
      </c>
      <c r="K17" s="12" t="s">
        <v>539</v>
      </c>
    </row>
    <row r="18" spans="1:11" ht="42" customHeight="1" x14ac:dyDescent="0.25">
      <c r="A18" s="13" t="s">
        <v>540</v>
      </c>
      <c r="B18" s="3" t="s">
        <v>541</v>
      </c>
      <c r="C18" s="71" t="s">
        <v>532</v>
      </c>
      <c r="D18" s="21">
        <f>Model!$C$93</f>
        <v>792.92035245943589</v>
      </c>
      <c r="E18" s="21">
        <f>Inputs!$C$33</f>
        <v>856</v>
      </c>
      <c r="F18" s="12" t="s">
        <v>528</v>
      </c>
      <c r="G18" s="23">
        <v>0.15</v>
      </c>
      <c r="H18" s="23">
        <f>D18/E18-1</f>
        <v>-7.3691177033369248E-2</v>
      </c>
      <c r="I18" s="13" t="str">
        <f>IF(ABS(H18)&lt;=G18,"🟢 PASS",IF(ABS(H18)&lt;=G18*1.6,"🟡 WATCH","🔴 FAIL"))</f>
        <v>🟢 PASS</v>
      </c>
      <c r="J18" s="12" t="s">
        <v>542</v>
      </c>
      <c r="K18" s="12" t="s">
        <v>543</v>
      </c>
    </row>
    <row r="19" spans="1:11" ht="42" customHeight="1" x14ac:dyDescent="0.25">
      <c r="A19" s="13" t="s">
        <v>544</v>
      </c>
      <c r="B19" s="3" t="s">
        <v>545</v>
      </c>
      <c r="C19" s="71" t="s">
        <v>546</v>
      </c>
      <c r="D19" s="25">
        <f>Model!$C$94</f>
        <v>6.3377678465387444</v>
      </c>
      <c r="E19" s="25">
        <v>0</v>
      </c>
      <c r="F19" s="12" t="s">
        <v>547</v>
      </c>
      <c r="G19" s="25">
        <v>8</v>
      </c>
      <c r="H19" s="25">
        <f>D19-E19</f>
        <v>6.3377678465387444</v>
      </c>
      <c r="I19" s="13" t="str">
        <f>IF(ABS(H19)&lt;=G19,"🟢 PASS",IF(ABS(H19)&lt;=G19*1.6,"🟡 WATCH","🔴 FAIL"))</f>
        <v>🟢 PASS</v>
      </c>
      <c r="J19" s="12" t="s">
        <v>548</v>
      </c>
      <c r="K19" s="12" t="s">
        <v>549</v>
      </c>
    </row>
    <row r="21" spans="1:11" x14ac:dyDescent="0.25">
      <c r="B21" s="13" t="s">
        <v>550</v>
      </c>
      <c r="C21" s="13" t="str">
        <f>COUNTIF($I$5:$I$19,"*PASS*")&amp;" pass · "&amp;COUNTIF($I$5:$I$19,"*WATCH*")&amp;" watch · "&amp;COUNTIF($I$5:$I$19,"*FAIL*")&amp;" fail"</f>
        <v>12 pass · 2 watch · 0 fail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"/>
  <sheetViews>
    <sheetView workbookViewId="0"/>
  </sheetViews>
  <sheetFormatPr defaultRowHeight="15" x14ac:dyDescent="0.25"/>
  <cols>
    <col min="1" max="1" width="30" customWidth="1"/>
    <col min="2" max="2" width="50" customWidth="1"/>
    <col min="3" max="8" width="11" customWidth="1"/>
  </cols>
  <sheetData>
    <row r="1" spans="1:8" ht="18.75" x14ac:dyDescent="0.3">
      <c r="A1" s="1" t="s">
        <v>551</v>
      </c>
    </row>
    <row r="2" spans="1:8" x14ac:dyDescent="0.25">
      <c r="A2" s="2" t="s">
        <v>552</v>
      </c>
    </row>
    <row r="4" spans="1:8" x14ac:dyDescent="0.25">
      <c r="A4" s="9" t="s">
        <v>240</v>
      </c>
      <c r="B4" s="9" t="s">
        <v>553</v>
      </c>
      <c r="C4" s="9" t="s">
        <v>554</v>
      </c>
      <c r="D4" s="9" t="s">
        <v>77</v>
      </c>
      <c r="E4" s="9" t="s">
        <v>78</v>
      </c>
      <c r="F4" s="9" t="s">
        <v>555</v>
      </c>
      <c r="G4" s="9" t="s">
        <v>77</v>
      </c>
      <c r="H4" s="9" t="s">
        <v>78</v>
      </c>
    </row>
    <row r="5" spans="1:8" x14ac:dyDescent="0.25">
      <c r="A5" s="71" t="s">
        <v>479</v>
      </c>
      <c r="B5" s="3" t="s">
        <v>556</v>
      </c>
      <c r="C5" s="65">
        <v>12.2</v>
      </c>
      <c r="D5" s="65">
        <v>37</v>
      </c>
      <c r="E5" s="65">
        <v>66.7</v>
      </c>
      <c r="F5" s="22">
        <f>Model!D52</f>
        <v>17.879660000000001</v>
      </c>
      <c r="G5" s="22">
        <f>Model!E52</f>
        <v>33.56880066718783</v>
      </c>
      <c r="H5" s="22">
        <f>Model!F52</f>
        <v>53.714919681905982</v>
      </c>
    </row>
    <row r="6" spans="1:8" x14ac:dyDescent="0.25">
      <c r="A6" s="71" t="s">
        <v>479</v>
      </c>
      <c r="B6" s="3" t="s">
        <v>557</v>
      </c>
      <c r="C6" s="65">
        <v>19.7</v>
      </c>
      <c r="D6" s="65">
        <v>70.8</v>
      </c>
      <c r="E6" s="65">
        <v>160.69999999999999</v>
      </c>
      <c r="F6" s="22">
        <f>Model!D46</f>
        <v>20.350000000000001</v>
      </c>
      <c r="G6" s="22">
        <f>Model!E46</f>
        <v>53.850396964277515</v>
      </c>
      <c r="H6" s="22">
        <f>Model!F46</f>
        <v>101.2121222527104</v>
      </c>
    </row>
    <row r="7" spans="1:8" x14ac:dyDescent="0.25">
      <c r="A7" s="71" t="s">
        <v>479</v>
      </c>
      <c r="B7" s="3" t="s">
        <v>558</v>
      </c>
      <c r="C7" s="53">
        <v>0.11899999999999999</v>
      </c>
      <c r="D7" s="53">
        <v>0.245</v>
      </c>
      <c r="E7" s="53">
        <v>0.30399999999999999</v>
      </c>
      <c r="F7" s="24">
        <f>Model!D65</f>
        <v>0.17539739841864663</v>
      </c>
      <c r="G7" s="24">
        <f>Model!E65</f>
        <v>0.23207093378983315</v>
      </c>
      <c r="H7" s="24">
        <f>Model!F65</f>
        <v>0.27219665929119319</v>
      </c>
    </row>
    <row r="8" spans="1:8" x14ac:dyDescent="0.25">
      <c r="A8" s="71" t="s">
        <v>479</v>
      </c>
      <c r="B8" s="3" t="s">
        <v>87</v>
      </c>
      <c r="D8" s="53">
        <v>0.48</v>
      </c>
      <c r="E8" s="53">
        <v>0.45500000000000002</v>
      </c>
      <c r="F8" s="24">
        <f>Model!D58</f>
        <v>0.40391130698250932</v>
      </c>
      <c r="G8" s="24">
        <f>Model!E58</f>
        <v>0.41898879770098807</v>
      </c>
      <c r="H8" s="24">
        <f>Model!F58</f>
        <v>0.364259744358431</v>
      </c>
    </row>
    <row r="9" spans="1:8" x14ac:dyDescent="0.25">
      <c r="A9" s="71" t="s">
        <v>479</v>
      </c>
      <c r="B9" s="3" t="s">
        <v>559</v>
      </c>
      <c r="D9" s="72">
        <v>24.4</v>
      </c>
      <c r="F9" s="26">
        <f>Model!D61</f>
        <v>17.570626699506441</v>
      </c>
      <c r="G9" s="26">
        <f>Model!E61</f>
        <v>15.390865690113431</v>
      </c>
      <c r="H9" s="26">
        <f>Model!F61</f>
        <v>13.927601102998901</v>
      </c>
    </row>
    <row r="11" spans="1:8" ht="48" customHeight="1" x14ac:dyDescent="0.25">
      <c r="A11" s="13" t="s">
        <v>560</v>
      </c>
      <c r="B11" s="75" t="str">
        <f>"FUNDA's FY26 OpenAI compute in Azure is "&amp;TEXT(C5/F5-1,"0%")&amp;" vs this model (pinned to the 10-K). Starting from a smaller base, FUNDA's FY27 compute contribution ("&amp;TEXT(D9,"0.0")&amp;" pts) is HIGHER than this model's ("&amp;TEXT(G9,"0.0")&amp;" pts): FUNDA understates OpenAI's level in Azure and overstates its FY27 growth contribution."</f>
        <v>FUNDA's FY26 OpenAI compute in Azure is -32% vs this model (pinned to the 10-K). Starting from a smaller base, FUNDA's FY27 compute contribution (24 pts) is HIGHER than this model's (15 pts): FUNDA understates OpenAI's level in Azure and overstates its FY27 growth contribution.</v>
      </c>
      <c r="C11" s="76"/>
      <c r="D11" s="76"/>
      <c r="E11" s="76"/>
      <c r="F11" s="76"/>
      <c r="G11" s="76"/>
      <c r="H11" s="76"/>
    </row>
    <row r="13" spans="1:8" x14ac:dyDescent="0.25">
      <c r="A13" s="9" t="s">
        <v>240</v>
      </c>
      <c r="B13" s="9" t="s">
        <v>561</v>
      </c>
      <c r="C13" s="9"/>
      <c r="D13" s="9"/>
      <c r="E13" s="9"/>
      <c r="F13" s="9" t="s">
        <v>562</v>
      </c>
      <c r="G13" s="9"/>
      <c r="H13" s="9"/>
    </row>
    <row r="14" spans="1:8" ht="39.950000000000003" customHeight="1" x14ac:dyDescent="0.25">
      <c r="A14" s="12" t="s">
        <v>563</v>
      </c>
      <c r="B14" s="75" t="s">
        <v>564</v>
      </c>
      <c r="C14" s="76"/>
      <c r="D14" s="76"/>
      <c r="E14" s="76"/>
      <c r="F14" s="79" t="s">
        <v>565</v>
      </c>
      <c r="G14" s="76"/>
      <c r="H14" s="76"/>
    </row>
    <row r="15" spans="1:8" ht="39.950000000000003" customHeight="1" x14ac:dyDescent="0.25">
      <c r="A15" s="12" t="s">
        <v>566</v>
      </c>
      <c r="B15" s="75" t="s">
        <v>567</v>
      </c>
      <c r="C15" s="76"/>
      <c r="D15" s="76"/>
      <c r="E15" s="76"/>
      <c r="F15" s="79" t="s">
        <v>568</v>
      </c>
      <c r="G15" s="76"/>
      <c r="H15" s="76"/>
    </row>
    <row r="16" spans="1:8" ht="39.950000000000003" customHeight="1" x14ac:dyDescent="0.25">
      <c r="A16" s="12" t="s">
        <v>569</v>
      </c>
      <c r="B16" s="75" t="s">
        <v>570</v>
      </c>
      <c r="C16" s="76"/>
      <c r="D16" s="76"/>
      <c r="E16" s="76"/>
      <c r="F16" s="79" t="s">
        <v>571</v>
      </c>
      <c r="G16" s="76"/>
      <c r="H16" s="76"/>
    </row>
    <row r="17" spans="1:8" ht="39.950000000000003" customHeight="1" x14ac:dyDescent="0.25">
      <c r="A17" s="12" t="s">
        <v>572</v>
      </c>
      <c r="B17" s="75" t="s">
        <v>573</v>
      </c>
      <c r="C17" s="76"/>
      <c r="D17" s="76"/>
      <c r="E17" s="76"/>
      <c r="F17" s="79" t="s">
        <v>574</v>
      </c>
      <c r="G17" s="76"/>
      <c r="H17" s="76"/>
    </row>
    <row r="18" spans="1:8" ht="39.950000000000003" customHeight="1" x14ac:dyDescent="0.25">
      <c r="A18" s="12" t="s">
        <v>575</v>
      </c>
      <c r="B18" s="75" t="s">
        <v>576</v>
      </c>
      <c r="C18" s="76"/>
      <c r="D18" s="76"/>
      <c r="E18" s="76"/>
      <c r="F18" s="79" t="s">
        <v>577</v>
      </c>
      <c r="G18" s="76"/>
      <c r="H18" s="76"/>
    </row>
    <row r="19" spans="1:8" ht="39.950000000000003" customHeight="1" x14ac:dyDescent="0.25">
      <c r="A19" s="12" t="s">
        <v>578</v>
      </c>
      <c r="B19" s="75" t="s">
        <v>579</v>
      </c>
      <c r="C19" s="76"/>
      <c r="D19" s="76"/>
      <c r="E19" s="76"/>
      <c r="F19" s="79" t="s">
        <v>580</v>
      </c>
      <c r="G19" s="76"/>
      <c r="H19" s="76"/>
    </row>
  </sheetData>
  <mergeCells count="13">
    <mergeCell ref="B11:H11"/>
    <mergeCell ref="F15:H15"/>
    <mergeCell ref="B14:E14"/>
    <mergeCell ref="F16:H16"/>
    <mergeCell ref="B17:E17"/>
    <mergeCell ref="B18:E18"/>
    <mergeCell ref="F19:H19"/>
    <mergeCell ref="F14:H14"/>
    <mergeCell ref="F18:H18"/>
    <mergeCell ref="B16:E16"/>
    <mergeCell ref="B15:E15"/>
    <mergeCell ref="F17:H17"/>
    <mergeCell ref="B19:E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0"/>
  <sheetViews>
    <sheetView workbookViewId="0"/>
  </sheetViews>
  <sheetFormatPr defaultRowHeight="15" x14ac:dyDescent="0.25"/>
  <cols>
    <col min="1" max="1" width="6" customWidth="1"/>
    <col min="2" max="2" width="46" customWidth="1"/>
    <col min="3" max="3" width="64" customWidth="1"/>
    <col min="4" max="4" width="16" customWidth="1"/>
    <col min="5" max="5" width="48" customWidth="1"/>
    <col min="6" max="6" width="24" customWidth="1"/>
  </cols>
  <sheetData>
    <row r="1" spans="1:6" ht="18.75" x14ac:dyDescent="0.3">
      <c r="A1" s="1" t="s">
        <v>581</v>
      </c>
    </row>
    <row r="2" spans="1:6" x14ac:dyDescent="0.25">
      <c r="A2" s="2" t="s">
        <v>582</v>
      </c>
    </row>
    <row r="4" spans="1:6" x14ac:dyDescent="0.25">
      <c r="A4" s="9" t="s">
        <v>237</v>
      </c>
      <c r="B4" s="9" t="s">
        <v>583</v>
      </c>
      <c r="C4" s="9" t="s">
        <v>584</v>
      </c>
      <c r="D4" s="9" t="s">
        <v>36</v>
      </c>
      <c r="E4" s="9" t="s">
        <v>585</v>
      </c>
      <c r="F4" s="9" t="s">
        <v>586</v>
      </c>
    </row>
    <row r="5" spans="1:6" ht="51.95" customHeight="1" x14ac:dyDescent="0.25">
      <c r="A5" s="68" t="s">
        <v>245</v>
      </c>
      <c r="B5" s="3" t="s">
        <v>587</v>
      </c>
      <c r="C5" s="3" t="s">
        <v>588</v>
      </c>
      <c r="D5" s="73" t="s">
        <v>589</v>
      </c>
      <c r="E5" s="12" t="s">
        <v>590</v>
      </c>
      <c r="F5" s="3" t="s">
        <v>591</v>
      </c>
    </row>
    <row r="6" spans="1:6" ht="51.95" customHeight="1" x14ac:dyDescent="0.25">
      <c r="A6" s="68" t="s">
        <v>252</v>
      </c>
      <c r="B6" s="3" t="s">
        <v>592</v>
      </c>
      <c r="C6" s="3" t="s">
        <v>593</v>
      </c>
      <c r="D6" s="73" t="s">
        <v>27</v>
      </c>
      <c r="E6" s="12" t="s">
        <v>594</v>
      </c>
      <c r="F6" s="3" t="s">
        <v>595</v>
      </c>
    </row>
    <row r="7" spans="1:6" ht="51.95" customHeight="1" x14ac:dyDescent="0.25">
      <c r="A7" s="68" t="s">
        <v>274</v>
      </c>
      <c r="B7" s="3" t="s">
        <v>596</v>
      </c>
      <c r="C7" s="3" t="s">
        <v>597</v>
      </c>
      <c r="D7" s="73" t="s">
        <v>27</v>
      </c>
      <c r="E7" s="12" t="s">
        <v>598</v>
      </c>
      <c r="F7" s="3" t="s">
        <v>520</v>
      </c>
    </row>
    <row r="8" spans="1:6" ht="51.95" customHeight="1" x14ac:dyDescent="0.25">
      <c r="A8" s="68" t="s">
        <v>285</v>
      </c>
      <c r="B8" s="3" t="s">
        <v>599</v>
      </c>
      <c r="C8" s="3" t="s">
        <v>600</v>
      </c>
      <c r="D8" s="73" t="s">
        <v>27</v>
      </c>
      <c r="E8" s="12" t="s">
        <v>601</v>
      </c>
      <c r="F8" s="3" t="s">
        <v>602</v>
      </c>
    </row>
    <row r="9" spans="1:6" ht="51.95" customHeight="1" x14ac:dyDescent="0.25">
      <c r="A9" s="68" t="s">
        <v>281</v>
      </c>
      <c r="B9" s="3" t="s">
        <v>603</v>
      </c>
      <c r="C9" s="3" t="s">
        <v>604</v>
      </c>
      <c r="D9" s="73" t="s">
        <v>27</v>
      </c>
      <c r="E9" s="12" t="s">
        <v>605</v>
      </c>
      <c r="F9" s="3" t="s">
        <v>606</v>
      </c>
    </row>
    <row r="10" spans="1:6" ht="51.95" customHeight="1" x14ac:dyDescent="0.25">
      <c r="A10" s="68" t="s">
        <v>607</v>
      </c>
      <c r="B10" s="3" t="s">
        <v>608</v>
      </c>
      <c r="C10" s="3" t="s">
        <v>609</v>
      </c>
      <c r="D10" s="74" t="s">
        <v>610</v>
      </c>
      <c r="E10" s="12" t="s">
        <v>611</v>
      </c>
      <c r="F10" s="3" t="s">
        <v>612</v>
      </c>
    </row>
    <row r="11" spans="1:6" ht="51.95" customHeight="1" x14ac:dyDescent="0.25">
      <c r="A11" s="68" t="s">
        <v>613</v>
      </c>
      <c r="B11" s="3" t="s">
        <v>614</v>
      </c>
      <c r="C11" s="3" t="s">
        <v>615</v>
      </c>
      <c r="D11" s="73" t="s">
        <v>616</v>
      </c>
      <c r="E11" s="12" t="s">
        <v>617</v>
      </c>
      <c r="F11" s="3" t="s">
        <v>618</v>
      </c>
    </row>
    <row r="12" spans="1:6" ht="51.95" customHeight="1" x14ac:dyDescent="0.25">
      <c r="A12" s="68" t="s">
        <v>316</v>
      </c>
      <c r="B12" s="3" t="s">
        <v>619</v>
      </c>
      <c r="C12" s="3" t="s">
        <v>620</v>
      </c>
      <c r="D12" s="74" t="s">
        <v>621</v>
      </c>
      <c r="E12" s="12" t="s">
        <v>622</v>
      </c>
      <c r="F12" s="3" t="s">
        <v>623</v>
      </c>
    </row>
    <row r="13" spans="1:6" ht="51.95" customHeight="1" x14ac:dyDescent="0.25">
      <c r="A13" s="68" t="s">
        <v>308</v>
      </c>
      <c r="B13" s="3" t="s">
        <v>624</v>
      </c>
      <c r="C13" s="3" t="s">
        <v>625</v>
      </c>
      <c r="D13" s="74" t="s">
        <v>28</v>
      </c>
      <c r="E13" s="12" t="s">
        <v>626</v>
      </c>
      <c r="F13" s="3" t="s">
        <v>627</v>
      </c>
    </row>
    <row r="14" spans="1:6" ht="51.95" customHeight="1" x14ac:dyDescent="0.25">
      <c r="A14" s="68" t="s">
        <v>312</v>
      </c>
      <c r="B14" s="3" t="s">
        <v>628</v>
      </c>
      <c r="C14" s="3" t="s">
        <v>629</v>
      </c>
      <c r="D14" s="74" t="s">
        <v>28</v>
      </c>
      <c r="E14" s="12" t="s">
        <v>630</v>
      </c>
      <c r="F14" s="3" t="s">
        <v>631</v>
      </c>
    </row>
    <row r="15" spans="1:6" ht="51.95" customHeight="1" x14ac:dyDescent="0.25">
      <c r="A15" s="68" t="s">
        <v>375</v>
      </c>
      <c r="B15" s="3" t="s">
        <v>632</v>
      </c>
      <c r="C15" s="3" t="s">
        <v>633</v>
      </c>
      <c r="D15" s="74" t="s">
        <v>28</v>
      </c>
      <c r="E15" s="12" t="s">
        <v>634</v>
      </c>
      <c r="F15" s="3" t="s">
        <v>635</v>
      </c>
    </row>
    <row r="16" spans="1:6" ht="51.95" customHeight="1" x14ac:dyDescent="0.25">
      <c r="A16" s="68" t="s">
        <v>379</v>
      </c>
      <c r="B16" s="3" t="s">
        <v>636</v>
      </c>
      <c r="C16" s="3" t="s">
        <v>637</v>
      </c>
      <c r="D16" s="74" t="s">
        <v>28</v>
      </c>
      <c r="E16" s="12" t="s">
        <v>638</v>
      </c>
      <c r="F16" s="3" t="s">
        <v>639</v>
      </c>
    </row>
    <row r="17" spans="1:6" ht="51.95" customHeight="1" x14ac:dyDescent="0.25">
      <c r="A17" s="68" t="s">
        <v>323</v>
      </c>
      <c r="B17" s="3" t="s">
        <v>640</v>
      </c>
      <c r="C17" s="3" t="s">
        <v>641</v>
      </c>
      <c r="D17" s="74" t="s">
        <v>642</v>
      </c>
      <c r="E17" s="12" t="s">
        <v>643</v>
      </c>
      <c r="F17" s="3" t="s">
        <v>644</v>
      </c>
    </row>
    <row r="18" spans="1:6" ht="51.95" customHeight="1" x14ac:dyDescent="0.25">
      <c r="A18" s="68" t="s">
        <v>332</v>
      </c>
      <c r="B18" s="3" t="s">
        <v>645</v>
      </c>
      <c r="C18" s="3" t="s">
        <v>646</v>
      </c>
      <c r="D18" s="74" t="s">
        <v>28</v>
      </c>
      <c r="E18" s="12" t="s">
        <v>638</v>
      </c>
      <c r="F18" s="3" t="s">
        <v>647</v>
      </c>
    </row>
    <row r="19" spans="1:6" ht="51.95" customHeight="1" x14ac:dyDescent="0.25">
      <c r="A19" s="68" t="s">
        <v>336</v>
      </c>
      <c r="B19" s="3" t="s">
        <v>648</v>
      </c>
      <c r="C19" s="3" t="s">
        <v>649</v>
      </c>
      <c r="D19" s="74" t="s">
        <v>28</v>
      </c>
      <c r="E19" s="12" t="s">
        <v>650</v>
      </c>
      <c r="F19" s="3" t="s">
        <v>651</v>
      </c>
    </row>
    <row r="20" spans="1:6" ht="51.95" customHeight="1" x14ac:dyDescent="0.25">
      <c r="A20" s="68" t="s">
        <v>348</v>
      </c>
      <c r="B20" s="3" t="s">
        <v>652</v>
      </c>
      <c r="C20" s="3" t="s">
        <v>653</v>
      </c>
      <c r="D20" s="74" t="s">
        <v>28</v>
      </c>
      <c r="E20" s="12" t="s">
        <v>654</v>
      </c>
      <c r="F20" s="3" t="s">
        <v>655</v>
      </c>
    </row>
    <row r="21" spans="1:6" ht="51.95" customHeight="1" x14ac:dyDescent="0.25">
      <c r="A21" s="68" t="s">
        <v>356</v>
      </c>
      <c r="B21" s="3" t="s">
        <v>656</v>
      </c>
      <c r="C21" s="3" t="s">
        <v>657</v>
      </c>
      <c r="D21" s="74" t="s">
        <v>28</v>
      </c>
      <c r="E21" s="12" t="s">
        <v>658</v>
      </c>
      <c r="F21" s="3" t="s">
        <v>659</v>
      </c>
    </row>
    <row r="22" spans="1:6" ht="51.95" customHeight="1" x14ac:dyDescent="0.25">
      <c r="A22" s="68" t="s">
        <v>660</v>
      </c>
      <c r="B22" s="3" t="s">
        <v>661</v>
      </c>
      <c r="C22" s="3" t="s">
        <v>564</v>
      </c>
      <c r="D22" s="74" t="s">
        <v>28</v>
      </c>
      <c r="E22" s="12" t="s">
        <v>662</v>
      </c>
      <c r="F22" s="3" t="s">
        <v>663</v>
      </c>
    </row>
    <row r="23" spans="1:6" ht="51.95" customHeight="1" x14ac:dyDescent="0.25">
      <c r="A23" s="68" t="s">
        <v>664</v>
      </c>
      <c r="B23" s="3" t="s">
        <v>665</v>
      </c>
      <c r="C23" s="3" t="s">
        <v>570</v>
      </c>
      <c r="D23" s="74" t="s">
        <v>28</v>
      </c>
      <c r="E23" s="12" t="s">
        <v>666</v>
      </c>
      <c r="F23" s="3" t="s">
        <v>667</v>
      </c>
    </row>
    <row r="24" spans="1:6" ht="51.95" customHeight="1" x14ac:dyDescent="0.25">
      <c r="A24" s="68" t="s">
        <v>301</v>
      </c>
      <c r="B24" s="3" t="s">
        <v>668</v>
      </c>
      <c r="C24" s="3" t="s">
        <v>669</v>
      </c>
      <c r="D24" s="73" t="s">
        <v>27</v>
      </c>
      <c r="E24" s="12" t="s">
        <v>670</v>
      </c>
      <c r="F24" s="3" t="s">
        <v>671</v>
      </c>
    </row>
    <row r="25" spans="1:6" ht="51.95" customHeight="1" x14ac:dyDescent="0.25">
      <c r="A25" s="68" t="s">
        <v>672</v>
      </c>
      <c r="B25" s="3" t="s">
        <v>673</v>
      </c>
      <c r="C25" s="3" t="s">
        <v>674</v>
      </c>
      <c r="D25" s="73" t="s">
        <v>27</v>
      </c>
      <c r="E25" s="12" t="s">
        <v>675</v>
      </c>
      <c r="F25" s="3" t="s">
        <v>676</v>
      </c>
    </row>
    <row r="26" spans="1:6" ht="51.95" customHeight="1" x14ac:dyDescent="0.25">
      <c r="A26" s="68" t="s">
        <v>677</v>
      </c>
      <c r="B26" s="3" t="s">
        <v>678</v>
      </c>
      <c r="C26" s="3" t="s">
        <v>679</v>
      </c>
      <c r="D26" s="74" t="s">
        <v>680</v>
      </c>
      <c r="E26" s="12" t="s">
        <v>681</v>
      </c>
      <c r="F26" s="3" t="s">
        <v>682</v>
      </c>
    </row>
    <row r="27" spans="1:6" ht="51.95" customHeight="1" x14ac:dyDescent="0.25">
      <c r="A27" s="68" t="s">
        <v>683</v>
      </c>
      <c r="B27" s="3" t="s">
        <v>684</v>
      </c>
      <c r="C27" s="3" t="s">
        <v>685</v>
      </c>
      <c r="D27" s="74" t="s">
        <v>686</v>
      </c>
      <c r="E27" s="12" t="s">
        <v>687</v>
      </c>
      <c r="F27" s="3" t="s">
        <v>688</v>
      </c>
    </row>
    <row r="28" spans="1:6" ht="51.95" customHeight="1" x14ac:dyDescent="0.25">
      <c r="A28" s="68" t="s">
        <v>297</v>
      </c>
      <c r="B28" s="3" t="s">
        <v>689</v>
      </c>
      <c r="C28" s="3" t="s">
        <v>690</v>
      </c>
      <c r="D28" s="73" t="s">
        <v>27</v>
      </c>
      <c r="E28" s="12" t="s">
        <v>691</v>
      </c>
      <c r="F28" s="3" t="s">
        <v>692</v>
      </c>
    </row>
    <row r="29" spans="1:6" ht="51.95" customHeight="1" x14ac:dyDescent="0.25">
      <c r="A29" s="68" t="s">
        <v>352</v>
      </c>
      <c r="B29" s="3" t="s">
        <v>693</v>
      </c>
      <c r="C29" s="3" t="s">
        <v>694</v>
      </c>
      <c r="D29" s="74" t="s">
        <v>28</v>
      </c>
      <c r="E29" s="12" t="s">
        <v>695</v>
      </c>
      <c r="F29" s="3" t="s">
        <v>696</v>
      </c>
    </row>
    <row r="30" spans="1:6" ht="51.95" customHeight="1" x14ac:dyDescent="0.25">
      <c r="A30" s="68" t="s">
        <v>697</v>
      </c>
      <c r="B30" s="3" t="s">
        <v>698</v>
      </c>
      <c r="C30" s="3" t="s">
        <v>699</v>
      </c>
      <c r="D30" s="73" t="s">
        <v>27</v>
      </c>
      <c r="E30" s="12" t="s">
        <v>670</v>
      </c>
      <c r="F30" s="3" t="s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Dashboard</vt:lpstr>
      <vt:lpstr>Model</vt:lpstr>
      <vt:lpstr>Inputs</vt:lpstr>
      <vt:lpstr>Calibration</vt:lpstr>
      <vt:lpstr>Guardrails</vt:lpstr>
      <vt:lpstr>Comparators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Monteiro</cp:lastModifiedBy>
  <dcterms:created xsi:type="dcterms:W3CDTF">2026-10-26T20:57:14Z</dcterms:created>
  <dcterms:modified xsi:type="dcterms:W3CDTF">2026-10-26T20:57:19Z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