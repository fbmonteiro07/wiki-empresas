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elipe.monteiro\AppData\Local\Temp\claude\E--Wiki-Felipe-empresas\a6267634-b1ad-49c3-a774-f2abc8bbaa84\scratchpad\work\"/>
    </mc:Choice>
  </mc:AlternateContent>
  <xr:revisionPtr revIDLastSave="0" documentId="13_ncr:1_{821AC925-67BB-4A16-9689-785E7BFC7B7D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ADME" sheetId="1" r:id="rId1"/>
    <sheet name="Summary" sheetId="2" r:id="rId2"/>
    <sheet name="DRAM_CPU_Link" sheetId="3" r:id="rId3"/>
    <sheet name="Cross_Check" sheetId="4" r:id="rId4"/>
    <sheet name="Report_Tieouts" sheetId="5" r:id="rId5"/>
    <sheet name="Fig01_Workloads" sheetId="6" r:id="rId6"/>
    <sheet name="Fig02_03_Muse" sheetId="7" r:id="rId7"/>
    <sheet name="Fig04_Unconstrained" sheetId="8" r:id="rId8"/>
    <sheet name="Fig05_DRAM_per_CPU" sheetId="9" r:id="rId9"/>
    <sheet name="Fig06_07_DRAM_Supply" sheetId="10" r:id="rId10"/>
    <sheet name="Fig08_09_DRAM_Demand" sheetId="11" r:id="rId11"/>
    <sheet name="Fig10_12_TAM" sheetId="12" r:id="rId12"/>
    <sheet name="Fig15_18_Power" sheetId="13" r:id="rId13"/>
    <sheet name="Fig19_21_Share" sheetId="14" r:id="rId14"/>
    <sheet name="Fig23_Server_Roadmap" sheetId="15" r:id="rId15"/>
    <sheet name="Fig24_CPU_Specs" sheetId="16" r:id="rId16"/>
    <sheet name="Fig25_CPU_Units_digitized" sheetId="17" r:id="rId17"/>
    <sheet name="Fig26_Unit_Share_digitized" sheetId="18" r:id="rId18"/>
    <sheet name="Fig27_x86_RevShare_digitized" sheetId="19" r:id="rId19"/>
    <sheet name="Fig28_INTC_Product_Mix" sheetId="20" r:id="rId20"/>
    <sheet name="Fig29_AMD_Product_Mix" sheetId="21" r:id="rId21"/>
    <sheet name="Fig30_INTC_Node_Mix" sheetId="22" r:id="rId22"/>
    <sheet name="Fig31_AMD_Node_Mix" sheetId="23" r:id="rId23"/>
    <sheet name="Fig32_AMD_Model" sheetId="24" r:id="rId24"/>
    <sheet name="Fig33_INTC_Model" sheetId="25" r:id="rId25"/>
    <sheet name="Fig34_ARM_Model" sheetId="26" r:id="rId26"/>
    <sheet name="Fig35_INTC_New_vs_Old" sheetId="27" r:id="rId27"/>
    <sheet name="Fig36_UBSe_vs_Street" sheetId="28" r:id="rId28"/>
    <sheet name="Fig37_INTC_SOTP_New" sheetId="29" r:id="rId29"/>
    <sheet name="Fig38_INTC_SOTP_Old" sheetId="30" r:id="rId30"/>
    <sheet name="Fig39_INTC_Foundry_Comps" sheetId="31" r:id="rId31"/>
    <sheet name="Fig28_31_Provenance" sheetId="32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4" l="1"/>
  <c r="E19" i="14"/>
  <c r="E18" i="14"/>
  <c r="B14" i="14"/>
  <c r="B13" i="14"/>
  <c r="D12" i="14"/>
  <c r="D11" i="14"/>
  <c r="D10" i="14"/>
  <c r="D9" i="14"/>
  <c r="D8" i="14"/>
  <c r="D20" i="14" s="1"/>
  <c r="D7" i="14"/>
  <c r="D18" i="14" s="1"/>
  <c r="D6" i="14"/>
  <c r="D19" i="14" s="1"/>
  <c r="D37" i="13"/>
  <c r="C37" i="13"/>
  <c r="B37" i="13"/>
  <c r="D36" i="13"/>
  <c r="C36" i="13"/>
  <c r="B36" i="13"/>
  <c r="D29" i="13"/>
  <c r="E87" i="5" s="1"/>
  <c r="G87" i="5" s="1"/>
  <c r="C29" i="13"/>
  <c r="E84" i="5" s="1"/>
  <c r="G84" i="5" s="1"/>
  <c r="B29" i="13"/>
  <c r="E81" i="5" s="1"/>
  <c r="G81" i="5" s="1"/>
  <c r="D28" i="13"/>
  <c r="E86" i="5" s="1"/>
  <c r="G86" i="5" s="1"/>
  <c r="C28" i="13"/>
  <c r="E83" i="5" s="1"/>
  <c r="G83" i="5" s="1"/>
  <c r="B28" i="13"/>
  <c r="E80" i="5" s="1"/>
  <c r="G80" i="5" s="1"/>
  <c r="E10" i="13"/>
  <c r="D10" i="13"/>
  <c r="D45" i="12"/>
  <c r="C45" i="12"/>
  <c r="B45" i="12"/>
  <c r="D44" i="12"/>
  <c r="C44" i="12"/>
  <c r="B44" i="12"/>
  <c r="D43" i="12"/>
  <c r="D46" i="12" s="1"/>
  <c r="E69" i="5" s="1"/>
  <c r="G69" i="5" s="1"/>
  <c r="C43" i="12"/>
  <c r="C46" i="12" s="1"/>
  <c r="E68" i="5" s="1"/>
  <c r="G68" i="5" s="1"/>
  <c r="B43" i="12"/>
  <c r="B46" i="12" s="1"/>
  <c r="E67" i="5" s="1"/>
  <c r="G67" i="5" s="1"/>
  <c r="I15" i="11"/>
  <c r="G15" i="11"/>
  <c r="E15" i="11"/>
  <c r="C15" i="11"/>
  <c r="I14" i="11"/>
  <c r="G14" i="11"/>
  <c r="E30" i="5" s="1"/>
  <c r="E14" i="11"/>
  <c r="C14" i="11"/>
  <c r="I13" i="11"/>
  <c r="G13" i="11"/>
  <c r="E29" i="5" s="1"/>
  <c r="E13" i="11"/>
  <c r="C13" i="11"/>
  <c r="I12" i="11"/>
  <c r="G12" i="11"/>
  <c r="E28" i="5" s="1"/>
  <c r="E12" i="11"/>
  <c r="C12" i="11"/>
  <c r="I10" i="11"/>
  <c r="E21" i="5" s="1"/>
  <c r="G21" i="5" s="1"/>
  <c r="H10" i="11"/>
  <c r="E25" i="5" s="1"/>
  <c r="G25" i="5" s="1"/>
  <c r="G10" i="11"/>
  <c r="E20" i="5" s="1"/>
  <c r="G20" i="5" s="1"/>
  <c r="F10" i="11"/>
  <c r="E24" i="5" s="1"/>
  <c r="G24" i="5" s="1"/>
  <c r="E10" i="11"/>
  <c r="E19" i="5" s="1"/>
  <c r="G19" i="5" s="1"/>
  <c r="D10" i="11"/>
  <c r="E23" i="5" s="1"/>
  <c r="G23" i="5" s="1"/>
  <c r="C10" i="11"/>
  <c r="E18" i="5" s="1"/>
  <c r="G18" i="5" s="1"/>
  <c r="B10" i="11"/>
  <c r="E22" i="5" s="1"/>
  <c r="G22" i="5" s="1"/>
  <c r="D25" i="10"/>
  <c r="C25" i="10"/>
  <c r="D24" i="10"/>
  <c r="C24" i="10"/>
  <c r="B24" i="10"/>
  <c r="D23" i="10"/>
  <c r="E12" i="5" s="1"/>
  <c r="C23" i="10"/>
  <c r="B23" i="10"/>
  <c r="D22" i="10"/>
  <c r="E11" i="5" s="1"/>
  <c r="C22" i="10"/>
  <c r="E10" i="5" s="1"/>
  <c r="B22" i="10"/>
  <c r="E9" i="5" s="1"/>
  <c r="D11" i="10"/>
  <c r="E8" i="5" s="1"/>
  <c r="C11" i="10"/>
  <c r="E7" i="5" s="1"/>
  <c r="B11" i="10"/>
  <c r="E6" i="5" s="1"/>
  <c r="N8" i="9"/>
  <c r="M8" i="9"/>
  <c r="L8" i="9"/>
  <c r="N7" i="9"/>
  <c r="D30" i="5" s="1"/>
  <c r="M7" i="9"/>
  <c r="L7" i="9"/>
  <c r="N6" i="9"/>
  <c r="D29" i="5" s="1"/>
  <c r="M6" i="9"/>
  <c r="L6" i="9"/>
  <c r="N5" i="9"/>
  <c r="C132" i="3" s="1"/>
  <c r="M5" i="9"/>
  <c r="L5" i="9"/>
  <c r="E34" i="7"/>
  <c r="E35" i="7" s="1"/>
  <c r="E37" i="7" s="1"/>
  <c r="D34" i="7"/>
  <c r="D35" i="7" s="1"/>
  <c r="D37" i="7" s="1"/>
  <c r="E32" i="7"/>
  <c r="D32" i="7"/>
  <c r="E30" i="7"/>
  <c r="D30" i="7"/>
  <c r="G24" i="7"/>
  <c r="F24" i="7"/>
  <c r="G23" i="7"/>
  <c r="F23" i="7"/>
  <c r="G22" i="7"/>
  <c r="F22" i="7"/>
  <c r="G21" i="7"/>
  <c r="F21" i="7"/>
  <c r="C13" i="7"/>
  <c r="C14" i="7" s="1"/>
  <c r="C15" i="7" s="1"/>
  <c r="C16" i="7" s="1"/>
  <c r="B13" i="7"/>
  <c r="B14" i="7" s="1"/>
  <c r="B15" i="7" s="1"/>
  <c r="B16" i="7" s="1"/>
  <c r="G12" i="6"/>
  <c r="H12" i="6" s="1"/>
  <c r="F12" i="6"/>
  <c r="H11" i="6"/>
  <c r="F11" i="6"/>
  <c r="I8" i="6"/>
  <c r="I7" i="6"/>
  <c r="I6" i="6"/>
  <c r="D95" i="5"/>
  <c r="D94" i="5"/>
  <c r="E93" i="5"/>
  <c r="D93" i="5"/>
  <c r="E92" i="5"/>
  <c r="G92" i="5" s="1"/>
  <c r="D92" i="5"/>
  <c r="E91" i="5"/>
  <c r="D91" i="5"/>
  <c r="E90" i="5"/>
  <c r="D90" i="5"/>
  <c r="E89" i="5"/>
  <c r="D89" i="5"/>
  <c r="E88" i="5"/>
  <c r="G88" i="5" s="1"/>
  <c r="D88" i="5"/>
  <c r="D87" i="5"/>
  <c r="D86" i="5"/>
  <c r="E85" i="5"/>
  <c r="D85" i="5"/>
  <c r="D84" i="5"/>
  <c r="D83" i="5"/>
  <c r="E82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E66" i="5"/>
  <c r="D66" i="5"/>
  <c r="E65" i="5"/>
  <c r="D65" i="5"/>
  <c r="E64" i="5"/>
  <c r="D64" i="5"/>
  <c r="E63" i="5"/>
  <c r="D63" i="5"/>
  <c r="D62" i="5"/>
  <c r="E61" i="5"/>
  <c r="D61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E48" i="5"/>
  <c r="D48" i="5"/>
  <c r="E47" i="5"/>
  <c r="D47" i="5"/>
  <c r="E46" i="5"/>
  <c r="D46" i="5"/>
  <c r="E45" i="5"/>
  <c r="D45" i="5"/>
  <c r="E44" i="5"/>
  <c r="D44" i="5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D32" i="5"/>
  <c r="D31" i="5"/>
  <c r="D27" i="5"/>
  <c r="E26" i="5"/>
  <c r="D26" i="5"/>
  <c r="D25" i="5"/>
  <c r="D24" i="5"/>
  <c r="D23" i="5"/>
  <c r="D22" i="5"/>
  <c r="D21" i="5"/>
  <c r="D20" i="5"/>
  <c r="D19" i="5"/>
  <c r="D18" i="5"/>
  <c r="E17" i="5"/>
  <c r="D17" i="5"/>
  <c r="E16" i="5"/>
  <c r="D16" i="5"/>
  <c r="E15" i="5"/>
  <c r="D15" i="5"/>
  <c r="E14" i="5"/>
  <c r="D14" i="5"/>
  <c r="E13" i="5"/>
  <c r="D13" i="5"/>
  <c r="D12" i="5"/>
  <c r="D11" i="5"/>
  <c r="D10" i="5"/>
  <c r="D9" i="5"/>
  <c r="D8" i="5"/>
  <c r="D7" i="5"/>
  <c r="D6" i="5"/>
  <c r="D18" i="4"/>
  <c r="D129" i="3" s="1"/>
  <c r="C18" i="4"/>
  <c r="B18" i="4"/>
  <c r="H15" i="4"/>
  <c r="F15" i="4"/>
  <c r="D15" i="4"/>
  <c r="F12" i="4"/>
  <c r="D128" i="3" s="1"/>
  <c r="E128" i="3" s="1"/>
  <c r="F128" i="3" s="1"/>
  <c r="E12" i="4"/>
  <c r="D12" i="4"/>
  <c r="C12" i="4"/>
  <c r="B12" i="4"/>
  <c r="G10" i="4"/>
  <c r="G24" i="4" s="1"/>
  <c r="G28" i="4" s="1"/>
  <c r="F10" i="4"/>
  <c r="F24" i="4" s="1"/>
  <c r="F28" i="4" s="1"/>
  <c r="E10" i="4"/>
  <c r="E24" i="4" s="1"/>
  <c r="E28" i="4" s="1"/>
  <c r="D10" i="4"/>
  <c r="D24" i="4" s="1"/>
  <c r="C10" i="4"/>
  <c r="C24" i="4" s="1"/>
  <c r="C28" i="4" s="1"/>
  <c r="B10" i="4"/>
  <c r="B24" i="4" s="1"/>
  <c r="B28" i="4" s="1"/>
  <c r="H8" i="4"/>
  <c r="F8" i="4"/>
  <c r="D8" i="4"/>
  <c r="H7" i="4"/>
  <c r="F7" i="4"/>
  <c r="D7" i="4"/>
  <c r="C133" i="3"/>
  <c r="C131" i="3"/>
  <c r="B131" i="3"/>
  <c r="E131" i="3" s="1"/>
  <c r="F131" i="3" s="1"/>
  <c r="D130" i="3"/>
  <c r="C130" i="3"/>
  <c r="C128" i="3"/>
  <c r="B128" i="3"/>
  <c r="D127" i="3"/>
  <c r="C127" i="3"/>
  <c r="B127" i="3"/>
  <c r="E127" i="3" s="1"/>
  <c r="F127" i="3" s="1"/>
  <c r="E121" i="3"/>
  <c r="D121" i="3"/>
  <c r="C121" i="3"/>
  <c r="B121" i="3"/>
  <c r="E120" i="3"/>
  <c r="D120" i="3"/>
  <c r="C120" i="3"/>
  <c r="E119" i="3"/>
  <c r="E118" i="3"/>
  <c r="D117" i="3"/>
  <c r="D116" i="3"/>
  <c r="C115" i="3"/>
  <c r="B114" i="3"/>
  <c r="B113" i="3"/>
  <c r="C80" i="3"/>
  <c r="B80" i="3"/>
  <c r="C76" i="3"/>
  <c r="C77" i="3" s="1"/>
  <c r="B76" i="3"/>
  <c r="B77" i="3" s="1"/>
  <c r="C75" i="3"/>
  <c r="B75" i="3"/>
  <c r="B60" i="3"/>
  <c r="B68" i="3" s="1"/>
  <c r="F37" i="3"/>
  <c r="E37" i="3"/>
  <c r="D37" i="3"/>
  <c r="C37" i="3"/>
  <c r="F36" i="3"/>
  <c r="E36" i="3"/>
  <c r="D36" i="3"/>
  <c r="C36" i="3"/>
  <c r="B36" i="3"/>
  <c r="F35" i="3"/>
  <c r="E35" i="3"/>
  <c r="D35" i="3"/>
  <c r="C35" i="3"/>
  <c r="B35" i="3"/>
  <c r="F30" i="3"/>
  <c r="E30" i="3"/>
  <c r="D30" i="3"/>
  <c r="C30" i="3"/>
  <c r="B30" i="3"/>
  <c r="F29" i="3"/>
  <c r="E29" i="3"/>
  <c r="D29" i="3"/>
  <c r="C29" i="3"/>
  <c r="F28" i="3"/>
  <c r="E28" i="3"/>
  <c r="D28" i="3"/>
  <c r="C28" i="3"/>
  <c r="B28" i="3"/>
  <c r="E23" i="3"/>
  <c r="D23" i="3"/>
  <c r="C23" i="3"/>
  <c r="B23" i="3"/>
  <c r="E16" i="3"/>
  <c r="D16" i="3"/>
  <c r="H23" i="4" s="1"/>
  <c r="C16" i="3"/>
  <c r="F23" i="4" s="1"/>
  <c r="B16" i="3"/>
  <c r="D23" i="4" s="1"/>
  <c r="B129" i="3" s="1"/>
  <c r="E15" i="3"/>
  <c r="C15" i="3"/>
  <c r="B15" i="3"/>
  <c r="B21" i="3" s="1"/>
  <c r="E14" i="3"/>
  <c r="D14" i="3"/>
  <c r="C14" i="3"/>
  <c r="B14" i="3"/>
  <c r="E13" i="3"/>
  <c r="D13" i="3"/>
  <c r="C13" i="3"/>
  <c r="B13" i="3"/>
  <c r="F10" i="3"/>
  <c r="E10" i="3"/>
  <c r="D10" i="3"/>
  <c r="C10" i="3"/>
  <c r="B10" i="3"/>
  <c r="F8" i="3"/>
  <c r="E8" i="3"/>
  <c r="D8" i="3"/>
  <c r="D15" i="3" s="1"/>
  <c r="C8" i="3"/>
  <c r="B8" i="3"/>
  <c r="E7" i="3"/>
  <c r="D7" i="3"/>
  <c r="C7" i="3"/>
  <c r="B7" i="3"/>
  <c r="E6" i="3"/>
  <c r="D6" i="3"/>
  <c r="C6" i="3"/>
  <c r="B6" i="3"/>
  <c r="B9" i="3" s="1"/>
  <c r="B10" i="2"/>
  <c r="B9" i="2"/>
  <c r="B7" i="2"/>
  <c r="B6" i="2"/>
  <c r="G12" i="5" l="1"/>
  <c r="G11" i="5"/>
  <c r="G10" i="5"/>
  <c r="G9" i="5"/>
  <c r="G8" i="5"/>
  <c r="G7" i="5"/>
  <c r="G6" i="5"/>
  <c r="G93" i="5"/>
  <c r="G91" i="5"/>
  <c r="G90" i="5"/>
  <c r="G89" i="5"/>
  <c r="C20" i="3"/>
  <c r="B19" i="3"/>
  <c r="G85" i="5"/>
  <c r="G82" i="5"/>
  <c r="G66" i="5"/>
  <c r="G65" i="5"/>
  <c r="G64" i="5"/>
  <c r="G63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C21" i="3"/>
  <c r="B20" i="3"/>
  <c r="C19" i="3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26" i="5"/>
  <c r="G17" i="5"/>
  <c r="G16" i="5"/>
  <c r="G15" i="5"/>
  <c r="G14" i="5"/>
  <c r="G13" i="5"/>
  <c r="F121" i="3"/>
  <c r="G121" i="3" s="1"/>
  <c r="B56" i="3"/>
  <c r="B55" i="3"/>
  <c r="E11" i="13"/>
  <c r="E71" i="5"/>
  <c r="G71" i="5" s="1"/>
  <c r="D11" i="13"/>
  <c r="E70" i="5"/>
  <c r="G70" i="5" s="1"/>
  <c r="B117" i="3"/>
  <c r="B116" i="3"/>
  <c r="C126" i="3"/>
  <c r="B120" i="3"/>
  <c r="F120" i="3" s="1"/>
  <c r="G120" i="3" s="1"/>
  <c r="B115" i="3"/>
  <c r="B112" i="3"/>
  <c r="B119" i="3"/>
  <c r="B118" i="3"/>
  <c r="B130" i="3"/>
  <c r="E130" i="3" s="1"/>
  <c r="F130" i="3" s="1"/>
  <c r="D119" i="3"/>
  <c r="D118" i="3"/>
  <c r="D115" i="3"/>
  <c r="D114" i="3"/>
  <c r="D113" i="3"/>
  <c r="D112" i="3"/>
  <c r="B132" i="3"/>
  <c r="E132" i="3" s="1"/>
  <c r="F132" i="3" s="1"/>
  <c r="C119" i="3"/>
  <c r="C116" i="3"/>
  <c r="C117" i="3"/>
  <c r="C114" i="3"/>
  <c r="C113" i="3"/>
  <c r="C112" i="3"/>
  <c r="C118" i="3"/>
  <c r="E14" i="13"/>
  <c r="E15" i="13"/>
  <c r="E77" i="5" s="1"/>
  <c r="G77" i="5" s="1"/>
  <c r="C64" i="3"/>
  <c r="E73" i="5"/>
  <c r="G73" i="5" s="1"/>
  <c r="E79" i="5"/>
  <c r="G79" i="5" s="1"/>
  <c r="D14" i="13"/>
  <c r="D15" i="13"/>
  <c r="E76" i="5" s="1"/>
  <c r="G76" i="5" s="1"/>
  <c r="B64" i="3"/>
  <c r="E72" i="5"/>
  <c r="G72" i="5" s="1"/>
  <c r="E78" i="5"/>
  <c r="G78" i="5" s="1"/>
  <c r="E32" i="5"/>
  <c r="G32" i="5" s="1"/>
  <c r="D28" i="5"/>
  <c r="G28" i="5" s="1"/>
  <c r="E38" i="7"/>
  <c r="E40" i="7"/>
  <c r="E95" i="5" s="1"/>
  <c r="G95" i="5" s="1"/>
  <c r="D38" i="7"/>
  <c r="D40" i="7"/>
  <c r="E94" i="5" s="1"/>
  <c r="G94" i="5" s="1"/>
  <c r="D28" i="4"/>
  <c r="C129" i="3"/>
  <c r="E129" i="3" s="1"/>
  <c r="F129" i="3" s="1"/>
  <c r="C79" i="3"/>
  <c r="C78" i="3"/>
  <c r="C81" i="3" s="1"/>
  <c r="B79" i="3"/>
  <c r="B78" i="3"/>
  <c r="F15" i="3"/>
  <c r="F21" i="3" s="1"/>
  <c r="E21" i="3"/>
  <c r="F14" i="3"/>
  <c r="F20" i="3" s="1"/>
  <c r="E20" i="3"/>
  <c r="B62" i="3"/>
  <c r="D62" i="3" s="1"/>
  <c r="B39" i="4"/>
  <c r="D20" i="3"/>
  <c r="B43" i="3"/>
  <c r="F13" i="3"/>
  <c r="E19" i="3"/>
  <c r="B61" i="3"/>
  <c r="D61" i="3" s="1"/>
  <c r="D19" i="3"/>
  <c r="D32" i="3" s="1"/>
  <c r="B44" i="3"/>
  <c r="D21" i="3"/>
  <c r="B42" i="3"/>
  <c r="B45" i="3"/>
  <c r="B15" i="2" s="1"/>
  <c r="B46" i="3"/>
  <c r="B16" i="2" s="1"/>
  <c r="B47" i="3"/>
  <c r="B17" i="2" s="1"/>
  <c r="B48" i="3"/>
  <c r="B63" i="3"/>
  <c r="D63" i="3" s="1"/>
  <c r="B26" i="2" s="1"/>
  <c r="E66" i="3"/>
  <c r="E67" i="3"/>
  <c r="E68" i="3"/>
  <c r="E69" i="3"/>
  <c r="E70" i="3"/>
  <c r="C108" i="3"/>
  <c r="B108" i="3"/>
  <c r="D108" i="3"/>
  <c r="E112" i="3"/>
  <c r="E113" i="3"/>
  <c r="E114" i="3"/>
  <c r="E115" i="3"/>
  <c r="E116" i="3"/>
  <c r="E117" i="3"/>
  <c r="B8" i="2"/>
  <c r="F7" i="3"/>
  <c r="B50" i="3"/>
  <c r="B51" i="3" s="1"/>
  <c r="B52" i="3" s="1"/>
  <c r="B18" i="2" s="1"/>
  <c r="E9" i="3"/>
  <c r="F6" i="3"/>
  <c r="B53" i="3"/>
  <c r="B54" i="3" s="1"/>
  <c r="D9" i="3"/>
  <c r="B106" i="3"/>
  <c r="C106" i="3"/>
  <c r="D106" i="3"/>
  <c r="B107" i="3"/>
  <c r="C107" i="3"/>
  <c r="D107" i="3"/>
  <c r="C9" i="3"/>
  <c r="G30" i="5"/>
  <c r="B57" i="3"/>
  <c r="G29" i="5"/>
  <c r="B22" i="3" l="1"/>
  <c r="B31" i="3" s="1"/>
  <c r="F119" i="3"/>
  <c r="G119" i="3" s="1"/>
  <c r="F118" i="3"/>
  <c r="G118" i="3" s="1"/>
  <c r="H118" i="3" s="1"/>
  <c r="F113" i="3"/>
  <c r="G113" i="3" s="1"/>
  <c r="F19" i="3"/>
  <c r="F112" i="3"/>
  <c r="G112" i="3" s="1"/>
  <c r="F114" i="3"/>
  <c r="G114" i="3" s="1"/>
  <c r="H114" i="3" s="1"/>
  <c r="F115" i="3"/>
  <c r="G115" i="3" s="1"/>
  <c r="F116" i="3"/>
  <c r="G116" i="3" s="1"/>
  <c r="H116" i="3" s="1"/>
  <c r="F117" i="3"/>
  <c r="G117" i="3" s="1"/>
  <c r="C24" i="3"/>
  <c r="C17" i="3"/>
  <c r="B24" i="3"/>
  <c r="B17" i="3"/>
  <c r="C22" i="3"/>
  <c r="C31" i="3" s="1"/>
  <c r="C32" i="3"/>
  <c r="B23" i="2"/>
  <c r="E75" i="5"/>
  <c r="G75" i="5" s="1"/>
  <c r="E13" i="13"/>
  <c r="E74" i="5"/>
  <c r="G74" i="5" s="1"/>
  <c r="D13" i="13"/>
  <c r="B81" i="3"/>
  <c r="B28" i="2"/>
  <c r="F24" i="3"/>
  <c r="F17" i="3"/>
  <c r="E24" i="3"/>
  <c r="E17" i="3"/>
  <c r="D24" i="3"/>
  <c r="D17" i="3"/>
  <c r="D22" i="3"/>
  <c r="B85" i="3"/>
  <c r="B96" i="3" s="1"/>
  <c r="C85" i="3"/>
  <c r="C96" i="3" s="1"/>
  <c r="D85" i="3"/>
  <c r="D96" i="3" s="1"/>
  <c r="E85" i="3"/>
  <c r="E96" i="3" s="1"/>
  <c r="F85" i="3"/>
  <c r="F96" i="3" s="1"/>
  <c r="B86" i="3"/>
  <c r="B97" i="3" s="1"/>
  <c r="C86" i="3"/>
  <c r="C97" i="3" s="1"/>
  <c r="D86" i="3"/>
  <c r="D97" i="3" s="1"/>
  <c r="E86" i="3"/>
  <c r="E97" i="3" s="1"/>
  <c r="F86" i="3"/>
  <c r="F97" i="3" s="1"/>
  <c r="B87" i="3"/>
  <c r="B98" i="3" s="1"/>
  <c r="C87" i="3"/>
  <c r="C98" i="3" s="1"/>
  <c r="D87" i="3"/>
  <c r="D98" i="3" s="1"/>
  <c r="E87" i="3"/>
  <c r="E98" i="3" s="1"/>
  <c r="F87" i="3"/>
  <c r="F98" i="3" s="1"/>
  <c r="B88" i="3"/>
  <c r="B99" i="3" s="1"/>
  <c r="C88" i="3"/>
  <c r="C99" i="3" s="1"/>
  <c r="D88" i="3"/>
  <c r="D99" i="3" s="1"/>
  <c r="E88" i="3"/>
  <c r="E99" i="3" s="1"/>
  <c r="F88" i="3"/>
  <c r="F99" i="3" s="1"/>
  <c r="B89" i="3"/>
  <c r="B100" i="3" s="1"/>
  <c r="C89" i="3"/>
  <c r="C100" i="3" s="1"/>
  <c r="D89" i="3"/>
  <c r="D100" i="3" s="1"/>
  <c r="E89" i="3"/>
  <c r="E100" i="3" s="1"/>
  <c r="F89" i="3"/>
  <c r="F100" i="3" s="1"/>
  <c r="B90" i="3"/>
  <c r="B101" i="3" s="1"/>
  <c r="C90" i="3"/>
  <c r="C101" i="3" s="1"/>
  <c r="D90" i="3"/>
  <c r="D101" i="3" s="1"/>
  <c r="E90" i="3"/>
  <c r="E101" i="3" s="1"/>
  <c r="F90" i="3"/>
  <c r="F101" i="3" s="1"/>
  <c r="B91" i="3"/>
  <c r="B102" i="3" s="1"/>
  <c r="C91" i="3"/>
  <c r="C102" i="3" s="1"/>
  <c r="D91" i="3"/>
  <c r="D102" i="3" s="1"/>
  <c r="E91" i="3"/>
  <c r="E102" i="3" s="1"/>
  <c r="F91" i="3"/>
  <c r="F102" i="3" s="1"/>
  <c r="F9" i="3"/>
  <c r="C34" i="3"/>
  <c r="C33" i="3"/>
  <c r="C38" i="3"/>
  <c r="E22" i="3"/>
  <c r="E31" i="3" s="1"/>
  <c r="E32" i="3"/>
  <c r="D38" i="3"/>
  <c r="D33" i="3"/>
  <c r="D34" i="3"/>
  <c r="H119" i="3" l="1"/>
  <c r="B21" i="2"/>
  <c r="H113" i="3"/>
  <c r="F22" i="3"/>
  <c r="F32" i="3"/>
  <c r="H120" i="3"/>
  <c r="H112" i="3"/>
  <c r="B20" i="2"/>
  <c r="H121" i="3"/>
  <c r="B22" i="2"/>
  <c r="H115" i="3"/>
  <c r="B24" i="2"/>
  <c r="H117" i="3"/>
  <c r="B40" i="4"/>
  <c r="B29" i="2"/>
  <c r="E31" i="5"/>
  <c r="G31" i="5" s="1"/>
  <c r="B133" i="3"/>
  <c r="E133" i="3" s="1"/>
  <c r="F133" i="3" s="1"/>
  <c r="D31" i="3"/>
  <c r="C66" i="3"/>
  <c r="D66" i="3" s="1"/>
  <c r="C67" i="3"/>
  <c r="C68" i="3"/>
  <c r="D68" i="3" s="1"/>
  <c r="C69" i="3"/>
  <c r="D69" i="3" s="1"/>
  <c r="C70" i="3"/>
  <c r="D70" i="3" s="1"/>
  <c r="B126" i="3"/>
  <c r="E126" i="3" s="1"/>
  <c r="F126" i="3" s="1"/>
  <c r="B12" i="2"/>
  <c r="F16" i="3"/>
  <c r="B13" i="2"/>
  <c r="E27" i="5"/>
  <c r="G27" i="5" s="1"/>
  <c r="F31" i="3"/>
  <c r="E33" i="3"/>
  <c r="E38" i="3"/>
  <c r="E34" i="3"/>
  <c r="E62" i="5"/>
  <c r="G62" i="5" s="1"/>
  <c r="B49" i="3"/>
  <c r="F34" i="3" l="1"/>
  <c r="F33" i="3"/>
  <c r="F38" i="3"/>
  <c r="D67" i="3"/>
  <c r="B27" i="2"/>
  <c r="C97" i="5"/>
  <c r="B135" i="3" l="1"/>
  <c r="B31" i="2"/>
</calcChain>
</file>

<file path=xl/sharedStrings.xml><?xml version="1.0" encoding="utf-8"?>
<sst xmlns="http://schemas.openxmlformats.org/spreadsheetml/2006/main" count="2999" uniqueCount="1492">
  <si>
    <t>UBS server CPU x DRAM note (26-Oct-2026) — data + DRAM-CPU link</t>
  </si>
  <si>
    <t>Source</t>
  </si>
  <si>
    <t>UBS Global Research (Timothy Arcuri, Seth Cho), 'US Semiconductors: $210B Server CPU TAM By C2030; Gated By Memory Supply', 26-Oct-2026. Page refs are to the PDF (39 pp; disclosures from p.28).</t>
  </si>
  <si>
    <t>Ratings in note</t>
  </si>
  <si>
    <t>AMD Buy (CBE) US$516.79; ARM Buy US$210.33; INTC Neutral US$86.96 (PT cut $103 -&gt; $100, SOTP); MU Buy US$877.55 — prices 23-Oct-2026 (p.29). UBS: 'we continue to believe MU is the best way to play server CPU demand'.</t>
  </si>
  <si>
    <t>What the note says</t>
  </si>
  <si>
    <t>C2030 server-CPU TAM raised ~$175B -&gt; ~$208B (37MM AI CPUs + 30MM traditional = 67MM units, ~77EB DRAM). 'Unconstrained' demand = ~150MM CPUs / $548B / 282EB DRAM, but memory supply caps it; CPU:GPU attach stays ~0.83:1 in C2030.</t>
  </si>
  <si>
    <t>Colour code</t>
  </si>
  <si>
    <t>Blue text = number as printed in the note (or a cross-check source) · Black = formula · Green = link to another sheet · Yellow fill = key lever on the link sheet. Tags on the link sheet: HARD (green) printed in a source, PARTIAL/ANCHOR (blue) range sourced or calibration anchor, ESTIMATE (amber) house assumption, DERIVED (white) arithmetic.</t>
  </si>
  <si>
    <t>Units</t>
  </si>
  <si>
    <t>EB = exabytes (1 EB = 1e18 bytes = 1,000,000 TB). 1MM CPUs x 1 TB/CPU = 1 EB, so 'EB per MM units' = 'TB per CPU'. 1Gb-equivalent: 1 EB = 8,000 million Gb (8bn Gb).</t>
  </si>
  <si>
    <t>Sheet map</t>
  </si>
  <si>
    <t>DRAM_CPU_Link = the relationship model (start here) · Report_Tieouts = internal arithmetic checks of every table (also validates the transcription) · Cross_Check = independent server-DRAM / CPU anchors (Bernstein, UBS memory team, JPM, Mizuho) · Fig* sheets = one per figure, as printed.</t>
  </si>
  <si>
    <t>Chart data</t>
  </si>
  <si>
    <t>Figs 9, 12, 17, 18, 20, 21 carry printed data labels -&gt; transcribed. Figs 25-31 (Mercury/UBSe unit + mix history, 1Q19/1Q21-2Q26; Fig 27 1Q08-2Q26) are unlabeled stacked/area charts: values were extracted from the PDF's vector geometry and cross-checked by pixel measurement (+/-0.01MM, +/-0.05pp; labels +/-0.5pp). Fig 27 quarter mapping confirmed by wiki anchors (Intel x86 revenue share 55.4% 2Q26; AMD 41.3% 4Q25, 39.4% 1Q25). Fig 26 shares match Fig 25 units within 0.11pp.</t>
  </si>
  <si>
    <t>Model basis</t>
  </si>
  <si>
    <t>DRAM_CPU_Link runs C2030E on UBS's UNROUNDED standalone count: Fig 11's 0.33 attach x 44MM = 14.5MM (printed '~15'), which at 29EB gives 2.0TB/CPU and reproduces the printed $208B TAM, $160B AI-CPU $, $4,378 ASP and 0.83 attach exactly. Reviewed by an independent skeptic pass (transcription verified against 300-dpi renders; calibration claim downgraded to an identity; scenarios added).</t>
  </si>
  <si>
    <t>Not tabulated</t>
  </si>
  <si>
    <t>Fig 13/14 (AMD+ARM and INTC+NVDA management quotes — text exhibits), Fig 22 (ex-server desktop/notebook/gaming roadmap Gantt). Fig 23 server roadmap transcribed with approximate quarters read off the Gantt bars.</t>
  </si>
  <si>
    <t>Transcription</t>
  </si>
  <si>
    <t>All tables are images in the PDF (no text layer). Read from 300+ dpi renders; every arithmetic identity in the note is re-computed on Report_Tieouts — rows that do not tie are either rounding (|diff| &lt;= rounding of the printed figure) or a flagged inconsistency in the note itself.</t>
  </si>
  <si>
    <t>DRAM &lt;-&gt; server CPU: what the UBS note implies (C2030E unless stated)</t>
  </si>
  <si>
    <t>Every number below is a live link into DRAM_CPU_Link / Report_Tieouts / Cross_Check — change a yellow lever there and this page moves.</t>
  </si>
  <si>
    <t>Relationship</t>
  </si>
  <si>
    <t>Value</t>
  </si>
  <si>
    <t>Unit</t>
  </si>
  <si>
    <t>Read-across</t>
  </si>
  <si>
    <t>1. DRAM per CPU shipped (UBS C2030E base, Fig 8 implied)</t>
  </si>
  <si>
    <t xml:space="preserve">   traditional CPU</t>
  </si>
  <si>
    <t>TB</t>
  </si>
  <si>
    <t>0.5TB in every year — Fig 5 / p.6 / Fig 15 say ~1TB by C2030E</t>
  </si>
  <si>
    <t xml:space="preserve">   AI head-node CPU</t>
  </si>
  <si>
    <t>1.0TB today -&gt; 1.5TB (low end of Fig 5)</t>
  </si>
  <si>
    <t xml:space="preserve">   AI standalone CPU</t>
  </si>
  <si>
    <t>29EB / 14.5MM; 4x a traditional CPU (low end of Fig 5's 2-3TB)</t>
  </si>
  <si>
    <t xml:space="preserve">   blended, C2025</t>
  </si>
  <si>
    <t>on UBS's 23MM base (~0.4-0.47TB on the ~30MM in Fig 25 / Bernstein)</t>
  </si>
  <si>
    <t xml:space="preserve">   blended, C2030E</t>
  </si>
  <si>
    <t>mix shift alone ~doubles DRAM per new CPU</t>
  </si>
  <si>
    <t>2. The identity</t>
  </si>
  <si>
    <t xml:space="preserve">   DRAM for CPUs C2030E = 30MM x 0.5 + 22MM x 1.5 + 14.5MM x 2.0</t>
  </si>
  <si>
    <t>EB</t>
  </si>
  <si>
    <t>Equals Fig 7 supply (69EB server + 7EB CXL). UBS sized the base so CPU DRAM = its supply estimate (an identity, not proof that memory set the count)</t>
  </si>
  <si>
    <t xml:space="preserve">   unconstrained need, 147MM CPUs on UBS's TB/CPU</t>
  </si>
  <si>
    <t>printed 282EB is on 169MM CPUs, inconsistent with Fig 4 / the text (147-150MM); at Fig 5 midpoints ~306EB (~4x). Supply covers ~1/4-1/3</t>
  </si>
  <si>
    <t>3. Exchange rates at the margin (C2030E)</t>
  </si>
  <si>
    <t xml:space="preserve">   AI standalone CPUs per +1EB of DRAM</t>
  </si>
  <si>
    <t>MM</t>
  </si>
  <si>
    <t xml:space="preserve">   CPU TAM per +1EB of DRAM (standalone)</t>
  </si>
  <si>
    <t>$B</t>
  </si>
  <si>
    <t>vs $3.0B (head-node) / $3.2B (traditional): standalone is the least TAM-dense use of DRAM</t>
  </si>
  <si>
    <t xml:space="preserve">   1MM AI CPUs as % of C2030E server DRAM</t>
  </si>
  <si>
    <t>%</t>
  </si>
  <si>
    <t xml:space="preserve">   -0.1TB de-spec on all AI CPUs -&gt; extra CPU TAM</t>
  </si>
  <si>
    <t>4. What the ~$208B needs (scenarios, CPU TAM $B)</t>
  </si>
  <si>
    <t xml:space="preserve">   UBS base</t>
  </si>
  <si>
    <t>every class at/below the LOW END of Fig 5, and the HIGHER (99EB) of UBS's two supply bases</t>
  </si>
  <si>
    <t xml:space="preserve">   supply on Fig 6 vendor-capacity basis (66EB)</t>
  </si>
  <si>
    <t xml:space="preserve">   traditional CPUs at Fig 5's ~1TB</t>
  </si>
  <si>
    <t xml:space="preserve">   all classes at Fig 5 midpoints</t>
  </si>
  <si>
    <t xml:space="preserve">   head nodes at Vera's post-cut 768GB</t>
  </si>
  <si>
    <t>de-spec is the upside lever: memory per CPU, not CPU demand, sets the unit count</t>
  </si>
  <si>
    <t>5. Dollars and watts</t>
  </si>
  <si>
    <t xml:space="preserve">   DRAM $ per standalone AI CPU / its $4.2K ASP (at $12K/TB)</t>
  </si>
  <si>
    <t>x</t>
  </si>
  <si>
    <t>4.7-5.7x across $10-12K/TB: memory is the bigger dollar pool (UBS: MU is the best way to play CPU demand)</t>
  </si>
  <si>
    <t xml:space="preserve">   C2030E DRAM bill for CPUs at $10K/TB (Fig 15's implied price)</t>
  </si>
  <si>
    <t>$385B at $5K/TB to $1.6T at UBS's 2027E DDR ASP — vs a ~$208B CPU TAM</t>
  </si>
  <si>
    <t xml:space="preserve">   DRAM per GW of CPU+DIMM power — traditional / AI (Fig 15 spec)</t>
  </si>
  <si>
    <t>EB/GW</t>
  </si>
  <si>
    <t>2.70 vs 2.90 on Fig 15's illustrative 1TB/2TB spec; 1.35 vs 2.90 on Fig 8's 0.5TB</t>
  </si>
  <si>
    <t xml:space="preserve">   CPU-side DRAM per accelerator, C2030E</t>
  </si>
  <si>
    <t>TB/GPU</t>
  </si>
  <si>
    <t>1.8-4.9x the GPU's own HBM, depending on generation (Feynman 768GB -&gt; VR200 288GB)</t>
  </si>
  <si>
    <t>6. Checks</t>
  </si>
  <si>
    <t xml:space="preserve">   Report tie-outs</t>
  </si>
  <si>
    <t>FLAGs = inconsistencies inside the note itself (transcription re-read for each)</t>
  </si>
  <si>
    <t>DRAM &lt;-&gt; server CPU: the relationship in UBS's 26-Oct-2026 framework (live model)</t>
  </si>
  <si>
    <t>Identity: DRAM for CPUs (EB) = SUM over CPU types [ units (MM) x DRAM per CPU (TB) ]. Supply-gated: standalone AI CPUs = (DRAM available for CPUs - traditional EB - head-node EB) / TB per standalone CPU. Blue = UBS as printed (linked from Fig sheets in green), yellow = levers you can change.</t>
  </si>
  <si>
    <t>A. Units and DRAM intensity, as printed (Fig 8 / Fig 10-11)</t>
  </si>
  <si>
    <t>Line</t>
  </si>
  <si>
    <t>C2025</t>
  </si>
  <si>
    <t>C2027E</t>
  </si>
  <si>
    <t>C2030E Base</t>
  </si>
  <si>
    <t>C2030E Unconstr. (as printed)</t>
  </si>
  <si>
    <t>C2030E Unconstr. (corrected)</t>
  </si>
  <si>
    <t>Tag</t>
  </si>
  <si>
    <t>Source / note</t>
  </si>
  <si>
    <t>Traditional CPUs (MM)</t>
  </si>
  <si>
    <t>HARD</t>
  </si>
  <si>
    <t>Fig 8 (p.7); corrected column = Fig 4</t>
  </si>
  <si>
    <t>AI head-node CPUs (MM)</t>
  </si>
  <si>
    <t>AI standalone CPUs (MM)</t>
  </si>
  <si>
    <t>C2030E base = Fig 11 attach 0.33 x 44 = 14.5MM (printed '~15'): the unrounded value reproduces $208B TAM, $160B AI $, $4,378 ASP, 0.83 attach and 29EB at 2.0TB. Unconstrained: Fig 8 prints 117 (equal to Fig 4's total AI CPUs 22+95; mechanism not provable); corrected column uses Fig 4's 95</t>
  </si>
  <si>
    <t>Total CPUs (MM)</t>
  </si>
  <si>
    <t>DERIVED</t>
  </si>
  <si>
    <t>Printed: 23 / 41 / 67 / 169; Fig 4 + text: ~147-150MM unconstrained</t>
  </si>
  <si>
    <t>Accelerators (MM)</t>
  </si>
  <si>
    <t>Fig 10 / Fig 4 (~44MM in C2030, ex-China)</t>
  </si>
  <si>
    <t>DRAM per CPU (TB) — implied by Fig 8 (EB / MM units)</t>
  </si>
  <si>
    <t>TB per traditional CPU</t>
  </si>
  <si>
    <t>Implied 0.5TB in every year incl. C2030E (also in the unconstrained column) — while Fig 5, the p.6 text and Fig 15/16 all use ~1.0TB by C2030E (see section D/G2)</t>
  </si>
  <si>
    <t>TB per head-node CPU</t>
  </si>
  <si>
    <t>1.0 / 1.0 / 1.5TB — at the LOW END of Fig 5's ~1-1.5TB (25/27) and ~1.5-2TB (30E) ranges</t>
  </si>
  <si>
    <t>TB per standalone CPU</t>
  </si>
  <si>
    <t>1.4 (2027E, below Fig 5's 1.5-2) / 2.0 (C2030E = 29EB / 14.5MM; unconstrained 234/117 = 2.0) — LOW END of Fig 5's ~2-3TB</t>
  </si>
  <si>
    <t>Blended TB per CPU shipped (all CPUs)</t>
  </si>
  <si>
    <t>Printed EB / printed units: 0.6 -&gt; 0.7 -&gt; 1.15TB per CPU shipped — mix alone roughly doubles DRAM per new CPU by C2030E (a flow, not the installed fleet)</t>
  </si>
  <si>
    <t>Blended TB per AI CPU (head-node + standalone)</t>
  </si>
  <si>
    <t>C2030E base ~1.70TB vs Fig 5's 'Blended AI CPU ~2-2.5TB' — below UBS's own stated range</t>
  </si>
  <si>
    <t>B. DRAM demand identity (EB = MM x TB) — recomputed</t>
  </si>
  <si>
    <t>Traditional EB</t>
  </si>
  <si>
    <t>Head-node EB</t>
  </si>
  <si>
    <t>Standalone EB</t>
  </si>
  <si>
    <t>Total DRAM for CPUs (EB)</t>
  </si>
  <si>
    <t>Printed: 14 / 29 / 77 / 282 EB. Corrected unconstrained (147MM, Fig 4) = ~238EB on UBS's own TB/CPU = 3.1x base (not 3.5-3.7x); at Fig 5 midpoints the same 147MM need ~306EB (~4x, the figure title)</t>
  </si>
  <si>
    <t>Printed implied DRAM (EB)</t>
  </si>
  <si>
    <t>Fig 8</t>
  </si>
  <si>
    <t>Head-node + standalone DRAM per accelerator (TB/GPU)</t>
  </si>
  <si>
    <t>Conventional DRAM pulled by AI CPUs per accelerator: 0.33 -&gt; 0.62 -&gt; 1.41TB (base). vs HBM per GPU: VR200 288GB / VR300 384-512GB / Feynman 768GB (Cross_Check) -&gt; ~1.8-4.9x depending on GPU generation. The 44MM accelerators include TPU/Trainium</t>
  </si>
  <si>
    <t>C. Supply gate (Fig 6-7): how many CPUs the DRAM supply can carry</t>
  </si>
  <si>
    <t>Server DRAM available (EB)</t>
  </si>
  <si>
    <t>Fig 7: non-HBM total on 'MU share' basis (36/54/99) minus non-server (26/27/30)</t>
  </si>
  <si>
    <t>Old DDR reuse via CXL (EB)</t>
  </si>
  <si>
    <t>Fig 7 (7EB = 10% of 2030 server DRAM vs text's +6-8%)</t>
  </si>
  <si>
    <t>DRAM available for CPUs (EB) — lever</t>
  </si>
  <si>
    <t>Fig 7 bottom line 11 / 29 / 77 (server + CXL = 11 / 29 / 76 — rounding). Overwrite to test other supply</t>
  </si>
  <si>
    <t>Coverage: DRAM available / DRAM demanded</t>
  </si>
  <si>
    <t>C2025 85%: the note's own 2025 numbers disagree (Fig 8 demand 14EB vs Fig 7 supply 11EB; inventory not modelled). C2030E base = 100% by construction; unconstrained ~27% (printed) / ~32% (corrected) covered</t>
  </si>
  <si>
    <t>Standalone CPUs that fit = (avail - trad EB - head EB) / TB per standalone</t>
  </si>
  <si>
    <t>IDENTITY, not a calibration: Fig 8's C2030E column sums to Fig 7's 77EB, so this returns UBS's 14.5MM by construction. It shows UBS sized the base so CPU DRAM = its supply estimate; it cannot show whether memory or demand set the count (the 0.33 standalone attach is unchanged from UBS's pre-memory framework). Use it as the flex tool</t>
  </si>
  <si>
    <t>Memory-gated total CPUs (MM)</t>
  </si>
  <si>
    <t>Memory-gated CPU:GPU attach (AI CPUs / accelerators)</t>
  </si>
  <si>
    <t>UBS: 0.83:1 in C2030 'unchanged from our prior estimate' — practitioners want 3-4:1</t>
  </si>
  <si>
    <t>ASP traditional ($)</t>
  </si>
  <si>
    <t>Fig 10</t>
  </si>
  <si>
    <t>ASP head-node ($)</t>
  </si>
  <si>
    <t>Fig 11</t>
  </si>
  <si>
    <t>ASP standalone ($)</t>
  </si>
  <si>
    <t>Fig 11 (no standalone in 2025)</t>
  </si>
  <si>
    <t>Memory-gated CPU TAM ($B)</t>
  </si>
  <si>
    <t>C2030E base reproduces $208.0B on the unrounded 14.5MM; C2027E $82B vs printed $83B (rounded 2027 inputs). Unconstrained columns are capped by the same 77EB</t>
  </si>
  <si>
    <t>D. Rules of thumb (C2030E base) — the DRAM&lt;-&gt;CPU exchange rates</t>
  </si>
  <si>
    <t>Rule</t>
  </si>
  <si>
    <t>How it is computed / caveat</t>
  </si>
  <si>
    <t>DRAM per 1MM standalone AI CPUs</t>
  </si>
  <si>
    <t>TB per standalone CPU (1MM x 1TB = 1EB)</t>
  </si>
  <si>
    <t>DRAM per 1MM head-node CPUs</t>
  </si>
  <si>
    <t>DRAM per 1MM traditional CPUs</t>
  </si>
  <si>
    <t>Standalone AI CPUs supported per +1EB of server DRAM</t>
  </si>
  <si>
    <t>MM CPUs</t>
  </si>
  <si>
    <t>Inverse of TB per standalone CPU</t>
  </si>
  <si>
    <t>CPU TAM unlocked per +1EB of server DRAM</t>
  </si>
  <si>
    <t>x standalone ASP $4,223</t>
  </si>
  <si>
    <t>1MM AI CPUs as % of C2030E server DRAM</t>
  </si>
  <si>
    <t>vs 69EB server DRAM (Fig 7)</t>
  </si>
  <si>
    <t>1MM AI CPUs as % of C2030E non-HBM DRAM (MU-share basis)</t>
  </si>
  <si>
    <t>vs 99EB</t>
  </si>
  <si>
    <t>CPU TAM per EB of DRAM for CPUs (average)</t>
  </si>
  <si>
    <t>$B / EB</t>
  </si>
  <si>
    <t>$208B / 77EB</t>
  </si>
  <si>
    <t>Each -0.1TB de-spec on all AI CPUs frees</t>
  </si>
  <si>
    <t>36.5MM AI CPUs x 0.1TB</t>
  </si>
  <si>
    <t>... which supports extra standalone CPUs</t>
  </si>
  <si>
    <t>freed EB / TB per standalone</t>
  </si>
  <si>
    <t>... worth in CPU TAM</t>
  </si>
  <si>
    <t>If traditional CPUs go 0.5 -&gt; 1.0TB (Fig 5 C2030E), standalone CPUs lost</t>
  </si>
  <si>
    <t>30MM x +0.5TB = +15EB crowds out standalone AI CPUs</t>
  </si>
  <si>
    <t>... TAM lost</t>
  </si>
  <si>
    <t>~$208B -&gt; ~$176B (near UBS's prior ~$175B only by coincidence — that TAM used a $3.8K ASP and different inputs)</t>
  </si>
  <si>
    <t>CPU TAM per EB of DRAM — traditional CPUs</t>
  </si>
  <si>
    <t>ASP / TB per CPU</t>
  </si>
  <si>
    <t>CPU TAM per EB of DRAM — head-node CPUs</t>
  </si>
  <si>
    <t>CPU TAM per EB of DRAM — standalone AI CPUs</t>
  </si>
  <si>
    <t>Under a binding memory cap the standalone AI CPU is the LEAST TAM-dense use of DRAM — the marginal EB buys the fewest CPU dollars</t>
  </si>
  <si>
    <t>E. Memory $ attached to each CPU $ (the note gives no C2030 DRAM price — test a range)</t>
  </si>
  <si>
    <t>Memory price ($ per TB) — lever</t>
  </si>
  <si>
    <t>Fig 15 label '$12K/1TB' (= $12/GB) — but Fig 15's own printed memory capex ties at $10K/TB with traditional at 0.5TB (row below)</t>
  </si>
  <si>
    <t>Traditional CPU: DRAM $ per CPU (C2030E)</t>
  </si>
  <si>
    <t>DRAM $ / CPU $</t>
  </si>
  <si>
    <t>TB/CPU x $/TB vs CPU ASP</t>
  </si>
  <si>
    <t>Head-node CPU: DRAM $ per CPU (C2030E)</t>
  </si>
  <si>
    <t>Standalone AI CPU: DRAM $ per CPU (C2030E)</t>
  </si>
  <si>
    <t>Fig 15 reconciliation: printed memory capex/GW at $10K/TB and Fig 8's TB (trad 0.5 / AI 2.0)</t>
  </si>
  <si>
    <t>Gives $13.5B / $29.0B exactly as printed -&gt; the Fig 15 '1TB' and '$12K' cells are the inconsistent ones; the capex row agrees with Fig 8</t>
  </si>
  <si>
    <t>77EB C2030E DRAM bill at different prices</t>
  </si>
  <si>
    <t>$/TB</t>
  </si>
  <si>
    <t>DRAM $B</t>
  </si>
  <si>
    <t>x CPU TAM</t>
  </si>
  <si>
    <t>Standalone DRAM $ / ASP</t>
  </si>
  <si>
    <t>Price source</t>
  </si>
  <si>
    <t>77EB at</t>
  </si>
  <si>
    <t>ESTIMATE</t>
  </si>
  <si>
    <t>Illustrative trough-like price ($5/GB)</t>
  </si>
  <si>
    <t>Implied by Fig 15's printed memory capex (see reconciliation row)</t>
  </si>
  <si>
    <t>Fig 15 label $12K/TB (lever above)</t>
  </si>
  <si>
    <t>PARTIAL</t>
  </si>
  <si>
    <t>UBS memory team DDR ASP 2026E $1.785/Gb x 8,000 Gb/TB ('DRAM Model' row 12, client model 3-Jul-26)</t>
  </si>
  <si>
    <t>UBS memory team DDR ASP 2027E $2.666/Gb x 8,000 (same source) — peak-cycle price, not a 2030 forecast</t>
  </si>
  <si>
    <t>At any plausible price the DRAM bill for CPUs ($385B-1.6T) is 2-8x the ~$208B CPU TAM — memory is the bigger dollar pool, which is UBS's 'MU is the best way to play server CPU demand'.</t>
  </si>
  <si>
    <t>F. Per-GW view (Fig 15's illustrative specs): DRAM per GW of CPU+DIMM power</t>
  </si>
  <si>
    <t>Traditional</t>
  </si>
  <si>
    <t>AI CPU</t>
  </si>
  <si>
    <t>Note</t>
  </si>
  <si>
    <t>W per CPU incl. DIMMs</t>
  </si>
  <si>
    <t>Fig 15: 250W + 8x15W / 450W + 16x15W</t>
  </si>
  <si>
    <t>TB per CPU (Fig 15 basis)</t>
  </si>
  <si>
    <t>Fig 15 uses 1TB traditional (vs 0.5TB in Fig 8's C2030E base)</t>
  </si>
  <si>
    <t>GB per DIMM implied</t>
  </si>
  <si>
    <t>128GB-class RDIMMs</t>
  </si>
  <si>
    <t>DRAM per GW of CPU power (EB/GW)</t>
  </si>
  <si>
    <t>1GW/W x TB: 2.70 vs 2.90 EB/GW on Fig 15's 1TB/2TB spec — near-invariant there (125GB DIMMs at 15W each); mechanical, holds only on that spec</t>
  </si>
  <si>
    <t>DRAM per GW on Fig 8's base TB (trad 0.5TB / AI 2.0TB)</t>
  </si>
  <si>
    <t>On the basis that drives the TAM, an AI CPU carries ~2.1x the DRAM per watt of a traditional CPU</t>
  </si>
  <si>
    <t>C2030E CPU GW (Fig 16)</t>
  </si>
  <si>
    <t>Fig 16 (head-node GW 'captured in GW racks')</t>
  </si>
  <si>
    <t>DRAM implied by GW x EB/GW</t>
  </si>
  <si>
    <t>vs Fig 8 base: traditional 15EB / standalone 29EB — standalone ties, traditional is 2x on the Fig 15 (1TB) basis</t>
  </si>
  <si>
    <t>G. Sensitivity — C2030E standalone AI CPUs supportable (MM), traditional &amp; head-node held at the levers in section A/B</t>
  </si>
  <si>
    <t>DRAM available for CPUs (EB)  \  TB per standalone CPU</t>
  </si>
  <si>
    <t>Capped at the corrected unconstrained standalone demand (95MM). 66EB = Fig 7 server DRAM on the vendor-capacity basis (89-30+7); 77EB = UBS base.</t>
  </si>
  <si>
    <t>Total C2030E CPU TAM ($B) on the same grid</t>
  </si>
  <si>
    <t>C2030E CPU TAM ($B) at 77EB — traditional TB (rows) x head-node TB (cols); standalone TB held at the section-A lever</t>
  </si>
  <si>
    <t>TB per traditional CPU  \  TB per head-node CPU</t>
  </si>
  <si>
    <t>G2. Scenarios — C2030E: the $208B needs every CPU class at the LOW END of UBS's own Fig 5 and the HIGHER (99EB 'MU share') of its two supply bases</t>
  </si>
  <si>
    <t>Scenario</t>
  </si>
  <si>
    <t>DRAM for CPUs (EB)</t>
  </si>
  <si>
    <t>Trad TB</t>
  </si>
  <si>
    <t>Head-node TB</t>
  </si>
  <si>
    <t>Standalone TB</t>
  </si>
  <si>
    <t>Standalone CPUs that fit (MM)</t>
  </si>
  <si>
    <t>CPU TAM ($B)</t>
  </si>
  <si>
    <t>Delta vs UBS base ($B)</t>
  </si>
  <si>
    <t>Source of the changed input</t>
  </si>
  <si>
    <t>UBS base (unrounded: 14.5MM standalone at 2.0TB)</t>
  </si>
  <si>
    <t>Fig 7/8/11</t>
  </si>
  <si>
    <t>Supply on Fig 6 vendor-capacity basis (89 - 30 + 7)</t>
  </si>
  <si>
    <t>Fig 6 total 89EB instead of Fig 7's 99EB MU-share total</t>
  </si>
  <si>
    <t>Non-server DRAM grows 10%/yr from C2025 (vs ~3%/yr in Fig 7)</t>
  </si>
  <si>
    <t>26EB x 1.1^5 = 42EB non-server (ESTIMATE growth rate)</t>
  </si>
  <si>
    <t>Traditional CPUs at Fig 5's ~1.0TB</t>
  </si>
  <si>
    <t>Fig 5 / p.6 text / Fig 15</t>
  </si>
  <si>
    <t>Head-node at Fig 5 upper end 2.0TB</t>
  </si>
  <si>
    <t>Fig 5</t>
  </si>
  <si>
    <t>Head-node at Vera's post-cut SOCAMM 0.768TB</t>
  </si>
  <si>
    <t>JPM (Sur) 24-Aug-26: Vera 1.5TB -&gt; 768GB, supply-driven</t>
  </si>
  <si>
    <t>Standalone at Fig 5 midpoint 2.5TB</t>
  </si>
  <si>
    <t>Standalone at Fig 5 upper end 3.0TB</t>
  </si>
  <si>
    <t>All three classes at Fig 5 C2030E midpoints (1.0 / 1.75 / 2.5TB)</t>
  </si>
  <si>
    <t>Fig 5 midpoints AND vendor-capacity supply</t>
  </si>
  <si>
    <t>traditional + head nodes alone exceed supply -&gt; zero standalone</t>
  </si>
  <si>
    <t>Holds traditional 30MM and head-node 22MM units and all ASPs fixed; only TB/CPU and supply move. Standalone capped at 95MM (Fig 4).</t>
  </si>
  <si>
    <t>H. Guardrails (independent anchors on Cross_Check; report-internal checks on Report_Tieouts)</t>
  </si>
  <si>
    <t>Guardrail</t>
  </si>
  <si>
    <t>Value A</t>
  </si>
  <si>
    <t>Value B</t>
  </si>
  <si>
    <t>Value C</t>
  </si>
  <si>
    <t>Spread / diff</t>
  </si>
  <si>
    <t>Status</t>
  </si>
  <si>
    <t>What it tests</t>
  </si>
  <si>
    <t>Identity: Fig 8's C2030E DRAM column sums to Fig 7's supply (77EB)</t>
  </si>
  <si>
    <t>UBS sized the base so CPU DRAM = its 77EB supply estimate. An internal identity — it proves consistency, not that memory (rather than demand) set the unit count</t>
  </si>
  <si>
    <t>Level 2025: server DRAM — UBS note Fig 8 (14) vs Bernstein S&amp;D vs UBS memory team (EB)</t>
  </si>
  <si>
    <t>ANCHOR</t>
  </si>
  <si>
    <t>Independent starting level (two other models): 14 vs 12.1 vs 15.1EB, and the note's own Fig 7 says 11EB -&gt; 11-15EB, same order of magnitude but +/-25%, so it is borderline rather than a pass. Bernstein/UBS-memory are END-DEMAND; Fig 7 is a supply allocation</t>
  </si>
  <si>
    <t>Level 2027E: server DRAM — UBS note Fig 7 ex-CXL (27) vs Bernstein vs UBS memory team (EB)</t>
  </si>
  <si>
    <t>Forecast fork: Bernstein 23EB vs UBS memory team 40EB (its 3-Jul-26 client model — 16 weeks older than this note; refresh from the latest UBS Memory Semis Monthly before leaning on it). The CPU note's 27EB sits in between</t>
  </si>
  <si>
    <t>Intensity 2025: TB per CPU — UBS TAM basis (14EB/23MM) vs Bernstein (12.1EB/30.6MM) vs UBS EB on its own Fig 25 units (14EB/29.9MM)</t>
  </si>
  <si>
    <t>Both terms differ (EB 14 vs 12.1 = 1.16x; CPUs 23 vs 30.6 = 1.33x), but the CPU count is the bigger gap: UBS's TAM table starts from 23MM while its own Mercury chart (Fig 25) shows 29.9MM and Bernstein 30.6MM (Bernstein's row excludes NVDA's LPDDR-based Grace, ~1.2MM). On ~30MM, 2025 intensity is ~0.4-0.47TB per CPU shipped, not ~0.6</t>
  </si>
  <si>
    <t>Head-node TB/CPU C2030E vs Vera SOCAMM today (after the JPM-reported cut)</t>
  </si>
  <si>
    <t>UBS assumes 1.5TB per head node in 2030; NVDA already halved Vera to 768GB because DRAM is short — the de-spec UBS predicts is happening on the head node first. Each -0.5TB on 22MM head nodes frees 11EB = ~5.5MM standalone CPUs</t>
  </si>
  <si>
    <t>Report: unconstrained CPUs Fig 8 vs Fig 4 / text</t>
  </si>
  <si>
    <t>169MM vs 147MM: inconsistent with p.1 ('~120MM AI ... before ~30MM traditional'), p.3 (3-4 CPUs/GPU INCLUSIVE of the head node), p.6 ('150MM units') and Fig 9's $548B (built on 147MM). Mechanism not provable (3x44-15 = 117 = 22+95). On UBS's TB/CPU the 147MM need ~238EB (3.1x)</t>
  </si>
  <si>
    <t>Report: traditional TB/CPU C2030E — Fig 8 implied vs Fig 5 stated</t>
  </si>
  <si>
    <t>Fig 8 (base AND unconstrained) uses 0.5TB; Fig 5, p.6 and Fig 15/16 use ~1TB. At 1TB the same 77EB fits ~7MM standalone CPUs and the TAM is ~$176B — a scenario, see G2</t>
  </si>
  <si>
    <t>Report: blended AI CPU TB C2030E — base vs Fig 5 'Blended AI CPU ~2-2.5TB'</t>
  </si>
  <si>
    <t>62EB / 36.5MM = 1.70TB, below the low end of UBS's own range — every class sits at or below the low end of Fig 5</t>
  </si>
  <si>
    <t>Report tie-outs (see Report_Tieouts):</t>
  </si>
  <si>
    <t>Cross-check: independent anchors for server DRAM and DRAM-per-CPU</t>
  </si>
  <si>
    <t>Independent of the CPU note: other houses' / other UBS teams' server-DRAM models on P:\Felipe Monteiro\Memória and wiki-logged spec marks. Read the basis column before comparing.</t>
  </si>
  <si>
    <t>Source: UBS Global Research (Timothy Arcuri, Seth Cho), 'US Semiconductors: $210B Server CPU TAM By C2030; Gated By Memory Supply', 26-Oct-2026</t>
  </si>
  <si>
    <t>Series</t>
  </si>
  <si>
    <t>2023</t>
  </si>
  <si>
    <t>2024</t>
  </si>
  <si>
    <t>2025</t>
  </si>
  <si>
    <t>2026E</t>
  </si>
  <si>
    <t>2027E</t>
  </si>
  <si>
    <t>2028E</t>
  </si>
  <si>
    <t>2030E</t>
  </si>
  <si>
    <t>Source / basis</t>
  </si>
  <si>
    <t>1. Server DRAM (ex-HBM), EB</t>
  </si>
  <si>
    <t>UBS CPU note — Fig 7 server DRAM</t>
  </si>
  <si>
    <t>UBS (Arcuri) 26-Oct-26, Fig 7 (ex-CXL)</t>
  </si>
  <si>
    <t>UBS CPU note — Fig 8 implied DRAM for CPUs</t>
  </si>
  <si>
    <t>UBS (Arcuri) 26-Oct-26, Fig 8 (base case, incl. CXL reuse)</t>
  </si>
  <si>
    <t>Bernstein S&amp;D — server (non-HBM) DRAM demand</t>
  </si>
  <si>
    <t>M Gb</t>
  </si>
  <si>
    <t>Bernstein 'S&amp;D' tab row 142, model 'Updated on Jun, 2026' (P:\...\Memória\Bernstein SxD.xlsx)</t>
  </si>
  <si>
    <t xml:space="preserve">  = EB</t>
  </si>
  <si>
    <t>1 EB = 8,000 M Gb</t>
  </si>
  <si>
    <t>UBS memory team — server DRAM demand</t>
  </si>
  <si>
    <t>UBS Global DRAM NAND model (client file 3-Jul-26; Gaudois/Arcuri memory team), 'DRAM Demand' row 188</t>
  </si>
  <si>
    <t>The UBS model builds its Gb as units x MB x 8/1024, so EB = M Gb x 128/1e6 (= units x content); /8000 would understate by 2.4%. Bernstein/UBS-memory rows are END-DEMAND (unconstrained); the CPU note's Fig 7 is a supply allocation</t>
  </si>
  <si>
    <t>2. Server CPU / server units</t>
  </si>
  <si>
    <t>UBS CPU note — bottom-up CPU units</t>
  </si>
  <si>
    <t>UBS Fig 10 (Mercury-based x86+ARM; text: ~23MM CPUs shipped C2025)</t>
  </si>
  <si>
    <t>Bernstein — server CPUs using DIMM package</t>
  </si>
  <si>
    <t>Bernstein China Semis 'Global Memory Interface Chips' model, row 14 (file dated 13-Jul-26 on P:); incl. Hygon + non-NVDA ARM</t>
  </si>
  <si>
    <t>JPM — server CPU units</t>
  </si>
  <si>
    <t>JPM proprietary server-CPU model (Hung/Hariharan) 12-Jul-26, via wiki assumptions.md server-cpu-tam; 38% CAGR, agentic 155% CAGR</t>
  </si>
  <si>
    <t>UBS note Fig 25 (Mercury/UBSe) x86+ARM units — sum of 4 quarters</t>
  </si>
  <si>
    <t>Same note, p.18 chart (vector geometry, +/-0.01MM/qtr): 2025 = Intel 18.6 + AMD 7.2 + ARM 4.1 = ~29.9MM — vs the 23MM base of its own TAM table; matches Bernstein's 30.6MM</t>
  </si>
  <si>
    <t>Bernstein S&amp;D — server SYSTEM units</t>
  </si>
  <si>
    <t>MM servers</t>
  </si>
  <si>
    <t>Bernstein S&amp;D row 138 (servers, not CPUs)</t>
  </si>
  <si>
    <t>UBS memory team — server units</t>
  </si>
  <si>
    <t>UBS DRAM model 'DRAM Demand' row 24 (Gartner actuals)</t>
  </si>
  <si>
    <t>3. DRAM intensity</t>
  </si>
  <si>
    <t>UBS CPU note — blended TB per CPU</t>
  </si>
  <si>
    <t>TB/CPU</t>
  </si>
  <si>
    <t>Fig 8 EB / Fig 8 units</t>
  </si>
  <si>
    <t>Bernstein — TB per CPU (S&amp;D EB / CPU-model units)</t>
  </si>
  <si>
    <t>Two Bernstein files (different teams/dates) combined — basis: all DIMM-socket CPUs incl. China</t>
  </si>
  <si>
    <t>Bernstein S&amp;D — GB per server system</t>
  </si>
  <si>
    <t>GB/server</t>
  </si>
  <si>
    <t>Bernstein S&amp;D row 140</t>
  </si>
  <si>
    <t>UBS memory team — GB per server</t>
  </si>
  <si>
    <t>UBS DRAM model row 117 (MB/server / 1000)</t>
  </si>
  <si>
    <t>Bernstein — DIMMs per CPU</t>
  </si>
  <si>
    <t>DIMMs/CPU</t>
  </si>
  <si>
    <t>Bernstein memory-interface model row 45 (12/16-channel mix rising; GP slots 50% / AI 70% occupied)</t>
  </si>
  <si>
    <t xml:space="preserve">  implied GB per DIMM</t>
  </si>
  <si>
    <t>GB/DIMM</t>
  </si>
  <si>
    <t>vs UBS Fig 15: 1TB/8 DIMMs = 125GB (trad), 2TB/16 = 125GB (AI)</t>
  </si>
  <si>
    <t>4. Spec-level anchors (per CPU / per GPU)</t>
  </si>
  <si>
    <t>Anchor</t>
  </si>
  <si>
    <t>Source (as logged on the wiki)</t>
  </si>
  <si>
    <t>NVDA Grace LPDDR per CPU</t>
  </si>
  <si>
    <t>Mizuho (DELL note) 2026-06-03 — '~500GB Grace' (NVDA.md)</t>
  </si>
  <si>
    <t>NVDA Vera SOCAMM per CPU — original spec</t>
  </si>
  <si>
    <t>Mizuho 2026-06-03; DAMNANG 2026-04-25 (independent author) — 1.5TB LPDDR5X</t>
  </si>
  <si>
    <t>NVDA Vera SOCAMM per CPU — after supply-driven cut</t>
  </si>
  <si>
    <t>JPM (Harlan Sur) 2026-08-24; JPM memory (Jay Kwon) 2026-08-09 — 'cut 50%, to 768GB per CPU from 1.5TB', 'driven almost exclusively by supply tightness'</t>
  </si>
  <si>
    <t>Vera CPU-only rack: 256 CPUs ~400TB</t>
  </si>
  <si>
    <t>Mizuho 2026-06-03 (~7.9k CPU-only racks 2026E -&gt; ~3EB DRAM)</t>
  </si>
  <si>
    <t>HBM per GPU — VR200 (Rubin)</t>
  </si>
  <si>
    <t>Mizuho (Vijay Rakesh) 2026-08-16 — 288GB HBM4 flat GB300 -&gt; VR200</t>
  </si>
  <si>
    <t>HBM per GPU — VR300 initial / later</t>
  </si>
  <si>
    <t>UBS (Gaudois/Arcuri) Memory Semis Monthly 2026-08-07 — 384GB HBM4, then 512GB HBM4E (vs prior 768GB)</t>
  </si>
  <si>
    <t>HBM per GPU — VR300 HBM4E</t>
  </si>
  <si>
    <t>UBS 2026-08-07</t>
  </si>
  <si>
    <t>UBS C2030E head-node DRAM per CPU (this note)</t>
  </si>
  <si>
    <t>UBS Fig 8 implied (33EB / 22MM)</t>
  </si>
  <si>
    <t>UBS C2030E CPU-side DRAM per accelerator (this note)</t>
  </si>
  <si>
    <t>DRAM_CPU_Link section B</t>
  </si>
  <si>
    <t>Report tie-outs: every arithmetic identity in the note, recomputed</t>
  </si>
  <si>
    <t>OK = ties within the stated tolerance (rounding of printed figures). FLAG = does not tie — an inconsistency in the note itself (the transcription was re-read for each FLAG).</t>
  </si>
  <si>
    <t>#</t>
  </si>
  <si>
    <t>Figure</t>
  </si>
  <si>
    <t>Check</t>
  </si>
  <si>
    <t>Printed</t>
  </si>
  <si>
    <t>Recomputed</t>
  </si>
  <si>
    <t>Tolerance</t>
  </si>
  <si>
    <t>Comment</t>
  </si>
  <si>
    <t>Fig 6</t>
  </si>
  <si>
    <t>Vendor capacities sum to total (2025)</t>
  </si>
  <si>
    <t>rounding</t>
  </si>
  <si>
    <t>Vendor capacities sum to total (2027E)</t>
  </si>
  <si>
    <t>Vendor capacities sum to total (2030E)</t>
  </si>
  <si>
    <t>Fig 7</t>
  </si>
  <si>
    <t>Server DRAM = MU-share total - non-server (2025)</t>
  </si>
  <si>
    <t>Server DRAM = MU-share total - non-server (2027E)</t>
  </si>
  <si>
    <t>Server DRAM = MU-share total - non-server (2030E)</t>
  </si>
  <si>
    <t>Server DRAM on Fig 6 vendor-capacity basis (2030E)</t>
  </si>
  <si>
    <t>69EB uses the 99EB 'MU share' total; on the 89EB vendor-sum total it is 59EB (66EB incl. CXL) — a 10EB basis gap inside the note</t>
  </si>
  <si>
    <t>Fig 6 vs 7</t>
  </si>
  <si>
    <t>Micron capacity (Fig 6) vs MU DRAM ex-HBM (Fig 7), 2030E</t>
  </si>
  <si>
    <t>26EB vs 23EB for the same vendor/year</t>
  </si>
  <si>
    <t>DRAM for CPUs = server + CXL (2027E)</t>
  </si>
  <si>
    <t>DRAM for CPUs = server + CXL (2030E)</t>
  </si>
  <si>
    <t>Fig 7 vs text</t>
  </si>
  <si>
    <t>CXL reuse as % of DRAM for CPUs, 2030E (p.2: 'high-single digits')</t>
  </si>
  <si>
    <t>7/77 = 9.1% fits 'high-single digits'; META math 25% x 25-33% = 6.25-8.25% of fleet memory (p.7 '+6-8%'); 7/69 = 10% of server DRAM — a note, not an error</t>
  </si>
  <si>
    <t>Fig 7 vs 8</t>
  </si>
  <si>
    <t>C2025 DRAM for CPUs: Fig 7 vs Fig 8</t>
  </si>
  <si>
    <t>11EB (supply view) vs 14EB (demand view) for the same year</t>
  </si>
  <si>
    <t>DRAM rows sum to total (2025)</t>
  </si>
  <si>
    <t>DRAM rows sum to total (2027E)</t>
  </si>
  <si>
    <t>DRAM rows sum to total (2030E base)</t>
  </si>
  <si>
    <t>DRAM rows sum to total (2030E unconstr.)</t>
  </si>
  <si>
    <t>CPU rows sum to total (2025)</t>
  </si>
  <si>
    <t>CPU rows sum to total (2027E)</t>
  </si>
  <si>
    <t>CPU rows sum to total (2030E base)</t>
  </si>
  <si>
    <t>CPU rows sum to total (2030E unconstr.)</t>
  </si>
  <si>
    <t>Fig 8 vs 4</t>
  </si>
  <si>
    <t>Unconstrained total CPUs: Fig 8 vs Fig 4</t>
  </si>
  <si>
    <t>Fig 8's standalone row carries 117 (= Fig 4's total AI CPUs, 22 head + 95 standalone): 169MM vs 147MM in Fig 4, '~150MM' on p.6, '~120MM AI before ~30MM traditional' on p.1, and Fig 9's $548B. Head nodes appear counted twice (mechanism not provable: 3x44-15 also = 117)</t>
  </si>
  <si>
    <t>Unconstrained DRAM: printed vs 147MM on Fig 8's own TB/CPU</t>
  </si>
  <si>
    <t>282EB -&gt; ~238EB on UBS's content (3.1x the base, not 3.5-3.7x)</t>
  </si>
  <si>
    <t>Fig 8 vs 5</t>
  </si>
  <si>
    <t>C2030E traditional TB/CPU: Fig 8 implied vs Fig 5 stated ~1.0TB</t>
  </si>
  <si>
    <t>The 77EB base case holds traditional CPUs at 0.5TB; at Fig 5's ~1.0TB the base case needs +15EB (DRAM_CPU_Link section D)</t>
  </si>
  <si>
    <t>C2030E head-node TB/CPU inside Fig 5 range (1.5-2TB, mid)</t>
  </si>
  <si>
    <t>at the low end of the range</t>
  </si>
  <si>
    <t>C2030E standalone TB/CPU inside Fig 5 range (2-3TB, mid)</t>
  </si>
  <si>
    <t>29/15 = 1.93 on the rounded print; 29/14.5 = 2.0TB on the unrounded count = LOW END of the 2-3TB range</t>
  </si>
  <si>
    <t>C2030E blended AI CPU TB vs Fig 5 'Blended AI CPU ~2-2.5TB' (low end)</t>
  </si>
  <si>
    <t>62EB / 36.5MM = 1.70TB — below the low end of UBS's own stated range</t>
  </si>
  <si>
    <t>Corrected unconstrained (147MM) DRAM at Fig 5 C2030E midpoints vs title '~4x'</t>
  </si>
  <si>
    <t>30x1.0 + 22x1.75 + 95x2.5 = ~306EB = 4.0x the 77EB base — the title's '~4x' holds on Fig 5 content even on the 147MM count; 238EB (3.1x) is the fix on Fig 8's own TB/CPU</t>
  </si>
  <si>
    <t>Text</t>
  </si>
  <si>
    <t>Unconstrained DRAM multiple vs base (text: '3.5x')</t>
  </si>
  <si>
    <t>282/77 = 3.66x</t>
  </si>
  <si>
    <t>Fig 4</t>
  </si>
  <si>
    <t>Head node + standalone = AI CPUs (2027E)</t>
  </si>
  <si>
    <t>AI CPU $B = units x ASP (2027E)</t>
  </si>
  <si>
    <t>AI ASP = unit-weighted head/standalone ASP (2027E)</t>
  </si>
  <si>
    <t>Total TAM = AI $ + traditional $ (2027E)</t>
  </si>
  <si>
    <t>Total CPUs = AI + traditional (2027E)</t>
  </si>
  <si>
    <t>CPU-to-GPU attach = AI CPUs / accelerators (2027E)</t>
  </si>
  <si>
    <t>Head node + standalone = AI CPUs (2030E)</t>
  </si>
  <si>
    <t>AI CPU $B = units x ASP (2030E)</t>
  </si>
  <si>
    <t>AI ASP = unit-weighted head/standalone ASP (2030E)</t>
  </si>
  <si>
    <t>Total TAM = AI $ + traditional $ (2030E)</t>
  </si>
  <si>
    <t>Total CPUs = AI + traditional (2030E)</t>
  </si>
  <si>
    <t>CPU-to-GPU attach = AI CPUs / accelerators (2030E)</t>
  </si>
  <si>
    <t>Traditional $B = units x ASP (2025)</t>
  </si>
  <si>
    <t>Bottom-up units = traditional + AI (2025)</t>
  </si>
  <si>
    <t>Bottom-up TAM = traditional $ + AI $ (2025)</t>
  </si>
  <si>
    <t>Traditional $B = units x ASP (2027E)</t>
  </si>
  <si>
    <t>Bottom-up units = traditional + AI (2027E)</t>
  </si>
  <si>
    <t>Bottom-up TAM = traditional $ + AI $ (2027E)</t>
  </si>
  <si>
    <t>Traditional $B = units x ASP (2030E)</t>
  </si>
  <si>
    <t>Bottom-up units = traditional + AI (2030E)</t>
  </si>
  <si>
    <t>Bottom-up TAM = traditional $ + AI $ (2030E)</t>
  </si>
  <si>
    <t>16 x $3,058 = $48.9B vs $48B (rounded units)</t>
  </si>
  <si>
    <t>AI ASP = weighted head/standalone (2027E)</t>
  </si>
  <si>
    <t>CPU per GPU attach (2027E)</t>
  </si>
  <si>
    <t>37 x $4,378 = $162B vs $160B printed — the printed 37MM is rounded: standalone is 0.33 x 44 = 14.5MM (row below)</t>
  </si>
  <si>
    <t>AI ASP = weighted head/standalone (2030E)</t>
  </si>
  <si>
    <t>CPU per GPU attach (2030E)</t>
  </si>
  <si>
    <t>Fig 10/11</t>
  </si>
  <si>
    <t>C2030E AI CPU $B with unrounded standalone (0.33 x 44 = 14.5MM)</t>
  </si>
  <si>
    <t>ties: $159.8B</t>
  </si>
  <si>
    <t>C2030E bottom-up TAM with unrounded standalone</t>
  </si>
  <si>
    <t>ties: $208.0B</t>
  </si>
  <si>
    <t>Traditional units follow the stated 8% CAGR (2027E: 20 x 1.08^2)</t>
  </si>
  <si>
    <t>26MM printed vs 23.3MM on the stated 8% CAGR (2030E's 30MM does fit 8%: 29.4)</t>
  </si>
  <si>
    <t>Traditional units follow the stated 8% CAGR (2030E)</t>
  </si>
  <si>
    <t>Traditional ASP follows 1.5 x 4% CAGR (2030E)</t>
  </si>
  <si>
    <t>Top-down AI CPU $ = 80MM x $3,000</t>
  </si>
  <si>
    <t>Fig 12</t>
  </si>
  <si>
    <t>Segments (units x ASP) sum to bar total (2025)</t>
  </si>
  <si>
    <t>Segments (units x ASP) sum to bar total (2027E)</t>
  </si>
  <si>
    <t>Segments (units x ASP) sum to bar total (2030E)</t>
  </si>
  <si>
    <t>Fig 15</t>
  </si>
  <si>
    <t>Total W per traditional CPU (250 + 8 x 15)</t>
  </si>
  <si>
    <t>Total W per AI CPU (450 + 16 x 15)</t>
  </si>
  <si>
    <t>Traditional CPUs per GW</t>
  </si>
  <si>
    <t>AI CPUs per GW</t>
  </si>
  <si>
    <t>CPU capex per GW, traditional ($B)</t>
  </si>
  <si>
    <t>CPU capex per GW, AI ($B)</t>
  </si>
  <si>
    <t>Memory capex per GW at the printed $12K/TB x 1TB, traditional ($B)</t>
  </si>
  <si>
    <t>printed 13.5 vs 32.4 on the table's own '$12K/1TB' and '1TB' cells</t>
  </si>
  <si>
    <t>Memory capex per GW at the printed $12K/TB x 2TB, AI ($B)</t>
  </si>
  <si>
    <t>printed 29.0 vs 34.8</t>
  </si>
  <si>
    <t>Memory capex per GW at $10K/TB x 0.5TB (Fig 8's traditional TB)</t>
  </si>
  <si>
    <t>ties exactly -&gt; the capex row was built at $10K/TB on Fig 8's 0.5TB; the '1TB' and '$12K' cells are the inconsistent ones</t>
  </si>
  <si>
    <t>Memory capex per GW at $10K/TB x 2TB, AI</t>
  </si>
  <si>
    <t>ties exactly</t>
  </si>
  <si>
    <t>Fig 16</t>
  </si>
  <si>
    <t>Traditional GW = units x 370W (2025)</t>
  </si>
  <si>
    <t>Standalone GW = units x 690W (2025)</t>
  </si>
  <si>
    <t>Fig 17/18</t>
  </si>
  <si>
    <t>Fig 18 = Fig 17 x PUE 1.12 (2025)</t>
  </si>
  <si>
    <t>Traditional GW = units x 370W (2027E)</t>
  </si>
  <si>
    <t>Standalone GW = units x 690W (2027E)</t>
  </si>
  <si>
    <t>Fig 18 = Fig 17 x PUE 1.12 (2027E)</t>
  </si>
  <si>
    <t>Traditional GW = units x 370W (2030E)</t>
  </si>
  <si>
    <t>Standalone GW = units x 690W (2030E)</t>
  </si>
  <si>
    <t>Fig 18 = Fig 17 x PUE 1.12 (2030E)</t>
  </si>
  <si>
    <t>Fig 19</t>
  </si>
  <si>
    <t>AMD + INTC + ARM = total</t>
  </si>
  <si>
    <t>ARM sub-rows sum to ARM</t>
  </si>
  <si>
    <t>Fig 19 vs 10</t>
  </si>
  <si>
    <t>C2030E revenue split total = Fig 10 bottom-up TAM</t>
  </si>
  <si>
    <t>Fig 10 vs 25</t>
  </si>
  <si>
    <t>C2025 server CPU units: Fig 10 bottom-up vs Fig 25 Mercury chart (sum of 4 quarters)</t>
  </si>
  <si>
    <t>23MM in the TAM table vs ~29.9MM x86+ARM units in the note's own Mercury chart (Bernstein: 30.6MM). The C2025 base — and the 8% CAGR off it — looks ~7MM low</t>
  </si>
  <si>
    <t>Fig 1</t>
  </si>
  <si>
    <t>Blended CPU:GPU: printed 4:1 vs printed 421 cores / 128 cores per CPU</t>
  </si>
  <si>
    <t>In every row cores:GPU = 128 x CPU:GPU, so the printed 421 implies 3.29:1 whatever the weights. The table's '4:1' is the outlier; the text's '~3:1' and 'we use 3:1' agree with 421</t>
  </si>
  <si>
    <t>Fig 3</t>
  </si>
  <si>
    <t>Muse CPUs used, base case</t>
  </si>
  <si>
    <t>2,382 printed vs 2,381</t>
  </si>
  <si>
    <t>Muse CPUs used, high engagement</t>
  </si>
  <si>
    <t>4,012 printed vs 4,013</t>
  </si>
  <si>
    <t>Count</t>
  </si>
  <si>
    <t>Figure 1: CPU requirements vary by different workloads (p.3)</t>
  </si>
  <si>
    <t>UBS layering of Dell white paper 'Characterizing CPU Demand for Agentic AI: Three Agentic Workloads on the Dell PowerEdge R7725' (14-Sep-26); R7725 = 2x AMD Turin 64-core CPUs</t>
  </si>
  <si>
    <t>Source: UBS Global Research (Timothy Arcuri, Seth Cho), 'US Semiconductors: $210B Server CPU TAM By C2030; Gated By Memory Supply', 26-Oct-2026 — Fig 1</t>
  </si>
  <si>
    <t>Workload tested</t>
  </si>
  <si>
    <t>What the agent does</t>
  </si>
  <si>
    <t>Workload CPU requirements</t>
  </si>
  <si>
    <t>CPU quota per agent (cores)</t>
  </si>
  <si>
    <t>Sustained agents on 2x AMD 64-core Turin</t>
  </si>
  <si>
    <t>Measured CPU:GPU demand (x:1)</t>
  </si>
  <si>
    <t>% of consumer agentic workload (UBSe)</t>
  </si>
  <si>
    <t>Measured CPU cores:GPU (x:1)</t>
  </si>
  <si>
    <t>Check: cores/GPU = CPU:GPU x 128 cores</t>
  </si>
  <si>
    <t>Workload 1: pypi-server</t>
  </si>
  <si>
    <t>Writes a Python package and serves it from a local package index</t>
  </si>
  <si>
    <t>Light CPU: mostly model/code generation with short tool calls</t>
  </si>
  <si>
    <t>Workload 2: sqlite-with-gcov</t>
  </si>
  <si>
    <t>Compiles SQLite with code-coverage instrumentation and fixes build errors</t>
  </si>
  <si>
    <t>Bursty CPU: compiler runs substantially between model reasoning turns</t>
  </si>
  <si>
    <t>Workload 3: mcmc-sampling-stan</t>
  </si>
  <si>
    <t>Writes a statistical model, compiles it, then runs computationally heavy sampling</t>
  </si>
  <si>
    <t>Heavy CPU/HPC: sustained multi-core numerical computation</t>
  </si>
  <si>
    <t>printed '&lt;5%' — 5% used as upper bound</t>
  </si>
  <si>
    <t>Blended CPU ratio (printed)</t>
  </si>
  <si>
    <t>CPU:GPU</t>
  </si>
  <si>
    <t>printed 4:1</t>
  </si>
  <si>
    <t>CPU cores:GPU</t>
  </si>
  <si>
    <t>Recompute: mix-weighted (workload 3 at 5%)</t>
  </si>
  <si>
    <t>Recompute: workload 3 weight that reproduces 421:1</t>
  </si>
  <si>
    <t>Each row has cores:GPU = 128 x CPU:GPU (2 x 64-core Turin), so the printed blended 421 cores:GPU implies 421/128 = 3.29:1 whatever the weights (a ~3% weight on workload 3 reproduces it). The table's '4:1' is the outlier; the text's '~3:1' / 'we use 3:1' agree with 421.</t>
  </si>
  <si>
    <t>Note text (p.3-4): layering this over Dell -&gt; ~3:1 CPU:GPU on the current CPU generation, ~400 cores:1 GPU; core counts double every ~3-4 yrs (~500 cores/CPU by decade-end) but accelerator perf rises too -&gt; UBS uses 3:1 in its demand estimate. Prior framework: ~0.33 standalone + ~0.5 head-node = ~0.85 CPUs/GPU.</t>
  </si>
  <si>
    <t>Figures 2-3: META Muse CPU sizing (p.4-5)</t>
  </si>
  <si>
    <t>Muse ~2.5MM DAUs weeks after release; UBS: Muse is a demand signal, not a needle mover (~1MM units even at 1B users with 5-10% provisioning vs ~23MM CPUs shipped C2025)</t>
  </si>
  <si>
    <t>Source: UBS Global Research (Timothy Arcuri, Seth Cho), 'US Semiconductors: $210B Server CPU TAM By C2030; Gated By Memory Supply', 26-Oct-2026 — Figs 2, 3</t>
  </si>
  <si>
    <t>Figure 2: META Muse Sensitivity Table</t>
  </si>
  <si>
    <t>Scenario input</t>
  </si>
  <si>
    <t>Base Case</t>
  </si>
  <si>
    <t>High Engagement</t>
  </si>
  <si>
    <t>Notes (as printed)</t>
  </si>
  <si>
    <t>Daily Active Users (DAU)</t>
  </si>
  <si>
    <t>UBSe (printed '3MM')</t>
  </si>
  <si>
    <t>Peak Concurrent Sandboxes (% of DAU)</t>
  </si>
  <si>
    <t>UBSe</t>
  </si>
  <si>
    <t>vCPUs per Sandbox</t>
  </si>
  <si>
    <t>META</t>
  </si>
  <si>
    <t>Oversubscription</t>
  </si>
  <si>
    <t>Conservative vs. Firecracker/DeepSeek</t>
  </si>
  <si>
    <t>Cores per CPU</t>
  </si>
  <si>
    <t>AMD EPYC 9D25 (126 cores/252 threads)</t>
  </si>
  <si>
    <t>Math</t>
  </si>
  <si>
    <t>Base (recomputed)</t>
  </si>
  <si>
    <t>High (recomputed)</t>
  </si>
  <si>
    <t>Printed base</t>
  </si>
  <si>
    <t>Printed high</t>
  </si>
  <si>
    <t>Math (as printed)</t>
  </si>
  <si>
    <t>Concurrent Sandboxes</t>
  </si>
  <si>
    <t>1MM</t>
  </si>
  <si>
    <t>2MM</t>
  </si>
  <si>
    <t>DAU x Concurrency</t>
  </si>
  <si>
    <t>vCPUs Demanded</t>
  </si>
  <si>
    <t>3MM</t>
  </si>
  <si>
    <t>Sandboxes x vCPUs per Sandbox</t>
  </si>
  <si>
    <t>Cores Needed</t>
  </si>
  <si>
    <t>375K</t>
  </si>
  <si>
    <t>vCPUs / Oversubscription</t>
  </si>
  <si>
    <t>CPU Units (EPYC chips)</t>
  </si>
  <si>
    <t>2.98K</t>
  </si>
  <si>
    <t>23.81K</t>
  </si>
  <si>
    <t>Cores needed / Cores per CPU</t>
  </si>
  <si>
    <t>Printed 'Concurrent Sandboxes 1MM / vCPUs 2MM' are rounded from 0.75MM / 1.5MM; the cores and CPU-unit lines use the unrounded values.</t>
  </si>
  <si>
    <t># of CPU units — concurrency x oversubscription (printed)</t>
  </si>
  <si>
    <t>Concurrency</t>
  </si>
  <si>
    <t>1x</t>
  </si>
  <si>
    <t>2x</t>
  </si>
  <si>
    <t>4x</t>
  </si>
  <si>
    <t>8x</t>
  </si>
  <si>
    <t>Check 1x (recomputed)</t>
  </si>
  <si>
    <t>Max |printed - recomputed| in row</t>
  </si>
  <si>
    <t>Figure 3: Assuming 5-10% Target Utilization (thread-based sizing)</t>
  </si>
  <si>
    <t>Base recomputed</t>
  </si>
  <si>
    <t>High recomputed</t>
  </si>
  <si>
    <t>Daily Active Users (DAUs)</t>
  </si>
  <si>
    <t>Unique users who open Muse on a given day</t>
  </si>
  <si>
    <t>(x) vCPUs per Sandbox</t>
  </si>
  <si>
    <t>Virtual CPUs allocated to each user's virtual machine (VM)</t>
  </si>
  <si>
    <t>Total Capacity Needed (Threads)</t>
  </si>
  <si>
    <t>Hardware needed if every DAU ran at once on dedicated hardware at one thread per vCPU</t>
  </si>
  <si>
    <t>(x) Peak Concurrent Sandboxes (% of DAUs)</t>
  </si>
  <si>
    <t>UBSe share of DAU with a live sandbox (a running VM, whether active or idle) during peak hours</t>
  </si>
  <si>
    <t>Concurrent sandboxes</t>
  </si>
  <si>
    <t># of VMs alive at peak</t>
  </si>
  <si>
    <t>(/) Target Utilization</t>
  </si>
  <si>
    <t>UBSe how fully the provisioned capacity runs at peak, remainder = headroom</t>
  </si>
  <si>
    <t>Sandboxes Provisioned</t>
  </si>
  <si>
    <t>Sandbox slots built, including headroom</t>
  </si>
  <si>
    <t>vCPUs Provisioned</t>
  </si>
  <si>
    <t>vCPUs across all provisioned slots</t>
  </si>
  <si>
    <t>(/) Oversubscription</t>
  </si>
  <si>
    <t>UBSe vCPUs sharing one physical hardware thread (benchmarked vs DeepSeek and AWS)</t>
  </si>
  <si>
    <t>Threads Provisioned</t>
  </si>
  <si>
    <t>Physical hardware threads needed after sharing</t>
  </si>
  <si>
    <t>Hardware Deployed (% of total capacity)</t>
  </si>
  <si>
    <t>UBSe: heavily oversubscribed cloud workloads deploy 5-10% of dedicated-equivalent hardware in base case</t>
  </si>
  <si>
    <t>(/) Usable Threads per CPU</t>
  </si>
  <si>
    <t>Hardware threads available for sandboxes after host OS and hypervisor take their share</t>
  </si>
  <si>
    <t># of CPUs being used</t>
  </si>
  <si>
    <t># of CPUs required</t>
  </si>
  <si>
    <t>Printed 2,382 / 4,012 vs recomputed 2,381 / 4,013 (rounding in the note). Text: ~2,382 CPUs for 3MM DAUs base, ~4,012 high; deployed hardware = 10-15% of dedicated capacity.</t>
  </si>
  <si>
    <t>Figure 4: Unconstrained Estimates Suggest a $500B+ CPU TAM by C2030 (p.6)</t>
  </si>
  <si>
    <t>Source: UBS Global Research (Timothy Arcuri, Seth Cho), 'US Semiconductors: $210B Server CPU TAM By C2030; Gated By Memory Supply', 26-Oct-2026 — Fig 4 (UBS estimates)</t>
  </si>
  <si>
    <t>Unconstrained Demand Ests</t>
  </si>
  <si>
    <t>Accelerators (NVDA, AMD, TPU, Trn), MM</t>
  </si>
  <si>
    <t>Assumes units stay the same but TDP/performance increases; printed '~44'</t>
  </si>
  <si>
    <t xml:space="preserve"> Head node CPU, MM</t>
  </si>
  <si>
    <t>UBSe based announced systems; printed '~22'</t>
  </si>
  <si>
    <t xml:space="preserve">  Head Node CPU-to-GPU attach rate</t>
  </si>
  <si>
    <t xml:space="preserve">  Head Node ASP ($)</t>
  </si>
  <si>
    <t>Higher ASP given higher portion of NVDA CPUs</t>
  </si>
  <si>
    <t xml:space="preserve"> Standalone (outside of rack), MM</t>
  </si>
  <si>
    <t>Additional CPU units outside of rack; printed '~20' / '~95'</t>
  </si>
  <si>
    <t xml:space="preserve">  Standalone CPU-to-GPU attach rate</t>
  </si>
  <si>
    <t>3CPU:1GPU target ratio ex-head nodes and 50% of trad CPUs for tool calls</t>
  </si>
  <si>
    <t xml:space="preserve">  Standalone CPU ASP ($)</t>
  </si>
  <si>
    <t>Assumes higher share of x86 even over time for multithread</t>
  </si>
  <si>
    <t>AI CPU Market (Bottom-up Ests), MM</t>
  </si>
  <si>
    <t>AI CPU ASP ($)</t>
  </si>
  <si>
    <t>Higher core counts and clock speeds increasing ASPs (row printed 'AI CPU ASP, K' but values are $)</t>
  </si>
  <si>
    <t>AI CPU Market (Bottom-up Ests), $B</t>
  </si>
  <si>
    <t>CPU-to-GPU Attach</t>
  </si>
  <si>
    <t>Implied Total CPUs (AI + Traditional), MM</t>
  </si>
  <si>
    <t>Implied Total CPU TAM, $B</t>
  </si>
  <si>
    <t>Implied DRAM Memory, EB</t>
  </si>
  <si>
    <t>Row printed blank in Fig 4 — the DRAM figure (282EB) is in Fig 8</t>
  </si>
  <si>
    <t>Figure 5: Memory Demand For Agentic Workloads is 3-4x Higher vs Traditional CPUs (p.6)</t>
  </si>
  <si>
    <t>Source: UBS Global Research (Timothy Arcuri, Seth Cho), 'US Semiconductors: $210B Server CPU TAM By C2030; Gated By Memory Supply', 26-Oct-2026 — Fig 5 (UBS Research)</t>
  </si>
  <si>
    <t>DRAM / CPU (TB) — as printed</t>
  </si>
  <si>
    <t>C2025/26</t>
  </si>
  <si>
    <t>C2026/27</t>
  </si>
  <si>
    <t>C2030E</t>
  </si>
  <si>
    <t>Growth</t>
  </si>
  <si>
    <t>low 25/26</t>
  </si>
  <si>
    <t>high 25/26</t>
  </si>
  <si>
    <t>low 26/27</t>
  </si>
  <si>
    <t>high 26/27</t>
  </si>
  <si>
    <t>low 30E</t>
  </si>
  <si>
    <t>high 30E</t>
  </si>
  <si>
    <t>mid 25/26</t>
  </si>
  <si>
    <t>mid 26/27</t>
  </si>
  <si>
    <t>mid 30E</t>
  </si>
  <si>
    <t>Traditional CPU</t>
  </si>
  <si>
    <t>~0.25-0.5TB</t>
  </si>
  <si>
    <t>~0.5-0.75TB</t>
  </si>
  <si>
    <t>~1.0TB</t>
  </si>
  <si>
    <t>~1.5-2x</t>
  </si>
  <si>
    <t>AI head-node CPU</t>
  </si>
  <si>
    <t>~1-1.5TB</t>
  </si>
  <si>
    <t>~1.5-2TB</t>
  </si>
  <si>
    <t>~1.5x</t>
  </si>
  <si>
    <t>AI standalone / agentic CPU</t>
  </si>
  <si>
    <t>~2-3TB</t>
  </si>
  <si>
    <t>Blended AI CPU</t>
  </si>
  <si>
    <t>~1.5TB</t>
  </si>
  <si>
    <t>~2-2.5TB</t>
  </si>
  <si>
    <t>Text (p.6): traditional ~0.5TB today -&gt; ~1TB by end of decade; AI head-node already &gt;1.5TB -&gt; ~2TB; AI standalone may reach ~3TB over the next few generations. Low/high/mid columns are the printed ranges split into numbers for the link sheet.</t>
  </si>
  <si>
    <t>Figures 6-7: UBSe DRAM capacity by vendor and ex-HBM DRAM available for CPUs (p.6-7)</t>
  </si>
  <si>
    <t>Source: UBS Global Research (Timothy Arcuri, Seth Cho), 'US Semiconductors: $210B Server CPU TAM By C2030; Gated By Memory Supply', 26-Oct-2026 — Figs 6, 7 (UBS Research)</t>
  </si>
  <si>
    <t>Figure 6: UBSe DRAM Capacity by Vendor (EB)</t>
  </si>
  <si>
    <t>Samsung</t>
  </si>
  <si>
    <t>SK Hynix</t>
  </si>
  <si>
    <t>Micron</t>
  </si>
  <si>
    <t>CXMT</t>
  </si>
  <si>
    <t>Total</t>
  </si>
  <si>
    <t>printed total</t>
  </si>
  <si>
    <t>Sum of vendors (recomputed)</t>
  </si>
  <si>
    <t>Figure 7: Our Current Base Case Memory Model Suggests 77EB for Server DRAM in C2030</t>
  </si>
  <si>
    <t>ex-HBM DRAM Market (EB)</t>
  </si>
  <si>
    <t>MU DRAM ex-HBM</t>
  </si>
  <si>
    <t>Total Mkt (MU share, UBS Ests)</t>
  </si>
  <si>
    <t>MU ex-HBM / assumed MU share</t>
  </si>
  <si>
    <t>Total non-HBM DRAM Mkt</t>
  </si>
  <si>
    <t>equals Fig 6 total</t>
  </si>
  <si>
    <t>Non-Server DRAM</t>
  </si>
  <si>
    <t>Server DRAM Memory</t>
  </si>
  <si>
    <t>Old DDR Reuse via CXL (UBS Ests)</t>
  </si>
  <si>
    <t>Total DRAM Memory for CPUs, EB</t>
  </si>
  <si>
    <t>Server DRAM = MU-share total - non-server (recomputed)</t>
  </si>
  <si>
    <t>Server DRAM = vendor total - non-server (recomputed)</t>
  </si>
  <si>
    <t>Implied MU share of non-HBM DRAM (MU / MU-share total)</t>
  </si>
  <si>
    <t>CXL reuse as % of server DRAM</t>
  </si>
  <si>
    <t>Text (p.7): META at AI Infra Summit showed a 1TB server using a 3:1 mix of DDR5 RDIMMs and CXL-attached DDR4; usable in 25-33% of 4 META CPU-workload fleets -&gt; UBS: +6-8% memory capacity via reuse of older RDIMMs (experts: high-single-digit %).</t>
  </si>
  <si>
    <t>Figure 8: The 3:1 CPU:GPU Attach Ratio Results in DRAM Demand ~4x Above UBS Estimates (p.7)</t>
  </si>
  <si>
    <t>Source: UBS Global Research (Timothy Arcuri, Seth Cho), 'US Semiconductors: $210B Server CPU TAM By C2030; Gated By Memory Supply', 26-Oct-2026 — Figs 8, 9 (UBS estimates)</t>
  </si>
  <si>
    <t>DRAM / CPU</t>
  </si>
  <si>
    <t>C2025 CPU, MM</t>
  </si>
  <si>
    <t>C2025 DRAM, EB</t>
  </si>
  <si>
    <t>C2027E CPU, MM</t>
  </si>
  <si>
    <t>C2027E DRAM, EB</t>
  </si>
  <si>
    <t>C2030E Base CPU, MM</t>
  </si>
  <si>
    <t>C2030E Base DRAM, EB</t>
  </si>
  <si>
    <t>C2030E Unconstr. CPU, MM</t>
  </si>
  <si>
    <t>C2030E Unconstr. DRAM, EB</t>
  </si>
  <si>
    <t>Total CPU, MM</t>
  </si>
  <si>
    <t>Implied DRAM, EB</t>
  </si>
  <si>
    <t>Sum of rows (recomputed)</t>
  </si>
  <si>
    <t>Implied TB per CPU (DRAM EB / CPU MM)</t>
  </si>
  <si>
    <t xml:space="preserve">  Traditional CPU</t>
  </si>
  <si>
    <t xml:space="preserve">  AI head-node CPU</t>
  </si>
  <si>
    <t xml:space="preserve">  AI standalone / agentic CPU</t>
  </si>
  <si>
    <t xml:space="preserve">  Blended (total EB / total CPUs)</t>
  </si>
  <si>
    <t>Note: the Unconstrained column puts 117MM in the standalone row — 117MM is Fig 4's TOTAL AI CPU count (22 head-node + 95 standalone), giving 169MM CPUs vs Fig 4's 147MM and the text's '~150MM' (3 x 44 - 15 also equals 117, so the mechanism is not provable). On UBS's own TB/CPU, 147MM CPUs need ~238EB — see Report_Tieouts / DRAM_CPU_Link.</t>
  </si>
  <si>
    <t>Figure 9: Bottom Up TAM Difference (data labels as printed; legend says 'MM units' but values match the $B TAMs of Figs 4/10)</t>
  </si>
  <si>
    <t>UBS CPU TAM ($B; legend printed 'MM units')</t>
  </si>
  <si>
    <t>equals Fig 10 bottom-up TAM</t>
  </si>
  <si>
    <t>Demand CPU TAM ($B; legend printed 'MM units')</t>
  </si>
  <si>
    <t>equals Fig 4 unconstrained TAM</t>
  </si>
  <si>
    <t>Figures 10-12: Updated ~$210B C2030 CPU TAM framework (p.8)</t>
  </si>
  <si>
    <t>Source: UBS Global Research (Timothy Arcuri, Seth Cho), 'US Semiconductors: $210B Server CPU TAM By C2030; Gated By Memory Supply', 26-Oct-2026 — Figs 10, 11, 12 (UBS estimates; Fig 12 also Mercury Research)</t>
  </si>
  <si>
    <t>Figure 10: Our Estimates Suggest a ~$210B TAM by C2030</t>
  </si>
  <si>
    <t>Estimate</t>
  </si>
  <si>
    <t>Traditional CPU Market</t>
  </si>
  <si>
    <t xml:space="preserve"> Traditional CPU Market, MM</t>
  </si>
  <si>
    <t>Grows from 2025 at 8% CAGR like C2005-2020</t>
  </si>
  <si>
    <t xml:space="preserve"> Traditional CPU ASP ($)</t>
  </si>
  <si>
    <t>Grows from 2025 at 1.5x 4% CAGR like C2005-2020 (row printed 'ASP, K' but values are $)</t>
  </si>
  <si>
    <t xml:space="preserve"> Traditional Market, $B</t>
  </si>
  <si>
    <t>Implied by units and ASPs</t>
  </si>
  <si>
    <t>AI CPU (Bottom-Up)</t>
  </si>
  <si>
    <t xml:space="preserve"> AI Accelerator Units (Bottom-Up), MM</t>
  </si>
  <si>
    <t>Largest programs (NVDA, AMD, TPU, Trn), ex-China</t>
  </si>
  <si>
    <t xml:space="preserve"> AI CPU Market (Bottom-Up Ests), MM</t>
  </si>
  <si>
    <t xml:space="preserve">  Head Node</t>
  </si>
  <si>
    <t xml:space="preserve">  Standalone</t>
  </si>
  <si>
    <t>Additional CPU units outside of rack</t>
  </si>
  <si>
    <t xml:space="preserve"> AI CPU ASP ($)</t>
  </si>
  <si>
    <t>Higher core count and clock speed increasing ASPs</t>
  </si>
  <si>
    <t xml:space="preserve"> AI CPU Market (Bottom-up Ests), $B</t>
  </si>
  <si>
    <t>AI CPU (Top-Down)</t>
  </si>
  <si>
    <t xml:space="preserve"> AI CPU Market (Top-Down Ests), MM</t>
  </si>
  <si>
    <t>TAM based on 3-4T AI Spend, and 1-to-1 CPU/GPU attach</t>
  </si>
  <si>
    <t xml:space="preserve"> AI CPU ASP ($) top-down</t>
  </si>
  <si>
    <t>UBS ASP ests</t>
  </si>
  <si>
    <t xml:space="preserve"> AI CPU Market, $B top-down</t>
  </si>
  <si>
    <t>Total Market</t>
  </si>
  <si>
    <t xml:space="preserve"> Bottom-up Units, MM</t>
  </si>
  <si>
    <t>Traditional CPU + AI CPU Bottom-up Ests</t>
  </si>
  <si>
    <t xml:space="preserve"> Bottom-up TAM, $B</t>
  </si>
  <si>
    <t xml:space="preserve"> Top-Down CPU Market, MM</t>
  </si>
  <si>
    <t>Traditional CPU + AI CPU Top-Down Ests</t>
  </si>
  <si>
    <t xml:space="preserve"> Top-Down CPU Market, $B</t>
  </si>
  <si>
    <t>Figure 11: AI CPU Bottom-Up TAM Estimate</t>
  </si>
  <si>
    <t>AI CPU Bottom-Up TAM Estimate</t>
  </si>
  <si>
    <t>Accelerators (NVDA, AMD, TPU, Trn)</t>
  </si>
  <si>
    <t>Assumes units stay the same but TDP/performance increases</t>
  </si>
  <si>
    <t xml:space="preserve"> Head Node CPUs, MM</t>
  </si>
  <si>
    <t>UBSe based announced systems</t>
  </si>
  <si>
    <t xml:space="preserve">  Head Node CPU per GPU attach rate</t>
  </si>
  <si>
    <t>Additional CPU units outside of rack; printed '~15'</t>
  </si>
  <si>
    <t xml:space="preserve">  Standalone CPU per GPU attach rate</t>
  </si>
  <si>
    <t>CPU per GPU attach</t>
  </si>
  <si>
    <t>Figure 12: CPU Market To Reach ~$210B By C2030E ($B; stacked bar — totals printed, segments = Fig 10/11 units x ASP)</t>
  </si>
  <si>
    <t>Segment ($B)</t>
  </si>
  <si>
    <t>Basis</t>
  </si>
  <si>
    <t>Traditional servers</t>
  </si>
  <si>
    <t>Fig 10 traditional $B</t>
  </si>
  <si>
    <t>AI Head Node</t>
  </si>
  <si>
    <t>Fig 11 units x ASP</t>
  </si>
  <si>
    <t>AI Standalone</t>
  </si>
  <si>
    <t>Sum of segments</t>
  </si>
  <si>
    <t>Printed bar total</t>
  </si>
  <si>
    <t>Text (p.8): ASP ~$4.4K (vs prior $3.8K/CPU); $4-5K/CPU possible in outer years if ASP/core holds and core counts double (vs $2-2.5K in C2025). AMD sizes the TAM at $220B, NVDA at $200B (no year).</t>
  </si>
  <si>
    <t>Figures 15-18: CPUs per GW and CPU power / compute capacity deployed (p.11-12)</t>
  </si>
  <si>
    <t>Source: UBS Global Research (Timothy Arcuri, Seth Cho), 'US Semiconductors: $210B Server CPU TAM By C2030; Gated By Memory Supply', 26-Oct-2026 — Figs 15-18 (UBS Research)</t>
  </si>
  <si>
    <t>Figure 15: ~2.7MM traditional CPUs per GW, only ~1.4MM AI CPUs</t>
  </si>
  <si>
    <t>CPUs per GW</t>
  </si>
  <si>
    <t>Trad recomputed</t>
  </si>
  <si>
    <t>AI recomputed</t>
  </si>
  <si>
    <t>CPU TDP (W)</t>
  </si>
  <si>
    <t>Approx DRAM / CPU (TB)</t>
  </si>
  <si>
    <t>DRAM/DIMM (W)</t>
  </si>
  <si>
    <t># of DIMMs populated</t>
  </si>
  <si>
    <t>Total TDP per CPU (W)</t>
  </si>
  <si>
    <t># of CPUs per GW</t>
  </si>
  <si>
    <t>CPU ASP ($)</t>
  </si>
  <si>
    <t>CPU+DIMMs Capex per GW, $B</t>
  </si>
  <si>
    <t>Text: CPU+memory capex/GW ~$34B (AI) vs ~$18B (traditional), memory the vast majority of the increase.</t>
  </si>
  <si>
    <t>CPU Capex ($B/GW)</t>
  </si>
  <si>
    <t>Memory Capex ($B/GW; printed '$12K/1TB')</t>
  </si>
  <si>
    <t>Printed memory capex does NOT tie to the table's own 1TB x $12K/TB (recomputed cols: $32.4B / $34.8B). It ties EXACTLY at $10K/TB with traditional at 0.5TB (Fig 8's basis) and AI at 2TB: $5.0K / $20.0K of memory per CPU.</t>
  </si>
  <si>
    <t>Memory price assumption ($ per TB, printed '$12K/1TB')</t>
  </si>
  <si>
    <t>Figure 16: ~21GW of power required for new CPUs in C2030</t>
  </si>
  <si>
    <t>CPU Power, GW</t>
  </si>
  <si>
    <t>Traditional CPUs, MM</t>
  </si>
  <si>
    <t>W per CPU + DIMMs (trad)</t>
  </si>
  <si>
    <t>Traditional Implied GW</t>
  </si>
  <si>
    <t>AI Head node Implied GW</t>
  </si>
  <si>
    <t>printed 'captured in GW racks'</t>
  </si>
  <si>
    <t>AI Standalone CPUs, MM</t>
  </si>
  <si>
    <t>W per CPU + DIMMs (AI)</t>
  </si>
  <si>
    <t>AI Standalone Implied GW</t>
  </si>
  <si>
    <t>Total CPUs, Implied GW</t>
  </si>
  <si>
    <t>Trad GW recomputed</t>
  </si>
  <si>
    <t>Standalone GW recomputed</t>
  </si>
  <si>
    <t>Figures 17-18: GW of annual compute / data-center capacity deployed (stacked bars; totals printed, CPU slice = Fig 16)</t>
  </si>
  <si>
    <t>GW</t>
  </si>
  <si>
    <t>Fig 17 annual compute capacity deployed (GPU+ASIC+CPU), GW</t>
  </si>
  <si>
    <t>printed totals</t>
  </si>
  <si>
    <t xml:space="preserve">  of which CPU (Fig 16), GW</t>
  </si>
  <si>
    <t>Fig 16 total CPUs implied GW</t>
  </si>
  <si>
    <t>Fig 18 annual DC capacity deployed at PUE 1.12, GW</t>
  </si>
  <si>
    <t>Fig 17 x 1.12 (recomputed)</t>
  </si>
  <si>
    <t>CPU share of compute GW</t>
  </si>
  <si>
    <t>GPU/ASIC split of Figs 17-18 is unlabeled in the chart (2030E roughly GPU ~60GW / ASIC ~45GW / CPU ~21GW by eye) — not tabulated. Text: CPU-driven infrastructure ~20% of 2030 annual compute capacity deployed; Fig 18 assumes PUE 1.12.</t>
  </si>
  <si>
    <t>Figures 19-21: C2030E server-CPU revenue split and unit shares (p.13-14)</t>
  </si>
  <si>
    <t>Source: UBS Global Research (Timothy Arcuri, Seth Cho), 'US Semiconductors: $210B Server CPU TAM By C2030; Gated By Memory Supply', 26-Oct-2026 — Figs 19, 20, 21 (UBS estimates / UBS Research)</t>
  </si>
  <si>
    <t>Figure 19: UBSe Server CPU Market Breakdown C2030E</t>
  </si>
  <si>
    <t>(Revenues $B)</t>
  </si>
  <si>
    <t>% (printed)</t>
  </si>
  <si>
    <t>% (recomputed)</t>
  </si>
  <si>
    <t>AMD Server</t>
  </si>
  <si>
    <t>INTC Server</t>
  </si>
  <si>
    <t>ARM Server</t>
  </si>
  <si>
    <t xml:space="preserve"> of which ARM AGI</t>
  </si>
  <si>
    <t xml:space="preserve"> of which NVDA</t>
  </si>
  <si>
    <t xml:space="preserve"> of which Other</t>
  </si>
  <si>
    <t>Total Server CPU</t>
  </si>
  <si>
    <t>Sum AMD+INTC+ARM</t>
  </si>
  <si>
    <t>Sum ARM sub-rows</t>
  </si>
  <si>
    <t>Figures 20-21: unit shares (pie labels)</t>
  </si>
  <si>
    <t>Unit share</t>
  </si>
  <si>
    <t>C2025 traditional CPU (Fig 20)</t>
  </si>
  <si>
    <t>UBSe C2030 total CPU (Fig 21)</t>
  </si>
  <si>
    <t>C2030 revenue share (Fig 19)</t>
  </si>
  <si>
    <t>Implied C2030 ASP ($) = rev / (share x 67MM)</t>
  </si>
  <si>
    <t>INTC</t>
  </si>
  <si>
    <t>AMD</t>
  </si>
  <si>
    <t>ARM</t>
  </si>
  <si>
    <t>Implied ASP column uses Fig 10's 67MM C2030 units: ARM-based revenue includes NVDA Grace/Vera and ARM AGI chips (full-chip $), not royalties. Text: AMD/INTC monetize ~$3-4K per CPU vs ARM IP economics ~$100+/CPU.</t>
  </si>
  <si>
    <t>Figure 23: Server CPU Roadmap (p.16) — approximate timing read off the Gantt bars</t>
  </si>
  <si>
    <t>Source: UBS Global Research (Timothy Arcuri, Seth Cho), 'US Semiconductors: $210B Server CPU TAM By C2030; Gated By Memory Supply', 26-Oct-2026 — Fig 23 (Company reports, UBS research)</t>
  </si>
  <si>
    <t>Vendor</t>
  </si>
  <si>
    <t>Generation / platform</t>
  </si>
  <si>
    <t>Microarchitecture</t>
  </si>
  <si>
    <t>Product family</t>
  </si>
  <si>
    <t>Process</t>
  </si>
  <si>
    <t>Bar start (approx)</t>
  </si>
  <si>
    <t>Bar end (approx)</t>
  </si>
  <si>
    <t>1st Gen</t>
  </si>
  <si>
    <t>Zen</t>
  </si>
  <si>
    <t>Naples</t>
  </si>
  <si>
    <t>14nm</t>
  </si>
  <si>
    <t>2017</t>
  </si>
  <si>
    <t>2019 Q2</t>
  </si>
  <si>
    <t>2nd Gen</t>
  </si>
  <si>
    <t>Zen2</t>
  </si>
  <si>
    <t>General Purpose, Rome</t>
  </si>
  <si>
    <t>7nm, 14nm</t>
  </si>
  <si>
    <t>2019 Q3</t>
  </si>
  <si>
    <t>2021 Q1</t>
  </si>
  <si>
    <t>3rd Gen</t>
  </si>
  <si>
    <t>Zen3, 3D V-Cache</t>
  </si>
  <si>
    <t>General Purpose, Milan; Technical, Milan-X</t>
  </si>
  <si>
    <t>7nm</t>
  </si>
  <si>
    <t>2022 Q3</t>
  </si>
  <si>
    <t>4th Gen</t>
  </si>
  <si>
    <t>Zen4/4C, 3D V-Cache</t>
  </si>
  <si>
    <t>General Purpose, Genoa; Cloud Native - Bergamo; Technical - Genoa-X; Telco - Siena</t>
  </si>
  <si>
    <t>5nm</t>
  </si>
  <si>
    <t>2022 Q4</t>
  </si>
  <si>
    <t>2024 Q3</t>
  </si>
  <si>
    <t>5th Gen</t>
  </si>
  <si>
    <t>Zen5/5c</t>
  </si>
  <si>
    <t>Turin</t>
  </si>
  <si>
    <t>TSMC 3nm</t>
  </si>
  <si>
    <t>2024 Q4</t>
  </si>
  <si>
    <t>2026 Q2</t>
  </si>
  <si>
    <t>6th Gen</t>
  </si>
  <si>
    <t>Zen6/6c</t>
  </si>
  <si>
    <t>Venice (26) and Verano (27)</t>
  </si>
  <si>
    <t>TSMC 2nm</t>
  </si>
  <si>
    <t>2026 Q3</t>
  </si>
  <si>
    <t>2028 Q2</t>
  </si>
  <si>
    <t>7th Gen</t>
  </si>
  <si>
    <t>Zen 7/7c</t>
  </si>
  <si>
    <t>Florence</t>
  </si>
  <si>
    <t>Next Gen Process Node</t>
  </si>
  <si>
    <t>2028 Q3</t>
  </si>
  <si>
    <t>2029+</t>
  </si>
  <si>
    <t>1st Gen (Purley)</t>
  </si>
  <si>
    <t>-</t>
  </si>
  <si>
    <t>Skylake-SP</t>
  </si>
  <si>
    <t>14nm+</t>
  </si>
  <si>
    <t>2019 Q1</t>
  </si>
  <si>
    <t>Cascade Lake-SP</t>
  </si>
  <si>
    <t>14nm++</t>
  </si>
  <si>
    <t>2020 Q1</t>
  </si>
  <si>
    <t>2nd Gen (Purley)</t>
  </si>
  <si>
    <t>Cooper Lake; Cascade Lake R</t>
  </si>
  <si>
    <t>2020</t>
  </si>
  <si>
    <t>3rd Gen (Whitley)</t>
  </si>
  <si>
    <t>Ice Lake-SP</t>
  </si>
  <si>
    <t>10nm+</t>
  </si>
  <si>
    <t>2021</t>
  </si>
  <si>
    <t>2022</t>
  </si>
  <si>
    <t>4th Gen (Eagle Stream)</t>
  </si>
  <si>
    <t>Sapphire Rapids &amp; S.R. HBM</t>
  </si>
  <si>
    <t>Intel 7</t>
  </si>
  <si>
    <t>2023 Q1</t>
  </si>
  <si>
    <t>2023 Q3</t>
  </si>
  <si>
    <t>5th Gen (Eagle Stream)</t>
  </si>
  <si>
    <t>Emerald Rapids</t>
  </si>
  <si>
    <t>2023 Q4</t>
  </si>
  <si>
    <t>2024 Q2</t>
  </si>
  <si>
    <t>6th Gen (Birch Stream)</t>
  </si>
  <si>
    <t>E-core</t>
  </si>
  <si>
    <t>Sierra Forest</t>
  </si>
  <si>
    <t>Intel 3</t>
  </si>
  <si>
    <t>2026 Q1</t>
  </si>
  <si>
    <t>P-core</t>
  </si>
  <si>
    <t>Granite Rapids</t>
  </si>
  <si>
    <t>2027 Q2</t>
  </si>
  <si>
    <t>7th Gen (Birch Stream)</t>
  </si>
  <si>
    <t>Clearwater Forest*</t>
  </si>
  <si>
    <t>Intel 18A</t>
  </si>
  <si>
    <t>2027 Q4</t>
  </si>
  <si>
    <t>8th Gen (Oak Stream)</t>
  </si>
  <si>
    <t>Diamond Rapids</t>
  </si>
  <si>
    <t>Intel 18A-P</t>
  </si>
  <si>
    <t>2027 Q3</t>
  </si>
  <si>
    <t>9th Gen (TBA)</t>
  </si>
  <si>
    <t>Coral Rapids</t>
  </si>
  <si>
    <t>2028 Q1</t>
  </si>
  <si>
    <t>NVDA</t>
  </si>
  <si>
    <t>Neoverse V2, Armv9</t>
  </si>
  <si>
    <t>Grace</t>
  </si>
  <si>
    <t>TSMC N4</t>
  </si>
  <si>
    <t>Second Gen</t>
  </si>
  <si>
    <t>Arm v9.2</t>
  </si>
  <si>
    <t>Vera</t>
  </si>
  <si>
    <t>Third Gen</t>
  </si>
  <si>
    <t>Arm</t>
  </si>
  <si>
    <t>Rosa</t>
  </si>
  <si>
    <t>2028 Q4</t>
  </si>
  <si>
    <t>Armv9.2</t>
  </si>
  <si>
    <t>ARM AGI CPU</t>
  </si>
  <si>
    <t>3nm</t>
  </si>
  <si>
    <t>2026 Q4</t>
  </si>
  <si>
    <t>TBA</t>
  </si>
  <si>
    <t>2028</t>
  </si>
  <si>
    <t>QCOM</t>
  </si>
  <si>
    <t>1st Gen (A)</t>
  </si>
  <si>
    <t>Falkor</t>
  </si>
  <si>
    <t>Samsung 10nm</t>
  </si>
  <si>
    <t>2018</t>
  </si>
  <si>
    <t>1st Gen (B)</t>
  </si>
  <si>
    <t>Oryon</t>
  </si>
  <si>
    <t>Dragonfly C1000</t>
  </si>
  <si>
    <t>AMZN</t>
  </si>
  <si>
    <t>Gen 1</t>
  </si>
  <si>
    <t>Cortex-A72</t>
  </si>
  <si>
    <t>Graviton</t>
  </si>
  <si>
    <t>16nm</t>
  </si>
  <si>
    <t>2019</t>
  </si>
  <si>
    <t>Gen 2</t>
  </si>
  <si>
    <t>Neoverse N1</t>
  </si>
  <si>
    <t>Graviton2</t>
  </si>
  <si>
    <t>Gen 3 / 3E</t>
  </si>
  <si>
    <t>Neoverse V1</t>
  </si>
  <si>
    <t>Graviton3/3E</t>
  </si>
  <si>
    <t>2021 Q4</t>
  </si>
  <si>
    <t>Gen 4</t>
  </si>
  <si>
    <t>Neoverse V2</t>
  </si>
  <si>
    <t>Graviton4</t>
  </si>
  <si>
    <t>2025 Q3</t>
  </si>
  <si>
    <t>Gen 5</t>
  </si>
  <si>
    <t>Neoverse V3</t>
  </si>
  <si>
    <t>Graviton5</t>
  </si>
  <si>
    <t>2025 Q4</t>
  </si>
  <si>
    <t>Gen 6</t>
  </si>
  <si>
    <t>Neoverse V4</t>
  </si>
  <si>
    <t>Graviton6</t>
  </si>
  <si>
    <t>2nm*</t>
  </si>
  <si>
    <t>MSFT</t>
  </si>
  <si>
    <t>Neoverse N2 / CSS N2</t>
  </si>
  <si>
    <t>Cobalt 100</t>
  </si>
  <si>
    <t>Neoverse V3 / CSS V3</t>
  </si>
  <si>
    <t>Cobalt 200</t>
  </si>
  <si>
    <t>Gen 3</t>
  </si>
  <si>
    <t>Neoverse V4 / future CSS*</t>
  </si>
  <si>
    <t>Cobalt 300</t>
  </si>
  <si>
    <t>GOOG</t>
  </si>
  <si>
    <t>Axion / C4A</t>
  </si>
  <si>
    <t>Neoverse N3</t>
  </si>
  <si>
    <t>Axion / N4A</t>
  </si>
  <si>
    <t>Neoverse V4/N4</t>
  </si>
  <si>
    <t>Axion Gen 3</t>
  </si>
  <si>
    <t>'*' as printed in the note (unconfirmed / expected). Start/end quarters are read from bar edges and are approximate (+/- 1 quarter).</t>
  </si>
  <si>
    <t>Figure 24: CPU Specs (p.17)</t>
  </si>
  <si>
    <t>Source: UBS Global Research (Timothy Arcuri, Seth Cho), 'US Semiconductors: $210B Server CPU TAM By C2030; Gated By Memory Supply', 26-Oct-2026 — Fig 24 (Company reports, UBS research)</t>
  </si>
  <si>
    <t>Spec</t>
  </si>
  <si>
    <t>AMD Venice</t>
  </si>
  <si>
    <t>INTC Clearwater Forest</t>
  </si>
  <si>
    <t>INTC Diamond Rapids</t>
  </si>
  <si>
    <t>NVDA Vera</t>
  </si>
  <si>
    <t>ARM AGI</t>
  </si>
  <si>
    <t>AWS Graviton5</t>
  </si>
  <si>
    <t>MSFT Cobalt 200</t>
  </si>
  <si>
    <t>QCOM Dragonfly C1000</t>
  </si>
  <si>
    <t>Google Axion N4A</t>
  </si>
  <si>
    <t>TSMC N2</t>
  </si>
  <si>
    <t>Compute 18A; Base INTC 3; I/O INTC 7</t>
  </si>
  <si>
    <t>Cores 18A-P; Base INTC 3-T; Fabric hubs INTC 3</t>
  </si>
  <si>
    <t>TSMC N3P</t>
  </si>
  <si>
    <t>Package</t>
  </si>
  <si>
    <t>8 CCDs + 2 I/O dies</t>
  </si>
  <si>
    <t>12 compute + 3 bases + 2 I/O tiles</t>
  </si>
  <si>
    <t>16 core chiplets on 4 base tiles + 2 fabric hubs</t>
  </si>
  <si>
    <t>Monolithic compute die + separate memory controller and I/O dies</t>
  </si>
  <si>
    <t>2 chiplets</t>
  </si>
  <si>
    <t>4 chiplets</t>
  </si>
  <si>
    <t>Multi-chiplet</t>
  </si>
  <si>
    <t>Base / nominal clock</t>
  </si>
  <si>
    <t>2.55 GHz (9996)</t>
  </si>
  <si>
    <t>2.2 GHz (6990E+, 450W)</t>
  </si>
  <si>
    <t>3.2 GHz (128/136C); 3.5 GHz (64C); 2.8 GHz typical</t>
  </si>
  <si>
    <t>Max boost</t>
  </si>
  <si>
    <t>5.0 GHz (F-SKUs); 5.15 GHz (Venice-X)</t>
  </si>
  <si>
    <t>3.2 GHz (2.8 all-core)</t>
  </si>
  <si>
    <t>3.5 GHz (128/136C); 3.7 GHz (64C)</t>
  </si>
  <si>
    <t>TDP</t>
  </si>
  <si>
    <t>Up to 600W</t>
  </si>
  <si>
    <t>300-450W</t>
  </si>
  <si>
    <t>Up to 650W</t>
  </si>
  <si>
    <t>250-450W</t>
  </si>
  <si>
    <t>300W</t>
  </si>
  <si>
    <t>Core design</t>
  </si>
  <si>
    <t>Zen 6 / Zen 6c</t>
  </si>
  <si>
    <t>Darkmont E-core</t>
  </si>
  <si>
    <t>Panther Cove</t>
  </si>
  <si>
    <t>Custom Olympus</t>
  </si>
  <si>
    <t>Custom Oryon</t>
  </si>
  <si>
    <t>Max cores</t>
  </si>
  <si>
    <t>256 Zen 6c; 128 Gen 6</t>
  </si>
  <si>
    <t>288</t>
  </si>
  <si>
    <t>256</t>
  </si>
  <si>
    <t>88</t>
  </si>
  <si>
    <t>136</t>
  </si>
  <si>
    <t>192</t>
  </si>
  <si>
    <t>132</t>
  </si>
  <si>
    <t>250+</t>
  </si>
  <si>
    <t>Max threads</t>
  </si>
  <si>
    <t>512</t>
  </si>
  <si>
    <t>176</t>
  </si>
  <si>
    <t>Multithreading</t>
  </si>
  <si>
    <t>SMT 2 threads/core</t>
  </si>
  <si>
    <t>None</t>
  </si>
  <si>
    <t>Spatial multithreading 2 threads/core</t>
  </si>
  <si>
    <t>Core-count options</t>
  </si>
  <si>
    <t>SP7: 64-256; SP8: 8-128</t>
  </si>
  <si>
    <t>144 / 192 / 264 / 288</t>
  </si>
  <si>
    <t>Single 88-core SKU</t>
  </si>
  <si>
    <t>64 / 128 / 136</t>
  </si>
  <si>
    <t>Compute dies x core</t>
  </si>
  <si>
    <t>8 x 32 Zen 6c</t>
  </si>
  <si>
    <t>12 x 24</t>
  </si>
  <si>
    <t>16 x up to 16</t>
  </si>
  <si>
    <t>1 x 88</t>
  </si>
  <si>
    <t>2 x 70 physical</t>
  </si>
  <si>
    <t>2 x 66 active</t>
  </si>
  <si>
    <t>Total LLC</t>
  </si>
  <si>
    <t>1,024 MB (9996, 4 MB/core); 1,152 MB Venice-X</t>
  </si>
  <si>
    <t>576 MB</t>
  </si>
  <si>
    <t>Up to 1.28 GB</t>
  </si>
  <si>
    <t>164 MB</t>
  </si>
  <si>
    <t>128 MB system-level cache</t>
  </si>
  <si>
    <t>192 MB</t>
  </si>
  <si>
    <t>Memory type</t>
  </si>
  <si>
    <t>DDR5 RDIMM / MRDIMM</t>
  </si>
  <si>
    <t>DDR5 RDIMM</t>
  </si>
  <si>
    <t>LPDDR5X (SOCAMM2)</t>
  </si>
  <si>
    <t>12-ch DDR5-8800</t>
  </si>
  <si>
    <t>DDR5</t>
  </si>
  <si>
    <t>Peak memory bandwidth</t>
  </si>
  <si>
    <t>1.6 TB/s</t>
  </si>
  <si>
    <t>768 GB/s</t>
  </si>
  <si>
    <t>Up to 1.6 TB/s</t>
  </si>
  <si>
    <t>1.2 TB/s</t>
  </si>
  <si>
    <t>~845 GB(/s) at DDR5-8800; ~614 GB/s at 6400</t>
  </si>
  <si>
    <t>845 GB/s</t>
  </si>
  <si>
    <t>PCIe</t>
  </si>
  <si>
    <t>128 PCIe 6.0 lanes</t>
  </si>
  <si>
    <t>96 PCIe 5.0 lanes</t>
  </si>
  <si>
    <t>128 flexible lanes (PCIe 6.0 / CXL 3.0 / UPI 3) + 8 PCIe 4.0</t>
  </si>
  <si>
    <t>88 PCIe Gen 6 lanes</t>
  </si>
  <si>
    <t>96 PCIe 6.0 lanes (768 GB/s each way) + 6 PCIe 4.0 lanes</t>
  </si>
  <si>
    <t>PCIe Gen 6</t>
  </si>
  <si>
    <t>PCIe Gen 7 (&gt;2 TB/s incl. CXL)</t>
  </si>
  <si>
    <t>CXL</t>
  </si>
  <si>
    <t>CXL 3.1</t>
  </si>
  <si>
    <t>64 CXL 2.0 lanes</t>
  </si>
  <si>
    <t>CXL 3.0 (on flexible lanes)</t>
  </si>
  <si>
    <t>CXL 3.0 Type 3</t>
  </si>
  <si>
    <t>Other links</t>
  </si>
  <si>
    <t>6 UPI 2.0 links</t>
  </si>
  <si>
    <t>UPI 3 (on flexible lanes)</t>
  </si>
  <si>
    <t>NVLink-C2C (1,800 GB/s)</t>
  </si>
  <si>
    <t>2 socket SMP; AMBA CHI extension links</t>
  </si>
  <si>
    <t>Memory capacity per CPU is NOT given in Fig 24 (only type/bandwidth). Vera capacity context lives on Cross_Check (1.5TB SOCAMM spec -&gt; 768GB per JPM 24-Aug-26).</t>
  </si>
  <si>
    <t>Figure 25: Intel, AMD and ARM Server CPU Units (p.18) — DIGITIZED</t>
  </si>
  <si>
    <t>Chart values extracted from the PDF's vector geometry (charts are vector forms; axis fit residual &lt;=0.003MM / &lt;=0.04pp), cross-checked by a 600-dpi pixel measurement (max diff 0.01MM / 0.22pp); printed segment labels used where present (+/-0.5pp rounding) — see Fig28_31_Provenance. Not printed numbers.</t>
  </si>
  <si>
    <t>quarter</t>
  </si>
  <si>
    <t>intel_mm</t>
  </si>
  <si>
    <t>amd_mm</t>
  </si>
  <si>
    <t>arm_mm</t>
  </si>
  <si>
    <t>total_mm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</si>
  <si>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</si>
  <si>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</si>
  <si>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</si>
  <si>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</si>
  <si>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</si>
  <si>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</si>
  <si>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</si>
  <si>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</si>
  <si>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</si>
  <si>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</si>
  <si>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</si>
  <si>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</si>
  <si>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</si>
  <si>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</si>
  <si>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</si>
  <si>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</si>
  <si>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</si>
  <si>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</si>
  <si>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</si>
  <si>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</si>
  <si>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</si>
  <si>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</si>
  <si>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</si>
  <si>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</si>
  <si>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</si>
  <si>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</si>
  <si>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</si>
  <si>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</si>
  <si>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1Q26</t>
  </si>
  <si>
    <t>2Q26</t>
  </si>
  <si>
    <t>Figure 26: Server CPU Unit Share (p.18) — DIGITIZED</t>
  </si>
  <si>
    <t>intel_pct</t>
  </si>
  <si>
    <t>amd_pct</t>
  </si>
  <si>
    <t>arm_pct</t>
  </si>
  <si>
    <t>Figure 27: Intel vs AMD x86 Server CPU Revenue Share (p.18) — DIGITIZED</t>
  </si>
  <si>
    <t>point_index</t>
  </si>
  <si>
    <t>sum_pct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</si>
  <si>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</si>
  <si>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</si>
  <si>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</si>
  <si>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</si>
  <si>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</si>
  <si>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</si>
  <si>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</si>
  <si>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</si>
  <si>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</si>
  <si>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</si>
  <si>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</si>
  <si>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</si>
  <si>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1Q11</t>
  </si>
  <si>
    <t>2Q11</t>
  </si>
  <si>
    <t>3Q11</t>
  </si>
  <si>
    <t>4Q11</t>
  </si>
  <si>
    <t>1Q12</t>
  </si>
  <si>
    <t>2Q12</t>
  </si>
  <si>
    <t>3Q12</t>
  </si>
  <si>
    <t>4Q12</t>
  </si>
  <si>
    <t>1Q13</t>
  </si>
  <si>
    <t>2Q13</t>
  </si>
  <si>
    <t>3Q13</t>
  </si>
  <si>
    <t>4Q13</t>
  </si>
  <si>
    <t>1Q14</t>
  </si>
  <si>
    <t>2Q14</t>
  </si>
  <si>
    <t>3Q14</t>
  </si>
  <si>
    <t>4Q14</t>
  </si>
  <si>
    <t>1Q15</t>
  </si>
  <si>
    <t>2Q15</t>
  </si>
  <si>
    <t>3Q15</t>
  </si>
  <si>
    <t>4Q15</t>
  </si>
  <si>
    <t>1Q16</t>
  </si>
  <si>
    <t>2Q16</t>
  </si>
  <si>
    <t>3Q16</t>
  </si>
  <si>
    <t>4Q16</t>
  </si>
  <si>
    <t>1Q17</t>
  </si>
  <si>
    <t>2Q17</t>
  </si>
  <si>
    <t>3Q17</t>
  </si>
  <si>
    <t>4Q17</t>
  </si>
  <si>
    <t>1Q18</t>
  </si>
  <si>
    <t>2Q18</t>
  </si>
  <si>
    <t>3Q18</t>
  </si>
  <si>
    <t>4Q18</t>
  </si>
  <si>
    <t>Figure 28: INTC Server Units Decomposition (p.18)</t>
  </si>
  <si>
    <t>granite_rapids_pct</t>
  </si>
  <si>
    <t>sierra_forest_pct</t>
  </si>
  <si>
    <t>emerald_rapids_pct</t>
  </si>
  <si>
    <t>sapphire_rapids_pct</t>
  </si>
  <si>
    <t>ice_lake_pct</t>
  </si>
  <si>
    <t>cascade_lake_pct</t>
  </si>
  <si>
    <t>others_pct</t>
  </si>
  <si>
    <t>unplotted_residual_pct</t>
  </si>
  <si>
    <t>row_sum_pct</t>
  </si>
  <si>
    <t>Figure 29: AMD Server Units Decomposition (p.18)</t>
  </si>
  <si>
    <t>venice_pct</t>
  </si>
  <si>
    <t>turin_pct</t>
  </si>
  <si>
    <t>bergamo_pct</t>
  </si>
  <si>
    <t>siena_pct</t>
  </si>
  <si>
    <t>genoa_pct</t>
  </si>
  <si>
    <t>milan_pct</t>
  </si>
  <si>
    <t>Figure 30: INTC Server Units by Node (p.19)</t>
  </si>
  <si>
    <t>intel_14_pct</t>
  </si>
  <si>
    <t>intel_10_pct</t>
  </si>
  <si>
    <t>intel_7_pct</t>
  </si>
  <si>
    <t>intel_3_pct</t>
  </si>
  <si>
    <t>unknown_other_pct</t>
  </si>
  <si>
    <t>Figure 31: AMD Server Units by Node (p.19)</t>
  </si>
  <si>
    <t>7nm_pct</t>
  </si>
  <si>
    <t>5nm_pct</t>
  </si>
  <si>
    <t>3_4nm_pct</t>
  </si>
  <si>
    <t>2nm_pct</t>
  </si>
  <si>
    <t>Figure 32: AMD - Summary Model (p.21)</t>
  </si>
  <si>
    <t>Transcribed from the image table as printed (UBS estimates; Company data, FactSet). Percentages stored as fractions.</t>
  </si>
  <si>
    <t>Advanced Micro Devices (AMD) - Key Metrics (in $MM except EPS and Units)</t>
  </si>
  <si>
    <t>C2023A</t>
  </si>
  <si>
    <t>C2024A</t>
  </si>
  <si>
    <t>C2025A</t>
  </si>
  <si>
    <t>CQ1A</t>
  </si>
  <si>
    <t>CQ2A</t>
  </si>
  <si>
    <t>CQ3E</t>
  </si>
  <si>
    <t>CQ4E</t>
  </si>
  <si>
    <t>C2026E</t>
  </si>
  <si>
    <t>CQ1E</t>
  </si>
  <si>
    <t>CQ2E</t>
  </si>
  <si>
    <t>C2028E</t>
  </si>
  <si>
    <t>C2029E</t>
  </si>
  <si>
    <t xml:space="preserve">  Revenue</t>
  </si>
  <si>
    <t xml:space="preserve">    Y/Y Growth</t>
  </si>
  <si>
    <t xml:space="preserve">  Gross Profit (Non-GAAP)</t>
  </si>
  <si>
    <t xml:space="preserve">  Gross Margin</t>
  </si>
  <si>
    <t xml:space="preserve">    Ex-Semi-Custom GM (UBSe)</t>
  </si>
  <si>
    <t xml:space="preserve">  R&amp;D (GAAP)</t>
  </si>
  <si>
    <t xml:space="preserve">  SG&amp;A (GAAP)</t>
  </si>
  <si>
    <t xml:space="preserve">  Other &amp; Non-GAAP Adjustment (GAAP)</t>
  </si>
  <si>
    <t xml:space="preserve">    Total Opex (Non-GAAP)</t>
  </si>
  <si>
    <t xml:space="preserve">      Y/Y Growth</t>
  </si>
  <si>
    <t xml:space="preserve">  Operating Income (Non-GAAP)</t>
  </si>
  <si>
    <t xml:space="preserve">  Operating Margin</t>
  </si>
  <si>
    <t xml:space="preserve">  Non-GAAP EPS</t>
  </si>
  <si>
    <t>Free Cash Flow</t>
  </si>
  <si>
    <t>CFFO</t>
  </si>
  <si>
    <t>Capex</t>
  </si>
  <si>
    <t xml:space="preserve">  FCF</t>
  </si>
  <si>
    <t xml:space="preserve">    % revenue</t>
  </si>
  <si>
    <t>Segment Revenues</t>
  </si>
  <si>
    <t xml:space="preserve">  Data Center</t>
  </si>
  <si>
    <t xml:space="preserve">    Data Center GPU Revenue</t>
  </si>
  <si>
    <t xml:space="preserve">    Server CPU Revenue</t>
  </si>
  <si>
    <t xml:space="preserve">      Server ASP ($)</t>
  </si>
  <si>
    <t xml:space="preserve">      Server Units (K)</t>
  </si>
  <si>
    <t xml:space="preserve">        Server TAM (K units)</t>
  </si>
  <si>
    <t xml:space="preserve">        AMD Share</t>
  </si>
  <si>
    <t xml:space="preserve">    XLNX FPGAs</t>
  </si>
  <si>
    <t xml:space="preserve">    Pensando</t>
  </si>
  <si>
    <t xml:space="preserve">    Data Center Operating Margin</t>
  </si>
  <si>
    <t xml:space="preserve">    Data Center Operating Profit Y/Y Drop-through</t>
  </si>
  <si>
    <t xml:space="preserve">  Client</t>
  </si>
  <si>
    <t xml:space="preserve">    PC Revenue</t>
  </si>
  <si>
    <t xml:space="preserve">      Desktop Revenue</t>
  </si>
  <si>
    <t xml:space="preserve">      AMD DT ASP ($)</t>
  </si>
  <si>
    <t xml:space="preserve">      AMD DT Units (K)</t>
  </si>
  <si>
    <t xml:space="preserve">        DT TAM (K units)</t>
  </si>
  <si>
    <t xml:space="preserve">      Mobile Revenue</t>
  </si>
  <si>
    <t xml:space="preserve">      AMD Mobile ASP ($)</t>
  </si>
  <si>
    <t xml:space="preserve">      AMD Mobile Units (K)</t>
  </si>
  <si>
    <t xml:space="preserve">        Mobile TAM (K units)</t>
  </si>
  <si>
    <t xml:space="preserve">      AMD Pro Graphics Revenue</t>
  </si>
  <si>
    <t xml:space="preserve">    Client Operating Margin</t>
  </si>
  <si>
    <t xml:space="preserve">    Client Operating Profit Y/Y Drop-through</t>
  </si>
  <si>
    <t xml:space="preserve">  Gaming</t>
  </si>
  <si>
    <t xml:space="preserve">    PC GPU Gaming Revenue</t>
  </si>
  <si>
    <t xml:space="preserve">    Semi-Custom Revenue</t>
  </si>
  <si>
    <t xml:space="preserve">    Gaming Operating Margin</t>
  </si>
  <si>
    <t xml:space="preserve">  Embedded</t>
  </si>
  <si>
    <t xml:space="preserve">    Embedded Operating Margin</t>
  </si>
  <si>
    <t>Q/Q Revenue Growth</t>
  </si>
  <si>
    <t>Y/Y Revenue Growth</t>
  </si>
  <si>
    <t>Figure 33: INTC - Summary Model (p.22)</t>
  </si>
  <si>
    <t>Intel (INTC) - Key Metrics (in $MM except EPS and units)</t>
  </si>
  <si>
    <t>Revenue (Non GAAP)</t>
  </si>
  <si>
    <t xml:space="preserve">  Y/Y Growth</t>
  </si>
  <si>
    <t>Gross Profit (Non -GAAP)</t>
  </si>
  <si>
    <t xml:space="preserve">  R&amp;D (Non-GAAP)</t>
  </si>
  <si>
    <t xml:space="preserve">  MG&amp;A (Non-GAAP)</t>
  </si>
  <si>
    <t xml:space="preserve">  Other</t>
  </si>
  <si>
    <t>Total Opex (Non-GAAP)</t>
  </si>
  <si>
    <t>Operating Income (Non-GAAP)</t>
  </si>
  <si>
    <t>Non-GAAP EPS</t>
  </si>
  <si>
    <t xml:space="preserve">  CFFO</t>
  </si>
  <si>
    <t xml:space="preserve">    Less: Gross Capex</t>
  </si>
  <si>
    <t xml:space="preserve">    Add: Contribution from Partners</t>
  </si>
  <si>
    <t xml:space="preserve">  Net Capex</t>
  </si>
  <si>
    <t>FCF</t>
  </si>
  <si>
    <t xml:space="preserve">  % of revenue</t>
  </si>
  <si>
    <t>Product Revenue</t>
  </si>
  <si>
    <t>Intel Products</t>
  </si>
  <si>
    <t>Q/Q</t>
  </si>
  <si>
    <t>Y/Y</t>
  </si>
  <si>
    <t>Operating Income</t>
  </si>
  <si>
    <t>Operating Margin</t>
  </si>
  <si>
    <t xml:space="preserve">  CCPG</t>
  </si>
  <si>
    <t xml:space="preserve">  Q/Q</t>
  </si>
  <si>
    <t xml:space="preserve">  Y/Y</t>
  </si>
  <si>
    <t xml:space="preserve">  Operating Income</t>
  </si>
  <si>
    <t xml:space="preserve">    Desktop Revenue</t>
  </si>
  <si>
    <t xml:space="preserve">      Q/Q</t>
  </si>
  <si>
    <t xml:space="preserve">      Y/Y</t>
  </si>
  <si>
    <t xml:space="preserve">      Desktop Units ('000s)</t>
  </si>
  <si>
    <t xml:space="preserve">      Desktop ASP</t>
  </si>
  <si>
    <t xml:space="preserve">    Notebook Revenue</t>
  </si>
  <si>
    <t xml:space="preserve">      Notebook Units ('000s)</t>
  </si>
  <si>
    <t xml:space="preserve">      Notebook ASP</t>
  </si>
  <si>
    <t xml:space="preserve">    Other</t>
  </si>
  <si>
    <t xml:space="preserve">    NEX in CCG</t>
  </si>
  <si>
    <t xml:space="preserve">  DCAI</t>
  </si>
  <si>
    <t xml:space="preserve">    Edge (ex-NEX in DCAI, incl Custom until D</t>
  </si>
  <si>
    <t xml:space="preserve">    Custom ASIC</t>
  </si>
  <si>
    <t xml:space="preserve">    Server Revenues</t>
  </si>
  <si>
    <t xml:space="preserve">      Server Units ('000s)</t>
  </si>
  <si>
    <t xml:space="preserve">      Server ASP</t>
  </si>
  <si>
    <t xml:space="preserve">    Accelerators</t>
  </si>
  <si>
    <t>Intel Foundry</t>
  </si>
  <si>
    <t xml:space="preserve">  Internal Foundry Revenue</t>
  </si>
  <si>
    <t xml:space="preserve">  External Foundry Revenue</t>
  </si>
  <si>
    <t>All Other</t>
  </si>
  <si>
    <t>Figure 34: ARM - Summary Model (p.23)</t>
  </si>
  <si>
    <t>Arm Holdings Plc. (ARM) - Key Metrics (in $MM except EPS and units)</t>
  </si>
  <si>
    <t>C2022A</t>
  </si>
  <si>
    <t>FQ4:26A CQ1A</t>
  </si>
  <si>
    <t>FQ1A CQ2A</t>
  </si>
  <si>
    <t>FQ2E CQ3E</t>
  </si>
  <si>
    <t>FQ3E CQ4E</t>
  </si>
  <si>
    <t>FQ4:27E CQ1E</t>
  </si>
  <si>
    <t>FQ1E CQ2E</t>
  </si>
  <si>
    <t>FQ4:28E CQ1E</t>
  </si>
  <si>
    <t>F2023A</t>
  </si>
  <si>
    <t>F2024A</t>
  </si>
  <si>
    <t>F2025A</t>
  </si>
  <si>
    <t>F2026E</t>
  </si>
  <si>
    <t>F2027E</t>
  </si>
  <si>
    <t>Revenue</t>
  </si>
  <si>
    <t>Gross Profit (Non-GAAP)</t>
  </si>
  <si>
    <t>Gross Margin</t>
  </si>
  <si>
    <t>Opex (Non-GAAP)</t>
  </si>
  <si>
    <t>Capex and intangibles</t>
  </si>
  <si>
    <t xml:space="preserve">    % of revenue</t>
  </si>
  <si>
    <t>Revenue Reporting</t>
  </si>
  <si>
    <t xml:space="preserve">  Royalty revenue</t>
  </si>
  <si>
    <t xml:space="preserve">    Y/Y growth</t>
  </si>
  <si>
    <t xml:space="preserve">    Q/Q growth</t>
  </si>
  <si>
    <t xml:space="preserve">    of which ARM v7</t>
  </si>
  <si>
    <t xml:space="preserve">    of which ARM v8</t>
  </si>
  <si>
    <t xml:space="preserve">    of which ARM v9</t>
  </si>
  <si>
    <t xml:space="preserve">  License and other revenue</t>
  </si>
  <si>
    <t xml:space="preserve">    % of Total revenue</t>
  </si>
  <si>
    <t xml:space="preserve">    Annualized Contract Value (ACV)</t>
  </si>
  <si>
    <t xml:space="preserve">      % Y/Y</t>
  </si>
  <si>
    <t xml:space="preserve">      % Q/Q</t>
  </si>
  <si>
    <t xml:space="preserve">    Remaining Performance Obligation (RPO)</t>
  </si>
  <si>
    <t xml:space="preserve">      implied orders</t>
  </si>
  <si>
    <t xml:space="preserve">      book-to-bill</t>
  </si>
  <si>
    <t>Figure 35: INTC - New vs Old Estimates (p.24)</t>
  </si>
  <si>
    <t>C2026E New</t>
  </si>
  <si>
    <t>C2026E Old</t>
  </si>
  <si>
    <t>C2026E Change</t>
  </si>
  <si>
    <t>C2027E New</t>
  </si>
  <si>
    <t>C2027E Old</t>
  </si>
  <si>
    <t>C2027E Change</t>
  </si>
  <si>
    <t>C2028E New</t>
  </si>
  <si>
    <t>C2028E Old</t>
  </si>
  <si>
    <t>C2028E Change</t>
  </si>
  <si>
    <t>Revenue ($MM)</t>
  </si>
  <si>
    <t>Gross Capex</t>
  </si>
  <si>
    <t>Segment Revenues ($MM)</t>
  </si>
  <si>
    <t xml:space="preserve">  Client Computing (CCPG)</t>
  </si>
  <si>
    <t xml:space="preserve">  Datacenter and AI (DCAI)</t>
  </si>
  <si>
    <t xml:space="preserve">  of which external revenue</t>
  </si>
  <si>
    <t>Intersegment Eliminations</t>
  </si>
  <si>
    <t>Figure 36: UBSe vs. Street (p.25)</t>
  </si>
  <si>
    <t>Actual 2025</t>
  </si>
  <si>
    <t>Actual 2026/1F</t>
  </si>
  <si>
    <t>Actual 2026/2F</t>
  </si>
  <si>
    <t>Estimate 2026/3F</t>
  </si>
  <si>
    <t>Estimate 2026/4F</t>
  </si>
  <si>
    <t>Estimate 2026</t>
  </si>
  <si>
    <t>Estimate 2027/1F</t>
  </si>
  <si>
    <t>Estimate 2027/2F</t>
  </si>
  <si>
    <t>Estimate 2027/3F</t>
  </si>
  <si>
    <t>Estimate 2027/4F</t>
  </si>
  <si>
    <t>Estimate 2027</t>
  </si>
  <si>
    <t>Estimate 2028/1F</t>
  </si>
  <si>
    <t>Estimate 2028/2F</t>
  </si>
  <si>
    <t>Estimate 2028/3F</t>
  </si>
  <si>
    <t>Estimate 2028/4F</t>
  </si>
  <si>
    <t>Estimate 2028</t>
  </si>
  <si>
    <t>Revenues ($MM)</t>
  </si>
  <si>
    <t xml:space="preserve">  UBS New</t>
  </si>
  <si>
    <t xml:space="preserve">  UBS Old</t>
  </si>
  <si>
    <t xml:space="preserve">  Consensus</t>
  </si>
  <si>
    <t xml:space="preserve">  Delta</t>
  </si>
  <si>
    <t>Figure 37: Intel SOTP Valuation (New) (p.26)</t>
  </si>
  <si>
    <t>Total $MM</t>
  </si>
  <si>
    <t>Per Share</t>
  </si>
  <si>
    <t>Comments</t>
  </si>
  <si>
    <t xml:space="preserve">  Normalized EBIT margin</t>
  </si>
  <si>
    <t xml:space="preserve">    Normalized EBIT</t>
  </si>
  <si>
    <t xml:space="preserve">  Peer EV/EBIT</t>
  </si>
  <si>
    <t xml:space="preserve">    Products SoTP Value</t>
  </si>
  <si>
    <t xml:space="preserve">  Intel Capacity (k-wsm)</t>
  </si>
  <si>
    <t xml:space="preserve">  Peer Value per k-wsm</t>
  </si>
  <si>
    <t xml:space="preserve">    Gross Foundry Value</t>
  </si>
  <si>
    <t>Noncontrolling Interest</t>
  </si>
  <si>
    <t>Brookfield only, at historical cost</t>
  </si>
  <si>
    <t xml:space="preserve">    Net Foundry SoTP Value</t>
  </si>
  <si>
    <t>Other</t>
  </si>
  <si>
    <t xml:space="preserve">  Market Cap</t>
  </si>
  <si>
    <t>Based on valuation and market cap.</t>
  </si>
  <si>
    <t xml:space="preserve">  Intel Stake</t>
  </si>
  <si>
    <t xml:space="preserve">    Other SoTP Value</t>
  </si>
  <si>
    <t>TOTAL</t>
  </si>
  <si>
    <t xml:space="preserve">  SoTP Enterprise Value</t>
  </si>
  <si>
    <t>Net Debt</t>
  </si>
  <si>
    <t xml:space="preserve">  SoTP Equity Value</t>
  </si>
  <si>
    <t>Figure 38: Intel SOTP Valuation (Old) (p.26)</t>
  </si>
  <si>
    <t>Figure 39: Intel Foundry Comps (p.26)</t>
  </si>
  <si>
    <t>Ticker</t>
  </si>
  <si>
    <t>Company Name</t>
  </si>
  <si>
    <t>Capacity</t>
  </si>
  <si>
    <t>EV</t>
  </si>
  <si>
    <t>EV/k-wsm</t>
  </si>
  <si>
    <t>2330-TW</t>
  </si>
  <si>
    <t>TSMC</t>
  </si>
  <si>
    <t>005930-KR</t>
  </si>
  <si>
    <t>Samsung Foundry</t>
  </si>
  <si>
    <t>2303-TW</t>
  </si>
  <si>
    <t>UMC</t>
  </si>
  <si>
    <t>981-HK</t>
  </si>
  <si>
    <t>SMIC</t>
  </si>
  <si>
    <t>GFS-US</t>
  </si>
  <si>
    <t>GlobalFoundries</t>
  </si>
  <si>
    <t>1347-HK</t>
  </si>
  <si>
    <t>Hua Hong</t>
  </si>
  <si>
    <t>688249-CN</t>
  </si>
  <si>
    <t>Vanguard (200mm)</t>
  </si>
  <si>
    <t>6770-TW</t>
  </si>
  <si>
    <t>PSMC (200mm)</t>
  </si>
  <si>
    <t>Simple Average</t>
  </si>
  <si>
    <t>Median</t>
  </si>
  <si>
    <t>Figs 28-31: provenance of each digitized cell</t>
  </si>
  <si>
    <t>label = printed segment label (+/-0.5pp) · measured = vector segment height (+/-0.05pp) · measured_x_S = height rescaled by the bar's plotted sum S (Fig 29 bars are drawn scaled to 100% although the plotted series sum to only 28-99%; the unplotted residual is almost certainly Rome/Zen 2 — Fig 31's 7nm = Milan + residual within 1pp) · not_drawn = segment absent</t>
  </si>
  <si>
    <t>Fig 28 INTC product mix</t>
  </si>
  <si>
    <t>granite_rapids_src</t>
  </si>
  <si>
    <t>sierra_forest_src</t>
  </si>
  <si>
    <t>emerald_rapids_src</t>
  </si>
  <si>
    <t>sapphire_rapids_src</t>
  </si>
  <si>
    <t>ice_lake_src</t>
  </si>
  <si>
    <t>cascade_lake_src</t>
  </si>
  <si>
    <t>others_src</t>
  </si>
  <si>
    <t>unplotted_residual_src</t>
  </si>
  <si>
    <t>not_drawn</t>
  </si>
  <si>
    <t>measured</t>
  </si>
  <si>
    <t>label</t>
  </si>
  <si>
    <t>n/a</t>
  </si>
  <si>
    <t>measured_x_S</t>
  </si>
  <si>
    <t>100-S</t>
  </si>
  <si>
    <t>Fig 29 AMD product mix</t>
  </si>
  <si>
    <t>venice_src</t>
  </si>
  <si>
    <t>turin_src</t>
  </si>
  <si>
    <t>bergamo_src</t>
  </si>
  <si>
    <t>siena_src</t>
  </si>
  <si>
    <t>genoa_src</t>
  </si>
  <si>
    <t>milan_src</t>
  </si>
  <si>
    <t>Fig 30 INTC node mix</t>
  </si>
  <si>
    <t>intel_14_src</t>
  </si>
  <si>
    <t>intel_10_src</t>
  </si>
  <si>
    <t>intel_7_src</t>
  </si>
  <si>
    <t>intel_3_src</t>
  </si>
  <si>
    <t>unknown_other_src</t>
  </si>
  <si>
    <t>Fig 31 AMD node mix</t>
  </si>
  <si>
    <t>7nm_src</t>
  </si>
  <si>
    <t>5nm_src</t>
  </si>
  <si>
    <t>3_4nm_src</t>
  </si>
  <si>
    <t>2nm_src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</si>
</sst>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#,##0.0"/>
    <numFmt numFmtId="166" formatCode="\$#,##0"/>
    <numFmt numFmtId="167" formatCode="0.0\x"/>
    <numFmt numFmtId="168" formatCode="\$#,##0.0"/>
    <numFmt numFmtId="169" formatCode="0.0"/>
    <numFmt numFmtId="170" formatCode="\+#,##0.0;\-#,##0.0;0.0"/>
    <numFmt numFmtId="171" formatCode="#,##0;\(#,##0\)"/>
  </numFmts>
  <fonts count="10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9"/>
      <name val="Arial"/>
    </font>
    <font>
      <sz val="9"/>
      <name val="Arial"/>
    </font>
    <font>
      <i/>
      <sz val="8"/>
      <color rgb="FF555555"/>
      <name val="Arial"/>
    </font>
    <font>
      <b/>
      <sz val="9"/>
      <color rgb="FFFFFFFF"/>
      <name val="Arial"/>
    </font>
    <font>
      <sz val="9"/>
      <color rgb="FF0000FF"/>
      <name val="Arial"/>
    </font>
    <font>
      <sz val="9"/>
      <color rgb="FF000000"/>
      <name val="Arial"/>
    </font>
    <font>
      <b/>
      <sz val="10"/>
      <color rgb="FFC00000"/>
      <name val="Arial"/>
    </font>
    <font>
      <sz val="9"/>
      <color rgb="FF008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595959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EB9C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8" fillId="0" borderId="0" xfId="0" applyFont="1"/>
    <xf numFmtId="0" fontId="3" fillId="0" borderId="0" xfId="0" applyFont="1"/>
    <xf numFmtId="4" fontId="9" fillId="0" borderId="0" xfId="0" applyNumberFormat="1" applyFont="1"/>
    <xf numFmtId="168" fontId="9" fillId="0" borderId="0" xfId="0" applyNumberFormat="1" applyFont="1"/>
    <xf numFmtId="164" fontId="9" fillId="0" borderId="0" xfId="0" applyNumberFormat="1" applyFont="1"/>
    <xf numFmtId="167" fontId="9" fillId="0" borderId="0" xfId="0" applyNumberFormat="1" applyFont="1"/>
    <xf numFmtId="0" fontId="4" fillId="0" borderId="0" xfId="0" applyFont="1" applyAlignment="1">
      <alignment vertical="top" wrapText="1"/>
    </xf>
    <xf numFmtId="3" fontId="9" fillId="0" borderId="0" xfId="0" applyNumberFormat="1" applyFont="1"/>
    <xf numFmtId="3" fontId="7" fillId="0" borderId="0" xfId="0" applyNumberFormat="1" applyFont="1"/>
    <xf numFmtId="0" fontId="3" fillId="3" borderId="0" xfId="0" applyFont="1" applyFill="1" applyAlignment="1">
      <alignment horizontal="center" vertical="center"/>
    </xf>
    <xf numFmtId="165" fontId="9" fillId="0" borderId="0" xfId="0" applyNumberFormat="1" applyFont="1"/>
    <xf numFmtId="0" fontId="3" fillId="4" borderId="0" xfId="0" applyFont="1" applyFill="1" applyAlignment="1">
      <alignment horizontal="center" vertical="center"/>
    </xf>
    <xf numFmtId="2" fontId="9" fillId="0" borderId="0" xfId="0" applyNumberFormat="1" applyFont="1"/>
    <xf numFmtId="2" fontId="9" fillId="5" borderId="0" xfId="0" applyNumberFormat="1" applyFont="1" applyFill="1"/>
    <xf numFmtId="2" fontId="7" fillId="5" borderId="0" xfId="0" applyNumberFormat="1" applyFont="1" applyFill="1"/>
    <xf numFmtId="2" fontId="7" fillId="0" borderId="0" xfId="0" applyNumberFormat="1" applyFont="1"/>
    <xf numFmtId="165" fontId="7" fillId="0" borderId="0" xfId="0" applyNumberFormat="1" applyFont="1"/>
    <xf numFmtId="3" fontId="6" fillId="0" borderId="0" xfId="0" applyNumberFormat="1" applyFont="1"/>
    <xf numFmtId="3" fontId="9" fillId="5" borderId="0" xfId="0" applyNumberFormat="1" applyFont="1" applyFill="1"/>
    <xf numFmtId="9" fontId="7" fillId="0" borderId="0" xfId="0" applyNumberFormat="1" applyFont="1"/>
    <xf numFmtId="166" fontId="9" fillId="0" borderId="0" xfId="0" applyNumberFormat="1" applyFont="1"/>
    <xf numFmtId="166" fontId="6" fillId="0" borderId="0" xfId="0" applyNumberFormat="1" applyFont="1"/>
    <xf numFmtId="166" fontId="7" fillId="0" borderId="0" xfId="0" applyNumberFormat="1" applyFont="1"/>
    <xf numFmtId="4" fontId="7" fillId="0" borderId="0" xfId="0" applyNumberFormat="1" applyFont="1"/>
    <xf numFmtId="164" fontId="7" fillId="0" borderId="0" xfId="0" applyNumberFormat="1" applyFont="1"/>
    <xf numFmtId="166" fontId="9" fillId="5" borderId="0" xfId="0" applyNumberFormat="1" applyFont="1" applyFill="1"/>
    <xf numFmtId="167" fontId="7" fillId="0" borderId="0" xfId="0" applyNumberFormat="1" applyFont="1"/>
    <xf numFmtId="168" fontId="7" fillId="0" borderId="0" xfId="0" applyNumberFormat="1" applyFont="1"/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9" fontId="9" fillId="0" borderId="0" xfId="0" applyNumberFormat="1" applyFont="1"/>
    <xf numFmtId="169" fontId="6" fillId="0" borderId="0" xfId="0" applyNumberFormat="1" applyFont="1"/>
    <xf numFmtId="2" fontId="6" fillId="0" borderId="0" xfId="0" applyNumberFormat="1" applyFont="1"/>
    <xf numFmtId="170" fontId="7" fillId="0" borderId="0" xfId="0" applyNumberFormat="1" applyFont="1"/>
    <xf numFmtId="0" fontId="7" fillId="0" borderId="0" xfId="0" applyFont="1"/>
    <xf numFmtId="0" fontId="9" fillId="0" borderId="0" xfId="0" applyFont="1"/>
    <xf numFmtId="165" fontId="6" fillId="0" borderId="0" xfId="0" applyNumberFormat="1" applyFont="1"/>
    <xf numFmtId="9" fontId="6" fillId="0" borderId="0" xfId="0" applyNumberFormat="1" applyFont="1"/>
    <xf numFmtId="0" fontId="6" fillId="0" borderId="0" xfId="0" applyFont="1"/>
    <xf numFmtId="2" fontId="0" fillId="0" borderId="0" xfId="0" applyNumberFormat="1"/>
    <xf numFmtId="166" fontId="0" fillId="0" borderId="0" xfId="0" applyNumberFormat="1"/>
    <xf numFmtId="3" fontId="0" fillId="0" borderId="0" xfId="0" applyNumberFormat="1"/>
    <xf numFmtId="0" fontId="5" fillId="2" borderId="0" xfId="0" applyFont="1" applyFill="1"/>
    <xf numFmtId="171" fontId="6" fillId="0" borderId="0" xfId="0" applyNumberFormat="1" applyFont="1"/>
    <xf numFmtId="164" fontId="6" fillId="0" borderId="0" xfId="0" applyNumberFormat="1" applyFont="1"/>
    <xf numFmtId="0" fontId="4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5" x14ac:dyDescent="0.25"/>
  <cols>
    <col min="1" max="1" width="20" customWidth="1"/>
    <col min="2" max="2" width="140" customWidth="1"/>
  </cols>
  <sheetData>
    <row r="1" spans="1:2" ht="15.75" x14ac:dyDescent="0.25">
      <c r="A1" s="1" t="s">
        <v>0</v>
      </c>
    </row>
    <row r="3" spans="1:2" ht="30" customHeight="1" x14ac:dyDescent="0.25">
      <c r="A3" s="2" t="s">
        <v>1</v>
      </c>
      <c r="B3" s="3" t="s">
        <v>2</v>
      </c>
    </row>
    <row r="4" spans="1:2" ht="30" customHeight="1" x14ac:dyDescent="0.25">
      <c r="A4" s="2" t="s">
        <v>3</v>
      </c>
      <c r="B4" s="3" t="s">
        <v>4</v>
      </c>
    </row>
    <row r="5" spans="1:2" ht="30" customHeight="1" x14ac:dyDescent="0.25">
      <c r="A5" s="2" t="s">
        <v>5</v>
      </c>
      <c r="B5" s="3" t="s">
        <v>6</v>
      </c>
    </row>
    <row r="6" spans="1:2" ht="45" customHeight="1" x14ac:dyDescent="0.25">
      <c r="A6" s="2" t="s">
        <v>7</v>
      </c>
      <c r="B6" s="3" t="s">
        <v>8</v>
      </c>
    </row>
    <row r="7" spans="1:2" ht="30" customHeight="1" x14ac:dyDescent="0.25">
      <c r="A7" s="2" t="s">
        <v>9</v>
      </c>
      <c r="B7" s="3" t="s">
        <v>10</v>
      </c>
    </row>
    <row r="8" spans="1:2" ht="45" customHeight="1" x14ac:dyDescent="0.25">
      <c r="A8" s="2" t="s">
        <v>11</v>
      </c>
      <c r="B8" s="3" t="s">
        <v>12</v>
      </c>
    </row>
    <row r="9" spans="1:2" ht="60" customHeight="1" x14ac:dyDescent="0.25">
      <c r="A9" s="2" t="s">
        <v>13</v>
      </c>
      <c r="B9" s="3" t="s">
        <v>14</v>
      </c>
    </row>
    <row r="10" spans="1:2" ht="60" customHeight="1" x14ac:dyDescent="0.25">
      <c r="A10" s="2" t="s">
        <v>15</v>
      </c>
      <c r="B10" s="3" t="s">
        <v>16</v>
      </c>
    </row>
    <row r="11" spans="1:2" ht="30" customHeight="1" x14ac:dyDescent="0.25">
      <c r="A11" s="2" t="s">
        <v>17</v>
      </c>
      <c r="B11" s="3" t="s">
        <v>18</v>
      </c>
    </row>
    <row r="12" spans="1:2" ht="45" customHeight="1" x14ac:dyDescent="0.25">
      <c r="A12" s="2" t="s">
        <v>19</v>
      </c>
      <c r="B12" s="3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/>
  </sheetViews>
  <sheetFormatPr defaultRowHeight="15" x14ac:dyDescent="0.25"/>
  <cols>
    <col min="1" max="1" width="70" customWidth="1"/>
    <col min="2" max="3" width="14" customWidth="1"/>
    <col min="4" max="4" width="80" customWidth="1"/>
  </cols>
  <sheetData>
    <row r="1" spans="1:4" ht="15.75" x14ac:dyDescent="0.25">
      <c r="A1" s="1" t="s">
        <v>21</v>
      </c>
    </row>
    <row r="2" spans="1:4" x14ac:dyDescent="0.25">
      <c r="A2" s="4" t="s">
        <v>22</v>
      </c>
    </row>
    <row r="4" spans="1:4" x14ac:dyDescent="0.25">
      <c r="A4" s="5" t="s">
        <v>23</v>
      </c>
      <c r="B4" s="5" t="s">
        <v>24</v>
      </c>
      <c r="C4" s="5" t="s">
        <v>25</v>
      </c>
      <c r="D4" s="5" t="s">
        <v>26</v>
      </c>
    </row>
    <row r="5" spans="1:4" x14ac:dyDescent="0.25">
      <c r="A5" s="6" t="s">
        <v>27</v>
      </c>
    </row>
    <row r="6" spans="1:4" x14ac:dyDescent="0.25">
      <c r="A6" s="7" t="s">
        <v>28</v>
      </c>
      <c r="B6" s="8">
        <f>DRAM_CPU_Link!D13</f>
        <v>0.5</v>
      </c>
      <c r="C6" s="7" t="s">
        <v>29</v>
      </c>
      <c r="D6" s="4" t="s">
        <v>30</v>
      </c>
    </row>
    <row r="7" spans="1:4" x14ac:dyDescent="0.25">
      <c r="A7" s="7" t="s">
        <v>31</v>
      </c>
      <c r="B7" s="8">
        <f>DRAM_CPU_Link!D14</f>
        <v>1.5</v>
      </c>
      <c r="C7" s="7" t="s">
        <v>29</v>
      </c>
      <c r="D7" s="4" t="s">
        <v>32</v>
      </c>
    </row>
    <row r="8" spans="1:4" x14ac:dyDescent="0.25">
      <c r="A8" s="7" t="s">
        <v>33</v>
      </c>
      <c r="B8" s="8">
        <f>DRAM_CPU_Link!D15</f>
        <v>1.9972451790633607</v>
      </c>
      <c r="C8" s="7" t="s">
        <v>29</v>
      </c>
      <c r="D8" s="4" t="s">
        <v>34</v>
      </c>
    </row>
    <row r="9" spans="1:4" x14ac:dyDescent="0.25">
      <c r="A9" s="7" t="s">
        <v>35</v>
      </c>
      <c r="B9" s="8">
        <f>DRAM_CPU_Link!B16</f>
        <v>0.60869565217391308</v>
      </c>
      <c r="C9" s="7" t="s">
        <v>29</v>
      </c>
      <c r="D9" s="4" t="s">
        <v>36</v>
      </c>
    </row>
    <row r="10" spans="1:4" x14ac:dyDescent="0.25">
      <c r="A10" s="7" t="s">
        <v>37</v>
      </c>
      <c r="B10" s="8">
        <f>DRAM_CPU_Link!D16</f>
        <v>1.1492537313432836</v>
      </c>
      <c r="C10" s="7" t="s">
        <v>29</v>
      </c>
      <c r="D10" s="4" t="s">
        <v>38</v>
      </c>
    </row>
    <row r="11" spans="1:4" x14ac:dyDescent="0.25">
      <c r="A11" s="6" t="s">
        <v>39</v>
      </c>
    </row>
    <row r="12" spans="1:4" x14ac:dyDescent="0.25">
      <c r="A12" s="7" t="s">
        <v>40</v>
      </c>
      <c r="B12" s="8">
        <f>DRAM_CPU_Link!D22</f>
        <v>77</v>
      </c>
      <c r="C12" s="7" t="s">
        <v>41</v>
      </c>
      <c r="D12" s="4" t="s">
        <v>42</v>
      </c>
    </row>
    <row r="13" spans="1:4" x14ac:dyDescent="0.25">
      <c r="A13" s="7" t="s">
        <v>43</v>
      </c>
      <c r="B13" s="8">
        <f>DRAM_CPU_Link!F22</f>
        <v>238</v>
      </c>
      <c r="C13" s="7" t="s">
        <v>41</v>
      </c>
      <c r="D13" s="4" t="s">
        <v>44</v>
      </c>
    </row>
    <row r="14" spans="1:4" x14ac:dyDescent="0.25">
      <c r="A14" s="6" t="s">
        <v>45</v>
      </c>
    </row>
    <row r="15" spans="1:4" x14ac:dyDescent="0.25">
      <c r="A15" s="7" t="s">
        <v>46</v>
      </c>
      <c r="B15" s="8">
        <f>DRAM_CPU_Link!B45</f>
        <v>0.50068965517241382</v>
      </c>
      <c r="C15" s="7" t="s">
        <v>47</v>
      </c>
      <c r="D15" s="4"/>
    </row>
    <row r="16" spans="1:4" x14ac:dyDescent="0.25">
      <c r="A16" s="7" t="s">
        <v>48</v>
      </c>
      <c r="B16" s="9">
        <f>DRAM_CPU_Link!B46</f>
        <v>2.1144124137931035</v>
      </c>
      <c r="C16" s="7" t="s">
        <v>49</v>
      </c>
      <c r="D16" s="4" t="s">
        <v>50</v>
      </c>
    </row>
    <row r="17" spans="1:4" x14ac:dyDescent="0.25">
      <c r="A17" s="7" t="s">
        <v>51</v>
      </c>
      <c r="B17" s="10">
        <f>DRAM_CPU_Link!B47</f>
        <v>2.8945582305266098E-2</v>
      </c>
      <c r="C17" s="7" t="s">
        <v>52</v>
      </c>
      <c r="D17" s="4"/>
    </row>
    <row r="18" spans="1:4" x14ac:dyDescent="0.25">
      <c r="A18" s="7" t="s">
        <v>53</v>
      </c>
      <c r="B18" s="9">
        <f>DRAM_CPU_Link!B52</f>
        <v>7.7218341351724158</v>
      </c>
      <c r="C18" s="7" t="s">
        <v>49</v>
      </c>
      <c r="D18" s="4"/>
    </row>
    <row r="19" spans="1:4" x14ac:dyDescent="0.25">
      <c r="A19" s="6" t="s">
        <v>54</v>
      </c>
    </row>
    <row r="20" spans="1:4" x14ac:dyDescent="0.25">
      <c r="A20" s="7" t="s">
        <v>55</v>
      </c>
      <c r="B20" s="9">
        <f>DRAM_CPU_Link!G112</f>
        <v>208.05796000000001</v>
      </c>
      <c r="C20" s="7" t="s">
        <v>49</v>
      </c>
      <c r="D20" s="4" t="s">
        <v>56</v>
      </c>
    </row>
    <row r="21" spans="1:4" x14ac:dyDescent="0.25">
      <c r="A21" s="7" t="s">
        <v>57</v>
      </c>
      <c r="B21" s="9">
        <f>DRAM_CPU_Link!G113</f>
        <v>184.79942344827586</v>
      </c>
      <c r="C21" s="7" t="s">
        <v>49</v>
      </c>
      <c r="D21" s="4"/>
    </row>
    <row r="22" spans="1:4" x14ac:dyDescent="0.25">
      <c r="A22" s="7" t="s">
        <v>58</v>
      </c>
      <c r="B22" s="9">
        <f>DRAM_CPU_Link!G115</f>
        <v>176.34177379310347</v>
      </c>
      <c r="C22" s="7" t="s">
        <v>49</v>
      </c>
      <c r="D22" s="4"/>
    </row>
    <row r="23" spans="1:4" x14ac:dyDescent="0.25">
      <c r="A23" s="7" t="s">
        <v>59</v>
      </c>
      <c r="B23" s="9">
        <f>DRAM_CPU_Link!G120</f>
        <v>161.09820000000002</v>
      </c>
      <c r="C23" s="7" t="s">
        <v>49</v>
      </c>
      <c r="D23" s="4"/>
    </row>
    <row r="24" spans="1:4" x14ac:dyDescent="0.25">
      <c r="A24" s="7" t="s">
        <v>60</v>
      </c>
      <c r="B24" s="9">
        <f>DRAM_CPU_Link!G117</f>
        <v>242.10845751172414</v>
      </c>
      <c r="C24" s="7" t="s">
        <v>49</v>
      </c>
      <c r="D24" s="4" t="s">
        <v>61</v>
      </c>
    </row>
    <row r="25" spans="1:4" x14ac:dyDescent="0.25">
      <c r="A25" s="6" t="s">
        <v>62</v>
      </c>
    </row>
    <row r="26" spans="1:4" x14ac:dyDescent="0.25">
      <c r="A26" s="7" t="s">
        <v>63</v>
      </c>
      <c r="B26" s="11">
        <f>DRAM_CPU_Link!D63</f>
        <v>5.6753355786787418</v>
      </c>
      <c r="C26" s="7" t="s">
        <v>64</v>
      </c>
      <c r="D26" s="4" t="s">
        <v>65</v>
      </c>
    </row>
    <row r="27" spans="1:4" x14ac:dyDescent="0.25">
      <c r="A27" s="7" t="s">
        <v>66</v>
      </c>
      <c r="B27" s="9">
        <f>DRAM_CPU_Link!C67</f>
        <v>770</v>
      </c>
      <c r="C27" s="7" t="s">
        <v>49</v>
      </c>
      <c r="D27" s="4" t="s">
        <v>67</v>
      </c>
    </row>
    <row r="28" spans="1:4" x14ac:dyDescent="0.25">
      <c r="A28" s="7" t="s">
        <v>68</v>
      </c>
      <c r="B28" s="8">
        <f>DRAM_CPU_Link!B78</f>
        <v>2.7027027027027026</v>
      </c>
      <c r="C28" s="7" t="s">
        <v>69</v>
      </c>
      <c r="D28" s="4" t="s">
        <v>70</v>
      </c>
    </row>
    <row r="29" spans="1:4" x14ac:dyDescent="0.25">
      <c r="A29" s="7" t="s">
        <v>71</v>
      </c>
      <c r="B29" s="8">
        <f>DRAM_CPU_Link!D24</f>
        <v>1.4090909090909092</v>
      </c>
      <c r="C29" s="7" t="s">
        <v>72</v>
      </c>
      <c r="D29" s="4" t="s">
        <v>73</v>
      </c>
    </row>
    <row r="30" spans="1:4" x14ac:dyDescent="0.25">
      <c r="A30" s="6" t="s">
        <v>74</v>
      </c>
    </row>
    <row r="31" spans="1:4" x14ac:dyDescent="0.25">
      <c r="A31" s="7" t="s">
        <v>75</v>
      </c>
      <c r="B31" s="8" t="str">
        <f>Report_Tieouts!C97</f>
        <v>78 OK / 12 FLAG</v>
      </c>
      <c r="C31" s="7"/>
      <c r="D31" s="4" t="s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5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2" customWidth="1"/>
    <col min="2" max="4" width="13" customWidth="1"/>
    <col min="5" max="6" width="16" customWidth="1"/>
    <col min="7" max="7" width="10" customWidth="1"/>
    <col min="8" max="8" width="95" customWidth="1"/>
    <col min="9" max="9" width="60" customWidth="1"/>
  </cols>
  <sheetData>
    <row r="1" spans="1:10" ht="15.75" x14ac:dyDescent="0.25">
      <c r="A1" s="1" t="s">
        <v>77</v>
      </c>
    </row>
    <row r="2" spans="1:10" ht="26.1" customHeight="1" x14ac:dyDescent="0.25">
      <c r="A2" s="51" t="s">
        <v>78</v>
      </c>
      <c r="B2" s="52"/>
      <c r="C2" s="52"/>
      <c r="D2" s="52"/>
      <c r="E2" s="52"/>
      <c r="F2" s="52"/>
      <c r="G2" s="52"/>
      <c r="H2" s="52"/>
      <c r="I2" s="52"/>
      <c r="J2" s="52"/>
    </row>
    <row r="4" spans="1:10" x14ac:dyDescent="0.25">
      <c r="A4" s="6" t="s">
        <v>79</v>
      </c>
    </row>
    <row r="5" spans="1:10" x14ac:dyDescent="0.25">
      <c r="A5" s="5" t="s">
        <v>80</v>
      </c>
      <c r="B5" s="5" t="s">
        <v>81</v>
      </c>
      <c r="C5" s="5" t="s">
        <v>82</v>
      </c>
      <c r="D5" s="5" t="s">
        <v>83</v>
      </c>
      <c r="E5" s="5" t="s">
        <v>84</v>
      </c>
      <c r="F5" s="5" t="s">
        <v>85</v>
      </c>
      <c r="G5" s="5" t="s">
        <v>86</v>
      </c>
      <c r="H5" s="5" t="s">
        <v>87</v>
      </c>
    </row>
    <row r="6" spans="1:10" x14ac:dyDescent="0.25">
      <c r="A6" s="7" t="s">
        <v>88</v>
      </c>
      <c r="B6" s="13">
        <f>Fig08_09_DRAM_Demand!B5</f>
        <v>20</v>
      </c>
      <c r="C6" s="13">
        <f>Fig08_09_DRAM_Demand!D5</f>
        <v>26</v>
      </c>
      <c r="D6" s="13">
        <f>Fig08_09_DRAM_Demand!F5</f>
        <v>30</v>
      </c>
      <c r="E6" s="13">
        <f>Fig08_09_DRAM_Demand!H5</f>
        <v>30</v>
      </c>
      <c r="F6" s="14">
        <f>E6</f>
        <v>30</v>
      </c>
      <c r="G6" s="15" t="s">
        <v>89</v>
      </c>
      <c r="H6" s="4" t="s">
        <v>90</v>
      </c>
    </row>
    <row r="7" spans="1:10" x14ac:dyDescent="0.25">
      <c r="A7" s="7" t="s">
        <v>91</v>
      </c>
      <c r="B7" s="13">
        <f>Fig08_09_DRAM_Demand!B6</f>
        <v>3</v>
      </c>
      <c r="C7" s="13">
        <f>Fig08_09_DRAM_Demand!D6</f>
        <v>11</v>
      </c>
      <c r="D7" s="13">
        <f>Fig08_09_DRAM_Demand!F6</f>
        <v>22</v>
      </c>
      <c r="E7" s="13">
        <f>Fig08_09_DRAM_Demand!H6</f>
        <v>22</v>
      </c>
      <c r="F7" s="14">
        <f>E7</f>
        <v>22</v>
      </c>
      <c r="G7" s="15" t="s">
        <v>89</v>
      </c>
      <c r="H7" s="4" t="s">
        <v>90</v>
      </c>
    </row>
    <row r="8" spans="1:10" x14ac:dyDescent="0.25">
      <c r="A8" s="7" t="s">
        <v>92</v>
      </c>
      <c r="B8" s="13">
        <f>Fig08_09_DRAM_Demand!B7</f>
        <v>0</v>
      </c>
      <c r="C8" s="13">
        <f>Fig08_09_DRAM_Demand!D7</f>
        <v>5</v>
      </c>
      <c r="D8" s="16">
        <f>Fig10_12_TAM!D34*D10</f>
        <v>14.520000000000001</v>
      </c>
      <c r="E8" s="13">
        <f>Fig08_09_DRAM_Demand!H7</f>
        <v>117</v>
      </c>
      <c r="F8" s="13">
        <f>Fig04_Unconstrained!D9</f>
        <v>95</v>
      </c>
      <c r="G8" s="15" t="s">
        <v>89</v>
      </c>
      <c r="H8" s="4" t="s">
        <v>93</v>
      </c>
    </row>
    <row r="9" spans="1:10" x14ac:dyDescent="0.25">
      <c r="A9" s="2" t="s">
        <v>94</v>
      </c>
      <c r="B9" s="14">
        <f>SUM(B6:B8)</f>
        <v>23</v>
      </c>
      <c r="C9" s="14">
        <f>SUM(C6:C8)</f>
        <v>42</v>
      </c>
      <c r="D9" s="14">
        <f>SUM(D6:D8)</f>
        <v>66.52</v>
      </c>
      <c r="E9" s="14">
        <f>SUM(E6:E8)</f>
        <v>169</v>
      </c>
      <c r="F9" s="14">
        <f>SUM(F6:F8)</f>
        <v>147</v>
      </c>
      <c r="G9" s="17" t="s">
        <v>95</v>
      </c>
      <c r="H9" s="4" t="s">
        <v>96</v>
      </c>
    </row>
    <row r="10" spans="1:10" x14ac:dyDescent="0.25">
      <c r="A10" s="7" t="s">
        <v>97</v>
      </c>
      <c r="B10" s="13">
        <f>Fig10_12_TAM!B11</f>
        <v>9</v>
      </c>
      <c r="C10" s="13">
        <f>Fig10_12_TAM!C11</f>
        <v>29</v>
      </c>
      <c r="D10" s="13">
        <f>Fig10_12_TAM!D11</f>
        <v>44</v>
      </c>
      <c r="E10" s="13">
        <f>Fig10_12_TAM!D11</f>
        <v>44</v>
      </c>
      <c r="F10" s="13">
        <f>Fig10_12_TAM!D11</f>
        <v>44</v>
      </c>
      <c r="G10" s="15" t="s">
        <v>89</v>
      </c>
      <c r="H10" s="4" t="s">
        <v>98</v>
      </c>
    </row>
    <row r="12" spans="1:10" x14ac:dyDescent="0.25">
      <c r="A12" s="2" t="s">
        <v>99</v>
      </c>
    </row>
    <row r="13" spans="1:10" x14ac:dyDescent="0.25">
      <c r="A13" s="7" t="s">
        <v>100</v>
      </c>
      <c r="B13" s="18">
        <f>Fig08_09_DRAM_Demand!C12</f>
        <v>0.5</v>
      </c>
      <c r="C13" s="18">
        <f>Fig08_09_DRAM_Demand!E12</f>
        <v>0.46153846153846156</v>
      </c>
      <c r="D13" s="19">
        <f>Fig08_09_DRAM_Demand!G12</f>
        <v>0.5</v>
      </c>
      <c r="E13" s="18">
        <f>Fig08_09_DRAM_Demand!I12</f>
        <v>0.5</v>
      </c>
      <c r="F13" s="20">
        <f>E13</f>
        <v>0.5</v>
      </c>
      <c r="G13" s="15" t="s">
        <v>89</v>
      </c>
      <c r="H13" s="4" t="s">
        <v>101</v>
      </c>
    </row>
    <row r="14" spans="1:10" x14ac:dyDescent="0.25">
      <c r="A14" s="7" t="s">
        <v>102</v>
      </c>
      <c r="B14" s="18">
        <f>Fig08_09_DRAM_Demand!C13</f>
        <v>1</v>
      </c>
      <c r="C14" s="18">
        <f>Fig08_09_DRAM_Demand!E13</f>
        <v>1</v>
      </c>
      <c r="D14" s="19">
        <f>Fig08_09_DRAM_Demand!G13</f>
        <v>1.5</v>
      </c>
      <c r="E14" s="18">
        <f>Fig08_09_DRAM_Demand!I13</f>
        <v>1.5</v>
      </c>
      <c r="F14" s="20">
        <f>E14</f>
        <v>1.5</v>
      </c>
      <c r="G14" s="15" t="s">
        <v>89</v>
      </c>
      <c r="H14" s="4" t="s">
        <v>103</v>
      </c>
    </row>
    <row r="15" spans="1:10" x14ac:dyDescent="0.25">
      <c r="A15" s="7" t="s">
        <v>104</v>
      </c>
      <c r="B15" s="18" t="str">
        <f>Fig08_09_DRAM_Demand!C14</f>
        <v/>
      </c>
      <c r="C15" s="18">
        <f>Fig08_09_DRAM_Demand!E14</f>
        <v>1.4</v>
      </c>
      <c r="D15" s="20">
        <f>Fig08_09_DRAM_Demand!G7/D8</f>
        <v>1.9972451790633607</v>
      </c>
      <c r="E15" s="18">
        <f>Fig08_09_DRAM_Demand!I14</f>
        <v>2</v>
      </c>
      <c r="F15" s="20">
        <f>E15</f>
        <v>2</v>
      </c>
      <c r="G15" s="15" t="s">
        <v>89</v>
      </c>
      <c r="H15" s="4" t="s">
        <v>105</v>
      </c>
    </row>
    <row r="16" spans="1:10" x14ac:dyDescent="0.25">
      <c r="A16" s="2" t="s">
        <v>106</v>
      </c>
      <c r="B16" s="18">
        <f>Fig08_09_DRAM_Demand!C9/Fig08_09_DRAM_Demand!B8</f>
        <v>0.60869565217391308</v>
      </c>
      <c r="C16" s="18">
        <f>Fig08_09_DRAM_Demand!E9/Fig08_09_DRAM_Demand!D8</f>
        <v>0.70731707317073167</v>
      </c>
      <c r="D16" s="18">
        <f>Fig08_09_DRAM_Demand!G9/Fig08_09_DRAM_Demand!F8</f>
        <v>1.1492537313432836</v>
      </c>
      <c r="E16" s="18">
        <f>Fig08_09_DRAM_Demand!I9/Fig08_09_DRAM_Demand!H8</f>
        <v>1.668639053254438</v>
      </c>
      <c r="F16" s="21">
        <f>F22/F9</f>
        <v>1.6190476190476191</v>
      </c>
      <c r="G16" s="17" t="s">
        <v>95</v>
      </c>
      <c r="H16" s="4" t="s">
        <v>107</v>
      </c>
    </row>
    <row r="17" spans="1:8" x14ac:dyDescent="0.25">
      <c r="A17" s="7" t="s">
        <v>108</v>
      </c>
      <c r="B17" s="21">
        <f>IFERROR((B20+B21)/(B7+B8),"")</f>
        <v>1</v>
      </c>
      <c r="C17" s="21">
        <f>IFERROR((C20+C21)/(C7+C8),"")</f>
        <v>1.125</v>
      </c>
      <c r="D17" s="21">
        <f>IFERROR((D20+D21)/(D7+D8),"")</f>
        <v>1.6976998904709746</v>
      </c>
      <c r="E17" s="21">
        <f>IFERROR((E20+E21)/(E7+E8),"")</f>
        <v>1.920863309352518</v>
      </c>
      <c r="F17" s="21">
        <f>IFERROR((F20+F21)/(F7+F8),"")</f>
        <v>1.9059829059829059</v>
      </c>
      <c r="G17" s="17" t="s">
        <v>95</v>
      </c>
      <c r="H17" s="4" t="s">
        <v>109</v>
      </c>
    </row>
    <row r="18" spans="1:8" x14ac:dyDescent="0.25">
      <c r="A18" s="6" t="s">
        <v>110</v>
      </c>
    </row>
    <row r="19" spans="1:8" x14ac:dyDescent="0.25">
      <c r="A19" s="7" t="s">
        <v>111</v>
      </c>
      <c r="B19" s="22">
        <f t="shared" ref="B19:F21" si="0">IF(B13="",0,B6*B13)</f>
        <v>10</v>
      </c>
      <c r="C19" s="22">
        <f t="shared" si="0"/>
        <v>12</v>
      </c>
      <c r="D19" s="22">
        <f t="shared" si="0"/>
        <v>15</v>
      </c>
      <c r="E19" s="22">
        <f t="shared" si="0"/>
        <v>15</v>
      </c>
      <c r="F19" s="22">
        <f t="shared" si="0"/>
        <v>15</v>
      </c>
      <c r="G19" s="17" t="s">
        <v>95</v>
      </c>
      <c r="H19" s="4"/>
    </row>
    <row r="20" spans="1:8" x14ac:dyDescent="0.25">
      <c r="A20" s="7" t="s">
        <v>112</v>
      </c>
      <c r="B20" s="22">
        <f t="shared" si="0"/>
        <v>3</v>
      </c>
      <c r="C20" s="22">
        <f t="shared" si="0"/>
        <v>11</v>
      </c>
      <c r="D20" s="22">
        <f t="shared" si="0"/>
        <v>33</v>
      </c>
      <c r="E20" s="22">
        <f t="shared" si="0"/>
        <v>33</v>
      </c>
      <c r="F20" s="22">
        <f t="shared" si="0"/>
        <v>33</v>
      </c>
      <c r="G20" s="17" t="s">
        <v>95</v>
      </c>
      <c r="H20" s="4"/>
    </row>
    <row r="21" spans="1:8" x14ac:dyDescent="0.25">
      <c r="A21" s="7" t="s">
        <v>113</v>
      </c>
      <c r="B21" s="22">
        <f t="shared" si="0"/>
        <v>0</v>
      </c>
      <c r="C21" s="22">
        <f t="shared" si="0"/>
        <v>7</v>
      </c>
      <c r="D21" s="22">
        <f t="shared" si="0"/>
        <v>29</v>
      </c>
      <c r="E21" s="22">
        <f t="shared" si="0"/>
        <v>234</v>
      </c>
      <c r="F21" s="22">
        <f t="shared" si="0"/>
        <v>190</v>
      </c>
      <c r="G21" s="17" t="s">
        <v>95</v>
      </c>
      <c r="H21" s="4"/>
    </row>
    <row r="22" spans="1:8" x14ac:dyDescent="0.25">
      <c r="A22" s="2" t="s">
        <v>114</v>
      </c>
      <c r="B22" s="22">
        <f>SUM(B19:B21)</f>
        <v>13</v>
      </c>
      <c r="C22" s="22">
        <f>SUM(C19:C21)</f>
        <v>30</v>
      </c>
      <c r="D22" s="22">
        <f>SUM(D19:D21)</f>
        <v>77</v>
      </c>
      <c r="E22" s="22">
        <f>SUM(E19:E21)</f>
        <v>282</v>
      </c>
      <c r="F22" s="22">
        <f>SUM(F19:F21)</f>
        <v>238</v>
      </c>
      <c r="G22" s="17" t="s">
        <v>95</v>
      </c>
      <c r="H22" s="4" t="s">
        <v>115</v>
      </c>
    </row>
    <row r="23" spans="1:8" x14ac:dyDescent="0.25">
      <c r="A23" s="7" t="s">
        <v>116</v>
      </c>
      <c r="B23" s="13">
        <f>Fig08_09_DRAM_Demand!C9</f>
        <v>14</v>
      </c>
      <c r="C23" s="13">
        <f>Fig08_09_DRAM_Demand!E9</f>
        <v>29</v>
      </c>
      <c r="D23" s="13">
        <f>Fig08_09_DRAM_Demand!G9</f>
        <v>77</v>
      </c>
      <c r="E23" s="13">
        <f>Fig08_09_DRAM_Demand!I9</f>
        <v>282</v>
      </c>
      <c r="G23" s="15" t="s">
        <v>89</v>
      </c>
      <c r="H23" s="4" t="s">
        <v>117</v>
      </c>
    </row>
    <row r="24" spans="1:8" x14ac:dyDescent="0.25">
      <c r="A24" s="2" t="s">
        <v>118</v>
      </c>
      <c r="B24" s="21">
        <f>(B20+B21)/B10</f>
        <v>0.33333333333333331</v>
      </c>
      <c r="C24" s="21">
        <f>(C20+C21)/C10</f>
        <v>0.62068965517241381</v>
      </c>
      <c r="D24" s="21">
        <f>(D20+D21)/D10</f>
        <v>1.4090909090909092</v>
      </c>
      <c r="E24" s="21">
        <f>(E20+E21)/E10</f>
        <v>6.0681818181818183</v>
      </c>
      <c r="F24" s="21">
        <f>(F20+F21)/F10</f>
        <v>5.0681818181818183</v>
      </c>
      <c r="G24" s="17" t="s">
        <v>95</v>
      </c>
      <c r="H24" s="4" t="s">
        <v>119</v>
      </c>
    </row>
    <row r="26" spans="1:8" x14ac:dyDescent="0.25">
      <c r="A26" s="6" t="s">
        <v>120</v>
      </c>
    </row>
    <row r="27" spans="1:8" x14ac:dyDescent="0.25">
      <c r="A27" s="5" t="s">
        <v>80</v>
      </c>
      <c r="B27" s="5" t="s">
        <v>81</v>
      </c>
      <c r="C27" s="5" t="s">
        <v>82</v>
      </c>
      <c r="D27" s="5" t="s">
        <v>83</v>
      </c>
      <c r="E27" s="5" t="s">
        <v>84</v>
      </c>
      <c r="F27" s="5" t="s">
        <v>85</v>
      </c>
      <c r="G27" s="5" t="s">
        <v>86</v>
      </c>
      <c r="H27" s="5" t="s">
        <v>87</v>
      </c>
    </row>
    <row r="28" spans="1:8" x14ac:dyDescent="0.25">
      <c r="A28" s="7" t="s">
        <v>121</v>
      </c>
      <c r="B28" s="13">
        <f>Fig06_07_DRAM_Supply!B19</f>
        <v>11</v>
      </c>
      <c r="C28" s="13">
        <f>Fig06_07_DRAM_Supply!C19</f>
        <v>27</v>
      </c>
      <c r="D28" s="13">
        <f>Fig06_07_DRAM_Supply!D19</f>
        <v>69</v>
      </c>
      <c r="E28" s="13">
        <f>Fig06_07_DRAM_Supply!D19</f>
        <v>69</v>
      </c>
      <c r="F28" s="13">
        <f>Fig06_07_DRAM_Supply!D19</f>
        <v>69</v>
      </c>
      <c r="G28" s="15" t="s">
        <v>89</v>
      </c>
      <c r="H28" s="4" t="s">
        <v>122</v>
      </c>
    </row>
    <row r="29" spans="1:8" x14ac:dyDescent="0.25">
      <c r="A29" s="7" t="s">
        <v>123</v>
      </c>
      <c r="B29" s="23">
        <v>0</v>
      </c>
      <c r="C29" s="13">
        <f>Fig06_07_DRAM_Supply!C20</f>
        <v>2</v>
      </c>
      <c r="D29" s="13">
        <f>Fig06_07_DRAM_Supply!D20</f>
        <v>7</v>
      </c>
      <c r="E29" s="13">
        <f>Fig06_07_DRAM_Supply!D20</f>
        <v>7</v>
      </c>
      <c r="F29" s="13">
        <f>Fig06_07_DRAM_Supply!D20</f>
        <v>7</v>
      </c>
      <c r="G29" s="15" t="s">
        <v>89</v>
      </c>
      <c r="H29" s="4" t="s">
        <v>124</v>
      </c>
    </row>
    <row r="30" spans="1:8" x14ac:dyDescent="0.25">
      <c r="A30" s="2" t="s">
        <v>125</v>
      </c>
      <c r="B30" s="24">
        <f>Fig06_07_DRAM_Supply!B21</f>
        <v>11</v>
      </c>
      <c r="C30" s="24">
        <f>Fig06_07_DRAM_Supply!C21</f>
        <v>29</v>
      </c>
      <c r="D30" s="24">
        <f>Fig06_07_DRAM_Supply!D21</f>
        <v>77</v>
      </c>
      <c r="E30" s="24">
        <f>Fig06_07_DRAM_Supply!D21</f>
        <v>77</v>
      </c>
      <c r="F30" s="24">
        <f>Fig06_07_DRAM_Supply!D21</f>
        <v>77</v>
      </c>
      <c r="G30" s="15" t="s">
        <v>89</v>
      </c>
      <c r="H30" s="4" t="s">
        <v>126</v>
      </c>
    </row>
    <row r="31" spans="1:8" x14ac:dyDescent="0.25">
      <c r="A31" s="7" t="s">
        <v>127</v>
      </c>
      <c r="B31" s="25">
        <f>B30/B22</f>
        <v>0.84615384615384615</v>
      </c>
      <c r="C31" s="25">
        <f>C30/C22</f>
        <v>0.96666666666666667</v>
      </c>
      <c r="D31" s="25">
        <f>D30/D22</f>
        <v>1</v>
      </c>
      <c r="E31" s="25">
        <f>E30/E22</f>
        <v>0.27304964539007093</v>
      </c>
      <c r="F31" s="25">
        <f>F30/F22</f>
        <v>0.3235294117647059</v>
      </c>
      <c r="G31" s="17" t="s">
        <v>95</v>
      </c>
      <c r="H31" s="4" t="s">
        <v>128</v>
      </c>
    </row>
    <row r="32" spans="1:8" x14ac:dyDescent="0.25">
      <c r="A32" s="2" t="s">
        <v>129</v>
      </c>
      <c r="C32" s="22">
        <f>MAX(0,(C30-C19-C20)/C15)</f>
        <v>4.2857142857142856</v>
      </c>
      <c r="D32" s="22">
        <f>MAX(0,(D30-D19-D20)/D15)</f>
        <v>14.520000000000001</v>
      </c>
      <c r="E32" s="22">
        <f>MAX(0,(E30-E19-E20)/E15)</f>
        <v>14.5</v>
      </c>
      <c r="F32" s="22">
        <f>MAX(0,(F30-F19-F20)/F15)</f>
        <v>14.5</v>
      </c>
      <c r="G32" s="17" t="s">
        <v>95</v>
      </c>
      <c r="H32" s="4" t="s">
        <v>130</v>
      </c>
    </row>
    <row r="33" spans="1:8" x14ac:dyDescent="0.25">
      <c r="A33" s="7" t="s">
        <v>131</v>
      </c>
      <c r="C33" s="22">
        <f>C6+C7+C32</f>
        <v>41.285714285714285</v>
      </c>
      <c r="D33" s="22">
        <f>D6+D7+D32</f>
        <v>66.52</v>
      </c>
      <c r="E33" s="22">
        <f>E6+E7+E32</f>
        <v>66.5</v>
      </c>
      <c r="F33" s="22">
        <f>F6+F7+F32</f>
        <v>66.5</v>
      </c>
      <c r="G33" s="17" t="s">
        <v>95</v>
      </c>
      <c r="H33" s="4"/>
    </row>
    <row r="34" spans="1:8" x14ac:dyDescent="0.25">
      <c r="A34" s="7" t="s">
        <v>132</v>
      </c>
      <c r="C34" s="21">
        <f>(C7+C32)/C10</f>
        <v>0.52709359605911321</v>
      </c>
      <c r="D34" s="21">
        <f>(D7+D32)/D10</f>
        <v>0.83000000000000007</v>
      </c>
      <c r="E34" s="21">
        <f>(E7+E32)/E10</f>
        <v>0.82954545454545459</v>
      </c>
      <c r="F34" s="21">
        <f>(F7+F32)/F10</f>
        <v>0.82954545454545459</v>
      </c>
      <c r="G34" s="17" t="s">
        <v>95</v>
      </c>
      <c r="H34" s="4" t="s">
        <v>133</v>
      </c>
    </row>
    <row r="35" spans="1:8" x14ac:dyDescent="0.25">
      <c r="A35" s="7" t="s">
        <v>134</v>
      </c>
      <c r="B35" s="26">
        <f>Fig10_12_TAM!B8</f>
        <v>1200</v>
      </c>
      <c r="C35" s="26">
        <f>Fig10_12_TAM!C8</f>
        <v>1348</v>
      </c>
      <c r="D35" s="26">
        <f>Fig10_12_TAM!D8</f>
        <v>1606</v>
      </c>
      <c r="E35" s="26">
        <f>Fig10_12_TAM!D8</f>
        <v>1606</v>
      </c>
      <c r="F35" s="26">
        <f>Fig10_12_TAM!D8</f>
        <v>1606</v>
      </c>
      <c r="G35" s="15" t="s">
        <v>89</v>
      </c>
      <c r="H35" s="4" t="s">
        <v>135</v>
      </c>
    </row>
    <row r="36" spans="1:8" x14ac:dyDescent="0.25">
      <c r="A36" s="7" t="s">
        <v>136</v>
      </c>
      <c r="B36" s="26">
        <f>Fig10_12_TAM!B32</f>
        <v>2430</v>
      </c>
      <c r="C36" s="26">
        <f>Fig10_12_TAM!C32</f>
        <v>3160</v>
      </c>
      <c r="D36" s="26">
        <f>Fig10_12_TAM!D32</f>
        <v>4480</v>
      </c>
      <c r="E36" s="26">
        <f>Fig10_12_TAM!D32</f>
        <v>4480</v>
      </c>
      <c r="F36" s="26">
        <f>Fig10_12_TAM!D32</f>
        <v>4480</v>
      </c>
      <c r="G36" s="15" t="s">
        <v>89</v>
      </c>
      <c r="H36" s="4" t="s">
        <v>137</v>
      </c>
    </row>
    <row r="37" spans="1:8" x14ac:dyDescent="0.25">
      <c r="A37" s="7" t="s">
        <v>138</v>
      </c>
      <c r="B37" s="27">
        <v>0</v>
      </c>
      <c r="C37" s="26">
        <f>Fig10_12_TAM!C35</f>
        <v>2850</v>
      </c>
      <c r="D37" s="26">
        <f>Fig10_12_TAM!D35</f>
        <v>4223</v>
      </c>
      <c r="E37" s="26">
        <f>Fig10_12_TAM!D35</f>
        <v>4223</v>
      </c>
      <c r="F37" s="26">
        <f>Fig10_12_TAM!D35</f>
        <v>4223</v>
      </c>
      <c r="G37" s="15" t="s">
        <v>89</v>
      </c>
      <c r="H37" s="4" t="s">
        <v>139</v>
      </c>
    </row>
    <row r="38" spans="1:8" x14ac:dyDescent="0.25">
      <c r="A38" s="2" t="s">
        <v>140</v>
      </c>
      <c r="C38" s="28">
        <f>(C6*C35+C7*C36+C32*C37)/1000</f>
        <v>82.022285714285715</v>
      </c>
      <c r="D38" s="28">
        <f>(D6*D35+D7*D36+D32*D37)/1000</f>
        <v>208.05796000000001</v>
      </c>
      <c r="E38" s="28">
        <f>(E6*E35+E7*E36+E32*E37)/1000</f>
        <v>207.9735</v>
      </c>
      <c r="F38" s="28">
        <f>(F6*F35+F7*F36+F32*F37)/1000</f>
        <v>207.9735</v>
      </c>
      <c r="G38" s="17" t="s">
        <v>95</v>
      </c>
      <c r="H38" s="4" t="s">
        <v>141</v>
      </c>
    </row>
    <row r="40" spans="1:8" x14ac:dyDescent="0.25">
      <c r="A40" s="6" t="s">
        <v>142</v>
      </c>
    </row>
    <row r="41" spans="1:8" x14ac:dyDescent="0.25">
      <c r="A41" s="5" t="s">
        <v>143</v>
      </c>
      <c r="B41" s="5" t="s">
        <v>24</v>
      </c>
      <c r="C41" s="5" t="s">
        <v>25</v>
      </c>
      <c r="D41" s="5"/>
      <c r="E41" s="5"/>
      <c r="F41" s="5"/>
      <c r="G41" s="5" t="s">
        <v>86</v>
      </c>
      <c r="H41" s="5" t="s">
        <v>144</v>
      </c>
    </row>
    <row r="42" spans="1:8" x14ac:dyDescent="0.25">
      <c r="A42" s="7" t="s">
        <v>145</v>
      </c>
      <c r="B42" s="29">
        <f>D15</f>
        <v>1.9972451790633607</v>
      </c>
      <c r="C42" s="7" t="s">
        <v>41</v>
      </c>
      <c r="G42" s="17" t="s">
        <v>95</v>
      </c>
      <c r="H42" s="4" t="s">
        <v>146</v>
      </c>
    </row>
    <row r="43" spans="1:8" x14ac:dyDescent="0.25">
      <c r="A43" s="7" t="s">
        <v>147</v>
      </c>
      <c r="B43" s="29">
        <f>D14</f>
        <v>1.5</v>
      </c>
      <c r="C43" s="7" t="s">
        <v>41</v>
      </c>
      <c r="G43" s="17" t="s">
        <v>95</v>
      </c>
      <c r="H43" s="4"/>
    </row>
    <row r="44" spans="1:8" x14ac:dyDescent="0.25">
      <c r="A44" s="7" t="s">
        <v>148</v>
      </c>
      <c r="B44" s="29">
        <f>D13</f>
        <v>0.5</v>
      </c>
      <c r="C44" s="7" t="s">
        <v>41</v>
      </c>
      <c r="G44" s="17" t="s">
        <v>95</v>
      </c>
      <c r="H44" s="4"/>
    </row>
    <row r="45" spans="1:8" x14ac:dyDescent="0.25">
      <c r="A45" s="7" t="s">
        <v>149</v>
      </c>
      <c r="B45" s="29">
        <f>1/D15</f>
        <v>0.50068965517241382</v>
      </c>
      <c r="C45" s="7" t="s">
        <v>150</v>
      </c>
      <c r="G45" s="17" t="s">
        <v>95</v>
      </c>
      <c r="H45" s="4" t="s">
        <v>151</v>
      </c>
    </row>
    <row r="46" spans="1:8" x14ac:dyDescent="0.25">
      <c r="A46" s="7" t="s">
        <v>152</v>
      </c>
      <c r="B46" s="29">
        <f>1/D15*D37/1000</f>
        <v>2.1144124137931035</v>
      </c>
      <c r="C46" s="7" t="s">
        <v>49</v>
      </c>
      <c r="G46" s="17" t="s">
        <v>95</v>
      </c>
      <c r="H46" s="4" t="s">
        <v>153</v>
      </c>
    </row>
    <row r="47" spans="1:8" x14ac:dyDescent="0.25">
      <c r="A47" s="7" t="s">
        <v>154</v>
      </c>
      <c r="B47" s="30">
        <f>D15/D28</f>
        <v>2.8945582305266098E-2</v>
      </c>
      <c r="C47" s="7" t="s">
        <v>52</v>
      </c>
      <c r="G47" s="17" t="s">
        <v>95</v>
      </c>
      <c r="H47" s="4" t="s">
        <v>155</v>
      </c>
    </row>
    <row r="48" spans="1:8" x14ac:dyDescent="0.25">
      <c r="A48" s="7" t="s">
        <v>156</v>
      </c>
      <c r="B48" s="30">
        <f>D15/Fig06_07_DRAM_Supply!D16</f>
        <v>2.0174193727912734E-2</v>
      </c>
      <c r="C48" s="7" t="s">
        <v>52</v>
      </c>
      <c r="G48" s="17" t="s">
        <v>95</v>
      </c>
      <c r="H48" s="4" t="s">
        <v>157</v>
      </c>
    </row>
    <row r="49" spans="1:8" x14ac:dyDescent="0.25">
      <c r="A49" s="7" t="s">
        <v>158</v>
      </c>
      <c r="B49" s="29">
        <f>D38/D30</f>
        <v>2.7020514285714285</v>
      </c>
      <c r="C49" s="7" t="s">
        <v>159</v>
      </c>
      <c r="G49" s="17" t="s">
        <v>95</v>
      </c>
      <c r="H49" s="4" t="s">
        <v>160</v>
      </c>
    </row>
    <row r="50" spans="1:8" x14ac:dyDescent="0.25">
      <c r="A50" s="7" t="s">
        <v>161</v>
      </c>
      <c r="B50" s="29">
        <f>0.1*(D7+D8)</f>
        <v>3.6520000000000006</v>
      </c>
      <c r="C50" s="7" t="s">
        <v>41</v>
      </c>
      <c r="G50" s="17" t="s">
        <v>95</v>
      </c>
      <c r="H50" s="4" t="s">
        <v>162</v>
      </c>
    </row>
    <row r="51" spans="1:8" x14ac:dyDescent="0.25">
      <c r="A51" s="7" t="s">
        <v>163</v>
      </c>
      <c r="B51" s="29">
        <f>B50/D15</f>
        <v>1.8285186206896555</v>
      </c>
      <c r="C51" s="7" t="s">
        <v>150</v>
      </c>
      <c r="G51" s="17" t="s">
        <v>95</v>
      </c>
      <c r="H51" s="4" t="s">
        <v>164</v>
      </c>
    </row>
    <row r="52" spans="1:8" x14ac:dyDescent="0.25">
      <c r="A52" s="7" t="s">
        <v>165</v>
      </c>
      <c r="B52" s="29">
        <f>B51*D37/1000</f>
        <v>7.7218341351724158</v>
      </c>
      <c r="C52" s="7" t="s">
        <v>49</v>
      </c>
      <c r="G52" s="17" t="s">
        <v>95</v>
      </c>
      <c r="H52" s="4"/>
    </row>
    <row r="53" spans="1:8" x14ac:dyDescent="0.25">
      <c r="A53" s="7" t="s">
        <v>166</v>
      </c>
      <c r="B53" s="29">
        <f>D6*(1-D13)/D15</f>
        <v>7.5103448275862075</v>
      </c>
      <c r="C53" s="7" t="s">
        <v>150</v>
      </c>
      <c r="G53" s="17" t="s">
        <v>95</v>
      </c>
      <c r="H53" s="4" t="s">
        <v>167</v>
      </c>
    </row>
    <row r="54" spans="1:8" x14ac:dyDescent="0.25">
      <c r="A54" s="7" t="s">
        <v>168</v>
      </c>
      <c r="B54" s="29">
        <f>B53*D37/1000</f>
        <v>31.716186206896552</v>
      </c>
      <c r="C54" s="7" t="s">
        <v>49</v>
      </c>
      <c r="G54" s="17" t="s">
        <v>95</v>
      </c>
      <c r="H54" s="4" t="s">
        <v>169</v>
      </c>
    </row>
    <row r="55" spans="1:8" x14ac:dyDescent="0.25">
      <c r="A55" s="7" t="s">
        <v>170</v>
      </c>
      <c r="B55" s="29">
        <f>D35/D13/1000</f>
        <v>3.2120000000000002</v>
      </c>
      <c r="C55" s="7" t="s">
        <v>159</v>
      </c>
      <c r="G55" s="17" t="s">
        <v>95</v>
      </c>
      <c r="H55" s="4" t="s">
        <v>171</v>
      </c>
    </row>
    <row r="56" spans="1:8" x14ac:dyDescent="0.25">
      <c r="A56" s="7" t="s">
        <v>172</v>
      </c>
      <c r="B56" s="29">
        <f>D36/D14/1000</f>
        <v>2.9866666666666664</v>
      </c>
      <c r="C56" s="7" t="s">
        <v>159</v>
      </c>
      <c r="G56" s="17" t="s">
        <v>95</v>
      </c>
      <c r="H56" s="4"/>
    </row>
    <row r="57" spans="1:8" x14ac:dyDescent="0.25">
      <c r="A57" s="7" t="s">
        <v>173</v>
      </c>
      <c r="B57" s="29">
        <f>D37/D15/1000</f>
        <v>2.1144124137931035</v>
      </c>
      <c r="C57" s="7" t="s">
        <v>159</v>
      </c>
      <c r="G57" s="17" t="s">
        <v>95</v>
      </c>
      <c r="H57" s="4" t="s">
        <v>174</v>
      </c>
    </row>
    <row r="59" spans="1:8" x14ac:dyDescent="0.25">
      <c r="A59" s="6" t="s">
        <v>175</v>
      </c>
    </row>
    <row r="60" spans="1:8" x14ac:dyDescent="0.25">
      <c r="A60" s="7" t="s">
        <v>176</v>
      </c>
      <c r="B60" s="31">
        <f>Fig15_18_Power!B16</f>
        <v>12000</v>
      </c>
      <c r="G60" s="15" t="s">
        <v>89</v>
      </c>
      <c r="H60" s="4" t="s">
        <v>177</v>
      </c>
    </row>
    <row r="61" spans="1:8" x14ac:dyDescent="0.25">
      <c r="A61" s="7" t="s">
        <v>178</v>
      </c>
      <c r="B61" s="28">
        <f>D13*$B$60</f>
        <v>6000</v>
      </c>
      <c r="C61" s="7" t="s">
        <v>179</v>
      </c>
      <c r="D61" s="32">
        <f>B61/D35</f>
        <v>3.7359900373599002</v>
      </c>
      <c r="G61" s="17" t="s">
        <v>95</v>
      </c>
      <c r="H61" s="4" t="s">
        <v>180</v>
      </c>
    </row>
    <row r="62" spans="1:8" x14ac:dyDescent="0.25">
      <c r="A62" s="7" t="s">
        <v>181</v>
      </c>
      <c r="B62" s="28">
        <f>D14*$B$60</f>
        <v>18000</v>
      </c>
      <c r="C62" s="7" t="s">
        <v>179</v>
      </c>
      <c r="D62" s="32">
        <f>B62/D36</f>
        <v>4.0178571428571432</v>
      </c>
      <c r="G62" s="17" t="s">
        <v>95</v>
      </c>
      <c r="H62" s="4" t="s">
        <v>180</v>
      </c>
    </row>
    <row r="63" spans="1:8" x14ac:dyDescent="0.25">
      <c r="A63" s="7" t="s">
        <v>182</v>
      </c>
      <c r="B63" s="28">
        <f>D15*$B$60</f>
        <v>23966.942148760329</v>
      </c>
      <c r="C63" s="7" t="s">
        <v>179</v>
      </c>
      <c r="D63" s="32">
        <f>B63/D37</f>
        <v>5.6753355786787418</v>
      </c>
      <c r="G63" s="17" t="s">
        <v>95</v>
      </c>
      <c r="H63" s="4" t="s">
        <v>180</v>
      </c>
    </row>
    <row r="64" spans="1:8" x14ac:dyDescent="0.25">
      <c r="A64" s="7" t="s">
        <v>183</v>
      </c>
      <c r="B64" s="33">
        <f>Fig15_18_Power!D11*0.5*10000/1000000000</f>
        <v>13.513513513513512</v>
      </c>
      <c r="C64" s="33">
        <f>Fig15_18_Power!E11*2*10000/1000000000</f>
        <v>28.985507246376812</v>
      </c>
      <c r="G64" s="17" t="s">
        <v>95</v>
      </c>
      <c r="H64" s="4" t="s">
        <v>184</v>
      </c>
    </row>
    <row r="65" spans="1:8" x14ac:dyDescent="0.25">
      <c r="A65" s="5" t="s">
        <v>185</v>
      </c>
      <c r="B65" s="5" t="s">
        <v>186</v>
      </c>
      <c r="C65" s="5" t="s">
        <v>187</v>
      </c>
      <c r="D65" s="5" t="s">
        <v>188</v>
      </c>
      <c r="E65" s="5" t="s">
        <v>189</v>
      </c>
      <c r="F65" s="5"/>
      <c r="G65" s="5" t="s">
        <v>86</v>
      </c>
      <c r="H65" s="5" t="s">
        <v>190</v>
      </c>
    </row>
    <row r="66" spans="1:8" x14ac:dyDescent="0.25">
      <c r="A66" s="7" t="s">
        <v>191</v>
      </c>
      <c r="B66" s="27">
        <v>5000</v>
      </c>
      <c r="C66" s="28">
        <f>$D$22*1000000*B66/1000000000</f>
        <v>385</v>
      </c>
      <c r="D66" s="32">
        <f>C66/$D$38</f>
        <v>1.8504459045931239</v>
      </c>
      <c r="E66" s="32">
        <f>$D$15*B66/$D$37</f>
        <v>2.3647231577828092</v>
      </c>
      <c r="G66" s="34" t="s">
        <v>192</v>
      </c>
      <c r="H66" s="4" t="s">
        <v>193</v>
      </c>
    </row>
    <row r="67" spans="1:8" x14ac:dyDescent="0.25">
      <c r="A67" s="7" t="s">
        <v>191</v>
      </c>
      <c r="B67" s="27">
        <v>10000</v>
      </c>
      <c r="C67" s="28">
        <f>$D$22*1000000*B67/1000000000</f>
        <v>770</v>
      </c>
      <c r="D67" s="32">
        <f>C67/$D$38</f>
        <v>3.7008918091862477</v>
      </c>
      <c r="E67" s="32">
        <f>$D$15*B67/$D$37</f>
        <v>4.7294463155656183</v>
      </c>
      <c r="G67" s="15" t="s">
        <v>89</v>
      </c>
      <c r="H67" s="4" t="s">
        <v>194</v>
      </c>
    </row>
    <row r="68" spans="1:8" x14ac:dyDescent="0.25">
      <c r="A68" s="7" t="s">
        <v>191</v>
      </c>
      <c r="B68" s="26">
        <f>B60</f>
        <v>12000</v>
      </c>
      <c r="C68" s="28">
        <f>$D$22*1000000*B68/1000000000</f>
        <v>924</v>
      </c>
      <c r="D68" s="32">
        <f>C68/$D$38</f>
        <v>4.4410701710234974</v>
      </c>
      <c r="E68" s="32">
        <f>$D$15*B68/$D$37</f>
        <v>5.6753355786787418</v>
      </c>
      <c r="G68" s="15" t="s">
        <v>89</v>
      </c>
      <c r="H68" s="4" t="s">
        <v>195</v>
      </c>
    </row>
    <row r="69" spans="1:8" x14ac:dyDescent="0.25">
      <c r="A69" s="7" t="s">
        <v>191</v>
      </c>
      <c r="B69" s="27">
        <v>14280</v>
      </c>
      <c r="C69" s="28">
        <f>$D$22*1000000*B69/1000000000</f>
        <v>1099.56</v>
      </c>
      <c r="D69" s="32">
        <f>C69/$D$38</f>
        <v>5.2848735035179617</v>
      </c>
      <c r="E69" s="32">
        <f>$D$15*B69/$D$37</f>
        <v>6.753649338627703</v>
      </c>
      <c r="G69" s="35" t="s">
        <v>196</v>
      </c>
      <c r="H69" s="4" t="s">
        <v>197</v>
      </c>
    </row>
    <row r="70" spans="1:8" x14ac:dyDescent="0.25">
      <c r="A70" s="7" t="s">
        <v>191</v>
      </c>
      <c r="B70" s="27">
        <v>21328</v>
      </c>
      <c r="C70" s="28">
        <f>$D$22*1000000*B70/1000000000</f>
        <v>1642.2560000000001</v>
      </c>
      <c r="D70" s="32">
        <f>C70/$D$38</f>
        <v>7.8932620506324298</v>
      </c>
      <c r="E70" s="32">
        <f>$D$15*B70/$D$37</f>
        <v>10.086963101838352</v>
      </c>
      <c r="G70" s="35" t="s">
        <v>196</v>
      </c>
      <c r="H70" s="4" t="s">
        <v>198</v>
      </c>
    </row>
    <row r="71" spans="1:8" x14ac:dyDescent="0.25">
      <c r="A71" s="4" t="s">
        <v>199</v>
      </c>
    </row>
    <row r="73" spans="1:8" x14ac:dyDescent="0.25">
      <c r="A73" s="6" t="s">
        <v>200</v>
      </c>
    </row>
    <row r="74" spans="1:8" x14ac:dyDescent="0.25">
      <c r="A74" s="5" t="s">
        <v>80</v>
      </c>
      <c r="B74" s="5" t="s">
        <v>201</v>
      </c>
      <c r="C74" s="5" t="s">
        <v>202</v>
      </c>
      <c r="D74" s="5"/>
      <c r="E74" s="5"/>
      <c r="F74" s="5"/>
      <c r="G74" s="5" t="s">
        <v>86</v>
      </c>
      <c r="H74" s="5" t="s">
        <v>203</v>
      </c>
    </row>
    <row r="75" spans="1:8" x14ac:dyDescent="0.25">
      <c r="A75" s="7" t="s">
        <v>204</v>
      </c>
      <c r="B75" s="13">
        <f>Fig15_18_Power!D10</f>
        <v>370</v>
      </c>
      <c r="C75" s="13">
        <f>Fig15_18_Power!E10</f>
        <v>690</v>
      </c>
      <c r="G75" s="15" t="s">
        <v>89</v>
      </c>
      <c r="H75" s="4" t="s">
        <v>205</v>
      </c>
    </row>
    <row r="76" spans="1:8" x14ac:dyDescent="0.25">
      <c r="A76" s="7" t="s">
        <v>206</v>
      </c>
      <c r="B76" s="36">
        <f>Fig15_18_Power!B7</f>
        <v>1</v>
      </c>
      <c r="C76" s="36">
        <f>Fig15_18_Power!C7</f>
        <v>2</v>
      </c>
      <c r="G76" s="15" t="s">
        <v>89</v>
      </c>
      <c r="H76" s="4" t="s">
        <v>207</v>
      </c>
    </row>
    <row r="77" spans="1:8" x14ac:dyDescent="0.25">
      <c r="A77" s="7" t="s">
        <v>208</v>
      </c>
      <c r="B77" s="14">
        <f>B76*1000/Fig15_18_Power!B9</f>
        <v>125</v>
      </c>
      <c r="C77" s="14">
        <f>C76*1000/Fig15_18_Power!C9</f>
        <v>125</v>
      </c>
      <c r="G77" s="17" t="s">
        <v>95</v>
      </c>
      <c r="H77" s="4" t="s">
        <v>209</v>
      </c>
    </row>
    <row r="78" spans="1:8" x14ac:dyDescent="0.25">
      <c r="A78" s="2" t="s">
        <v>210</v>
      </c>
      <c r="B78" s="21">
        <f>1000/B75*B76</f>
        <v>2.7027027027027026</v>
      </c>
      <c r="C78" s="21">
        <f>1000/C75*C76</f>
        <v>2.8985507246376812</v>
      </c>
      <c r="G78" s="17" t="s">
        <v>95</v>
      </c>
      <c r="H78" s="4" t="s">
        <v>211</v>
      </c>
    </row>
    <row r="79" spans="1:8" x14ac:dyDescent="0.25">
      <c r="A79" s="7" t="s">
        <v>212</v>
      </c>
      <c r="B79" s="21">
        <f>1000/B75*D13</f>
        <v>1.3513513513513513</v>
      </c>
      <c r="C79" s="21">
        <f>1000/C75*D15</f>
        <v>2.8945582305266098</v>
      </c>
      <c r="G79" s="17" t="s">
        <v>95</v>
      </c>
      <c r="H79" s="4" t="s">
        <v>213</v>
      </c>
    </row>
    <row r="80" spans="1:8" x14ac:dyDescent="0.25">
      <c r="A80" s="7" t="s">
        <v>214</v>
      </c>
      <c r="B80" s="13">
        <f>Fig15_18_Power!D22</f>
        <v>11</v>
      </c>
      <c r="C80" s="13">
        <f>Fig15_18_Power!D26</f>
        <v>10</v>
      </c>
      <c r="G80" s="15" t="s">
        <v>89</v>
      </c>
      <c r="H80" s="4" t="s">
        <v>215</v>
      </c>
    </row>
    <row r="81" spans="1:8" x14ac:dyDescent="0.25">
      <c r="A81" s="7" t="s">
        <v>216</v>
      </c>
      <c r="B81" s="22">
        <f>B80*B78</f>
        <v>29.72972972972973</v>
      </c>
      <c r="C81" s="22">
        <f>C80*C78</f>
        <v>28.985507246376812</v>
      </c>
      <c r="G81" s="17" t="s">
        <v>95</v>
      </c>
      <c r="H81" s="4" t="s">
        <v>217</v>
      </c>
    </row>
    <row r="83" spans="1:8" x14ac:dyDescent="0.25">
      <c r="A83" s="6" t="s">
        <v>218</v>
      </c>
    </row>
    <row r="84" spans="1:8" x14ac:dyDescent="0.25">
      <c r="A84" s="2" t="s">
        <v>219</v>
      </c>
      <c r="B84" s="37">
        <v>1</v>
      </c>
      <c r="C84" s="37">
        <v>1.5</v>
      </c>
      <c r="D84" s="37">
        <v>2</v>
      </c>
      <c r="E84" s="37">
        <v>2.5</v>
      </c>
      <c r="F84" s="37">
        <v>3</v>
      </c>
    </row>
    <row r="85" spans="1:8" x14ac:dyDescent="0.25">
      <c r="A85" s="23">
        <v>55</v>
      </c>
      <c r="B85" s="22">
        <f t="shared" ref="B85:F91" si="1">MIN($F$8,MAX(0,($A85-$D$19-$D$20)/B$84))</f>
        <v>7</v>
      </c>
      <c r="C85" s="22">
        <f t="shared" si="1"/>
        <v>4.666666666666667</v>
      </c>
      <c r="D85" s="22">
        <f t="shared" si="1"/>
        <v>3.5</v>
      </c>
      <c r="E85" s="22">
        <f t="shared" si="1"/>
        <v>2.8</v>
      </c>
      <c r="F85" s="22">
        <f t="shared" si="1"/>
        <v>2.3333333333333335</v>
      </c>
    </row>
    <row r="86" spans="1:8" x14ac:dyDescent="0.25">
      <c r="A86" s="23">
        <v>60</v>
      </c>
      <c r="B86" s="22">
        <f t="shared" si="1"/>
        <v>12</v>
      </c>
      <c r="C86" s="22">
        <f t="shared" si="1"/>
        <v>8</v>
      </c>
      <c r="D86" s="22">
        <f t="shared" si="1"/>
        <v>6</v>
      </c>
      <c r="E86" s="22">
        <f t="shared" si="1"/>
        <v>4.8</v>
      </c>
      <c r="F86" s="22">
        <f t="shared" si="1"/>
        <v>4</v>
      </c>
    </row>
    <row r="87" spans="1:8" x14ac:dyDescent="0.25">
      <c r="A87" s="23">
        <v>66</v>
      </c>
      <c r="B87" s="22">
        <f t="shared" si="1"/>
        <v>18</v>
      </c>
      <c r="C87" s="22">
        <f t="shared" si="1"/>
        <v>12</v>
      </c>
      <c r="D87" s="22">
        <f t="shared" si="1"/>
        <v>9</v>
      </c>
      <c r="E87" s="22">
        <f t="shared" si="1"/>
        <v>7.2</v>
      </c>
      <c r="F87" s="22">
        <f t="shared" si="1"/>
        <v>6</v>
      </c>
    </row>
    <row r="88" spans="1:8" x14ac:dyDescent="0.25">
      <c r="A88" s="23">
        <v>77</v>
      </c>
      <c r="B88" s="22">
        <f t="shared" si="1"/>
        <v>29</v>
      </c>
      <c r="C88" s="22">
        <f t="shared" si="1"/>
        <v>19.333333333333332</v>
      </c>
      <c r="D88" s="22">
        <f t="shared" si="1"/>
        <v>14.5</v>
      </c>
      <c r="E88" s="22">
        <f t="shared" si="1"/>
        <v>11.6</v>
      </c>
      <c r="F88" s="22">
        <f t="shared" si="1"/>
        <v>9.6666666666666661</v>
      </c>
    </row>
    <row r="89" spans="1:8" x14ac:dyDescent="0.25">
      <c r="A89" s="23">
        <v>90</v>
      </c>
      <c r="B89" s="22">
        <f t="shared" si="1"/>
        <v>42</v>
      </c>
      <c r="C89" s="22">
        <f t="shared" si="1"/>
        <v>28</v>
      </c>
      <c r="D89" s="22">
        <f t="shared" si="1"/>
        <v>21</v>
      </c>
      <c r="E89" s="22">
        <f t="shared" si="1"/>
        <v>16.8</v>
      </c>
      <c r="F89" s="22">
        <f t="shared" si="1"/>
        <v>14</v>
      </c>
    </row>
    <row r="90" spans="1:8" x14ac:dyDescent="0.25">
      <c r="A90" s="23">
        <v>100</v>
      </c>
      <c r="B90" s="22">
        <f t="shared" si="1"/>
        <v>52</v>
      </c>
      <c r="C90" s="22">
        <f t="shared" si="1"/>
        <v>34.666666666666664</v>
      </c>
      <c r="D90" s="22">
        <f t="shared" si="1"/>
        <v>26</v>
      </c>
      <c r="E90" s="22">
        <f t="shared" si="1"/>
        <v>20.8</v>
      </c>
      <c r="F90" s="22">
        <f t="shared" si="1"/>
        <v>17.333333333333332</v>
      </c>
    </row>
    <row r="91" spans="1:8" x14ac:dyDescent="0.25">
      <c r="A91" s="23">
        <v>120</v>
      </c>
      <c r="B91" s="22">
        <f t="shared" si="1"/>
        <v>72</v>
      </c>
      <c r="C91" s="22">
        <f t="shared" si="1"/>
        <v>48</v>
      </c>
      <c r="D91" s="22">
        <f t="shared" si="1"/>
        <v>36</v>
      </c>
      <c r="E91" s="22">
        <f t="shared" si="1"/>
        <v>28.8</v>
      </c>
      <c r="F91" s="22">
        <f t="shared" si="1"/>
        <v>24</v>
      </c>
    </row>
    <row r="92" spans="1:8" x14ac:dyDescent="0.25">
      <c r="A92" s="4" t="s">
        <v>220</v>
      </c>
    </row>
    <row r="94" spans="1:8" x14ac:dyDescent="0.25">
      <c r="A94" s="2" t="s">
        <v>221</v>
      </c>
    </row>
    <row r="95" spans="1:8" x14ac:dyDescent="0.25">
      <c r="A95" s="2" t="s">
        <v>219</v>
      </c>
      <c r="B95" s="37">
        <v>1</v>
      </c>
      <c r="C95" s="37">
        <v>1.5</v>
      </c>
      <c r="D95" s="37">
        <v>2</v>
      </c>
      <c r="E95" s="37">
        <v>2.5</v>
      </c>
      <c r="F95" s="37">
        <v>3</v>
      </c>
    </row>
    <row r="96" spans="1:8" x14ac:dyDescent="0.25">
      <c r="A96" s="23">
        <v>55</v>
      </c>
      <c r="B96" s="28">
        <f t="shared" ref="B96:F102" si="2">($D$6*$D$35+$D$7*$D$36+B85*$D$37)/1000</f>
        <v>176.30099999999999</v>
      </c>
      <c r="C96" s="28">
        <f t="shared" si="2"/>
        <v>166.44733333333335</v>
      </c>
      <c r="D96" s="28">
        <f t="shared" si="2"/>
        <v>161.5205</v>
      </c>
      <c r="E96" s="28">
        <f t="shared" si="2"/>
        <v>158.56440000000001</v>
      </c>
      <c r="F96" s="28">
        <f t="shared" si="2"/>
        <v>156.59366666666665</v>
      </c>
    </row>
    <row r="97" spans="1:9" x14ac:dyDescent="0.25">
      <c r="A97" s="23">
        <v>60</v>
      </c>
      <c r="B97" s="28">
        <f t="shared" si="2"/>
        <v>197.416</v>
      </c>
      <c r="C97" s="28">
        <f t="shared" si="2"/>
        <v>180.524</v>
      </c>
      <c r="D97" s="28">
        <f t="shared" si="2"/>
        <v>172.078</v>
      </c>
      <c r="E97" s="28">
        <f t="shared" si="2"/>
        <v>167.0104</v>
      </c>
      <c r="F97" s="28">
        <f t="shared" si="2"/>
        <v>163.63200000000001</v>
      </c>
    </row>
    <row r="98" spans="1:9" x14ac:dyDescent="0.25">
      <c r="A98" s="23">
        <v>66</v>
      </c>
      <c r="B98" s="28">
        <f t="shared" si="2"/>
        <v>222.75399999999999</v>
      </c>
      <c r="C98" s="28">
        <f t="shared" si="2"/>
        <v>197.416</v>
      </c>
      <c r="D98" s="28">
        <f t="shared" si="2"/>
        <v>184.74700000000001</v>
      </c>
      <c r="E98" s="28">
        <f t="shared" si="2"/>
        <v>177.1456</v>
      </c>
      <c r="F98" s="28">
        <f t="shared" si="2"/>
        <v>172.078</v>
      </c>
    </row>
    <row r="99" spans="1:9" x14ac:dyDescent="0.25">
      <c r="A99" s="23">
        <v>77</v>
      </c>
      <c r="B99" s="28">
        <f t="shared" si="2"/>
        <v>269.20699999999999</v>
      </c>
      <c r="C99" s="28">
        <f t="shared" si="2"/>
        <v>228.38466666666665</v>
      </c>
      <c r="D99" s="28">
        <f t="shared" si="2"/>
        <v>207.9735</v>
      </c>
      <c r="E99" s="28">
        <f t="shared" si="2"/>
        <v>195.7268</v>
      </c>
      <c r="F99" s="28">
        <f t="shared" si="2"/>
        <v>187.56233333333333</v>
      </c>
    </row>
    <row r="100" spans="1:9" x14ac:dyDescent="0.25">
      <c r="A100" s="23">
        <v>90</v>
      </c>
      <c r="B100" s="28">
        <f t="shared" si="2"/>
        <v>324.10599999999999</v>
      </c>
      <c r="C100" s="28">
        <f t="shared" si="2"/>
        <v>264.98399999999998</v>
      </c>
      <c r="D100" s="28">
        <f t="shared" si="2"/>
        <v>235.423</v>
      </c>
      <c r="E100" s="28">
        <f t="shared" si="2"/>
        <v>217.68640000000002</v>
      </c>
      <c r="F100" s="28">
        <f t="shared" si="2"/>
        <v>205.86199999999999</v>
      </c>
    </row>
    <row r="101" spans="1:9" x14ac:dyDescent="0.25">
      <c r="A101" s="23">
        <v>100</v>
      </c>
      <c r="B101" s="28">
        <f t="shared" si="2"/>
        <v>366.33600000000001</v>
      </c>
      <c r="C101" s="28">
        <f t="shared" si="2"/>
        <v>293.13733333333329</v>
      </c>
      <c r="D101" s="28">
        <f t="shared" si="2"/>
        <v>256.53800000000001</v>
      </c>
      <c r="E101" s="28">
        <f t="shared" si="2"/>
        <v>234.57840000000002</v>
      </c>
      <c r="F101" s="28">
        <f t="shared" si="2"/>
        <v>219.93866666666665</v>
      </c>
    </row>
    <row r="102" spans="1:9" x14ac:dyDescent="0.25">
      <c r="A102" s="23">
        <v>120</v>
      </c>
      <c r="B102" s="28">
        <f t="shared" si="2"/>
        <v>450.79599999999999</v>
      </c>
      <c r="C102" s="28">
        <f t="shared" si="2"/>
        <v>349.44400000000002</v>
      </c>
      <c r="D102" s="28">
        <f t="shared" si="2"/>
        <v>298.76799999999997</v>
      </c>
      <c r="E102" s="28">
        <f t="shared" si="2"/>
        <v>268.36240000000004</v>
      </c>
      <c r="F102" s="28">
        <f t="shared" si="2"/>
        <v>248.09200000000001</v>
      </c>
    </row>
    <row r="104" spans="1:9" x14ac:dyDescent="0.25">
      <c r="A104" s="2" t="s">
        <v>222</v>
      </c>
    </row>
    <row r="105" spans="1:9" x14ac:dyDescent="0.25">
      <c r="A105" s="2" t="s">
        <v>223</v>
      </c>
      <c r="B105" s="37">
        <v>1</v>
      </c>
      <c r="C105" s="37">
        <v>1.5</v>
      </c>
      <c r="D105" s="37">
        <v>2</v>
      </c>
    </row>
    <row r="106" spans="1:9" x14ac:dyDescent="0.25">
      <c r="A106" s="38">
        <v>0.5</v>
      </c>
      <c r="B106" s="28">
        <f t="shared" ref="B106:D108" si="3">($D$6*$D$35+$D$7*$D$36+MIN($F$8,MAX(0,($D$30-$D$6*$A106-$D$7*B$105)/$D$15))*$D$37)/1000</f>
        <v>231.31649655172416</v>
      </c>
      <c r="C106" s="28">
        <f t="shared" si="3"/>
        <v>208.05796000000001</v>
      </c>
      <c r="D106" s="28">
        <f t="shared" si="3"/>
        <v>184.79942344827586</v>
      </c>
    </row>
    <row r="107" spans="1:9" x14ac:dyDescent="0.25">
      <c r="A107" s="38">
        <v>0.75</v>
      </c>
      <c r="B107" s="28">
        <f t="shared" si="3"/>
        <v>215.45840344827587</v>
      </c>
      <c r="C107" s="28">
        <f t="shared" si="3"/>
        <v>192.19986689655175</v>
      </c>
      <c r="D107" s="28">
        <f t="shared" si="3"/>
        <v>168.94133034482758</v>
      </c>
    </row>
    <row r="108" spans="1:9" x14ac:dyDescent="0.25">
      <c r="A108" s="38">
        <v>1</v>
      </c>
      <c r="B108" s="28">
        <f t="shared" si="3"/>
        <v>199.60031034482759</v>
      </c>
      <c r="C108" s="28">
        <f t="shared" si="3"/>
        <v>176.34177379310347</v>
      </c>
      <c r="D108" s="28">
        <f t="shared" si="3"/>
        <v>153.08323724137929</v>
      </c>
    </row>
    <row r="110" spans="1:9" x14ac:dyDescent="0.25">
      <c r="A110" s="6" t="s">
        <v>224</v>
      </c>
    </row>
    <row r="111" spans="1:9" x14ac:dyDescent="0.25">
      <c r="A111" s="5" t="s">
        <v>225</v>
      </c>
      <c r="B111" s="5" t="s">
        <v>226</v>
      </c>
      <c r="C111" s="5" t="s">
        <v>227</v>
      </c>
      <c r="D111" s="5" t="s">
        <v>228</v>
      </c>
      <c r="E111" s="5" t="s">
        <v>229</v>
      </c>
      <c r="F111" s="5" t="s">
        <v>230</v>
      </c>
      <c r="G111" s="5" t="s">
        <v>231</v>
      </c>
      <c r="H111" s="5" t="s">
        <v>232</v>
      </c>
      <c r="I111" s="5" t="s">
        <v>233</v>
      </c>
    </row>
    <row r="112" spans="1:9" x14ac:dyDescent="0.25">
      <c r="A112" s="2" t="s">
        <v>234</v>
      </c>
      <c r="B112" s="22">
        <f>$D$30</f>
        <v>77</v>
      </c>
      <c r="C112" s="21">
        <f>$D$13</f>
        <v>0.5</v>
      </c>
      <c r="D112" s="21">
        <f>$D$14</f>
        <v>1.5</v>
      </c>
      <c r="E112" s="21">
        <f t="shared" ref="E112:E117" si="4">$D$15</f>
        <v>1.9972451790633607</v>
      </c>
      <c r="F112" s="22">
        <f t="shared" ref="F112:F121" si="5">MIN($F$8,MAX(0,(B112-$D$6*C112-$D$7*D112)/E112))</f>
        <v>14.520000000000001</v>
      </c>
      <c r="G112" s="33">
        <f t="shared" ref="G112:G121" si="6">($D$6*$D$35+$D$7*$D$36+F112*$D$37)/1000</f>
        <v>208.05796000000001</v>
      </c>
      <c r="H112" s="39">
        <f t="shared" ref="H112:H121" si="7">G112-G$112</f>
        <v>0</v>
      </c>
      <c r="I112" s="4" t="s">
        <v>235</v>
      </c>
    </row>
    <row r="113" spans="1:9" x14ac:dyDescent="0.25">
      <c r="A113" s="7" t="s">
        <v>236</v>
      </c>
      <c r="B113" s="16">
        <f>Fig06_07_DRAM_Supply!D17-Fig06_07_DRAM_Supply!D18+Fig06_07_DRAM_Supply!D20</f>
        <v>66</v>
      </c>
      <c r="C113" s="21">
        <f>$D$13</f>
        <v>0.5</v>
      </c>
      <c r="D113" s="21">
        <f>$D$14</f>
        <v>1.5</v>
      </c>
      <c r="E113" s="21">
        <f t="shared" si="4"/>
        <v>1.9972451790633607</v>
      </c>
      <c r="F113" s="22">
        <f t="shared" si="5"/>
        <v>9.0124137931034483</v>
      </c>
      <c r="G113" s="33">
        <f t="shared" si="6"/>
        <v>184.79942344827586</v>
      </c>
      <c r="H113" s="39">
        <f t="shared" si="7"/>
        <v>-23.258536551724148</v>
      </c>
      <c r="I113" s="4" t="s">
        <v>237</v>
      </c>
    </row>
    <row r="114" spans="1:9" x14ac:dyDescent="0.25">
      <c r="A114" s="7" t="s">
        <v>238</v>
      </c>
      <c r="B114" s="16">
        <f>(Fig06_07_DRAM_Supply!D16-Fig06_07_DRAM_Supply!B18*1.1^5+Fig06_07_DRAM_Supply!D20)</f>
        <v>64.126739999999984</v>
      </c>
      <c r="C114" s="21">
        <f>$D$13</f>
        <v>0.5</v>
      </c>
      <c r="D114" s="21">
        <f>$D$14</f>
        <v>1.5</v>
      </c>
      <c r="E114" s="21">
        <f t="shared" si="4"/>
        <v>1.9972451790633607</v>
      </c>
      <c r="F114" s="22">
        <f t="shared" si="5"/>
        <v>8.0744918896551656</v>
      </c>
      <c r="G114" s="33">
        <f t="shared" si="6"/>
        <v>180.83857925001374</v>
      </c>
      <c r="H114" s="39">
        <f t="shared" si="7"/>
        <v>-27.219380749986271</v>
      </c>
      <c r="I114" s="4" t="s">
        <v>239</v>
      </c>
    </row>
    <row r="115" spans="1:9" x14ac:dyDescent="0.25">
      <c r="A115" s="7" t="s">
        <v>240</v>
      </c>
      <c r="B115" s="22">
        <f t="shared" ref="B115:B120" si="8">$D$30</f>
        <v>77</v>
      </c>
      <c r="C115" s="18">
        <f>Fig05_DRAM_per_CPU!N5</f>
        <v>1</v>
      </c>
      <c r="D115" s="21">
        <f>$D$14</f>
        <v>1.5</v>
      </c>
      <c r="E115" s="21">
        <f t="shared" si="4"/>
        <v>1.9972451790633607</v>
      </c>
      <c r="F115" s="22">
        <f t="shared" si="5"/>
        <v>7.0096551724137939</v>
      </c>
      <c r="G115" s="33">
        <f t="shared" si="6"/>
        <v>176.34177379310347</v>
      </c>
      <c r="H115" s="39">
        <f t="shared" si="7"/>
        <v>-31.716186206896538</v>
      </c>
      <c r="I115" s="4" t="s">
        <v>241</v>
      </c>
    </row>
    <row r="116" spans="1:9" x14ac:dyDescent="0.25">
      <c r="A116" s="7" t="s">
        <v>242</v>
      </c>
      <c r="B116" s="22">
        <f t="shared" si="8"/>
        <v>77</v>
      </c>
      <c r="C116" s="21">
        <f>$D$13</f>
        <v>0.5</v>
      </c>
      <c r="D116" s="18">
        <f>Fig05_DRAM_per_CPU!K6</f>
        <v>2</v>
      </c>
      <c r="E116" s="21">
        <f t="shared" si="4"/>
        <v>1.9972451790633607</v>
      </c>
      <c r="F116" s="22">
        <f t="shared" si="5"/>
        <v>9.0124137931034483</v>
      </c>
      <c r="G116" s="33">
        <f t="shared" si="6"/>
        <v>184.79942344827586</v>
      </c>
      <c r="H116" s="39">
        <f t="shared" si="7"/>
        <v>-23.258536551724148</v>
      </c>
      <c r="I116" s="4" t="s">
        <v>243</v>
      </c>
    </row>
    <row r="117" spans="1:9" x14ac:dyDescent="0.25">
      <c r="A117" s="7" t="s">
        <v>244</v>
      </c>
      <c r="B117" s="22">
        <f t="shared" si="8"/>
        <v>77</v>
      </c>
      <c r="C117" s="21">
        <f>$D$13</f>
        <v>0.5</v>
      </c>
      <c r="D117" s="21">
        <f>0.768</f>
        <v>0.76800000000000002</v>
      </c>
      <c r="E117" s="21">
        <f t="shared" si="4"/>
        <v>1.9972451790633607</v>
      </c>
      <c r="F117" s="22">
        <f t="shared" si="5"/>
        <v>22.583106206896552</v>
      </c>
      <c r="G117" s="33">
        <f t="shared" si="6"/>
        <v>242.10845751172414</v>
      </c>
      <c r="H117" s="39">
        <f t="shared" si="7"/>
        <v>34.050497511724132</v>
      </c>
      <c r="I117" s="4" t="s">
        <v>245</v>
      </c>
    </row>
    <row r="118" spans="1:9" x14ac:dyDescent="0.25">
      <c r="A118" s="7" t="s">
        <v>246</v>
      </c>
      <c r="B118" s="22">
        <f t="shared" si="8"/>
        <v>77</v>
      </c>
      <c r="C118" s="21">
        <f>$D$13</f>
        <v>0.5</v>
      </c>
      <c r="D118" s="21">
        <f>$D$14</f>
        <v>1.5</v>
      </c>
      <c r="E118" s="18">
        <f>Fig05_DRAM_per_CPU!N7</f>
        <v>2.5</v>
      </c>
      <c r="F118" s="22">
        <f t="shared" si="5"/>
        <v>11.6</v>
      </c>
      <c r="G118" s="33">
        <f t="shared" si="6"/>
        <v>195.7268</v>
      </c>
      <c r="H118" s="39">
        <f t="shared" si="7"/>
        <v>-12.331160000000011</v>
      </c>
      <c r="I118" s="4" t="s">
        <v>243</v>
      </c>
    </row>
    <row r="119" spans="1:9" x14ac:dyDescent="0.25">
      <c r="A119" s="7" t="s">
        <v>247</v>
      </c>
      <c r="B119" s="22">
        <f t="shared" si="8"/>
        <v>77</v>
      </c>
      <c r="C119" s="21">
        <f>$D$13</f>
        <v>0.5</v>
      </c>
      <c r="D119" s="21">
        <f>$D$14</f>
        <v>1.5</v>
      </c>
      <c r="E119" s="18">
        <f>Fig05_DRAM_per_CPU!K7</f>
        <v>3</v>
      </c>
      <c r="F119" s="22">
        <f t="shared" si="5"/>
        <v>9.6666666666666661</v>
      </c>
      <c r="G119" s="33">
        <f t="shared" si="6"/>
        <v>187.56233333333333</v>
      </c>
      <c r="H119" s="39">
        <f t="shared" si="7"/>
        <v>-20.495626666666681</v>
      </c>
      <c r="I119" s="4" t="s">
        <v>243</v>
      </c>
    </row>
    <row r="120" spans="1:9" x14ac:dyDescent="0.25">
      <c r="A120" s="7" t="s">
        <v>248</v>
      </c>
      <c r="B120" s="22">
        <f t="shared" si="8"/>
        <v>77</v>
      </c>
      <c r="C120" s="18">
        <f>Fig05_DRAM_per_CPU!N5</f>
        <v>1</v>
      </c>
      <c r="D120" s="18">
        <f>Fig05_DRAM_per_CPU!N6</f>
        <v>1.75</v>
      </c>
      <c r="E120" s="18">
        <f>Fig05_DRAM_per_CPU!N7</f>
        <v>2.5</v>
      </c>
      <c r="F120" s="22">
        <f t="shared" si="5"/>
        <v>3.4</v>
      </c>
      <c r="G120" s="33">
        <f t="shared" si="6"/>
        <v>161.09820000000002</v>
      </c>
      <c r="H120" s="39">
        <f t="shared" si="7"/>
        <v>-46.959759999999989</v>
      </c>
      <c r="I120" s="4" t="s">
        <v>243</v>
      </c>
    </row>
    <row r="121" spans="1:9" x14ac:dyDescent="0.25">
      <c r="A121" s="7" t="s">
        <v>249</v>
      </c>
      <c r="B121" s="16">
        <f>Fig06_07_DRAM_Supply!D17-Fig06_07_DRAM_Supply!D18+Fig06_07_DRAM_Supply!D20</f>
        <v>66</v>
      </c>
      <c r="C121" s="18">
        <f>Fig05_DRAM_per_CPU!N5</f>
        <v>1</v>
      </c>
      <c r="D121" s="18">
        <f>Fig05_DRAM_per_CPU!N6</f>
        <v>1.75</v>
      </c>
      <c r="E121" s="18">
        <f>Fig05_DRAM_per_CPU!N7</f>
        <v>2.5</v>
      </c>
      <c r="F121" s="22">
        <f t="shared" si="5"/>
        <v>0</v>
      </c>
      <c r="G121" s="33">
        <f t="shared" si="6"/>
        <v>146.74</v>
      </c>
      <c r="H121" s="39">
        <f t="shared" si="7"/>
        <v>-61.317959999999999</v>
      </c>
      <c r="I121" s="4" t="s">
        <v>250</v>
      </c>
    </row>
    <row r="122" spans="1:9" x14ac:dyDescent="0.25">
      <c r="A122" s="4" t="s">
        <v>251</v>
      </c>
    </row>
    <row r="124" spans="1:9" x14ac:dyDescent="0.25">
      <c r="A124" s="6" t="s">
        <v>252</v>
      </c>
    </row>
    <row r="125" spans="1:9" x14ac:dyDescent="0.25">
      <c r="A125" s="5" t="s">
        <v>253</v>
      </c>
      <c r="B125" s="5" t="s">
        <v>254</v>
      </c>
      <c r="C125" s="5" t="s">
        <v>255</v>
      </c>
      <c r="D125" s="5" t="s">
        <v>256</v>
      </c>
      <c r="E125" s="5" t="s">
        <v>257</v>
      </c>
      <c r="F125" s="5" t="s">
        <v>258</v>
      </c>
      <c r="G125" s="5" t="s">
        <v>86</v>
      </c>
      <c r="H125" s="5" t="s">
        <v>259</v>
      </c>
    </row>
    <row r="126" spans="1:9" ht="30" customHeight="1" x14ac:dyDescent="0.25">
      <c r="A126" s="3" t="s">
        <v>260</v>
      </c>
      <c r="B126" s="8">
        <f>D22</f>
        <v>77</v>
      </c>
      <c r="C126" s="8">
        <f>D30</f>
        <v>77</v>
      </c>
      <c r="E126" s="29">
        <f>ABS(B126-C126)</f>
        <v>0</v>
      </c>
      <c r="F126" s="40" t="str">
        <f>IF(E126&lt;=1,"OK","FLAG")</f>
        <v>OK</v>
      </c>
      <c r="G126" s="17" t="s">
        <v>95</v>
      </c>
      <c r="H126" s="12" t="s">
        <v>261</v>
      </c>
    </row>
    <row r="127" spans="1:9" ht="30" customHeight="1" x14ac:dyDescent="0.25">
      <c r="A127" s="3" t="s">
        <v>262</v>
      </c>
      <c r="B127" s="8">
        <f>Cross_Check!D8</f>
        <v>14</v>
      </c>
      <c r="C127" s="8">
        <f>Cross_Check!D10</f>
        <v>12.062025733976732</v>
      </c>
      <c r="D127" s="8">
        <f>Cross_Check!D12</f>
        <v>15.111312226780006</v>
      </c>
      <c r="E127" s="30">
        <f>MAX(B127:D127)/MIN(B127:D127)-1</f>
        <v>0.25280052953410115</v>
      </c>
      <c r="F127" s="40" t="str">
        <f>IF(E127&lt;=0.25,"OK","FLAG")</f>
        <v>FLAG</v>
      </c>
      <c r="G127" s="35" t="s">
        <v>263</v>
      </c>
      <c r="H127" s="12" t="s">
        <v>264</v>
      </c>
    </row>
    <row r="128" spans="1:9" ht="30" customHeight="1" x14ac:dyDescent="0.25">
      <c r="A128" s="3" t="s">
        <v>265</v>
      </c>
      <c r="B128" s="8">
        <f>Cross_Check!F7</f>
        <v>27</v>
      </c>
      <c r="C128" s="8">
        <f>Cross_Check!F10</f>
        <v>23.1834928540686</v>
      </c>
      <c r="D128" s="8">
        <f>Cross_Check!F12</f>
        <v>39.962534418128996</v>
      </c>
      <c r="E128" s="30">
        <f>MAX(B128:D128)/MIN(B128:D128)-1</f>
        <v>0.72374950874219746</v>
      </c>
      <c r="F128" s="40" t="str">
        <f>IF(E128&lt;=0.25,"OK","FLAG")</f>
        <v>FLAG</v>
      </c>
      <c r="G128" s="35" t="s">
        <v>263</v>
      </c>
      <c r="H128" s="12" t="s">
        <v>266</v>
      </c>
    </row>
    <row r="129" spans="1:8" ht="30" customHeight="1" x14ac:dyDescent="0.25">
      <c r="A129" s="3" t="s">
        <v>267</v>
      </c>
      <c r="B129" s="8">
        <f>Cross_Check!D23</f>
        <v>0.60869565217391308</v>
      </c>
      <c r="C129" s="8">
        <f>Cross_Check!D24</f>
        <v>0.39455971283303154</v>
      </c>
      <c r="D129" s="8">
        <f>Cross_Check!D8/Cross_Check!D18</f>
        <v>0.46832140228808461</v>
      </c>
      <c r="E129" s="30">
        <f>MAX(B129:D129)/MIN(B129:D129)-1</f>
        <v>0.54272124693962076</v>
      </c>
      <c r="F129" s="40" t="str">
        <f>IF(E129&lt;=0.25,"OK","FLAG")</f>
        <v>FLAG</v>
      </c>
      <c r="G129" s="35" t="s">
        <v>263</v>
      </c>
      <c r="H129" s="12" t="s">
        <v>268</v>
      </c>
    </row>
    <row r="130" spans="1:8" ht="30" customHeight="1" x14ac:dyDescent="0.25">
      <c r="A130" s="3" t="s">
        <v>269</v>
      </c>
      <c r="B130" s="8">
        <f>D14</f>
        <v>1.5</v>
      </c>
      <c r="C130" s="8">
        <f>Cross_Check!B34</f>
        <v>0.76800000000000002</v>
      </c>
      <c r="D130" s="8">
        <f>Cross_Check!B33</f>
        <v>1.5</v>
      </c>
      <c r="E130" s="30">
        <f>B130/C130-1</f>
        <v>0.953125</v>
      </c>
      <c r="F130" s="40" t="str">
        <f>IF(ABS(E130)&lt;=0.25,"OK","FLAG")</f>
        <v>FLAG</v>
      </c>
      <c r="G130" s="35" t="s">
        <v>196</v>
      </c>
      <c r="H130" s="12" t="s">
        <v>270</v>
      </c>
    </row>
    <row r="131" spans="1:8" ht="30" customHeight="1" x14ac:dyDescent="0.25">
      <c r="A131" s="3" t="s">
        <v>271</v>
      </c>
      <c r="B131" s="8">
        <f>Fig08_09_DRAM_Demand!H8</f>
        <v>169</v>
      </c>
      <c r="C131" s="8">
        <f>Fig04_Unconstrained!D16</f>
        <v>147</v>
      </c>
      <c r="E131" s="29">
        <f>B131-C131</f>
        <v>22</v>
      </c>
      <c r="F131" s="40" t="str">
        <f>IF(ABS(E131)&lt;=2,"OK","FLAG")</f>
        <v>FLAG</v>
      </c>
      <c r="G131" s="15" t="s">
        <v>89</v>
      </c>
      <c r="H131" s="12" t="s">
        <v>272</v>
      </c>
    </row>
    <row r="132" spans="1:8" ht="30" customHeight="1" x14ac:dyDescent="0.25">
      <c r="A132" s="3" t="s">
        <v>273</v>
      </c>
      <c r="B132" s="8">
        <f>D13</f>
        <v>0.5</v>
      </c>
      <c r="C132" s="8">
        <f>Fig05_DRAM_per_CPU!N5</f>
        <v>1</v>
      </c>
      <c r="E132" s="29">
        <f>B132-C132</f>
        <v>-0.5</v>
      </c>
      <c r="F132" s="40" t="str">
        <f>IF(ABS(E132)&lt;=0.1,"OK","FLAG")</f>
        <v>FLAG</v>
      </c>
      <c r="G132" s="15" t="s">
        <v>89</v>
      </c>
      <c r="H132" s="12" t="s">
        <v>274</v>
      </c>
    </row>
    <row r="133" spans="1:8" ht="30" customHeight="1" x14ac:dyDescent="0.25">
      <c r="A133" s="3" t="s">
        <v>275</v>
      </c>
      <c r="B133" s="8">
        <f>D17</f>
        <v>1.6976998904709746</v>
      </c>
      <c r="C133" s="8">
        <f>Fig05_DRAM_per_CPU!J8</f>
        <v>2</v>
      </c>
      <c r="E133" s="29">
        <f>B133-C133</f>
        <v>-0.30230010952902542</v>
      </c>
      <c r="F133" s="40" t="str">
        <f>IF(E133&gt;=-0.05,"OK","FLAG")</f>
        <v>FLAG</v>
      </c>
      <c r="G133" s="15" t="s">
        <v>89</v>
      </c>
      <c r="H133" s="12" t="s">
        <v>276</v>
      </c>
    </row>
    <row r="135" spans="1:8" x14ac:dyDescent="0.25">
      <c r="A135" s="2" t="s">
        <v>277</v>
      </c>
      <c r="B135" s="41" t="str">
        <f>Report_Tieouts!C97</f>
        <v>78 OK / 12 FLAG</v>
      </c>
    </row>
  </sheetData>
  <mergeCells count="1">
    <mergeCell ref="A2:J2"/>
  </mergeCells>
  <conditionalFormatting sqref="F126:F134">
    <cfRule type="cellIs" dxfId="3" priority="1" operator="equal">
      <formula>"FLAG"</formula>
    </cfRule>
    <cfRule type="cellIs" dxfId="2" priority="2" operator="equal">
      <formula>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0"/>
  <sheetViews>
    <sheetView workbookViewId="0"/>
  </sheetViews>
  <sheetFormatPr defaultRowHeight="15" x14ac:dyDescent="0.25"/>
  <cols>
    <col min="1" max="1" width="52" customWidth="1"/>
    <col min="2" max="8" width="10" customWidth="1"/>
    <col min="9" max="9" width="11" customWidth="1"/>
    <col min="10" max="10" width="110" customWidth="1"/>
  </cols>
  <sheetData>
    <row r="1" spans="1:10" ht="15.75" x14ac:dyDescent="0.25">
      <c r="A1" s="1" t="s">
        <v>278</v>
      </c>
    </row>
    <row r="2" spans="1:10" x14ac:dyDescent="0.25">
      <c r="A2" s="4" t="s">
        <v>279</v>
      </c>
    </row>
    <row r="3" spans="1:10" x14ac:dyDescent="0.25">
      <c r="A3" s="4" t="s">
        <v>280</v>
      </c>
    </row>
    <row r="5" spans="1:10" x14ac:dyDescent="0.25">
      <c r="A5" s="5" t="s">
        <v>281</v>
      </c>
      <c r="B5" s="5" t="s">
        <v>282</v>
      </c>
      <c r="C5" s="5" t="s">
        <v>283</v>
      </c>
      <c r="D5" s="5" t="s">
        <v>284</v>
      </c>
      <c r="E5" s="5" t="s">
        <v>285</v>
      </c>
      <c r="F5" s="5" t="s">
        <v>286</v>
      </c>
      <c r="G5" s="5" t="s">
        <v>287</v>
      </c>
      <c r="H5" s="5" t="s">
        <v>288</v>
      </c>
      <c r="I5" s="5" t="s">
        <v>25</v>
      </c>
      <c r="J5" s="5" t="s">
        <v>289</v>
      </c>
    </row>
    <row r="6" spans="1:10" x14ac:dyDescent="0.25">
      <c r="A6" s="6" t="s">
        <v>290</v>
      </c>
    </row>
    <row r="7" spans="1:10" x14ac:dyDescent="0.25">
      <c r="A7" s="7" t="s">
        <v>291</v>
      </c>
      <c r="D7" s="16">
        <f>Fig06_07_DRAM_Supply!B19</f>
        <v>11</v>
      </c>
      <c r="F7" s="16">
        <f>Fig06_07_DRAM_Supply!C19</f>
        <v>27</v>
      </c>
      <c r="H7" s="16">
        <f>Fig06_07_DRAM_Supply!D19</f>
        <v>69</v>
      </c>
      <c r="I7" s="7" t="s">
        <v>41</v>
      </c>
      <c r="J7" s="4" t="s">
        <v>292</v>
      </c>
    </row>
    <row r="8" spans="1:10" x14ac:dyDescent="0.25">
      <c r="A8" s="7" t="s">
        <v>293</v>
      </c>
      <c r="D8" s="16">
        <f>Fig08_09_DRAM_Demand!C9</f>
        <v>14</v>
      </c>
      <c r="F8" s="16">
        <f>Fig08_09_DRAM_Demand!E9</f>
        <v>29</v>
      </c>
      <c r="H8" s="16">
        <f>Fig08_09_DRAM_Demand!G9</f>
        <v>77</v>
      </c>
      <c r="I8" s="7" t="s">
        <v>41</v>
      </c>
      <c r="J8" s="4" t="s">
        <v>294</v>
      </c>
    </row>
    <row r="9" spans="1:10" x14ac:dyDescent="0.25">
      <c r="A9" s="7" t="s">
        <v>295</v>
      </c>
      <c r="B9" s="23">
        <v>64199.9263298648</v>
      </c>
      <c r="C9" s="23">
        <v>75305.639999145074</v>
      </c>
      <c r="D9" s="23">
        <v>96496.205871813858</v>
      </c>
      <c r="E9" s="23">
        <v>142810.45879152129</v>
      </c>
      <c r="F9" s="23">
        <v>185467.94283254881</v>
      </c>
      <c r="G9" s="23">
        <v>223952.54097030271</v>
      </c>
      <c r="I9" s="7" t="s">
        <v>296</v>
      </c>
      <c r="J9" s="4" t="s">
        <v>297</v>
      </c>
    </row>
    <row r="10" spans="1:10" x14ac:dyDescent="0.25">
      <c r="A10" s="7" t="s">
        <v>298</v>
      </c>
      <c r="B10" s="22">
        <f t="shared" ref="B10:G10" si="0">B9/8000</f>
        <v>8.0249907912330993</v>
      </c>
      <c r="C10" s="22">
        <f t="shared" si="0"/>
        <v>9.413204999893134</v>
      </c>
      <c r="D10" s="22">
        <f t="shared" si="0"/>
        <v>12.062025733976732</v>
      </c>
      <c r="E10" s="22">
        <f t="shared" si="0"/>
        <v>17.851307348940161</v>
      </c>
      <c r="F10" s="22">
        <f t="shared" si="0"/>
        <v>23.1834928540686</v>
      </c>
      <c r="G10" s="22">
        <f t="shared" si="0"/>
        <v>27.99406762128784</v>
      </c>
      <c r="I10" s="7" t="s">
        <v>41</v>
      </c>
      <c r="J10" s="4" t="s">
        <v>299</v>
      </c>
    </row>
    <row r="11" spans="1:10" x14ac:dyDescent="0.25">
      <c r="A11" s="7" t="s">
        <v>300</v>
      </c>
      <c r="B11" s="23">
        <v>59038.759048274027</v>
      </c>
      <c r="C11" s="23">
        <v>75088.562094381239</v>
      </c>
      <c r="D11" s="23">
        <v>118057.1267717188</v>
      </c>
      <c r="E11" s="23">
        <v>179619.93883332811</v>
      </c>
      <c r="F11" s="23">
        <v>312207.30014163279</v>
      </c>
      <c r="I11" s="7" t="s">
        <v>296</v>
      </c>
      <c r="J11" s="4" t="s">
        <v>301</v>
      </c>
    </row>
    <row r="12" spans="1:10" x14ac:dyDescent="0.25">
      <c r="A12" s="7" t="s">
        <v>298</v>
      </c>
      <c r="B12" s="22">
        <f>B11*128/1000000</f>
        <v>7.5569611581790754</v>
      </c>
      <c r="C12" s="22">
        <f>C11*128/1000000</f>
        <v>9.6113359480807983</v>
      </c>
      <c r="D12" s="22">
        <f>D11*128/1000000</f>
        <v>15.111312226780006</v>
      </c>
      <c r="E12" s="22">
        <f>E11*128/1000000</f>
        <v>22.991352170665998</v>
      </c>
      <c r="F12" s="22">
        <f>F11*128/1000000</f>
        <v>39.962534418128996</v>
      </c>
      <c r="I12" s="7" t="s">
        <v>41</v>
      </c>
      <c r="J12" s="4" t="s">
        <v>302</v>
      </c>
    </row>
    <row r="14" spans="1:10" x14ac:dyDescent="0.25">
      <c r="A14" s="6" t="s">
        <v>303</v>
      </c>
    </row>
    <row r="15" spans="1:10" x14ac:dyDescent="0.25">
      <c r="A15" s="7" t="s">
        <v>304</v>
      </c>
      <c r="D15" s="16">
        <f>Fig10_12_TAM!B22</f>
        <v>23</v>
      </c>
      <c r="F15" s="16">
        <f>Fig10_12_TAM!C22</f>
        <v>41</v>
      </c>
      <c r="H15" s="16">
        <f>Fig10_12_TAM!D22</f>
        <v>67</v>
      </c>
      <c r="I15" s="7" t="s">
        <v>150</v>
      </c>
      <c r="J15" s="4" t="s">
        <v>305</v>
      </c>
    </row>
    <row r="16" spans="1:10" x14ac:dyDescent="0.25">
      <c r="A16" s="7" t="s">
        <v>306</v>
      </c>
      <c r="B16" s="42">
        <v>22.81085957509649</v>
      </c>
      <c r="C16" s="42">
        <v>24.098934638642859</v>
      </c>
      <c r="D16" s="42">
        <v>30.570849840113048</v>
      </c>
      <c r="E16" s="42">
        <v>37.28117082593559</v>
      </c>
      <c r="F16" s="42">
        <v>45.536677721594153</v>
      </c>
      <c r="G16" s="42">
        <v>55.425041368549643</v>
      </c>
      <c r="I16" s="7" t="s">
        <v>150</v>
      </c>
      <c r="J16" s="4" t="s">
        <v>307</v>
      </c>
    </row>
    <row r="17" spans="1:10" x14ac:dyDescent="0.25">
      <c r="A17" s="7" t="s">
        <v>308</v>
      </c>
      <c r="D17" s="23">
        <v>26</v>
      </c>
      <c r="G17" s="23">
        <v>68</v>
      </c>
      <c r="I17" s="7" t="s">
        <v>150</v>
      </c>
      <c r="J17" s="4" t="s">
        <v>309</v>
      </c>
    </row>
    <row r="18" spans="1:10" x14ac:dyDescent="0.25">
      <c r="A18" s="7" t="s">
        <v>310</v>
      </c>
      <c r="B18" s="16">
        <f>SUMPRODUCT((RIGHT(Fig25_CPU_Units_digitized!$A$6:$A$35,2)="23")*Fig25_CPU_Units_digitized!$E$6:$E$35)</f>
        <v>24.503</v>
      </c>
      <c r="C18" s="16">
        <f>SUMPRODUCT((RIGHT(Fig25_CPU_Units_digitized!$A$6:$A$35,2)="24")*Fig25_CPU_Units_digitized!$E$6:$E$35)</f>
        <v>24.204000000000001</v>
      </c>
      <c r="D18" s="16">
        <f>SUMPRODUCT((RIGHT(Fig25_CPU_Units_digitized!$A$6:$A$35,2)="25")*Fig25_CPU_Units_digitized!$E$6:$E$35)</f>
        <v>29.893999999999998</v>
      </c>
      <c r="I18" s="7" t="s">
        <v>150</v>
      </c>
      <c r="J18" s="4" t="s">
        <v>311</v>
      </c>
    </row>
    <row r="19" spans="1:10" x14ac:dyDescent="0.25">
      <c r="A19" s="7" t="s">
        <v>312</v>
      </c>
      <c r="B19" s="42">
        <v>12.818458445279409</v>
      </c>
      <c r="C19" s="42">
        <v>13.07482761418499</v>
      </c>
      <c r="D19" s="42">
        <v>14.055439685248871</v>
      </c>
      <c r="E19" s="42">
        <v>16.02320124118371</v>
      </c>
      <c r="F19" s="42">
        <v>17.78575337771392</v>
      </c>
      <c r="G19" s="42">
        <v>18.67504104659962</v>
      </c>
      <c r="I19" s="7" t="s">
        <v>313</v>
      </c>
      <c r="J19" s="4" t="s">
        <v>314</v>
      </c>
    </row>
    <row r="20" spans="1:10" x14ac:dyDescent="0.25">
      <c r="A20" s="7" t="s">
        <v>315</v>
      </c>
      <c r="B20" s="42">
        <v>14.086865015340591</v>
      </c>
      <c r="C20" s="42">
        <v>16.025359999999999</v>
      </c>
      <c r="D20" s="42">
        <v>20.077999999999999</v>
      </c>
      <c r="E20" s="42">
        <v>23.874099999999999</v>
      </c>
      <c r="F20" s="42">
        <v>27.844149999999999</v>
      </c>
      <c r="I20" s="7" t="s">
        <v>313</v>
      </c>
      <c r="J20" s="4" t="s">
        <v>316</v>
      </c>
    </row>
    <row r="22" spans="1:10" x14ac:dyDescent="0.25">
      <c r="A22" s="6" t="s">
        <v>317</v>
      </c>
    </row>
    <row r="23" spans="1:10" x14ac:dyDescent="0.25">
      <c r="A23" s="7" t="s">
        <v>318</v>
      </c>
      <c r="D23" s="18">
        <f>DRAM_CPU_Link!B16</f>
        <v>0.60869565217391308</v>
      </c>
      <c r="F23" s="18">
        <f>DRAM_CPU_Link!C16</f>
        <v>0.70731707317073167</v>
      </c>
      <c r="H23" s="18">
        <f>DRAM_CPU_Link!D16</f>
        <v>1.1492537313432836</v>
      </c>
      <c r="I23" s="7" t="s">
        <v>319</v>
      </c>
      <c r="J23" s="4" t="s">
        <v>320</v>
      </c>
    </row>
    <row r="24" spans="1:10" x14ac:dyDescent="0.25">
      <c r="A24" s="7" t="s">
        <v>321</v>
      </c>
      <c r="B24" s="21">
        <f t="shared" ref="B24:G24" si="1">B10/B16</f>
        <v>0.3518057162560545</v>
      </c>
      <c r="C24" s="21">
        <f t="shared" si="1"/>
        <v>0.39060668618931288</v>
      </c>
      <c r="D24" s="21">
        <f t="shared" si="1"/>
        <v>0.39455971283303154</v>
      </c>
      <c r="E24" s="21">
        <f t="shared" si="1"/>
        <v>0.47882904301174595</v>
      </c>
      <c r="F24" s="21">
        <f t="shared" si="1"/>
        <v>0.50911691440929718</v>
      </c>
      <c r="G24" s="21">
        <f t="shared" si="1"/>
        <v>0.50507977856328279</v>
      </c>
      <c r="I24" s="7" t="s">
        <v>319</v>
      </c>
      <c r="J24" s="4" t="s">
        <v>322</v>
      </c>
    </row>
    <row r="25" spans="1:10" x14ac:dyDescent="0.25">
      <c r="A25" s="7" t="s">
        <v>323</v>
      </c>
      <c r="B25" s="23">
        <v>626.04960069815775</v>
      </c>
      <c r="C25" s="23">
        <v>719.94868901221059</v>
      </c>
      <c r="D25" s="23">
        <v>858.17491334944043</v>
      </c>
      <c r="E25" s="23">
        <v>1114.0911906578169</v>
      </c>
      <c r="F25" s="23">
        <v>1303.486693069646</v>
      </c>
      <c r="G25" s="23">
        <v>1499.009697030092</v>
      </c>
      <c r="I25" s="7" t="s">
        <v>324</v>
      </c>
      <c r="J25" s="4" t="s">
        <v>325</v>
      </c>
    </row>
    <row r="26" spans="1:10" x14ac:dyDescent="0.25">
      <c r="A26" s="7" t="s">
        <v>326</v>
      </c>
      <c r="B26" s="23">
        <v>536.45443112783062</v>
      </c>
      <c r="C26" s="23">
        <v>599.75788051443453</v>
      </c>
      <c r="D26" s="23">
        <v>752.63035296244641</v>
      </c>
      <c r="E26" s="23">
        <v>963.02487510172102</v>
      </c>
      <c r="F26" s="23">
        <v>1435.22191979748</v>
      </c>
      <c r="I26" s="7" t="s">
        <v>324</v>
      </c>
      <c r="J26" s="4" t="s">
        <v>327</v>
      </c>
    </row>
    <row r="27" spans="1:10" x14ac:dyDescent="0.25">
      <c r="A27" s="7" t="s">
        <v>328</v>
      </c>
      <c r="B27" s="38">
        <v>7.8858251953505727</v>
      </c>
      <c r="C27" s="38">
        <v>8.9237201074390953</v>
      </c>
      <c r="D27" s="38">
        <v>8.9798091200000005</v>
      </c>
      <c r="E27" s="38">
        <v>9.5418592041371912</v>
      </c>
      <c r="F27" s="38">
        <v>10.34798096132203</v>
      </c>
      <c r="G27" s="38">
        <v>11.6641836303096</v>
      </c>
      <c r="I27" s="7" t="s">
        <v>329</v>
      </c>
      <c r="J27" s="4" t="s">
        <v>330</v>
      </c>
    </row>
    <row r="28" spans="1:10" x14ac:dyDescent="0.25">
      <c r="A28" s="7" t="s">
        <v>331</v>
      </c>
      <c r="B28" s="14">
        <f t="shared" ref="B28:G28" si="2">B24*1000/B27</f>
        <v>44.612416271093188</v>
      </c>
      <c r="C28" s="14">
        <f t="shared" si="2"/>
        <v>43.771732134862766</v>
      </c>
      <c r="D28" s="14">
        <f t="shared" si="2"/>
        <v>43.938541182825446</v>
      </c>
      <c r="E28" s="14">
        <f t="shared" si="2"/>
        <v>50.181943871497673</v>
      </c>
      <c r="F28" s="14">
        <f t="shared" si="2"/>
        <v>49.199637717950907</v>
      </c>
      <c r="G28" s="14">
        <f t="shared" si="2"/>
        <v>43.301768436740275</v>
      </c>
      <c r="I28" s="7" t="s">
        <v>332</v>
      </c>
      <c r="J28" s="4" t="s">
        <v>333</v>
      </c>
    </row>
    <row r="30" spans="1:10" x14ac:dyDescent="0.25">
      <c r="A30" s="6" t="s">
        <v>334</v>
      </c>
    </row>
    <row r="31" spans="1:10" x14ac:dyDescent="0.25">
      <c r="A31" s="5" t="s">
        <v>335</v>
      </c>
      <c r="B31" s="5" t="s">
        <v>24</v>
      </c>
      <c r="C31" s="5" t="s">
        <v>25</v>
      </c>
      <c r="D31" s="5" t="s">
        <v>336</v>
      </c>
    </row>
    <row r="32" spans="1:10" x14ac:dyDescent="0.25">
      <c r="A32" s="7" t="s">
        <v>337</v>
      </c>
      <c r="B32" s="38">
        <v>0.5</v>
      </c>
      <c r="C32" s="7" t="s">
        <v>29</v>
      </c>
      <c r="D32" s="4" t="s">
        <v>338</v>
      </c>
    </row>
    <row r="33" spans="1:4" x14ac:dyDescent="0.25">
      <c r="A33" s="7" t="s">
        <v>339</v>
      </c>
      <c r="B33" s="38">
        <v>1.5</v>
      </c>
      <c r="C33" s="7" t="s">
        <v>29</v>
      </c>
      <c r="D33" s="4" t="s">
        <v>340</v>
      </c>
    </row>
    <row r="34" spans="1:4" x14ac:dyDescent="0.25">
      <c r="A34" s="7" t="s">
        <v>341</v>
      </c>
      <c r="B34" s="38">
        <v>0.76800000000000002</v>
      </c>
      <c r="C34" s="7" t="s">
        <v>29</v>
      </c>
      <c r="D34" s="4" t="s">
        <v>342</v>
      </c>
    </row>
    <row r="35" spans="1:4" x14ac:dyDescent="0.25">
      <c r="A35" s="7" t="s">
        <v>343</v>
      </c>
      <c r="B35" s="38">
        <v>1.5625</v>
      </c>
      <c r="C35" s="7" t="s">
        <v>319</v>
      </c>
      <c r="D35" s="4" t="s">
        <v>344</v>
      </c>
    </row>
    <row r="36" spans="1:4" x14ac:dyDescent="0.25">
      <c r="A36" s="7" t="s">
        <v>345</v>
      </c>
      <c r="B36" s="38">
        <v>0.28799999999999998</v>
      </c>
      <c r="C36" s="7" t="s">
        <v>29</v>
      </c>
      <c r="D36" s="4" t="s">
        <v>346</v>
      </c>
    </row>
    <row r="37" spans="1:4" x14ac:dyDescent="0.25">
      <c r="A37" s="7" t="s">
        <v>347</v>
      </c>
      <c r="B37" s="38">
        <v>0.38400000000000001</v>
      </c>
      <c r="C37" s="7" t="s">
        <v>29</v>
      </c>
      <c r="D37" s="4" t="s">
        <v>348</v>
      </c>
    </row>
    <row r="38" spans="1:4" x14ac:dyDescent="0.25">
      <c r="A38" s="7" t="s">
        <v>349</v>
      </c>
      <c r="B38" s="38">
        <v>0.51200000000000001</v>
      </c>
      <c r="C38" s="7" t="s">
        <v>29</v>
      </c>
      <c r="D38" s="4" t="s">
        <v>350</v>
      </c>
    </row>
    <row r="39" spans="1:4" x14ac:dyDescent="0.25">
      <c r="A39" s="7" t="s">
        <v>351</v>
      </c>
      <c r="B39" s="18">
        <f>DRAM_CPU_Link!D14</f>
        <v>1.5</v>
      </c>
      <c r="C39" s="7" t="s">
        <v>29</v>
      </c>
      <c r="D39" s="4" t="s">
        <v>352</v>
      </c>
    </row>
    <row r="40" spans="1:4" x14ac:dyDescent="0.25">
      <c r="A40" s="7" t="s">
        <v>353</v>
      </c>
      <c r="B40" s="18">
        <f>DRAM_CPU_Link!D24</f>
        <v>1.4090909090909092</v>
      </c>
      <c r="C40" s="7" t="s">
        <v>72</v>
      </c>
      <c r="D40" s="4" t="s">
        <v>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5" customWidth="1"/>
    <col min="2" max="2" width="12" customWidth="1"/>
    <col min="3" max="3" width="62" customWidth="1"/>
    <col min="4" max="5" width="12" customWidth="1"/>
    <col min="6" max="6" width="10" customWidth="1"/>
    <col min="7" max="7" width="9" customWidth="1"/>
    <col min="8" max="8" width="110" customWidth="1"/>
  </cols>
  <sheetData>
    <row r="1" spans="1:8" ht="15.75" x14ac:dyDescent="0.25">
      <c r="A1" s="1" t="s">
        <v>355</v>
      </c>
    </row>
    <row r="2" spans="1:8" x14ac:dyDescent="0.25">
      <c r="A2" s="4" t="s">
        <v>356</v>
      </c>
    </row>
    <row r="3" spans="1:8" x14ac:dyDescent="0.25">
      <c r="A3" s="4" t="s">
        <v>280</v>
      </c>
    </row>
    <row r="5" spans="1:8" x14ac:dyDescent="0.25">
      <c r="A5" s="5" t="s">
        <v>357</v>
      </c>
      <c r="B5" s="5" t="s">
        <v>358</v>
      </c>
      <c r="C5" s="5" t="s">
        <v>359</v>
      </c>
      <c r="D5" s="5" t="s">
        <v>360</v>
      </c>
      <c r="E5" s="5" t="s">
        <v>361</v>
      </c>
      <c r="F5" s="5" t="s">
        <v>362</v>
      </c>
      <c r="G5" s="5" t="s">
        <v>258</v>
      </c>
      <c r="H5" s="5" t="s">
        <v>363</v>
      </c>
    </row>
    <row r="6" spans="1:8" x14ac:dyDescent="0.25">
      <c r="A6" s="7">
        <v>1</v>
      </c>
      <c r="B6" s="7" t="s">
        <v>364</v>
      </c>
      <c r="C6" s="7" t="s">
        <v>365</v>
      </c>
      <c r="D6" s="8">
        <f>Fig06_07_DRAM_Supply!B10</f>
        <v>36</v>
      </c>
      <c r="E6" s="29">
        <f>Fig06_07_DRAM_Supply!B11</f>
        <v>36</v>
      </c>
      <c r="F6" s="38">
        <v>1</v>
      </c>
      <c r="G6" s="40" t="str">
        <f t="shared" ref="G6:G37" si="0">IF(ABS(E6-D6)&lt;=F6,"OK","FLAG")</f>
        <v>OK</v>
      </c>
      <c r="H6" s="4" t="s">
        <v>366</v>
      </c>
    </row>
    <row r="7" spans="1:8" x14ac:dyDescent="0.25">
      <c r="A7" s="7">
        <v>2</v>
      </c>
      <c r="B7" s="7" t="s">
        <v>364</v>
      </c>
      <c r="C7" s="7" t="s">
        <v>367</v>
      </c>
      <c r="D7" s="8">
        <f>Fig06_07_DRAM_Supply!C10</f>
        <v>55</v>
      </c>
      <c r="E7" s="29">
        <f>Fig06_07_DRAM_Supply!C11</f>
        <v>54</v>
      </c>
      <c r="F7" s="38">
        <v>1</v>
      </c>
      <c r="G7" s="40" t="str">
        <f t="shared" si="0"/>
        <v>OK</v>
      </c>
      <c r="H7" s="4" t="s">
        <v>366</v>
      </c>
    </row>
    <row r="8" spans="1:8" x14ac:dyDescent="0.25">
      <c r="A8" s="7">
        <v>3</v>
      </c>
      <c r="B8" s="7" t="s">
        <v>364</v>
      </c>
      <c r="C8" s="7" t="s">
        <v>368</v>
      </c>
      <c r="D8" s="8">
        <f>Fig06_07_DRAM_Supply!D10</f>
        <v>89</v>
      </c>
      <c r="E8" s="29">
        <f>Fig06_07_DRAM_Supply!D11</f>
        <v>89</v>
      </c>
      <c r="F8" s="38">
        <v>1</v>
      </c>
      <c r="G8" s="40" t="str">
        <f t="shared" si="0"/>
        <v>OK</v>
      </c>
      <c r="H8" s="4" t="s">
        <v>366</v>
      </c>
    </row>
    <row r="9" spans="1:8" x14ac:dyDescent="0.25">
      <c r="A9" s="7">
        <v>4</v>
      </c>
      <c r="B9" s="7" t="s">
        <v>369</v>
      </c>
      <c r="C9" s="7" t="s">
        <v>370</v>
      </c>
      <c r="D9" s="8">
        <f>Fig06_07_DRAM_Supply!B19</f>
        <v>11</v>
      </c>
      <c r="E9" s="29">
        <f>Fig06_07_DRAM_Supply!B22</f>
        <v>10</v>
      </c>
      <c r="F9" s="38">
        <v>1</v>
      </c>
      <c r="G9" s="40" t="str">
        <f t="shared" si="0"/>
        <v>OK</v>
      </c>
      <c r="H9" s="4"/>
    </row>
    <row r="10" spans="1:8" x14ac:dyDescent="0.25">
      <c r="A10" s="7">
        <v>5</v>
      </c>
      <c r="B10" s="7" t="s">
        <v>369</v>
      </c>
      <c r="C10" s="7" t="s">
        <v>371</v>
      </c>
      <c r="D10" s="8">
        <f>Fig06_07_DRAM_Supply!C19</f>
        <v>27</v>
      </c>
      <c r="E10" s="29">
        <f>Fig06_07_DRAM_Supply!C22</f>
        <v>27</v>
      </c>
      <c r="F10" s="38">
        <v>1</v>
      </c>
      <c r="G10" s="40" t="str">
        <f t="shared" si="0"/>
        <v>OK</v>
      </c>
      <c r="H10" s="4"/>
    </row>
    <row r="11" spans="1:8" x14ac:dyDescent="0.25">
      <c r="A11" s="7">
        <v>6</v>
      </c>
      <c r="B11" s="7" t="s">
        <v>369</v>
      </c>
      <c r="C11" s="7" t="s">
        <v>372</v>
      </c>
      <c r="D11" s="8">
        <f>Fig06_07_DRAM_Supply!D19</f>
        <v>69</v>
      </c>
      <c r="E11" s="29">
        <f>Fig06_07_DRAM_Supply!D22</f>
        <v>69</v>
      </c>
      <c r="F11" s="38">
        <v>1</v>
      </c>
      <c r="G11" s="40" t="str">
        <f t="shared" si="0"/>
        <v>OK</v>
      </c>
      <c r="H11" s="4"/>
    </row>
    <row r="12" spans="1:8" x14ac:dyDescent="0.25">
      <c r="A12" s="7">
        <v>7</v>
      </c>
      <c r="B12" s="7" t="s">
        <v>369</v>
      </c>
      <c r="C12" s="7" t="s">
        <v>373</v>
      </c>
      <c r="D12" s="8">
        <f>Fig06_07_DRAM_Supply!D19</f>
        <v>69</v>
      </c>
      <c r="E12" s="29">
        <f>Fig06_07_DRAM_Supply!D23</f>
        <v>59</v>
      </c>
      <c r="F12" s="38">
        <v>1</v>
      </c>
      <c r="G12" s="40" t="str">
        <f t="shared" si="0"/>
        <v>FLAG</v>
      </c>
      <c r="H12" s="4" t="s">
        <v>374</v>
      </c>
    </row>
    <row r="13" spans="1:8" x14ac:dyDescent="0.25">
      <c r="A13" s="7">
        <v>8</v>
      </c>
      <c r="B13" s="7" t="s">
        <v>375</v>
      </c>
      <c r="C13" s="7" t="s">
        <v>376</v>
      </c>
      <c r="D13" s="8">
        <f>Fig06_07_DRAM_Supply!D8</f>
        <v>26</v>
      </c>
      <c r="E13" s="29">
        <f>Fig06_07_DRAM_Supply!D15</f>
        <v>23</v>
      </c>
      <c r="F13" s="38">
        <v>1</v>
      </c>
      <c r="G13" s="40" t="str">
        <f t="shared" si="0"/>
        <v>FLAG</v>
      </c>
      <c r="H13" s="4" t="s">
        <v>377</v>
      </c>
    </row>
    <row r="14" spans="1:8" x14ac:dyDescent="0.25">
      <c r="A14" s="7">
        <v>9</v>
      </c>
      <c r="B14" s="7" t="s">
        <v>369</v>
      </c>
      <c r="C14" s="7" t="s">
        <v>378</v>
      </c>
      <c r="D14" s="8">
        <f>Fig06_07_DRAM_Supply!C21</f>
        <v>29</v>
      </c>
      <c r="E14" s="29">
        <f>Fig06_07_DRAM_Supply!C19+Fig06_07_DRAM_Supply!C20</f>
        <v>29</v>
      </c>
      <c r="F14" s="38">
        <v>1</v>
      </c>
      <c r="G14" s="40" t="str">
        <f t="shared" si="0"/>
        <v>OK</v>
      </c>
      <c r="H14" s="4"/>
    </row>
    <row r="15" spans="1:8" x14ac:dyDescent="0.25">
      <c r="A15" s="7">
        <v>10</v>
      </c>
      <c r="B15" s="7" t="s">
        <v>369</v>
      </c>
      <c r="C15" s="7" t="s">
        <v>379</v>
      </c>
      <c r="D15" s="8">
        <f>Fig06_07_DRAM_Supply!D21</f>
        <v>77</v>
      </c>
      <c r="E15" s="29">
        <f>Fig06_07_DRAM_Supply!D19+Fig06_07_DRAM_Supply!D20</f>
        <v>76</v>
      </c>
      <c r="F15" s="38">
        <v>1</v>
      </c>
      <c r="G15" s="40" t="str">
        <f t="shared" si="0"/>
        <v>OK</v>
      </c>
      <c r="H15" s="4"/>
    </row>
    <row r="16" spans="1:8" x14ac:dyDescent="0.25">
      <c r="A16" s="7">
        <v>11</v>
      </c>
      <c r="B16" s="7" t="s">
        <v>380</v>
      </c>
      <c r="C16" s="7" t="s">
        <v>381</v>
      </c>
      <c r="D16" s="8">
        <f>0.08</f>
        <v>0.08</v>
      </c>
      <c r="E16" s="29">
        <f>Fig06_07_DRAM_Supply!D20/Fig06_07_DRAM_Supply!D21</f>
        <v>9.0909090909090912E-2</v>
      </c>
      <c r="F16" s="38">
        <v>0.02</v>
      </c>
      <c r="G16" s="40" t="str">
        <f t="shared" si="0"/>
        <v>OK</v>
      </c>
      <c r="H16" s="4" t="s">
        <v>382</v>
      </c>
    </row>
    <row r="17" spans="1:8" x14ac:dyDescent="0.25">
      <c r="A17" s="7">
        <v>12</v>
      </c>
      <c r="B17" s="7" t="s">
        <v>383</v>
      </c>
      <c r="C17" s="7" t="s">
        <v>384</v>
      </c>
      <c r="D17" s="8">
        <f>Fig06_07_DRAM_Supply!B21</f>
        <v>11</v>
      </c>
      <c r="E17" s="29">
        <f>Fig08_09_DRAM_Demand!C9</f>
        <v>14</v>
      </c>
      <c r="F17" s="38">
        <v>1</v>
      </c>
      <c r="G17" s="40" t="str">
        <f t="shared" si="0"/>
        <v>FLAG</v>
      </c>
      <c r="H17" s="4" t="s">
        <v>385</v>
      </c>
    </row>
    <row r="18" spans="1:8" x14ac:dyDescent="0.25">
      <c r="A18" s="7">
        <v>13</v>
      </c>
      <c r="B18" s="7" t="s">
        <v>117</v>
      </c>
      <c r="C18" s="7" t="s">
        <v>386</v>
      </c>
      <c r="D18" s="8">
        <f>Fig08_09_DRAM_Demand!C9</f>
        <v>14</v>
      </c>
      <c r="E18" s="29">
        <f>Fig08_09_DRAM_Demand!C10</f>
        <v>13</v>
      </c>
      <c r="F18" s="38">
        <v>1</v>
      </c>
      <c r="G18" s="40" t="str">
        <f t="shared" si="0"/>
        <v>OK</v>
      </c>
      <c r="H18" s="4" t="s">
        <v>366</v>
      </c>
    </row>
    <row r="19" spans="1:8" x14ac:dyDescent="0.25">
      <c r="A19" s="7">
        <v>14</v>
      </c>
      <c r="B19" s="7" t="s">
        <v>117</v>
      </c>
      <c r="C19" s="7" t="s">
        <v>387</v>
      </c>
      <c r="D19" s="8">
        <f>Fig08_09_DRAM_Demand!E9</f>
        <v>29</v>
      </c>
      <c r="E19" s="29">
        <f>Fig08_09_DRAM_Demand!E10</f>
        <v>30</v>
      </c>
      <c r="F19" s="38">
        <v>1</v>
      </c>
      <c r="G19" s="40" t="str">
        <f t="shared" si="0"/>
        <v>OK</v>
      </c>
      <c r="H19" s="4" t="s">
        <v>366</v>
      </c>
    </row>
    <row r="20" spans="1:8" x14ac:dyDescent="0.25">
      <c r="A20" s="7">
        <v>15</v>
      </c>
      <c r="B20" s="7" t="s">
        <v>117</v>
      </c>
      <c r="C20" s="7" t="s">
        <v>388</v>
      </c>
      <c r="D20" s="8">
        <f>Fig08_09_DRAM_Demand!G9</f>
        <v>77</v>
      </c>
      <c r="E20" s="29">
        <f>Fig08_09_DRAM_Demand!G10</f>
        <v>77</v>
      </c>
      <c r="F20" s="38">
        <v>1</v>
      </c>
      <c r="G20" s="40" t="str">
        <f t="shared" si="0"/>
        <v>OK</v>
      </c>
      <c r="H20" s="4" t="s">
        <v>366</v>
      </c>
    </row>
    <row r="21" spans="1:8" x14ac:dyDescent="0.25">
      <c r="A21" s="7">
        <v>16</v>
      </c>
      <c r="B21" s="7" t="s">
        <v>117</v>
      </c>
      <c r="C21" s="7" t="s">
        <v>389</v>
      </c>
      <c r="D21" s="8">
        <f>Fig08_09_DRAM_Demand!I9</f>
        <v>282</v>
      </c>
      <c r="E21" s="29">
        <f>Fig08_09_DRAM_Demand!I10</f>
        <v>282</v>
      </c>
      <c r="F21" s="38">
        <v>1</v>
      </c>
      <c r="G21" s="40" t="str">
        <f t="shared" si="0"/>
        <v>OK</v>
      </c>
      <c r="H21" s="4" t="s">
        <v>366</v>
      </c>
    </row>
    <row r="22" spans="1:8" x14ac:dyDescent="0.25">
      <c r="A22" s="7">
        <v>17</v>
      </c>
      <c r="B22" s="7" t="s">
        <v>117</v>
      </c>
      <c r="C22" s="7" t="s">
        <v>390</v>
      </c>
      <c r="D22" s="8">
        <f>Fig08_09_DRAM_Demand!B8</f>
        <v>23</v>
      </c>
      <c r="E22" s="29">
        <f>Fig08_09_DRAM_Demand!B10</f>
        <v>23</v>
      </c>
      <c r="F22" s="38">
        <v>1</v>
      </c>
      <c r="G22" s="40" t="str">
        <f t="shared" si="0"/>
        <v>OK</v>
      </c>
      <c r="H22" s="4"/>
    </row>
    <row r="23" spans="1:8" x14ac:dyDescent="0.25">
      <c r="A23" s="7">
        <v>18</v>
      </c>
      <c r="B23" s="7" t="s">
        <v>117</v>
      </c>
      <c r="C23" s="7" t="s">
        <v>391</v>
      </c>
      <c r="D23" s="8">
        <f>Fig08_09_DRAM_Demand!D8</f>
        <v>41</v>
      </c>
      <c r="E23" s="29">
        <f>Fig08_09_DRAM_Demand!D10</f>
        <v>42</v>
      </c>
      <c r="F23" s="38">
        <v>1</v>
      </c>
      <c r="G23" s="40" t="str">
        <f t="shared" si="0"/>
        <v>OK</v>
      </c>
      <c r="H23" s="4"/>
    </row>
    <row r="24" spans="1:8" x14ac:dyDescent="0.25">
      <c r="A24" s="7">
        <v>19</v>
      </c>
      <c r="B24" s="7" t="s">
        <v>117</v>
      </c>
      <c r="C24" s="7" t="s">
        <v>392</v>
      </c>
      <c r="D24" s="8">
        <f>Fig08_09_DRAM_Demand!F8</f>
        <v>67</v>
      </c>
      <c r="E24" s="29">
        <f>Fig08_09_DRAM_Demand!F10</f>
        <v>67</v>
      </c>
      <c r="F24" s="38">
        <v>1</v>
      </c>
      <c r="G24" s="40" t="str">
        <f t="shared" si="0"/>
        <v>OK</v>
      </c>
      <c r="H24" s="4"/>
    </row>
    <row r="25" spans="1:8" x14ac:dyDescent="0.25">
      <c r="A25" s="7">
        <v>20</v>
      </c>
      <c r="B25" s="7" t="s">
        <v>117</v>
      </c>
      <c r="C25" s="7" t="s">
        <v>393</v>
      </c>
      <c r="D25" s="8">
        <f>Fig08_09_DRAM_Demand!H8</f>
        <v>169</v>
      </c>
      <c r="E25" s="29">
        <f>Fig08_09_DRAM_Demand!H10</f>
        <v>169</v>
      </c>
      <c r="F25" s="38">
        <v>1</v>
      </c>
      <c r="G25" s="40" t="str">
        <f t="shared" si="0"/>
        <v>OK</v>
      </c>
      <c r="H25" s="4"/>
    </row>
    <row r="26" spans="1:8" x14ac:dyDescent="0.25">
      <c r="A26" s="7">
        <v>21</v>
      </c>
      <c r="B26" s="7" t="s">
        <v>394</v>
      </c>
      <c r="C26" s="7" t="s">
        <v>395</v>
      </c>
      <c r="D26" s="8">
        <f>Fig08_09_DRAM_Demand!H8</f>
        <v>169</v>
      </c>
      <c r="E26" s="29">
        <f>Fig04_Unconstrained!D16</f>
        <v>147</v>
      </c>
      <c r="F26" s="38">
        <v>2</v>
      </c>
      <c r="G26" s="40" t="str">
        <f t="shared" si="0"/>
        <v>FLAG</v>
      </c>
      <c r="H26" s="4" t="s">
        <v>396</v>
      </c>
    </row>
    <row r="27" spans="1:8" x14ac:dyDescent="0.25">
      <c r="A27" s="7">
        <v>22</v>
      </c>
      <c r="B27" s="7" t="s">
        <v>394</v>
      </c>
      <c r="C27" s="7" t="s">
        <v>397</v>
      </c>
      <c r="D27" s="8">
        <f>Fig08_09_DRAM_Demand!I9</f>
        <v>282</v>
      </c>
      <c r="E27" s="29">
        <f>DRAM_CPU_Link!F22</f>
        <v>238</v>
      </c>
      <c r="F27" s="38">
        <v>2</v>
      </c>
      <c r="G27" s="40" t="str">
        <f t="shared" si="0"/>
        <v>FLAG</v>
      </c>
      <c r="H27" s="4" t="s">
        <v>398</v>
      </c>
    </row>
    <row r="28" spans="1:8" x14ac:dyDescent="0.25">
      <c r="A28" s="7">
        <v>23</v>
      </c>
      <c r="B28" s="7" t="s">
        <v>399</v>
      </c>
      <c r="C28" s="7" t="s">
        <v>400</v>
      </c>
      <c r="D28" s="8">
        <f>Fig05_DRAM_per_CPU!N5</f>
        <v>1</v>
      </c>
      <c r="E28" s="29">
        <f>Fig08_09_DRAM_Demand!G12</f>
        <v>0.5</v>
      </c>
      <c r="F28" s="38">
        <v>0.1</v>
      </c>
      <c r="G28" s="40" t="str">
        <f t="shared" si="0"/>
        <v>FLAG</v>
      </c>
      <c r="H28" s="4" t="s">
        <v>401</v>
      </c>
    </row>
    <row r="29" spans="1:8" x14ac:dyDescent="0.25">
      <c r="A29" s="7">
        <v>24</v>
      </c>
      <c r="B29" s="7" t="s">
        <v>399</v>
      </c>
      <c r="C29" s="7" t="s">
        <v>402</v>
      </c>
      <c r="D29" s="8">
        <f>Fig05_DRAM_per_CPU!N6</f>
        <v>1.75</v>
      </c>
      <c r="E29" s="29">
        <f>Fig08_09_DRAM_Demand!G13</f>
        <v>1.5</v>
      </c>
      <c r="F29" s="38">
        <v>0.25</v>
      </c>
      <c r="G29" s="40" t="str">
        <f t="shared" si="0"/>
        <v>OK</v>
      </c>
      <c r="H29" s="4" t="s">
        <v>403</v>
      </c>
    </row>
    <row r="30" spans="1:8" x14ac:dyDescent="0.25">
      <c r="A30" s="7">
        <v>25</v>
      </c>
      <c r="B30" s="7" t="s">
        <v>399</v>
      </c>
      <c r="C30" s="7" t="s">
        <v>404</v>
      </c>
      <c r="D30" s="8">
        <f>Fig05_DRAM_per_CPU!N7</f>
        <v>2.5</v>
      </c>
      <c r="E30" s="29">
        <f>Fig08_09_DRAM_Demand!G14</f>
        <v>1.9333333333333333</v>
      </c>
      <c r="F30" s="38">
        <v>0.6</v>
      </c>
      <c r="G30" s="40" t="str">
        <f t="shared" si="0"/>
        <v>OK</v>
      </c>
      <c r="H30" s="4" t="s">
        <v>405</v>
      </c>
    </row>
    <row r="31" spans="1:8" x14ac:dyDescent="0.25">
      <c r="A31" s="7">
        <v>26</v>
      </c>
      <c r="B31" s="7" t="s">
        <v>399</v>
      </c>
      <c r="C31" s="7" t="s">
        <v>406</v>
      </c>
      <c r="D31" s="8">
        <f>Fig05_DRAM_per_CPU!J8</f>
        <v>2</v>
      </c>
      <c r="E31" s="29">
        <f>DRAM_CPU_Link!D17</f>
        <v>1.6976998904709746</v>
      </c>
      <c r="F31" s="38">
        <v>0.05</v>
      </c>
      <c r="G31" s="40" t="str">
        <f t="shared" si="0"/>
        <v>FLAG</v>
      </c>
      <c r="H31" s="4" t="s">
        <v>407</v>
      </c>
    </row>
    <row r="32" spans="1:8" x14ac:dyDescent="0.25">
      <c r="A32" s="7">
        <v>27</v>
      </c>
      <c r="B32" s="7" t="s">
        <v>399</v>
      </c>
      <c r="C32" s="7" t="s">
        <v>408</v>
      </c>
      <c r="D32" s="8">
        <f>4*Fig08_09_DRAM_Demand!G9</f>
        <v>308</v>
      </c>
      <c r="E32" s="29">
        <f>Fig08_09_DRAM_Demand!F5*Fig05_DRAM_per_CPU!N5+Fig08_09_DRAM_Demand!F6*Fig05_DRAM_per_CPU!N6+Fig04_Unconstrained!D9*Fig05_DRAM_per_CPU!N7</f>
        <v>306</v>
      </c>
      <c r="F32" s="38">
        <v>20</v>
      </c>
      <c r="G32" s="40" t="str">
        <f t="shared" si="0"/>
        <v>OK</v>
      </c>
      <c r="H32" s="4" t="s">
        <v>409</v>
      </c>
    </row>
    <row r="33" spans="1:8" x14ac:dyDescent="0.25">
      <c r="A33" s="7">
        <v>28</v>
      </c>
      <c r="B33" s="7" t="s">
        <v>410</v>
      </c>
      <c r="C33" s="7" t="s">
        <v>411</v>
      </c>
      <c r="D33" s="8">
        <f>3.5</f>
        <v>3.5</v>
      </c>
      <c r="E33" s="29">
        <f>Fig08_09_DRAM_Demand!I9/Fig08_09_DRAM_Demand!G9</f>
        <v>3.6623376623376624</v>
      </c>
      <c r="F33" s="38">
        <v>0.2</v>
      </c>
      <c r="G33" s="40" t="str">
        <f t="shared" si="0"/>
        <v>OK</v>
      </c>
      <c r="H33" s="4" t="s">
        <v>412</v>
      </c>
    </row>
    <row r="34" spans="1:8" x14ac:dyDescent="0.25">
      <c r="A34" s="7">
        <v>29</v>
      </c>
      <c r="B34" s="7" t="s">
        <v>413</v>
      </c>
      <c r="C34" s="7" t="s">
        <v>414</v>
      </c>
      <c r="D34" s="8">
        <f>Fig04_Unconstrained!C12</f>
        <v>30</v>
      </c>
      <c r="E34" s="29">
        <f>Fig04_Unconstrained!C6+Fig04_Unconstrained!C9</f>
        <v>31</v>
      </c>
      <c r="F34" s="38">
        <v>1</v>
      </c>
      <c r="G34" s="40" t="str">
        <f t="shared" si="0"/>
        <v>OK</v>
      </c>
      <c r="H34" s="4" t="s">
        <v>366</v>
      </c>
    </row>
    <row r="35" spans="1:8" x14ac:dyDescent="0.25">
      <c r="A35" s="7">
        <v>30</v>
      </c>
      <c r="B35" s="7" t="s">
        <v>413</v>
      </c>
      <c r="C35" s="7" t="s">
        <v>415</v>
      </c>
      <c r="D35" s="8">
        <f>Fig04_Unconstrained!C14</f>
        <v>90</v>
      </c>
      <c r="E35" s="29">
        <f>Fig04_Unconstrained!C12*Fig04_Unconstrained!C13/1000</f>
        <v>88.71</v>
      </c>
      <c r="F35" s="38">
        <v>3</v>
      </c>
      <c r="G35" s="40" t="str">
        <f t="shared" si="0"/>
        <v>OK</v>
      </c>
      <c r="H35" s="4"/>
    </row>
    <row r="36" spans="1:8" x14ac:dyDescent="0.25">
      <c r="A36" s="7">
        <v>31</v>
      </c>
      <c r="B36" s="7" t="s">
        <v>413</v>
      </c>
      <c r="C36" s="7" t="s">
        <v>416</v>
      </c>
      <c r="D36" s="8">
        <f>Fig04_Unconstrained!C13</f>
        <v>2957</v>
      </c>
      <c r="E36" s="29">
        <f>(Fig04_Unconstrained!C6*Fig04_Unconstrained!C8+Fig04_Unconstrained!C9*Fig04_Unconstrained!C11)/(Fig04_Unconstrained!C6+Fig04_Unconstrained!C9)</f>
        <v>2960</v>
      </c>
      <c r="F36" s="38">
        <v>15</v>
      </c>
      <c r="G36" s="40" t="str">
        <f t="shared" si="0"/>
        <v>OK</v>
      </c>
      <c r="H36" s="4"/>
    </row>
    <row r="37" spans="1:8" x14ac:dyDescent="0.25">
      <c r="A37" s="7">
        <v>32</v>
      </c>
      <c r="B37" s="7" t="s">
        <v>413</v>
      </c>
      <c r="C37" s="7" t="s">
        <v>417</v>
      </c>
      <c r="D37" s="8">
        <f>Fig04_Unconstrained!C17</f>
        <v>125</v>
      </c>
      <c r="E37" s="29">
        <f>Fig04_Unconstrained!C14+Fig10_12_TAM!C9</f>
        <v>125</v>
      </c>
      <c r="F37" s="38">
        <v>1</v>
      </c>
      <c r="G37" s="40" t="str">
        <f t="shared" si="0"/>
        <v>OK</v>
      </c>
      <c r="H37" s="4"/>
    </row>
    <row r="38" spans="1:8" x14ac:dyDescent="0.25">
      <c r="A38" s="7">
        <v>33</v>
      </c>
      <c r="B38" s="7" t="s">
        <v>413</v>
      </c>
      <c r="C38" s="7" t="s">
        <v>418</v>
      </c>
      <c r="D38" s="8">
        <f>Fig04_Unconstrained!C16</f>
        <v>56</v>
      </c>
      <c r="E38" s="29">
        <f>Fig04_Unconstrained!C12+Fig10_12_TAM!C7</f>
        <v>56</v>
      </c>
      <c r="F38" s="38">
        <v>1</v>
      </c>
      <c r="G38" s="40" t="str">
        <f t="shared" ref="G38:G69" si="1">IF(ABS(E38-D38)&lt;=F38,"OK","FLAG")</f>
        <v>OK</v>
      </c>
      <c r="H38" s="4"/>
    </row>
    <row r="39" spans="1:8" x14ac:dyDescent="0.25">
      <c r="A39" s="7">
        <v>34</v>
      </c>
      <c r="B39" s="7" t="s">
        <v>413</v>
      </c>
      <c r="C39" s="7" t="s">
        <v>419</v>
      </c>
      <c r="D39" s="8">
        <f>Fig04_Unconstrained!C15</f>
        <v>1.05</v>
      </c>
      <c r="E39" s="29">
        <f>Fig04_Unconstrained!C12/Fig04_Unconstrained!C5</f>
        <v>1.0344827586206897</v>
      </c>
      <c r="F39" s="38">
        <v>0.03</v>
      </c>
      <c r="G39" s="40" t="str">
        <f t="shared" si="1"/>
        <v>OK</v>
      </c>
      <c r="H39" s="4"/>
    </row>
    <row r="40" spans="1:8" x14ac:dyDescent="0.25">
      <c r="A40" s="7">
        <v>35</v>
      </c>
      <c r="B40" s="7" t="s">
        <v>413</v>
      </c>
      <c r="C40" s="7" t="s">
        <v>420</v>
      </c>
      <c r="D40" s="8">
        <f>Fig04_Unconstrained!D12</f>
        <v>117</v>
      </c>
      <c r="E40" s="29">
        <f>Fig04_Unconstrained!D6+Fig04_Unconstrained!D9</f>
        <v>117</v>
      </c>
      <c r="F40" s="38">
        <v>1</v>
      </c>
      <c r="G40" s="40" t="str">
        <f t="shared" si="1"/>
        <v>OK</v>
      </c>
      <c r="H40" s="4" t="s">
        <v>366</v>
      </c>
    </row>
    <row r="41" spans="1:8" x14ac:dyDescent="0.25">
      <c r="A41" s="7">
        <v>36</v>
      </c>
      <c r="B41" s="7" t="s">
        <v>413</v>
      </c>
      <c r="C41" s="7" t="s">
        <v>421</v>
      </c>
      <c r="D41" s="8">
        <f>Fig04_Unconstrained!D14</f>
        <v>500</v>
      </c>
      <c r="E41" s="29">
        <f>Fig04_Unconstrained!D12*Fig04_Unconstrained!D13/1000</f>
        <v>499.70699999999999</v>
      </c>
      <c r="F41" s="38">
        <v>3</v>
      </c>
      <c r="G41" s="40" t="str">
        <f t="shared" si="1"/>
        <v>OK</v>
      </c>
      <c r="H41" s="4"/>
    </row>
    <row r="42" spans="1:8" x14ac:dyDescent="0.25">
      <c r="A42" s="7">
        <v>37</v>
      </c>
      <c r="B42" s="7" t="s">
        <v>413</v>
      </c>
      <c r="C42" s="7" t="s">
        <v>422</v>
      </c>
      <c r="D42" s="8">
        <f>Fig04_Unconstrained!D13</f>
        <v>4271</v>
      </c>
      <c r="E42" s="29">
        <f>(Fig04_Unconstrained!D6*Fig04_Unconstrained!D8+Fig04_Unconstrained!D9*Fig04_Unconstrained!D11)/(Fig04_Unconstrained!D6+Fig04_Unconstrained!D9)</f>
        <v>4271.3247863247861</v>
      </c>
      <c r="F42" s="38">
        <v>15</v>
      </c>
      <c r="G42" s="40" t="str">
        <f t="shared" si="1"/>
        <v>OK</v>
      </c>
      <c r="H42" s="4"/>
    </row>
    <row r="43" spans="1:8" x14ac:dyDescent="0.25">
      <c r="A43" s="7">
        <v>38</v>
      </c>
      <c r="B43" s="7" t="s">
        <v>413</v>
      </c>
      <c r="C43" s="7" t="s">
        <v>423</v>
      </c>
      <c r="D43" s="8">
        <f>Fig04_Unconstrained!D17</f>
        <v>548</v>
      </c>
      <c r="E43" s="29">
        <f>Fig04_Unconstrained!D14+Fig10_12_TAM!D9</f>
        <v>548</v>
      </c>
      <c r="F43" s="38">
        <v>1</v>
      </c>
      <c r="G43" s="40" t="str">
        <f t="shared" si="1"/>
        <v>OK</v>
      </c>
      <c r="H43" s="4"/>
    </row>
    <row r="44" spans="1:8" x14ac:dyDescent="0.25">
      <c r="A44" s="7">
        <v>39</v>
      </c>
      <c r="B44" s="7" t="s">
        <v>413</v>
      </c>
      <c r="C44" s="7" t="s">
        <v>424</v>
      </c>
      <c r="D44" s="8">
        <f>Fig04_Unconstrained!D16</f>
        <v>147</v>
      </c>
      <c r="E44" s="29">
        <f>Fig04_Unconstrained!D12+Fig10_12_TAM!D7</f>
        <v>147</v>
      </c>
      <c r="F44" s="38">
        <v>1</v>
      </c>
      <c r="G44" s="40" t="str">
        <f t="shared" si="1"/>
        <v>OK</v>
      </c>
      <c r="H44" s="4"/>
    </row>
    <row r="45" spans="1:8" x14ac:dyDescent="0.25">
      <c r="A45" s="7">
        <v>40</v>
      </c>
      <c r="B45" s="7" t="s">
        <v>413</v>
      </c>
      <c r="C45" s="7" t="s">
        <v>425</v>
      </c>
      <c r="D45" s="8">
        <f>Fig04_Unconstrained!D15</f>
        <v>2.66</v>
      </c>
      <c r="E45" s="29">
        <f>Fig04_Unconstrained!D12/Fig04_Unconstrained!D5</f>
        <v>2.6590909090909092</v>
      </c>
      <c r="F45" s="38">
        <v>0.03</v>
      </c>
      <c r="G45" s="40" t="str">
        <f t="shared" si="1"/>
        <v>OK</v>
      </c>
      <c r="H45" s="4"/>
    </row>
    <row r="46" spans="1:8" x14ac:dyDescent="0.25">
      <c r="A46" s="7">
        <v>41</v>
      </c>
      <c r="B46" s="7" t="s">
        <v>135</v>
      </c>
      <c r="C46" s="7" t="s">
        <v>426</v>
      </c>
      <c r="D46" s="8">
        <f>Fig10_12_TAM!B9</f>
        <v>24</v>
      </c>
      <c r="E46" s="29">
        <f>Fig10_12_TAM!B7*Fig10_12_TAM!B8/1000</f>
        <v>24</v>
      </c>
      <c r="F46" s="38">
        <v>0.6</v>
      </c>
      <c r="G46" s="40" t="str">
        <f t="shared" si="1"/>
        <v>OK</v>
      </c>
      <c r="H46" s="4"/>
    </row>
    <row r="47" spans="1:8" x14ac:dyDescent="0.25">
      <c r="A47" s="7">
        <v>42</v>
      </c>
      <c r="B47" s="7" t="s">
        <v>135</v>
      </c>
      <c r="C47" s="7" t="s">
        <v>427</v>
      </c>
      <c r="D47" s="8">
        <f>Fig10_12_TAM!B22</f>
        <v>23</v>
      </c>
      <c r="E47" s="29">
        <f>Fig10_12_TAM!B7+Fig10_12_TAM!B12</f>
        <v>23</v>
      </c>
      <c r="F47" s="38">
        <v>1</v>
      </c>
      <c r="G47" s="40" t="str">
        <f t="shared" si="1"/>
        <v>OK</v>
      </c>
      <c r="H47" s="4"/>
    </row>
    <row r="48" spans="1:8" x14ac:dyDescent="0.25">
      <c r="A48" s="7">
        <v>43</v>
      </c>
      <c r="B48" s="7" t="s">
        <v>135</v>
      </c>
      <c r="C48" s="7" t="s">
        <v>428</v>
      </c>
      <c r="D48" s="8">
        <f>Fig10_12_TAM!B23</f>
        <v>31</v>
      </c>
      <c r="E48" s="29">
        <f>Fig10_12_TAM!B9+Fig10_12_TAM!B16</f>
        <v>31</v>
      </c>
      <c r="F48" s="38">
        <v>1</v>
      </c>
      <c r="G48" s="40" t="str">
        <f t="shared" si="1"/>
        <v>OK</v>
      </c>
      <c r="H48" s="4"/>
    </row>
    <row r="49" spans="1:8" x14ac:dyDescent="0.25">
      <c r="A49" s="7">
        <v>44</v>
      </c>
      <c r="B49" s="7" t="s">
        <v>135</v>
      </c>
      <c r="C49" s="7" t="s">
        <v>429</v>
      </c>
      <c r="D49" s="8">
        <f>Fig10_12_TAM!C9</f>
        <v>35</v>
      </c>
      <c r="E49" s="29">
        <f>Fig10_12_TAM!C7*Fig10_12_TAM!C8/1000</f>
        <v>35.048000000000002</v>
      </c>
      <c r="F49" s="38">
        <v>0.6</v>
      </c>
      <c r="G49" s="40" t="str">
        <f t="shared" si="1"/>
        <v>OK</v>
      </c>
      <c r="H49" s="4"/>
    </row>
    <row r="50" spans="1:8" x14ac:dyDescent="0.25">
      <c r="A50" s="7">
        <v>45</v>
      </c>
      <c r="B50" s="7" t="s">
        <v>135</v>
      </c>
      <c r="C50" s="7" t="s">
        <v>430</v>
      </c>
      <c r="D50" s="8">
        <f>Fig10_12_TAM!C22</f>
        <v>41</v>
      </c>
      <c r="E50" s="29">
        <f>Fig10_12_TAM!C7+Fig10_12_TAM!C12</f>
        <v>42</v>
      </c>
      <c r="F50" s="38">
        <v>1</v>
      </c>
      <c r="G50" s="40" t="str">
        <f t="shared" si="1"/>
        <v>OK</v>
      </c>
      <c r="H50" s="4"/>
    </row>
    <row r="51" spans="1:8" x14ac:dyDescent="0.25">
      <c r="A51" s="7">
        <v>46</v>
      </c>
      <c r="B51" s="7" t="s">
        <v>135</v>
      </c>
      <c r="C51" s="7" t="s">
        <v>431</v>
      </c>
      <c r="D51" s="8">
        <f>Fig10_12_TAM!C23</f>
        <v>83</v>
      </c>
      <c r="E51" s="29">
        <f>Fig10_12_TAM!C9+Fig10_12_TAM!C16</f>
        <v>83</v>
      </c>
      <c r="F51" s="38">
        <v>1</v>
      </c>
      <c r="G51" s="40" t="str">
        <f t="shared" si="1"/>
        <v>OK</v>
      </c>
      <c r="H51" s="4"/>
    </row>
    <row r="52" spans="1:8" x14ac:dyDescent="0.25">
      <c r="A52" s="7">
        <v>47</v>
      </c>
      <c r="B52" s="7" t="s">
        <v>135</v>
      </c>
      <c r="C52" s="7" t="s">
        <v>432</v>
      </c>
      <c r="D52" s="8">
        <f>Fig10_12_TAM!D9</f>
        <v>48</v>
      </c>
      <c r="E52" s="29">
        <f>Fig10_12_TAM!D7*Fig10_12_TAM!D8/1000</f>
        <v>48.18</v>
      </c>
      <c r="F52" s="38">
        <v>0.6</v>
      </c>
      <c r="G52" s="40" t="str">
        <f t="shared" si="1"/>
        <v>OK</v>
      </c>
      <c r="H52" s="4"/>
    </row>
    <row r="53" spans="1:8" x14ac:dyDescent="0.25">
      <c r="A53" s="7">
        <v>48</v>
      </c>
      <c r="B53" s="7" t="s">
        <v>135</v>
      </c>
      <c r="C53" s="7" t="s">
        <v>433</v>
      </c>
      <c r="D53" s="8">
        <f>Fig10_12_TAM!D22</f>
        <v>67</v>
      </c>
      <c r="E53" s="29">
        <f>Fig10_12_TAM!D7+Fig10_12_TAM!D12</f>
        <v>67</v>
      </c>
      <c r="F53" s="38">
        <v>1</v>
      </c>
      <c r="G53" s="40" t="str">
        <f t="shared" si="1"/>
        <v>OK</v>
      </c>
      <c r="H53" s="4"/>
    </row>
    <row r="54" spans="1:8" x14ac:dyDescent="0.25">
      <c r="A54" s="7">
        <v>49</v>
      </c>
      <c r="B54" s="7" t="s">
        <v>135</v>
      </c>
      <c r="C54" s="7" t="s">
        <v>434</v>
      </c>
      <c r="D54" s="8">
        <f>Fig10_12_TAM!D23</f>
        <v>208</v>
      </c>
      <c r="E54" s="29">
        <f>Fig10_12_TAM!D9+Fig10_12_TAM!D16</f>
        <v>208</v>
      </c>
      <c r="F54" s="38">
        <v>1</v>
      </c>
      <c r="G54" s="40" t="str">
        <f t="shared" si="1"/>
        <v>OK</v>
      </c>
      <c r="H54" s="4"/>
    </row>
    <row r="55" spans="1:8" x14ac:dyDescent="0.25">
      <c r="A55" s="7">
        <v>50</v>
      </c>
      <c r="B55" s="7" t="s">
        <v>135</v>
      </c>
      <c r="C55" s="7" t="s">
        <v>415</v>
      </c>
      <c r="D55" s="8">
        <f>Fig10_12_TAM!C16</f>
        <v>48</v>
      </c>
      <c r="E55" s="29">
        <f>Fig10_12_TAM!C12*Fig10_12_TAM!C15/1000</f>
        <v>48.927999999999997</v>
      </c>
      <c r="F55" s="38">
        <v>3</v>
      </c>
      <c r="G55" s="40" t="str">
        <f t="shared" si="1"/>
        <v>OK</v>
      </c>
      <c r="H55" s="4" t="s">
        <v>435</v>
      </c>
    </row>
    <row r="56" spans="1:8" x14ac:dyDescent="0.25">
      <c r="A56" s="7">
        <v>51</v>
      </c>
      <c r="B56" s="7" t="s">
        <v>137</v>
      </c>
      <c r="C56" s="7" t="s">
        <v>436</v>
      </c>
      <c r="D56" s="8">
        <f>Fig10_12_TAM!C37</f>
        <v>3058</v>
      </c>
      <c r="E56" s="29">
        <f>(Fig10_12_TAM!C30*Fig10_12_TAM!C32+Fig10_12_TAM!C33*Fig10_12_TAM!C35)/(Fig10_12_TAM!C30+Fig10_12_TAM!C33)</f>
        <v>3063.125</v>
      </c>
      <c r="F56" s="38">
        <v>15</v>
      </c>
      <c r="G56" s="40" t="str">
        <f t="shared" si="1"/>
        <v>OK</v>
      </c>
      <c r="H56" s="4"/>
    </row>
    <row r="57" spans="1:8" x14ac:dyDescent="0.25">
      <c r="A57" s="7">
        <v>52</v>
      </c>
      <c r="B57" s="7" t="s">
        <v>137</v>
      </c>
      <c r="C57" s="7" t="s">
        <v>437</v>
      </c>
      <c r="D57" s="8">
        <f>Fig10_12_TAM!C39</f>
        <v>0.54</v>
      </c>
      <c r="E57" s="29">
        <f>Fig10_12_TAM!C36/Fig10_12_TAM!C29</f>
        <v>0.55172413793103448</v>
      </c>
      <c r="F57" s="38">
        <v>0.03</v>
      </c>
      <c r="G57" s="40" t="str">
        <f t="shared" si="1"/>
        <v>OK</v>
      </c>
      <c r="H57" s="4"/>
    </row>
    <row r="58" spans="1:8" x14ac:dyDescent="0.25">
      <c r="A58" s="7">
        <v>53</v>
      </c>
      <c r="B58" s="7" t="s">
        <v>135</v>
      </c>
      <c r="C58" s="7" t="s">
        <v>421</v>
      </c>
      <c r="D58" s="8">
        <f>Fig10_12_TAM!D16</f>
        <v>160</v>
      </c>
      <c r="E58" s="29">
        <f>Fig10_12_TAM!D12*Fig10_12_TAM!D15/1000</f>
        <v>161.98599999999999</v>
      </c>
      <c r="F58" s="38">
        <v>3</v>
      </c>
      <c r="G58" s="40" t="str">
        <f t="shared" si="1"/>
        <v>OK</v>
      </c>
      <c r="H58" s="4" t="s">
        <v>438</v>
      </c>
    </row>
    <row r="59" spans="1:8" x14ac:dyDescent="0.25">
      <c r="A59" s="7">
        <v>54</v>
      </c>
      <c r="B59" s="7" t="s">
        <v>137</v>
      </c>
      <c r="C59" s="7" t="s">
        <v>439</v>
      </c>
      <c r="D59" s="8">
        <f>Fig10_12_TAM!D37</f>
        <v>4378</v>
      </c>
      <c r="E59" s="29">
        <f>(Fig10_12_TAM!D30*Fig10_12_TAM!D32+Fig10_12_TAM!D33*Fig10_12_TAM!D35)/(Fig10_12_TAM!D30+Fig10_12_TAM!D33)</f>
        <v>4375.8108108108108</v>
      </c>
      <c r="F59" s="38">
        <v>15</v>
      </c>
      <c r="G59" s="40" t="str">
        <f t="shared" si="1"/>
        <v>OK</v>
      </c>
      <c r="H59" s="4"/>
    </row>
    <row r="60" spans="1:8" x14ac:dyDescent="0.25">
      <c r="A60" s="7">
        <v>55</v>
      </c>
      <c r="B60" s="7" t="s">
        <v>137</v>
      </c>
      <c r="C60" s="7" t="s">
        <v>440</v>
      </c>
      <c r="D60" s="8">
        <f>Fig10_12_TAM!D39</f>
        <v>0.83</v>
      </c>
      <c r="E60" s="29">
        <f>Fig10_12_TAM!D36/Fig10_12_TAM!D29</f>
        <v>0.84090909090909094</v>
      </c>
      <c r="F60" s="38">
        <v>0.03</v>
      </c>
      <c r="G60" s="40" t="str">
        <f t="shared" si="1"/>
        <v>OK</v>
      </c>
      <c r="H60" s="4"/>
    </row>
    <row r="61" spans="1:8" x14ac:dyDescent="0.25">
      <c r="A61" s="7">
        <v>56</v>
      </c>
      <c r="B61" s="7" t="s">
        <v>441</v>
      </c>
      <c r="C61" s="7" t="s">
        <v>442</v>
      </c>
      <c r="D61" s="8">
        <f>Fig10_12_TAM!D16</f>
        <v>160</v>
      </c>
      <c r="E61" s="29">
        <f>(Fig10_12_TAM!D30*Fig10_12_TAM!D32+Fig10_12_TAM!D34*Fig10_12_TAM!D29*Fig10_12_TAM!D35)/1000</f>
        <v>159.87796000000003</v>
      </c>
      <c r="F61" s="38">
        <v>0.5</v>
      </c>
      <c r="G61" s="40" t="str">
        <f t="shared" si="1"/>
        <v>OK</v>
      </c>
      <c r="H61" s="4" t="s">
        <v>443</v>
      </c>
    </row>
    <row r="62" spans="1:8" x14ac:dyDescent="0.25">
      <c r="A62" s="7">
        <v>57</v>
      </c>
      <c r="B62" s="7" t="s">
        <v>441</v>
      </c>
      <c r="C62" s="7" t="s">
        <v>444</v>
      </c>
      <c r="D62" s="8">
        <f>Fig10_12_TAM!D23</f>
        <v>208</v>
      </c>
      <c r="E62" s="29">
        <f>DRAM_CPU_Link!D38</f>
        <v>208.05796000000001</v>
      </c>
      <c r="F62" s="38">
        <v>0.5</v>
      </c>
      <c r="G62" s="40" t="str">
        <f t="shared" si="1"/>
        <v>OK</v>
      </c>
      <c r="H62" s="4" t="s">
        <v>445</v>
      </c>
    </row>
    <row r="63" spans="1:8" x14ac:dyDescent="0.25">
      <c r="A63" s="7">
        <v>58</v>
      </c>
      <c r="B63" s="7" t="s">
        <v>135</v>
      </c>
      <c r="C63" s="7" t="s">
        <v>446</v>
      </c>
      <c r="D63" s="8">
        <f>Fig10_12_TAM!C7</f>
        <v>26</v>
      </c>
      <c r="E63" s="29">
        <f>Fig10_12_TAM!B7*1.08^2</f>
        <v>23.328000000000003</v>
      </c>
      <c r="F63" s="38">
        <v>1</v>
      </c>
      <c r="G63" s="40" t="str">
        <f t="shared" si="1"/>
        <v>FLAG</v>
      </c>
      <c r="H63" s="4" t="s">
        <v>447</v>
      </c>
    </row>
    <row r="64" spans="1:8" x14ac:dyDescent="0.25">
      <c r="A64" s="7">
        <v>59</v>
      </c>
      <c r="B64" s="7" t="s">
        <v>135</v>
      </c>
      <c r="C64" s="7" t="s">
        <v>448</v>
      </c>
      <c r="D64" s="8">
        <f>Fig10_12_TAM!D7</f>
        <v>30</v>
      </c>
      <c r="E64" s="29">
        <f>Fig10_12_TAM!B7*1.08^5</f>
        <v>29.386561536000006</v>
      </c>
      <c r="F64" s="38">
        <v>1</v>
      </c>
      <c r="G64" s="40" t="str">
        <f t="shared" si="1"/>
        <v>OK</v>
      </c>
      <c r="H64" s="4"/>
    </row>
    <row r="65" spans="1:8" x14ac:dyDescent="0.25">
      <c r="A65" s="7">
        <v>60</v>
      </c>
      <c r="B65" s="7" t="s">
        <v>135</v>
      </c>
      <c r="C65" s="7" t="s">
        <v>449</v>
      </c>
      <c r="D65" s="8">
        <f>Fig10_12_TAM!D8</f>
        <v>1606</v>
      </c>
      <c r="E65" s="29">
        <f>Fig10_12_TAM!B8*1.06^5</f>
        <v>1605.8706931200006</v>
      </c>
      <c r="F65" s="38">
        <v>2</v>
      </c>
      <c r="G65" s="40" t="str">
        <f t="shared" si="1"/>
        <v>OK</v>
      </c>
      <c r="H65" s="4"/>
    </row>
    <row r="66" spans="1:8" x14ac:dyDescent="0.25">
      <c r="A66" s="7">
        <v>61</v>
      </c>
      <c r="B66" s="7" t="s">
        <v>135</v>
      </c>
      <c r="C66" s="7" t="s">
        <v>450</v>
      </c>
      <c r="D66" s="8">
        <f>Fig10_12_TAM!D20</f>
        <v>240</v>
      </c>
      <c r="E66" s="29">
        <f>Fig10_12_TAM!D18*Fig10_12_TAM!D19/1000</f>
        <v>240</v>
      </c>
      <c r="F66" s="38">
        <v>1</v>
      </c>
      <c r="G66" s="40" t="str">
        <f t="shared" si="1"/>
        <v>OK</v>
      </c>
      <c r="H66" s="4"/>
    </row>
    <row r="67" spans="1:8" x14ac:dyDescent="0.25">
      <c r="A67" s="7">
        <v>62</v>
      </c>
      <c r="B67" s="7" t="s">
        <v>451</v>
      </c>
      <c r="C67" s="7" t="s">
        <v>452</v>
      </c>
      <c r="D67" s="8">
        <f>Fig10_12_TAM!B47</f>
        <v>31</v>
      </c>
      <c r="E67" s="29">
        <f>Fig10_12_TAM!B46</f>
        <v>31.29</v>
      </c>
      <c r="F67" s="38">
        <v>3</v>
      </c>
      <c r="G67" s="40" t="str">
        <f t="shared" si="1"/>
        <v>OK</v>
      </c>
      <c r="H67" s="4"/>
    </row>
    <row r="68" spans="1:8" x14ac:dyDescent="0.25">
      <c r="A68" s="7">
        <v>63</v>
      </c>
      <c r="B68" s="7" t="s">
        <v>451</v>
      </c>
      <c r="C68" s="7" t="s">
        <v>453</v>
      </c>
      <c r="D68" s="8">
        <f>Fig10_12_TAM!C47</f>
        <v>83</v>
      </c>
      <c r="E68" s="29">
        <f>Fig10_12_TAM!C46</f>
        <v>84.009999999999991</v>
      </c>
      <c r="F68" s="38">
        <v>3</v>
      </c>
      <c r="G68" s="40" t="str">
        <f t="shared" si="1"/>
        <v>OK</v>
      </c>
      <c r="H68" s="4"/>
    </row>
    <row r="69" spans="1:8" x14ac:dyDescent="0.25">
      <c r="A69" s="7">
        <v>64</v>
      </c>
      <c r="B69" s="7" t="s">
        <v>451</v>
      </c>
      <c r="C69" s="7" t="s">
        <v>454</v>
      </c>
      <c r="D69" s="8">
        <f>Fig10_12_TAM!D47</f>
        <v>208</v>
      </c>
      <c r="E69" s="29">
        <f>Fig10_12_TAM!D46</f>
        <v>209.905</v>
      </c>
      <c r="F69" s="38">
        <v>3</v>
      </c>
      <c r="G69" s="40" t="str">
        <f t="shared" si="1"/>
        <v>OK</v>
      </c>
      <c r="H69" s="4"/>
    </row>
    <row r="70" spans="1:8" x14ac:dyDescent="0.25">
      <c r="A70" s="7">
        <v>65</v>
      </c>
      <c r="B70" s="7" t="s">
        <v>455</v>
      </c>
      <c r="C70" s="7" t="s">
        <v>456</v>
      </c>
      <c r="D70" s="8">
        <f>Fig15_18_Power!B10</f>
        <v>370</v>
      </c>
      <c r="E70" s="29">
        <f>Fig15_18_Power!D10</f>
        <v>370</v>
      </c>
      <c r="F70" s="38">
        <v>0.5</v>
      </c>
      <c r="G70" s="40" t="str">
        <f t="shared" ref="G70:G101" si="2">IF(ABS(E70-D70)&lt;=F70,"OK","FLAG")</f>
        <v>OK</v>
      </c>
      <c r="H70" s="4"/>
    </row>
    <row r="71" spans="1:8" x14ac:dyDescent="0.25">
      <c r="A71" s="7">
        <v>66</v>
      </c>
      <c r="B71" s="7" t="s">
        <v>455</v>
      </c>
      <c r="C71" s="7" t="s">
        <v>457</v>
      </c>
      <c r="D71" s="8">
        <f>Fig15_18_Power!C10</f>
        <v>690</v>
      </c>
      <c r="E71" s="29">
        <f>Fig15_18_Power!E10</f>
        <v>690</v>
      </c>
      <c r="F71" s="38">
        <v>0.5</v>
      </c>
      <c r="G71" s="40" t="str">
        <f t="shared" si="2"/>
        <v>OK</v>
      </c>
      <c r="H71" s="4"/>
    </row>
    <row r="72" spans="1:8" x14ac:dyDescent="0.25">
      <c r="A72" s="7">
        <v>67</v>
      </c>
      <c r="B72" s="7" t="s">
        <v>455</v>
      </c>
      <c r="C72" s="7" t="s">
        <v>458</v>
      </c>
      <c r="D72" s="8">
        <f>Fig15_18_Power!B11</f>
        <v>2702703</v>
      </c>
      <c r="E72" s="29">
        <f>Fig15_18_Power!D11</f>
        <v>2702702.7027027025</v>
      </c>
      <c r="F72" s="38">
        <v>2</v>
      </c>
      <c r="G72" s="40" t="str">
        <f t="shared" si="2"/>
        <v>OK</v>
      </c>
      <c r="H72" s="4"/>
    </row>
    <row r="73" spans="1:8" x14ac:dyDescent="0.25">
      <c r="A73" s="7">
        <v>68</v>
      </c>
      <c r="B73" s="7" t="s">
        <v>455</v>
      </c>
      <c r="C73" s="7" t="s">
        <v>459</v>
      </c>
      <c r="D73" s="8">
        <f>Fig15_18_Power!C11</f>
        <v>1449275</v>
      </c>
      <c r="E73" s="29">
        <f>Fig15_18_Power!E11</f>
        <v>1449275.3623188406</v>
      </c>
      <c r="F73" s="38">
        <v>2</v>
      </c>
      <c r="G73" s="40" t="str">
        <f t="shared" si="2"/>
        <v>OK</v>
      </c>
      <c r="H73" s="4"/>
    </row>
    <row r="74" spans="1:8" x14ac:dyDescent="0.25">
      <c r="A74" s="7">
        <v>69</v>
      </c>
      <c r="B74" s="7" t="s">
        <v>455</v>
      </c>
      <c r="C74" s="7" t="s">
        <v>460</v>
      </c>
      <c r="D74" s="8">
        <f>Fig15_18_Power!B14</f>
        <v>4.0999999999999996</v>
      </c>
      <c r="E74" s="29">
        <f>Fig15_18_Power!D14</f>
        <v>4.0540540540540535</v>
      </c>
      <c r="F74" s="38">
        <v>0.06</v>
      </c>
      <c r="G74" s="40" t="str">
        <f t="shared" si="2"/>
        <v>OK</v>
      </c>
      <c r="H74" s="4"/>
    </row>
    <row r="75" spans="1:8" x14ac:dyDescent="0.25">
      <c r="A75" s="7">
        <v>70</v>
      </c>
      <c r="B75" s="7" t="s">
        <v>455</v>
      </c>
      <c r="C75" s="7" t="s">
        <v>461</v>
      </c>
      <c r="D75" s="8">
        <f>Fig15_18_Power!C14</f>
        <v>5.0999999999999996</v>
      </c>
      <c r="E75" s="29">
        <f>Fig15_18_Power!E14</f>
        <v>5.0724637681159424</v>
      </c>
      <c r="F75" s="38">
        <v>0.06</v>
      </c>
      <c r="G75" s="40" t="str">
        <f t="shared" si="2"/>
        <v>OK</v>
      </c>
      <c r="H75" s="4"/>
    </row>
    <row r="76" spans="1:8" x14ac:dyDescent="0.25">
      <c r="A76" s="7">
        <v>71</v>
      </c>
      <c r="B76" s="7" t="s">
        <v>455</v>
      </c>
      <c r="C76" s="7" t="s">
        <v>462</v>
      </c>
      <c r="D76" s="8">
        <f>Fig15_18_Power!B15</f>
        <v>13.5</v>
      </c>
      <c r="E76" s="29">
        <f>Fig15_18_Power!D15</f>
        <v>32.432432432432428</v>
      </c>
      <c r="F76" s="38">
        <v>0.1</v>
      </c>
      <c r="G76" s="40" t="str">
        <f t="shared" si="2"/>
        <v>FLAG</v>
      </c>
      <c r="H76" s="4" t="s">
        <v>463</v>
      </c>
    </row>
    <row r="77" spans="1:8" x14ac:dyDescent="0.25">
      <c r="A77" s="7">
        <v>72</v>
      </c>
      <c r="B77" s="7" t="s">
        <v>455</v>
      </c>
      <c r="C77" s="7" t="s">
        <v>464</v>
      </c>
      <c r="D77" s="8">
        <f>Fig15_18_Power!C15</f>
        <v>29</v>
      </c>
      <c r="E77" s="29">
        <f>Fig15_18_Power!E15</f>
        <v>34.782608695652179</v>
      </c>
      <c r="F77" s="38">
        <v>0.1</v>
      </c>
      <c r="G77" s="40" t="str">
        <f t="shared" si="2"/>
        <v>FLAG</v>
      </c>
      <c r="H77" s="4" t="s">
        <v>465</v>
      </c>
    </row>
    <row r="78" spans="1:8" x14ac:dyDescent="0.25">
      <c r="A78" s="7">
        <v>73</v>
      </c>
      <c r="B78" s="7" t="s">
        <v>455</v>
      </c>
      <c r="C78" s="7" t="s">
        <v>466</v>
      </c>
      <c r="D78" s="8">
        <f>Fig15_18_Power!B15</f>
        <v>13.5</v>
      </c>
      <c r="E78" s="29">
        <f>Fig15_18_Power!D11*0.5*10000/1000000000</f>
        <v>13.513513513513512</v>
      </c>
      <c r="F78" s="38">
        <v>0.06</v>
      </c>
      <c r="G78" s="40" t="str">
        <f t="shared" si="2"/>
        <v>OK</v>
      </c>
      <c r="H78" s="4" t="s">
        <v>467</v>
      </c>
    </row>
    <row r="79" spans="1:8" x14ac:dyDescent="0.25">
      <c r="A79" s="7">
        <v>74</v>
      </c>
      <c r="B79" s="7" t="s">
        <v>455</v>
      </c>
      <c r="C79" s="7" t="s">
        <v>468</v>
      </c>
      <c r="D79" s="8">
        <f>Fig15_18_Power!C15</f>
        <v>29</v>
      </c>
      <c r="E79" s="29">
        <f>Fig15_18_Power!E11*2*10000/1000000000</f>
        <v>28.985507246376812</v>
      </c>
      <c r="F79" s="38">
        <v>0.06</v>
      </c>
      <c r="G79" s="40" t="str">
        <f t="shared" si="2"/>
        <v>OK</v>
      </c>
      <c r="H79" s="4" t="s">
        <v>469</v>
      </c>
    </row>
    <row r="80" spans="1:8" x14ac:dyDescent="0.25">
      <c r="A80" s="7">
        <v>75</v>
      </c>
      <c r="B80" s="7" t="s">
        <v>470</v>
      </c>
      <c r="C80" s="7" t="s">
        <v>471</v>
      </c>
      <c r="D80" s="8">
        <f>Fig15_18_Power!B22</f>
        <v>8</v>
      </c>
      <c r="E80" s="29">
        <f>Fig15_18_Power!B28</f>
        <v>7.4</v>
      </c>
      <c r="F80" s="38">
        <v>0.6</v>
      </c>
      <c r="G80" s="40" t="str">
        <f t="shared" si="2"/>
        <v>OK</v>
      </c>
      <c r="H80" s="4"/>
    </row>
    <row r="81" spans="1:8" x14ac:dyDescent="0.25">
      <c r="A81" s="7">
        <v>76</v>
      </c>
      <c r="B81" s="7" t="s">
        <v>470</v>
      </c>
      <c r="C81" s="7" t="s">
        <v>472</v>
      </c>
      <c r="D81" s="8">
        <f>Fig15_18_Power!B26</f>
        <v>0</v>
      </c>
      <c r="E81" s="29">
        <f>Fig15_18_Power!B29</f>
        <v>0</v>
      </c>
      <c r="F81" s="38">
        <v>0.6</v>
      </c>
      <c r="G81" s="40" t="str">
        <f t="shared" si="2"/>
        <v>OK</v>
      </c>
      <c r="H81" s="4"/>
    </row>
    <row r="82" spans="1:8" x14ac:dyDescent="0.25">
      <c r="A82" s="7">
        <v>77</v>
      </c>
      <c r="B82" s="7" t="s">
        <v>473</v>
      </c>
      <c r="C82" s="7" t="s">
        <v>474</v>
      </c>
      <c r="D82" s="8">
        <f>Fig15_18_Power!B35</f>
        <v>21</v>
      </c>
      <c r="E82" s="29">
        <f>Fig15_18_Power!B33*1.12</f>
        <v>21.28</v>
      </c>
      <c r="F82" s="38">
        <v>1</v>
      </c>
      <c r="G82" s="40" t="str">
        <f t="shared" si="2"/>
        <v>OK</v>
      </c>
      <c r="H82" s="4"/>
    </row>
    <row r="83" spans="1:8" x14ac:dyDescent="0.25">
      <c r="A83" s="7">
        <v>78</v>
      </c>
      <c r="B83" s="7" t="s">
        <v>470</v>
      </c>
      <c r="C83" s="7" t="s">
        <v>475</v>
      </c>
      <c r="D83" s="8">
        <f>Fig15_18_Power!C22</f>
        <v>10</v>
      </c>
      <c r="E83" s="29">
        <f>Fig15_18_Power!C28</f>
        <v>9.6199999999999992</v>
      </c>
      <c r="F83" s="38">
        <v>0.6</v>
      </c>
      <c r="G83" s="40" t="str">
        <f t="shared" si="2"/>
        <v>OK</v>
      </c>
      <c r="H83" s="4"/>
    </row>
    <row r="84" spans="1:8" x14ac:dyDescent="0.25">
      <c r="A84" s="7">
        <v>79</v>
      </c>
      <c r="B84" s="7" t="s">
        <v>470</v>
      </c>
      <c r="C84" s="7" t="s">
        <v>476</v>
      </c>
      <c r="D84" s="8">
        <f>Fig15_18_Power!C26</f>
        <v>4</v>
      </c>
      <c r="E84" s="29">
        <f>Fig15_18_Power!C29</f>
        <v>3.45</v>
      </c>
      <c r="F84" s="38">
        <v>0.6</v>
      </c>
      <c r="G84" s="40" t="str">
        <f t="shared" si="2"/>
        <v>OK</v>
      </c>
      <c r="H84" s="4"/>
    </row>
    <row r="85" spans="1:8" x14ac:dyDescent="0.25">
      <c r="A85" s="7">
        <v>80</v>
      </c>
      <c r="B85" s="7" t="s">
        <v>473</v>
      </c>
      <c r="C85" s="7" t="s">
        <v>477</v>
      </c>
      <c r="D85" s="8">
        <f>Fig15_18_Power!C35</f>
        <v>70</v>
      </c>
      <c r="E85" s="29">
        <f>Fig15_18_Power!C33*1.12</f>
        <v>69.440000000000012</v>
      </c>
      <c r="F85" s="38">
        <v>1</v>
      </c>
      <c r="G85" s="40" t="str">
        <f t="shared" si="2"/>
        <v>OK</v>
      </c>
      <c r="H85" s="4"/>
    </row>
    <row r="86" spans="1:8" x14ac:dyDescent="0.25">
      <c r="A86" s="7">
        <v>81</v>
      </c>
      <c r="B86" s="7" t="s">
        <v>470</v>
      </c>
      <c r="C86" s="7" t="s">
        <v>478</v>
      </c>
      <c r="D86" s="8">
        <f>Fig15_18_Power!D22</f>
        <v>11</v>
      </c>
      <c r="E86" s="29">
        <f>Fig15_18_Power!D28</f>
        <v>11.1</v>
      </c>
      <c r="F86" s="38">
        <v>0.6</v>
      </c>
      <c r="G86" s="40" t="str">
        <f t="shared" si="2"/>
        <v>OK</v>
      </c>
      <c r="H86" s="4"/>
    </row>
    <row r="87" spans="1:8" x14ac:dyDescent="0.25">
      <c r="A87" s="7">
        <v>82</v>
      </c>
      <c r="B87" s="7" t="s">
        <v>470</v>
      </c>
      <c r="C87" s="7" t="s">
        <v>479</v>
      </c>
      <c r="D87" s="8">
        <f>Fig15_18_Power!D26</f>
        <v>10</v>
      </c>
      <c r="E87" s="29">
        <f>Fig15_18_Power!D29</f>
        <v>10.35</v>
      </c>
      <c r="F87" s="38">
        <v>0.6</v>
      </c>
      <c r="G87" s="40" t="str">
        <f t="shared" si="2"/>
        <v>OK</v>
      </c>
      <c r="H87" s="4"/>
    </row>
    <row r="88" spans="1:8" x14ac:dyDescent="0.25">
      <c r="A88" s="7">
        <v>83</v>
      </c>
      <c r="B88" s="7" t="s">
        <v>473</v>
      </c>
      <c r="C88" s="7" t="s">
        <v>480</v>
      </c>
      <c r="D88" s="8">
        <f>Fig15_18_Power!D35</f>
        <v>141</v>
      </c>
      <c r="E88" s="29">
        <f>Fig15_18_Power!D33*1.12</f>
        <v>141.12</v>
      </c>
      <c r="F88" s="38">
        <v>1</v>
      </c>
      <c r="G88" s="40" t="str">
        <f t="shared" si="2"/>
        <v>OK</v>
      </c>
      <c r="H88" s="4"/>
    </row>
    <row r="89" spans="1:8" x14ac:dyDescent="0.25">
      <c r="A89" s="7">
        <v>84</v>
      </c>
      <c r="B89" s="7" t="s">
        <v>481</v>
      </c>
      <c r="C89" s="7" t="s">
        <v>482</v>
      </c>
      <c r="D89" s="8">
        <f>Fig19_21_Share!B12</f>
        <v>208</v>
      </c>
      <c r="E89" s="29">
        <f>Fig19_21_Share!B6+Fig19_21_Share!B7+Fig19_21_Share!B8</f>
        <v>208</v>
      </c>
      <c r="F89" s="38">
        <v>1</v>
      </c>
      <c r="G89" s="40" t="str">
        <f t="shared" si="2"/>
        <v>OK</v>
      </c>
      <c r="H89" s="4"/>
    </row>
    <row r="90" spans="1:8" x14ac:dyDescent="0.25">
      <c r="A90" s="7">
        <v>85</v>
      </c>
      <c r="B90" s="7" t="s">
        <v>481</v>
      </c>
      <c r="C90" s="7" t="s">
        <v>483</v>
      </c>
      <c r="D90" s="8">
        <f>Fig19_21_Share!B8</f>
        <v>102</v>
      </c>
      <c r="E90" s="29">
        <f>SUM(Fig19_21_Share!B9:B11)</f>
        <v>103</v>
      </c>
      <c r="F90" s="38">
        <v>1</v>
      </c>
      <c r="G90" s="40" t="str">
        <f t="shared" si="2"/>
        <v>OK</v>
      </c>
      <c r="H90" s="4" t="s">
        <v>366</v>
      </c>
    </row>
    <row r="91" spans="1:8" x14ac:dyDescent="0.25">
      <c r="A91" s="7">
        <v>86</v>
      </c>
      <c r="B91" s="7" t="s">
        <v>484</v>
      </c>
      <c r="C91" s="7" t="s">
        <v>485</v>
      </c>
      <c r="D91" s="8">
        <f>Fig19_21_Share!B12</f>
        <v>208</v>
      </c>
      <c r="E91" s="29">
        <f>Fig10_12_TAM!D23</f>
        <v>208</v>
      </c>
      <c r="F91" s="38">
        <v>1</v>
      </c>
      <c r="G91" s="40" t="str">
        <f t="shared" si="2"/>
        <v>OK</v>
      </c>
      <c r="H91" s="4"/>
    </row>
    <row r="92" spans="1:8" x14ac:dyDescent="0.25">
      <c r="A92" s="7">
        <v>87</v>
      </c>
      <c r="B92" s="7" t="s">
        <v>486</v>
      </c>
      <c r="C92" s="7" t="s">
        <v>487</v>
      </c>
      <c r="D92" s="8">
        <f>Fig10_12_TAM!B22</f>
        <v>23</v>
      </c>
      <c r="E92" s="29">
        <f>SUMPRODUCT((RIGHT(Fig25_CPU_Units_digitized!$A$6:$A$35,2)="25")*Fig25_CPU_Units_digitized!$E$6:$E$35)</f>
        <v>29.893999999999998</v>
      </c>
      <c r="F92" s="38">
        <v>2</v>
      </c>
      <c r="G92" s="40" t="str">
        <f t="shared" si="2"/>
        <v>FLAG</v>
      </c>
      <c r="H92" s="4" t="s">
        <v>488</v>
      </c>
    </row>
    <row r="93" spans="1:8" x14ac:dyDescent="0.25">
      <c r="A93" s="7">
        <v>88</v>
      </c>
      <c r="B93" s="7" t="s">
        <v>489</v>
      </c>
      <c r="C93" s="7" t="s">
        <v>490</v>
      </c>
      <c r="D93" s="8">
        <f>Fig01_Workloads!F9</f>
        <v>4</v>
      </c>
      <c r="E93" s="29">
        <f>Fig01_Workloads!H10/128</f>
        <v>3.2890625</v>
      </c>
      <c r="F93" s="38">
        <v>0.5</v>
      </c>
      <c r="G93" s="40" t="str">
        <f t="shared" si="2"/>
        <v>FLAG</v>
      </c>
      <c r="H93" s="4" t="s">
        <v>491</v>
      </c>
    </row>
    <row r="94" spans="1:8" x14ac:dyDescent="0.25">
      <c r="A94" s="7">
        <v>89</v>
      </c>
      <c r="B94" s="7" t="s">
        <v>492</v>
      </c>
      <c r="C94" s="7" t="s">
        <v>493</v>
      </c>
      <c r="D94" s="8">
        <f>Fig02_03_Muse!B40</f>
        <v>2382</v>
      </c>
      <c r="E94" s="29">
        <f>Fig02_03_Muse!D40</f>
        <v>2380.9523809523812</v>
      </c>
      <c r="F94" s="38">
        <v>2</v>
      </c>
      <c r="G94" s="40" t="str">
        <f t="shared" si="2"/>
        <v>OK</v>
      </c>
      <c r="H94" s="4" t="s">
        <v>494</v>
      </c>
    </row>
    <row r="95" spans="1:8" x14ac:dyDescent="0.25">
      <c r="A95" s="7">
        <v>90</v>
      </c>
      <c r="B95" s="7" t="s">
        <v>492</v>
      </c>
      <c r="C95" s="7" t="s">
        <v>495</v>
      </c>
      <c r="D95" s="8">
        <f>Fig02_03_Muse!C40</f>
        <v>4012</v>
      </c>
      <c r="E95" s="29">
        <f>Fig02_03_Muse!E40</f>
        <v>4013.3779264214045</v>
      </c>
      <c r="F95" s="38">
        <v>2</v>
      </c>
      <c r="G95" s="40" t="str">
        <f t="shared" si="2"/>
        <v>OK</v>
      </c>
      <c r="H95" s="4" t="s">
        <v>496</v>
      </c>
    </row>
    <row r="97" spans="1:3" x14ac:dyDescent="0.25">
      <c r="A97" s="2" t="s">
        <v>497</v>
      </c>
      <c r="C97" s="40" t="str">
        <f>COUNTIF(G6:G95,"OK")&amp;" OK / "&amp;COUNTIF(G6:G95,"FLAG")&amp;" FLAG"</f>
        <v>78 OK / 12 FLAG</v>
      </c>
    </row>
  </sheetData>
  <conditionalFormatting sqref="G6:G95">
    <cfRule type="cellIs" dxfId="1" priority="1" operator="equal">
      <formula>"FLAG"</formula>
    </cfRule>
    <cfRule type="cellIs" dxfId="0" priority="2" operator="equal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"/>
  <sheetViews>
    <sheetView workbookViewId="0"/>
  </sheetViews>
  <sheetFormatPr defaultRowHeight="15" x14ac:dyDescent="0.25"/>
  <cols>
    <col min="1" max="1" width="26" customWidth="1"/>
    <col min="2" max="3" width="40" customWidth="1"/>
    <col min="4" max="4" width="12" customWidth="1"/>
    <col min="5" max="5" width="14" customWidth="1"/>
    <col min="6" max="6" width="12" customWidth="1"/>
    <col min="7" max="8" width="14" customWidth="1"/>
    <col min="9" max="9" width="16" customWidth="1"/>
    <col min="10" max="10" width="30" customWidth="1"/>
  </cols>
  <sheetData>
    <row r="1" spans="1:10" ht="15.75" x14ac:dyDescent="0.25">
      <c r="A1" s="1" t="s">
        <v>498</v>
      </c>
    </row>
    <row r="2" spans="1:10" x14ac:dyDescent="0.25">
      <c r="A2" s="4" t="s">
        <v>499</v>
      </c>
    </row>
    <row r="3" spans="1:10" x14ac:dyDescent="0.25">
      <c r="A3" s="4" t="s">
        <v>500</v>
      </c>
    </row>
    <row r="5" spans="1:10" x14ac:dyDescent="0.25">
      <c r="A5" s="5" t="s">
        <v>501</v>
      </c>
      <c r="B5" s="5" t="s">
        <v>502</v>
      </c>
      <c r="C5" s="5" t="s">
        <v>503</v>
      </c>
      <c r="D5" s="5" t="s">
        <v>504</v>
      </c>
      <c r="E5" s="5" t="s">
        <v>505</v>
      </c>
      <c r="F5" s="5" t="s">
        <v>506</v>
      </c>
      <c r="G5" s="5" t="s">
        <v>507</v>
      </c>
      <c r="H5" s="5" t="s">
        <v>508</v>
      </c>
      <c r="I5" s="5" t="s">
        <v>509</v>
      </c>
    </row>
    <row r="6" spans="1:10" ht="36" customHeight="1" x14ac:dyDescent="0.25">
      <c r="A6" s="3" t="s">
        <v>510</v>
      </c>
      <c r="B6" s="3" t="s">
        <v>511</v>
      </c>
      <c r="C6" s="3" t="s">
        <v>512</v>
      </c>
      <c r="D6" s="23">
        <v>1</v>
      </c>
      <c r="E6" s="23">
        <v>512</v>
      </c>
      <c r="F6" s="23">
        <v>1</v>
      </c>
      <c r="G6" s="43">
        <v>0.65</v>
      </c>
      <c r="H6" s="23">
        <v>128</v>
      </c>
      <c r="I6" s="14">
        <f>F6*128</f>
        <v>128</v>
      </c>
    </row>
    <row r="7" spans="1:10" ht="36" customHeight="1" x14ac:dyDescent="0.25">
      <c r="A7" s="3" t="s">
        <v>513</v>
      </c>
      <c r="B7" s="3" t="s">
        <v>514</v>
      </c>
      <c r="C7" s="3" t="s">
        <v>515</v>
      </c>
      <c r="D7" s="23">
        <v>1</v>
      </c>
      <c r="E7" s="23">
        <v>238</v>
      </c>
      <c r="F7" s="23">
        <v>7</v>
      </c>
      <c r="G7" s="43">
        <v>0.3</v>
      </c>
      <c r="H7" s="23">
        <v>896</v>
      </c>
      <c r="I7" s="14">
        <f>F7*128</f>
        <v>896</v>
      </c>
    </row>
    <row r="8" spans="1:10" ht="36" customHeight="1" x14ac:dyDescent="0.25">
      <c r="A8" s="3" t="s">
        <v>516</v>
      </c>
      <c r="B8" s="3" t="s">
        <v>517</v>
      </c>
      <c r="C8" s="3" t="s">
        <v>518</v>
      </c>
      <c r="D8" s="23">
        <v>4</v>
      </c>
      <c r="E8" s="23">
        <v>60</v>
      </c>
      <c r="F8" s="23">
        <v>18</v>
      </c>
      <c r="G8" s="43">
        <v>0.05</v>
      </c>
      <c r="H8" s="23">
        <v>2304</v>
      </c>
      <c r="I8" s="14">
        <f>F8*128</f>
        <v>2304</v>
      </c>
      <c r="J8" s="4" t="s">
        <v>519</v>
      </c>
    </row>
    <row r="9" spans="1:10" x14ac:dyDescent="0.25">
      <c r="A9" s="2" t="s">
        <v>520</v>
      </c>
      <c r="E9" s="7" t="s">
        <v>521</v>
      </c>
      <c r="F9" s="44">
        <v>4</v>
      </c>
      <c r="G9" s="4" t="s">
        <v>522</v>
      </c>
    </row>
    <row r="10" spans="1:10" x14ac:dyDescent="0.25">
      <c r="E10" s="7" t="s">
        <v>523</v>
      </c>
      <c r="H10" s="23">
        <v>421</v>
      </c>
    </row>
    <row r="11" spans="1:10" x14ac:dyDescent="0.25">
      <c r="A11" s="7" t="s">
        <v>524</v>
      </c>
      <c r="F11" s="21">
        <f>SUMPRODUCT(F6:F8,G6:G8)</f>
        <v>3.65</v>
      </c>
      <c r="H11" s="14">
        <f>SUMPRODUCT(H6:H8,G6:G8)</f>
        <v>467.2</v>
      </c>
    </row>
    <row r="12" spans="1:10" x14ac:dyDescent="0.25">
      <c r="A12" s="7" t="s">
        <v>525</v>
      </c>
      <c r="F12" s="21">
        <f>F6*G6+F7*G7+F8*G12</f>
        <v>3.2890625</v>
      </c>
      <c r="G12" s="30">
        <f>(H10-H6*G6-H7*G7)/H8</f>
        <v>2.9947916666666668E-2</v>
      </c>
      <c r="H12" s="14">
        <f>H6*G6+H7*G7+H8*G12</f>
        <v>421</v>
      </c>
    </row>
    <row r="13" spans="1:10" x14ac:dyDescent="0.25">
      <c r="A13" s="4" t="s">
        <v>526</v>
      </c>
    </row>
    <row r="15" spans="1:10" x14ac:dyDescent="0.25">
      <c r="A15" s="4" t="s">
        <v>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1"/>
  <sheetViews>
    <sheetView workbookViewId="0"/>
  </sheetViews>
  <sheetFormatPr defaultRowHeight="15" x14ac:dyDescent="0.25"/>
  <cols>
    <col min="1" max="1" width="40" customWidth="1"/>
    <col min="2" max="2" width="14" customWidth="1"/>
    <col min="3" max="3" width="16" customWidth="1"/>
    <col min="4" max="5" width="14" customWidth="1"/>
    <col min="6" max="6" width="70" customWidth="1"/>
    <col min="7" max="7" width="16" customWidth="1"/>
  </cols>
  <sheetData>
    <row r="1" spans="1:6" ht="15.75" x14ac:dyDescent="0.25">
      <c r="A1" s="1" t="s">
        <v>528</v>
      </c>
    </row>
    <row r="2" spans="1:6" x14ac:dyDescent="0.25">
      <c r="A2" s="4" t="s">
        <v>529</v>
      </c>
    </row>
    <row r="3" spans="1:6" x14ac:dyDescent="0.25">
      <c r="A3" s="4" t="s">
        <v>530</v>
      </c>
    </row>
    <row r="5" spans="1:6" x14ac:dyDescent="0.25">
      <c r="A5" s="6" t="s">
        <v>531</v>
      </c>
    </row>
    <row r="6" spans="1:6" x14ac:dyDescent="0.25">
      <c r="A6" s="5" t="s">
        <v>532</v>
      </c>
      <c r="B6" s="5" t="s">
        <v>533</v>
      </c>
      <c r="C6" s="5" t="s">
        <v>534</v>
      </c>
      <c r="D6" s="5" t="s">
        <v>535</v>
      </c>
    </row>
    <row r="7" spans="1:6" x14ac:dyDescent="0.25">
      <c r="A7" s="7" t="s">
        <v>536</v>
      </c>
      <c r="B7" s="23">
        <v>3000000</v>
      </c>
      <c r="C7" s="23">
        <v>3000000</v>
      </c>
      <c r="D7" s="4" t="s">
        <v>537</v>
      </c>
    </row>
    <row r="8" spans="1:6" x14ac:dyDescent="0.25">
      <c r="A8" s="7" t="s">
        <v>538</v>
      </c>
      <c r="B8" s="43">
        <v>0.25</v>
      </c>
      <c r="C8" s="43">
        <v>0.5</v>
      </c>
      <c r="D8" s="4" t="s">
        <v>539</v>
      </c>
    </row>
    <row r="9" spans="1:6" x14ac:dyDescent="0.25">
      <c r="A9" s="7" t="s">
        <v>540</v>
      </c>
      <c r="B9" s="23">
        <v>2</v>
      </c>
      <c r="C9" s="23">
        <v>2</v>
      </c>
      <c r="D9" s="4" t="s">
        <v>541</v>
      </c>
    </row>
    <row r="10" spans="1:6" x14ac:dyDescent="0.25">
      <c r="A10" s="7" t="s">
        <v>542</v>
      </c>
      <c r="B10" s="23">
        <v>4</v>
      </c>
      <c r="C10" s="23">
        <v>1</v>
      </c>
      <c r="D10" s="4" t="s">
        <v>543</v>
      </c>
    </row>
    <row r="11" spans="1:6" x14ac:dyDescent="0.25">
      <c r="A11" s="7" t="s">
        <v>544</v>
      </c>
      <c r="B11" s="23">
        <v>126</v>
      </c>
      <c r="C11" s="23">
        <v>126</v>
      </c>
      <c r="D11" s="4" t="s">
        <v>545</v>
      </c>
    </row>
    <row r="12" spans="1:6" x14ac:dyDescent="0.25">
      <c r="A12" s="5" t="s">
        <v>546</v>
      </c>
      <c r="B12" s="5" t="s">
        <v>547</v>
      </c>
      <c r="C12" s="5" t="s">
        <v>548</v>
      </c>
      <c r="D12" s="5" t="s">
        <v>549</v>
      </c>
      <c r="E12" s="5" t="s">
        <v>550</v>
      </c>
      <c r="F12" s="5" t="s">
        <v>551</v>
      </c>
    </row>
    <row r="13" spans="1:6" x14ac:dyDescent="0.25">
      <c r="A13" s="7" t="s">
        <v>552</v>
      </c>
      <c r="B13" s="14">
        <f>B7*B8</f>
        <v>750000</v>
      </c>
      <c r="C13" s="14">
        <f>C7*C8</f>
        <v>1500000</v>
      </c>
      <c r="D13" s="44" t="s">
        <v>553</v>
      </c>
      <c r="E13" s="44" t="s">
        <v>554</v>
      </c>
      <c r="F13" s="4" t="s">
        <v>555</v>
      </c>
    </row>
    <row r="14" spans="1:6" x14ac:dyDescent="0.25">
      <c r="A14" s="7" t="s">
        <v>556</v>
      </c>
      <c r="B14" s="14">
        <f>B13*B9</f>
        <v>1500000</v>
      </c>
      <c r="C14" s="14">
        <f>C13*C9</f>
        <v>3000000</v>
      </c>
      <c r="D14" s="44" t="s">
        <v>554</v>
      </c>
      <c r="E14" s="44" t="s">
        <v>557</v>
      </c>
      <c r="F14" s="4" t="s">
        <v>558</v>
      </c>
    </row>
    <row r="15" spans="1:6" x14ac:dyDescent="0.25">
      <c r="A15" s="7" t="s">
        <v>559</v>
      </c>
      <c r="B15" s="14">
        <f>B14/B10</f>
        <v>375000</v>
      </c>
      <c r="C15" s="14">
        <f>C14/C10</f>
        <v>3000000</v>
      </c>
      <c r="D15" s="44" t="s">
        <v>560</v>
      </c>
      <c r="E15" s="44" t="s">
        <v>557</v>
      </c>
      <c r="F15" s="4" t="s">
        <v>561</v>
      </c>
    </row>
    <row r="16" spans="1:6" x14ac:dyDescent="0.25">
      <c r="A16" s="7" t="s">
        <v>562</v>
      </c>
      <c r="B16" s="14">
        <f>B15/B11</f>
        <v>2976.1904761904761</v>
      </c>
      <c r="C16" s="14">
        <f>C15/C11</f>
        <v>23809.523809523809</v>
      </c>
      <c r="D16" s="44" t="s">
        <v>563</v>
      </c>
      <c r="E16" s="44" t="s">
        <v>564</v>
      </c>
      <c r="F16" s="4" t="s">
        <v>565</v>
      </c>
    </row>
    <row r="17" spans="1:7" x14ac:dyDescent="0.25">
      <c r="A17" s="4" t="s">
        <v>566</v>
      </c>
    </row>
    <row r="19" spans="1:7" x14ac:dyDescent="0.25">
      <c r="A19" s="6" t="s">
        <v>567</v>
      </c>
    </row>
    <row r="20" spans="1:7" x14ac:dyDescent="0.25">
      <c r="A20" s="5" t="s">
        <v>568</v>
      </c>
      <c r="B20" s="5" t="s">
        <v>569</v>
      </c>
      <c r="C20" s="5" t="s">
        <v>570</v>
      </c>
      <c r="D20" s="5" t="s">
        <v>571</v>
      </c>
      <c r="E20" s="5" t="s">
        <v>572</v>
      </c>
      <c r="F20" s="5" t="s">
        <v>573</v>
      </c>
      <c r="G20" s="5" t="s">
        <v>574</v>
      </c>
    </row>
    <row r="21" spans="1:7" x14ac:dyDescent="0.25">
      <c r="A21" s="43">
        <v>0.1</v>
      </c>
      <c r="B21" s="23">
        <v>4762</v>
      </c>
      <c r="C21" s="23">
        <v>2381</v>
      </c>
      <c r="D21" s="23">
        <v>1190</v>
      </c>
      <c r="E21" s="23">
        <v>595</v>
      </c>
      <c r="F21" s="14">
        <f>$B$7*A21*$B$9/1/$B$11</f>
        <v>4761.9047619047615</v>
      </c>
      <c r="G21" s="22">
        <f>MAX(ABS(B21-$B$7*A21*$B$9/1/$B$11),ABS(C21-$B$7*A21*$B$9/2/$B$11),ABS(D21-$B$7*A21*$B$9/4/$B$11),ABS(E21-$B$7*A21*$B$9/8/$B$11))</f>
        <v>0.47619047619036792</v>
      </c>
    </row>
    <row r="22" spans="1:7" x14ac:dyDescent="0.25">
      <c r="A22" s="43">
        <v>0.25</v>
      </c>
      <c r="B22" s="23">
        <v>11905</v>
      </c>
      <c r="C22" s="23">
        <v>5952</v>
      </c>
      <c r="D22" s="23">
        <v>2976</v>
      </c>
      <c r="E22" s="23">
        <v>1488</v>
      </c>
      <c r="F22" s="14">
        <f>$B$7*A22*$B$9/1/$B$11</f>
        <v>11904.761904761905</v>
      </c>
      <c r="G22" s="22">
        <f>MAX(ABS(B22-$B$7*A22*$B$9/1/$B$11),ABS(C22-$B$7*A22*$B$9/2/$B$11),ABS(D22-$B$7*A22*$B$9/4/$B$11),ABS(E22-$B$7*A22*$B$9/8/$B$11))</f>
        <v>0.38095238095229433</v>
      </c>
    </row>
    <row r="23" spans="1:7" x14ac:dyDescent="0.25">
      <c r="A23" s="43">
        <v>0.5</v>
      </c>
      <c r="B23" s="23">
        <v>23810</v>
      </c>
      <c r="C23" s="23">
        <v>11905</v>
      </c>
      <c r="D23" s="23">
        <v>5952</v>
      </c>
      <c r="E23" s="23">
        <v>2976</v>
      </c>
      <c r="F23" s="14">
        <f>$B$7*A23*$B$9/1/$B$11</f>
        <v>23809.523809523809</v>
      </c>
      <c r="G23" s="22">
        <f>MAX(ABS(B23-$B$7*A23*$B$9/1/$B$11),ABS(C23-$B$7*A23*$B$9/2/$B$11),ABS(D23-$B$7*A23*$B$9/4/$B$11),ABS(E23-$B$7*A23*$B$9/8/$B$11))</f>
        <v>0.47619047619082266</v>
      </c>
    </row>
    <row r="24" spans="1:7" x14ac:dyDescent="0.25">
      <c r="A24" s="43">
        <v>1</v>
      </c>
      <c r="B24" s="23">
        <v>47619</v>
      </c>
      <c r="C24" s="23">
        <v>23810</v>
      </c>
      <c r="D24" s="23">
        <v>11905</v>
      </c>
      <c r="E24" s="23">
        <v>5952</v>
      </c>
      <c r="F24" s="14">
        <f>$B$7*A24*$B$9/1/$B$11</f>
        <v>47619.047619047618</v>
      </c>
      <c r="G24" s="22">
        <f>MAX(ABS(B24-$B$7*A24*$B$9/1/$B$11),ABS(C24-$B$7*A24*$B$9/2/$B$11),ABS(D24-$B$7*A24*$B$9/4/$B$11),ABS(E24-$B$7*A24*$B$9/8/$B$11))</f>
        <v>0.47619047619082266</v>
      </c>
    </row>
    <row r="26" spans="1:7" x14ac:dyDescent="0.25">
      <c r="A26" s="6" t="s">
        <v>575</v>
      </c>
    </row>
    <row r="27" spans="1:7" x14ac:dyDescent="0.25">
      <c r="A27" s="5" t="s">
        <v>80</v>
      </c>
      <c r="B27" s="5" t="s">
        <v>533</v>
      </c>
      <c r="C27" s="5" t="s">
        <v>534</v>
      </c>
      <c r="D27" s="5" t="s">
        <v>576</v>
      </c>
      <c r="E27" s="5" t="s">
        <v>577</v>
      </c>
      <c r="F27" s="5" t="s">
        <v>535</v>
      </c>
    </row>
    <row r="28" spans="1:7" x14ac:dyDescent="0.25">
      <c r="A28" s="7" t="s">
        <v>578</v>
      </c>
      <c r="B28" s="23">
        <v>3000000</v>
      </c>
      <c r="C28" s="23">
        <v>3000000</v>
      </c>
      <c r="F28" s="4" t="s">
        <v>579</v>
      </c>
    </row>
    <row r="29" spans="1:7" x14ac:dyDescent="0.25">
      <c r="A29" s="7" t="s">
        <v>580</v>
      </c>
      <c r="B29" s="23">
        <v>2</v>
      </c>
      <c r="C29" s="23">
        <v>2</v>
      </c>
      <c r="F29" s="4" t="s">
        <v>581</v>
      </c>
    </row>
    <row r="30" spans="1:7" x14ac:dyDescent="0.25">
      <c r="A30" s="7" t="s">
        <v>582</v>
      </c>
      <c r="B30" s="23">
        <v>6000000</v>
      </c>
      <c r="C30" s="23">
        <v>6000000</v>
      </c>
      <c r="D30" s="14">
        <f>B28*B29</f>
        <v>6000000</v>
      </c>
      <c r="E30" s="14">
        <f>C28*C29</f>
        <v>6000000</v>
      </c>
      <c r="F30" s="4" t="s">
        <v>583</v>
      </c>
    </row>
    <row r="31" spans="1:7" x14ac:dyDescent="0.25">
      <c r="A31" s="7" t="s">
        <v>584</v>
      </c>
      <c r="B31" s="43">
        <v>0.2</v>
      </c>
      <c r="C31" s="43">
        <v>0.3</v>
      </c>
      <c r="F31" s="4" t="s">
        <v>585</v>
      </c>
    </row>
    <row r="32" spans="1:7" x14ac:dyDescent="0.25">
      <c r="A32" s="7" t="s">
        <v>586</v>
      </c>
      <c r="B32" s="23">
        <v>600000</v>
      </c>
      <c r="C32" s="23">
        <v>900000</v>
      </c>
      <c r="D32" s="14">
        <f>B28*B31</f>
        <v>600000</v>
      </c>
      <c r="E32" s="14">
        <f>C28*C31</f>
        <v>900000</v>
      </c>
      <c r="F32" s="4" t="s">
        <v>587</v>
      </c>
    </row>
    <row r="33" spans="1:6" x14ac:dyDescent="0.25">
      <c r="A33" s="7" t="s">
        <v>588</v>
      </c>
      <c r="B33" s="43">
        <v>0.7</v>
      </c>
      <c r="C33" s="43">
        <v>0.65</v>
      </c>
      <c r="F33" s="4" t="s">
        <v>589</v>
      </c>
    </row>
    <row r="34" spans="1:6" x14ac:dyDescent="0.25">
      <c r="A34" s="7" t="s">
        <v>590</v>
      </c>
      <c r="B34" s="23">
        <v>857143</v>
      </c>
      <c r="C34" s="23">
        <v>1384615</v>
      </c>
      <c r="D34" s="14">
        <f>B32/B33</f>
        <v>857142.85714285716</v>
      </c>
      <c r="E34" s="14">
        <f>C32/C33</f>
        <v>1384615.3846153845</v>
      </c>
      <c r="F34" s="4" t="s">
        <v>591</v>
      </c>
    </row>
    <row r="35" spans="1:6" x14ac:dyDescent="0.25">
      <c r="A35" s="7" t="s">
        <v>592</v>
      </c>
      <c r="B35" s="23">
        <v>1714286</v>
      </c>
      <c r="C35" s="23">
        <v>2769231</v>
      </c>
      <c r="D35" s="14">
        <f>D34*B29</f>
        <v>1714285.7142857143</v>
      </c>
      <c r="E35" s="14">
        <f>E34*C29</f>
        <v>2769230.769230769</v>
      </c>
      <c r="F35" s="4" t="s">
        <v>593</v>
      </c>
    </row>
    <row r="36" spans="1:6" x14ac:dyDescent="0.25">
      <c r="A36" s="7" t="s">
        <v>594</v>
      </c>
      <c r="B36" s="23">
        <v>3</v>
      </c>
      <c r="C36" s="23">
        <v>3</v>
      </c>
      <c r="F36" s="4" t="s">
        <v>595</v>
      </c>
    </row>
    <row r="37" spans="1:6" x14ac:dyDescent="0.25">
      <c r="A37" s="7" t="s">
        <v>596</v>
      </c>
      <c r="B37" s="23">
        <v>571429</v>
      </c>
      <c r="C37" s="23">
        <v>923077</v>
      </c>
      <c r="D37" s="14">
        <f>D35/B36</f>
        <v>571428.57142857148</v>
      </c>
      <c r="E37" s="14">
        <f>E35/C36</f>
        <v>923076.92307692301</v>
      </c>
      <c r="F37" s="4" t="s">
        <v>597</v>
      </c>
    </row>
    <row r="38" spans="1:6" x14ac:dyDescent="0.25">
      <c r="A38" s="7" t="s">
        <v>598</v>
      </c>
      <c r="B38" s="43">
        <v>0.1</v>
      </c>
      <c r="C38" s="43">
        <v>0.15</v>
      </c>
      <c r="D38" s="30">
        <f>D37/D30</f>
        <v>9.5238095238095247E-2</v>
      </c>
      <c r="E38" s="30">
        <f>E37/E30</f>
        <v>0.15384615384615383</v>
      </c>
      <c r="F38" s="4" t="s">
        <v>599</v>
      </c>
    </row>
    <row r="39" spans="1:6" x14ac:dyDescent="0.25">
      <c r="A39" s="7" t="s">
        <v>600</v>
      </c>
      <c r="B39" s="23">
        <v>240</v>
      </c>
      <c r="C39" s="23">
        <v>230</v>
      </c>
      <c r="F39" s="4" t="s">
        <v>601</v>
      </c>
    </row>
    <row r="40" spans="1:6" x14ac:dyDescent="0.25">
      <c r="A40" s="7" t="s">
        <v>602</v>
      </c>
      <c r="B40" s="23">
        <v>2382</v>
      </c>
      <c r="C40" s="23">
        <v>4012</v>
      </c>
      <c r="D40" s="14">
        <f>D37/B39</f>
        <v>2380.9523809523812</v>
      </c>
      <c r="E40" s="14">
        <f>E37/C39</f>
        <v>4013.3779264214045</v>
      </c>
      <c r="F40" s="4" t="s">
        <v>603</v>
      </c>
    </row>
    <row r="41" spans="1:6" x14ac:dyDescent="0.25">
      <c r="A41" s="4" t="s">
        <v>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"/>
  <sheetViews>
    <sheetView workbookViewId="0"/>
  </sheetViews>
  <sheetFormatPr defaultRowHeight="15" x14ac:dyDescent="0.25"/>
  <cols>
    <col min="1" max="1" width="42" customWidth="1"/>
    <col min="2" max="4" width="10" customWidth="1"/>
    <col min="5" max="5" width="70" customWidth="1"/>
  </cols>
  <sheetData>
    <row r="1" spans="1:5" ht="15.75" x14ac:dyDescent="0.25">
      <c r="A1" s="1" t="s">
        <v>605</v>
      </c>
    </row>
    <row r="2" spans="1:5" x14ac:dyDescent="0.25">
      <c r="A2" s="4" t="s">
        <v>606</v>
      </c>
    </row>
    <row r="4" spans="1:5" x14ac:dyDescent="0.25">
      <c r="A4" s="5" t="s">
        <v>607</v>
      </c>
      <c r="B4" s="5" t="s">
        <v>284</v>
      </c>
      <c r="C4" s="5" t="s">
        <v>286</v>
      </c>
      <c r="D4" s="5" t="s">
        <v>288</v>
      </c>
      <c r="E4" s="5" t="s">
        <v>363</v>
      </c>
    </row>
    <row r="5" spans="1:5" x14ac:dyDescent="0.25">
      <c r="A5" s="2" t="s">
        <v>608</v>
      </c>
      <c r="B5" s="23">
        <v>9</v>
      </c>
      <c r="C5" s="23">
        <v>29</v>
      </c>
      <c r="D5" s="23">
        <v>44</v>
      </c>
      <c r="E5" s="4" t="s">
        <v>609</v>
      </c>
    </row>
    <row r="6" spans="1:5" x14ac:dyDescent="0.25">
      <c r="A6" s="7" t="s">
        <v>610</v>
      </c>
      <c r="B6" s="23">
        <v>3</v>
      </c>
      <c r="C6" s="23">
        <v>11</v>
      </c>
      <c r="D6" s="23">
        <v>22</v>
      </c>
      <c r="E6" s="4" t="s">
        <v>611</v>
      </c>
    </row>
    <row r="7" spans="1:5" x14ac:dyDescent="0.25">
      <c r="A7" s="7" t="s">
        <v>612</v>
      </c>
      <c r="B7" s="38">
        <v>0.28999999999999998</v>
      </c>
      <c r="C7" s="38">
        <v>0.36</v>
      </c>
      <c r="D7" s="38">
        <v>0.5</v>
      </c>
    </row>
    <row r="8" spans="1:5" x14ac:dyDescent="0.25">
      <c r="A8" s="7" t="s">
        <v>613</v>
      </c>
      <c r="B8" s="27">
        <v>2430</v>
      </c>
      <c r="C8" s="27">
        <v>3160</v>
      </c>
      <c r="D8" s="27">
        <v>4480</v>
      </c>
      <c r="E8" s="4" t="s">
        <v>614</v>
      </c>
    </row>
    <row r="9" spans="1:5" x14ac:dyDescent="0.25">
      <c r="A9" s="7" t="s">
        <v>615</v>
      </c>
      <c r="B9" s="23">
        <v>0</v>
      </c>
      <c r="C9" s="23">
        <v>20</v>
      </c>
      <c r="D9" s="23">
        <v>95</v>
      </c>
      <c r="E9" s="4" t="s">
        <v>616</v>
      </c>
    </row>
    <row r="10" spans="1:5" x14ac:dyDescent="0.25">
      <c r="A10" s="7" t="s">
        <v>617</v>
      </c>
      <c r="B10" s="45"/>
      <c r="C10" s="38">
        <v>0.69</v>
      </c>
      <c r="D10" s="38">
        <v>2.16</v>
      </c>
      <c r="E10" s="4" t="s">
        <v>618</v>
      </c>
    </row>
    <row r="11" spans="1:5" x14ac:dyDescent="0.25">
      <c r="A11" s="7" t="s">
        <v>619</v>
      </c>
      <c r="B11" s="46"/>
      <c r="C11" s="27">
        <v>2850</v>
      </c>
      <c r="D11" s="27">
        <v>4223</v>
      </c>
      <c r="E11" s="4" t="s">
        <v>620</v>
      </c>
    </row>
    <row r="12" spans="1:5" x14ac:dyDescent="0.25">
      <c r="A12" s="2" t="s">
        <v>621</v>
      </c>
      <c r="B12" s="23">
        <v>3</v>
      </c>
      <c r="C12" s="23">
        <v>30</v>
      </c>
      <c r="D12" s="23">
        <v>117</v>
      </c>
    </row>
    <row r="13" spans="1:5" x14ac:dyDescent="0.25">
      <c r="A13" s="2" t="s">
        <v>622</v>
      </c>
      <c r="B13" s="27">
        <v>2430</v>
      </c>
      <c r="C13" s="27">
        <v>2957</v>
      </c>
      <c r="D13" s="27">
        <v>4271</v>
      </c>
      <c r="E13" s="4" t="s">
        <v>623</v>
      </c>
    </row>
    <row r="14" spans="1:5" x14ac:dyDescent="0.25">
      <c r="A14" s="2" t="s">
        <v>624</v>
      </c>
      <c r="B14" s="23">
        <v>7</v>
      </c>
      <c r="C14" s="23">
        <v>90</v>
      </c>
      <c r="D14" s="23">
        <v>500</v>
      </c>
    </row>
    <row r="15" spans="1:5" x14ac:dyDescent="0.25">
      <c r="A15" s="2" t="s">
        <v>625</v>
      </c>
      <c r="B15" s="38">
        <v>0.28999999999999998</v>
      </c>
      <c r="C15" s="38">
        <v>1.05</v>
      </c>
      <c r="D15" s="38">
        <v>2.66</v>
      </c>
    </row>
    <row r="16" spans="1:5" x14ac:dyDescent="0.25">
      <c r="A16" s="2" t="s">
        <v>626</v>
      </c>
      <c r="B16" s="23">
        <v>23</v>
      </c>
      <c r="C16" s="23">
        <v>56</v>
      </c>
      <c r="D16" s="23">
        <v>147</v>
      </c>
    </row>
    <row r="17" spans="1:5" x14ac:dyDescent="0.25">
      <c r="A17" s="2" t="s">
        <v>627</v>
      </c>
      <c r="B17" s="23">
        <v>31</v>
      </c>
      <c r="C17" s="23">
        <v>125</v>
      </c>
      <c r="D17" s="23">
        <v>548</v>
      </c>
    </row>
    <row r="18" spans="1:5" x14ac:dyDescent="0.25">
      <c r="A18" s="2" t="s">
        <v>628</v>
      </c>
      <c r="B18" s="47"/>
      <c r="C18" s="47"/>
      <c r="D18" s="47"/>
      <c r="E18" s="4" t="s">
        <v>629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"/>
  <sheetViews>
    <sheetView workbookViewId="0"/>
  </sheetViews>
  <sheetFormatPr defaultRowHeight="15" x14ac:dyDescent="0.25"/>
  <cols>
    <col min="1" max="1" width="30" customWidth="1"/>
    <col min="2" max="3" width="13" customWidth="1"/>
    <col min="4" max="4" width="11" customWidth="1"/>
    <col min="5" max="5" width="10" customWidth="1"/>
    <col min="6" max="14" width="9" customWidth="1"/>
  </cols>
  <sheetData>
    <row r="1" spans="1:14" ht="15.75" x14ac:dyDescent="0.25">
      <c r="A1" s="1" t="s">
        <v>630</v>
      </c>
    </row>
    <row r="2" spans="1:14" x14ac:dyDescent="0.25">
      <c r="A2" s="4" t="s">
        <v>631</v>
      </c>
    </row>
    <row r="4" spans="1:14" x14ac:dyDescent="0.25">
      <c r="A4" s="5" t="s">
        <v>632</v>
      </c>
      <c r="B4" s="5" t="s">
        <v>633</v>
      </c>
      <c r="C4" s="5" t="s">
        <v>634</v>
      </c>
      <c r="D4" s="5" t="s">
        <v>635</v>
      </c>
      <c r="E4" s="5" t="s">
        <v>636</v>
      </c>
      <c r="F4" s="5" t="s">
        <v>637</v>
      </c>
      <c r="G4" s="5" t="s">
        <v>638</v>
      </c>
      <c r="H4" s="5" t="s">
        <v>639</v>
      </c>
      <c r="I4" s="5" t="s">
        <v>640</v>
      </c>
      <c r="J4" s="5" t="s">
        <v>641</v>
      </c>
      <c r="K4" s="5" t="s">
        <v>642</v>
      </c>
      <c r="L4" s="5" t="s">
        <v>643</v>
      </c>
      <c r="M4" s="5" t="s">
        <v>644</v>
      </c>
      <c r="N4" s="5" t="s">
        <v>645</v>
      </c>
    </row>
    <row r="5" spans="1:14" x14ac:dyDescent="0.25">
      <c r="A5" s="7" t="s">
        <v>646</v>
      </c>
      <c r="B5" s="44" t="s">
        <v>647</v>
      </c>
      <c r="C5" s="44" t="s">
        <v>648</v>
      </c>
      <c r="D5" s="44" t="s">
        <v>649</v>
      </c>
      <c r="E5" s="44" t="s">
        <v>650</v>
      </c>
      <c r="F5" s="38">
        <v>0.25</v>
      </c>
      <c r="G5" s="38">
        <v>0.5</v>
      </c>
      <c r="H5" s="38">
        <v>0.5</v>
      </c>
      <c r="I5" s="38">
        <v>0.75</v>
      </c>
      <c r="J5" s="38">
        <v>1</v>
      </c>
      <c r="K5" s="38">
        <v>1</v>
      </c>
      <c r="L5" s="21">
        <f>AVERAGE(F5,G5)</f>
        <v>0.375</v>
      </c>
      <c r="M5" s="21">
        <f>AVERAGE(H5,I5)</f>
        <v>0.625</v>
      </c>
      <c r="N5" s="21">
        <f>AVERAGE(J5,K5)</f>
        <v>1</v>
      </c>
    </row>
    <row r="6" spans="1:14" x14ac:dyDescent="0.25">
      <c r="A6" s="7" t="s">
        <v>651</v>
      </c>
      <c r="B6" s="44" t="s">
        <v>652</v>
      </c>
      <c r="C6" s="44" t="s">
        <v>652</v>
      </c>
      <c r="D6" s="44" t="s">
        <v>653</v>
      </c>
      <c r="E6" s="44" t="s">
        <v>654</v>
      </c>
      <c r="F6" s="38">
        <v>1</v>
      </c>
      <c r="G6" s="38">
        <v>1.5</v>
      </c>
      <c r="H6" s="38">
        <v>1</v>
      </c>
      <c r="I6" s="38">
        <v>1.5</v>
      </c>
      <c r="J6" s="38">
        <v>1.5</v>
      </c>
      <c r="K6" s="38">
        <v>2</v>
      </c>
      <c r="L6" s="21">
        <f>AVERAGE(F6,G6)</f>
        <v>1.25</v>
      </c>
      <c r="M6" s="21">
        <f>AVERAGE(H6,I6)</f>
        <v>1.25</v>
      </c>
      <c r="N6" s="21">
        <f>AVERAGE(J6,K6)</f>
        <v>1.75</v>
      </c>
    </row>
    <row r="7" spans="1:14" x14ac:dyDescent="0.25">
      <c r="A7" s="7" t="s">
        <v>655</v>
      </c>
      <c r="B7" s="44" t="s">
        <v>653</v>
      </c>
      <c r="C7" s="44" t="s">
        <v>653</v>
      </c>
      <c r="D7" s="44" t="s">
        <v>656</v>
      </c>
      <c r="E7" s="44" t="s">
        <v>654</v>
      </c>
      <c r="F7" s="38">
        <v>1.5</v>
      </c>
      <c r="G7" s="38">
        <v>2</v>
      </c>
      <c r="H7" s="38">
        <v>1.5</v>
      </c>
      <c r="I7" s="38">
        <v>2</v>
      </c>
      <c r="J7" s="38">
        <v>2</v>
      </c>
      <c r="K7" s="38">
        <v>3</v>
      </c>
      <c r="L7" s="21">
        <f>AVERAGE(F7,G7)</f>
        <v>1.75</v>
      </c>
      <c r="M7" s="21">
        <f>AVERAGE(H7,I7)</f>
        <v>1.75</v>
      </c>
      <c r="N7" s="21">
        <f>AVERAGE(J7,K7)</f>
        <v>2.5</v>
      </c>
    </row>
    <row r="8" spans="1:14" x14ac:dyDescent="0.25">
      <c r="A8" s="2" t="s">
        <v>657</v>
      </c>
      <c r="B8" s="44" t="s">
        <v>658</v>
      </c>
      <c r="C8" s="44" t="s">
        <v>658</v>
      </c>
      <c r="D8" s="44" t="s">
        <v>659</v>
      </c>
      <c r="E8" s="44" t="s">
        <v>654</v>
      </c>
      <c r="F8" s="38">
        <v>1.5</v>
      </c>
      <c r="G8" s="38">
        <v>1.5</v>
      </c>
      <c r="H8" s="38">
        <v>1.5</v>
      </c>
      <c r="I8" s="38">
        <v>1.5</v>
      </c>
      <c r="J8" s="38">
        <v>2</v>
      </c>
      <c r="K8" s="38">
        <v>2.5</v>
      </c>
      <c r="L8" s="21">
        <f>AVERAGE(F8,G8)</f>
        <v>1.5</v>
      </c>
      <c r="M8" s="21">
        <f>AVERAGE(H8,I8)</f>
        <v>1.5</v>
      </c>
      <c r="N8" s="21">
        <f>AVERAGE(J8,K8)</f>
        <v>2.25</v>
      </c>
    </row>
    <row r="10" spans="1:14" x14ac:dyDescent="0.25">
      <c r="A10" s="4" t="s">
        <v>660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7"/>
  <sheetViews>
    <sheetView workbookViewId="0"/>
  </sheetViews>
  <sheetFormatPr defaultRowHeight="15" x14ac:dyDescent="0.25"/>
  <cols>
    <col min="1" max="1" width="52" customWidth="1"/>
    <col min="2" max="4" width="10" customWidth="1"/>
    <col min="5" max="5" width="30" customWidth="1"/>
  </cols>
  <sheetData>
    <row r="1" spans="1:5" ht="15.75" x14ac:dyDescent="0.25">
      <c r="A1" s="1" t="s">
        <v>661</v>
      </c>
    </row>
    <row r="2" spans="1:5" x14ac:dyDescent="0.25">
      <c r="A2" s="4" t="s">
        <v>662</v>
      </c>
    </row>
    <row r="4" spans="1:5" x14ac:dyDescent="0.25">
      <c r="A4" s="6" t="s">
        <v>663</v>
      </c>
    </row>
    <row r="5" spans="1:5" x14ac:dyDescent="0.25">
      <c r="A5" s="5" t="s">
        <v>41</v>
      </c>
      <c r="B5" s="5" t="s">
        <v>81</v>
      </c>
      <c r="C5" s="5" t="s">
        <v>82</v>
      </c>
      <c r="D5" s="5" t="s">
        <v>635</v>
      </c>
      <c r="E5" s="5" t="s">
        <v>203</v>
      </c>
    </row>
    <row r="6" spans="1:5" x14ac:dyDescent="0.25">
      <c r="A6" s="2" t="s">
        <v>664</v>
      </c>
      <c r="B6" s="23">
        <v>14</v>
      </c>
      <c r="C6" s="23">
        <v>19</v>
      </c>
      <c r="D6" s="23">
        <v>31</v>
      </c>
    </row>
    <row r="7" spans="1:5" x14ac:dyDescent="0.25">
      <c r="A7" s="2" t="s">
        <v>665</v>
      </c>
      <c r="B7" s="23">
        <v>10</v>
      </c>
      <c r="C7" s="23">
        <v>16</v>
      </c>
      <c r="D7" s="23">
        <v>22</v>
      </c>
    </row>
    <row r="8" spans="1:5" x14ac:dyDescent="0.25">
      <c r="A8" s="2" t="s">
        <v>666</v>
      </c>
      <c r="B8" s="23">
        <v>9</v>
      </c>
      <c r="C8" s="23">
        <v>13</v>
      </c>
      <c r="D8" s="23">
        <v>26</v>
      </c>
    </row>
    <row r="9" spans="1:5" x14ac:dyDescent="0.25">
      <c r="A9" s="2" t="s">
        <v>667</v>
      </c>
      <c r="B9" s="23">
        <v>3</v>
      </c>
      <c r="C9" s="23">
        <v>6</v>
      </c>
      <c r="D9" s="23">
        <v>10</v>
      </c>
    </row>
    <row r="10" spans="1:5" x14ac:dyDescent="0.25">
      <c r="A10" s="2" t="s">
        <v>668</v>
      </c>
      <c r="B10" s="23">
        <v>36</v>
      </c>
      <c r="C10" s="23">
        <v>55</v>
      </c>
      <c r="D10" s="23">
        <v>89</v>
      </c>
      <c r="E10" s="4" t="s">
        <v>669</v>
      </c>
    </row>
    <row r="11" spans="1:5" x14ac:dyDescent="0.25">
      <c r="A11" s="7" t="s">
        <v>670</v>
      </c>
      <c r="B11" s="14">
        <f>SUM(B6:B9)</f>
        <v>36</v>
      </c>
      <c r="C11" s="14">
        <f>SUM(C6:C9)</f>
        <v>54</v>
      </c>
      <c r="D11" s="14">
        <f>SUM(D6:D9)</f>
        <v>89</v>
      </c>
    </row>
    <row r="13" spans="1:5" x14ac:dyDescent="0.25">
      <c r="A13" s="6" t="s">
        <v>671</v>
      </c>
    </row>
    <row r="14" spans="1:5" x14ac:dyDescent="0.25">
      <c r="A14" s="5" t="s">
        <v>672</v>
      </c>
      <c r="B14" s="5" t="s">
        <v>81</v>
      </c>
      <c r="C14" s="5" t="s">
        <v>82</v>
      </c>
      <c r="D14" s="5" t="s">
        <v>635</v>
      </c>
      <c r="E14" s="5" t="s">
        <v>203</v>
      </c>
    </row>
    <row r="15" spans="1:5" x14ac:dyDescent="0.25">
      <c r="A15" s="2" t="s">
        <v>673</v>
      </c>
      <c r="B15" s="23">
        <v>9</v>
      </c>
      <c r="C15" s="23">
        <v>13</v>
      </c>
      <c r="D15" s="23">
        <v>23</v>
      </c>
    </row>
    <row r="16" spans="1:5" x14ac:dyDescent="0.25">
      <c r="A16" s="2" t="s">
        <v>674</v>
      </c>
      <c r="B16" s="23">
        <v>36</v>
      </c>
      <c r="C16" s="23">
        <v>54</v>
      </c>
      <c r="D16" s="23">
        <v>99</v>
      </c>
      <c r="E16" s="4" t="s">
        <v>675</v>
      </c>
    </row>
    <row r="17" spans="1:5" x14ac:dyDescent="0.25">
      <c r="A17" s="2" t="s">
        <v>676</v>
      </c>
      <c r="B17" s="23">
        <v>36</v>
      </c>
      <c r="C17" s="23">
        <v>55</v>
      </c>
      <c r="D17" s="23">
        <v>89</v>
      </c>
      <c r="E17" s="4" t="s">
        <v>677</v>
      </c>
    </row>
    <row r="18" spans="1:5" x14ac:dyDescent="0.25">
      <c r="A18" s="2" t="s">
        <v>678</v>
      </c>
      <c r="B18" s="23">
        <v>26</v>
      </c>
      <c r="C18" s="23">
        <v>27</v>
      </c>
      <c r="D18" s="23">
        <v>30</v>
      </c>
    </row>
    <row r="19" spans="1:5" x14ac:dyDescent="0.25">
      <c r="A19" s="2" t="s">
        <v>679</v>
      </c>
      <c r="B19" s="23">
        <v>11</v>
      </c>
      <c r="C19" s="23">
        <v>27</v>
      </c>
      <c r="D19" s="23">
        <v>69</v>
      </c>
    </row>
    <row r="20" spans="1:5" x14ac:dyDescent="0.25">
      <c r="A20" s="2" t="s">
        <v>680</v>
      </c>
      <c r="C20" s="23">
        <v>2</v>
      </c>
      <c r="D20" s="23">
        <v>7</v>
      </c>
    </row>
    <row r="21" spans="1:5" x14ac:dyDescent="0.25">
      <c r="A21" s="2" t="s">
        <v>681</v>
      </c>
      <c r="B21" s="23">
        <v>11</v>
      </c>
      <c r="C21" s="23">
        <v>29</v>
      </c>
      <c r="D21" s="23">
        <v>77</v>
      </c>
    </row>
    <row r="22" spans="1:5" x14ac:dyDescent="0.25">
      <c r="A22" s="7" t="s">
        <v>682</v>
      </c>
      <c r="B22" s="14">
        <f>B16-B18</f>
        <v>10</v>
      </c>
      <c r="C22" s="14">
        <f>C16-C18</f>
        <v>27</v>
      </c>
      <c r="D22" s="14">
        <f>D16-D18</f>
        <v>69</v>
      </c>
    </row>
    <row r="23" spans="1:5" x14ac:dyDescent="0.25">
      <c r="A23" s="7" t="s">
        <v>683</v>
      </c>
      <c r="B23" s="14">
        <f>B17-B18</f>
        <v>10</v>
      </c>
      <c r="C23" s="14">
        <f>C17-C18</f>
        <v>28</v>
      </c>
      <c r="D23" s="14">
        <f>D17-D18</f>
        <v>59</v>
      </c>
    </row>
    <row r="24" spans="1:5" x14ac:dyDescent="0.25">
      <c r="A24" s="7" t="s">
        <v>684</v>
      </c>
      <c r="B24" s="30">
        <f>B15/B16</f>
        <v>0.25</v>
      </c>
      <c r="C24" s="30">
        <f>C15/C16</f>
        <v>0.24074074074074073</v>
      </c>
      <c r="D24" s="30">
        <f>D15/D16</f>
        <v>0.23232323232323232</v>
      </c>
    </row>
    <row r="25" spans="1:5" x14ac:dyDescent="0.25">
      <c r="A25" s="7" t="s">
        <v>685</v>
      </c>
      <c r="C25" s="30">
        <f>C20/C19</f>
        <v>7.407407407407407E-2</v>
      </c>
      <c r="D25" s="30">
        <f>D20/D19</f>
        <v>0.10144927536231885</v>
      </c>
    </row>
    <row r="27" spans="1:5" x14ac:dyDescent="0.25">
      <c r="A27" s="4" t="s">
        <v>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2"/>
  <sheetViews>
    <sheetView workbookViewId="0"/>
  </sheetViews>
  <sheetFormatPr defaultRowHeight="15" x14ac:dyDescent="0.25"/>
  <cols>
    <col min="1" max="1" width="46" customWidth="1"/>
    <col min="2" max="5" width="12" customWidth="1"/>
    <col min="6" max="9" width="14" customWidth="1"/>
  </cols>
  <sheetData>
    <row r="1" spans="1:9" ht="15.75" x14ac:dyDescent="0.25">
      <c r="A1" s="1" t="s">
        <v>687</v>
      </c>
    </row>
    <row r="2" spans="1:9" x14ac:dyDescent="0.25">
      <c r="A2" s="4" t="s">
        <v>688</v>
      </c>
    </row>
    <row r="4" spans="1:9" x14ac:dyDescent="0.25">
      <c r="A4" s="5" t="s">
        <v>689</v>
      </c>
      <c r="B4" s="5" t="s">
        <v>690</v>
      </c>
      <c r="C4" s="5" t="s">
        <v>691</v>
      </c>
      <c r="D4" s="5" t="s">
        <v>692</v>
      </c>
      <c r="E4" s="5" t="s">
        <v>693</v>
      </c>
      <c r="F4" s="5" t="s">
        <v>694</v>
      </c>
      <c r="G4" s="5" t="s">
        <v>695</v>
      </c>
      <c r="H4" s="5" t="s">
        <v>696</v>
      </c>
      <c r="I4" s="5" t="s">
        <v>697</v>
      </c>
    </row>
    <row r="5" spans="1:9" x14ac:dyDescent="0.25">
      <c r="A5" s="7" t="s">
        <v>646</v>
      </c>
      <c r="B5" s="23">
        <v>20</v>
      </c>
      <c r="C5" s="23">
        <v>10</v>
      </c>
      <c r="D5" s="23">
        <v>26</v>
      </c>
      <c r="E5" s="23">
        <v>12</v>
      </c>
      <c r="F5" s="23">
        <v>30</v>
      </c>
      <c r="G5" s="23">
        <v>15</v>
      </c>
      <c r="H5" s="23">
        <v>30</v>
      </c>
      <c r="I5" s="23">
        <v>15</v>
      </c>
    </row>
    <row r="6" spans="1:9" x14ac:dyDescent="0.25">
      <c r="A6" s="7" t="s">
        <v>651</v>
      </c>
      <c r="B6" s="23">
        <v>3</v>
      </c>
      <c r="C6" s="23">
        <v>3</v>
      </c>
      <c r="D6" s="23">
        <v>11</v>
      </c>
      <c r="E6" s="23">
        <v>11</v>
      </c>
      <c r="F6" s="23">
        <v>22</v>
      </c>
      <c r="G6" s="23">
        <v>33</v>
      </c>
      <c r="H6" s="23">
        <v>22</v>
      </c>
      <c r="I6" s="23">
        <v>33</v>
      </c>
    </row>
    <row r="7" spans="1:9" x14ac:dyDescent="0.25">
      <c r="A7" s="7" t="s">
        <v>655</v>
      </c>
      <c r="B7" s="23">
        <v>0</v>
      </c>
      <c r="C7" s="23">
        <v>0</v>
      </c>
      <c r="D7" s="23">
        <v>5</v>
      </c>
      <c r="E7" s="23">
        <v>7</v>
      </c>
      <c r="F7" s="23">
        <v>15</v>
      </c>
      <c r="G7" s="23">
        <v>29</v>
      </c>
      <c r="H7" s="23">
        <v>117</v>
      </c>
      <c r="I7" s="23">
        <v>234</v>
      </c>
    </row>
    <row r="8" spans="1:9" x14ac:dyDescent="0.25">
      <c r="A8" s="2" t="s">
        <v>698</v>
      </c>
      <c r="B8" s="23">
        <v>23</v>
      </c>
      <c r="D8" s="23">
        <v>41</v>
      </c>
      <c r="F8" s="23">
        <v>67</v>
      </c>
      <c r="H8" s="23">
        <v>169</v>
      </c>
    </row>
    <row r="9" spans="1:9" x14ac:dyDescent="0.25">
      <c r="A9" s="2" t="s">
        <v>699</v>
      </c>
      <c r="C9" s="23">
        <v>14</v>
      </c>
      <c r="E9" s="23">
        <v>29</v>
      </c>
      <c r="G9" s="23">
        <v>77</v>
      </c>
      <c r="I9" s="23">
        <v>282</v>
      </c>
    </row>
    <row r="10" spans="1:9" x14ac:dyDescent="0.25">
      <c r="A10" s="7" t="s">
        <v>700</v>
      </c>
      <c r="B10" s="14">
        <f t="shared" ref="B10:I10" si="0">SUM(B5:B7)</f>
        <v>23</v>
      </c>
      <c r="C10" s="14">
        <f t="shared" si="0"/>
        <v>13</v>
      </c>
      <c r="D10" s="14">
        <f t="shared" si="0"/>
        <v>42</v>
      </c>
      <c r="E10" s="14">
        <f t="shared" si="0"/>
        <v>30</v>
      </c>
      <c r="F10" s="14">
        <f t="shared" si="0"/>
        <v>67</v>
      </c>
      <c r="G10" s="14">
        <f t="shared" si="0"/>
        <v>77</v>
      </c>
      <c r="H10" s="14">
        <f t="shared" si="0"/>
        <v>169</v>
      </c>
      <c r="I10" s="14">
        <f t="shared" si="0"/>
        <v>282</v>
      </c>
    </row>
    <row r="11" spans="1:9" x14ac:dyDescent="0.25">
      <c r="A11" s="2" t="s">
        <v>701</v>
      </c>
    </row>
    <row r="12" spans="1:9" x14ac:dyDescent="0.25">
      <c r="A12" s="7" t="s">
        <v>702</v>
      </c>
      <c r="C12" s="21">
        <f>IF(B5=0,"",C5/B5)</f>
        <v>0.5</v>
      </c>
      <c r="E12" s="21">
        <f>IF(D5=0,"",E5/D5)</f>
        <v>0.46153846153846156</v>
      </c>
      <c r="G12" s="21">
        <f>IF(F5=0,"",G5/F5)</f>
        <v>0.5</v>
      </c>
      <c r="I12" s="21">
        <f>IF(H5=0,"",I5/H5)</f>
        <v>0.5</v>
      </c>
    </row>
    <row r="13" spans="1:9" x14ac:dyDescent="0.25">
      <c r="A13" s="7" t="s">
        <v>703</v>
      </c>
      <c r="C13" s="21">
        <f>IF(B6=0,"",C6/B6)</f>
        <v>1</v>
      </c>
      <c r="E13" s="21">
        <f>IF(D6=0,"",E6/D6)</f>
        <v>1</v>
      </c>
      <c r="G13" s="21">
        <f>IF(F6=0,"",G6/F6)</f>
        <v>1.5</v>
      </c>
      <c r="I13" s="21">
        <f>IF(H6=0,"",I6/H6)</f>
        <v>1.5</v>
      </c>
    </row>
    <row r="14" spans="1:9" x14ac:dyDescent="0.25">
      <c r="A14" s="7" t="s">
        <v>704</v>
      </c>
      <c r="C14" s="21" t="str">
        <f>IF(B7=0,"",C7/B7)</f>
        <v/>
      </c>
      <c r="E14" s="21">
        <f>IF(D7=0,"",E7/D7)</f>
        <v>1.4</v>
      </c>
      <c r="G14" s="21">
        <f>IF(F7=0,"",G7/F7)</f>
        <v>1.9333333333333333</v>
      </c>
      <c r="I14" s="21">
        <f>IF(H7=0,"",I7/H7)</f>
        <v>2</v>
      </c>
    </row>
    <row r="15" spans="1:9" x14ac:dyDescent="0.25">
      <c r="A15" s="7" t="s">
        <v>705</v>
      </c>
      <c r="C15" s="21">
        <f>C9/B8</f>
        <v>0.60869565217391308</v>
      </c>
      <c r="E15" s="21">
        <f>E9/D8</f>
        <v>0.70731707317073167</v>
      </c>
      <c r="G15" s="21">
        <f>G9/F8</f>
        <v>1.1492537313432836</v>
      </c>
      <c r="I15" s="21">
        <f>I9/H8</f>
        <v>1.668639053254438</v>
      </c>
    </row>
    <row r="17" spans="1:5" x14ac:dyDescent="0.25">
      <c r="A17" s="4" t="s">
        <v>706</v>
      </c>
    </row>
    <row r="19" spans="1:5" x14ac:dyDescent="0.25">
      <c r="A19" s="6" t="s">
        <v>707</v>
      </c>
    </row>
    <row r="20" spans="1:5" x14ac:dyDescent="0.25">
      <c r="A20" s="5" t="s">
        <v>281</v>
      </c>
      <c r="B20" s="5" t="s">
        <v>284</v>
      </c>
      <c r="C20" s="5" t="s">
        <v>286</v>
      </c>
      <c r="D20" s="5" t="s">
        <v>288</v>
      </c>
      <c r="E20" s="5" t="s">
        <v>203</v>
      </c>
    </row>
    <row r="21" spans="1:5" x14ac:dyDescent="0.25">
      <c r="A21" s="2" t="s">
        <v>708</v>
      </c>
      <c r="B21" s="23">
        <v>31</v>
      </c>
      <c r="C21" s="23">
        <v>83</v>
      </c>
      <c r="D21" s="23">
        <v>208</v>
      </c>
      <c r="E21" s="4" t="s">
        <v>709</v>
      </c>
    </row>
    <row r="22" spans="1:5" x14ac:dyDescent="0.25">
      <c r="A22" s="2" t="s">
        <v>710</v>
      </c>
      <c r="B22" s="23">
        <v>31</v>
      </c>
      <c r="C22" s="23">
        <v>125</v>
      </c>
      <c r="D22" s="23">
        <v>548</v>
      </c>
      <c r="E22" s="4" t="s">
        <v>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9"/>
  <sheetViews>
    <sheetView workbookViewId="0"/>
  </sheetViews>
  <sheetFormatPr defaultRowHeight="15" x14ac:dyDescent="0.25"/>
  <cols>
    <col min="1" max="1" width="44" customWidth="1"/>
    <col min="2" max="4" width="10" customWidth="1"/>
    <col min="5" max="5" width="70" customWidth="1"/>
  </cols>
  <sheetData>
    <row r="1" spans="1:5" ht="15.75" x14ac:dyDescent="0.25">
      <c r="A1" s="1" t="s">
        <v>712</v>
      </c>
    </row>
    <row r="2" spans="1:5" x14ac:dyDescent="0.25">
      <c r="A2" s="4" t="s">
        <v>713</v>
      </c>
    </row>
    <row r="4" spans="1:5" x14ac:dyDescent="0.25">
      <c r="A4" s="6" t="s">
        <v>714</v>
      </c>
    </row>
    <row r="5" spans="1:5" x14ac:dyDescent="0.25">
      <c r="A5" s="5" t="s">
        <v>715</v>
      </c>
      <c r="B5" s="5" t="s">
        <v>284</v>
      </c>
      <c r="C5" s="5" t="s">
        <v>286</v>
      </c>
      <c r="D5" s="5" t="s">
        <v>288</v>
      </c>
      <c r="E5" s="5" t="s">
        <v>363</v>
      </c>
    </row>
    <row r="6" spans="1:5" x14ac:dyDescent="0.25">
      <c r="A6" s="2" t="s">
        <v>716</v>
      </c>
      <c r="B6" s="47"/>
      <c r="C6" s="47"/>
      <c r="D6" s="47"/>
    </row>
    <row r="7" spans="1:5" x14ac:dyDescent="0.25">
      <c r="A7" s="7" t="s">
        <v>717</v>
      </c>
      <c r="B7" s="23">
        <v>20</v>
      </c>
      <c r="C7" s="23">
        <v>26</v>
      </c>
      <c r="D7" s="23">
        <v>30</v>
      </c>
      <c r="E7" s="4" t="s">
        <v>718</v>
      </c>
    </row>
    <row r="8" spans="1:5" x14ac:dyDescent="0.25">
      <c r="A8" s="7" t="s">
        <v>719</v>
      </c>
      <c r="B8" s="27">
        <v>1200</v>
      </c>
      <c r="C8" s="27">
        <v>1348</v>
      </c>
      <c r="D8" s="27">
        <v>1606</v>
      </c>
      <c r="E8" s="4" t="s">
        <v>720</v>
      </c>
    </row>
    <row r="9" spans="1:5" x14ac:dyDescent="0.25">
      <c r="A9" s="7" t="s">
        <v>721</v>
      </c>
      <c r="B9" s="23">
        <v>24</v>
      </c>
      <c r="C9" s="23">
        <v>35</v>
      </c>
      <c r="D9" s="23">
        <v>48</v>
      </c>
      <c r="E9" s="4" t="s">
        <v>722</v>
      </c>
    </row>
    <row r="10" spans="1:5" x14ac:dyDescent="0.25">
      <c r="A10" s="2" t="s">
        <v>723</v>
      </c>
      <c r="B10" s="47"/>
      <c r="C10" s="47"/>
      <c r="D10" s="47"/>
    </row>
    <row r="11" spans="1:5" x14ac:dyDescent="0.25">
      <c r="A11" s="7" t="s">
        <v>724</v>
      </c>
      <c r="B11" s="23">
        <v>9</v>
      </c>
      <c r="C11" s="23">
        <v>29</v>
      </c>
      <c r="D11" s="23">
        <v>44</v>
      </c>
      <c r="E11" s="4" t="s">
        <v>725</v>
      </c>
    </row>
    <row r="12" spans="1:5" x14ac:dyDescent="0.25">
      <c r="A12" s="7" t="s">
        <v>726</v>
      </c>
      <c r="B12" s="23">
        <v>3</v>
      </c>
      <c r="C12" s="23">
        <v>16</v>
      </c>
      <c r="D12" s="23">
        <v>37</v>
      </c>
    </row>
    <row r="13" spans="1:5" x14ac:dyDescent="0.25">
      <c r="A13" s="7" t="s">
        <v>727</v>
      </c>
      <c r="B13" s="23">
        <v>3</v>
      </c>
      <c r="C13" s="23">
        <v>11</v>
      </c>
      <c r="D13" s="23">
        <v>22</v>
      </c>
      <c r="E13" s="4" t="s">
        <v>611</v>
      </c>
    </row>
    <row r="14" spans="1:5" x14ac:dyDescent="0.25">
      <c r="A14" s="7" t="s">
        <v>728</v>
      </c>
      <c r="B14" s="23">
        <v>0</v>
      </c>
      <c r="C14" s="23">
        <v>5</v>
      </c>
      <c r="D14" s="23">
        <v>15</v>
      </c>
      <c r="E14" s="4" t="s">
        <v>729</v>
      </c>
    </row>
    <row r="15" spans="1:5" x14ac:dyDescent="0.25">
      <c r="A15" s="7" t="s">
        <v>730</v>
      </c>
      <c r="B15" s="27">
        <v>2430</v>
      </c>
      <c r="C15" s="27">
        <v>3058</v>
      </c>
      <c r="D15" s="27">
        <v>4378</v>
      </c>
      <c r="E15" s="4" t="s">
        <v>731</v>
      </c>
    </row>
    <row r="16" spans="1:5" x14ac:dyDescent="0.25">
      <c r="A16" s="7" t="s">
        <v>732</v>
      </c>
      <c r="B16" s="23">
        <v>7</v>
      </c>
      <c r="C16" s="23">
        <v>48</v>
      </c>
      <c r="D16" s="23">
        <v>160</v>
      </c>
    </row>
    <row r="17" spans="1:5" x14ac:dyDescent="0.25">
      <c r="A17" s="2" t="s">
        <v>733</v>
      </c>
      <c r="B17" s="47"/>
      <c r="C17" s="47"/>
      <c r="D17" s="47"/>
    </row>
    <row r="18" spans="1:5" x14ac:dyDescent="0.25">
      <c r="A18" s="7" t="s">
        <v>734</v>
      </c>
      <c r="B18" s="47"/>
      <c r="C18" s="47"/>
      <c r="D18" s="23">
        <v>80</v>
      </c>
      <c r="E18" s="4" t="s">
        <v>735</v>
      </c>
    </row>
    <row r="19" spans="1:5" x14ac:dyDescent="0.25">
      <c r="A19" s="7" t="s">
        <v>736</v>
      </c>
      <c r="B19" s="46"/>
      <c r="C19" s="46"/>
      <c r="D19" s="27">
        <v>3000</v>
      </c>
      <c r="E19" s="4" t="s">
        <v>737</v>
      </c>
    </row>
    <row r="20" spans="1:5" x14ac:dyDescent="0.25">
      <c r="A20" s="7" t="s">
        <v>738</v>
      </c>
      <c r="B20" s="47"/>
      <c r="C20" s="47"/>
      <c r="D20" s="23">
        <v>240</v>
      </c>
      <c r="E20" s="4" t="s">
        <v>722</v>
      </c>
    </row>
    <row r="21" spans="1:5" x14ac:dyDescent="0.25">
      <c r="A21" s="2" t="s">
        <v>739</v>
      </c>
      <c r="B21" s="47"/>
      <c r="C21" s="47"/>
      <c r="D21" s="47"/>
    </row>
    <row r="22" spans="1:5" x14ac:dyDescent="0.25">
      <c r="A22" s="7" t="s">
        <v>740</v>
      </c>
      <c r="B22" s="23">
        <v>23</v>
      </c>
      <c r="C22" s="23">
        <v>41</v>
      </c>
      <c r="D22" s="23">
        <v>67</v>
      </c>
      <c r="E22" s="4" t="s">
        <v>741</v>
      </c>
    </row>
    <row r="23" spans="1:5" x14ac:dyDescent="0.25">
      <c r="A23" s="7" t="s">
        <v>742</v>
      </c>
      <c r="B23" s="23">
        <v>31</v>
      </c>
      <c r="C23" s="23">
        <v>83</v>
      </c>
      <c r="D23" s="23">
        <v>208</v>
      </c>
    </row>
    <row r="24" spans="1:5" x14ac:dyDescent="0.25">
      <c r="A24" s="7" t="s">
        <v>743</v>
      </c>
      <c r="B24" s="47"/>
      <c r="C24" s="47"/>
      <c r="D24" s="23">
        <v>110</v>
      </c>
      <c r="E24" s="4" t="s">
        <v>744</v>
      </c>
    </row>
    <row r="25" spans="1:5" x14ac:dyDescent="0.25">
      <c r="A25" s="7" t="s">
        <v>745</v>
      </c>
      <c r="B25" s="47"/>
      <c r="C25" s="47"/>
      <c r="D25" s="23">
        <v>288</v>
      </c>
    </row>
    <row r="27" spans="1:5" x14ac:dyDescent="0.25">
      <c r="A27" s="6" t="s">
        <v>746</v>
      </c>
    </row>
    <row r="28" spans="1:5" x14ac:dyDescent="0.25">
      <c r="A28" s="5" t="s">
        <v>747</v>
      </c>
      <c r="B28" s="5" t="s">
        <v>284</v>
      </c>
      <c r="C28" s="5" t="s">
        <v>286</v>
      </c>
      <c r="D28" s="5" t="s">
        <v>288</v>
      </c>
      <c r="E28" s="5" t="s">
        <v>363</v>
      </c>
    </row>
    <row r="29" spans="1:5" x14ac:dyDescent="0.25">
      <c r="A29" s="2" t="s">
        <v>748</v>
      </c>
      <c r="B29" s="23">
        <v>9</v>
      </c>
      <c r="C29" s="23">
        <v>29</v>
      </c>
      <c r="D29" s="23">
        <v>44</v>
      </c>
      <c r="E29" s="4" t="s">
        <v>749</v>
      </c>
    </row>
    <row r="30" spans="1:5" x14ac:dyDescent="0.25">
      <c r="A30" s="7" t="s">
        <v>750</v>
      </c>
      <c r="B30" s="23">
        <v>3</v>
      </c>
      <c r="C30" s="23">
        <v>11</v>
      </c>
      <c r="D30" s="23">
        <v>22</v>
      </c>
      <c r="E30" s="4" t="s">
        <v>751</v>
      </c>
    </row>
    <row r="31" spans="1:5" x14ac:dyDescent="0.25">
      <c r="A31" s="7" t="s">
        <v>752</v>
      </c>
      <c r="B31" s="38">
        <v>0.28999999999999998</v>
      </c>
      <c r="C31" s="38">
        <v>0.36</v>
      </c>
      <c r="D31" s="38">
        <v>0.5</v>
      </c>
    </row>
    <row r="32" spans="1:5" x14ac:dyDescent="0.25">
      <c r="A32" s="7" t="s">
        <v>613</v>
      </c>
      <c r="B32" s="27">
        <v>2430</v>
      </c>
      <c r="C32" s="27">
        <v>3160</v>
      </c>
      <c r="D32" s="27">
        <v>4480</v>
      </c>
      <c r="E32" s="4" t="s">
        <v>614</v>
      </c>
    </row>
    <row r="33" spans="1:5" x14ac:dyDescent="0.25">
      <c r="A33" s="7" t="s">
        <v>615</v>
      </c>
      <c r="B33" s="23">
        <v>0</v>
      </c>
      <c r="C33" s="23">
        <v>5</v>
      </c>
      <c r="D33" s="23">
        <v>15</v>
      </c>
      <c r="E33" s="4" t="s">
        <v>753</v>
      </c>
    </row>
    <row r="34" spans="1:5" x14ac:dyDescent="0.25">
      <c r="A34" s="7" t="s">
        <v>754</v>
      </c>
      <c r="B34" s="45"/>
      <c r="C34" s="38">
        <v>0.18</v>
      </c>
      <c r="D34" s="38">
        <v>0.33</v>
      </c>
    </row>
    <row r="35" spans="1:5" x14ac:dyDescent="0.25">
      <c r="A35" s="7" t="s">
        <v>619</v>
      </c>
      <c r="B35" s="46"/>
      <c r="C35" s="27">
        <v>2850</v>
      </c>
      <c r="D35" s="27">
        <v>4223</v>
      </c>
      <c r="E35" s="4" t="s">
        <v>620</v>
      </c>
    </row>
    <row r="36" spans="1:5" x14ac:dyDescent="0.25">
      <c r="A36" s="2" t="s">
        <v>621</v>
      </c>
      <c r="B36" s="23">
        <v>3</v>
      </c>
      <c r="C36" s="23">
        <v>16</v>
      </c>
      <c r="D36" s="23">
        <v>37</v>
      </c>
    </row>
    <row r="37" spans="1:5" x14ac:dyDescent="0.25">
      <c r="A37" s="2" t="s">
        <v>622</v>
      </c>
      <c r="B37" s="27">
        <v>2430</v>
      </c>
      <c r="C37" s="27">
        <v>3058</v>
      </c>
      <c r="D37" s="27">
        <v>4378</v>
      </c>
      <c r="E37" s="4" t="s">
        <v>731</v>
      </c>
    </row>
    <row r="38" spans="1:5" x14ac:dyDescent="0.25">
      <c r="A38" s="2" t="s">
        <v>624</v>
      </c>
      <c r="B38" s="23">
        <v>7</v>
      </c>
      <c r="C38" s="23">
        <v>48</v>
      </c>
      <c r="D38" s="23">
        <v>160</v>
      </c>
    </row>
    <row r="39" spans="1:5" x14ac:dyDescent="0.25">
      <c r="A39" s="2" t="s">
        <v>755</v>
      </c>
      <c r="B39" s="38">
        <v>0.28999999999999998</v>
      </c>
      <c r="C39" s="38">
        <v>0.54</v>
      </c>
      <c r="D39" s="38">
        <v>0.83</v>
      </c>
    </row>
    <row r="41" spans="1:5" x14ac:dyDescent="0.25">
      <c r="A41" s="6" t="s">
        <v>756</v>
      </c>
    </row>
    <row r="42" spans="1:5" x14ac:dyDescent="0.25">
      <c r="A42" s="5" t="s">
        <v>757</v>
      </c>
      <c r="B42" s="5" t="s">
        <v>284</v>
      </c>
      <c r="C42" s="5" t="s">
        <v>286</v>
      </c>
      <c r="D42" s="5" t="s">
        <v>288</v>
      </c>
      <c r="E42" s="5" t="s">
        <v>758</v>
      </c>
    </row>
    <row r="43" spans="1:5" x14ac:dyDescent="0.25">
      <c r="A43" s="7" t="s">
        <v>759</v>
      </c>
      <c r="B43" s="22">
        <f>B9</f>
        <v>24</v>
      </c>
      <c r="C43" s="22">
        <f>C9</f>
        <v>35</v>
      </c>
      <c r="D43" s="22">
        <f>D9</f>
        <v>48</v>
      </c>
      <c r="E43" s="4" t="s">
        <v>760</v>
      </c>
    </row>
    <row r="44" spans="1:5" x14ac:dyDescent="0.25">
      <c r="A44" s="7" t="s">
        <v>761</v>
      </c>
      <c r="B44" s="22">
        <f>B30*B32/1000</f>
        <v>7.29</v>
      </c>
      <c r="C44" s="22">
        <f>C30*C32/1000</f>
        <v>34.76</v>
      </c>
      <c r="D44" s="22">
        <f>D30*D32/1000</f>
        <v>98.56</v>
      </c>
      <c r="E44" s="4" t="s">
        <v>762</v>
      </c>
    </row>
    <row r="45" spans="1:5" x14ac:dyDescent="0.25">
      <c r="A45" s="7" t="s">
        <v>763</v>
      </c>
      <c r="B45" s="22">
        <f>IF(B35="",0,B33*B35/1000)</f>
        <v>0</v>
      </c>
      <c r="C45" s="22">
        <f>IF(C35="",0,C33*C35/1000)</f>
        <v>14.25</v>
      </c>
      <c r="D45" s="22">
        <f>IF(D35="",0,D33*D35/1000)</f>
        <v>63.344999999999999</v>
      </c>
      <c r="E45" s="4" t="s">
        <v>762</v>
      </c>
    </row>
    <row r="46" spans="1:5" x14ac:dyDescent="0.25">
      <c r="A46" s="7" t="s">
        <v>764</v>
      </c>
      <c r="B46" s="22">
        <f>SUM(B43:B45)</f>
        <v>31.29</v>
      </c>
      <c r="C46" s="22">
        <f>SUM(C43:C45)</f>
        <v>84.009999999999991</v>
      </c>
      <c r="D46" s="22">
        <f>SUM(D43:D45)</f>
        <v>209.905</v>
      </c>
    </row>
    <row r="47" spans="1:5" x14ac:dyDescent="0.25">
      <c r="A47" s="7" t="s">
        <v>765</v>
      </c>
      <c r="B47" s="23">
        <v>31</v>
      </c>
      <c r="C47" s="23">
        <v>83</v>
      </c>
      <c r="D47" s="23">
        <v>208</v>
      </c>
    </row>
    <row r="49" spans="1:1" x14ac:dyDescent="0.25">
      <c r="A49" s="4" t="s">
        <v>766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9"/>
  <sheetViews>
    <sheetView workbookViewId="0"/>
  </sheetViews>
  <sheetFormatPr defaultRowHeight="15" x14ac:dyDescent="0.25"/>
  <cols>
    <col min="1" max="1" width="58" customWidth="1"/>
    <col min="2" max="5" width="14" customWidth="1"/>
    <col min="6" max="6" width="70" customWidth="1"/>
  </cols>
  <sheetData>
    <row r="1" spans="1:6" ht="15.75" x14ac:dyDescent="0.25">
      <c r="A1" s="1" t="s">
        <v>767</v>
      </c>
    </row>
    <row r="2" spans="1:6" x14ac:dyDescent="0.25">
      <c r="A2" s="4" t="s">
        <v>768</v>
      </c>
    </row>
    <row r="4" spans="1:6" x14ac:dyDescent="0.25">
      <c r="A4" s="6" t="s">
        <v>769</v>
      </c>
    </row>
    <row r="5" spans="1:6" x14ac:dyDescent="0.25">
      <c r="A5" s="5" t="s">
        <v>770</v>
      </c>
      <c r="B5" s="5" t="s">
        <v>646</v>
      </c>
      <c r="C5" s="5" t="s">
        <v>202</v>
      </c>
      <c r="D5" s="5" t="s">
        <v>771</v>
      </c>
      <c r="E5" s="5" t="s">
        <v>772</v>
      </c>
      <c r="F5" s="5" t="s">
        <v>203</v>
      </c>
    </row>
    <row r="6" spans="1:6" x14ac:dyDescent="0.25">
      <c r="A6" s="7" t="s">
        <v>773</v>
      </c>
      <c r="B6" s="23">
        <v>250</v>
      </c>
      <c r="C6" s="23">
        <v>450</v>
      </c>
    </row>
    <row r="7" spans="1:6" x14ac:dyDescent="0.25">
      <c r="A7" s="7" t="s">
        <v>774</v>
      </c>
      <c r="B7" s="23">
        <v>1</v>
      </c>
      <c r="C7" s="23">
        <v>2</v>
      </c>
    </row>
    <row r="8" spans="1:6" x14ac:dyDescent="0.25">
      <c r="A8" s="7" t="s">
        <v>775</v>
      </c>
      <c r="B8" s="23">
        <v>15</v>
      </c>
      <c r="C8" s="23">
        <v>15</v>
      </c>
    </row>
    <row r="9" spans="1:6" x14ac:dyDescent="0.25">
      <c r="A9" s="7" t="s">
        <v>776</v>
      </c>
      <c r="B9" s="23">
        <v>8</v>
      </c>
      <c r="C9" s="23">
        <v>16</v>
      </c>
    </row>
    <row r="10" spans="1:6" x14ac:dyDescent="0.25">
      <c r="A10" s="7" t="s">
        <v>777</v>
      </c>
      <c r="B10" s="23">
        <v>370</v>
      </c>
      <c r="C10" s="23">
        <v>690</v>
      </c>
      <c r="D10" s="14">
        <f>B6+B8*B9</f>
        <v>370</v>
      </c>
      <c r="E10" s="14">
        <f>C6+C8*C9</f>
        <v>690</v>
      </c>
    </row>
    <row r="11" spans="1:6" x14ac:dyDescent="0.25">
      <c r="A11" s="7" t="s">
        <v>778</v>
      </c>
      <c r="B11" s="23">
        <v>2702703</v>
      </c>
      <c r="C11" s="23">
        <v>1449275</v>
      </c>
      <c r="D11" s="14">
        <f>1000000000/D10</f>
        <v>2702702.7027027025</v>
      </c>
      <c r="E11" s="14">
        <f>1000000000/E10</f>
        <v>1449275.3623188406</v>
      </c>
    </row>
    <row r="12" spans="1:6" x14ac:dyDescent="0.25">
      <c r="A12" s="7" t="s">
        <v>779</v>
      </c>
      <c r="B12" s="23">
        <v>1500</v>
      </c>
      <c r="C12" s="23">
        <v>3500</v>
      </c>
    </row>
    <row r="13" spans="1:6" x14ac:dyDescent="0.25">
      <c r="A13" s="7" t="s">
        <v>780</v>
      </c>
      <c r="B13" s="42">
        <v>17.600000000000001</v>
      </c>
      <c r="C13" s="42">
        <v>34.1</v>
      </c>
      <c r="D13" s="22">
        <f>D14+D15</f>
        <v>36.486486486486484</v>
      </c>
      <c r="E13" s="22">
        <f>E14+E15</f>
        <v>39.855072463768124</v>
      </c>
      <c r="F13" s="4" t="s">
        <v>781</v>
      </c>
    </row>
    <row r="14" spans="1:6" x14ac:dyDescent="0.25">
      <c r="A14" s="7" t="s">
        <v>782</v>
      </c>
      <c r="B14" s="42">
        <v>4.0999999999999996</v>
      </c>
      <c r="C14" s="42">
        <v>5.0999999999999996</v>
      </c>
      <c r="D14" s="22">
        <f>D11*B12/1000000000</f>
        <v>4.0540540540540535</v>
      </c>
      <c r="E14" s="22">
        <f>E11*C12/1000000000</f>
        <v>5.0724637681159424</v>
      </c>
    </row>
    <row r="15" spans="1:6" x14ac:dyDescent="0.25">
      <c r="A15" s="7" t="s">
        <v>783</v>
      </c>
      <c r="B15" s="42">
        <v>13.5</v>
      </c>
      <c r="C15" s="42">
        <v>29</v>
      </c>
      <c r="D15" s="22">
        <f>D11*B7*B16/1000000000</f>
        <v>32.432432432432428</v>
      </c>
      <c r="E15" s="22">
        <f>E11*C7*C16/1000000000</f>
        <v>34.782608695652179</v>
      </c>
      <c r="F15" s="4" t="s">
        <v>784</v>
      </c>
    </row>
    <row r="16" spans="1:6" x14ac:dyDescent="0.25">
      <c r="A16" s="7" t="s">
        <v>785</v>
      </c>
      <c r="B16" s="27">
        <v>12000</v>
      </c>
      <c r="C16" s="27">
        <v>12000</v>
      </c>
    </row>
    <row r="18" spans="1:5" x14ac:dyDescent="0.25">
      <c r="A18" s="6" t="s">
        <v>786</v>
      </c>
    </row>
    <row r="19" spans="1:5" x14ac:dyDescent="0.25">
      <c r="A19" s="5" t="s">
        <v>787</v>
      </c>
      <c r="B19" s="5" t="s">
        <v>284</v>
      </c>
      <c r="C19" s="5" t="s">
        <v>286</v>
      </c>
      <c r="D19" s="5" t="s">
        <v>288</v>
      </c>
      <c r="E19" s="5" t="s">
        <v>203</v>
      </c>
    </row>
    <row r="20" spans="1:5" x14ac:dyDescent="0.25">
      <c r="A20" s="2" t="s">
        <v>788</v>
      </c>
      <c r="B20" s="23">
        <v>20</v>
      </c>
      <c r="C20" s="23">
        <v>26</v>
      </c>
      <c r="D20" s="23">
        <v>30</v>
      </c>
    </row>
    <row r="21" spans="1:5" x14ac:dyDescent="0.25">
      <c r="A21" s="2" t="s">
        <v>789</v>
      </c>
      <c r="B21" s="23">
        <v>370</v>
      </c>
      <c r="C21" s="23">
        <v>370</v>
      </c>
      <c r="D21" s="23">
        <v>370</v>
      </c>
    </row>
    <row r="22" spans="1:5" x14ac:dyDescent="0.25">
      <c r="A22" s="2" t="s">
        <v>790</v>
      </c>
      <c r="B22" s="23">
        <v>8</v>
      </c>
      <c r="C22" s="23">
        <v>10</v>
      </c>
      <c r="D22" s="23">
        <v>11</v>
      </c>
    </row>
    <row r="23" spans="1:5" x14ac:dyDescent="0.25">
      <c r="A23" s="2" t="s">
        <v>791</v>
      </c>
      <c r="E23" s="4" t="s">
        <v>792</v>
      </c>
    </row>
    <row r="24" spans="1:5" x14ac:dyDescent="0.25">
      <c r="A24" s="2" t="s">
        <v>793</v>
      </c>
      <c r="B24" s="23">
        <v>0</v>
      </c>
      <c r="C24" s="23">
        <v>5</v>
      </c>
      <c r="D24" s="23">
        <v>15</v>
      </c>
    </row>
    <row r="25" spans="1:5" x14ac:dyDescent="0.25">
      <c r="A25" s="2" t="s">
        <v>794</v>
      </c>
      <c r="B25" s="23">
        <v>690</v>
      </c>
      <c r="C25" s="23">
        <v>690</v>
      </c>
      <c r="D25" s="23">
        <v>690</v>
      </c>
    </row>
    <row r="26" spans="1:5" x14ac:dyDescent="0.25">
      <c r="A26" s="2" t="s">
        <v>795</v>
      </c>
      <c r="B26" s="23">
        <v>0</v>
      </c>
      <c r="C26" s="23">
        <v>4</v>
      </c>
      <c r="D26" s="23">
        <v>10</v>
      </c>
    </row>
    <row r="27" spans="1:5" x14ac:dyDescent="0.25">
      <c r="A27" s="2" t="s">
        <v>796</v>
      </c>
      <c r="B27" s="23">
        <v>8</v>
      </c>
      <c r="C27" s="23">
        <v>13</v>
      </c>
      <c r="D27" s="23">
        <v>21</v>
      </c>
    </row>
    <row r="28" spans="1:5" x14ac:dyDescent="0.25">
      <c r="A28" s="7" t="s">
        <v>797</v>
      </c>
      <c r="B28" s="22">
        <f>B20*B21/1000</f>
        <v>7.4</v>
      </c>
      <c r="C28" s="22">
        <f>C20*C21/1000</f>
        <v>9.6199999999999992</v>
      </c>
      <c r="D28" s="22">
        <f>D20*D21/1000</f>
        <v>11.1</v>
      </c>
    </row>
    <row r="29" spans="1:5" x14ac:dyDescent="0.25">
      <c r="A29" s="7" t="s">
        <v>798</v>
      </c>
      <c r="B29" s="22">
        <f>B24*B25/1000</f>
        <v>0</v>
      </c>
      <c r="C29" s="22">
        <f>C24*C25/1000</f>
        <v>3.45</v>
      </c>
      <c r="D29" s="22">
        <f>D24*D25/1000</f>
        <v>10.35</v>
      </c>
    </row>
    <row r="31" spans="1:5" x14ac:dyDescent="0.25">
      <c r="A31" s="6" t="s">
        <v>799</v>
      </c>
    </row>
    <row r="32" spans="1:5" x14ac:dyDescent="0.25">
      <c r="A32" s="5" t="s">
        <v>800</v>
      </c>
      <c r="B32" s="5" t="s">
        <v>284</v>
      </c>
      <c r="C32" s="5" t="s">
        <v>286</v>
      </c>
      <c r="D32" s="5" t="s">
        <v>288</v>
      </c>
      <c r="E32" s="5" t="s">
        <v>203</v>
      </c>
    </row>
    <row r="33" spans="1:5" x14ac:dyDescent="0.25">
      <c r="A33" s="2" t="s">
        <v>801</v>
      </c>
      <c r="B33" s="23">
        <v>19</v>
      </c>
      <c r="C33" s="23">
        <v>62</v>
      </c>
      <c r="D33" s="23">
        <v>126</v>
      </c>
      <c r="E33" s="4" t="s">
        <v>802</v>
      </c>
    </row>
    <row r="34" spans="1:5" x14ac:dyDescent="0.25">
      <c r="A34" s="7" t="s">
        <v>803</v>
      </c>
      <c r="B34" s="23">
        <v>8</v>
      </c>
      <c r="C34" s="23">
        <v>13</v>
      </c>
      <c r="D34" s="23">
        <v>21</v>
      </c>
      <c r="E34" s="4" t="s">
        <v>804</v>
      </c>
    </row>
    <row r="35" spans="1:5" x14ac:dyDescent="0.25">
      <c r="A35" s="2" t="s">
        <v>805</v>
      </c>
      <c r="B35" s="23">
        <v>21</v>
      </c>
      <c r="C35" s="23">
        <v>70</v>
      </c>
      <c r="D35" s="23">
        <v>141</v>
      </c>
      <c r="E35" s="4" t="s">
        <v>802</v>
      </c>
    </row>
    <row r="36" spans="1:5" x14ac:dyDescent="0.25">
      <c r="A36" s="7" t="s">
        <v>806</v>
      </c>
      <c r="B36" s="22">
        <f>B33*1.12</f>
        <v>21.28</v>
      </c>
      <c r="C36" s="22">
        <f>C33*1.12</f>
        <v>69.440000000000012</v>
      </c>
      <c r="D36" s="22">
        <f>D33*1.12</f>
        <v>141.12</v>
      </c>
    </row>
    <row r="37" spans="1:5" x14ac:dyDescent="0.25">
      <c r="A37" s="7" t="s">
        <v>807</v>
      </c>
      <c r="B37" s="30">
        <f>B34/B33</f>
        <v>0.42105263157894735</v>
      </c>
      <c r="C37" s="30">
        <f>C34/C33</f>
        <v>0.20967741935483872</v>
      </c>
      <c r="D37" s="30">
        <f>D34/D33</f>
        <v>0.16666666666666666</v>
      </c>
    </row>
    <row r="39" spans="1:5" x14ac:dyDescent="0.25">
      <c r="A39" s="4" t="s">
        <v>808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2"/>
  <sheetViews>
    <sheetView workbookViewId="0"/>
  </sheetViews>
  <sheetFormatPr defaultRowHeight="15" x14ac:dyDescent="0.25"/>
  <cols>
    <col min="1" max="1" width="30" customWidth="1"/>
    <col min="2" max="4" width="22" customWidth="1"/>
    <col min="5" max="5" width="30" customWidth="1"/>
  </cols>
  <sheetData>
    <row r="1" spans="1:4" ht="15.75" x14ac:dyDescent="0.25">
      <c r="A1" s="1" t="s">
        <v>809</v>
      </c>
    </row>
    <row r="2" spans="1:4" x14ac:dyDescent="0.25">
      <c r="A2" s="4" t="s">
        <v>810</v>
      </c>
    </row>
    <row r="4" spans="1:4" x14ac:dyDescent="0.25">
      <c r="A4" s="6" t="s">
        <v>811</v>
      </c>
    </row>
    <row r="5" spans="1:4" x14ac:dyDescent="0.25">
      <c r="A5" s="5" t="s">
        <v>812</v>
      </c>
      <c r="B5" s="5" t="s">
        <v>635</v>
      </c>
      <c r="C5" s="5" t="s">
        <v>813</v>
      </c>
      <c r="D5" s="5" t="s">
        <v>814</v>
      </c>
    </row>
    <row r="6" spans="1:4" x14ac:dyDescent="0.25">
      <c r="A6" s="2" t="s">
        <v>815</v>
      </c>
      <c r="B6" s="27">
        <v>62</v>
      </c>
      <c r="C6" s="43">
        <v>0.3</v>
      </c>
      <c r="D6" s="30">
        <f>B6/B12</f>
        <v>0.29807692307692307</v>
      </c>
    </row>
    <row r="7" spans="1:4" x14ac:dyDescent="0.25">
      <c r="A7" s="2" t="s">
        <v>816</v>
      </c>
      <c r="B7" s="27">
        <v>44</v>
      </c>
      <c r="C7" s="43">
        <v>0.21</v>
      </c>
      <c r="D7" s="30">
        <f>B7/B12</f>
        <v>0.21153846153846154</v>
      </c>
    </row>
    <row r="8" spans="1:4" x14ac:dyDescent="0.25">
      <c r="A8" s="2" t="s">
        <v>817</v>
      </c>
      <c r="B8" s="27">
        <v>102</v>
      </c>
      <c r="C8" s="43">
        <v>0.49</v>
      </c>
      <c r="D8" s="30">
        <f>B8/B12</f>
        <v>0.49038461538461536</v>
      </c>
    </row>
    <row r="9" spans="1:4" x14ac:dyDescent="0.25">
      <c r="A9" s="7" t="s">
        <v>818</v>
      </c>
      <c r="B9" s="27">
        <v>15</v>
      </c>
      <c r="C9" s="43">
        <v>7.0000000000000007E-2</v>
      </c>
      <c r="D9" s="30">
        <f>B9/B12</f>
        <v>7.2115384615384609E-2</v>
      </c>
    </row>
    <row r="10" spans="1:4" x14ac:dyDescent="0.25">
      <c r="A10" s="7" t="s">
        <v>819</v>
      </c>
      <c r="B10" s="27">
        <v>53</v>
      </c>
      <c r="C10" s="43">
        <v>0.25</v>
      </c>
      <c r="D10" s="30">
        <f>B10/B12</f>
        <v>0.25480769230769229</v>
      </c>
    </row>
    <row r="11" spans="1:4" x14ac:dyDescent="0.25">
      <c r="A11" s="7" t="s">
        <v>820</v>
      </c>
      <c r="B11" s="27">
        <v>35</v>
      </c>
      <c r="C11" s="43">
        <v>0.17</v>
      </c>
      <c r="D11" s="30">
        <f>B11/B12</f>
        <v>0.16826923076923078</v>
      </c>
    </row>
    <row r="12" spans="1:4" x14ac:dyDescent="0.25">
      <c r="A12" s="2" t="s">
        <v>821</v>
      </c>
      <c r="B12" s="27">
        <v>208</v>
      </c>
      <c r="C12" s="43">
        <v>1</v>
      </c>
      <c r="D12" s="30">
        <f>B12/B12</f>
        <v>1</v>
      </c>
    </row>
    <row r="13" spans="1:4" x14ac:dyDescent="0.25">
      <c r="A13" s="7" t="s">
        <v>822</v>
      </c>
      <c r="B13" s="28">
        <f>B6+B7+B8</f>
        <v>208</v>
      </c>
    </row>
    <row r="14" spans="1:4" x14ac:dyDescent="0.25">
      <c r="A14" s="7" t="s">
        <v>823</v>
      </c>
      <c r="B14" s="28">
        <f>SUM(B9:B11)</f>
        <v>103</v>
      </c>
    </row>
    <row r="16" spans="1:4" x14ac:dyDescent="0.25">
      <c r="A16" s="6" t="s">
        <v>824</v>
      </c>
    </row>
    <row r="17" spans="1:5" x14ac:dyDescent="0.25">
      <c r="A17" s="5" t="s">
        <v>825</v>
      </c>
      <c r="B17" s="5" t="s">
        <v>826</v>
      </c>
      <c r="C17" s="5" t="s">
        <v>827</v>
      </c>
      <c r="D17" s="5" t="s">
        <v>828</v>
      </c>
      <c r="E17" s="5" t="s">
        <v>829</v>
      </c>
    </row>
    <row r="18" spans="1:5" x14ac:dyDescent="0.25">
      <c r="A18" s="2" t="s">
        <v>830</v>
      </c>
      <c r="B18" s="43">
        <v>0.6</v>
      </c>
      <c r="C18" s="43">
        <v>0.28000000000000003</v>
      </c>
      <c r="D18" s="30">
        <f>D7</f>
        <v>0.21153846153846154</v>
      </c>
      <c r="E18" s="28">
        <f>B7*1000/(C18*Fig10_12_TAM!D22)</f>
        <v>2345.415778251599</v>
      </c>
    </row>
    <row r="19" spans="1:5" x14ac:dyDescent="0.25">
      <c r="A19" s="2" t="s">
        <v>831</v>
      </c>
      <c r="B19" s="43">
        <v>0.24</v>
      </c>
      <c r="C19" s="43">
        <v>0.34</v>
      </c>
      <c r="D19" s="30">
        <f>D6</f>
        <v>0.29807692307692307</v>
      </c>
      <c r="E19" s="28">
        <f>B6*1000/(C19*Fig10_12_TAM!D22)</f>
        <v>2721.6856892010533</v>
      </c>
    </row>
    <row r="20" spans="1:5" x14ac:dyDescent="0.25">
      <c r="A20" s="2" t="s">
        <v>832</v>
      </c>
      <c r="B20" s="43">
        <v>0.16</v>
      </c>
      <c r="C20" s="43">
        <v>0.38</v>
      </c>
      <c r="D20" s="30">
        <f>D8</f>
        <v>0.49038461538461536</v>
      </c>
      <c r="E20" s="28">
        <f>B8*1000/(C20*Fig10_12_TAM!D22)</f>
        <v>4006.2843676355064</v>
      </c>
    </row>
    <row r="22" spans="1:5" x14ac:dyDescent="0.25">
      <c r="A22" s="4" t="s">
        <v>833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3"/>
  <sheetViews>
    <sheetView workbookViewId="0"/>
  </sheetViews>
  <sheetFormatPr defaultRowHeight="15" x14ac:dyDescent="0.25"/>
  <cols>
    <col min="1" max="1" width="8" customWidth="1"/>
    <col min="2" max="2" width="24" customWidth="1"/>
    <col min="3" max="3" width="26" customWidth="1"/>
    <col min="4" max="4" width="60" customWidth="1"/>
    <col min="5" max="5" width="20" customWidth="1"/>
    <col min="6" max="7" width="16" customWidth="1"/>
  </cols>
  <sheetData>
    <row r="1" spans="1:7" ht="15.75" x14ac:dyDescent="0.25">
      <c r="A1" s="1" t="s">
        <v>834</v>
      </c>
    </row>
    <row r="2" spans="1:7" x14ac:dyDescent="0.25">
      <c r="A2" s="4" t="s">
        <v>835</v>
      </c>
    </row>
    <row r="4" spans="1:7" x14ac:dyDescent="0.25">
      <c r="A4" s="5" t="s">
        <v>836</v>
      </c>
      <c r="B4" s="5" t="s">
        <v>837</v>
      </c>
      <c r="C4" s="5" t="s">
        <v>838</v>
      </c>
      <c r="D4" s="5" t="s">
        <v>839</v>
      </c>
      <c r="E4" s="5" t="s">
        <v>840</v>
      </c>
      <c r="F4" s="5" t="s">
        <v>841</v>
      </c>
      <c r="G4" s="5" t="s">
        <v>842</v>
      </c>
    </row>
    <row r="5" spans="1:7" x14ac:dyDescent="0.25">
      <c r="A5" s="7" t="s">
        <v>831</v>
      </c>
      <c r="B5" s="7" t="s">
        <v>843</v>
      </c>
      <c r="C5" s="7" t="s">
        <v>844</v>
      </c>
      <c r="D5" s="7" t="s">
        <v>845</v>
      </c>
      <c r="E5" s="7" t="s">
        <v>846</v>
      </c>
      <c r="F5" s="7" t="s">
        <v>847</v>
      </c>
      <c r="G5" s="7" t="s">
        <v>848</v>
      </c>
    </row>
    <row r="6" spans="1:7" x14ac:dyDescent="0.25">
      <c r="A6" s="7" t="s">
        <v>831</v>
      </c>
      <c r="B6" s="7" t="s">
        <v>849</v>
      </c>
      <c r="C6" s="7" t="s">
        <v>850</v>
      </c>
      <c r="D6" s="7" t="s">
        <v>851</v>
      </c>
      <c r="E6" s="7" t="s">
        <v>852</v>
      </c>
      <c r="F6" s="7" t="s">
        <v>853</v>
      </c>
      <c r="G6" s="7" t="s">
        <v>854</v>
      </c>
    </row>
    <row r="7" spans="1:7" x14ac:dyDescent="0.25">
      <c r="A7" s="7" t="s">
        <v>831</v>
      </c>
      <c r="B7" s="7" t="s">
        <v>855</v>
      </c>
      <c r="C7" s="7" t="s">
        <v>856</v>
      </c>
      <c r="D7" s="7" t="s">
        <v>857</v>
      </c>
      <c r="E7" s="7" t="s">
        <v>858</v>
      </c>
      <c r="F7" s="7" t="s">
        <v>854</v>
      </c>
      <c r="G7" s="7" t="s">
        <v>859</v>
      </c>
    </row>
    <row r="8" spans="1:7" x14ac:dyDescent="0.25">
      <c r="A8" s="7" t="s">
        <v>831</v>
      </c>
      <c r="B8" s="7" t="s">
        <v>860</v>
      </c>
      <c r="C8" s="7" t="s">
        <v>861</v>
      </c>
      <c r="D8" s="7" t="s">
        <v>862</v>
      </c>
      <c r="E8" s="7" t="s">
        <v>863</v>
      </c>
      <c r="F8" s="7" t="s">
        <v>864</v>
      </c>
      <c r="G8" s="7" t="s">
        <v>865</v>
      </c>
    </row>
    <row r="9" spans="1:7" x14ac:dyDescent="0.25">
      <c r="A9" s="7" t="s">
        <v>831</v>
      </c>
      <c r="B9" s="7" t="s">
        <v>866</v>
      </c>
      <c r="C9" s="7" t="s">
        <v>867</v>
      </c>
      <c r="D9" s="7" t="s">
        <v>868</v>
      </c>
      <c r="E9" s="7" t="s">
        <v>869</v>
      </c>
      <c r="F9" s="7" t="s">
        <v>870</v>
      </c>
      <c r="G9" s="7" t="s">
        <v>871</v>
      </c>
    </row>
    <row r="10" spans="1:7" x14ac:dyDescent="0.25">
      <c r="A10" s="7" t="s">
        <v>831</v>
      </c>
      <c r="B10" s="7" t="s">
        <v>872</v>
      </c>
      <c r="C10" s="7" t="s">
        <v>873</v>
      </c>
      <c r="D10" s="7" t="s">
        <v>874</v>
      </c>
      <c r="E10" s="7" t="s">
        <v>875</v>
      </c>
      <c r="F10" s="7" t="s">
        <v>876</v>
      </c>
      <c r="G10" s="7" t="s">
        <v>877</v>
      </c>
    </row>
    <row r="11" spans="1:7" x14ac:dyDescent="0.25">
      <c r="A11" s="7" t="s">
        <v>831</v>
      </c>
      <c r="B11" s="7" t="s">
        <v>878</v>
      </c>
      <c r="C11" s="7" t="s">
        <v>879</v>
      </c>
      <c r="D11" s="7" t="s">
        <v>880</v>
      </c>
      <c r="E11" s="7" t="s">
        <v>881</v>
      </c>
      <c r="F11" s="7" t="s">
        <v>882</v>
      </c>
      <c r="G11" s="7" t="s">
        <v>883</v>
      </c>
    </row>
    <row r="12" spans="1:7" x14ac:dyDescent="0.25">
      <c r="A12" s="7" t="s">
        <v>830</v>
      </c>
      <c r="B12" s="7" t="s">
        <v>884</v>
      </c>
      <c r="C12" s="7" t="s">
        <v>885</v>
      </c>
      <c r="D12" s="7" t="s">
        <v>886</v>
      </c>
      <c r="E12" s="7" t="s">
        <v>887</v>
      </c>
      <c r="F12" s="7" t="s">
        <v>847</v>
      </c>
      <c r="G12" s="7" t="s">
        <v>888</v>
      </c>
    </row>
    <row r="13" spans="1:7" x14ac:dyDescent="0.25">
      <c r="A13" s="7" t="s">
        <v>830</v>
      </c>
      <c r="B13" s="7" t="s">
        <v>884</v>
      </c>
      <c r="C13" s="7" t="s">
        <v>885</v>
      </c>
      <c r="D13" s="7" t="s">
        <v>889</v>
      </c>
      <c r="E13" s="7" t="s">
        <v>890</v>
      </c>
      <c r="F13" s="7" t="s">
        <v>848</v>
      </c>
      <c r="G13" s="7" t="s">
        <v>891</v>
      </c>
    </row>
    <row r="14" spans="1:7" x14ac:dyDescent="0.25">
      <c r="A14" s="7" t="s">
        <v>830</v>
      </c>
      <c r="B14" s="7" t="s">
        <v>892</v>
      </c>
      <c r="C14" s="7" t="s">
        <v>885</v>
      </c>
      <c r="D14" s="7" t="s">
        <v>893</v>
      </c>
      <c r="E14" s="7" t="s">
        <v>890</v>
      </c>
      <c r="F14" s="7" t="s">
        <v>894</v>
      </c>
      <c r="G14" s="7" t="s">
        <v>894</v>
      </c>
    </row>
    <row r="15" spans="1:7" x14ac:dyDescent="0.25">
      <c r="A15" s="7" t="s">
        <v>830</v>
      </c>
      <c r="B15" s="7" t="s">
        <v>895</v>
      </c>
      <c r="C15" s="7" t="s">
        <v>885</v>
      </c>
      <c r="D15" s="7" t="s">
        <v>896</v>
      </c>
      <c r="E15" s="7" t="s">
        <v>897</v>
      </c>
      <c r="F15" s="7" t="s">
        <v>898</v>
      </c>
      <c r="G15" s="7" t="s">
        <v>899</v>
      </c>
    </row>
    <row r="16" spans="1:7" x14ac:dyDescent="0.25">
      <c r="A16" s="7" t="s">
        <v>830</v>
      </c>
      <c r="B16" s="7" t="s">
        <v>900</v>
      </c>
      <c r="C16" s="7" t="s">
        <v>885</v>
      </c>
      <c r="D16" s="7" t="s">
        <v>901</v>
      </c>
      <c r="E16" s="7" t="s">
        <v>902</v>
      </c>
      <c r="F16" s="7" t="s">
        <v>903</v>
      </c>
      <c r="G16" s="7" t="s">
        <v>904</v>
      </c>
    </row>
    <row r="17" spans="1:7" x14ac:dyDescent="0.25">
      <c r="A17" s="7" t="s">
        <v>830</v>
      </c>
      <c r="B17" s="7" t="s">
        <v>905</v>
      </c>
      <c r="C17" s="7" t="s">
        <v>885</v>
      </c>
      <c r="D17" s="7" t="s">
        <v>906</v>
      </c>
      <c r="E17" s="7" t="s">
        <v>902</v>
      </c>
      <c r="F17" s="7" t="s">
        <v>907</v>
      </c>
      <c r="G17" s="7" t="s">
        <v>908</v>
      </c>
    </row>
    <row r="18" spans="1:7" x14ac:dyDescent="0.25">
      <c r="A18" s="7" t="s">
        <v>830</v>
      </c>
      <c r="B18" s="7" t="s">
        <v>909</v>
      </c>
      <c r="C18" s="7" t="s">
        <v>910</v>
      </c>
      <c r="D18" s="7" t="s">
        <v>911</v>
      </c>
      <c r="E18" s="7" t="s">
        <v>912</v>
      </c>
      <c r="F18" s="7" t="s">
        <v>865</v>
      </c>
      <c r="G18" s="7" t="s">
        <v>913</v>
      </c>
    </row>
    <row r="19" spans="1:7" x14ac:dyDescent="0.25">
      <c r="A19" s="7" t="s">
        <v>830</v>
      </c>
      <c r="B19" s="7" t="s">
        <v>909</v>
      </c>
      <c r="C19" s="7" t="s">
        <v>914</v>
      </c>
      <c r="D19" s="7" t="s">
        <v>915</v>
      </c>
      <c r="E19" s="7" t="s">
        <v>912</v>
      </c>
      <c r="F19" s="7" t="s">
        <v>865</v>
      </c>
      <c r="G19" s="7" t="s">
        <v>916</v>
      </c>
    </row>
    <row r="20" spans="1:7" x14ac:dyDescent="0.25">
      <c r="A20" s="7" t="s">
        <v>830</v>
      </c>
      <c r="B20" s="7" t="s">
        <v>917</v>
      </c>
      <c r="C20" s="7" t="s">
        <v>910</v>
      </c>
      <c r="D20" s="7" t="s">
        <v>918</v>
      </c>
      <c r="E20" s="7" t="s">
        <v>919</v>
      </c>
      <c r="F20" s="7" t="s">
        <v>871</v>
      </c>
      <c r="G20" s="7" t="s">
        <v>920</v>
      </c>
    </row>
    <row r="21" spans="1:7" x14ac:dyDescent="0.25">
      <c r="A21" s="7" t="s">
        <v>830</v>
      </c>
      <c r="B21" s="7" t="s">
        <v>921</v>
      </c>
      <c r="C21" s="7" t="s">
        <v>914</v>
      </c>
      <c r="D21" s="7" t="s">
        <v>922</v>
      </c>
      <c r="E21" s="7" t="s">
        <v>923</v>
      </c>
      <c r="F21" s="7" t="s">
        <v>924</v>
      </c>
      <c r="G21" s="7" t="s">
        <v>882</v>
      </c>
    </row>
    <row r="22" spans="1:7" x14ac:dyDescent="0.25">
      <c r="A22" s="7" t="s">
        <v>830</v>
      </c>
      <c r="B22" s="7" t="s">
        <v>925</v>
      </c>
      <c r="C22" s="7" t="s">
        <v>914</v>
      </c>
      <c r="D22" s="7" t="s">
        <v>926</v>
      </c>
      <c r="E22" s="7" t="s">
        <v>919</v>
      </c>
      <c r="F22" s="7" t="s">
        <v>927</v>
      </c>
      <c r="G22" s="7" t="s">
        <v>883</v>
      </c>
    </row>
    <row r="23" spans="1:7" x14ac:dyDescent="0.25">
      <c r="A23" s="7" t="s">
        <v>928</v>
      </c>
      <c r="B23" s="7" t="s">
        <v>843</v>
      </c>
      <c r="C23" s="7" t="s">
        <v>929</v>
      </c>
      <c r="D23" s="7" t="s">
        <v>930</v>
      </c>
      <c r="E23" s="7" t="s">
        <v>931</v>
      </c>
      <c r="F23" s="7" t="s">
        <v>904</v>
      </c>
      <c r="G23" s="7" t="s">
        <v>871</v>
      </c>
    </row>
    <row r="24" spans="1:7" x14ac:dyDescent="0.25">
      <c r="A24" s="7" t="s">
        <v>928</v>
      </c>
      <c r="B24" s="7" t="s">
        <v>932</v>
      </c>
      <c r="C24" s="7" t="s">
        <v>933</v>
      </c>
      <c r="D24" s="7" t="s">
        <v>934</v>
      </c>
      <c r="E24" s="7" t="s">
        <v>869</v>
      </c>
      <c r="F24" s="7" t="s">
        <v>876</v>
      </c>
      <c r="G24" s="7" t="s">
        <v>882</v>
      </c>
    </row>
    <row r="25" spans="1:7" x14ac:dyDescent="0.25">
      <c r="A25" s="7" t="s">
        <v>928</v>
      </c>
      <c r="B25" s="7" t="s">
        <v>935</v>
      </c>
      <c r="C25" s="7" t="s">
        <v>936</v>
      </c>
      <c r="D25" s="7" t="s">
        <v>937</v>
      </c>
      <c r="E25" s="7" t="s">
        <v>875</v>
      </c>
      <c r="F25" s="7" t="s">
        <v>938</v>
      </c>
      <c r="G25" s="7" t="s">
        <v>883</v>
      </c>
    </row>
    <row r="26" spans="1:7" x14ac:dyDescent="0.25">
      <c r="A26" s="7" t="s">
        <v>832</v>
      </c>
      <c r="B26" s="7" t="s">
        <v>843</v>
      </c>
      <c r="C26" s="7" t="s">
        <v>939</v>
      </c>
      <c r="D26" s="7" t="s">
        <v>940</v>
      </c>
      <c r="E26" s="7" t="s">
        <v>941</v>
      </c>
      <c r="F26" s="7" t="s">
        <v>942</v>
      </c>
      <c r="G26" s="7" t="s">
        <v>920</v>
      </c>
    </row>
    <row r="27" spans="1:7" x14ac:dyDescent="0.25">
      <c r="A27" s="7" t="s">
        <v>832</v>
      </c>
      <c r="B27" s="7" t="s">
        <v>849</v>
      </c>
      <c r="C27" s="7" t="s">
        <v>943</v>
      </c>
      <c r="D27" s="7" t="s">
        <v>943</v>
      </c>
      <c r="E27" s="7" t="s">
        <v>943</v>
      </c>
      <c r="F27" s="7" t="s">
        <v>944</v>
      </c>
      <c r="G27" s="7" t="s">
        <v>883</v>
      </c>
    </row>
    <row r="28" spans="1:7" x14ac:dyDescent="0.25">
      <c r="A28" s="7" t="s">
        <v>945</v>
      </c>
      <c r="B28" s="7" t="s">
        <v>946</v>
      </c>
      <c r="C28" s="7" t="s">
        <v>947</v>
      </c>
      <c r="D28" s="7" t="s">
        <v>885</v>
      </c>
      <c r="E28" s="7" t="s">
        <v>948</v>
      </c>
      <c r="F28" s="7" t="s">
        <v>949</v>
      </c>
      <c r="G28" s="7" t="s">
        <v>949</v>
      </c>
    </row>
    <row r="29" spans="1:7" x14ac:dyDescent="0.25">
      <c r="A29" s="7" t="s">
        <v>945</v>
      </c>
      <c r="B29" s="7" t="s">
        <v>950</v>
      </c>
      <c r="C29" s="7" t="s">
        <v>951</v>
      </c>
      <c r="D29" s="7" t="s">
        <v>952</v>
      </c>
      <c r="E29" s="7" t="s">
        <v>885</v>
      </c>
      <c r="F29" s="7" t="s">
        <v>882</v>
      </c>
      <c r="G29" s="7" t="s">
        <v>883</v>
      </c>
    </row>
    <row r="30" spans="1:7" x14ac:dyDescent="0.25">
      <c r="A30" s="7" t="s">
        <v>953</v>
      </c>
      <c r="B30" s="7" t="s">
        <v>954</v>
      </c>
      <c r="C30" s="7" t="s">
        <v>955</v>
      </c>
      <c r="D30" s="7" t="s">
        <v>956</v>
      </c>
      <c r="E30" s="7" t="s">
        <v>957</v>
      </c>
      <c r="F30" s="7" t="s">
        <v>949</v>
      </c>
      <c r="G30" s="7" t="s">
        <v>958</v>
      </c>
    </row>
    <row r="31" spans="1:7" x14ac:dyDescent="0.25">
      <c r="A31" s="7" t="s">
        <v>953</v>
      </c>
      <c r="B31" s="7" t="s">
        <v>959</v>
      </c>
      <c r="C31" s="7" t="s">
        <v>960</v>
      </c>
      <c r="D31" s="7" t="s">
        <v>961</v>
      </c>
      <c r="E31" s="7" t="s">
        <v>858</v>
      </c>
      <c r="F31" s="7" t="s">
        <v>894</v>
      </c>
      <c r="G31" s="7" t="s">
        <v>898</v>
      </c>
    </row>
    <row r="32" spans="1:7" x14ac:dyDescent="0.25">
      <c r="A32" s="7" t="s">
        <v>953</v>
      </c>
      <c r="B32" s="7" t="s">
        <v>962</v>
      </c>
      <c r="C32" s="7" t="s">
        <v>963</v>
      </c>
      <c r="D32" s="7" t="s">
        <v>964</v>
      </c>
      <c r="E32" s="7" t="s">
        <v>863</v>
      </c>
      <c r="F32" s="7" t="s">
        <v>965</v>
      </c>
      <c r="G32" s="7" t="s">
        <v>904</v>
      </c>
    </row>
    <row r="33" spans="1:7" x14ac:dyDescent="0.25">
      <c r="A33" s="7" t="s">
        <v>953</v>
      </c>
      <c r="B33" s="7" t="s">
        <v>966</v>
      </c>
      <c r="C33" s="7" t="s">
        <v>967</v>
      </c>
      <c r="D33" s="7" t="s">
        <v>968</v>
      </c>
      <c r="E33" s="7" t="s">
        <v>863</v>
      </c>
      <c r="F33" s="7" t="s">
        <v>907</v>
      </c>
      <c r="G33" s="7" t="s">
        <v>969</v>
      </c>
    </row>
    <row r="34" spans="1:7" x14ac:dyDescent="0.25">
      <c r="A34" s="7" t="s">
        <v>953</v>
      </c>
      <c r="B34" s="7" t="s">
        <v>970</v>
      </c>
      <c r="C34" s="7" t="s">
        <v>971</v>
      </c>
      <c r="D34" s="7" t="s">
        <v>972</v>
      </c>
      <c r="E34" s="7" t="s">
        <v>941</v>
      </c>
      <c r="F34" s="7" t="s">
        <v>973</v>
      </c>
      <c r="G34" s="7" t="s">
        <v>924</v>
      </c>
    </row>
    <row r="35" spans="1:7" x14ac:dyDescent="0.25">
      <c r="A35" s="7" t="s">
        <v>953</v>
      </c>
      <c r="B35" s="7" t="s">
        <v>974</v>
      </c>
      <c r="C35" s="7" t="s">
        <v>975</v>
      </c>
      <c r="D35" s="7" t="s">
        <v>976</v>
      </c>
      <c r="E35" s="7" t="s">
        <v>977</v>
      </c>
      <c r="F35" s="7" t="s">
        <v>920</v>
      </c>
      <c r="G35" s="7" t="s">
        <v>883</v>
      </c>
    </row>
    <row r="36" spans="1:7" x14ac:dyDescent="0.25">
      <c r="A36" s="7" t="s">
        <v>978</v>
      </c>
      <c r="B36" s="7" t="s">
        <v>954</v>
      </c>
      <c r="C36" s="7" t="s">
        <v>979</v>
      </c>
      <c r="D36" s="7" t="s">
        <v>980</v>
      </c>
      <c r="E36" s="7" t="s">
        <v>863</v>
      </c>
      <c r="F36" s="7" t="s">
        <v>282</v>
      </c>
      <c r="G36" s="7" t="s">
        <v>969</v>
      </c>
    </row>
    <row r="37" spans="1:7" x14ac:dyDescent="0.25">
      <c r="A37" s="7" t="s">
        <v>978</v>
      </c>
      <c r="B37" s="7" t="s">
        <v>959</v>
      </c>
      <c r="C37" s="7" t="s">
        <v>981</v>
      </c>
      <c r="D37" s="7" t="s">
        <v>982</v>
      </c>
      <c r="E37" s="7" t="s">
        <v>941</v>
      </c>
      <c r="F37" s="7" t="s">
        <v>973</v>
      </c>
      <c r="G37" s="7" t="s">
        <v>924</v>
      </c>
    </row>
    <row r="38" spans="1:7" x14ac:dyDescent="0.25">
      <c r="A38" s="7" t="s">
        <v>978</v>
      </c>
      <c r="B38" s="7" t="s">
        <v>983</v>
      </c>
      <c r="C38" s="7" t="s">
        <v>984</v>
      </c>
      <c r="D38" s="7" t="s">
        <v>985</v>
      </c>
      <c r="E38" s="7" t="s">
        <v>977</v>
      </c>
      <c r="F38" s="7" t="s">
        <v>920</v>
      </c>
      <c r="G38" s="7" t="s">
        <v>883</v>
      </c>
    </row>
    <row r="39" spans="1:7" x14ac:dyDescent="0.25">
      <c r="A39" s="7" t="s">
        <v>986</v>
      </c>
      <c r="B39" s="7" t="s">
        <v>954</v>
      </c>
      <c r="C39" s="7" t="s">
        <v>967</v>
      </c>
      <c r="D39" s="7" t="s">
        <v>987</v>
      </c>
      <c r="E39" s="7" t="s">
        <v>863</v>
      </c>
      <c r="F39" s="7" t="s">
        <v>908</v>
      </c>
      <c r="G39" s="7" t="s">
        <v>969</v>
      </c>
    </row>
    <row r="40" spans="1:7" x14ac:dyDescent="0.25">
      <c r="A40" s="7" t="s">
        <v>986</v>
      </c>
      <c r="B40" s="7" t="s">
        <v>959</v>
      </c>
      <c r="C40" s="7" t="s">
        <v>988</v>
      </c>
      <c r="D40" s="7" t="s">
        <v>989</v>
      </c>
      <c r="E40" s="7" t="s">
        <v>941</v>
      </c>
      <c r="F40" s="7" t="s">
        <v>973</v>
      </c>
      <c r="G40" s="7" t="s">
        <v>924</v>
      </c>
    </row>
    <row r="41" spans="1:7" x14ac:dyDescent="0.25">
      <c r="A41" s="7" t="s">
        <v>986</v>
      </c>
      <c r="B41" s="7" t="s">
        <v>983</v>
      </c>
      <c r="C41" s="7" t="s">
        <v>990</v>
      </c>
      <c r="D41" s="7" t="s">
        <v>991</v>
      </c>
      <c r="E41" s="7" t="s">
        <v>977</v>
      </c>
      <c r="F41" s="7" t="s">
        <v>920</v>
      </c>
      <c r="G41" s="7" t="s">
        <v>883</v>
      </c>
    </row>
    <row r="43" spans="1:7" x14ac:dyDescent="0.25">
      <c r="A43" s="4" t="s">
        <v>992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3"/>
  <sheetViews>
    <sheetView workbookViewId="0"/>
  </sheetViews>
  <sheetFormatPr defaultRowHeight="15" x14ac:dyDescent="0.25"/>
  <cols>
    <col min="1" max="1" width="22" customWidth="1"/>
    <col min="2" max="10" width="24" customWidth="1"/>
  </cols>
  <sheetData>
    <row r="1" spans="1:10" ht="15.75" x14ac:dyDescent="0.25">
      <c r="A1" s="1" t="s">
        <v>993</v>
      </c>
    </row>
    <row r="2" spans="1:10" x14ac:dyDescent="0.25">
      <c r="A2" s="4" t="s">
        <v>994</v>
      </c>
    </row>
    <row r="4" spans="1:10" x14ac:dyDescent="0.25">
      <c r="A4" s="5" t="s">
        <v>995</v>
      </c>
      <c r="B4" s="5" t="s">
        <v>996</v>
      </c>
      <c r="C4" s="5" t="s">
        <v>997</v>
      </c>
      <c r="D4" s="5" t="s">
        <v>998</v>
      </c>
      <c r="E4" s="5" t="s">
        <v>999</v>
      </c>
      <c r="F4" s="5" t="s">
        <v>1000</v>
      </c>
      <c r="G4" s="5" t="s">
        <v>1001</v>
      </c>
      <c r="H4" s="5" t="s">
        <v>1002</v>
      </c>
      <c r="I4" s="5" t="s">
        <v>1003</v>
      </c>
      <c r="J4" s="5" t="s">
        <v>1004</v>
      </c>
    </row>
    <row r="5" spans="1:10" ht="30" customHeight="1" x14ac:dyDescent="0.25">
      <c r="A5" s="2" t="s">
        <v>840</v>
      </c>
      <c r="B5" s="3" t="s">
        <v>1005</v>
      </c>
      <c r="C5" s="3" t="s">
        <v>1006</v>
      </c>
      <c r="D5" s="3" t="s">
        <v>1007</v>
      </c>
      <c r="E5" s="3" t="s">
        <v>885</v>
      </c>
      <c r="F5" s="3" t="s">
        <v>1008</v>
      </c>
      <c r="G5" s="3" t="s">
        <v>869</v>
      </c>
      <c r="H5" s="3" t="s">
        <v>869</v>
      </c>
      <c r="I5" s="3" t="s">
        <v>885</v>
      </c>
      <c r="J5" s="3" t="s">
        <v>869</v>
      </c>
    </row>
    <row r="6" spans="1:10" ht="30" customHeight="1" x14ac:dyDescent="0.25">
      <c r="A6" s="2" t="s">
        <v>1009</v>
      </c>
      <c r="B6" s="3" t="s">
        <v>1010</v>
      </c>
      <c r="C6" s="3" t="s">
        <v>1011</v>
      </c>
      <c r="D6" s="3" t="s">
        <v>1012</v>
      </c>
      <c r="E6" s="3" t="s">
        <v>1013</v>
      </c>
      <c r="F6" s="3" t="s">
        <v>1014</v>
      </c>
      <c r="G6" s="3" t="s">
        <v>1015</v>
      </c>
      <c r="H6" s="3" t="s">
        <v>1014</v>
      </c>
      <c r="I6" s="3" t="s">
        <v>1016</v>
      </c>
      <c r="J6" s="3" t="s">
        <v>885</v>
      </c>
    </row>
    <row r="7" spans="1:10" ht="30" customHeight="1" x14ac:dyDescent="0.25">
      <c r="A7" s="2" t="s">
        <v>1017</v>
      </c>
      <c r="B7" s="3" t="s">
        <v>1018</v>
      </c>
      <c r="C7" s="3" t="s">
        <v>1019</v>
      </c>
      <c r="D7" s="3" t="s">
        <v>885</v>
      </c>
      <c r="E7" s="3" t="s">
        <v>885</v>
      </c>
      <c r="F7" s="3" t="s">
        <v>1020</v>
      </c>
      <c r="G7" s="3" t="s">
        <v>885</v>
      </c>
      <c r="H7" s="3" t="s">
        <v>885</v>
      </c>
      <c r="I7" s="3" t="s">
        <v>885</v>
      </c>
      <c r="J7" s="3" t="s">
        <v>885</v>
      </c>
    </row>
    <row r="8" spans="1:10" ht="30" customHeight="1" x14ac:dyDescent="0.25">
      <c r="A8" s="2" t="s">
        <v>1021</v>
      </c>
      <c r="B8" s="3" t="s">
        <v>1022</v>
      </c>
      <c r="C8" s="3" t="s">
        <v>1023</v>
      </c>
      <c r="D8" s="3" t="s">
        <v>885</v>
      </c>
      <c r="E8" s="3" t="s">
        <v>885</v>
      </c>
      <c r="F8" s="3" t="s">
        <v>1024</v>
      </c>
      <c r="G8" s="3" t="s">
        <v>885</v>
      </c>
      <c r="H8" s="3" t="s">
        <v>885</v>
      </c>
      <c r="I8" s="3" t="s">
        <v>885</v>
      </c>
      <c r="J8" s="3" t="s">
        <v>885</v>
      </c>
    </row>
    <row r="9" spans="1:10" ht="30" customHeight="1" x14ac:dyDescent="0.25">
      <c r="A9" s="2" t="s">
        <v>1025</v>
      </c>
      <c r="B9" s="3" t="s">
        <v>1026</v>
      </c>
      <c r="C9" s="3" t="s">
        <v>1027</v>
      </c>
      <c r="D9" s="3" t="s">
        <v>1028</v>
      </c>
      <c r="E9" s="3" t="s">
        <v>1029</v>
      </c>
      <c r="F9" s="3" t="s">
        <v>1030</v>
      </c>
      <c r="G9" s="3" t="s">
        <v>885</v>
      </c>
      <c r="H9" s="3" t="s">
        <v>885</v>
      </c>
      <c r="I9" s="3" t="s">
        <v>885</v>
      </c>
      <c r="J9" s="3" t="s">
        <v>885</v>
      </c>
    </row>
    <row r="10" spans="1:10" ht="30" customHeight="1" x14ac:dyDescent="0.25">
      <c r="A10" s="2" t="s">
        <v>1031</v>
      </c>
      <c r="B10" s="3" t="s">
        <v>1032</v>
      </c>
      <c r="C10" s="3" t="s">
        <v>1033</v>
      </c>
      <c r="D10" s="3" t="s">
        <v>1034</v>
      </c>
      <c r="E10" s="3" t="s">
        <v>1035</v>
      </c>
      <c r="F10" s="3" t="s">
        <v>971</v>
      </c>
      <c r="G10" s="3" t="s">
        <v>971</v>
      </c>
      <c r="H10" s="3" t="s">
        <v>971</v>
      </c>
      <c r="I10" s="3" t="s">
        <v>1036</v>
      </c>
      <c r="J10" s="3" t="s">
        <v>971</v>
      </c>
    </row>
    <row r="11" spans="1:10" ht="30" customHeight="1" x14ac:dyDescent="0.25">
      <c r="A11" s="2" t="s">
        <v>1037</v>
      </c>
      <c r="B11" s="3" t="s">
        <v>1038</v>
      </c>
      <c r="C11" s="3" t="s">
        <v>1039</v>
      </c>
      <c r="D11" s="3" t="s">
        <v>1040</v>
      </c>
      <c r="E11" s="3" t="s">
        <v>1041</v>
      </c>
      <c r="F11" s="3" t="s">
        <v>1042</v>
      </c>
      <c r="G11" s="3" t="s">
        <v>1043</v>
      </c>
      <c r="H11" s="3" t="s">
        <v>1044</v>
      </c>
      <c r="I11" s="3" t="s">
        <v>1045</v>
      </c>
      <c r="J11" s="3" t="s">
        <v>885</v>
      </c>
    </row>
    <row r="12" spans="1:10" ht="30" customHeight="1" x14ac:dyDescent="0.25">
      <c r="A12" s="2" t="s">
        <v>1046</v>
      </c>
      <c r="B12" s="3" t="s">
        <v>1047</v>
      </c>
      <c r="C12" s="3" t="s">
        <v>1039</v>
      </c>
      <c r="D12" s="3" t="s">
        <v>885</v>
      </c>
      <c r="E12" s="3" t="s">
        <v>1048</v>
      </c>
      <c r="F12" s="3" t="s">
        <v>885</v>
      </c>
      <c r="G12" s="3" t="s">
        <v>885</v>
      </c>
      <c r="H12" s="3" t="s">
        <v>885</v>
      </c>
      <c r="I12" s="3" t="s">
        <v>885</v>
      </c>
      <c r="J12" s="3" t="s">
        <v>885</v>
      </c>
    </row>
    <row r="13" spans="1:10" ht="30" customHeight="1" x14ac:dyDescent="0.25">
      <c r="A13" s="2" t="s">
        <v>1049</v>
      </c>
      <c r="B13" s="3" t="s">
        <v>1050</v>
      </c>
      <c r="C13" s="3" t="s">
        <v>1051</v>
      </c>
      <c r="D13" s="3" t="s">
        <v>885</v>
      </c>
      <c r="E13" s="3" t="s">
        <v>1052</v>
      </c>
      <c r="F13" s="3" t="s">
        <v>885</v>
      </c>
      <c r="G13" s="3" t="s">
        <v>885</v>
      </c>
      <c r="H13" s="3" t="s">
        <v>885</v>
      </c>
      <c r="I13" s="3" t="s">
        <v>885</v>
      </c>
      <c r="J13" s="3" t="s">
        <v>885</v>
      </c>
    </row>
    <row r="14" spans="1:10" ht="30" customHeight="1" x14ac:dyDescent="0.25">
      <c r="A14" s="2" t="s">
        <v>1053</v>
      </c>
      <c r="B14" s="3" t="s">
        <v>1054</v>
      </c>
      <c r="C14" s="3" t="s">
        <v>1055</v>
      </c>
      <c r="D14" s="3" t="s">
        <v>885</v>
      </c>
      <c r="E14" s="3" t="s">
        <v>1056</v>
      </c>
      <c r="F14" s="3" t="s">
        <v>1057</v>
      </c>
      <c r="G14" s="3" t="s">
        <v>885</v>
      </c>
      <c r="H14" s="3" t="s">
        <v>885</v>
      </c>
      <c r="I14" s="3" t="s">
        <v>885</v>
      </c>
      <c r="J14" s="3" t="s">
        <v>885</v>
      </c>
    </row>
    <row r="15" spans="1:10" ht="30" customHeight="1" x14ac:dyDescent="0.25">
      <c r="A15" s="2" t="s">
        <v>1058</v>
      </c>
      <c r="B15" s="3" t="s">
        <v>1059</v>
      </c>
      <c r="C15" s="3" t="s">
        <v>1060</v>
      </c>
      <c r="D15" s="3" t="s">
        <v>1061</v>
      </c>
      <c r="E15" s="3" t="s">
        <v>1062</v>
      </c>
      <c r="F15" s="3" t="s">
        <v>1063</v>
      </c>
      <c r="G15" s="3" t="s">
        <v>1015</v>
      </c>
      <c r="H15" s="3" t="s">
        <v>1064</v>
      </c>
      <c r="I15" s="3" t="s">
        <v>1016</v>
      </c>
      <c r="J15" s="3" t="s">
        <v>885</v>
      </c>
    </row>
    <row r="16" spans="1:10" ht="30" customHeight="1" x14ac:dyDescent="0.25">
      <c r="A16" s="2" t="s">
        <v>1065</v>
      </c>
      <c r="B16" s="3" t="s">
        <v>1066</v>
      </c>
      <c r="C16" s="3" t="s">
        <v>1067</v>
      </c>
      <c r="D16" s="3" t="s">
        <v>1068</v>
      </c>
      <c r="E16" s="3" t="s">
        <v>1069</v>
      </c>
      <c r="F16" s="3" t="s">
        <v>1070</v>
      </c>
      <c r="G16" s="3" t="s">
        <v>1071</v>
      </c>
      <c r="H16" s="3" t="s">
        <v>1071</v>
      </c>
      <c r="I16" s="3" t="s">
        <v>885</v>
      </c>
      <c r="J16" s="3" t="s">
        <v>885</v>
      </c>
    </row>
    <row r="17" spans="1:10" ht="30" customHeight="1" x14ac:dyDescent="0.25">
      <c r="A17" s="2" t="s">
        <v>1072</v>
      </c>
      <c r="B17" s="3" t="s">
        <v>1073</v>
      </c>
      <c r="C17" s="3" t="s">
        <v>1074</v>
      </c>
      <c r="D17" s="3" t="s">
        <v>1073</v>
      </c>
      <c r="E17" s="3" t="s">
        <v>1075</v>
      </c>
      <c r="F17" s="3" t="s">
        <v>1074</v>
      </c>
      <c r="G17" s="3" t="s">
        <v>1076</v>
      </c>
      <c r="H17" s="3" t="s">
        <v>1077</v>
      </c>
      <c r="I17" s="3" t="s">
        <v>885</v>
      </c>
      <c r="J17" s="3" t="s">
        <v>1077</v>
      </c>
    </row>
    <row r="18" spans="1:10" ht="30" customHeight="1" x14ac:dyDescent="0.25">
      <c r="A18" s="2" t="s">
        <v>1078</v>
      </c>
      <c r="B18" s="3" t="s">
        <v>1079</v>
      </c>
      <c r="C18" s="3" t="s">
        <v>1080</v>
      </c>
      <c r="D18" s="3" t="s">
        <v>1081</v>
      </c>
      <c r="E18" s="3" t="s">
        <v>1082</v>
      </c>
      <c r="F18" s="3" t="s">
        <v>1083</v>
      </c>
      <c r="G18" s="3" t="s">
        <v>1084</v>
      </c>
      <c r="H18" s="3" t="s">
        <v>885</v>
      </c>
      <c r="I18" s="3" t="s">
        <v>885</v>
      </c>
      <c r="J18" s="3" t="s">
        <v>885</v>
      </c>
    </row>
    <row r="19" spans="1:10" ht="30" customHeight="1" x14ac:dyDescent="0.25">
      <c r="A19" s="2" t="s">
        <v>1085</v>
      </c>
      <c r="B19" s="3" t="s">
        <v>1086</v>
      </c>
      <c r="C19" s="3" t="s">
        <v>1087</v>
      </c>
      <c r="D19" s="3" t="s">
        <v>1088</v>
      </c>
      <c r="E19" s="3" t="s">
        <v>1089</v>
      </c>
      <c r="F19" s="3" t="s">
        <v>1090</v>
      </c>
      <c r="G19" s="3" t="s">
        <v>1091</v>
      </c>
      <c r="H19" s="3" t="s">
        <v>885</v>
      </c>
      <c r="I19" s="3" t="s">
        <v>1092</v>
      </c>
      <c r="J19" s="3" t="s">
        <v>885</v>
      </c>
    </row>
    <row r="20" spans="1:10" ht="30" customHeight="1" x14ac:dyDescent="0.25">
      <c r="A20" s="2" t="s">
        <v>1093</v>
      </c>
      <c r="B20" s="3" t="s">
        <v>1094</v>
      </c>
      <c r="C20" s="3" t="s">
        <v>1095</v>
      </c>
      <c r="D20" s="3" t="s">
        <v>1096</v>
      </c>
      <c r="E20" s="3" t="s">
        <v>1094</v>
      </c>
      <c r="F20" s="3" t="s">
        <v>1097</v>
      </c>
      <c r="G20" s="3" t="s">
        <v>885</v>
      </c>
      <c r="H20" s="3" t="s">
        <v>885</v>
      </c>
      <c r="I20" s="3" t="s">
        <v>885</v>
      </c>
      <c r="J20" s="3" t="s">
        <v>885</v>
      </c>
    </row>
    <row r="21" spans="1:10" ht="30" customHeight="1" x14ac:dyDescent="0.25">
      <c r="A21" s="2" t="s">
        <v>1098</v>
      </c>
      <c r="B21" s="3" t="s">
        <v>885</v>
      </c>
      <c r="C21" s="3" t="s">
        <v>1099</v>
      </c>
      <c r="D21" s="3" t="s">
        <v>1100</v>
      </c>
      <c r="E21" s="3" t="s">
        <v>1101</v>
      </c>
      <c r="F21" s="3" t="s">
        <v>1102</v>
      </c>
      <c r="G21" s="3" t="s">
        <v>885</v>
      </c>
      <c r="H21" s="3" t="s">
        <v>885</v>
      </c>
      <c r="I21" s="3" t="s">
        <v>885</v>
      </c>
      <c r="J21" s="3" t="s">
        <v>885</v>
      </c>
    </row>
    <row r="23" spans="1:10" x14ac:dyDescent="0.25">
      <c r="A23" s="4" t="s">
        <v>1103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6" customWidth="1"/>
    <col min="2" max="39" width="10" customWidth="1"/>
  </cols>
  <sheetData>
    <row r="1" spans="1:5" ht="15.75" x14ac:dyDescent="0.25">
      <c r="A1" s="1" t="s">
        <v>1104</v>
      </c>
    </row>
    <row r="2" spans="1:5" x14ac:dyDescent="0.25">
      <c r="A2" s="4" t="s">
        <v>1105</v>
      </c>
    </row>
    <row r="3" spans="1:5" x14ac:dyDescent="0.25">
      <c r="A3" s="4" t="s">
        <v>280</v>
      </c>
    </row>
    <row r="5" spans="1:5" x14ac:dyDescent="0.25">
      <c r="A5" s="48" t="s">
        <v>1106</v>
      </c>
      <c r="B5" s="48" t="s">
        <v>1107</v>
      </c>
      <c r="C5" s="48" t="s">
        <v>1108</v>
      </c>
      <c r="D5" s="48" t="s">
        <v>1109</v>
      </c>
      <c r="E5" s="48" t="s">
        <v>1110</v>
      </c>
    </row>
    <row r="6" spans="1:5" x14ac:dyDescent="0.25">
      <c r="A6" s="7" t="s">
        <v>1111</v>
      </c>
      <c r="B6" s="38">
        <v>6.7240000000000002</v>
      </c>
      <c r="C6" s="38">
        <v>0.19700000000000001</v>
      </c>
      <c r="D6" s="38">
        <v>3.5999999999999997E-2</v>
      </c>
      <c r="E6" s="38">
        <v>6.9569999999999999</v>
      </c>
    </row>
    <row r="7" spans="1:5" x14ac:dyDescent="0.25">
      <c r="A7" s="7" t="s">
        <v>1112</v>
      </c>
      <c r="B7" s="38">
        <v>6.5570000000000004</v>
      </c>
      <c r="C7" s="38">
        <v>0.23300000000000001</v>
      </c>
      <c r="D7" s="38">
        <v>0.03</v>
      </c>
      <c r="E7" s="38">
        <v>6.82</v>
      </c>
    </row>
    <row r="8" spans="1:5" x14ac:dyDescent="0.25">
      <c r="A8" s="7" t="s">
        <v>1113</v>
      </c>
      <c r="B8" s="38">
        <v>7.7709999999999999</v>
      </c>
      <c r="C8" s="38">
        <v>0.34699999999999998</v>
      </c>
      <c r="D8" s="38">
        <v>4.2000000000000003E-2</v>
      </c>
      <c r="E8" s="38">
        <v>8.16</v>
      </c>
    </row>
    <row r="9" spans="1:5" x14ac:dyDescent="0.25">
      <c r="A9" s="7" t="s">
        <v>1114</v>
      </c>
      <c r="B9" s="38">
        <v>8.9309999999999992</v>
      </c>
      <c r="C9" s="38">
        <v>0.42499999999999999</v>
      </c>
      <c r="D9" s="38">
        <v>4.8000000000000001E-2</v>
      </c>
      <c r="E9" s="38">
        <v>9.4039999999999999</v>
      </c>
    </row>
    <row r="10" spans="1:5" x14ac:dyDescent="0.25">
      <c r="A10" s="7" t="s">
        <v>1115</v>
      </c>
      <c r="B10" s="38">
        <v>8.5069999999999997</v>
      </c>
      <c r="C10" s="38">
        <v>0.46100000000000002</v>
      </c>
      <c r="D10" s="38">
        <v>5.3999999999999999E-2</v>
      </c>
      <c r="E10" s="38">
        <v>9.0220000000000002</v>
      </c>
    </row>
    <row r="11" spans="1:5" x14ac:dyDescent="0.25">
      <c r="A11" s="7" t="s">
        <v>1116</v>
      </c>
      <c r="B11" s="38">
        <v>8.4350000000000005</v>
      </c>
      <c r="C11" s="38">
        <v>0.52100000000000002</v>
      </c>
      <c r="D11" s="38">
        <v>5.3999999999999999E-2</v>
      </c>
      <c r="E11" s="38">
        <v>9.01</v>
      </c>
    </row>
    <row r="12" spans="1:5" x14ac:dyDescent="0.25">
      <c r="A12" s="7" t="s">
        <v>1117</v>
      </c>
      <c r="B12" s="38">
        <v>8.0820000000000007</v>
      </c>
      <c r="C12" s="38">
        <v>0.57399999999999995</v>
      </c>
      <c r="D12" s="38">
        <v>0.06</v>
      </c>
      <c r="E12" s="38">
        <v>8.7159999999999993</v>
      </c>
    </row>
    <row r="13" spans="1:5" x14ac:dyDescent="0.25">
      <c r="A13" s="7" t="s">
        <v>1118</v>
      </c>
      <c r="B13" s="38">
        <v>8.1419999999999995</v>
      </c>
      <c r="C13" s="38">
        <v>0.622</v>
      </c>
      <c r="D13" s="38">
        <v>6.6000000000000003E-2</v>
      </c>
      <c r="E13" s="38">
        <v>8.83</v>
      </c>
    </row>
    <row r="14" spans="1:5" x14ac:dyDescent="0.25">
      <c r="A14" s="7" t="s">
        <v>1119</v>
      </c>
      <c r="B14" s="38">
        <v>7.4059999999999997</v>
      </c>
      <c r="C14" s="38">
        <v>0.72399999999999998</v>
      </c>
      <c r="D14" s="38">
        <v>5.3999999999999999E-2</v>
      </c>
      <c r="E14" s="38">
        <v>8.1839999999999993</v>
      </c>
    </row>
    <row r="15" spans="1:5" x14ac:dyDescent="0.25">
      <c r="A15" s="7" t="s">
        <v>1120</v>
      </c>
      <c r="B15" s="38">
        <v>8.3149999999999995</v>
      </c>
      <c r="C15" s="38">
        <v>0.873</v>
      </c>
      <c r="D15" s="38">
        <v>6.6000000000000003E-2</v>
      </c>
      <c r="E15" s="38">
        <v>9.2550000000000008</v>
      </c>
    </row>
    <row r="16" spans="1:5" x14ac:dyDescent="0.25">
      <c r="A16" s="7" t="s">
        <v>1121</v>
      </c>
      <c r="B16" s="38">
        <v>8.77</v>
      </c>
      <c r="C16" s="38">
        <v>0.999</v>
      </c>
      <c r="D16" s="38">
        <v>7.1999999999999995E-2</v>
      </c>
      <c r="E16" s="38">
        <v>9.8409999999999993</v>
      </c>
    </row>
    <row r="17" spans="1:5" x14ac:dyDescent="0.25">
      <c r="A17" s="7" t="s">
        <v>1122</v>
      </c>
      <c r="B17" s="38">
        <v>9.5</v>
      </c>
      <c r="C17" s="38">
        <v>1.1419999999999999</v>
      </c>
      <c r="D17" s="38">
        <v>0.09</v>
      </c>
      <c r="E17" s="38">
        <v>10.733000000000001</v>
      </c>
    </row>
    <row r="18" spans="1:5" x14ac:dyDescent="0.25">
      <c r="A18" s="7" t="s">
        <v>1123</v>
      </c>
      <c r="B18" s="38">
        <v>9.2010000000000005</v>
      </c>
      <c r="C18" s="38">
        <v>1.2150000000000001</v>
      </c>
      <c r="D18" s="38">
        <v>8.3000000000000004E-2</v>
      </c>
      <c r="E18" s="38">
        <v>10.499000000000001</v>
      </c>
    </row>
    <row r="19" spans="1:5" x14ac:dyDescent="0.25">
      <c r="A19" s="7" t="s">
        <v>1124</v>
      </c>
      <c r="B19" s="38">
        <v>7.9379999999999997</v>
      </c>
      <c r="C19" s="38">
        <v>1.2809999999999999</v>
      </c>
      <c r="D19" s="38">
        <v>8.3000000000000004E-2</v>
      </c>
      <c r="E19" s="38">
        <v>9.3019999999999996</v>
      </c>
    </row>
    <row r="20" spans="1:5" x14ac:dyDescent="0.25">
      <c r="A20" s="7" t="s">
        <v>1125</v>
      </c>
      <c r="B20" s="38">
        <v>6.718</v>
      </c>
      <c r="C20" s="38">
        <v>1.43</v>
      </c>
      <c r="D20" s="38">
        <v>7.8E-2</v>
      </c>
      <c r="E20" s="38">
        <v>8.2260000000000009</v>
      </c>
    </row>
    <row r="21" spans="1:5" x14ac:dyDescent="0.25">
      <c r="A21" s="7" t="s">
        <v>1126</v>
      </c>
      <c r="B21" s="38">
        <v>6.8789999999999996</v>
      </c>
      <c r="C21" s="38">
        <v>1.472</v>
      </c>
      <c r="D21" s="38">
        <v>0.17399999999999999</v>
      </c>
      <c r="E21" s="38">
        <v>8.5250000000000004</v>
      </c>
    </row>
    <row r="22" spans="1:5" x14ac:dyDescent="0.25">
      <c r="A22" s="7" t="s">
        <v>1127</v>
      </c>
      <c r="B22" s="38">
        <v>5.109</v>
      </c>
      <c r="C22" s="38">
        <v>1.119</v>
      </c>
      <c r="D22" s="38">
        <v>0.21</v>
      </c>
      <c r="E22" s="38">
        <v>6.4370000000000003</v>
      </c>
    </row>
    <row r="23" spans="1:5" x14ac:dyDescent="0.25">
      <c r="A23" s="7" t="s">
        <v>1128</v>
      </c>
      <c r="B23" s="38">
        <v>4.9589999999999996</v>
      </c>
      <c r="C23" s="38">
        <v>1.131</v>
      </c>
      <c r="D23" s="38">
        <v>0.28100000000000003</v>
      </c>
      <c r="E23" s="38">
        <v>6.3710000000000004</v>
      </c>
    </row>
    <row r="24" spans="1:5" x14ac:dyDescent="0.25">
      <c r="A24" s="7" t="s">
        <v>1129</v>
      </c>
      <c r="B24" s="38">
        <v>4.008</v>
      </c>
      <c r="C24" s="38">
        <v>1.214</v>
      </c>
      <c r="D24" s="38">
        <v>0.32900000000000001</v>
      </c>
      <c r="E24" s="38">
        <v>5.5510000000000002</v>
      </c>
    </row>
    <row r="25" spans="1:5" x14ac:dyDescent="0.25">
      <c r="A25" s="7" t="s">
        <v>1130</v>
      </c>
      <c r="B25" s="38">
        <v>4.4329999999999998</v>
      </c>
      <c r="C25" s="38">
        <v>1.3340000000000001</v>
      </c>
      <c r="D25" s="38">
        <v>0.377</v>
      </c>
      <c r="E25" s="38">
        <v>6.1440000000000001</v>
      </c>
    </row>
    <row r="26" spans="1:5" x14ac:dyDescent="0.25">
      <c r="A26" s="7" t="s">
        <v>1131</v>
      </c>
      <c r="B26" s="38">
        <v>4.05</v>
      </c>
      <c r="C26" s="38">
        <v>1.25</v>
      </c>
      <c r="D26" s="38">
        <v>0.35299999999999998</v>
      </c>
      <c r="E26" s="38">
        <v>5.6529999999999996</v>
      </c>
    </row>
    <row r="27" spans="1:5" x14ac:dyDescent="0.25">
      <c r="A27" s="7" t="s">
        <v>1132</v>
      </c>
      <c r="B27" s="38">
        <v>4.0860000000000003</v>
      </c>
      <c r="C27" s="38">
        <v>1.298</v>
      </c>
      <c r="D27" s="38">
        <v>0.38300000000000001</v>
      </c>
      <c r="E27" s="38">
        <v>5.7670000000000003</v>
      </c>
    </row>
    <row r="28" spans="1:5" x14ac:dyDescent="0.25">
      <c r="A28" s="7" t="s">
        <v>1133</v>
      </c>
      <c r="B28" s="38">
        <v>4.3490000000000002</v>
      </c>
      <c r="C28" s="38">
        <v>1.3939999999999999</v>
      </c>
      <c r="D28" s="38">
        <v>0.42499999999999999</v>
      </c>
      <c r="E28" s="38">
        <v>6.1680000000000001</v>
      </c>
    </row>
    <row r="29" spans="1:5" x14ac:dyDescent="0.25">
      <c r="A29" s="7" t="s">
        <v>1134</v>
      </c>
      <c r="B29" s="38">
        <v>4.4619999999999997</v>
      </c>
      <c r="C29" s="38">
        <v>1.544</v>
      </c>
      <c r="D29" s="38">
        <v>0.61</v>
      </c>
      <c r="E29" s="38">
        <v>6.6159999999999997</v>
      </c>
    </row>
    <row r="30" spans="1:5" x14ac:dyDescent="0.25">
      <c r="A30" s="7" t="s">
        <v>1135</v>
      </c>
      <c r="B30" s="38">
        <v>4.6120000000000001</v>
      </c>
      <c r="C30" s="38">
        <v>1.7290000000000001</v>
      </c>
      <c r="D30" s="38">
        <v>0.82599999999999996</v>
      </c>
      <c r="E30" s="38">
        <v>7.1669999999999998</v>
      </c>
    </row>
    <row r="31" spans="1:5" x14ac:dyDescent="0.25">
      <c r="A31" s="7" t="s">
        <v>1136</v>
      </c>
      <c r="B31" s="38">
        <v>4.63</v>
      </c>
      <c r="C31" s="38">
        <v>1.7350000000000001</v>
      </c>
      <c r="D31" s="38">
        <v>0.86799999999999999</v>
      </c>
      <c r="E31" s="38">
        <v>7.2329999999999997</v>
      </c>
    </row>
    <row r="32" spans="1:5" x14ac:dyDescent="0.25">
      <c r="A32" s="7" t="s">
        <v>1137</v>
      </c>
      <c r="B32" s="38">
        <v>4.5819999999999999</v>
      </c>
      <c r="C32" s="38">
        <v>1.7589999999999999</v>
      </c>
      <c r="D32" s="38">
        <v>1.101</v>
      </c>
      <c r="E32" s="38">
        <v>7.4420000000000002</v>
      </c>
    </row>
    <row r="33" spans="1:5" x14ac:dyDescent="0.25">
      <c r="A33" s="7" t="s">
        <v>1138</v>
      </c>
      <c r="B33" s="38">
        <v>4.726</v>
      </c>
      <c r="C33" s="38">
        <v>2.016</v>
      </c>
      <c r="D33" s="38">
        <v>1.31</v>
      </c>
      <c r="E33" s="38">
        <v>8.0519999999999996</v>
      </c>
    </row>
    <row r="34" spans="1:5" x14ac:dyDescent="0.25">
      <c r="A34" s="7" t="s">
        <v>1139</v>
      </c>
      <c r="B34" s="38">
        <v>4.6660000000000004</v>
      </c>
      <c r="C34" s="38">
        <v>2.3279999999999998</v>
      </c>
      <c r="D34" s="38">
        <v>1.448</v>
      </c>
      <c r="E34" s="38">
        <v>8.4410000000000007</v>
      </c>
    </row>
    <row r="35" spans="1:5" x14ac:dyDescent="0.25">
      <c r="A35" s="7" t="s">
        <v>1140</v>
      </c>
      <c r="B35" s="38">
        <v>4.9589999999999996</v>
      </c>
      <c r="C35" s="38">
        <v>2.6150000000000002</v>
      </c>
      <c r="D35" s="38">
        <v>1.621</v>
      </c>
      <c r="E35" s="38">
        <v>9.1950000000000003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3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6" customWidth="1"/>
    <col min="2" max="39" width="10" customWidth="1"/>
  </cols>
  <sheetData>
    <row r="1" spans="1:4" ht="15.75" x14ac:dyDescent="0.25">
      <c r="A1" s="1" t="s">
        <v>1141</v>
      </c>
    </row>
    <row r="2" spans="1:4" x14ac:dyDescent="0.25">
      <c r="A2" s="4" t="s">
        <v>1105</v>
      </c>
    </row>
    <row r="3" spans="1:4" x14ac:dyDescent="0.25">
      <c r="A3" s="4" t="s">
        <v>280</v>
      </c>
    </row>
    <row r="5" spans="1:4" x14ac:dyDescent="0.25">
      <c r="A5" s="48" t="s">
        <v>1106</v>
      </c>
      <c r="B5" s="48" t="s">
        <v>1142</v>
      </c>
      <c r="C5" s="48" t="s">
        <v>1143</v>
      </c>
      <c r="D5" s="48" t="s">
        <v>1144</v>
      </c>
    </row>
    <row r="6" spans="1:4" x14ac:dyDescent="0.25">
      <c r="A6" s="7" t="s">
        <v>1111</v>
      </c>
      <c r="B6" s="38">
        <v>96.65</v>
      </c>
      <c r="C6" s="38">
        <v>2.85</v>
      </c>
      <c r="D6" s="38">
        <v>0.5</v>
      </c>
    </row>
    <row r="7" spans="1:4" x14ac:dyDescent="0.25">
      <c r="A7" s="7" t="s">
        <v>1112</v>
      </c>
      <c r="B7" s="38">
        <v>96.14</v>
      </c>
      <c r="C7" s="38">
        <v>3.36</v>
      </c>
      <c r="D7" s="38">
        <v>0.5</v>
      </c>
    </row>
    <row r="8" spans="1:4" x14ac:dyDescent="0.25">
      <c r="A8" s="7" t="s">
        <v>1113</v>
      </c>
      <c r="B8" s="38">
        <v>95.19</v>
      </c>
      <c r="C8" s="38">
        <v>4.3099999999999996</v>
      </c>
      <c r="D8" s="38">
        <v>0.5</v>
      </c>
    </row>
    <row r="9" spans="1:4" x14ac:dyDescent="0.25">
      <c r="A9" s="7" t="s">
        <v>1114</v>
      </c>
      <c r="B9" s="38">
        <v>94.96</v>
      </c>
      <c r="C9" s="38">
        <v>4.54</v>
      </c>
      <c r="D9" s="38">
        <v>0.5</v>
      </c>
    </row>
    <row r="10" spans="1:4" x14ac:dyDescent="0.25">
      <c r="A10" s="7" t="s">
        <v>1115</v>
      </c>
      <c r="B10" s="38">
        <v>94.32</v>
      </c>
      <c r="C10" s="38">
        <v>5.09</v>
      </c>
      <c r="D10" s="38">
        <v>0.59</v>
      </c>
    </row>
    <row r="11" spans="1:4" x14ac:dyDescent="0.25">
      <c r="A11" s="7" t="s">
        <v>1116</v>
      </c>
      <c r="B11" s="38">
        <v>93.64</v>
      </c>
      <c r="C11" s="38">
        <v>5.77</v>
      </c>
      <c r="D11" s="38">
        <v>0.59</v>
      </c>
    </row>
    <row r="12" spans="1:4" x14ac:dyDescent="0.25">
      <c r="A12" s="7" t="s">
        <v>1117</v>
      </c>
      <c r="B12" s="38">
        <v>92.73</v>
      </c>
      <c r="C12" s="38">
        <v>6.59</v>
      </c>
      <c r="D12" s="38">
        <v>0.68</v>
      </c>
    </row>
    <row r="13" spans="1:4" x14ac:dyDescent="0.25">
      <c r="A13" s="7" t="s">
        <v>1118</v>
      </c>
      <c r="B13" s="38">
        <v>92.23</v>
      </c>
      <c r="C13" s="38">
        <v>7.09</v>
      </c>
      <c r="D13" s="38">
        <v>0.68</v>
      </c>
    </row>
    <row r="14" spans="1:4" x14ac:dyDescent="0.25">
      <c r="A14" s="7" t="s">
        <v>1119</v>
      </c>
      <c r="B14" s="38">
        <v>90.46</v>
      </c>
      <c r="C14" s="38">
        <v>8.86</v>
      </c>
      <c r="D14" s="38">
        <v>0.68</v>
      </c>
    </row>
    <row r="15" spans="1:4" x14ac:dyDescent="0.25">
      <c r="A15" s="7" t="s">
        <v>1120</v>
      </c>
      <c r="B15" s="38">
        <v>89.87</v>
      </c>
      <c r="C15" s="38">
        <v>9.4499999999999993</v>
      </c>
      <c r="D15" s="38">
        <v>0.68</v>
      </c>
    </row>
    <row r="16" spans="1:4" x14ac:dyDescent="0.25">
      <c r="A16" s="7" t="s">
        <v>1121</v>
      </c>
      <c r="B16" s="38">
        <v>89.14</v>
      </c>
      <c r="C16" s="38">
        <v>10.09</v>
      </c>
      <c r="D16" s="38">
        <v>0.77</v>
      </c>
    </row>
    <row r="17" spans="1:4" x14ac:dyDescent="0.25">
      <c r="A17" s="7" t="s">
        <v>1122</v>
      </c>
      <c r="B17" s="38">
        <v>88.55</v>
      </c>
      <c r="C17" s="38">
        <v>10.63</v>
      </c>
      <c r="D17" s="38">
        <v>0.81</v>
      </c>
    </row>
    <row r="18" spans="1:4" x14ac:dyDescent="0.25">
      <c r="A18" s="7" t="s">
        <v>1123</v>
      </c>
      <c r="B18" s="38">
        <v>87.64</v>
      </c>
      <c r="C18" s="38">
        <v>11.54</v>
      </c>
      <c r="D18" s="38">
        <v>0.81</v>
      </c>
    </row>
    <row r="19" spans="1:4" x14ac:dyDescent="0.25">
      <c r="A19" s="7" t="s">
        <v>1124</v>
      </c>
      <c r="B19" s="38">
        <v>85.33</v>
      </c>
      <c r="C19" s="38">
        <v>13.77</v>
      </c>
      <c r="D19" s="38">
        <v>0.91</v>
      </c>
    </row>
    <row r="20" spans="1:4" x14ac:dyDescent="0.25">
      <c r="A20" s="7" t="s">
        <v>1125</v>
      </c>
      <c r="B20" s="38">
        <v>81.69</v>
      </c>
      <c r="C20" s="38">
        <v>17.309999999999999</v>
      </c>
      <c r="D20" s="49">
        <v>1</v>
      </c>
    </row>
    <row r="21" spans="1:4" x14ac:dyDescent="0.25">
      <c r="A21" s="7" t="s">
        <v>1126</v>
      </c>
      <c r="B21" s="38">
        <v>80.69</v>
      </c>
      <c r="C21" s="38">
        <v>17.27</v>
      </c>
      <c r="D21" s="38">
        <v>2.04</v>
      </c>
    </row>
    <row r="22" spans="1:4" x14ac:dyDescent="0.25">
      <c r="A22" s="7" t="s">
        <v>1127</v>
      </c>
      <c r="B22" s="38">
        <v>79.33</v>
      </c>
      <c r="C22" s="38">
        <v>17.399999999999999</v>
      </c>
      <c r="D22" s="38">
        <v>3.27</v>
      </c>
    </row>
    <row r="23" spans="1:4" x14ac:dyDescent="0.25">
      <c r="A23" s="7" t="s">
        <v>1128</v>
      </c>
      <c r="B23" s="38">
        <v>77.87</v>
      </c>
      <c r="C23" s="38">
        <v>17.77</v>
      </c>
      <c r="D23" s="38">
        <v>4.3600000000000003</v>
      </c>
    </row>
    <row r="24" spans="1:4" x14ac:dyDescent="0.25">
      <c r="A24" s="7" t="s">
        <v>1129</v>
      </c>
      <c r="B24" s="38">
        <v>72.150000000000006</v>
      </c>
      <c r="C24" s="38">
        <v>21.9</v>
      </c>
      <c r="D24" s="38">
        <v>5.95</v>
      </c>
    </row>
    <row r="25" spans="1:4" x14ac:dyDescent="0.25">
      <c r="A25" s="7" t="s">
        <v>1130</v>
      </c>
      <c r="B25" s="38">
        <v>72.19</v>
      </c>
      <c r="C25" s="38">
        <v>21.63</v>
      </c>
      <c r="D25" s="38">
        <v>6.18</v>
      </c>
    </row>
    <row r="26" spans="1:4" x14ac:dyDescent="0.25">
      <c r="A26" s="7" t="s">
        <v>1131</v>
      </c>
      <c r="B26" s="38">
        <v>71.650000000000006</v>
      </c>
      <c r="C26" s="38">
        <v>22.09</v>
      </c>
      <c r="D26" s="38">
        <v>6.27</v>
      </c>
    </row>
    <row r="27" spans="1:4" x14ac:dyDescent="0.25">
      <c r="A27" s="7" t="s">
        <v>1132</v>
      </c>
      <c r="B27" s="38">
        <v>70.83</v>
      </c>
      <c r="C27" s="38">
        <v>22.49</v>
      </c>
      <c r="D27" s="38">
        <v>6.68</v>
      </c>
    </row>
    <row r="28" spans="1:4" x14ac:dyDescent="0.25">
      <c r="A28" s="7" t="s">
        <v>1133</v>
      </c>
      <c r="B28" s="38">
        <v>70.510000000000005</v>
      </c>
      <c r="C28" s="38">
        <v>22.49</v>
      </c>
      <c r="D28" s="49">
        <v>7</v>
      </c>
    </row>
    <row r="29" spans="1:4" x14ac:dyDescent="0.25">
      <c r="A29" s="7" t="s">
        <v>1134</v>
      </c>
      <c r="B29" s="38">
        <v>67.47</v>
      </c>
      <c r="C29" s="38">
        <v>23.36</v>
      </c>
      <c r="D29" s="38">
        <v>9.18</v>
      </c>
    </row>
    <row r="30" spans="1:4" x14ac:dyDescent="0.25">
      <c r="A30" s="7" t="s">
        <v>1135</v>
      </c>
      <c r="B30" s="38">
        <v>64.42</v>
      </c>
      <c r="C30" s="38">
        <v>24.08</v>
      </c>
      <c r="D30" s="38">
        <v>11.49</v>
      </c>
    </row>
    <row r="31" spans="1:4" x14ac:dyDescent="0.25">
      <c r="A31" s="7" t="s">
        <v>1136</v>
      </c>
      <c r="B31" s="38">
        <v>63.97</v>
      </c>
      <c r="C31" s="38">
        <v>23.99</v>
      </c>
      <c r="D31" s="38">
        <v>12.04</v>
      </c>
    </row>
    <row r="32" spans="1:4" x14ac:dyDescent="0.25">
      <c r="A32" s="7" t="s">
        <v>1137</v>
      </c>
      <c r="B32" s="38">
        <v>61.56</v>
      </c>
      <c r="C32" s="38">
        <v>23.63</v>
      </c>
      <c r="D32" s="38">
        <v>14.81</v>
      </c>
    </row>
    <row r="33" spans="1:4" x14ac:dyDescent="0.25">
      <c r="A33" s="7" t="s">
        <v>1138</v>
      </c>
      <c r="B33" s="38">
        <v>58.65</v>
      </c>
      <c r="C33" s="38">
        <v>25.08</v>
      </c>
      <c r="D33" s="38">
        <v>16.27</v>
      </c>
    </row>
    <row r="34" spans="1:4" x14ac:dyDescent="0.25">
      <c r="A34" s="7" t="s">
        <v>1139</v>
      </c>
      <c r="B34" s="38">
        <v>55.29</v>
      </c>
      <c r="C34" s="38">
        <v>27.54</v>
      </c>
      <c r="D34" s="38">
        <v>17.18</v>
      </c>
    </row>
    <row r="35" spans="1:4" x14ac:dyDescent="0.25">
      <c r="A35" s="7" t="s">
        <v>1140</v>
      </c>
      <c r="B35" s="38">
        <v>53.92</v>
      </c>
      <c r="C35" s="38">
        <v>28.45</v>
      </c>
      <c r="D35" s="38">
        <v>17.63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7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6" customWidth="1"/>
    <col min="2" max="39" width="10" customWidth="1"/>
  </cols>
  <sheetData>
    <row r="1" spans="1:5" ht="15.75" x14ac:dyDescent="0.25">
      <c r="A1" s="1" t="s">
        <v>1145</v>
      </c>
    </row>
    <row r="2" spans="1:5" x14ac:dyDescent="0.25">
      <c r="A2" s="4" t="s">
        <v>1105</v>
      </c>
    </row>
    <row r="3" spans="1:5" x14ac:dyDescent="0.25">
      <c r="A3" s="4" t="s">
        <v>280</v>
      </c>
    </row>
    <row r="5" spans="1:5" x14ac:dyDescent="0.25">
      <c r="A5" s="48" t="s">
        <v>1106</v>
      </c>
      <c r="B5" s="48" t="s">
        <v>1146</v>
      </c>
      <c r="C5" s="48" t="s">
        <v>1142</v>
      </c>
      <c r="D5" s="48" t="s">
        <v>1143</v>
      </c>
      <c r="E5" s="48" t="s">
        <v>1147</v>
      </c>
    </row>
    <row r="6" spans="1:5" x14ac:dyDescent="0.25">
      <c r="A6" s="7" t="s">
        <v>1148</v>
      </c>
      <c r="B6" s="49">
        <v>0</v>
      </c>
      <c r="C6" s="38">
        <v>90.98</v>
      </c>
      <c r="D6" s="38">
        <v>9.02</v>
      </c>
      <c r="E6" s="49">
        <v>100</v>
      </c>
    </row>
    <row r="7" spans="1:5" x14ac:dyDescent="0.25">
      <c r="A7" s="7" t="s">
        <v>1149</v>
      </c>
      <c r="B7" s="49">
        <v>1</v>
      </c>
      <c r="C7" s="38">
        <v>91.02</v>
      </c>
      <c r="D7" s="38">
        <v>8.98</v>
      </c>
      <c r="E7" s="49">
        <v>100</v>
      </c>
    </row>
    <row r="8" spans="1:5" x14ac:dyDescent="0.25">
      <c r="A8" s="7" t="s">
        <v>1150</v>
      </c>
      <c r="B8" s="49">
        <v>2</v>
      </c>
      <c r="C8" s="49">
        <v>89</v>
      </c>
      <c r="D8" s="49">
        <v>11</v>
      </c>
      <c r="E8" s="49">
        <v>100</v>
      </c>
    </row>
    <row r="9" spans="1:5" x14ac:dyDescent="0.25">
      <c r="A9" s="7" t="s">
        <v>1151</v>
      </c>
      <c r="B9" s="49">
        <v>3</v>
      </c>
      <c r="C9" s="38">
        <v>89.13</v>
      </c>
      <c r="D9" s="38">
        <v>10.87</v>
      </c>
      <c r="E9" s="49">
        <v>100</v>
      </c>
    </row>
    <row r="10" spans="1:5" x14ac:dyDescent="0.25">
      <c r="A10" s="7" t="s">
        <v>1152</v>
      </c>
      <c r="B10" s="49">
        <v>4</v>
      </c>
      <c r="C10" s="38">
        <v>88.95</v>
      </c>
      <c r="D10" s="38">
        <v>11.05</v>
      </c>
      <c r="E10" s="49">
        <v>100</v>
      </c>
    </row>
    <row r="11" spans="1:5" x14ac:dyDescent="0.25">
      <c r="A11" s="7" t="s">
        <v>1153</v>
      </c>
      <c r="B11" s="49">
        <v>5</v>
      </c>
      <c r="C11" s="38">
        <v>91.2</v>
      </c>
      <c r="D11" s="38">
        <v>8.8000000000000007</v>
      </c>
      <c r="E11" s="49">
        <v>100</v>
      </c>
    </row>
    <row r="12" spans="1:5" x14ac:dyDescent="0.25">
      <c r="A12" s="7" t="s">
        <v>1154</v>
      </c>
      <c r="B12" s="49">
        <v>6</v>
      </c>
      <c r="C12" s="38">
        <v>91.79</v>
      </c>
      <c r="D12" s="38">
        <v>8.2100000000000009</v>
      </c>
      <c r="E12" s="49">
        <v>100</v>
      </c>
    </row>
    <row r="13" spans="1:5" x14ac:dyDescent="0.25">
      <c r="A13" s="7" t="s">
        <v>1155</v>
      </c>
      <c r="B13" s="49">
        <v>7</v>
      </c>
      <c r="C13" s="38">
        <v>92.51</v>
      </c>
      <c r="D13" s="38">
        <v>7.49</v>
      </c>
      <c r="E13" s="49">
        <v>100</v>
      </c>
    </row>
    <row r="14" spans="1:5" x14ac:dyDescent="0.25">
      <c r="A14" s="7" t="s">
        <v>1156</v>
      </c>
      <c r="B14" s="49">
        <v>8</v>
      </c>
      <c r="C14" s="38">
        <v>92.01</v>
      </c>
      <c r="D14" s="38">
        <v>7.99</v>
      </c>
      <c r="E14" s="49">
        <v>100</v>
      </c>
    </row>
    <row r="15" spans="1:5" x14ac:dyDescent="0.25">
      <c r="A15" s="7" t="s">
        <v>1157</v>
      </c>
      <c r="B15" s="49">
        <v>9</v>
      </c>
      <c r="C15" s="38">
        <v>93.14</v>
      </c>
      <c r="D15" s="38">
        <v>6.86</v>
      </c>
      <c r="E15" s="49">
        <v>100</v>
      </c>
    </row>
    <row r="16" spans="1:5" x14ac:dyDescent="0.25">
      <c r="A16" s="7" t="s">
        <v>1158</v>
      </c>
      <c r="B16" s="49">
        <v>10</v>
      </c>
      <c r="C16" s="38">
        <v>93.36</v>
      </c>
      <c r="D16" s="38">
        <v>6.64</v>
      </c>
      <c r="E16" s="49">
        <v>100</v>
      </c>
    </row>
    <row r="17" spans="1:5" x14ac:dyDescent="0.25">
      <c r="A17" s="7" t="s">
        <v>1159</v>
      </c>
      <c r="B17" s="49">
        <v>11</v>
      </c>
      <c r="C17" s="38">
        <v>94.44</v>
      </c>
      <c r="D17" s="38">
        <v>5.56</v>
      </c>
      <c r="E17" s="49">
        <v>100</v>
      </c>
    </row>
    <row r="18" spans="1:5" x14ac:dyDescent="0.25">
      <c r="A18" s="7" t="s">
        <v>1160</v>
      </c>
      <c r="B18" s="49">
        <v>12</v>
      </c>
      <c r="C18" s="38">
        <v>95.25</v>
      </c>
      <c r="D18" s="38">
        <v>4.75</v>
      </c>
      <c r="E18" s="49">
        <v>100</v>
      </c>
    </row>
    <row r="19" spans="1:5" x14ac:dyDescent="0.25">
      <c r="A19" s="7" t="s">
        <v>1161</v>
      </c>
      <c r="B19" s="49">
        <v>13</v>
      </c>
      <c r="C19" s="38">
        <v>96.47</v>
      </c>
      <c r="D19" s="38">
        <v>3.53</v>
      </c>
      <c r="E19" s="49">
        <v>100</v>
      </c>
    </row>
    <row r="20" spans="1:5" x14ac:dyDescent="0.25">
      <c r="A20" s="7" t="s">
        <v>1162</v>
      </c>
      <c r="B20" s="49">
        <v>14</v>
      </c>
      <c r="C20" s="38">
        <v>95.66</v>
      </c>
      <c r="D20" s="38">
        <v>4.34</v>
      </c>
      <c r="E20" s="49">
        <v>100</v>
      </c>
    </row>
    <row r="21" spans="1:5" x14ac:dyDescent="0.25">
      <c r="A21" s="7" t="s">
        <v>1163</v>
      </c>
      <c r="B21" s="49">
        <v>15</v>
      </c>
      <c r="C21" s="38">
        <v>95.25</v>
      </c>
      <c r="D21" s="38">
        <v>4.75</v>
      </c>
      <c r="E21" s="49">
        <v>100</v>
      </c>
    </row>
    <row r="22" spans="1:5" x14ac:dyDescent="0.25">
      <c r="A22" s="7" t="s">
        <v>1164</v>
      </c>
      <c r="B22" s="49">
        <v>16</v>
      </c>
      <c r="C22" s="38">
        <v>95.34</v>
      </c>
      <c r="D22" s="38">
        <v>4.66</v>
      </c>
      <c r="E22" s="49">
        <v>100</v>
      </c>
    </row>
    <row r="23" spans="1:5" x14ac:dyDescent="0.25">
      <c r="A23" s="7" t="s">
        <v>1165</v>
      </c>
      <c r="B23" s="49">
        <v>17</v>
      </c>
      <c r="C23" s="38">
        <v>96.56</v>
      </c>
      <c r="D23" s="38">
        <v>3.44</v>
      </c>
      <c r="E23" s="49">
        <v>100</v>
      </c>
    </row>
    <row r="24" spans="1:5" x14ac:dyDescent="0.25">
      <c r="A24" s="7" t="s">
        <v>1166</v>
      </c>
      <c r="B24" s="49">
        <v>18</v>
      </c>
      <c r="C24" s="38">
        <v>97.32</v>
      </c>
      <c r="D24" s="38">
        <v>2.68</v>
      </c>
      <c r="E24" s="49">
        <v>100</v>
      </c>
    </row>
    <row r="25" spans="1:5" x14ac:dyDescent="0.25">
      <c r="A25" s="7" t="s">
        <v>1167</v>
      </c>
      <c r="B25" s="49">
        <v>19</v>
      </c>
      <c r="C25" s="38">
        <v>97.41</v>
      </c>
      <c r="D25" s="38">
        <v>2.59</v>
      </c>
      <c r="E25" s="49">
        <v>100</v>
      </c>
    </row>
    <row r="26" spans="1:5" x14ac:dyDescent="0.25">
      <c r="A26" s="7" t="s">
        <v>1168</v>
      </c>
      <c r="B26" s="49">
        <v>20</v>
      </c>
      <c r="C26" s="38">
        <v>97.28</v>
      </c>
      <c r="D26" s="38">
        <v>2.72</v>
      </c>
      <c r="E26" s="49">
        <v>100</v>
      </c>
    </row>
    <row r="27" spans="1:5" x14ac:dyDescent="0.25">
      <c r="A27" s="7" t="s">
        <v>1169</v>
      </c>
      <c r="B27" s="49">
        <v>21</v>
      </c>
      <c r="C27" s="38">
        <v>97.01</v>
      </c>
      <c r="D27" s="38">
        <v>2.99</v>
      </c>
      <c r="E27" s="49">
        <v>100</v>
      </c>
    </row>
    <row r="28" spans="1:5" x14ac:dyDescent="0.25">
      <c r="A28" s="7" t="s">
        <v>1170</v>
      </c>
      <c r="B28" s="49">
        <v>22</v>
      </c>
      <c r="C28" s="38">
        <v>97.5</v>
      </c>
      <c r="D28" s="38">
        <v>2.5</v>
      </c>
      <c r="E28" s="49">
        <v>100</v>
      </c>
    </row>
    <row r="29" spans="1:5" x14ac:dyDescent="0.25">
      <c r="A29" s="7" t="s">
        <v>1171</v>
      </c>
      <c r="B29" s="49">
        <v>23</v>
      </c>
      <c r="C29" s="38">
        <v>98.04</v>
      </c>
      <c r="D29" s="38">
        <v>1.96</v>
      </c>
      <c r="E29" s="49">
        <v>100</v>
      </c>
    </row>
    <row r="30" spans="1:5" x14ac:dyDescent="0.25">
      <c r="A30" s="7" t="s">
        <v>1172</v>
      </c>
      <c r="B30" s="49">
        <v>24</v>
      </c>
      <c r="C30" s="38">
        <v>98.45</v>
      </c>
      <c r="D30" s="38">
        <v>1.55</v>
      </c>
      <c r="E30" s="49">
        <v>100</v>
      </c>
    </row>
    <row r="31" spans="1:5" x14ac:dyDescent="0.25">
      <c r="A31" s="7" t="s">
        <v>1173</v>
      </c>
      <c r="B31" s="49">
        <v>25</v>
      </c>
      <c r="C31" s="38">
        <v>98.81</v>
      </c>
      <c r="D31" s="38">
        <v>1.19</v>
      </c>
      <c r="E31" s="49">
        <v>100</v>
      </c>
    </row>
    <row r="32" spans="1:5" x14ac:dyDescent="0.25">
      <c r="A32" s="7" t="s">
        <v>1174</v>
      </c>
      <c r="B32" s="49">
        <v>26</v>
      </c>
      <c r="C32" s="38">
        <v>99.12</v>
      </c>
      <c r="D32" s="38">
        <v>0.88</v>
      </c>
      <c r="E32" s="49">
        <v>100</v>
      </c>
    </row>
    <row r="33" spans="1:5" x14ac:dyDescent="0.25">
      <c r="A33" s="7" t="s">
        <v>1175</v>
      </c>
      <c r="B33" s="49">
        <v>27</v>
      </c>
      <c r="C33" s="38">
        <v>99.35</v>
      </c>
      <c r="D33" s="38">
        <v>0.65</v>
      </c>
      <c r="E33" s="49">
        <v>100</v>
      </c>
    </row>
    <row r="34" spans="1:5" x14ac:dyDescent="0.25">
      <c r="A34" s="7" t="s">
        <v>1176</v>
      </c>
      <c r="B34" s="49">
        <v>28</v>
      </c>
      <c r="C34" s="38">
        <v>99.48</v>
      </c>
      <c r="D34" s="38">
        <v>0.52</v>
      </c>
      <c r="E34" s="49">
        <v>100</v>
      </c>
    </row>
    <row r="35" spans="1:5" x14ac:dyDescent="0.25">
      <c r="A35" s="7" t="s">
        <v>1177</v>
      </c>
      <c r="B35" s="49">
        <v>29</v>
      </c>
      <c r="C35" s="38">
        <v>99.62</v>
      </c>
      <c r="D35" s="38">
        <v>0.38</v>
      </c>
      <c r="E35" s="49">
        <v>100</v>
      </c>
    </row>
    <row r="36" spans="1:5" x14ac:dyDescent="0.25">
      <c r="A36" s="7" t="s">
        <v>1178</v>
      </c>
      <c r="B36" s="49">
        <v>30</v>
      </c>
      <c r="C36" s="38">
        <v>99.8</v>
      </c>
      <c r="D36" s="38">
        <v>0.2</v>
      </c>
      <c r="E36" s="49">
        <v>100</v>
      </c>
    </row>
    <row r="37" spans="1:5" x14ac:dyDescent="0.25">
      <c r="A37" s="7" t="s">
        <v>1179</v>
      </c>
      <c r="B37" s="49">
        <v>31</v>
      </c>
      <c r="C37" s="38">
        <v>99.8</v>
      </c>
      <c r="D37" s="38">
        <v>0.2</v>
      </c>
      <c r="E37" s="49">
        <v>100</v>
      </c>
    </row>
    <row r="38" spans="1:5" x14ac:dyDescent="0.25">
      <c r="A38" s="7" t="s">
        <v>1180</v>
      </c>
      <c r="B38" s="49">
        <v>32</v>
      </c>
      <c r="C38" s="38">
        <v>99.89</v>
      </c>
      <c r="D38" s="38">
        <v>0.11</v>
      </c>
      <c r="E38" s="49">
        <v>100</v>
      </c>
    </row>
    <row r="39" spans="1:5" x14ac:dyDescent="0.25">
      <c r="A39" s="7" t="s">
        <v>1181</v>
      </c>
      <c r="B39" s="49">
        <v>33</v>
      </c>
      <c r="C39" s="38">
        <v>99.89</v>
      </c>
      <c r="D39" s="38">
        <v>0.11</v>
      </c>
      <c r="E39" s="49">
        <v>100</v>
      </c>
    </row>
    <row r="40" spans="1:5" x14ac:dyDescent="0.25">
      <c r="A40" s="7" t="s">
        <v>1182</v>
      </c>
      <c r="B40" s="49">
        <v>34</v>
      </c>
      <c r="C40" s="38">
        <v>99.89</v>
      </c>
      <c r="D40" s="38">
        <v>0.11</v>
      </c>
      <c r="E40" s="49">
        <v>100</v>
      </c>
    </row>
    <row r="41" spans="1:5" x14ac:dyDescent="0.25">
      <c r="A41" s="7" t="s">
        <v>1183</v>
      </c>
      <c r="B41" s="49">
        <v>35</v>
      </c>
      <c r="C41" s="38">
        <v>99.9</v>
      </c>
      <c r="D41" s="38">
        <v>0.11</v>
      </c>
      <c r="E41" s="49">
        <v>100.02</v>
      </c>
    </row>
    <row r="42" spans="1:5" x14ac:dyDescent="0.25">
      <c r="A42" s="7" t="s">
        <v>1184</v>
      </c>
      <c r="B42" s="49">
        <v>36</v>
      </c>
      <c r="C42" s="38">
        <v>99.89</v>
      </c>
      <c r="D42" s="38">
        <v>0.11</v>
      </c>
      <c r="E42" s="49">
        <v>100</v>
      </c>
    </row>
    <row r="43" spans="1:5" x14ac:dyDescent="0.25">
      <c r="A43" s="7" t="s">
        <v>1185</v>
      </c>
      <c r="B43" s="49">
        <v>37</v>
      </c>
      <c r="C43" s="38">
        <v>99.8</v>
      </c>
      <c r="D43" s="38">
        <v>0.2</v>
      </c>
      <c r="E43" s="49">
        <v>100</v>
      </c>
    </row>
    <row r="44" spans="1:5" x14ac:dyDescent="0.25">
      <c r="A44" s="7" t="s">
        <v>1186</v>
      </c>
      <c r="B44" s="49">
        <v>38</v>
      </c>
      <c r="C44" s="38">
        <v>99.75</v>
      </c>
      <c r="D44" s="38">
        <v>0.25</v>
      </c>
      <c r="E44" s="49">
        <v>100</v>
      </c>
    </row>
    <row r="45" spans="1:5" x14ac:dyDescent="0.25">
      <c r="A45" s="7" t="s">
        <v>1187</v>
      </c>
      <c r="B45" s="49">
        <v>39</v>
      </c>
      <c r="C45" s="38">
        <v>99.66</v>
      </c>
      <c r="D45" s="38">
        <v>0.34</v>
      </c>
      <c r="E45" s="49">
        <v>100</v>
      </c>
    </row>
    <row r="46" spans="1:5" x14ac:dyDescent="0.25">
      <c r="A46" s="7" t="s">
        <v>1188</v>
      </c>
      <c r="B46" s="49">
        <v>40</v>
      </c>
      <c r="C46" s="38">
        <v>98.76</v>
      </c>
      <c r="D46" s="38">
        <v>1.24</v>
      </c>
      <c r="E46" s="49">
        <v>100</v>
      </c>
    </row>
    <row r="47" spans="1:5" x14ac:dyDescent="0.25">
      <c r="A47" s="7" t="s">
        <v>1189</v>
      </c>
      <c r="B47" s="49">
        <v>41</v>
      </c>
      <c r="C47" s="38">
        <v>98.36</v>
      </c>
      <c r="D47" s="38">
        <v>1.64</v>
      </c>
      <c r="E47" s="49">
        <v>100</v>
      </c>
    </row>
    <row r="48" spans="1:5" x14ac:dyDescent="0.25">
      <c r="A48" s="7" t="s">
        <v>1190</v>
      </c>
      <c r="B48" s="49">
        <v>42</v>
      </c>
      <c r="C48" s="38">
        <v>97.86</v>
      </c>
      <c r="D48" s="38">
        <v>2.14</v>
      </c>
      <c r="E48" s="49">
        <v>100</v>
      </c>
    </row>
    <row r="49" spans="1:5" x14ac:dyDescent="0.25">
      <c r="A49" s="7" t="s">
        <v>1191</v>
      </c>
      <c r="B49" s="49">
        <v>43</v>
      </c>
      <c r="C49" s="38">
        <v>97.32</v>
      </c>
      <c r="D49" s="38">
        <v>2.68</v>
      </c>
      <c r="E49" s="49">
        <v>100</v>
      </c>
    </row>
    <row r="50" spans="1:5" x14ac:dyDescent="0.25">
      <c r="A50" s="7" t="s">
        <v>1111</v>
      </c>
      <c r="B50" s="49">
        <v>44</v>
      </c>
      <c r="C50" s="38">
        <v>97.41</v>
      </c>
      <c r="D50" s="38">
        <v>2.59</v>
      </c>
      <c r="E50" s="49">
        <v>100</v>
      </c>
    </row>
    <row r="51" spans="1:5" x14ac:dyDescent="0.25">
      <c r="A51" s="7" t="s">
        <v>1112</v>
      </c>
      <c r="B51" s="49">
        <v>45</v>
      </c>
      <c r="C51" s="38">
        <v>97.05</v>
      </c>
      <c r="D51" s="38">
        <v>2.95</v>
      </c>
      <c r="E51" s="49">
        <v>100</v>
      </c>
    </row>
    <row r="52" spans="1:5" x14ac:dyDescent="0.25">
      <c r="A52" s="7" t="s">
        <v>1113</v>
      </c>
      <c r="B52" s="49">
        <v>46</v>
      </c>
      <c r="C52" s="38">
        <v>96.47</v>
      </c>
      <c r="D52" s="38">
        <v>3.53</v>
      </c>
      <c r="E52" s="49">
        <v>100</v>
      </c>
    </row>
    <row r="53" spans="1:5" x14ac:dyDescent="0.25">
      <c r="A53" s="7" t="s">
        <v>1114</v>
      </c>
      <c r="B53" s="49">
        <v>47</v>
      </c>
      <c r="C53" s="38">
        <v>95.88</v>
      </c>
      <c r="D53" s="38">
        <v>4.12</v>
      </c>
      <c r="E53" s="49">
        <v>100</v>
      </c>
    </row>
    <row r="54" spans="1:5" x14ac:dyDescent="0.25">
      <c r="A54" s="7" t="s">
        <v>1115</v>
      </c>
      <c r="B54" s="49">
        <v>48</v>
      </c>
      <c r="C54" s="38">
        <v>96.2</v>
      </c>
      <c r="D54" s="38">
        <v>3.8</v>
      </c>
      <c r="E54" s="49">
        <v>100</v>
      </c>
    </row>
    <row r="55" spans="1:5" x14ac:dyDescent="0.25">
      <c r="A55" s="7" t="s">
        <v>1116</v>
      </c>
      <c r="B55" s="49">
        <v>49</v>
      </c>
      <c r="C55" s="38">
        <v>94.4</v>
      </c>
      <c r="D55" s="38">
        <v>5.6</v>
      </c>
      <c r="E55" s="49">
        <v>100</v>
      </c>
    </row>
    <row r="56" spans="1:5" x14ac:dyDescent="0.25">
      <c r="A56" s="7" t="s">
        <v>1117</v>
      </c>
      <c r="B56" s="49">
        <v>50</v>
      </c>
      <c r="C56" s="38">
        <v>92.33</v>
      </c>
      <c r="D56" s="38">
        <v>7.67</v>
      </c>
      <c r="E56" s="49">
        <v>100</v>
      </c>
    </row>
    <row r="57" spans="1:5" x14ac:dyDescent="0.25">
      <c r="A57" s="7" t="s">
        <v>1118</v>
      </c>
      <c r="B57" s="49">
        <v>51</v>
      </c>
      <c r="C57" s="38">
        <v>91.38</v>
      </c>
      <c r="D57" s="38">
        <v>8.6199999999999992</v>
      </c>
      <c r="E57" s="49">
        <v>100</v>
      </c>
    </row>
    <row r="58" spans="1:5" x14ac:dyDescent="0.25">
      <c r="A58" s="7" t="s">
        <v>1119</v>
      </c>
      <c r="B58" s="49">
        <v>52</v>
      </c>
      <c r="C58" s="38">
        <v>89.18</v>
      </c>
      <c r="D58" s="38">
        <v>10.82</v>
      </c>
      <c r="E58" s="49">
        <v>100</v>
      </c>
    </row>
    <row r="59" spans="1:5" x14ac:dyDescent="0.25">
      <c r="A59" s="7" t="s">
        <v>1120</v>
      </c>
      <c r="B59" s="49">
        <v>53</v>
      </c>
      <c r="C59" s="38">
        <v>88.41</v>
      </c>
      <c r="D59" s="38">
        <v>11.59</v>
      </c>
      <c r="E59" s="49">
        <v>100</v>
      </c>
    </row>
    <row r="60" spans="1:5" x14ac:dyDescent="0.25">
      <c r="A60" s="7" t="s">
        <v>1121</v>
      </c>
      <c r="B60" s="49">
        <v>54</v>
      </c>
      <c r="C60" s="38">
        <v>85.67</v>
      </c>
      <c r="D60" s="38">
        <v>14.33</v>
      </c>
      <c r="E60" s="49">
        <v>100</v>
      </c>
    </row>
    <row r="61" spans="1:5" x14ac:dyDescent="0.25">
      <c r="A61" s="7" t="s">
        <v>1122</v>
      </c>
      <c r="B61" s="49">
        <v>55</v>
      </c>
      <c r="C61" s="38">
        <v>85.62</v>
      </c>
      <c r="D61" s="38">
        <v>14.38</v>
      </c>
      <c r="E61" s="49">
        <v>100</v>
      </c>
    </row>
    <row r="62" spans="1:5" x14ac:dyDescent="0.25">
      <c r="A62" s="7" t="s">
        <v>1123</v>
      </c>
      <c r="B62" s="49">
        <v>56</v>
      </c>
      <c r="C62" s="38">
        <v>82.38</v>
      </c>
      <c r="D62" s="38">
        <v>17.62</v>
      </c>
      <c r="E62" s="49">
        <v>100</v>
      </c>
    </row>
    <row r="63" spans="1:5" x14ac:dyDescent="0.25">
      <c r="A63" s="7" t="s">
        <v>1124</v>
      </c>
      <c r="B63" s="49">
        <v>57</v>
      </c>
      <c r="C63" s="38">
        <v>76.760000000000005</v>
      </c>
      <c r="D63" s="38">
        <v>23.24</v>
      </c>
      <c r="E63" s="49">
        <v>100</v>
      </c>
    </row>
    <row r="64" spans="1:5" x14ac:dyDescent="0.25">
      <c r="A64" s="7" t="s">
        <v>1125</v>
      </c>
      <c r="B64" s="49">
        <v>58</v>
      </c>
      <c r="C64" s="38">
        <v>72.3</v>
      </c>
      <c r="D64" s="38">
        <v>27.7</v>
      </c>
      <c r="E64" s="49">
        <v>100</v>
      </c>
    </row>
    <row r="65" spans="1:5" x14ac:dyDescent="0.25">
      <c r="A65" s="7" t="s">
        <v>1126</v>
      </c>
      <c r="B65" s="49">
        <v>59</v>
      </c>
      <c r="C65" s="38">
        <v>72.17</v>
      </c>
      <c r="D65" s="38">
        <v>27.83</v>
      </c>
      <c r="E65" s="49">
        <v>100</v>
      </c>
    </row>
    <row r="66" spans="1:5" x14ac:dyDescent="0.25">
      <c r="A66" s="7" t="s">
        <v>1127</v>
      </c>
      <c r="B66" s="49">
        <v>60</v>
      </c>
      <c r="C66" s="38">
        <v>72.209999999999994</v>
      </c>
      <c r="D66" s="38">
        <v>27.79</v>
      </c>
      <c r="E66" s="49">
        <v>100</v>
      </c>
    </row>
    <row r="67" spans="1:5" x14ac:dyDescent="0.25">
      <c r="A67" s="7" t="s">
        <v>1128</v>
      </c>
      <c r="B67" s="49">
        <v>61</v>
      </c>
      <c r="C67" s="38">
        <v>72.94</v>
      </c>
      <c r="D67" s="38">
        <v>27.06</v>
      </c>
      <c r="E67" s="49">
        <v>100</v>
      </c>
    </row>
    <row r="68" spans="1:5" x14ac:dyDescent="0.25">
      <c r="A68" s="7" t="s">
        <v>1129</v>
      </c>
      <c r="B68" s="49">
        <v>62</v>
      </c>
      <c r="C68" s="38">
        <v>68.790000000000006</v>
      </c>
      <c r="D68" s="38">
        <v>31.21</v>
      </c>
      <c r="E68" s="49">
        <v>100</v>
      </c>
    </row>
    <row r="69" spans="1:5" x14ac:dyDescent="0.25">
      <c r="A69" s="7" t="s">
        <v>1130</v>
      </c>
      <c r="B69" s="49">
        <v>63</v>
      </c>
      <c r="C69" s="38">
        <v>68.209999999999994</v>
      </c>
      <c r="D69" s="38">
        <v>31.79</v>
      </c>
      <c r="E69" s="49">
        <v>100</v>
      </c>
    </row>
    <row r="70" spans="1:5" x14ac:dyDescent="0.25">
      <c r="A70" s="7" t="s">
        <v>1131</v>
      </c>
      <c r="B70" s="49">
        <v>64</v>
      </c>
      <c r="C70" s="38">
        <v>67.040000000000006</v>
      </c>
      <c r="D70" s="38">
        <v>32.96</v>
      </c>
      <c r="E70" s="49">
        <v>100</v>
      </c>
    </row>
    <row r="71" spans="1:5" x14ac:dyDescent="0.25">
      <c r="A71" s="7" t="s">
        <v>1132</v>
      </c>
      <c r="B71" s="49">
        <v>65</v>
      </c>
      <c r="C71" s="38">
        <v>66.19</v>
      </c>
      <c r="D71" s="38">
        <v>33.81</v>
      </c>
      <c r="E71" s="49">
        <v>100</v>
      </c>
    </row>
    <row r="72" spans="1:5" x14ac:dyDescent="0.25">
      <c r="A72" s="7" t="s">
        <v>1133</v>
      </c>
      <c r="B72" s="49">
        <v>66</v>
      </c>
      <c r="C72" s="38">
        <v>66.19</v>
      </c>
      <c r="D72" s="38">
        <v>33.81</v>
      </c>
      <c r="E72" s="49">
        <v>100</v>
      </c>
    </row>
    <row r="73" spans="1:5" x14ac:dyDescent="0.25">
      <c r="A73" s="7" t="s">
        <v>1134</v>
      </c>
      <c r="B73" s="49">
        <v>67</v>
      </c>
      <c r="C73" s="38">
        <v>63.62</v>
      </c>
      <c r="D73" s="38">
        <v>36.380000000000003</v>
      </c>
      <c r="E73" s="49">
        <v>100</v>
      </c>
    </row>
    <row r="74" spans="1:5" x14ac:dyDescent="0.25">
      <c r="A74" s="7" t="s">
        <v>1135</v>
      </c>
      <c r="B74" s="49">
        <v>68</v>
      </c>
      <c r="C74" s="38">
        <v>60.52</v>
      </c>
      <c r="D74" s="38">
        <v>39.479999999999997</v>
      </c>
      <c r="E74" s="49">
        <v>100</v>
      </c>
    </row>
    <row r="75" spans="1:5" x14ac:dyDescent="0.25">
      <c r="A75" s="7" t="s">
        <v>1136</v>
      </c>
      <c r="B75" s="49">
        <v>69</v>
      </c>
      <c r="C75" s="38">
        <v>58.81</v>
      </c>
      <c r="D75" s="38">
        <v>41.19</v>
      </c>
      <c r="E75" s="49">
        <v>100</v>
      </c>
    </row>
    <row r="76" spans="1:5" x14ac:dyDescent="0.25">
      <c r="A76" s="7" t="s">
        <v>1137</v>
      </c>
      <c r="B76" s="49">
        <v>70</v>
      </c>
      <c r="C76" s="38">
        <v>60.56</v>
      </c>
      <c r="D76" s="38">
        <v>39.44</v>
      </c>
      <c r="E76" s="49">
        <v>100</v>
      </c>
    </row>
    <row r="77" spans="1:5" x14ac:dyDescent="0.25">
      <c r="A77" s="7" t="s">
        <v>1138</v>
      </c>
      <c r="B77" s="49">
        <v>71</v>
      </c>
      <c r="C77" s="38">
        <v>58.67</v>
      </c>
      <c r="D77" s="38">
        <v>41.33</v>
      </c>
      <c r="E77" s="49">
        <v>100</v>
      </c>
    </row>
    <row r="78" spans="1:5" x14ac:dyDescent="0.25">
      <c r="A78" s="7" t="s">
        <v>1139</v>
      </c>
      <c r="B78" s="49">
        <v>72</v>
      </c>
      <c r="C78" s="38">
        <v>53.77</v>
      </c>
      <c r="D78" s="38">
        <v>46.24</v>
      </c>
      <c r="E78" s="49">
        <v>100</v>
      </c>
    </row>
    <row r="79" spans="1:5" x14ac:dyDescent="0.25">
      <c r="A79" s="7" t="s">
        <v>1140</v>
      </c>
      <c r="B79" s="49">
        <v>73</v>
      </c>
      <c r="C79" s="38">
        <v>55.43</v>
      </c>
      <c r="D79" s="38">
        <v>44.57</v>
      </c>
      <c r="E79" s="49">
        <v>100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2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6" customWidth="1"/>
    <col min="2" max="39" width="10" customWidth="1"/>
  </cols>
  <sheetData>
    <row r="1" spans="1:10" ht="15.75" x14ac:dyDescent="0.25">
      <c r="A1" s="1" t="s">
        <v>1192</v>
      </c>
    </row>
    <row r="2" spans="1:10" x14ac:dyDescent="0.25">
      <c r="A2" s="4" t="s">
        <v>1105</v>
      </c>
    </row>
    <row r="3" spans="1:10" x14ac:dyDescent="0.25">
      <c r="A3" s="4" t="s">
        <v>280</v>
      </c>
    </row>
    <row r="5" spans="1:10" x14ac:dyDescent="0.25">
      <c r="A5" s="48" t="s">
        <v>1106</v>
      </c>
      <c r="B5" s="48" t="s">
        <v>1193</v>
      </c>
      <c r="C5" s="48" t="s">
        <v>1194</v>
      </c>
      <c r="D5" s="48" t="s">
        <v>1195</v>
      </c>
      <c r="E5" s="48" t="s">
        <v>1196</v>
      </c>
      <c r="F5" s="48" t="s">
        <v>1197</v>
      </c>
      <c r="G5" s="48" t="s">
        <v>1198</v>
      </c>
      <c r="H5" s="48" t="s">
        <v>1199</v>
      </c>
      <c r="I5" s="48" t="s">
        <v>1200</v>
      </c>
      <c r="J5" s="48" t="s">
        <v>1201</v>
      </c>
    </row>
    <row r="6" spans="1:10" x14ac:dyDescent="0.25">
      <c r="A6" s="7" t="s">
        <v>1119</v>
      </c>
      <c r="B6" s="49">
        <v>0</v>
      </c>
      <c r="C6" s="49">
        <v>0</v>
      </c>
      <c r="D6" s="49">
        <v>0</v>
      </c>
      <c r="E6" s="49">
        <v>0</v>
      </c>
      <c r="F6" s="49">
        <v>2</v>
      </c>
      <c r="G6" s="49">
        <v>76</v>
      </c>
      <c r="H6" s="49">
        <v>22</v>
      </c>
      <c r="I6" s="49">
        <v>0</v>
      </c>
      <c r="J6" s="49">
        <v>100</v>
      </c>
    </row>
    <row r="7" spans="1:10" x14ac:dyDescent="0.25">
      <c r="A7" s="7" t="s">
        <v>1120</v>
      </c>
      <c r="B7" s="49">
        <v>0</v>
      </c>
      <c r="C7" s="49">
        <v>0</v>
      </c>
      <c r="D7" s="49">
        <v>0</v>
      </c>
      <c r="E7" s="49">
        <v>0</v>
      </c>
      <c r="F7" s="49">
        <v>7</v>
      </c>
      <c r="G7" s="49">
        <v>75</v>
      </c>
      <c r="H7" s="49">
        <v>18</v>
      </c>
      <c r="I7" s="49">
        <v>0</v>
      </c>
      <c r="J7" s="49">
        <v>100</v>
      </c>
    </row>
    <row r="8" spans="1:10" x14ac:dyDescent="0.25">
      <c r="A8" s="7" t="s">
        <v>1121</v>
      </c>
      <c r="B8" s="49">
        <v>0</v>
      </c>
      <c r="C8" s="49">
        <v>0</v>
      </c>
      <c r="D8" s="49">
        <v>0</v>
      </c>
      <c r="E8" s="49">
        <v>0</v>
      </c>
      <c r="F8" s="49">
        <v>12</v>
      </c>
      <c r="G8" s="49">
        <v>72</v>
      </c>
      <c r="H8" s="49">
        <v>17</v>
      </c>
      <c r="I8" s="49">
        <v>0</v>
      </c>
      <c r="J8" s="49">
        <v>101</v>
      </c>
    </row>
    <row r="9" spans="1:10" x14ac:dyDescent="0.25">
      <c r="A9" s="7" t="s">
        <v>1122</v>
      </c>
      <c r="B9" s="49">
        <v>0</v>
      </c>
      <c r="C9" s="49">
        <v>0</v>
      </c>
      <c r="D9" s="49">
        <v>0</v>
      </c>
      <c r="E9" s="49">
        <v>0</v>
      </c>
      <c r="F9" s="49">
        <v>18</v>
      </c>
      <c r="G9" s="49">
        <v>70</v>
      </c>
      <c r="H9" s="49">
        <v>13</v>
      </c>
      <c r="I9" s="49">
        <v>0</v>
      </c>
      <c r="J9" s="49">
        <v>101</v>
      </c>
    </row>
    <row r="10" spans="1:10" x14ac:dyDescent="0.25">
      <c r="A10" s="7" t="s">
        <v>1123</v>
      </c>
      <c r="B10" s="49">
        <v>0</v>
      </c>
      <c r="C10" s="49">
        <v>0</v>
      </c>
      <c r="D10" s="49">
        <v>0</v>
      </c>
      <c r="E10" s="38">
        <v>0.1</v>
      </c>
      <c r="F10" s="49">
        <v>28</v>
      </c>
      <c r="G10" s="49">
        <v>63</v>
      </c>
      <c r="H10" s="49">
        <v>9</v>
      </c>
      <c r="I10" s="49">
        <v>0</v>
      </c>
      <c r="J10" s="49">
        <v>100.1</v>
      </c>
    </row>
    <row r="11" spans="1:10" x14ac:dyDescent="0.25">
      <c r="A11" s="7" t="s">
        <v>1124</v>
      </c>
      <c r="B11" s="49">
        <v>0</v>
      </c>
      <c r="C11" s="49">
        <v>0</v>
      </c>
      <c r="D11" s="49">
        <v>0</v>
      </c>
      <c r="E11" s="49">
        <v>1</v>
      </c>
      <c r="F11" s="49">
        <v>33</v>
      </c>
      <c r="G11" s="49">
        <v>58</v>
      </c>
      <c r="H11" s="49">
        <v>8</v>
      </c>
      <c r="I11" s="49">
        <v>0</v>
      </c>
      <c r="J11" s="49">
        <v>100</v>
      </c>
    </row>
    <row r="12" spans="1:10" x14ac:dyDescent="0.25">
      <c r="A12" s="7" t="s">
        <v>1125</v>
      </c>
      <c r="B12" s="49">
        <v>0</v>
      </c>
      <c r="C12" s="49">
        <v>0</v>
      </c>
      <c r="D12" s="49">
        <v>0</v>
      </c>
      <c r="E12" s="49">
        <v>1</v>
      </c>
      <c r="F12" s="49">
        <v>37</v>
      </c>
      <c r="G12" s="49">
        <v>55</v>
      </c>
      <c r="H12" s="49">
        <v>7</v>
      </c>
      <c r="I12" s="49">
        <v>0</v>
      </c>
      <c r="J12" s="49">
        <v>100</v>
      </c>
    </row>
    <row r="13" spans="1:10" x14ac:dyDescent="0.25">
      <c r="A13" s="7" t="s">
        <v>1126</v>
      </c>
      <c r="B13" s="49">
        <v>0</v>
      </c>
      <c r="C13" s="49">
        <v>0</v>
      </c>
      <c r="D13" s="49">
        <v>0</v>
      </c>
      <c r="E13" s="38">
        <v>2.5</v>
      </c>
      <c r="F13" s="49">
        <v>42</v>
      </c>
      <c r="G13" s="49">
        <v>50</v>
      </c>
      <c r="H13" s="49">
        <v>6</v>
      </c>
      <c r="I13" s="49">
        <v>0</v>
      </c>
      <c r="J13" s="49">
        <v>100.5</v>
      </c>
    </row>
    <row r="14" spans="1:10" x14ac:dyDescent="0.25">
      <c r="A14" s="7" t="s">
        <v>1127</v>
      </c>
      <c r="B14" s="49">
        <v>0</v>
      </c>
      <c r="C14" s="49">
        <v>0</v>
      </c>
      <c r="D14" s="49">
        <v>0</v>
      </c>
      <c r="E14" s="49">
        <v>5</v>
      </c>
      <c r="F14" s="49">
        <v>45</v>
      </c>
      <c r="G14" s="49">
        <v>45</v>
      </c>
      <c r="H14" s="49">
        <v>5</v>
      </c>
      <c r="I14" s="49">
        <v>0</v>
      </c>
      <c r="J14" s="49">
        <v>100</v>
      </c>
    </row>
    <row r="15" spans="1:10" x14ac:dyDescent="0.25">
      <c r="A15" s="7" t="s">
        <v>1128</v>
      </c>
      <c r="B15" s="49">
        <v>0</v>
      </c>
      <c r="C15" s="49">
        <v>0</v>
      </c>
      <c r="D15" s="49">
        <v>0</v>
      </c>
      <c r="E15" s="49">
        <v>13</v>
      </c>
      <c r="F15" s="49">
        <v>45</v>
      </c>
      <c r="G15" s="49">
        <v>40</v>
      </c>
      <c r="H15" s="49">
        <v>3</v>
      </c>
      <c r="I15" s="49">
        <v>0</v>
      </c>
      <c r="J15" s="49">
        <v>101</v>
      </c>
    </row>
    <row r="16" spans="1:10" x14ac:dyDescent="0.25">
      <c r="A16" s="7" t="s">
        <v>1129</v>
      </c>
      <c r="B16" s="49">
        <v>0</v>
      </c>
      <c r="C16" s="49">
        <v>0</v>
      </c>
      <c r="D16" s="49">
        <v>1</v>
      </c>
      <c r="E16" s="49">
        <v>27</v>
      </c>
      <c r="F16" s="49">
        <v>39</v>
      </c>
      <c r="G16" s="49">
        <v>33</v>
      </c>
      <c r="H16" s="49">
        <v>0</v>
      </c>
      <c r="I16" s="49">
        <v>0</v>
      </c>
      <c r="J16" s="49">
        <v>100</v>
      </c>
    </row>
    <row r="17" spans="1:10" x14ac:dyDescent="0.25">
      <c r="A17" s="7" t="s">
        <v>1130</v>
      </c>
      <c r="B17" s="49">
        <v>0</v>
      </c>
      <c r="C17" s="49">
        <v>0</v>
      </c>
      <c r="D17" s="49">
        <v>4</v>
      </c>
      <c r="E17" s="49">
        <v>41</v>
      </c>
      <c r="F17" s="49">
        <v>31</v>
      </c>
      <c r="G17" s="49">
        <v>24</v>
      </c>
      <c r="H17" s="49">
        <v>0</v>
      </c>
      <c r="I17" s="49">
        <v>0</v>
      </c>
      <c r="J17" s="49">
        <v>100</v>
      </c>
    </row>
    <row r="18" spans="1:10" x14ac:dyDescent="0.25">
      <c r="A18" s="7" t="s">
        <v>1131</v>
      </c>
      <c r="B18" s="49">
        <v>0</v>
      </c>
      <c r="C18" s="38">
        <v>0.5</v>
      </c>
      <c r="D18" s="49">
        <v>10</v>
      </c>
      <c r="E18" s="49">
        <v>36</v>
      </c>
      <c r="F18" s="49">
        <v>41</v>
      </c>
      <c r="G18" s="49">
        <v>12</v>
      </c>
      <c r="H18" s="49">
        <v>0</v>
      </c>
      <c r="I18" s="49">
        <v>0</v>
      </c>
      <c r="J18" s="38">
        <v>99.5</v>
      </c>
    </row>
    <row r="19" spans="1:10" x14ac:dyDescent="0.25">
      <c r="A19" s="7" t="s">
        <v>1132</v>
      </c>
      <c r="B19" s="49">
        <v>0</v>
      </c>
      <c r="C19" s="38">
        <v>2.5</v>
      </c>
      <c r="D19" s="49">
        <v>12</v>
      </c>
      <c r="E19" s="49">
        <v>42</v>
      </c>
      <c r="F19" s="49">
        <v>38</v>
      </c>
      <c r="G19" s="49">
        <v>5</v>
      </c>
      <c r="H19" s="49">
        <v>0</v>
      </c>
      <c r="I19" s="49">
        <v>0</v>
      </c>
      <c r="J19" s="38">
        <v>99.5</v>
      </c>
    </row>
    <row r="20" spans="1:10" x14ac:dyDescent="0.25">
      <c r="A20" s="7" t="s">
        <v>1133</v>
      </c>
      <c r="B20" s="38">
        <v>0.5</v>
      </c>
      <c r="C20" s="49">
        <v>4</v>
      </c>
      <c r="D20" s="49">
        <v>13</v>
      </c>
      <c r="E20" s="49">
        <v>47</v>
      </c>
      <c r="F20" s="49">
        <v>34</v>
      </c>
      <c r="G20" s="49">
        <v>2</v>
      </c>
      <c r="H20" s="49">
        <v>0</v>
      </c>
      <c r="I20" s="49">
        <v>0</v>
      </c>
      <c r="J20" s="49">
        <v>100.5</v>
      </c>
    </row>
    <row r="21" spans="1:10" x14ac:dyDescent="0.25">
      <c r="A21" s="7" t="s">
        <v>1134</v>
      </c>
      <c r="B21" s="38">
        <v>1.5</v>
      </c>
      <c r="C21" s="49">
        <v>6</v>
      </c>
      <c r="D21" s="49">
        <v>19</v>
      </c>
      <c r="E21" s="49">
        <v>49</v>
      </c>
      <c r="F21" s="49">
        <v>25</v>
      </c>
      <c r="G21" s="49">
        <v>0</v>
      </c>
      <c r="H21" s="49">
        <v>0</v>
      </c>
      <c r="I21" s="49">
        <v>0</v>
      </c>
      <c r="J21" s="49">
        <v>100.5</v>
      </c>
    </row>
    <row r="22" spans="1:10" x14ac:dyDescent="0.25">
      <c r="A22" s="7" t="s">
        <v>1135</v>
      </c>
      <c r="B22" s="38">
        <v>3.6</v>
      </c>
      <c r="C22" s="49">
        <v>6</v>
      </c>
      <c r="D22" s="49">
        <v>22</v>
      </c>
      <c r="E22" s="49">
        <v>45</v>
      </c>
      <c r="F22" s="49">
        <v>23</v>
      </c>
      <c r="G22" s="49">
        <v>0</v>
      </c>
      <c r="H22" s="49">
        <v>0</v>
      </c>
      <c r="I22" s="49">
        <v>0</v>
      </c>
      <c r="J22" s="38">
        <v>99.6</v>
      </c>
    </row>
    <row r="23" spans="1:10" x14ac:dyDescent="0.25">
      <c r="A23" s="7" t="s">
        <v>1136</v>
      </c>
      <c r="B23" s="49">
        <v>10</v>
      </c>
      <c r="C23" s="49">
        <v>10</v>
      </c>
      <c r="D23" s="49">
        <v>26</v>
      </c>
      <c r="E23" s="49">
        <v>35</v>
      </c>
      <c r="F23" s="49">
        <v>19</v>
      </c>
      <c r="G23" s="49">
        <v>0</v>
      </c>
      <c r="H23" s="49">
        <v>0</v>
      </c>
      <c r="I23" s="49">
        <v>0</v>
      </c>
      <c r="J23" s="49">
        <v>100</v>
      </c>
    </row>
    <row r="24" spans="1:10" x14ac:dyDescent="0.25">
      <c r="A24" s="7" t="s">
        <v>1137</v>
      </c>
      <c r="B24" s="49">
        <v>16</v>
      </c>
      <c r="C24" s="49">
        <v>12</v>
      </c>
      <c r="D24" s="49">
        <v>31</v>
      </c>
      <c r="E24" s="49">
        <v>32</v>
      </c>
      <c r="F24" s="49">
        <v>10</v>
      </c>
      <c r="G24" s="49">
        <v>0</v>
      </c>
      <c r="H24" s="49">
        <v>0</v>
      </c>
      <c r="I24" s="49">
        <v>0</v>
      </c>
      <c r="J24" s="49">
        <v>101</v>
      </c>
    </row>
    <row r="25" spans="1:10" x14ac:dyDescent="0.25">
      <c r="A25" s="7" t="s">
        <v>1138</v>
      </c>
      <c r="B25" s="49">
        <v>18</v>
      </c>
      <c r="C25" s="49">
        <v>12</v>
      </c>
      <c r="D25" s="49">
        <v>35</v>
      </c>
      <c r="E25" s="49">
        <v>27</v>
      </c>
      <c r="F25" s="49">
        <v>8</v>
      </c>
      <c r="G25" s="49">
        <v>0</v>
      </c>
      <c r="H25" s="49">
        <v>0</v>
      </c>
      <c r="I25" s="49">
        <v>0</v>
      </c>
      <c r="J25" s="49">
        <v>100</v>
      </c>
    </row>
    <row r="26" spans="1:10" x14ac:dyDescent="0.25">
      <c r="A26" s="7" t="s">
        <v>1139</v>
      </c>
      <c r="B26" s="49">
        <v>24</v>
      </c>
      <c r="C26" s="49">
        <v>13</v>
      </c>
      <c r="D26" s="49">
        <v>38</v>
      </c>
      <c r="E26" s="49">
        <v>18</v>
      </c>
      <c r="F26" s="49">
        <v>6</v>
      </c>
      <c r="G26" s="49">
        <v>0</v>
      </c>
      <c r="H26" s="38">
        <v>0.5</v>
      </c>
      <c r="I26" s="49">
        <v>0</v>
      </c>
      <c r="J26" s="38">
        <v>99.5</v>
      </c>
    </row>
    <row r="27" spans="1:10" x14ac:dyDescent="0.25">
      <c r="A27" s="7" t="s">
        <v>1140</v>
      </c>
      <c r="B27" s="49">
        <v>26</v>
      </c>
      <c r="C27" s="49">
        <v>12</v>
      </c>
      <c r="D27" s="49">
        <v>42</v>
      </c>
      <c r="E27" s="49">
        <v>12</v>
      </c>
      <c r="F27" s="49">
        <v>3</v>
      </c>
      <c r="G27" s="49">
        <v>0</v>
      </c>
      <c r="H27" s="38">
        <v>2.4</v>
      </c>
      <c r="I27" s="38">
        <v>2.6</v>
      </c>
      <c r="J27" s="49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6" customWidth="1"/>
    <col min="2" max="39" width="10" customWidth="1"/>
  </cols>
  <sheetData>
    <row r="1" spans="1:10" ht="15.75" x14ac:dyDescent="0.25">
      <c r="A1" s="1" t="s">
        <v>1202</v>
      </c>
    </row>
    <row r="2" spans="1:10" x14ac:dyDescent="0.25">
      <c r="A2" s="4" t="s">
        <v>1105</v>
      </c>
    </row>
    <row r="3" spans="1:10" x14ac:dyDescent="0.25">
      <c r="A3" s="4" t="s">
        <v>280</v>
      </c>
    </row>
    <row r="5" spans="1:10" x14ac:dyDescent="0.25">
      <c r="A5" s="48" t="s">
        <v>1106</v>
      </c>
      <c r="B5" s="48" t="s">
        <v>1203</v>
      </c>
      <c r="C5" s="48" t="s">
        <v>1204</v>
      </c>
      <c r="D5" s="48" t="s">
        <v>1205</v>
      </c>
      <c r="E5" s="48" t="s">
        <v>1206</v>
      </c>
      <c r="F5" s="48" t="s">
        <v>1207</v>
      </c>
      <c r="G5" s="48" t="s">
        <v>1208</v>
      </c>
      <c r="H5" s="48" t="s">
        <v>1199</v>
      </c>
      <c r="I5" s="48" t="s">
        <v>1200</v>
      </c>
      <c r="J5" s="48" t="s">
        <v>1201</v>
      </c>
    </row>
    <row r="6" spans="1:10" x14ac:dyDescent="0.25">
      <c r="A6" s="7" t="s">
        <v>1119</v>
      </c>
      <c r="B6" s="49">
        <v>0</v>
      </c>
      <c r="C6" s="49">
        <v>0</v>
      </c>
      <c r="D6" s="49">
        <v>0</v>
      </c>
      <c r="E6" s="49">
        <v>0</v>
      </c>
      <c r="F6" s="49">
        <v>0</v>
      </c>
      <c r="G6" s="49">
        <v>14</v>
      </c>
      <c r="H6" s="49">
        <v>14</v>
      </c>
      <c r="I6" s="49">
        <v>72</v>
      </c>
      <c r="J6" s="49">
        <v>100</v>
      </c>
    </row>
    <row r="7" spans="1:10" x14ac:dyDescent="0.25">
      <c r="A7" s="7" t="s">
        <v>1120</v>
      </c>
      <c r="B7" s="49">
        <v>0</v>
      </c>
      <c r="C7" s="49">
        <v>0</v>
      </c>
      <c r="D7" s="49">
        <v>0</v>
      </c>
      <c r="E7" s="49">
        <v>0</v>
      </c>
      <c r="F7" s="49">
        <v>0</v>
      </c>
      <c r="G7" s="49">
        <v>26</v>
      </c>
      <c r="H7" s="49">
        <v>11</v>
      </c>
      <c r="I7" s="49">
        <v>63</v>
      </c>
      <c r="J7" s="49">
        <v>100</v>
      </c>
    </row>
    <row r="8" spans="1:10" x14ac:dyDescent="0.25">
      <c r="A8" s="7" t="s">
        <v>1121</v>
      </c>
      <c r="B8" s="49">
        <v>0</v>
      </c>
      <c r="C8" s="49">
        <v>0</v>
      </c>
      <c r="D8" s="49">
        <v>0</v>
      </c>
      <c r="E8" s="49">
        <v>0</v>
      </c>
      <c r="F8" s="49">
        <v>0</v>
      </c>
      <c r="G8" s="49">
        <v>47</v>
      </c>
      <c r="H8" s="49">
        <v>8</v>
      </c>
      <c r="I8" s="49">
        <v>45</v>
      </c>
      <c r="J8" s="49">
        <v>100</v>
      </c>
    </row>
    <row r="9" spans="1:10" x14ac:dyDescent="0.25">
      <c r="A9" s="7" t="s">
        <v>1122</v>
      </c>
      <c r="B9" s="49">
        <v>0</v>
      </c>
      <c r="C9" s="49">
        <v>0</v>
      </c>
      <c r="D9" s="49">
        <v>0</v>
      </c>
      <c r="E9" s="49">
        <v>0</v>
      </c>
      <c r="F9" s="49">
        <v>0</v>
      </c>
      <c r="G9" s="49">
        <v>54</v>
      </c>
      <c r="H9" s="49">
        <v>8</v>
      </c>
      <c r="I9" s="49">
        <v>38</v>
      </c>
      <c r="J9" s="49">
        <v>100</v>
      </c>
    </row>
    <row r="10" spans="1:10" x14ac:dyDescent="0.25">
      <c r="A10" s="7" t="s">
        <v>1123</v>
      </c>
      <c r="B10" s="49">
        <v>0</v>
      </c>
      <c r="C10" s="49">
        <v>0</v>
      </c>
      <c r="D10" s="49">
        <v>0</v>
      </c>
      <c r="E10" s="49">
        <v>0</v>
      </c>
      <c r="F10" s="38">
        <v>0.1</v>
      </c>
      <c r="G10" s="49">
        <v>62</v>
      </c>
      <c r="H10" s="49">
        <v>7</v>
      </c>
      <c r="I10" s="38">
        <v>30.9</v>
      </c>
      <c r="J10" s="49">
        <v>100</v>
      </c>
    </row>
    <row r="11" spans="1:10" x14ac:dyDescent="0.25">
      <c r="A11" s="7" t="s">
        <v>1124</v>
      </c>
      <c r="B11" s="49">
        <v>0</v>
      </c>
      <c r="C11" s="49">
        <v>0</v>
      </c>
      <c r="D11" s="49">
        <v>0</v>
      </c>
      <c r="E11" s="49">
        <v>0</v>
      </c>
      <c r="F11" s="38">
        <v>0.1</v>
      </c>
      <c r="G11" s="49">
        <v>67</v>
      </c>
      <c r="H11" s="49">
        <v>6</v>
      </c>
      <c r="I11" s="38">
        <v>26.9</v>
      </c>
      <c r="J11" s="49">
        <v>100</v>
      </c>
    </row>
    <row r="12" spans="1:10" x14ac:dyDescent="0.25">
      <c r="A12" s="7" t="s">
        <v>1125</v>
      </c>
      <c r="B12" s="49">
        <v>0</v>
      </c>
      <c r="C12" s="49">
        <v>0</v>
      </c>
      <c r="D12" s="49">
        <v>0</v>
      </c>
      <c r="E12" s="49">
        <v>0</v>
      </c>
      <c r="F12" s="38">
        <v>1.9</v>
      </c>
      <c r="G12" s="49">
        <v>75</v>
      </c>
      <c r="H12" s="49">
        <v>6</v>
      </c>
      <c r="I12" s="38">
        <v>17.100000000000001</v>
      </c>
      <c r="J12" s="49">
        <v>100</v>
      </c>
    </row>
    <row r="13" spans="1:10" x14ac:dyDescent="0.25">
      <c r="A13" s="7" t="s">
        <v>1126</v>
      </c>
      <c r="B13" s="49">
        <v>0</v>
      </c>
      <c r="C13" s="49">
        <v>0</v>
      </c>
      <c r="D13" s="49">
        <v>0</v>
      </c>
      <c r="E13" s="49">
        <v>0</v>
      </c>
      <c r="F13" s="49">
        <v>6</v>
      </c>
      <c r="G13" s="49">
        <v>75</v>
      </c>
      <c r="H13" s="49">
        <v>5</v>
      </c>
      <c r="I13" s="49">
        <v>14</v>
      </c>
      <c r="J13" s="49">
        <v>100</v>
      </c>
    </row>
    <row r="14" spans="1:10" x14ac:dyDescent="0.25">
      <c r="A14" s="7" t="s">
        <v>1127</v>
      </c>
      <c r="B14" s="49">
        <v>0</v>
      </c>
      <c r="C14" s="49">
        <v>0</v>
      </c>
      <c r="D14" s="38">
        <v>0.1</v>
      </c>
      <c r="E14" s="49">
        <v>0</v>
      </c>
      <c r="F14" s="49">
        <v>12</v>
      </c>
      <c r="G14" s="49">
        <v>73</v>
      </c>
      <c r="H14" s="49">
        <v>5</v>
      </c>
      <c r="I14" s="38">
        <v>9.9</v>
      </c>
      <c r="J14" s="49">
        <v>100</v>
      </c>
    </row>
    <row r="15" spans="1:10" x14ac:dyDescent="0.25">
      <c r="A15" s="7" t="s">
        <v>1128</v>
      </c>
      <c r="B15" s="49">
        <v>0</v>
      </c>
      <c r="C15" s="49">
        <v>0</v>
      </c>
      <c r="D15" s="49">
        <v>2</v>
      </c>
      <c r="E15" s="38">
        <v>0.2</v>
      </c>
      <c r="F15" s="49">
        <v>19</v>
      </c>
      <c r="G15" s="49">
        <v>67</v>
      </c>
      <c r="H15" s="49">
        <v>4</v>
      </c>
      <c r="I15" s="38">
        <v>7.8</v>
      </c>
      <c r="J15" s="49">
        <v>100</v>
      </c>
    </row>
    <row r="16" spans="1:10" x14ac:dyDescent="0.25">
      <c r="A16" s="7" t="s">
        <v>1129</v>
      </c>
      <c r="B16" s="49">
        <v>0</v>
      </c>
      <c r="C16" s="49">
        <v>0</v>
      </c>
      <c r="D16" s="49">
        <v>23</v>
      </c>
      <c r="E16" s="38">
        <v>0.5</v>
      </c>
      <c r="F16" s="49">
        <v>29</v>
      </c>
      <c r="G16" s="49">
        <v>38</v>
      </c>
      <c r="H16" s="49">
        <v>4</v>
      </c>
      <c r="I16" s="38">
        <v>5.5</v>
      </c>
      <c r="J16" s="49">
        <v>100</v>
      </c>
    </row>
    <row r="17" spans="1:10" x14ac:dyDescent="0.25">
      <c r="A17" s="7" t="s">
        <v>1130</v>
      </c>
      <c r="B17" s="49">
        <v>0</v>
      </c>
      <c r="C17" s="49">
        <v>0</v>
      </c>
      <c r="D17" s="49">
        <v>22</v>
      </c>
      <c r="E17" s="49">
        <v>1</v>
      </c>
      <c r="F17" s="49">
        <v>47</v>
      </c>
      <c r="G17" s="49">
        <v>21</v>
      </c>
      <c r="H17" s="49">
        <v>3</v>
      </c>
      <c r="I17" s="49">
        <v>6</v>
      </c>
      <c r="J17" s="49">
        <v>100</v>
      </c>
    </row>
    <row r="18" spans="1:10" x14ac:dyDescent="0.25">
      <c r="A18" s="7" t="s">
        <v>1131</v>
      </c>
      <c r="B18" s="49">
        <v>0</v>
      </c>
      <c r="C18" s="49">
        <v>0</v>
      </c>
      <c r="D18" s="49">
        <v>22</v>
      </c>
      <c r="E18" s="49">
        <v>2</v>
      </c>
      <c r="F18" s="49">
        <v>50</v>
      </c>
      <c r="G18" s="49">
        <v>18</v>
      </c>
      <c r="H18" s="49">
        <v>4</v>
      </c>
      <c r="I18" s="49">
        <v>4</v>
      </c>
      <c r="J18" s="49">
        <v>100</v>
      </c>
    </row>
    <row r="19" spans="1:10" x14ac:dyDescent="0.25">
      <c r="A19" s="7" t="s">
        <v>1132</v>
      </c>
      <c r="B19" s="49">
        <v>0</v>
      </c>
      <c r="C19" s="38">
        <v>0.1</v>
      </c>
      <c r="D19" s="49">
        <v>20</v>
      </c>
      <c r="E19" s="38">
        <v>1.9</v>
      </c>
      <c r="F19" s="49">
        <v>56</v>
      </c>
      <c r="G19" s="49">
        <v>17</v>
      </c>
      <c r="H19" s="38">
        <v>2.2999999999999998</v>
      </c>
      <c r="I19" s="38">
        <v>2.7</v>
      </c>
      <c r="J19" s="49">
        <v>100</v>
      </c>
    </row>
    <row r="20" spans="1:10" x14ac:dyDescent="0.25">
      <c r="A20" s="7" t="s">
        <v>1133</v>
      </c>
      <c r="B20" s="49">
        <v>0</v>
      </c>
      <c r="C20" s="38">
        <v>1.9</v>
      </c>
      <c r="D20" s="49">
        <v>20</v>
      </c>
      <c r="E20" s="38">
        <v>1.9</v>
      </c>
      <c r="F20" s="49">
        <v>58</v>
      </c>
      <c r="G20" s="49">
        <v>14</v>
      </c>
      <c r="H20" s="38">
        <v>1.6</v>
      </c>
      <c r="I20" s="38">
        <v>2.6</v>
      </c>
      <c r="J20" s="49">
        <v>100</v>
      </c>
    </row>
    <row r="21" spans="1:10" x14ac:dyDescent="0.25">
      <c r="A21" s="7" t="s">
        <v>1134</v>
      </c>
      <c r="B21" s="49">
        <v>0</v>
      </c>
      <c r="C21" s="49">
        <v>6</v>
      </c>
      <c r="D21" s="49">
        <v>20</v>
      </c>
      <c r="E21" s="38">
        <v>1.9</v>
      </c>
      <c r="F21" s="49">
        <v>60</v>
      </c>
      <c r="G21" s="49">
        <v>8</v>
      </c>
      <c r="H21" s="38">
        <v>1.5</v>
      </c>
      <c r="I21" s="38">
        <v>2.6</v>
      </c>
      <c r="J21" s="49">
        <v>100</v>
      </c>
    </row>
    <row r="22" spans="1:10" x14ac:dyDescent="0.25">
      <c r="A22" s="7" t="s">
        <v>1135</v>
      </c>
      <c r="B22" s="49">
        <v>0</v>
      </c>
      <c r="C22" s="49">
        <v>13</v>
      </c>
      <c r="D22" s="49">
        <v>30</v>
      </c>
      <c r="E22" s="38">
        <v>1.9</v>
      </c>
      <c r="F22" s="49">
        <v>45</v>
      </c>
      <c r="G22" s="49">
        <v>6</v>
      </c>
      <c r="H22" s="38">
        <v>1.4</v>
      </c>
      <c r="I22" s="38">
        <v>2.7</v>
      </c>
      <c r="J22" s="49">
        <v>100</v>
      </c>
    </row>
    <row r="23" spans="1:10" x14ac:dyDescent="0.25">
      <c r="A23" s="7" t="s">
        <v>1136</v>
      </c>
      <c r="B23" s="49">
        <v>0</v>
      </c>
      <c r="C23" s="49">
        <v>25</v>
      </c>
      <c r="D23" s="49">
        <v>24</v>
      </c>
      <c r="E23" s="49">
        <v>2</v>
      </c>
      <c r="F23" s="49">
        <v>40</v>
      </c>
      <c r="G23" s="49">
        <v>6</v>
      </c>
      <c r="H23" s="38">
        <v>1.4</v>
      </c>
      <c r="I23" s="38">
        <v>1.7</v>
      </c>
      <c r="J23" s="49">
        <v>100.1</v>
      </c>
    </row>
    <row r="24" spans="1:10" x14ac:dyDescent="0.25">
      <c r="A24" s="7" t="s">
        <v>1137</v>
      </c>
      <c r="B24" s="38">
        <v>0.1</v>
      </c>
      <c r="C24" s="49">
        <v>34</v>
      </c>
      <c r="D24" s="49">
        <v>20</v>
      </c>
      <c r="E24" s="49">
        <v>2</v>
      </c>
      <c r="F24" s="49">
        <v>35</v>
      </c>
      <c r="G24" s="49">
        <v>6</v>
      </c>
      <c r="H24" s="38">
        <v>1.4</v>
      </c>
      <c r="I24" s="38">
        <v>1.5</v>
      </c>
      <c r="J24" s="49">
        <v>100</v>
      </c>
    </row>
    <row r="25" spans="1:10" x14ac:dyDescent="0.25">
      <c r="A25" s="7" t="s">
        <v>1138</v>
      </c>
      <c r="B25" s="38">
        <v>0.1</v>
      </c>
      <c r="C25" s="49">
        <v>38</v>
      </c>
      <c r="D25" s="49">
        <v>14</v>
      </c>
      <c r="E25" s="49">
        <v>2</v>
      </c>
      <c r="F25" s="49">
        <v>37</v>
      </c>
      <c r="G25" s="49">
        <v>5</v>
      </c>
      <c r="H25" s="38">
        <v>1.3</v>
      </c>
      <c r="I25" s="38">
        <v>2.6</v>
      </c>
      <c r="J25" s="49">
        <v>100</v>
      </c>
    </row>
    <row r="26" spans="1:10" x14ac:dyDescent="0.25">
      <c r="A26" s="7" t="s">
        <v>1139</v>
      </c>
      <c r="B26" s="49">
        <v>2</v>
      </c>
      <c r="C26" s="49">
        <v>41</v>
      </c>
      <c r="D26" s="49">
        <v>9</v>
      </c>
      <c r="E26" s="38">
        <v>1.8</v>
      </c>
      <c r="F26" s="49">
        <v>39</v>
      </c>
      <c r="G26" s="49">
        <v>4</v>
      </c>
      <c r="H26" s="38">
        <v>1.3</v>
      </c>
      <c r="I26" s="49">
        <v>2</v>
      </c>
      <c r="J26" s="49">
        <v>100.1</v>
      </c>
    </row>
    <row r="27" spans="1:10" x14ac:dyDescent="0.25">
      <c r="A27" s="7" t="s">
        <v>1140</v>
      </c>
      <c r="B27" s="49">
        <v>6</v>
      </c>
      <c r="C27" s="49">
        <v>45</v>
      </c>
      <c r="D27" s="49">
        <v>9</v>
      </c>
      <c r="E27" s="38">
        <v>1.6</v>
      </c>
      <c r="F27" s="49">
        <v>33</v>
      </c>
      <c r="G27" s="49">
        <v>3</v>
      </c>
      <c r="H27" s="38">
        <v>1.2</v>
      </c>
      <c r="I27" s="38">
        <v>1.1000000000000001</v>
      </c>
      <c r="J27" s="38">
        <v>99.9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6" customWidth="1"/>
    <col min="2" max="39" width="10" customWidth="1"/>
  </cols>
  <sheetData>
    <row r="1" spans="1:8" ht="15.75" x14ac:dyDescent="0.25">
      <c r="A1" s="1" t="s">
        <v>1209</v>
      </c>
    </row>
    <row r="2" spans="1:8" x14ac:dyDescent="0.25">
      <c r="A2" s="4" t="s">
        <v>1105</v>
      </c>
    </row>
    <row r="3" spans="1:8" x14ac:dyDescent="0.25">
      <c r="A3" s="4" t="s">
        <v>280</v>
      </c>
    </row>
    <row r="5" spans="1:8" x14ac:dyDescent="0.25">
      <c r="A5" s="48" t="s">
        <v>1106</v>
      </c>
      <c r="B5" s="48" t="s">
        <v>1210</v>
      </c>
      <c r="C5" s="48" t="s">
        <v>1211</v>
      </c>
      <c r="D5" s="48" t="s">
        <v>1212</v>
      </c>
      <c r="E5" s="48" t="s">
        <v>1213</v>
      </c>
      <c r="F5" s="48" t="s">
        <v>1214</v>
      </c>
      <c r="G5" s="48" t="s">
        <v>1200</v>
      </c>
      <c r="H5" s="48" t="s">
        <v>1201</v>
      </c>
    </row>
    <row r="6" spans="1:8" x14ac:dyDescent="0.25">
      <c r="A6" s="7" t="s">
        <v>1119</v>
      </c>
      <c r="B6" s="49">
        <v>76</v>
      </c>
      <c r="C6" s="49">
        <v>2</v>
      </c>
      <c r="D6" s="49">
        <v>0</v>
      </c>
      <c r="E6" s="49">
        <v>0</v>
      </c>
      <c r="F6" s="49">
        <v>22</v>
      </c>
      <c r="G6" s="49">
        <v>0</v>
      </c>
      <c r="H6" s="49">
        <v>100</v>
      </c>
    </row>
    <row r="7" spans="1:8" x14ac:dyDescent="0.25">
      <c r="A7" s="7" t="s">
        <v>1120</v>
      </c>
      <c r="B7" s="49">
        <v>75</v>
      </c>
      <c r="C7" s="49">
        <v>7</v>
      </c>
      <c r="D7" s="49">
        <v>0</v>
      </c>
      <c r="E7" s="49">
        <v>0</v>
      </c>
      <c r="F7" s="49">
        <v>18</v>
      </c>
      <c r="G7" s="49">
        <v>0</v>
      </c>
      <c r="H7" s="49">
        <v>100</v>
      </c>
    </row>
    <row r="8" spans="1:8" x14ac:dyDescent="0.25">
      <c r="A8" s="7" t="s">
        <v>1121</v>
      </c>
      <c r="B8" s="49">
        <v>72</v>
      </c>
      <c r="C8" s="49">
        <v>12</v>
      </c>
      <c r="D8" s="49">
        <v>0</v>
      </c>
      <c r="E8" s="49">
        <v>0</v>
      </c>
      <c r="F8" s="49">
        <v>17</v>
      </c>
      <c r="G8" s="49">
        <v>0</v>
      </c>
      <c r="H8" s="49">
        <v>101</v>
      </c>
    </row>
    <row r="9" spans="1:8" x14ac:dyDescent="0.25">
      <c r="A9" s="7" t="s">
        <v>1122</v>
      </c>
      <c r="B9" s="49">
        <v>70</v>
      </c>
      <c r="C9" s="49">
        <v>18</v>
      </c>
      <c r="D9" s="49">
        <v>0</v>
      </c>
      <c r="E9" s="49">
        <v>0</v>
      </c>
      <c r="F9" s="49">
        <v>13</v>
      </c>
      <c r="G9" s="49">
        <v>0</v>
      </c>
      <c r="H9" s="49">
        <v>101</v>
      </c>
    </row>
    <row r="10" spans="1:8" x14ac:dyDescent="0.25">
      <c r="A10" s="7" t="s">
        <v>1123</v>
      </c>
      <c r="B10" s="49">
        <v>63</v>
      </c>
      <c r="C10" s="49">
        <v>28</v>
      </c>
      <c r="D10" s="38">
        <v>0.1</v>
      </c>
      <c r="E10" s="49">
        <v>0</v>
      </c>
      <c r="F10" s="49">
        <v>9</v>
      </c>
      <c r="G10" s="49">
        <v>0</v>
      </c>
      <c r="H10" s="49">
        <v>100.1</v>
      </c>
    </row>
    <row r="11" spans="1:8" x14ac:dyDescent="0.25">
      <c r="A11" s="7" t="s">
        <v>1124</v>
      </c>
      <c r="B11" s="49">
        <v>58</v>
      </c>
      <c r="C11" s="49">
        <v>33</v>
      </c>
      <c r="D11" s="49">
        <v>1</v>
      </c>
      <c r="E11" s="49">
        <v>0</v>
      </c>
      <c r="F11" s="49">
        <v>8</v>
      </c>
      <c r="G11" s="49">
        <v>0</v>
      </c>
      <c r="H11" s="49">
        <v>100</v>
      </c>
    </row>
    <row r="12" spans="1:8" x14ac:dyDescent="0.25">
      <c r="A12" s="7" t="s">
        <v>1125</v>
      </c>
      <c r="B12" s="49">
        <v>55</v>
      </c>
      <c r="C12" s="49">
        <v>37</v>
      </c>
      <c r="D12" s="49">
        <v>1</v>
      </c>
      <c r="E12" s="49">
        <v>0</v>
      </c>
      <c r="F12" s="49">
        <v>7</v>
      </c>
      <c r="G12" s="49">
        <v>0</v>
      </c>
      <c r="H12" s="49">
        <v>100</v>
      </c>
    </row>
    <row r="13" spans="1:8" x14ac:dyDescent="0.25">
      <c r="A13" s="7" t="s">
        <v>1126</v>
      </c>
      <c r="B13" s="49">
        <v>50</v>
      </c>
      <c r="C13" s="49">
        <v>42</v>
      </c>
      <c r="D13" s="49">
        <v>3</v>
      </c>
      <c r="E13" s="49">
        <v>0</v>
      </c>
      <c r="F13" s="49">
        <v>6</v>
      </c>
      <c r="G13" s="49">
        <v>0</v>
      </c>
      <c r="H13" s="49">
        <v>101</v>
      </c>
    </row>
    <row r="14" spans="1:8" x14ac:dyDescent="0.25">
      <c r="A14" s="7" t="s">
        <v>1127</v>
      </c>
      <c r="B14" s="49">
        <v>45</v>
      </c>
      <c r="C14" s="49">
        <v>45</v>
      </c>
      <c r="D14" s="49">
        <v>5</v>
      </c>
      <c r="E14" s="49">
        <v>0</v>
      </c>
      <c r="F14" s="49">
        <v>5</v>
      </c>
      <c r="G14" s="49">
        <v>0</v>
      </c>
      <c r="H14" s="49">
        <v>100</v>
      </c>
    </row>
    <row r="15" spans="1:8" x14ac:dyDescent="0.25">
      <c r="A15" s="7" t="s">
        <v>1128</v>
      </c>
      <c r="B15" s="49">
        <v>40</v>
      </c>
      <c r="C15" s="49">
        <v>45</v>
      </c>
      <c r="D15" s="49">
        <v>13</v>
      </c>
      <c r="E15" s="49">
        <v>0</v>
      </c>
      <c r="F15" s="49">
        <v>3</v>
      </c>
      <c r="G15" s="49">
        <v>0</v>
      </c>
      <c r="H15" s="49">
        <v>101</v>
      </c>
    </row>
    <row r="16" spans="1:8" x14ac:dyDescent="0.25">
      <c r="A16" s="7" t="s">
        <v>1129</v>
      </c>
      <c r="B16" s="49">
        <v>33</v>
      </c>
      <c r="C16" s="49">
        <v>39</v>
      </c>
      <c r="D16" s="49">
        <v>28</v>
      </c>
      <c r="E16" s="49">
        <v>0</v>
      </c>
      <c r="F16" s="49">
        <v>0</v>
      </c>
      <c r="G16" s="49">
        <v>0</v>
      </c>
      <c r="H16" s="49">
        <v>100</v>
      </c>
    </row>
    <row r="17" spans="1:8" x14ac:dyDescent="0.25">
      <c r="A17" s="7" t="s">
        <v>1130</v>
      </c>
      <c r="B17" s="49">
        <v>24</v>
      </c>
      <c r="C17" s="49">
        <v>31</v>
      </c>
      <c r="D17" s="49">
        <v>45</v>
      </c>
      <c r="E17" s="49">
        <v>0</v>
      </c>
      <c r="F17" s="49">
        <v>0</v>
      </c>
      <c r="G17" s="49">
        <v>0</v>
      </c>
      <c r="H17" s="49">
        <v>100</v>
      </c>
    </row>
    <row r="18" spans="1:8" x14ac:dyDescent="0.25">
      <c r="A18" s="7" t="s">
        <v>1131</v>
      </c>
      <c r="B18" s="49">
        <v>12</v>
      </c>
      <c r="C18" s="49">
        <v>41</v>
      </c>
      <c r="D18" s="49">
        <v>46</v>
      </c>
      <c r="E18" s="38">
        <v>0.5</v>
      </c>
      <c r="F18" s="49">
        <v>0</v>
      </c>
      <c r="G18" s="49">
        <v>0</v>
      </c>
      <c r="H18" s="38">
        <v>99.5</v>
      </c>
    </row>
    <row r="19" spans="1:8" x14ac:dyDescent="0.25">
      <c r="A19" s="7" t="s">
        <v>1132</v>
      </c>
      <c r="B19" s="49">
        <v>5</v>
      </c>
      <c r="C19" s="49">
        <v>38</v>
      </c>
      <c r="D19" s="49">
        <v>54</v>
      </c>
      <c r="E19" s="49">
        <v>3</v>
      </c>
      <c r="F19" s="49">
        <v>0</v>
      </c>
      <c r="G19" s="49">
        <v>0</v>
      </c>
      <c r="H19" s="49">
        <v>100</v>
      </c>
    </row>
    <row r="20" spans="1:8" x14ac:dyDescent="0.25">
      <c r="A20" s="7" t="s">
        <v>1133</v>
      </c>
      <c r="B20" s="49">
        <v>2</v>
      </c>
      <c r="C20" s="49">
        <v>34</v>
      </c>
      <c r="D20" s="49">
        <v>60</v>
      </c>
      <c r="E20" s="49">
        <v>5</v>
      </c>
      <c r="F20" s="49">
        <v>0</v>
      </c>
      <c r="G20" s="49">
        <v>0</v>
      </c>
      <c r="H20" s="49">
        <v>101</v>
      </c>
    </row>
    <row r="21" spans="1:8" x14ac:dyDescent="0.25">
      <c r="A21" s="7" t="s">
        <v>1134</v>
      </c>
      <c r="B21" s="49">
        <v>0</v>
      </c>
      <c r="C21" s="49">
        <v>25</v>
      </c>
      <c r="D21" s="49">
        <v>68</v>
      </c>
      <c r="E21" s="49">
        <v>8</v>
      </c>
      <c r="F21" s="49">
        <v>0</v>
      </c>
      <c r="G21" s="49">
        <v>0</v>
      </c>
      <c r="H21" s="49">
        <v>101</v>
      </c>
    </row>
    <row r="22" spans="1:8" x14ac:dyDescent="0.25">
      <c r="A22" s="7" t="s">
        <v>1135</v>
      </c>
      <c r="B22" s="49">
        <v>0</v>
      </c>
      <c r="C22" s="49">
        <v>23</v>
      </c>
      <c r="D22" s="49">
        <v>67</v>
      </c>
      <c r="E22" s="49">
        <v>10</v>
      </c>
      <c r="F22" s="49">
        <v>0</v>
      </c>
      <c r="G22" s="49">
        <v>0</v>
      </c>
      <c r="H22" s="49">
        <v>100</v>
      </c>
    </row>
    <row r="23" spans="1:8" x14ac:dyDescent="0.25">
      <c r="A23" s="7" t="s">
        <v>1136</v>
      </c>
      <c r="B23" s="49">
        <v>0</v>
      </c>
      <c r="C23" s="49">
        <v>19</v>
      </c>
      <c r="D23" s="49">
        <v>61</v>
      </c>
      <c r="E23" s="49">
        <v>20</v>
      </c>
      <c r="F23" s="49">
        <v>0</v>
      </c>
      <c r="G23" s="49">
        <v>0</v>
      </c>
      <c r="H23" s="49">
        <v>100</v>
      </c>
    </row>
    <row r="24" spans="1:8" x14ac:dyDescent="0.25">
      <c r="A24" s="7" t="s">
        <v>1137</v>
      </c>
      <c r="B24" s="49">
        <v>0</v>
      </c>
      <c r="C24" s="49">
        <v>10</v>
      </c>
      <c r="D24" s="49">
        <v>63</v>
      </c>
      <c r="E24" s="49">
        <v>28</v>
      </c>
      <c r="F24" s="49">
        <v>0</v>
      </c>
      <c r="G24" s="49">
        <v>0</v>
      </c>
      <c r="H24" s="49">
        <v>101</v>
      </c>
    </row>
    <row r="25" spans="1:8" x14ac:dyDescent="0.25">
      <c r="A25" s="7" t="s">
        <v>1138</v>
      </c>
      <c r="B25" s="49">
        <v>0</v>
      </c>
      <c r="C25" s="49">
        <v>8</v>
      </c>
      <c r="D25" s="49">
        <v>62</v>
      </c>
      <c r="E25" s="49">
        <v>30</v>
      </c>
      <c r="F25" s="49">
        <v>0</v>
      </c>
      <c r="G25" s="49">
        <v>0</v>
      </c>
      <c r="H25" s="49">
        <v>100</v>
      </c>
    </row>
    <row r="26" spans="1:8" x14ac:dyDescent="0.25">
      <c r="A26" s="7" t="s">
        <v>1139</v>
      </c>
      <c r="B26" s="49">
        <v>0</v>
      </c>
      <c r="C26" s="49">
        <v>6</v>
      </c>
      <c r="D26" s="49">
        <v>56</v>
      </c>
      <c r="E26" s="49">
        <v>37</v>
      </c>
      <c r="F26" s="38">
        <v>0.5</v>
      </c>
      <c r="G26" s="49">
        <v>0</v>
      </c>
      <c r="H26" s="38">
        <v>99.5</v>
      </c>
    </row>
    <row r="27" spans="1:8" x14ac:dyDescent="0.25">
      <c r="A27" s="7" t="s">
        <v>1140</v>
      </c>
      <c r="B27" s="49">
        <v>0</v>
      </c>
      <c r="C27" s="49">
        <v>3</v>
      </c>
      <c r="D27" s="49">
        <v>54</v>
      </c>
      <c r="E27" s="49">
        <v>41</v>
      </c>
      <c r="F27" s="49">
        <v>2</v>
      </c>
      <c r="G27" s="49">
        <v>0</v>
      </c>
      <c r="H27" s="49">
        <v>100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6" customWidth="1"/>
    <col min="2" max="39" width="10" customWidth="1"/>
  </cols>
  <sheetData>
    <row r="1" spans="1:8" ht="15.75" x14ac:dyDescent="0.25">
      <c r="A1" s="1" t="s">
        <v>1215</v>
      </c>
    </row>
    <row r="2" spans="1:8" x14ac:dyDescent="0.25">
      <c r="A2" s="4" t="s">
        <v>1105</v>
      </c>
    </row>
    <row r="3" spans="1:8" x14ac:dyDescent="0.25">
      <c r="A3" s="4" t="s">
        <v>280</v>
      </c>
    </row>
    <row r="5" spans="1:8" x14ac:dyDescent="0.25">
      <c r="A5" s="48" t="s">
        <v>1106</v>
      </c>
      <c r="B5" s="48" t="s">
        <v>1216</v>
      </c>
      <c r="C5" s="48" t="s">
        <v>1217</v>
      </c>
      <c r="D5" s="48" t="s">
        <v>1218</v>
      </c>
      <c r="E5" s="48" t="s">
        <v>1219</v>
      </c>
      <c r="F5" s="48" t="s">
        <v>1214</v>
      </c>
      <c r="G5" s="48" t="s">
        <v>1200</v>
      </c>
      <c r="H5" s="48" t="s">
        <v>1201</v>
      </c>
    </row>
    <row r="6" spans="1:8" x14ac:dyDescent="0.25">
      <c r="A6" s="7" t="s">
        <v>1119</v>
      </c>
      <c r="B6" s="49">
        <v>86</v>
      </c>
      <c r="C6" s="49">
        <v>0</v>
      </c>
      <c r="D6" s="49">
        <v>0</v>
      </c>
      <c r="E6" s="49">
        <v>0</v>
      </c>
      <c r="F6" s="49">
        <v>14</v>
      </c>
      <c r="G6" s="49">
        <v>0</v>
      </c>
      <c r="H6" s="49">
        <v>100</v>
      </c>
    </row>
    <row r="7" spans="1:8" x14ac:dyDescent="0.25">
      <c r="A7" s="7" t="s">
        <v>1120</v>
      </c>
      <c r="B7" s="49">
        <v>89</v>
      </c>
      <c r="C7" s="49">
        <v>0</v>
      </c>
      <c r="D7" s="49">
        <v>0</v>
      </c>
      <c r="E7" s="49">
        <v>0</v>
      </c>
      <c r="F7" s="49">
        <v>11</v>
      </c>
      <c r="G7" s="49">
        <v>0</v>
      </c>
      <c r="H7" s="49">
        <v>100</v>
      </c>
    </row>
    <row r="8" spans="1:8" x14ac:dyDescent="0.25">
      <c r="A8" s="7" t="s">
        <v>1121</v>
      </c>
      <c r="B8" s="49">
        <v>92</v>
      </c>
      <c r="C8" s="49">
        <v>0</v>
      </c>
      <c r="D8" s="49">
        <v>0</v>
      </c>
      <c r="E8" s="49">
        <v>0</v>
      </c>
      <c r="F8" s="49">
        <v>8</v>
      </c>
      <c r="G8" s="49">
        <v>0</v>
      </c>
      <c r="H8" s="49">
        <v>100</v>
      </c>
    </row>
    <row r="9" spans="1:8" x14ac:dyDescent="0.25">
      <c r="A9" s="7" t="s">
        <v>1122</v>
      </c>
      <c r="B9" s="49">
        <v>92</v>
      </c>
      <c r="C9" s="49">
        <v>0</v>
      </c>
      <c r="D9" s="49">
        <v>0</v>
      </c>
      <c r="E9" s="49">
        <v>0</v>
      </c>
      <c r="F9" s="49">
        <v>8</v>
      </c>
      <c r="G9" s="49">
        <v>0</v>
      </c>
      <c r="H9" s="49">
        <v>100</v>
      </c>
    </row>
    <row r="10" spans="1:8" x14ac:dyDescent="0.25">
      <c r="A10" s="7" t="s">
        <v>1123</v>
      </c>
      <c r="B10" s="49">
        <v>93</v>
      </c>
      <c r="C10" s="38">
        <v>0.1</v>
      </c>
      <c r="D10" s="49">
        <v>0</v>
      </c>
      <c r="E10" s="49">
        <v>0</v>
      </c>
      <c r="F10" s="49">
        <v>7</v>
      </c>
      <c r="G10" s="49">
        <v>0</v>
      </c>
      <c r="H10" s="49">
        <v>100.1</v>
      </c>
    </row>
    <row r="11" spans="1:8" x14ac:dyDescent="0.25">
      <c r="A11" s="7" t="s">
        <v>1124</v>
      </c>
      <c r="B11" s="49">
        <v>94</v>
      </c>
      <c r="C11" s="38">
        <v>0.1</v>
      </c>
      <c r="D11" s="49">
        <v>0</v>
      </c>
      <c r="E11" s="49">
        <v>0</v>
      </c>
      <c r="F11" s="49">
        <v>6</v>
      </c>
      <c r="G11" s="49">
        <v>0</v>
      </c>
      <c r="H11" s="49">
        <v>100.1</v>
      </c>
    </row>
    <row r="12" spans="1:8" x14ac:dyDescent="0.25">
      <c r="A12" s="7" t="s">
        <v>1125</v>
      </c>
      <c r="B12" s="49">
        <v>92</v>
      </c>
      <c r="C12" s="49">
        <v>2</v>
      </c>
      <c r="D12" s="49">
        <v>0</v>
      </c>
      <c r="E12" s="49">
        <v>0</v>
      </c>
      <c r="F12" s="49">
        <v>6</v>
      </c>
      <c r="G12" s="49">
        <v>0</v>
      </c>
      <c r="H12" s="49">
        <v>100</v>
      </c>
    </row>
    <row r="13" spans="1:8" x14ac:dyDescent="0.25">
      <c r="A13" s="7" t="s">
        <v>1126</v>
      </c>
      <c r="B13" s="49">
        <v>89</v>
      </c>
      <c r="C13" s="49">
        <v>6</v>
      </c>
      <c r="D13" s="49">
        <v>0</v>
      </c>
      <c r="E13" s="49">
        <v>0</v>
      </c>
      <c r="F13" s="49">
        <v>5</v>
      </c>
      <c r="G13" s="49">
        <v>0</v>
      </c>
      <c r="H13" s="49">
        <v>100</v>
      </c>
    </row>
    <row r="14" spans="1:8" x14ac:dyDescent="0.25">
      <c r="A14" s="7" t="s">
        <v>1127</v>
      </c>
      <c r="B14" s="49">
        <v>83</v>
      </c>
      <c r="C14" s="49">
        <v>12</v>
      </c>
      <c r="D14" s="49">
        <v>0</v>
      </c>
      <c r="E14" s="49">
        <v>0</v>
      </c>
      <c r="F14" s="49">
        <v>5</v>
      </c>
      <c r="G14" s="49">
        <v>0</v>
      </c>
      <c r="H14" s="49">
        <v>100</v>
      </c>
    </row>
    <row r="15" spans="1:8" x14ac:dyDescent="0.25">
      <c r="A15" s="7" t="s">
        <v>1128</v>
      </c>
      <c r="B15" s="49">
        <v>75</v>
      </c>
      <c r="C15" s="49">
        <v>21</v>
      </c>
      <c r="D15" s="49">
        <v>0</v>
      </c>
      <c r="E15" s="49">
        <v>0</v>
      </c>
      <c r="F15" s="49">
        <v>4</v>
      </c>
      <c r="G15" s="49">
        <v>0</v>
      </c>
      <c r="H15" s="49">
        <v>100</v>
      </c>
    </row>
    <row r="16" spans="1:8" x14ac:dyDescent="0.25">
      <c r="A16" s="7" t="s">
        <v>1129</v>
      </c>
      <c r="B16" s="49">
        <v>44</v>
      </c>
      <c r="C16" s="49">
        <v>52</v>
      </c>
      <c r="D16" s="49">
        <v>0</v>
      </c>
      <c r="E16" s="49">
        <v>0</v>
      </c>
      <c r="F16" s="49">
        <v>4</v>
      </c>
      <c r="G16" s="49">
        <v>0</v>
      </c>
      <c r="H16" s="49">
        <v>100</v>
      </c>
    </row>
    <row r="17" spans="1:8" x14ac:dyDescent="0.25">
      <c r="A17" s="7" t="s">
        <v>1130</v>
      </c>
      <c r="B17" s="49">
        <v>26</v>
      </c>
      <c r="C17" s="49">
        <v>70</v>
      </c>
      <c r="D17" s="49">
        <v>0</v>
      </c>
      <c r="E17" s="49">
        <v>0</v>
      </c>
      <c r="F17" s="49">
        <v>3</v>
      </c>
      <c r="G17" s="49">
        <v>0</v>
      </c>
      <c r="H17" s="49">
        <v>99</v>
      </c>
    </row>
    <row r="18" spans="1:8" x14ac:dyDescent="0.25">
      <c r="A18" s="7" t="s">
        <v>1131</v>
      </c>
      <c r="B18" s="49">
        <v>22</v>
      </c>
      <c r="C18" s="49">
        <v>74</v>
      </c>
      <c r="D18" s="49">
        <v>0</v>
      </c>
      <c r="E18" s="49">
        <v>0</v>
      </c>
      <c r="F18" s="49">
        <v>4</v>
      </c>
      <c r="G18" s="49">
        <v>0</v>
      </c>
      <c r="H18" s="49">
        <v>100</v>
      </c>
    </row>
    <row r="19" spans="1:8" x14ac:dyDescent="0.25">
      <c r="A19" s="7" t="s">
        <v>1132</v>
      </c>
      <c r="B19" s="49">
        <v>20</v>
      </c>
      <c r="C19" s="49">
        <v>78</v>
      </c>
      <c r="D19" s="38">
        <v>0.1</v>
      </c>
      <c r="E19" s="49">
        <v>0</v>
      </c>
      <c r="F19" s="49">
        <v>2</v>
      </c>
      <c r="G19" s="49">
        <v>0</v>
      </c>
      <c r="H19" s="49">
        <v>100.1</v>
      </c>
    </row>
    <row r="20" spans="1:8" x14ac:dyDescent="0.25">
      <c r="A20" s="7" t="s">
        <v>1133</v>
      </c>
      <c r="B20" s="49">
        <v>17</v>
      </c>
      <c r="C20" s="49">
        <v>80</v>
      </c>
      <c r="D20" s="49">
        <v>2</v>
      </c>
      <c r="E20" s="49">
        <v>0</v>
      </c>
      <c r="F20" s="38">
        <v>1.6</v>
      </c>
      <c r="G20" s="49">
        <v>0</v>
      </c>
      <c r="H20" s="49">
        <v>100.6</v>
      </c>
    </row>
    <row r="21" spans="1:8" x14ac:dyDescent="0.25">
      <c r="A21" s="7" t="s">
        <v>1134</v>
      </c>
      <c r="B21" s="49">
        <v>11</v>
      </c>
      <c r="C21" s="49">
        <v>82</v>
      </c>
      <c r="D21" s="49">
        <v>6</v>
      </c>
      <c r="E21" s="49">
        <v>0</v>
      </c>
      <c r="F21" s="38">
        <v>1.5</v>
      </c>
      <c r="G21" s="49">
        <v>0</v>
      </c>
      <c r="H21" s="49">
        <v>100.5</v>
      </c>
    </row>
    <row r="22" spans="1:8" x14ac:dyDescent="0.25">
      <c r="A22" s="7" t="s">
        <v>1135</v>
      </c>
      <c r="B22" s="49">
        <v>8</v>
      </c>
      <c r="C22" s="49">
        <v>77</v>
      </c>
      <c r="D22" s="49">
        <v>13</v>
      </c>
      <c r="E22" s="49">
        <v>0</v>
      </c>
      <c r="F22" s="38">
        <v>1.4</v>
      </c>
      <c r="G22" s="49">
        <v>0</v>
      </c>
      <c r="H22" s="38">
        <v>99.4</v>
      </c>
    </row>
    <row r="23" spans="1:8" x14ac:dyDescent="0.25">
      <c r="A23" s="7" t="s">
        <v>1136</v>
      </c>
      <c r="B23" s="49">
        <v>8</v>
      </c>
      <c r="C23" s="49">
        <v>66</v>
      </c>
      <c r="D23" s="49">
        <v>25</v>
      </c>
      <c r="E23" s="49">
        <v>0</v>
      </c>
      <c r="F23" s="38">
        <v>1.4</v>
      </c>
      <c r="G23" s="49">
        <v>0</v>
      </c>
      <c r="H23" s="49">
        <v>100.4</v>
      </c>
    </row>
    <row r="24" spans="1:8" x14ac:dyDescent="0.25">
      <c r="A24" s="7" t="s">
        <v>1137</v>
      </c>
      <c r="B24" s="49">
        <v>8</v>
      </c>
      <c r="C24" s="49">
        <v>57</v>
      </c>
      <c r="D24" s="49">
        <v>34</v>
      </c>
      <c r="E24" s="49">
        <v>0</v>
      </c>
      <c r="F24" s="38">
        <v>1.4</v>
      </c>
      <c r="G24" s="49">
        <v>0</v>
      </c>
      <c r="H24" s="49">
        <v>100.4</v>
      </c>
    </row>
    <row r="25" spans="1:8" x14ac:dyDescent="0.25">
      <c r="A25" s="7" t="s">
        <v>1138</v>
      </c>
      <c r="B25" s="49">
        <v>7</v>
      </c>
      <c r="C25" s="49">
        <v>53</v>
      </c>
      <c r="D25" s="49">
        <v>38</v>
      </c>
      <c r="E25" s="49">
        <v>0</v>
      </c>
      <c r="F25" s="38">
        <v>1.3</v>
      </c>
      <c r="G25" s="49">
        <v>0</v>
      </c>
      <c r="H25" s="38">
        <v>99.3</v>
      </c>
    </row>
    <row r="26" spans="1:8" x14ac:dyDescent="0.25">
      <c r="A26" s="7" t="s">
        <v>1139</v>
      </c>
      <c r="B26" s="49">
        <v>6</v>
      </c>
      <c r="C26" s="49">
        <v>50</v>
      </c>
      <c r="D26" s="49">
        <v>41</v>
      </c>
      <c r="E26" s="49">
        <v>2</v>
      </c>
      <c r="F26" s="38">
        <v>1.3</v>
      </c>
      <c r="G26" s="49">
        <v>0</v>
      </c>
      <c r="H26" s="49">
        <v>100.3</v>
      </c>
    </row>
    <row r="27" spans="1:8" x14ac:dyDescent="0.25">
      <c r="A27" s="7" t="s">
        <v>1140</v>
      </c>
      <c r="B27" s="49">
        <v>5</v>
      </c>
      <c r="C27" s="49">
        <v>43</v>
      </c>
      <c r="D27" s="49">
        <v>45</v>
      </c>
      <c r="E27" s="49">
        <v>6</v>
      </c>
      <c r="F27" s="38">
        <v>1.3</v>
      </c>
      <c r="G27" s="49">
        <v>0</v>
      </c>
      <c r="H27" s="49">
        <v>100.3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6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6" customWidth="1"/>
    <col min="2" max="39" width="10" customWidth="1"/>
  </cols>
  <sheetData>
    <row r="1" spans="1:21" ht="15.75" x14ac:dyDescent="0.25">
      <c r="A1" s="1" t="s">
        <v>1220</v>
      </c>
    </row>
    <row r="2" spans="1:21" x14ac:dyDescent="0.25">
      <c r="A2" s="4" t="s">
        <v>1221</v>
      </c>
    </row>
    <row r="3" spans="1:21" x14ac:dyDescent="0.25">
      <c r="A3" s="4" t="s">
        <v>280</v>
      </c>
    </row>
    <row r="5" spans="1:21" x14ac:dyDescent="0.25">
      <c r="A5" s="48" t="s">
        <v>1222</v>
      </c>
      <c r="B5" s="48" t="s">
        <v>1223</v>
      </c>
      <c r="C5" s="48" t="s">
        <v>1224</v>
      </c>
      <c r="D5" s="48" t="s">
        <v>1225</v>
      </c>
      <c r="E5" s="48" t="s">
        <v>1226</v>
      </c>
      <c r="F5" s="48" t="s">
        <v>1227</v>
      </c>
      <c r="G5" s="48" t="s">
        <v>1228</v>
      </c>
      <c r="H5" s="48" t="s">
        <v>1229</v>
      </c>
      <c r="I5" s="48" t="s">
        <v>1230</v>
      </c>
      <c r="J5" s="48" t="s">
        <v>1231</v>
      </c>
      <c r="K5" s="48" t="s">
        <v>1232</v>
      </c>
      <c r="L5" s="48" t="s">
        <v>1228</v>
      </c>
      <c r="M5" s="48" t="s">
        <v>1229</v>
      </c>
      <c r="N5" s="48" t="s">
        <v>82</v>
      </c>
      <c r="O5" s="48" t="s">
        <v>1231</v>
      </c>
      <c r="P5" s="48" t="s">
        <v>1232</v>
      </c>
      <c r="Q5" s="48" t="s">
        <v>1228</v>
      </c>
      <c r="R5" s="48" t="s">
        <v>1229</v>
      </c>
      <c r="S5" s="48" t="s">
        <v>1233</v>
      </c>
      <c r="T5" s="48" t="s">
        <v>1234</v>
      </c>
      <c r="U5" s="48" t="s">
        <v>635</v>
      </c>
    </row>
    <row r="6" spans="1:21" x14ac:dyDescent="0.25">
      <c r="A6" s="7" t="s">
        <v>1235</v>
      </c>
      <c r="B6" s="49">
        <v>22680</v>
      </c>
      <c r="C6" s="49">
        <v>25785</v>
      </c>
      <c r="D6" s="49">
        <v>34639</v>
      </c>
      <c r="E6" s="49">
        <v>10253</v>
      </c>
      <c r="F6" s="49">
        <v>11536</v>
      </c>
      <c r="G6" s="49">
        <v>13180</v>
      </c>
      <c r="H6" s="49">
        <v>17122</v>
      </c>
      <c r="I6" s="49">
        <v>52092</v>
      </c>
      <c r="J6" s="49">
        <v>19063</v>
      </c>
      <c r="K6" s="49">
        <v>20930</v>
      </c>
      <c r="L6" s="49">
        <v>25508</v>
      </c>
      <c r="M6" s="49">
        <v>32421</v>
      </c>
      <c r="N6" s="49">
        <v>97922</v>
      </c>
      <c r="O6" s="49">
        <v>32538</v>
      </c>
      <c r="P6" s="49">
        <v>33841</v>
      </c>
      <c r="Q6" s="49">
        <v>35995</v>
      </c>
      <c r="R6" s="49">
        <v>37618</v>
      </c>
      <c r="S6" s="49">
        <v>139993</v>
      </c>
      <c r="T6" s="49">
        <v>176924</v>
      </c>
      <c r="U6" s="49">
        <v>221588</v>
      </c>
    </row>
    <row r="7" spans="1:21" x14ac:dyDescent="0.25">
      <c r="A7" s="7" t="s">
        <v>1236</v>
      </c>
      <c r="B7" s="50">
        <v>-0.04</v>
      </c>
      <c r="C7" s="50">
        <v>0.14000000000000001</v>
      </c>
      <c r="D7" s="50">
        <v>0.34</v>
      </c>
      <c r="E7" s="50">
        <v>0.38</v>
      </c>
      <c r="F7" s="50">
        <v>0.5</v>
      </c>
      <c r="G7" s="50">
        <v>0.43</v>
      </c>
      <c r="H7" s="50">
        <v>0.67</v>
      </c>
      <c r="I7" s="50">
        <v>0.5</v>
      </c>
      <c r="J7" s="50">
        <v>0.86</v>
      </c>
      <c r="K7" s="50">
        <v>0.81</v>
      </c>
      <c r="L7" s="50">
        <v>0.94</v>
      </c>
      <c r="M7" s="50">
        <v>0.89</v>
      </c>
      <c r="N7" s="50">
        <v>0.88</v>
      </c>
      <c r="O7" s="50">
        <v>0.71</v>
      </c>
      <c r="P7" s="50">
        <v>0.62</v>
      </c>
      <c r="Q7" s="50">
        <v>0.41</v>
      </c>
      <c r="R7" s="50">
        <v>0.16</v>
      </c>
      <c r="S7" s="50">
        <v>0.43</v>
      </c>
      <c r="T7" s="50">
        <v>0.26</v>
      </c>
      <c r="U7" s="50">
        <v>0.25</v>
      </c>
    </row>
    <row r="8" spans="1:21" x14ac:dyDescent="0.25">
      <c r="A8" s="7" t="s">
        <v>1237</v>
      </c>
      <c r="B8" s="49">
        <v>11436</v>
      </c>
      <c r="C8" s="49">
        <v>13759</v>
      </c>
      <c r="D8" s="49">
        <v>18165</v>
      </c>
      <c r="E8" s="49">
        <v>5685</v>
      </c>
      <c r="F8" s="49">
        <v>6488</v>
      </c>
      <c r="G8" s="49">
        <v>7386</v>
      </c>
      <c r="H8" s="49">
        <v>9476</v>
      </c>
      <c r="I8" s="49">
        <v>29035</v>
      </c>
      <c r="J8" s="49">
        <v>10492</v>
      </c>
      <c r="K8" s="49">
        <v>11499</v>
      </c>
      <c r="L8" s="49">
        <v>14066</v>
      </c>
      <c r="M8" s="49">
        <v>17958</v>
      </c>
      <c r="N8" s="49">
        <v>54016</v>
      </c>
      <c r="O8" s="49">
        <v>18105</v>
      </c>
      <c r="P8" s="49">
        <v>18897</v>
      </c>
      <c r="Q8" s="49">
        <v>20208</v>
      </c>
      <c r="R8" s="49">
        <v>21213</v>
      </c>
      <c r="S8" s="49">
        <v>78424</v>
      </c>
      <c r="T8" s="49">
        <v>101143</v>
      </c>
      <c r="U8" s="49">
        <v>129261</v>
      </c>
    </row>
    <row r="9" spans="1:21" x14ac:dyDescent="0.25">
      <c r="A9" s="7" t="s">
        <v>1238</v>
      </c>
      <c r="B9" s="50">
        <v>0.504</v>
      </c>
      <c r="C9" s="50">
        <v>0.53400000000000003</v>
      </c>
      <c r="D9" s="50">
        <v>0.52400000000000002</v>
      </c>
      <c r="E9" s="50">
        <v>0.55400000000000005</v>
      </c>
      <c r="F9" s="50">
        <v>0.56200000000000006</v>
      </c>
      <c r="G9" s="50">
        <v>0.56000000000000005</v>
      </c>
      <c r="H9" s="50">
        <v>0.55300000000000005</v>
      </c>
      <c r="I9" s="50">
        <v>0.55700000000000005</v>
      </c>
      <c r="J9" s="50">
        <v>0.55000000000000004</v>
      </c>
      <c r="K9" s="50">
        <v>0.54900000000000004</v>
      </c>
      <c r="L9" s="50">
        <v>0.55100000000000005</v>
      </c>
      <c r="M9" s="50">
        <v>0.55400000000000005</v>
      </c>
      <c r="N9" s="50">
        <v>0.55200000000000005</v>
      </c>
      <c r="O9" s="50">
        <v>0.55600000000000005</v>
      </c>
      <c r="P9" s="50">
        <v>0.55800000000000005</v>
      </c>
      <c r="Q9" s="50">
        <v>0.56100000000000005</v>
      </c>
      <c r="R9" s="50">
        <v>0.56399999999999995</v>
      </c>
      <c r="S9" s="50">
        <v>0.56000000000000005</v>
      </c>
      <c r="T9" s="50">
        <v>0.57199999999999995</v>
      </c>
      <c r="U9" s="50">
        <v>0.58299999999999996</v>
      </c>
    </row>
    <row r="10" spans="1:21" x14ac:dyDescent="0.25">
      <c r="A10" s="7" t="s">
        <v>1239</v>
      </c>
      <c r="B10" s="38">
        <v>0.56999999999999995</v>
      </c>
      <c r="C10" s="38">
        <v>0.55000000000000004</v>
      </c>
      <c r="D10" s="38">
        <v>0.54</v>
      </c>
      <c r="E10" s="38">
        <v>0.56000000000000005</v>
      </c>
      <c r="F10" s="38">
        <v>0.56999999999999995</v>
      </c>
      <c r="G10" s="38">
        <v>0.56999999999999995</v>
      </c>
      <c r="H10" s="38">
        <v>0.56000000000000005</v>
      </c>
      <c r="I10" s="38">
        <v>0.56000000000000005</v>
      </c>
      <c r="J10" s="38">
        <v>0.55000000000000004</v>
      </c>
      <c r="K10" s="38">
        <v>0.55000000000000004</v>
      </c>
      <c r="L10" s="38">
        <v>0.55000000000000004</v>
      </c>
      <c r="M10" s="38">
        <v>0.56000000000000005</v>
      </c>
      <c r="N10" s="38">
        <v>0.55000000000000004</v>
      </c>
      <c r="O10" s="38">
        <v>0.56000000000000005</v>
      </c>
      <c r="P10" s="38">
        <v>0.56000000000000005</v>
      </c>
      <c r="Q10" s="38">
        <v>0.56999999999999995</v>
      </c>
      <c r="R10" s="38">
        <v>0.56999999999999995</v>
      </c>
      <c r="S10" s="38">
        <v>0.56000000000000005</v>
      </c>
      <c r="T10" s="38">
        <v>0.57999999999999996</v>
      </c>
      <c r="U10" s="38">
        <v>0.59</v>
      </c>
    </row>
    <row r="11" spans="1:21" x14ac:dyDescent="0.25">
      <c r="A11" s="7" t="s">
        <v>1240</v>
      </c>
      <c r="B11" s="49">
        <v>5872</v>
      </c>
      <c r="C11" s="49">
        <v>6456</v>
      </c>
      <c r="D11" s="49">
        <v>8091</v>
      </c>
      <c r="E11" s="49">
        <v>2397</v>
      </c>
      <c r="F11" s="49">
        <v>2528</v>
      </c>
      <c r="G11" s="49">
        <v>2638</v>
      </c>
      <c r="H11" s="49">
        <v>2818</v>
      </c>
      <c r="I11" s="49">
        <v>10381</v>
      </c>
      <c r="J11" s="49">
        <v>3118</v>
      </c>
      <c r="K11" s="49">
        <v>3368</v>
      </c>
      <c r="L11" s="49">
        <v>3608</v>
      </c>
      <c r="M11" s="49">
        <v>3848</v>
      </c>
      <c r="N11" s="49">
        <v>13942</v>
      </c>
      <c r="O11" s="49">
        <v>3968</v>
      </c>
      <c r="P11" s="49">
        <v>4038</v>
      </c>
      <c r="Q11" s="49">
        <v>4108</v>
      </c>
      <c r="R11" s="49">
        <v>4178</v>
      </c>
      <c r="S11" s="49">
        <v>16292</v>
      </c>
      <c r="T11" s="49">
        <v>17712</v>
      </c>
      <c r="U11" s="49">
        <v>19512</v>
      </c>
    </row>
    <row r="12" spans="1:21" x14ac:dyDescent="0.25">
      <c r="A12" s="7" t="s">
        <v>1241</v>
      </c>
      <c r="B12" s="49">
        <v>2352</v>
      </c>
      <c r="C12" s="49">
        <v>2783</v>
      </c>
      <c r="D12" s="49">
        <v>4144</v>
      </c>
      <c r="E12" s="49">
        <v>1253</v>
      </c>
      <c r="F12" s="49">
        <v>1401</v>
      </c>
      <c r="G12" s="49">
        <v>1491</v>
      </c>
      <c r="H12" s="49">
        <v>1591</v>
      </c>
      <c r="I12" s="49">
        <v>5736</v>
      </c>
      <c r="J12" s="49">
        <v>1661</v>
      </c>
      <c r="K12" s="49">
        <v>1731</v>
      </c>
      <c r="L12" s="49">
        <v>1781</v>
      </c>
      <c r="M12" s="49">
        <v>1831</v>
      </c>
      <c r="N12" s="49">
        <v>7004</v>
      </c>
      <c r="O12" s="49">
        <v>1806</v>
      </c>
      <c r="P12" s="49">
        <v>1856</v>
      </c>
      <c r="Q12" s="49">
        <v>1931</v>
      </c>
      <c r="R12" s="49">
        <v>2001</v>
      </c>
      <c r="S12" s="49">
        <v>7594</v>
      </c>
      <c r="T12" s="49">
        <v>8184</v>
      </c>
      <c r="U12" s="49">
        <v>8754</v>
      </c>
    </row>
    <row r="13" spans="1:21" x14ac:dyDescent="0.25">
      <c r="A13" s="7" t="s">
        <v>1242</v>
      </c>
      <c r="B13" s="49">
        <v>1835</v>
      </c>
      <c r="C13" s="49">
        <v>1586</v>
      </c>
      <c r="D13" s="49">
        <v>1223</v>
      </c>
      <c r="E13" s="49">
        <v>290</v>
      </c>
      <c r="F13" s="49">
        <v>284</v>
      </c>
      <c r="G13" s="49">
        <v>284</v>
      </c>
      <c r="H13" s="49">
        <v>284</v>
      </c>
      <c r="I13" s="49">
        <v>1142</v>
      </c>
      <c r="J13" s="49">
        <v>284</v>
      </c>
      <c r="K13" s="49">
        <v>284</v>
      </c>
      <c r="L13" s="49">
        <v>284</v>
      </c>
      <c r="M13" s="49">
        <v>284</v>
      </c>
      <c r="N13" s="49">
        <v>1136</v>
      </c>
      <c r="O13" s="49">
        <v>284</v>
      </c>
      <c r="P13" s="49">
        <v>284</v>
      </c>
      <c r="Q13" s="49">
        <v>284</v>
      </c>
      <c r="R13" s="49">
        <v>284</v>
      </c>
      <c r="S13" s="49">
        <v>1136</v>
      </c>
      <c r="T13" s="49">
        <v>1136</v>
      </c>
      <c r="U13" s="49">
        <v>1136</v>
      </c>
    </row>
    <row r="14" spans="1:21" x14ac:dyDescent="0.25">
      <c r="A14" s="7" t="s">
        <v>1243</v>
      </c>
      <c r="B14" s="49">
        <v>6616</v>
      </c>
      <c r="C14" s="49">
        <v>7669</v>
      </c>
      <c r="D14" s="49">
        <v>10397</v>
      </c>
      <c r="E14" s="49">
        <v>3145</v>
      </c>
      <c r="F14" s="49">
        <v>3394</v>
      </c>
      <c r="G14" s="49">
        <v>3634</v>
      </c>
      <c r="H14" s="49">
        <v>3914</v>
      </c>
      <c r="I14" s="49">
        <v>14087</v>
      </c>
      <c r="J14" s="49">
        <v>4284</v>
      </c>
      <c r="K14" s="49">
        <v>4604</v>
      </c>
      <c r="L14" s="49">
        <v>4894</v>
      </c>
      <c r="M14" s="49">
        <v>5184</v>
      </c>
      <c r="N14" s="49">
        <v>18966</v>
      </c>
      <c r="O14" s="49">
        <v>5279</v>
      </c>
      <c r="P14" s="49">
        <v>5399</v>
      </c>
      <c r="Q14" s="49">
        <v>5544</v>
      </c>
      <c r="R14" s="49">
        <v>5684</v>
      </c>
      <c r="S14" s="49">
        <v>21906</v>
      </c>
      <c r="T14" s="49">
        <v>23916</v>
      </c>
      <c r="U14" s="49">
        <v>26286</v>
      </c>
    </row>
    <row r="15" spans="1:21" x14ac:dyDescent="0.25">
      <c r="A15" s="7" t="s">
        <v>1244</v>
      </c>
      <c r="B15" s="50">
        <v>0.1</v>
      </c>
      <c r="C15" s="50">
        <v>0.16</v>
      </c>
      <c r="D15" s="50">
        <v>0.36</v>
      </c>
      <c r="E15" s="50">
        <v>0.42</v>
      </c>
      <c r="F15" s="50">
        <v>0.4</v>
      </c>
      <c r="G15" s="50">
        <v>0.32</v>
      </c>
      <c r="H15" s="50">
        <v>0.3</v>
      </c>
      <c r="I15" s="50">
        <v>0.35</v>
      </c>
      <c r="J15" s="50">
        <v>0.36</v>
      </c>
      <c r="K15" s="50">
        <v>0.36</v>
      </c>
      <c r="L15" s="50">
        <v>0.35</v>
      </c>
      <c r="M15" s="50">
        <v>0.32</v>
      </c>
      <c r="N15" s="50">
        <v>0.35</v>
      </c>
      <c r="O15" s="50">
        <v>0.23</v>
      </c>
      <c r="P15" s="50">
        <v>0.17</v>
      </c>
      <c r="Q15" s="50">
        <v>0.13</v>
      </c>
      <c r="R15" s="50">
        <v>0.1</v>
      </c>
      <c r="S15" s="50">
        <v>0.16</v>
      </c>
      <c r="T15" s="50">
        <v>0.09</v>
      </c>
      <c r="U15" s="50">
        <v>0.1</v>
      </c>
    </row>
    <row r="16" spans="1:21" x14ac:dyDescent="0.25">
      <c r="A16" s="7" t="s">
        <v>1245</v>
      </c>
      <c r="B16" s="49">
        <v>4854</v>
      </c>
      <c r="C16" s="49">
        <v>6138</v>
      </c>
      <c r="D16" s="49">
        <v>7768</v>
      </c>
      <c r="E16" s="49">
        <v>2540</v>
      </c>
      <c r="F16" s="49">
        <v>3094</v>
      </c>
      <c r="G16" s="49">
        <v>3752</v>
      </c>
      <c r="H16" s="49">
        <v>5562</v>
      </c>
      <c r="I16" s="49">
        <v>14948</v>
      </c>
      <c r="J16" s="49">
        <v>6208</v>
      </c>
      <c r="K16" s="49">
        <v>6895</v>
      </c>
      <c r="L16" s="49">
        <v>9172</v>
      </c>
      <c r="M16" s="49">
        <v>12774</v>
      </c>
      <c r="N16" s="49">
        <v>35050</v>
      </c>
      <c r="O16" s="49">
        <v>12826</v>
      </c>
      <c r="P16" s="49">
        <v>13498</v>
      </c>
      <c r="Q16" s="49">
        <v>14664</v>
      </c>
      <c r="R16" s="49">
        <v>15529</v>
      </c>
      <c r="S16" s="49">
        <v>56518</v>
      </c>
      <c r="T16" s="49">
        <v>77227</v>
      </c>
      <c r="U16" s="49">
        <v>102975</v>
      </c>
    </row>
    <row r="17" spans="1:21" x14ac:dyDescent="0.25">
      <c r="A17" s="7" t="s">
        <v>1246</v>
      </c>
      <c r="B17" s="50">
        <v>0.214</v>
      </c>
      <c r="C17" s="50">
        <v>0.23799999999999999</v>
      </c>
      <c r="D17" s="50">
        <v>0.224</v>
      </c>
      <c r="E17" s="50">
        <v>0.248</v>
      </c>
      <c r="F17" s="50">
        <v>0.26800000000000002</v>
      </c>
      <c r="G17" s="50">
        <v>0.28499999999999998</v>
      </c>
      <c r="H17" s="50">
        <v>0.32500000000000001</v>
      </c>
      <c r="I17" s="50">
        <v>0.28699999999999998</v>
      </c>
      <c r="J17" s="50">
        <v>0.32600000000000001</v>
      </c>
      <c r="K17" s="50">
        <v>0.32900000000000001</v>
      </c>
      <c r="L17" s="50">
        <v>0.36</v>
      </c>
      <c r="M17" s="50">
        <v>0.39400000000000002</v>
      </c>
      <c r="N17" s="50">
        <v>0.35799999999999998</v>
      </c>
      <c r="O17" s="50">
        <v>0.39400000000000002</v>
      </c>
      <c r="P17" s="50">
        <v>0.39900000000000002</v>
      </c>
      <c r="Q17" s="50">
        <v>0.40699999999999997</v>
      </c>
      <c r="R17" s="50">
        <v>0.41299999999999998</v>
      </c>
      <c r="S17" s="50">
        <v>0.40400000000000003</v>
      </c>
      <c r="T17" s="50">
        <v>0.436</v>
      </c>
      <c r="U17" s="50">
        <v>0.46500000000000002</v>
      </c>
    </row>
    <row r="18" spans="1:21" x14ac:dyDescent="0.25">
      <c r="A18" s="7" t="s">
        <v>1247</v>
      </c>
      <c r="B18" s="38">
        <v>2.65</v>
      </c>
      <c r="C18" s="38">
        <v>3.31</v>
      </c>
      <c r="D18" s="38">
        <v>4.17</v>
      </c>
      <c r="E18" s="38">
        <v>1.37</v>
      </c>
      <c r="F18" s="38">
        <v>1.66</v>
      </c>
      <c r="G18" s="49">
        <v>2</v>
      </c>
      <c r="H18" s="38">
        <v>2.87</v>
      </c>
      <c r="I18" s="38">
        <v>7.91</v>
      </c>
      <c r="J18" s="38">
        <v>3.17</v>
      </c>
      <c r="K18" s="38">
        <v>3.5</v>
      </c>
      <c r="L18" s="38">
        <v>4.59</v>
      </c>
      <c r="M18" s="38">
        <v>6.23</v>
      </c>
      <c r="N18" s="38">
        <v>17.579999999999998</v>
      </c>
      <c r="O18" s="38">
        <v>6.19</v>
      </c>
      <c r="P18" s="38">
        <v>6.46</v>
      </c>
      <c r="Q18" s="38">
        <v>6.97</v>
      </c>
      <c r="R18" s="38">
        <v>7.3</v>
      </c>
      <c r="S18" s="38">
        <v>26.94</v>
      </c>
      <c r="T18" s="38">
        <v>35.57</v>
      </c>
      <c r="U18" s="38">
        <v>45.18</v>
      </c>
    </row>
    <row r="19" spans="1:21" x14ac:dyDescent="0.25">
      <c r="A19" s="7" t="s">
        <v>1248</v>
      </c>
    </row>
    <row r="20" spans="1:21" x14ac:dyDescent="0.25">
      <c r="A20" s="7" t="s">
        <v>1249</v>
      </c>
      <c r="B20" s="49">
        <v>1667</v>
      </c>
      <c r="C20" s="49">
        <v>3041</v>
      </c>
      <c r="D20" s="49">
        <v>7709</v>
      </c>
      <c r="E20" s="49">
        <v>2955</v>
      </c>
      <c r="F20" s="49">
        <v>2366</v>
      </c>
      <c r="G20" s="49">
        <v>4145</v>
      </c>
      <c r="H20" s="49">
        <v>4329</v>
      </c>
      <c r="I20" s="49">
        <v>13796</v>
      </c>
      <c r="J20" s="49">
        <v>5815</v>
      </c>
      <c r="K20" s="49">
        <v>6149</v>
      </c>
      <c r="L20" s="49">
        <v>7185</v>
      </c>
      <c r="M20" s="49">
        <v>9622</v>
      </c>
      <c r="N20" s="49">
        <v>28771</v>
      </c>
      <c r="O20" s="49">
        <v>12585</v>
      </c>
      <c r="P20" s="49">
        <v>12292</v>
      </c>
      <c r="Q20" s="49">
        <v>13057</v>
      </c>
      <c r="R20" s="49">
        <v>13979</v>
      </c>
      <c r="S20" s="49">
        <v>51913</v>
      </c>
      <c r="T20" s="49">
        <v>68439</v>
      </c>
      <c r="U20" s="49">
        <v>91002</v>
      </c>
    </row>
    <row r="21" spans="1:21" x14ac:dyDescent="0.25">
      <c r="A21" s="7" t="s">
        <v>1250</v>
      </c>
      <c r="B21" s="49">
        <v>546</v>
      </c>
      <c r="C21" s="49">
        <v>636</v>
      </c>
      <c r="D21" s="49">
        <v>974</v>
      </c>
      <c r="E21" s="49">
        <v>389</v>
      </c>
      <c r="F21" s="49">
        <v>808</v>
      </c>
      <c r="G21" s="49">
        <v>958</v>
      </c>
      <c r="H21" s="49">
        <v>1158</v>
      </c>
      <c r="I21" s="49">
        <v>3313</v>
      </c>
      <c r="J21" s="49">
        <v>900</v>
      </c>
      <c r="K21" s="49">
        <v>900</v>
      </c>
      <c r="L21" s="49">
        <v>900</v>
      </c>
      <c r="M21" s="49">
        <v>900</v>
      </c>
      <c r="N21" s="49">
        <v>3600</v>
      </c>
      <c r="O21" s="49">
        <v>900</v>
      </c>
      <c r="P21" s="49">
        <v>900</v>
      </c>
      <c r="Q21" s="49">
        <v>900</v>
      </c>
      <c r="R21" s="49">
        <v>900</v>
      </c>
      <c r="S21" s="49">
        <v>3600</v>
      </c>
      <c r="T21" s="49">
        <v>3600</v>
      </c>
      <c r="U21" s="49">
        <v>3600</v>
      </c>
    </row>
    <row r="22" spans="1:21" x14ac:dyDescent="0.25">
      <c r="A22" s="7" t="s">
        <v>1251</v>
      </c>
      <c r="B22" s="49">
        <v>1121</v>
      </c>
      <c r="C22" s="49">
        <v>2405</v>
      </c>
      <c r="D22" s="49">
        <v>6735</v>
      </c>
      <c r="E22" s="49">
        <v>2566</v>
      </c>
      <c r="F22" s="49">
        <v>1558</v>
      </c>
      <c r="G22" s="49">
        <v>3187</v>
      </c>
      <c r="H22" s="49">
        <v>3171</v>
      </c>
      <c r="I22" s="49">
        <v>10483</v>
      </c>
      <c r="J22" s="49">
        <v>4915</v>
      </c>
      <c r="K22" s="49">
        <v>5249</v>
      </c>
      <c r="L22" s="49">
        <v>6285</v>
      </c>
      <c r="M22" s="49">
        <v>8722</v>
      </c>
      <c r="N22" s="49">
        <v>25171</v>
      </c>
      <c r="O22" s="49">
        <v>11685</v>
      </c>
      <c r="P22" s="49">
        <v>11392</v>
      </c>
      <c r="Q22" s="49">
        <v>12157</v>
      </c>
      <c r="R22" s="49">
        <v>13079</v>
      </c>
      <c r="S22" s="49">
        <v>48313</v>
      </c>
      <c r="T22" s="49">
        <v>64839</v>
      </c>
      <c r="U22" s="49">
        <v>87402</v>
      </c>
    </row>
    <row r="23" spans="1:21" x14ac:dyDescent="0.25">
      <c r="A23" s="7" t="s">
        <v>1252</v>
      </c>
      <c r="B23" s="50">
        <v>0.05</v>
      </c>
      <c r="C23" s="50">
        <v>0.09</v>
      </c>
      <c r="D23" s="50">
        <v>0.19</v>
      </c>
      <c r="E23" s="50">
        <v>0.25</v>
      </c>
      <c r="F23" s="50">
        <v>0.14000000000000001</v>
      </c>
      <c r="G23" s="50">
        <v>0.24</v>
      </c>
      <c r="H23" s="50">
        <v>0.19</v>
      </c>
      <c r="I23" s="50">
        <v>0.2</v>
      </c>
      <c r="J23" s="50">
        <v>0.26</v>
      </c>
      <c r="K23" s="50">
        <v>0.25</v>
      </c>
      <c r="L23" s="50">
        <v>0.25</v>
      </c>
      <c r="M23" s="50">
        <v>0.27</v>
      </c>
      <c r="N23" s="50">
        <v>0.26</v>
      </c>
      <c r="O23" s="50">
        <v>0.36</v>
      </c>
      <c r="P23" s="50">
        <v>0.34</v>
      </c>
      <c r="Q23" s="50">
        <v>0.34</v>
      </c>
      <c r="R23" s="50">
        <v>0.35</v>
      </c>
      <c r="S23" s="50">
        <v>0.35</v>
      </c>
      <c r="T23" s="50">
        <v>0.37</v>
      </c>
      <c r="U23" s="50">
        <v>0.39</v>
      </c>
    </row>
    <row r="24" spans="1:21" x14ac:dyDescent="0.25">
      <c r="A24" s="7" t="s">
        <v>1253</v>
      </c>
    </row>
    <row r="25" spans="1:21" x14ac:dyDescent="0.25">
      <c r="A25" s="7" t="s">
        <v>1254</v>
      </c>
      <c r="B25" s="49">
        <v>6496</v>
      </c>
      <c r="C25" s="49">
        <v>12579</v>
      </c>
      <c r="D25" s="49">
        <v>16635</v>
      </c>
      <c r="E25" s="49">
        <v>5775</v>
      </c>
      <c r="F25" s="49">
        <v>6718</v>
      </c>
      <c r="G25" s="49">
        <v>8394</v>
      </c>
      <c r="H25" s="49">
        <v>12467</v>
      </c>
      <c r="I25" s="49">
        <v>33355</v>
      </c>
      <c r="J25" s="49">
        <v>14419</v>
      </c>
      <c r="K25" s="49">
        <v>16400</v>
      </c>
      <c r="L25" s="49">
        <v>20747</v>
      </c>
      <c r="M25" s="49">
        <v>27432</v>
      </c>
      <c r="N25" s="49">
        <v>78999</v>
      </c>
      <c r="O25" s="49">
        <v>27556</v>
      </c>
      <c r="P25" s="49">
        <v>28897</v>
      </c>
      <c r="Q25" s="49">
        <v>30359</v>
      </c>
      <c r="R25" s="49">
        <v>31716</v>
      </c>
      <c r="S25" s="49">
        <v>118528</v>
      </c>
      <c r="T25" s="49">
        <v>153270</v>
      </c>
      <c r="U25" s="49">
        <v>196924</v>
      </c>
    </row>
    <row r="26" spans="1:21" x14ac:dyDescent="0.25">
      <c r="A26" s="7" t="s">
        <v>1255</v>
      </c>
      <c r="B26" s="49">
        <v>555</v>
      </c>
      <c r="C26" s="49">
        <v>5025</v>
      </c>
      <c r="D26" s="49">
        <v>6754</v>
      </c>
      <c r="E26" s="49">
        <v>2430</v>
      </c>
      <c r="F26" s="49">
        <v>2750</v>
      </c>
      <c r="G26" s="49">
        <v>3550</v>
      </c>
      <c r="H26" s="49">
        <v>6400</v>
      </c>
      <c r="I26" s="49">
        <v>15130</v>
      </c>
      <c r="J26" s="49">
        <v>7600</v>
      </c>
      <c r="K26" s="49">
        <v>8500</v>
      </c>
      <c r="L26" s="49">
        <v>11250</v>
      </c>
      <c r="M26" s="49">
        <v>15900</v>
      </c>
      <c r="N26" s="49">
        <v>43250</v>
      </c>
      <c r="O26" s="49">
        <v>15900</v>
      </c>
      <c r="P26" s="49">
        <v>17000</v>
      </c>
      <c r="Q26" s="49">
        <v>18100</v>
      </c>
      <c r="R26" s="49">
        <v>19200</v>
      </c>
      <c r="S26" s="49">
        <v>70200</v>
      </c>
      <c r="T26" s="49">
        <v>97800</v>
      </c>
      <c r="U26" s="49">
        <v>131400</v>
      </c>
    </row>
    <row r="27" spans="1:21" x14ac:dyDescent="0.25">
      <c r="A27" s="7" t="s">
        <v>1256</v>
      </c>
      <c r="B27" s="49">
        <v>5433</v>
      </c>
      <c r="C27" s="49">
        <v>6794</v>
      </c>
      <c r="D27" s="49">
        <v>8827</v>
      </c>
      <c r="E27" s="49">
        <v>3065</v>
      </c>
      <c r="F27" s="49">
        <v>3684</v>
      </c>
      <c r="G27" s="49">
        <v>4539</v>
      </c>
      <c r="H27" s="49">
        <v>5705</v>
      </c>
      <c r="I27" s="49">
        <v>16993</v>
      </c>
      <c r="J27" s="49">
        <v>6457</v>
      </c>
      <c r="K27" s="49">
        <v>7537</v>
      </c>
      <c r="L27" s="49">
        <v>9133</v>
      </c>
      <c r="M27" s="49">
        <v>11167</v>
      </c>
      <c r="N27" s="49">
        <v>34295</v>
      </c>
      <c r="O27" s="49">
        <v>11261</v>
      </c>
      <c r="P27" s="49">
        <v>11468</v>
      </c>
      <c r="Q27" s="49">
        <v>11793</v>
      </c>
      <c r="R27" s="49">
        <v>12010</v>
      </c>
      <c r="S27" s="49">
        <v>46531</v>
      </c>
      <c r="T27" s="49">
        <v>52961</v>
      </c>
      <c r="U27" s="49">
        <v>61987</v>
      </c>
    </row>
    <row r="28" spans="1:21" x14ac:dyDescent="0.25">
      <c r="A28" s="7" t="s">
        <v>1257</v>
      </c>
      <c r="B28" s="49">
        <v>1140</v>
      </c>
      <c r="C28" s="49">
        <v>1351</v>
      </c>
      <c r="D28" s="49">
        <v>1347</v>
      </c>
      <c r="E28" s="49">
        <v>1535</v>
      </c>
      <c r="F28" s="49">
        <v>1591</v>
      </c>
      <c r="G28" s="49">
        <v>1647</v>
      </c>
      <c r="H28" s="49">
        <v>1725</v>
      </c>
      <c r="I28" s="49">
        <v>1638</v>
      </c>
      <c r="J28" s="49">
        <v>1775</v>
      </c>
      <c r="K28" s="49">
        <v>1850</v>
      </c>
      <c r="L28" s="49">
        <v>1975</v>
      </c>
      <c r="M28" s="49">
        <v>2100</v>
      </c>
      <c r="N28" s="49">
        <v>1943</v>
      </c>
      <c r="O28" s="49">
        <v>2107</v>
      </c>
      <c r="P28" s="49">
        <v>2114</v>
      </c>
      <c r="Q28" s="49">
        <v>2121</v>
      </c>
      <c r="R28" s="49">
        <v>2128</v>
      </c>
      <c r="S28" s="49">
        <v>2118</v>
      </c>
      <c r="T28" s="49">
        <v>2254</v>
      </c>
      <c r="U28" s="49">
        <v>2420</v>
      </c>
    </row>
    <row r="29" spans="1:21" x14ac:dyDescent="0.25">
      <c r="A29" s="7" t="s">
        <v>1258</v>
      </c>
      <c r="B29" s="49">
        <v>4768</v>
      </c>
      <c r="C29" s="49">
        <v>5028</v>
      </c>
      <c r="D29" s="49">
        <v>6554</v>
      </c>
      <c r="E29" s="49">
        <v>1997</v>
      </c>
      <c r="F29" s="49">
        <v>2316</v>
      </c>
      <c r="G29" s="49">
        <v>2756</v>
      </c>
      <c r="H29" s="49">
        <v>3307</v>
      </c>
      <c r="I29" s="49">
        <v>10375</v>
      </c>
      <c r="J29" s="49">
        <v>3638</v>
      </c>
      <c r="K29" s="49">
        <v>4074</v>
      </c>
      <c r="L29" s="49">
        <v>4624</v>
      </c>
      <c r="M29" s="49">
        <v>5318</v>
      </c>
      <c r="N29" s="49">
        <v>17654</v>
      </c>
      <c r="O29" s="49">
        <v>5344</v>
      </c>
      <c r="P29" s="49">
        <v>5425</v>
      </c>
      <c r="Q29" s="49">
        <v>5560</v>
      </c>
      <c r="R29" s="49">
        <v>5644</v>
      </c>
      <c r="S29" s="49">
        <v>21973</v>
      </c>
      <c r="T29" s="49">
        <v>23493</v>
      </c>
      <c r="U29" s="49">
        <v>25616</v>
      </c>
    </row>
    <row r="30" spans="1:21" x14ac:dyDescent="0.25">
      <c r="A30" s="7" t="s">
        <v>1259</v>
      </c>
      <c r="B30" s="49">
        <v>23307</v>
      </c>
      <c r="C30" s="49">
        <v>22432</v>
      </c>
      <c r="D30" s="49">
        <v>26046</v>
      </c>
      <c r="E30" s="49">
        <v>6506</v>
      </c>
      <c r="F30" s="49">
        <v>6640</v>
      </c>
      <c r="G30" s="49">
        <v>6727</v>
      </c>
      <c r="H30" s="49">
        <v>6939</v>
      </c>
      <c r="I30" s="49">
        <v>26812</v>
      </c>
      <c r="J30" s="49">
        <v>6683</v>
      </c>
      <c r="K30" s="49">
        <v>6823</v>
      </c>
      <c r="L30" s="49">
        <v>6913</v>
      </c>
      <c r="M30" s="49">
        <v>7126</v>
      </c>
      <c r="N30" s="49">
        <v>27545</v>
      </c>
    </row>
    <row r="31" spans="1:21" x14ac:dyDescent="0.25">
      <c r="A31" s="7" t="s">
        <v>1260</v>
      </c>
      <c r="B31" s="50">
        <v>0.2</v>
      </c>
      <c r="C31" s="50">
        <v>0.22</v>
      </c>
    </row>
    <row r="32" spans="1:21" x14ac:dyDescent="0.25">
      <c r="A32" s="7" t="s">
        <v>1261</v>
      </c>
      <c r="B32" s="49">
        <v>252</v>
      </c>
      <c r="C32" s="49">
        <v>318</v>
      </c>
      <c r="D32" s="49">
        <v>385</v>
      </c>
      <c r="E32" s="49">
        <v>89</v>
      </c>
      <c r="F32" s="49">
        <v>93</v>
      </c>
      <c r="G32" s="49">
        <v>98</v>
      </c>
      <c r="H32" s="49">
        <v>102</v>
      </c>
      <c r="I32" s="49">
        <v>382</v>
      </c>
      <c r="J32" s="49">
        <v>97</v>
      </c>
      <c r="K32" s="49">
        <v>92</v>
      </c>
      <c r="L32" s="49">
        <v>88</v>
      </c>
      <c r="M32" s="49">
        <v>83</v>
      </c>
      <c r="N32" s="49">
        <v>361</v>
      </c>
      <c r="O32" s="49">
        <v>86</v>
      </c>
      <c r="P32" s="49">
        <v>88</v>
      </c>
      <c r="Q32" s="49">
        <v>91</v>
      </c>
      <c r="R32" s="49">
        <v>94</v>
      </c>
      <c r="S32" s="49">
        <v>359</v>
      </c>
      <c r="T32" s="49">
        <v>405</v>
      </c>
      <c r="U32" s="49">
        <v>455</v>
      </c>
    </row>
    <row r="33" spans="1:21" x14ac:dyDescent="0.25">
      <c r="A33" s="7" t="s">
        <v>1262</v>
      </c>
      <c r="B33" s="49">
        <v>254</v>
      </c>
      <c r="C33" s="49">
        <v>441</v>
      </c>
      <c r="D33" s="49">
        <v>669</v>
      </c>
      <c r="E33" s="49">
        <v>191</v>
      </c>
      <c r="F33" s="49">
        <v>191</v>
      </c>
      <c r="G33" s="49">
        <v>208</v>
      </c>
      <c r="H33" s="49">
        <v>260</v>
      </c>
      <c r="I33" s="49">
        <v>850</v>
      </c>
      <c r="J33" s="49">
        <v>265</v>
      </c>
      <c r="K33" s="49">
        <v>271</v>
      </c>
      <c r="L33" s="49">
        <v>276</v>
      </c>
      <c r="M33" s="49">
        <v>282</v>
      </c>
      <c r="N33" s="49">
        <v>1094</v>
      </c>
      <c r="O33" s="49">
        <v>310</v>
      </c>
      <c r="P33" s="49">
        <v>341</v>
      </c>
      <c r="Q33" s="49">
        <v>375</v>
      </c>
      <c r="R33" s="49">
        <v>412</v>
      </c>
      <c r="S33" s="49">
        <v>1437</v>
      </c>
      <c r="T33" s="49">
        <v>2104</v>
      </c>
      <c r="U33" s="49">
        <v>3081</v>
      </c>
    </row>
    <row r="34" spans="1:21" x14ac:dyDescent="0.25">
      <c r="A34" s="7" t="s">
        <v>1263</v>
      </c>
      <c r="B34" s="50">
        <v>0.2</v>
      </c>
      <c r="C34" s="50">
        <v>0.28000000000000003</v>
      </c>
      <c r="D34" s="50">
        <v>0.22</v>
      </c>
      <c r="E34" s="50">
        <v>0.28000000000000003</v>
      </c>
      <c r="F34" s="50">
        <v>0.31</v>
      </c>
      <c r="G34" s="50">
        <v>0.31</v>
      </c>
      <c r="H34" s="50">
        <v>0.35</v>
      </c>
      <c r="I34" s="50">
        <v>0.32</v>
      </c>
      <c r="J34" s="50">
        <v>0.36</v>
      </c>
      <c r="K34" s="50">
        <v>0.36</v>
      </c>
      <c r="L34" s="50">
        <v>0.36</v>
      </c>
      <c r="M34" s="50">
        <v>0.36</v>
      </c>
      <c r="N34" s="50">
        <v>0.36</v>
      </c>
      <c r="O34" s="50">
        <v>0.37</v>
      </c>
      <c r="P34" s="50">
        <v>0.37</v>
      </c>
      <c r="Q34" s="50">
        <v>0.37</v>
      </c>
      <c r="R34" s="50">
        <v>0.37</v>
      </c>
      <c r="S34" s="50">
        <v>0.37</v>
      </c>
      <c r="T34" s="50">
        <v>0.38</v>
      </c>
      <c r="U34" s="50">
        <v>0.38</v>
      </c>
    </row>
    <row r="35" spans="1:21" x14ac:dyDescent="0.25">
      <c r="A35" s="7" t="s">
        <v>1264</v>
      </c>
      <c r="E35" s="50">
        <v>0.32</v>
      </c>
      <c r="F35" s="50">
        <v>0.65</v>
      </c>
      <c r="G35" s="50">
        <v>0.38</v>
      </c>
      <c r="H35" s="50">
        <v>0.37</v>
      </c>
      <c r="J35" s="50">
        <v>0.42</v>
      </c>
      <c r="K35" s="50">
        <v>0.39</v>
      </c>
      <c r="L35" s="50">
        <v>0.39</v>
      </c>
      <c r="M35" s="50">
        <v>0.37</v>
      </c>
      <c r="O35" s="50">
        <v>0.38</v>
      </c>
      <c r="P35" s="50">
        <v>0.38</v>
      </c>
      <c r="Q35" s="50">
        <v>0.39</v>
      </c>
      <c r="R35" s="50">
        <v>0.43</v>
      </c>
    </row>
    <row r="36" spans="1:21" x14ac:dyDescent="0.25">
      <c r="A36" s="7" t="s">
        <v>1265</v>
      </c>
      <c r="B36" s="49">
        <v>4651</v>
      </c>
      <c r="C36" s="49">
        <v>7054</v>
      </c>
      <c r="D36" s="49">
        <v>10640</v>
      </c>
      <c r="E36" s="49">
        <v>2885</v>
      </c>
      <c r="F36" s="49">
        <v>3062</v>
      </c>
      <c r="G36" s="49">
        <v>2997</v>
      </c>
      <c r="H36" s="49">
        <v>2957</v>
      </c>
      <c r="I36" s="49">
        <v>11901</v>
      </c>
      <c r="J36" s="49">
        <v>2900</v>
      </c>
      <c r="K36" s="49">
        <v>2847</v>
      </c>
      <c r="L36" s="49">
        <v>2987</v>
      </c>
      <c r="M36" s="49">
        <v>3147</v>
      </c>
      <c r="N36" s="49">
        <v>11881</v>
      </c>
      <c r="O36" s="49">
        <v>2943</v>
      </c>
      <c r="P36" s="49">
        <v>2969</v>
      </c>
      <c r="Q36" s="49">
        <v>3466</v>
      </c>
      <c r="R36" s="49">
        <v>3605</v>
      </c>
      <c r="S36" s="49">
        <v>12983</v>
      </c>
      <c r="T36" s="49">
        <v>14080</v>
      </c>
      <c r="U36" s="49">
        <v>14290</v>
      </c>
    </row>
    <row r="37" spans="1:21" x14ac:dyDescent="0.25">
      <c r="A37" s="7" t="s">
        <v>1266</v>
      </c>
      <c r="B37" s="49">
        <v>4386</v>
      </c>
      <c r="C37" s="49">
        <v>6718</v>
      </c>
      <c r="D37" s="49">
        <v>10154</v>
      </c>
      <c r="E37" s="49">
        <v>2751</v>
      </c>
      <c r="F37" s="49">
        <v>2914</v>
      </c>
      <c r="G37" s="49">
        <v>2952</v>
      </c>
      <c r="H37" s="49">
        <v>2938</v>
      </c>
      <c r="I37" s="49">
        <v>11555</v>
      </c>
      <c r="J37" s="49">
        <v>2876</v>
      </c>
      <c r="K37" s="49">
        <v>2822</v>
      </c>
      <c r="L37" s="49">
        <v>2947</v>
      </c>
      <c r="M37" s="49">
        <v>3130</v>
      </c>
      <c r="N37" s="49">
        <v>11775</v>
      </c>
      <c r="O37" s="49">
        <v>2921</v>
      </c>
      <c r="P37" s="49">
        <v>2947</v>
      </c>
      <c r="Q37" s="49">
        <v>3431</v>
      </c>
      <c r="R37" s="49">
        <v>3589</v>
      </c>
      <c r="S37" s="49">
        <v>12888</v>
      </c>
      <c r="T37" s="49">
        <v>13995</v>
      </c>
      <c r="U37" s="49">
        <v>14205</v>
      </c>
    </row>
    <row r="38" spans="1:21" x14ac:dyDescent="0.25">
      <c r="A38" s="7" t="s">
        <v>1267</v>
      </c>
      <c r="B38" s="49">
        <v>1386</v>
      </c>
      <c r="C38" s="49">
        <v>1863</v>
      </c>
      <c r="D38" s="49">
        <v>3196</v>
      </c>
      <c r="E38" s="49">
        <v>798</v>
      </c>
      <c r="F38" s="49">
        <v>829</v>
      </c>
      <c r="G38" s="49">
        <v>862</v>
      </c>
      <c r="H38" s="49">
        <v>827</v>
      </c>
      <c r="I38" s="49">
        <v>3317</v>
      </c>
      <c r="J38" s="49">
        <v>820</v>
      </c>
      <c r="K38" s="49">
        <v>807</v>
      </c>
      <c r="L38" s="49">
        <v>851</v>
      </c>
      <c r="M38" s="49">
        <v>909</v>
      </c>
      <c r="N38" s="49">
        <v>3387</v>
      </c>
      <c r="O38" s="49">
        <v>889</v>
      </c>
      <c r="P38" s="49">
        <v>884</v>
      </c>
      <c r="Q38" s="49">
        <v>1038</v>
      </c>
      <c r="R38" s="49">
        <v>1101</v>
      </c>
      <c r="S38" s="49">
        <v>3912</v>
      </c>
      <c r="T38" s="49">
        <v>4389</v>
      </c>
      <c r="U38" s="49">
        <v>4617</v>
      </c>
    </row>
    <row r="39" spans="1:21" x14ac:dyDescent="0.25">
      <c r="A39" s="7" t="s">
        <v>1268</v>
      </c>
      <c r="B39" s="49">
        <v>174</v>
      </c>
      <c r="C39" s="49">
        <v>188</v>
      </c>
      <c r="D39" s="49">
        <v>266</v>
      </c>
      <c r="E39" s="49">
        <v>270</v>
      </c>
      <c r="F39" s="49">
        <v>275</v>
      </c>
      <c r="G39" s="49">
        <v>275</v>
      </c>
      <c r="H39" s="49">
        <v>272</v>
      </c>
      <c r="I39" s="49">
        <v>273</v>
      </c>
      <c r="J39" s="49">
        <v>278</v>
      </c>
      <c r="K39" s="49">
        <v>282</v>
      </c>
      <c r="L39" s="49">
        <v>286</v>
      </c>
      <c r="M39" s="49">
        <v>288</v>
      </c>
      <c r="N39" s="49">
        <v>284</v>
      </c>
      <c r="O39" s="49">
        <v>286</v>
      </c>
      <c r="P39" s="49">
        <v>286</v>
      </c>
      <c r="Q39" s="49">
        <v>311</v>
      </c>
      <c r="R39" s="49">
        <v>311</v>
      </c>
      <c r="S39" s="49">
        <v>299</v>
      </c>
      <c r="T39" s="49">
        <v>309</v>
      </c>
      <c r="U39" s="49">
        <v>307</v>
      </c>
    </row>
    <row r="40" spans="1:21" x14ac:dyDescent="0.25">
      <c r="A40" s="7" t="s">
        <v>1269</v>
      </c>
      <c r="B40" s="49">
        <v>7950</v>
      </c>
      <c r="C40" s="49">
        <v>9931</v>
      </c>
      <c r="D40" s="49">
        <v>12029</v>
      </c>
      <c r="E40" s="49">
        <v>2956</v>
      </c>
      <c r="F40" s="49">
        <v>3015</v>
      </c>
      <c r="G40" s="49">
        <v>3135</v>
      </c>
      <c r="H40" s="49">
        <v>3041</v>
      </c>
      <c r="I40" s="49">
        <v>12147</v>
      </c>
      <c r="J40" s="49">
        <v>2950</v>
      </c>
      <c r="K40" s="49">
        <v>2862</v>
      </c>
      <c r="L40" s="49">
        <v>2976</v>
      </c>
      <c r="M40" s="49">
        <v>3155</v>
      </c>
      <c r="N40" s="49">
        <v>11942</v>
      </c>
      <c r="O40" s="49">
        <v>3107</v>
      </c>
      <c r="P40" s="49">
        <v>3092</v>
      </c>
      <c r="Q40" s="49">
        <v>3339</v>
      </c>
      <c r="R40" s="49">
        <v>3539</v>
      </c>
      <c r="S40" s="49">
        <v>13078</v>
      </c>
      <c r="T40" s="49">
        <v>14202</v>
      </c>
      <c r="U40" s="49">
        <v>15038</v>
      </c>
    </row>
    <row r="41" spans="1:21" x14ac:dyDescent="0.25">
      <c r="A41" s="7" t="s">
        <v>1270</v>
      </c>
      <c r="B41" s="49">
        <v>67010</v>
      </c>
      <c r="C41" s="49">
        <v>69021</v>
      </c>
      <c r="D41" s="49">
        <v>75737</v>
      </c>
      <c r="E41" s="49">
        <v>17683</v>
      </c>
      <c r="F41" s="49">
        <v>17652</v>
      </c>
      <c r="G41" s="49">
        <v>19987</v>
      </c>
      <c r="H41" s="49">
        <v>21236</v>
      </c>
      <c r="I41" s="49">
        <v>76558</v>
      </c>
      <c r="J41" s="49">
        <v>17685</v>
      </c>
      <c r="K41" s="49">
        <v>17667</v>
      </c>
      <c r="L41" s="49">
        <v>20019</v>
      </c>
      <c r="M41" s="49">
        <v>21277</v>
      </c>
      <c r="N41" s="49">
        <v>76647</v>
      </c>
      <c r="O41" s="49">
        <v>18215</v>
      </c>
      <c r="P41" s="49">
        <v>18197</v>
      </c>
      <c r="Q41" s="49">
        <v>20619</v>
      </c>
      <c r="R41" s="49">
        <v>21915</v>
      </c>
      <c r="S41" s="49">
        <v>78947</v>
      </c>
      <c r="T41" s="49">
        <v>81315</v>
      </c>
      <c r="U41" s="49">
        <v>83754</v>
      </c>
    </row>
    <row r="42" spans="1:21" x14ac:dyDescent="0.25">
      <c r="A42" s="7" t="s">
        <v>1260</v>
      </c>
      <c r="B42" s="50">
        <v>0.12</v>
      </c>
      <c r="C42" s="50">
        <v>0.14000000000000001</v>
      </c>
      <c r="D42" s="50">
        <v>0.16</v>
      </c>
      <c r="E42" s="50">
        <v>0.17</v>
      </c>
      <c r="F42" s="50">
        <v>0.17</v>
      </c>
      <c r="G42" s="50">
        <v>0.16</v>
      </c>
      <c r="H42" s="50">
        <v>0.14000000000000001</v>
      </c>
      <c r="I42" s="50">
        <v>0.16</v>
      </c>
      <c r="J42" s="50">
        <v>0.17</v>
      </c>
      <c r="K42" s="50">
        <v>0.16</v>
      </c>
      <c r="L42" s="50">
        <v>0.15</v>
      </c>
      <c r="M42" s="50">
        <v>0.15</v>
      </c>
      <c r="N42" s="50">
        <v>0.16</v>
      </c>
      <c r="O42" s="50">
        <v>0.17</v>
      </c>
      <c r="P42" s="50">
        <v>0.17</v>
      </c>
      <c r="Q42" s="50">
        <v>0.16</v>
      </c>
      <c r="R42" s="50">
        <v>0.16</v>
      </c>
      <c r="S42" s="50">
        <v>0.17</v>
      </c>
      <c r="T42" s="50">
        <v>0.17</v>
      </c>
      <c r="U42" s="50">
        <v>0.18</v>
      </c>
    </row>
    <row r="43" spans="1:21" x14ac:dyDescent="0.25">
      <c r="A43" s="7" t="s">
        <v>1271</v>
      </c>
      <c r="B43" s="49">
        <v>3001</v>
      </c>
      <c r="C43" s="49">
        <v>4854</v>
      </c>
      <c r="D43" s="49">
        <v>6958</v>
      </c>
      <c r="E43" s="49">
        <v>1953</v>
      </c>
      <c r="F43" s="49">
        <v>2085</v>
      </c>
      <c r="G43" s="49">
        <v>2090</v>
      </c>
      <c r="H43" s="49">
        <v>2111</v>
      </c>
      <c r="I43" s="49">
        <v>8239</v>
      </c>
      <c r="J43" s="49">
        <v>2056</v>
      </c>
      <c r="K43" s="49">
        <v>2015</v>
      </c>
      <c r="L43" s="49">
        <v>2096</v>
      </c>
      <c r="M43" s="49">
        <v>2221</v>
      </c>
      <c r="N43" s="49">
        <v>8388</v>
      </c>
      <c r="O43" s="49">
        <v>2032</v>
      </c>
      <c r="P43" s="49">
        <v>2062</v>
      </c>
      <c r="Q43" s="49">
        <v>2393</v>
      </c>
      <c r="R43" s="49">
        <v>2488</v>
      </c>
      <c r="S43" s="49">
        <v>8975</v>
      </c>
      <c r="T43" s="49">
        <v>9606</v>
      </c>
      <c r="U43" s="49">
        <v>9588</v>
      </c>
    </row>
    <row r="44" spans="1:21" x14ac:dyDescent="0.25">
      <c r="A44" s="7" t="s">
        <v>1272</v>
      </c>
      <c r="B44" s="49">
        <v>98</v>
      </c>
      <c r="C44" s="49">
        <v>115</v>
      </c>
      <c r="D44" s="49">
        <v>157</v>
      </c>
      <c r="E44" s="49">
        <v>173</v>
      </c>
      <c r="F44" s="49">
        <v>173</v>
      </c>
      <c r="G44" s="49">
        <v>170</v>
      </c>
      <c r="H44" s="49">
        <v>170</v>
      </c>
      <c r="I44" s="49">
        <v>172</v>
      </c>
      <c r="J44" s="49">
        <v>180</v>
      </c>
      <c r="K44" s="49">
        <v>180</v>
      </c>
      <c r="L44" s="49">
        <v>180</v>
      </c>
      <c r="M44" s="49">
        <v>180</v>
      </c>
      <c r="N44" s="49">
        <v>180</v>
      </c>
      <c r="O44" s="49">
        <v>178</v>
      </c>
      <c r="P44" s="49">
        <v>178</v>
      </c>
      <c r="Q44" s="49">
        <v>193</v>
      </c>
      <c r="R44" s="49">
        <v>193</v>
      </c>
      <c r="S44" s="49">
        <v>186</v>
      </c>
      <c r="T44" s="49">
        <v>193</v>
      </c>
      <c r="U44" s="49">
        <v>193</v>
      </c>
    </row>
    <row r="45" spans="1:21" x14ac:dyDescent="0.25">
      <c r="A45" s="7" t="s">
        <v>1273</v>
      </c>
      <c r="B45" s="49">
        <v>30609</v>
      </c>
      <c r="C45" s="49">
        <v>42212</v>
      </c>
      <c r="D45" s="49">
        <v>44314</v>
      </c>
      <c r="E45" s="49">
        <v>11264</v>
      </c>
      <c r="F45" s="49">
        <v>12052</v>
      </c>
      <c r="G45" s="49">
        <v>12293</v>
      </c>
      <c r="H45" s="49">
        <v>12416</v>
      </c>
      <c r="I45" s="49">
        <v>48026</v>
      </c>
      <c r="J45" s="49">
        <v>11423</v>
      </c>
      <c r="K45" s="49">
        <v>11195</v>
      </c>
      <c r="L45" s="49">
        <v>11642</v>
      </c>
      <c r="M45" s="49">
        <v>12341</v>
      </c>
      <c r="N45" s="49">
        <v>46601</v>
      </c>
      <c r="O45" s="49">
        <v>11415</v>
      </c>
      <c r="P45" s="49">
        <v>11587</v>
      </c>
      <c r="Q45" s="49">
        <v>12398</v>
      </c>
      <c r="R45" s="49">
        <v>12893</v>
      </c>
      <c r="S45" s="49">
        <v>48293</v>
      </c>
      <c r="T45" s="49">
        <v>49774</v>
      </c>
      <c r="U45" s="49">
        <v>49681</v>
      </c>
    </row>
    <row r="46" spans="1:21" x14ac:dyDescent="0.25">
      <c r="A46" s="7" t="s">
        <v>1274</v>
      </c>
      <c r="B46" s="49">
        <v>160289</v>
      </c>
      <c r="C46" s="49">
        <v>186556</v>
      </c>
      <c r="D46" s="49">
        <v>180960</v>
      </c>
      <c r="E46" s="49">
        <v>41006</v>
      </c>
      <c r="F46" s="49">
        <v>42182</v>
      </c>
      <c r="G46" s="49">
        <v>43053</v>
      </c>
      <c r="H46" s="49">
        <v>43653</v>
      </c>
      <c r="I46" s="49">
        <v>169894</v>
      </c>
      <c r="J46" s="49">
        <v>41751</v>
      </c>
      <c r="K46" s="49">
        <v>42715</v>
      </c>
      <c r="L46" s="49">
        <v>43538</v>
      </c>
      <c r="M46" s="49">
        <v>43951</v>
      </c>
      <c r="N46" s="49">
        <v>171955</v>
      </c>
      <c r="O46" s="49">
        <v>43004</v>
      </c>
      <c r="P46" s="49">
        <v>43996</v>
      </c>
      <c r="Q46" s="49">
        <v>44844</v>
      </c>
      <c r="R46" s="49">
        <v>45270</v>
      </c>
      <c r="S46" s="49">
        <v>177114</v>
      </c>
      <c r="T46" s="49">
        <v>182427</v>
      </c>
      <c r="U46" s="49">
        <v>187900</v>
      </c>
    </row>
    <row r="47" spans="1:21" x14ac:dyDescent="0.25">
      <c r="A47" s="7" t="s">
        <v>1260</v>
      </c>
      <c r="B47" s="50">
        <v>0.19</v>
      </c>
      <c r="C47" s="50">
        <v>0.23</v>
      </c>
      <c r="D47" s="50">
        <v>0.24</v>
      </c>
      <c r="E47" s="50">
        <v>0.27</v>
      </c>
      <c r="F47" s="50">
        <v>0.28999999999999998</v>
      </c>
      <c r="G47" s="50">
        <v>0.28999999999999998</v>
      </c>
      <c r="H47" s="50">
        <v>0.28000000000000003</v>
      </c>
      <c r="I47" s="50">
        <v>0.28000000000000003</v>
      </c>
      <c r="J47" s="50">
        <v>0.27</v>
      </c>
      <c r="K47" s="50">
        <v>0.26</v>
      </c>
      <c r="L47" s="50">
        <v>0.27</v>
      </c>
      <c r="M47" s="50">
        <v>0.28000000000000003</v>
      </c>
      <c r="N47" s="50">
        <v>0.27</v>
      </c>
      <c r="O47" s="50">
        <v>0.27</v>
      </c>
      <c r="P47" s="50">
        <v>0.26</v>
      </c>
      <c r="Q47" s="50">
        <v>0.28000000000000003</v>
      </c>
      <c r="R47" s="50">
        <v>0.28000000000000003</v>
      </c>
      <c r="S47" s="50">
        <v>0.27</v>
      </c>
      <c r="T47" s="50">
        <v>0.27</v>
      </c>
      <c r="U47" s="50">
        <v>0.26</v>
      </c>
    </row>
    <row r="48" spans="1:21" x14ac:dyDescent="0.25">
      <c r="A48" s="7" t="s">
        <v>1275</v>
      </c>
      <c r="B48" s="49">
        <v>267</v>
      </c>
      <c r="C48" s="49">
        <v>335</v>
      </c>
      <c r="D48" s="49">
        <v>486</v>
      </c>
      <c r="E48" s="49">
        <v>134</v>
      </c>
      <c r="F48" s="49">
        <v>148</v>
      </c>
      <c r="G48" s="49">
        <v>45</v>
      </c>
      <c r="H48" s="49">
        <v>19</v>
      </c>
      <c r="I48" s="49">
        <v>346</v>
      </c>
      <c r="J48" s="49">
        <v>24</v>
      </c>
      <c r="K48" s="49">
        <v>25</v>
      </c>
      <c r="L48" s="49">
        <v>40</v>
      </c>
      <c r="M48" s="49">
        <v>17</v>
      </c>
      <c r="N48" s="49">
        <v>106</v>
      </c>
      <c r="O48" s="49">
        <v>23</v>
      </c>
      <c r="P48" s="49">
        <v>22</v>
      </c>
      <c r="Q48" s="49">
        <v>35</v>
      </c>
      <c r="R48" s="49">
        <v>15</v>
      </c>
      <c r="S48" s="49">
        <v>95</v>
      </c>
      <c r="T48" s="49">
        <v>85</v>
      </c>
      <c r="U48" s="49">
        <v>85</v>
      </c>
    </row>
    <row r="49" spans="1:21" x14ac:dyDescent="0.25">
      <c r="A49" s="7" t="s">
        <v>1276</v>
      </c>
      <c r="B49" s="50">
        <v>-0.01</v>
      </c>
      <c r="C49" s="50">
        <v>0.13</v>
      </c>
      <c r="D49" s="50">
        <v>0.23</v>
      </c>
      <c r="E49" s="50">
        <v>0.16</v>
      </c>
      <c r="F49" s="50">
        <v>0.15</v>
      </c>
      <c r="G49" s="50">
        <v>0.19</v>
      </c>
      <c r="H49" s="50">
        <v>0.2</v>
      </c>
      <c r="I49" s="50">
        <v>0.18</v>
      </c>
      <c r="J49" s="50">
        <v>0.18</v>
      </c>
      <c r="K49" s="50">
        <v>0.19</v>
      </c>
      <c r="L49" s="50">
        <v>0.2</v>
      </c>
      <c r="M49" s="50">
        <v>0.21</v>
      </c>
      <c r="N49" s="50">
        <v>0.2</v>
      </c>
      <c r="O49" s="50">
        <v>0.19</v>
      </c>
      <c r="P49" s="50">
        <v>0.19</v>
      </c>
      <c r="Q49" s="50">
        <v>0.2</v>
      </c>
      <c r="R49" s="50">
        <v>0.2</v>
      </c>
      <c r="S49" s="50">
        <v>0.2</v>
      </c>
      <c r="T49" s="50">
        <v>0.2</v>
      </c>
      <c r="U49" s="50">
        <v>0.2</v>
      </c>
    </row>
    <row r="50" spans="1:21" x14ac:dyDescent="0.25">
      <c r="A50" s="7" t="s">
        <v>1277</v>
      </c>
      <c r="E50" s="50">
        <v>0.03</v>
      </c>
      <c r="F50" s="50">
        <v>-0.3</v>
      </c>
      <c r="G50" s="50">
        <v>-0.56999999999999995</v>
      </c>
      <c r="H50" s="50">
        <v>0.05</v>
      </c>
      <c r="J50" s="50">
        <v>3.51</v>
      </c>
      <c r="K50" s="50">
        <v>-0.35</v>
      </c>
      <c r="L50" s="50">
        <v>-2.79</v>
      </c>
      <c r="M50" s="50">
        <v>0.37</v>
      </c>
      <c r="O50" s="50">
        <v>0.86</v>
      </c>
      <c r="P50" s="50">
        <v>0.19</v>
      </c>
      <c r="Q50" s="50">
        <v>0.2</v>
      </c>
      <c r="R50" s="50">
        <v>0.13</v>
      </c>
    </row>
    <row r="51" spans="1:21" x14ac:dyDescent="0.25">
      <c r="A51" s="7" t="s">
        <v>1278</v>
      </c>
      <c r="B51" s="49">
        <v>6212</v>
      </c>
      <c r="C51" s="49">
        <v>2595</v>
      </c>
      <c r="D51" s="49">
        <v>3910</v>
      </c>
      <c r="E51" s="49">
        <v>720</v>
      </c>
      <c r="F51" s="49">
        <v>779</v>
      </c>
      <c r="G51" s="49">
        <v>640</v>
      </c>
      <c r="H51" s="49">
        <v>514</v>
      </c>
      <c r="I51" s="49">
        <v>2653</v>
      </c>
      <c r="J51" s="49">
        <v>583</v>
      </c>
      <c r="K51" s="49">
        <v>511</v>
      </c>
      <c r="L51" s="49">
        <v>568</v>
      </c>
      <c r="M51" s="49">
        <v>623</v>
      </c>
      <c r="N51" s="49">
        <v>2285</v>
      </c>
      <c r="O51" s="49">
        <v>795</v>
      </c>
      <c r="P51" s="49">
        <v>720</v>
      </c>
      <c r="Q51" s="49">
        <v>839</v>
      </c>
      <c r="R51" s="49">
        <v>927</v>
      </c>
      <c r="S51" s="49">
        <v>3281</v>
      </c>
      <c r="T51" s="49">
        <v>3725</v>
      </c>
      <c r="U51" s="49">
        <v>3795</v>
      </c>
    </row>
    <row r="52" spans="1:21" x14ac:dyDescent="0.25">
      <c r="A52" s="7" t="s">
        <v>1279</v>
      </c>
      <c r="B52" s="49">
        <v>858</v>
      </c>
      <c r="C52" s="49">
        <v>707</v>
      </c>
      <c r="D52" s="49">
        <v>1618</v>
      </c>
      <c r="E52" s="49">
        <v>440</v>
      </c>
      <c r="F52" s="49">
        <v>388</v>
      </c>
      <c r="G52" s="49">
        <v>369</v>
      </c>
      <c r="H52" s="49">
        <v>313</v>
      </c>
      <c r="I52" s="49">
        <v>1510</v>
      </c>
      <c r="J52" s="49">
        <v>282</v>
      </c>
      <c r="K52" s="49">
        <v>310</v>
      </c>
      <c r="L52" s="49">
        <v>217</v>
      </c>
      <c r="M52" s="49">
        <v>272</v>
      </c>
      <c r="N52" s="49">
        <v>1081</v>
      </c>
      <c r="O52" s="49">
        <v>244</v>
      </c>
      <c r="P52" s="49">
        <v>269</v>
      </c>
      <c r="Q52" s="49">
        <v>188</v>
      </c>
      <c r="R52" s="49">
        <v>226</v>
      </c>
      <c r="S52" s="49">
        <v>927</v>
      </c>
      <c r="T52" s="49">
        <v>771</v>
      </c>
      <c r="U52" s="49">
        <v>641</v>
      </c>
    </row>
    <row r="53" spans="1:21" x14ac:dyDescent="0.25">
      <c r="A53" s="7" t="s">
        <v>1280</v>
      </c>
      <c r="B53" s="49">
        <v>5354</v>
      </c>
      <c r="C53" s="49">
        <v>1888</v>
      </c>
      <c r="D53" s="49">
        <v>2292</v>
      </c>
      <c r="E53" s="49">
        <v>280</v>
      </c>
      <c r="F53" s="49">
        <v>391</v>
      </c>
      <c r="G53" s="49">
        <v>271</v>
      </c>
      <c r="H53" s="49">
        <v>201</v>
      </c>
      <c r="I53" s="49">
        <v>1143</v>
      </c>
      <c r="J53" s="49">
        <v>301</v>
      </c>
      <c r="K53" s="49">
        <v>201</v>
      </c>
      <c r="L53" s="49">
        <v>351</v>
      </c>
      <c r="M53" s="49">
        <v>351</v>
      </c>
      <c r="N53" s="49">
        <v>1204</v>
      </c>
      <c r="O53" s="49">
        <v>551</v>
      </c>
      <c r="P53" s="49">
        <v>451</v>
      </c>
      <c r="Q53" s="49">
        <v>651</v>
      </c>
      <c r="R53" s="49">
        <v>701</v>
      </c>
      <c r="S53" s="49">
        <v>2354</v>
      </c>
      <c r="T53" s="49">
        <v>2954</v>
      </c>
      <c r="U53" s="49">
        <v>3154</v>
      </c>
    </row>
    <row r="54" spans="1:21" x14ac:dyDescent="0.25">
      <c r="A54" s="7" t="s">
        <v>1281</v>
      </c>
      <c r="B54" s="50">
        <v>0.16</v>
      </c>
      <c r="C54" s="50">
        <v>0.11</v>
      </c>
      <c r="D54" s="50">
        <v>0.12</v>
      </c>
      <c r="E54" s="50">
        <v>0.11</v>
      </c>
      <c r="F54" s="50">
        <v>0.15</v>
      </c>
      <c r="G54" s="50">
        <v>0.15</v>
      </c>
      <c r="H54" s="50">
        <v>0.17</v>
      </c>
      <c r="I54" s="50">
        <v>0.14000000000000001</v>
      </c>
      <c r="J54" s="50">
        <v>0.16</v>
      </c>
      <c r="K54" s="50">
        <v>0.15</v>
      </c>
      <c r="L54" s="50">
        <v>0.14000000000000001</v>
      </c>
      <c r="M54" s="50">
        <v>0.15</v>
      </c>
      <c r="N54" s="50">
        <v>0.15</v>
      </c>
      <c r="O54" s="50">
        <v>0.16</v>
      </c>
      <c r="P54" s="50">
        <v>0.14000000000000001</v>
      </c>
      <c r="Q54" s="50">
        <v>0.13</v>
      </c>
      <c r="R54" s="50">
        <v>0.14000000000000001</v>
      </c>
      <c r="S54" s="50">
        <v>0.14000000000000001</v>
      </c>
      <c r="T54" s="50">
        <v>0.16</v>
      </c>
      <c r="U54" s="50">
        <v>0.16</v>
      </c>
    </row>
    <row r="55" spans="1:21" x14ac:dyDescent="0.25">
      <c r="A55" s="7" t="s">
        <v>1282</v>
      </c>
      <c r="B55" s="49">
        <v>5321</v>
      </c>
      <c r="C55" s="49">
        <v>3557</v>
      </c>
      <c r="D55" s="49">
        <v>3454</v>
      </c>
      <c r="E55" s="49">
        <v>873</v>
      </c>
      <c r="F55" s="49">
        <v>977</v>
      </c>
      <c r="G55" s="49">
        <v>1149</v>
      </c>
      <c r="H55" s="49">
        <v>1184</v>
      </c>
      <c r="I55" s="49">
        <v>4183</v>
      </c>
      <c r="J55" s="49">
        <v>1160</v>
      </c>
      <c r="K55" s="49">
        <v>1172</v>
      </c>
      <c r="L55" s="49">
        <v>1207</v>
      </c>
      <c r="M55" s="49">
        <v>1219</v>
      </c>
      <c r="N55" s="49">
        <v>4757</v>
      </c>
      <c r="O55" s="49">
        <v>1243</v>
      </c>
      <c r="P55" s="49">
        <v>1256</v>
      </c>
      <c r="Q55" s="49">
        <v>1331</v>
      </c>
      <c r="R55" s="49">
        <v>1371</v>
      </c>
      <c r="S55" s="49">
        <v>5200</v>
      </c>
      <c r="T55" s="49">
        <v>5849</v>
      </c>
      <c r="U55" s="49">
        <v>6579</v>
      </c>
    </row>
    <row r="56" spans="1:21" x14ac:dyDescent="0.25">
      <c r="A56" s="7" t="s">
        <v>1283</v>
      </c>
      <c r="B56" s="50">
        <v>0.49</v>
      </c>
      <c r="C56" s="50">
        <v>0.4</v>
      </c>
      <c r="D56" s="50">
        <v>0.36</v>
      </c>
      <c r="E56" s="50">
        <v>0.39</v>
      </c>
      <c r="F56" s="50">
        <v>0.4</v>
      </c>
      <c r="G56" s="50">
        <v>0.42</v>
      </c>
      <c r="H56" s="50">
        <v>0.44</v>
      </c>
      <c r="I56" s="50">
        <v>0.41</v>
      </c>
      <c r="J56" s="50">
        <v>0.35</v>
      </c>
      <c r="K56" s="50">
        <v>0.32</v>
      </c>
      <c r="L56" s="50">
        <v>0.85</v>
      </c>
      <c r="M56" s="50">
        <v>1.76</v>
      </c>
      <c r="N56" s="50">
        <v>0.83</v>
      </c>
      <c r="O56" s="50">
        <v>1.56</v>
      </c>
      <c r="P56" s="50">
        <v>1.71</v>
      </c>
      <c r="Q56" s="50">
        <v>1.98</v>
      </c>
      <c r="R56" s="50">
        <v>2.15</v>
      </c>
      <c r="S56" s="50">
        <v>1.86</v>
      </c>
      <c r="T56" s="50">
        <v>2.67</v>
      </c>
      <c r="U56" s="50">
        <v>3.75</v>
      </c>
    </row>
    <row r="57" spans="1:21" x14ac:dyDescent="0.25">
      <c r="A57" s="7" t="s">
        <v>1284</v>
      </c>
    </row>
    <row r="58" spans="1:21" x14ac:dyDescent="0.25">
      <c r="A58" s="7" t="s">
        <v>1254</v>
      </c>
      <c r="E58" s="38">
        <v>7.0000000000000007E-2</v>
      </c>
      <c r="F58" s="38">
        <v>0.16</v>
      </c>
      <c r="G58" s="38">
        <v>0.25</v>
      </c>
      <c r="H58" s="38">
        <v>0.49</v>
      </c>
      <c r="J58" s="38">
        <v>0.16</v>
      </c>
      <c r="K58" s="38">
        <v>0.14000000000000001</v>
      </c>
      <c r="L58" s="38">
        <v>0.27</v>
      </c>
      <c r="M58" s="38">
        <v>0.32</v>
      </c>
      <c r="O58" s="49">
        <v>0</v>
      </c>
      <c r="P58" s="38">
        <v>0.05</v>
      </c>
      <c r="Q58" s="38">
        <v>0.05</v>
      </c>
      <c r="R58" s="38">
        <v>0.04</v>
      </c>
    </row>
    <row r="59" spans="1:21" x14ac:dyDescent="0.25">
      <c r="A59" s="7" t="s">
        <v>1265</v>
      </c>
      <c r="E59" s="38">
        <v>-7.0000000000000007E-2</v>
      </c>
      <c r="F59" s="38">
        <v>0.06</v>
      </c>
      <c r="G59" s="38">
        <v>-0.02</v>
      </c>
      <c r="H59" s="38">
        <v>-0.01</v>
      </c>
      <c r="J59" s="38">
        <v>-0.02</v>
      </c>
      <c r="K59" s="38">
        <v>-0.02</v>
      </c>
      <c r="L59" s="38">
        <v>0.05</v>
      </c>
      <c r="M59" s="38">
        <v>0.05</v>
      </c>
      <c r="O59" s="38">
        <v>-0.06</v>
      </c>
      <c r="P59" s="38">
        <v>0.01</v>
      </c>
      <c r="Q59" s="38">
        <v>0.17</v>
      </c>
      <c r="R59" s="38">
        <v>0.04</v>
      </c>
    </row>
    <row r="60" spans="1:21" x14ac:dyDescent="0.25">
      <c r="A60" s="7" t="s">
        <v>1278</v>
      </c>
      <c r="E60" s="38">
        <v>-0.15</v>
      </c>
      <c r="F60" s="38">
        <v>0.08</v>
      </c>
      <c r="G60" s="38">
        <v>-0.18</v>
      </c>
      <c r="H60" s="38">
        <v>-0.2</v>
      </c>
      <c r="J60" s="38">
        <v>0.13</v>
      </c>
      <c r="K60" s="38">
        <v>-0.12</v>
      </c>
      <c r="L60" s="38">
        <v>0.11</v>
      </c>
      <c r="M60" s="38">
        <v>0.1</v>
      </c>
      <c r="O60" s="38">
        <v>0.28000000000000003</v>
      </c>
      <c r="P60" s="38">
        <v>-0.09</v>
      </c>
      <c r="Q60" s="38">
        <v>0.17</v>
      </c>
      <c r="R60" s="38">
        <v>0.1</v>
      </c>
    </row>
    <row r="61" spans="1:21" x14ac:dyDescent="0.25">
      <c r="A61" s="7" t="s">
        <v>1282</v>
      </c>
      <c r="E61" s="38">
        <v>-0.08</v>
      </c>
      <c r="F61" s="38">
        <v>0.12</v>
      </c>
      <c r="G61" s="38">
        <v>0.18</v>
      </c>
      <c r="H61" s="38">
        <v>0.03</v>
      </c>
      <c r="J61" s="38">
        <v>-0.02</v>
      </c>
      <c r="K61" s="38">
        <v>0.01</v>
      </c>
      <c r="L61" s="38">
        <v>0.03</v>
      </c>
      <c r="M61" s="38">
        <v>0.01</v>
      </c>
      <c r="O61" s="38">
        <v>0.02</v>
      </c>
      <c r="P61" s="38">
        <v>0.01</v>
      </c>
      <c r="Q61" s="38">
        <v>0.06</v>
      </c>
      <c r="R61" s="38">
        <v>0.03</v>
      </c>
    </row>
    <row r="62" spans="1:21" x14ac:dyDescent="0.25">
      <c r="A62" s="7" t="s">
        <v>1285</v>
      </c>
    </row>
    <row r="63" spans="1:21" x14ac:dyDescent="0.25">
      <c r="A63" s="7" t="s">
        <v>1254</v>
      </c>
      <c r="C63" s="38">
        <v>0.94</v>
      </c>
      <c r="D63" s="38">
        <v>0.32</v>
      </c>
      <c r="E63" s="38">
        <v>0.56999999999999995</v>
      </c>
      <c r="F63" s="38">
        <v>1.07</v>
      </c>
      <c r="G63" s="38">
        <v>0.93</v>
      </c>
      <c r="H63" s="38">
        <v>1.32</v>
      </c>
      <c r="I63" s="38">
        <v>1.01</v>
      </c>
      <c r="J63" s="38">
        <v>1.5</v>
      </c>
      <c r="K63" s="38">
        <v>1.44</v>
      </c>
      <c r="L63" s="38">
        <v>1.47</v>
      </c>
      <c r="M63" s="38">
        <v>1.2</v>
      </c>
      <c r="N63" s="38">
        <v>1.37</v>
      </c>
      <c r="O63" s="38">
        <v>0.91</v>
      </c>
      <c r="P63" s="38">
        <v>0.76</v>
      </c>
      <c r="Q63" s="38">
        <v>0.46</v>
      </c>
      <c r="R63" s="38">
        <v>0.16</v>
      </c>
      <c r="S63" s="38">
        <v>0.5</v>
      </c>
      <c r="T63" s="38">
        <v>0.28999999999999998</v>
      </c>
      <c r="U63" s="38">
        <v>0.28000000000000003</v>
      </c>
    </row>
    <row r="64" spans="1:21" x14ac:dyDescent="0.25">
      <c r="A64" s="7" t="s">
        <v>1265</v>
      </c>
      <c r="C64" s="38">
        <v>0.52</v>
      </c>
      <c r="D64" s="38">
        <v>0.51</v>
      </c>
      <c r="E64" s="38">
        <v>0.26</v>
      </c>
      <c r="F64" s="38">
        <v>0.23</v>
      </c>
      <c r="G64" s="38">
        <v>0.09</v>
      </c>
      <c r="H64" s="38">
        <v>-0.05</v>
      </c>
      <c r="I64" s="38">
        <v>0.12</v>
      </c>
      <c r="J64" s="38">
        <v>0.01</v>
      </c>
      <c r="K64" s="38">
        <v>-7.0000000000000007E-2</v>
      </c>
      <c r="L64" s="49">
        <v>0</v>
      </c>
      <c r="M64" s="38">
        <v>0.06</v>
      </c>
      <c r="N64" s="49">
        <v>0</v>
      </c>
      <c r="O64" s="38">
        <v>0.01</v>
      </c>
      <c r="P64" s="38">
        <v>0.04</v>
      </c>
      <c r="Q64" s="38">
        <v>0.16</v>
      </c>
      <c r="R64" s="38">
        <v>0.15</v>
      </c>
      <c r="S64" s="38">
        <v>0.09</v>
      </c>
      <c r="T64" s="38">
        <v>0.08</v>
      </c>
      <c r="U64" s="38">
        <v>0.01</v>
      </c>
    </row>
    <row r="65" spans="1:21" x14ac:dyDescent="0.25">
      <c r="A65" s="7" t="s">
        <v>1278</v>
      </c>
      <c r="C65" s="38">
        <v>-0.57999999999999996</v>
      </c>
      <c r="D65" s="38">
        <v>0.51</v>
      </c>
      <c r="E65" s="38">
        <v>0.11</v>
      </c>
      <c r="F65" s="38">
        <v>-0.31</v>
      </c>
      <c r="G65" s="38">
        <v>-0.51</v>
      </c>
      <c r="H65" s="38">
        <v>-0.39</v>
      </c>
      <c r="I65" s="38">
        <v>-0.32</v>
      </c>
      <c r="J65" s="38">
        <v>-0.19</v>
      </c>
      <c r="K65" s="38">
        <v>-0.34</v>
      </c>
      <c r="L65" s="38">
        <v>-0.11</v>
      </c>
      <c r="M65" s="38">
        <v>0.21</v>
      </c>
      <c r="N65" s="38">
        <v>-0.14000000000000001</v>
      </c>
      <c r="O65" s="38">
        <v>0.36</v>
      </c>
      <c r="P65" s="38">
        <v>0.41</v>
      </c>
      <c r="Q65" s="38">
        <v>0.48</v>
      </c>
      <c r="R65" s="38">
        <v>0.49</v>
      </c>
      <c r="S65" s="38">
        <v>0.44</v>
      </c>
      <c r="T65" s="38">
        <v>0.14000000000000001</v>
      </c>
      <c r="U65" s="38">
        <v>0.02</v>
      </c>
    </row>
    <row r="66" spans="1:21" x14ac:dyDescent="0.25">
      <c r="A66" s="7" t="s">
        <v>1282</v>
      </c>
      <c r="C66" s="38">
        <v>-0.33</v>
      </c>
      <c r="D66" s="38">
        <v>-0.03</v>
      </c>
      <c r="E66" s="38">
        <v>0.06</v>
      </c>
      <c r="F66" s="38">
        <v>0.19</v>
      </c>
      <c r="G66" s="38">
        <v>0.34</v>
      </c>
      <c r="H66" s="38">
        <v>0.25</v>
      </c>
      <c r="I66" s="38">
        <v>0.21</v>
      </c>
      <c r="J66" s="38">
        <v>0.33</v>
      </c>
      <c r="K66" s="38">
        <v>0.2</v>
      </c>
      <c r="L66" s="38">
        <v>0.05</v>
      </c>
      <c r="M66" s="38">
        <v>0.03</v>
      </c>
      <c r="N66" s="38">
        <v>0.14000000000000001</v>
      </c>
      <c r="O66" s="38">
        <v>7.0000000000000007E-2</v>
      </c>
      <c r="P66" s="38">
        <v>7.0000000000000007E-2</v>
      </c>
      <c r="Q66" s="38">
        <v>0.1</v>
      </c>
      <c r="R66" s="38">
        <v>0.12</v>
      </c>
      <c r="S66" s="38">
        <v>0.09</v>
      </c>
      <c r="T66" s="38">
        <v>0.12</v>
      </c>
      <c r="U66" s="38">
        <v>0.12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7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6" customWidth="1"/>
    <col min="2" max="39" width="10" customWidth="1"/>
  </cols>
  <sheetData>
    <row r="1" spans="1:20" ht="15.75" x14ac:dyDescent="0.25">
      <c r="A1" s="1" t="s">
        <v>1286</v>
      </c>
    </row>
    <row r="2" spans="1:20" x14ac:dyDescent="0.25">
      <c r="A2" s="4" t="s">
        <v>1221</v>
      </c>
    </row>
    <row r="3" spans="1:20" x14ac:dyDescent="0.25">
      <c r="A3" s="4" t="s">
        <v>280</v>
      </c>
    </row>
    <row r="5" spans="1:20" x14ac:dyDescent="0.25">
      <c r="A5" s="48" t="s">
        <v>1287</v>
      </c>
      <c r="B5" s="48" t="s">
        <v>1224</v>
      </c>
      <c r="C5" s="48" t="s">
        <v>1225</v>
      </c>
      <c r="D5" s="48" t="s">
        <v>1226</v>
      </c>
      <c r="E5" s="48" t="s">
        <v>1227</v>
      </c>
      <c r="F5" s="48" t="s">
        <v>1228</v>
      </c>
      <c r="G5" s="48" t="s">
        <v>1229</v>
      </c>
      <c r="H5" s="48" t="s">
        <v>1230</v>
      </c>
      <c r="I5" s="48" t="s">
        <v>1231</v>
      </c>
      <c r="J5" s="48" t="s">
        <v>1232</v>
      </c>
      <c r="K5" s="48" t="s">
        <v>1228</v>
      </c>
      <c r="L5" s="48" t="s">
        <v>1229</v>
      </c>
      <c r="M5" s="48" t="s">
        <v>82</v>
      </c>
      <c r="N5" s="48" t="s">
        <v>1231</v>
      </c>
      <c r="O5" s="48" t="s">
        <v>1232</v>
      </c>
      <c r="P5" s="48" t="s">
        <v>1228</v>
      </c>
      <c r="Q5" s="48" t="s">
        <v>1229</v>
      </c>
      <c r="R5" s="48" t="s">
        <v>1233</v>
      </c>
      <c r="S5" s="48" t="s">
        <v>1234</v>
      </c>
      <c r="T5" s="48" t="s">
        <v>635</v>
      </c>
    </row>
    <row r="6" spans="1:20" x14ac:dyDescent="0.25">
      <c r="A6" s="7" t="s">
        <v>1288</v>
      </c>
      <c r="B6" s="49">
        <v>53101</v>
      </c>
      <c r="C6" s="49">
        <v>52853</v>
      </c>
      <c r="D6" s="49">
        <v>13577</v>
      </c>
      <c r="E6" s="49">
        <v>16128</v>
      </c>
      <c r="F6" s="49">
        <v>16974</v>
      </c>
      <c r="G6" s="49">
        <v>17769</v>
      </c>
      <c r="H6" s="49">
        <v>64448</v>
      </c>
      <c r="I6" s="49">
        <v>17886</v>
      </c>
      <c r="J6" s="49">
        <v>18134</v>
      </c>
      <c r="K6" s="49">
        <v>19202</v>
      </c>
      <c r="L6" s="49">
        <v>19970</v>
      </c>
      <c r="M6" s="49">
        <v>75192</v>
      </c>
      <c r="N6" s="49">
        <v>19978</v>
      </c>
      <c r="O6" s="49">
        <v>21156</v>
      </c>
      <c r="P6" s="49">
        <v>22673</v>
      </c>
      <c r="Q6" s="49">
        <v>23482</v>
      </c>
      <c r="R6" s="49">
        <v>87288</v>
      </c>
      <c r="S6" s="49">
        <v>107256</v>
      </c>
      <c r="T6" s="49">
        <v>132058</v>
      </c>
    </row>
    <row r="7" spans="1:20" x14ac:dyDescent="0.25">
      <c r="A7" s="7" t="s">
        <v>1289</v>
      </c>
      <c r="B7" s="50">
        <v>-0.02</v>
      </c>
      <c r="C7" s="50">
        <v>0</v>
      </c>
      <c r="D7" s="50">
        <v>7.0000000000000007E-2</v>
      </c>
      <c r="E7" s="50">
        <v>0.25</v>
      </c>
      <c r="F7" s="50">
        <v>0.24</v>
      </c>
      <c r="G7" s="50">
        <v>0.3</v>
      </c>
      <c r="H7" s="50">
        <v>0.22</v>
      </c>
      <c r="I7" s="50">
        <v>0.32</v>
      </c>
      <c r="J7" s="50">
        <v>0.12</v>
      </c>
      <c r="K7" s="50">
        <v>0.13</v>
      </c>
      <c r="L7" s="50">
        <v>0.12</v>
      </c>
      <c r="M7" s="50">
        <v>0.17</v>
      </c>
      <c r="N7" s="50">
        <v>0.12</v>
      </c>
      <c r="O7" s="50">
        <v>0.17</v>
      </c>
      <c r="P7" s="50">
        <v>0.18</v>
      </c>
      <c r="Q7" s="50">
        <v>0.18</v>
      </c>
      <c r="R7" s="50">
        <v>0.16</v>
      </c>
      <c r="S7" s="50">
        <v>0.23</v>
      </c>
      <c r="T7" s="50">
        <v>0.23</v>
      </c>
    </row>
    <row r="8" spans="1:20" x14ac:dyDescent="0.25">
      <c r="A8" s="7" t="s">
        <v>1290</v>
      </c>
      <c r="B8" s="49">
        <v>19099</v>
      </c>
      <c r="C8" s="49">
        <v>19410</v>
      </c>
      <c r="D8" s="49">
        <v>5570</v>
      </c>
      <c r="E8" s="49">
        <v>6737</v>
      </c>
      <c r="F8" s="49">
        <v>7180</v>
      </c>
      <c r="G8" s="49">
        <v>7552</v>
      </c>
      <c r="H8" s="49">
        <v>27039</v>
      </c>
      <c r="I8" s="49">
        <v>7566</v>
      </c>
      <c r="J8" s="49">
        <v>7798</v>
      </c>
      <c r="K8" s="49">
        <v>8449</v>
      </c>
      <c r="L8" s="49">
        <v>8897</v>
      </c>
      <c r="M8" s="49">
        <v>32709</v>
      </c>
      <c r="N8" s="49">
        <v>8780</v>
      </c>
      <c r="O8" s="49">
        <v>9361</v>
      </c>
      <c r="P8" s="49">
        <v>10101</v>
      </c>
      <c r="Q8" s="49">
        <v>10543</v>
      </c>
      <c r="R8" s="49">
        <v>38786</v>
      </c>
      <c r="S8" s="49">
        <v>48792</v>
      </c>
      <c r="T8" s="49">
        <v>62686</v>
      </c>
    </row>
    <row r="9" spans="1:20" x14ac:dyDescent="0.25">
      <c r="A9" s="7" t="s">
        <v>1238</v>
      </c>
      <c r="B9" s="50">
        <v>0.36</v>
      </c>
      <c r="C9" s="50">
        <v>0.36699999999999999</v>
      </c>
      <c r="D9" s="50">
        <v>0.41</v>
      </c>
      <c r="E9" s="50">
        <v>0.41799999999999998</v>
      </c>
      <c r="F9" s="50">
        <v>0.42299999999999999</v>
      </c>
      <c r="G9" s="50">
        <v>0.42499999999999999</v>
      </c>
      <c r="H9" s="50">
        <v>0.42</v>
      </c>
      <c r="I9" s="50">
        <v>0.42299999999999999</v>
      </c>
      <c r="J9" s="50">
        <v>0.43</v>
      </c>
      <c r="K9" s="50">
        <v>0.44</v>
      </c>
      <c r="L9" s="50">
        <v>0.44600000000000001</v>
      </c>
      <c r="M9" s="50">
        <v>0.435</v>
      </c>
      <c r="N9" s="50">
        <v>0.44</v>
      </c>
      <c r="O9" s="50">
        <v>0.443</v>
      </c>
      <c r="P9" s="50">
        <v>0.44600000000000001</v>
      </c>
      <c r="Q9" s="50">
        <v>0.44900000000000001</v>
      </c>
      <c r="R9" s="50">
        <v>0.44400000000000001</v>
      </c>
      <c r="S9" s="50">
        <v>0.45500000000000002</v>
      </c>
      <c r="T9" s="50">
        <v>0.47499999999999998</v>
      </c>
    </row>
    <row r="10" spans="1:20" x14ac:dyDescent="0.25">
      <c r="A10" s="7" t="s">
        <v>1291</v>
      </c>
      <c r="B10" s="49">
        <v>16546</v>
      </c>
      <c r="C10" s="49">
        <v>13774</v>
      </c>
      <c r="D10" s="49">
        <v>3375</v>
      </c>
      <c r="E10" s="49">
        <v>3368</v>
      </c>
      <c r="F10" s="49">
        <v>3775</v>
      </c>
      <c r="G10" s="49">
        <v>3860</v>
      </c>
      <c r="H10" s="49">
        <v>14378</v>
      </c>
      <c r="I10" s="49">
        <v>3840</v>
      </c>
      <c r="J10" s="49">
        <v>3820</v>
      </c>
      <c r="K10" s="49">
        <v>3870</v>
      </c>
      <c r="L10" s="49">
        <v>3930</v>
      </c>
      <c r="M10" s="49">
        <v>15460</v>
      </c>
      <c r="N10" s="49">
        <v>4050</v>
      </c>
      <c r="O10" s="49">
        <v>4170</v>
      </c>
      <c r="P10" s="49">
        <v>4290</v>
      </c>
      <c r="Q10" s="49">
        <v>4410</v>
      </c>
      <c r="R10" s="49">
        <v>16920</v>
      </c>
      <c r="S10" s="49">
        <v>20140</v>
      </c>
      <c r="T10" s="49">
        <v>23050</v>
      </c>
    </row>
    <row r="11" spans="1:20" x14ac:dyDescent="0.25">
      <c r="A11" s="7" t="s">
        <v>1292</v>
      </c>
      <c r="B11" s="49">
        <v>5507</v>
      </c>
      <c r="C11" s="49">
        <v>4624</v>
      </c>
      <c r="D11" s="49">
        <v>1038</v>
      </c>
      <c r="E11" s="49">
        <v>1175</v>
      </c>
      <c r="F11" s="49">
        <v>1250</v>
      </c>
      <c r="G11" s="49">
        <v>1280</v>
      </c>
      <c r="H11" s="49">
        <v>4743</v>
      </c>
      <c r="I11" s="49">
        <v>1200</v>
      </c>
      <c r="J11" s="49">
        <v>1250</v>
      </c>
      <c r="K11" s="49">
        <v>1320</v>
      </c>
      <c r="L11" s="49">
        <v>1380</v>
      </c>
      <c r="M11" s="49">
        <v>5150</v>
      </c>
      <c r="N11" s="49">
        <v>1310</v>
      </c>
      <c r="O11" s="49">
        <v>1430</v>
      </c>
      <c r="P11" s="49">
        <v>1530</v>
      </c>
      <c r="Q11" s="49">
        <v>1560</v>
      </c>
      <c r="R11" s="49">
        <v>5830</v>
      </c>
      <c r="S11" s="49">
        <v>6240</v>
      </c>
      <c r="T11" s="49">
        <v>6890</v>
      </c>
    </row>
    <row r="12" spans="1:20" x14ac:dyDescent="0.25">
      <c r="A12" s="7" t="s">
        <v>1293</v>
      </c>
      <c r="B12" s="49">
        <v>-2700</v>
      </c>
      <c r="C12" s="49">
        <v>-1904</v>
      </c>
      <c r="D12" s="49">
        <v>-511</v>
      </c>
      <c r="E12" s="49">
        <v>-576</v>
      </c>
      <c r="H12" s="49">
        <v>-1087</v>
      </c>
    </row>
    <row r="13" spans="1:20" x14ac:dyDescent="0.25">
      <c r="A13" s="7" t="s">
        <v>1294</v>
      </c>
      <c r="B13" s="49">
        <v>19353</v>
      </c>
      <c r="C13" s="49">
        <v>16494</v>
      </c>
      <c r="D13" s="49">
        <v>3902</v>
      </c>
      <c r="E13" s="49">
        <v>3967</v>
      </c>
      <c r="F13" s="49">
        <v>4475</v>
      </c>
      <c r="G13" s="49">
        <v>4564</v>
      </c>
      <c r="H13" s="49">
        <v>16908</v>
      </c>
      <c r="I13" s="49">
        <v>4503</v>
      </c>
      <c r="J13" s="49">
        <v>4526</v>
      </c>
      <c r="K13" s="49">
        <v>4614</v>
      </c>
      <c r="L13" s="49">
        <v>4711</v>
      </c>
      <c r="M13" s="49">
        <v>18354</v>
      </c>
      <c r="N13" s="49">
        <v>4761</v>
      </c>
      <c r="O13" s="49">
        <v>4965</v>
      </c>
      <c r="P13" s="49">
        <v>5140</v>
      </c>
      <c r="Q13" s="49">
        <v>5266</v>
      </c>
      <c r="R13" s="49">
        <v>20131</v>
      </c>
      <c r="S13" s="49">
        <v>23162</v>
      </c>
      <c r="T13" s="49">
        <v>25978</v>
      </c>
    </row>
    <row r="14" spans="1:20" x14ac:dyDescent="0.25">
      <c r="A14" s="7" t="s">
        <v>1289</v>
      </c>
      <c r="B14" s="50">
        <v>0.02</v>
      </c>
      <c r="C14" s="50">
        <v>-0.15</v>
      </c>
      <c r="D14" s="50">
        <v>-0.09</v>
      </c>
      <c r="E14" s="50">
        <v>-0.08</v>
      </c>
      <c r="F14" s="50">
        <v>0.14000000000000001</v>
      </c>
      <c r="G14" s="50">
        <v>0.15</v>
      </c>
      <c r="H14" s="50">
        <v>0.03</v>
      </c>
      <c r="I14" s="50">
        <v>0.15</v>
      </c>
      <c r="J14" s="50">
        <v>0.14000000000000001</v>
      </c>
      <c r="K14" s="50">
        <v>0.03</v>
      </c>
      <c r="L14" s="50">
        <v>0.03</v>
      </c>
      <c r="M14" s="50">
        <v>0.09</v>
      </c>
      <c r="N14" s="50">
        <v>0.06</v>
      </c>
      <c r="O14" s="50">
        <v>0.1</v>
      </c>
      <c r="P14" s="50">
        <v>0.11</v>
      </c>
      <c r="Q14" s="50">
        <v>0.12</v>
      </c>
      <c r="R14" s="50">
        <v>0.1</v>
      </c>
      <c r="S14" s="50">
        <v>0.15</v>
      </c>
      <c r="T14" s="50">
        <v>0.12</v>
      </c>
    </row>
    <row r="15" spans="1:20" x14ac:dyDescent="0.25">
      <c r="A15" s="7" t="s">
        <v>1295</v>
      </c>
      <c r="B15" s="49">
        <v>-254</v>
      </c>
      <c r="C15" s="49">
        <v>2916</v>
      </c>
      <c r="D15" s="49">
        <v>1668</v>
      </c>
      <c r="E15" s="49">
        <v>2770</v>
      </c>
      <c r="F15" s="49">
        <v>2705</v>
      </c>
      <c r="G15" s="49">
        <v>2988</v>
      </c>
      <c r="H15" s="49">
        <v>10131</v>
      </c>
      <c r="I15" s="49">
        <v>3062</v>
      </c>
      <c r="J15" s="49">
        <v>3272</v>
      </c>
      <c r="K15" s="49">
        <v>3835</v>
      </c>
      <c r="L15" s="49">
        <v>4186</v>
      </c>
      <c r="M15" s="49">
        <v>14355</v>
      </c>
      <c r="N15" s="49">
        <v>4020</v>
      </c>
      <c r="O15" s="49">
        <v>4396</v>
      </c>
      <c r="P15" s="49">
        <v>4961</v>
      </c>
      <c r="Q15" s="49">
        <v>5278</v>
      </c>
      <c r="R15" s="49">
        <v>18655</v>
      </c>
      <c r="S15" s="49">
        <v>25630</v>
      </c>
      <c r="T15" s="49">
        <v>36708</v>
      </c>
    </row>
    <row r="16" spans="1:20" x14ac:dyDescent="0.25">
      <c r="A16" s="7" t="s">
        <v>1246</v>
      </c>
      <c r="B16" s="50">
        <v>-5.0000000000000001E-3</v>
      </c>
      <c r="C16" s="50">
        <v>5.5E-2</v>
      </c>
      <c r="D16" s="50">
        <v>0.123</v>
      </c>
      <c r="E16" s="50">
        <v>0.17199999999999999</v>
      </c>
      <c r="F16" s="50">
        <v>0.159</v>
      </c>
      <c r="G16" s="50">
        <v>0.16800000000000001</v>
      </c>
      <c r="H16" s="50">
        <v>0.157</v>
      </c>
      <c r="I16" s="50">
        <v>0.17100000000000001</v>
      </c>
      <c r="J16" s="50">
        <v>0.18</v>
      </c>
      <c r="K16" s="50">
        <v>0.2</v>
      </c>
      <c r="L16" s="50">
        <v>0.21</v>
      </c>
      <c r="M16" s="50">
        <v>0.191</v>
      </c>
      <c r="N16" s="50">
        <v>0.20100000000000001</v>
      </c>
      <c r="O16" s="50">
        <v>0.20799999999999999</v>
      </c>
      <c r="P16" s="50">
        <v>0.219</v>
      </c>
      <c r="Q16" s="50">
        <v>0.22500000000000001</v>
      </c>
      <c r="R16" s="50">
        <v>0.214</v>
      </c>
      <c r="S16" s="50">
        <v>0.23899999999999999</v>
      </c>
      <c r="T16" s="50">
        <v>0.27800000000000002</v>
      </c>
    </row>
    <row r="17" spans="1:20" x14ac:dyDescent="0.25">
      <c r="A17" s="7" t="s">
        <v>1296</v>
      </c>
      <c r="B17" s="38">
        <v>-0.13</v>
      </c>
      <c r="C17" s="38">
        <v>0.42</v>
      </c>
      <c r="D17" s="38">
        <v>0.28999999999999998</v>
      </c>
      <c r="E17" s="38">
        <v>0.43</v>
      </c>
      <c r="F17" s="38">
        <v>0.39</v>
      </c>
      <c r="G17" s="38">
        <v>0.45</v>
      </c>
      <c r="H17" s="38">
        <v>1.57</v>
      </c>
      <c r="I17" s="38">
        <v>0.46</v>
      </c>
      <c r="J17" s="38">
        <v>0.5</v>
      </c>
      <c r="K17" s="38">
        <v>0.59</v>
      </c>
      <c r="L17" s="38">
        <v>0.64</v>
      </c>
      <c r="M17" s="38">
        <v>2.2000000000000002</v>
      </c>
      <c r="N17" s="38">
        <v>0.64</v>
      </c>
      <c r="O17" s="38">
        <v>0.69</v>
      </c>
      <c r="P17" s="38">
        <v>0.78</v>
      </c>
      <c r="Q17" s="38">
        <v>0.83</v>
      </c>
      <c r="R17" s="38">
        <v>2.94</v>
      </c>
      <c r="S17" s="38">
        <v>3.96</v>
      </c>
      <c r="T17" s="38">
        <v>5.42</v>
      </c>
    </row>
    <row r="18" spans="1:20" x14ac:dyDescent="0.25">
      <c r="A18" s="7" t="s">
        <v>1248</v>
      </c>
    </row>
    <row r="19" spans="1:20" x14ac:dyDescent="0.25">
      <c r="A19" s="7" t="s">
        <v>1297</v>
      </c>
      <c r="B19" s="49">
        <v>8288</v>
      </c>
      <c r="C19" s="49">
        <v>9697</v>
      </c>
      <c r="D19" s="49">
        <v>1096</v>
      </c>
      <c r="E19" s="49">
        <v>7006</v>
      </c>
      <c r="F19" s="49">
        <v>6561</v>
      </c>
      <c r="G19" s="49">
        <v>4747</v>
      </c>
      <c r="H19" s="49">
        <v>19410</v>
      </c>
      <c r="I19" s="49">
        <v>3903</v>
      </c>
      <c r="J19" s="49">
        <v>6388</v>
      </c>
      <c r="K19" s="49">
        <v>7502</v>
      </c>
      <c r="L19" s="49">
        <v>7448</v>
      </c>
      <c r="M19" s="49">
        <v>25241</v>
      </c>
      <c r="N19" s="49">
        <v>6945</v>
      </c>
      <c r="O19" s="49">
        <v>8754</v>
      </c>
      <c r="P19" s="49">
        <v>9748</v>
      </c>
      <c r="Q19" s="49">
        <v>9549</v>
      </c>
      <c r="R19" s="49">
        <v>34996</v>
      </c>
      <c r="S19" s="49">
        <v>47299</v>
      </c>
      <c r="T19" s="49">
        <v>58197</v>
      </c>
    </row>
    <row r="20" spans="1:20" x14ac:dyDescent="0.25">
      <c r="A20" s="7" t="s">
        <v>1298</v>
      </c>
      <c r="B20" s="49">
        <v>25122</v>
      </c>
      <c r="C20" s="49">
        <v>17672</v>
      </c>
      <c r="D20" s="49">
        <v>5136</v>
      </c>
      <c r="E20" s="49">
        <v>2479</v>
      </c>
      <c r="F20" s="49">
        <v>6000</v>
      </c>
      <c r="G20" s="49">
        <v>6600</v>
      </c>
      <c r="H20" s="49">
        <v>20215</v>
      </c>
      <c r="I20" s="49">
        <v>7500</v>
      </c>
      <c r="J20" s="49">
        <v>7000</v>
      </c>
      <c r="K20" s="49">
        <v>7000</v>
      </c>
      <c r="L20" s="49">
        <v>7000</v>
      </c>
      <c r="M20" s="49">
        <v>28500</v>
      </c>
      <c r="N20" s="49">
        <v>10000</v>
      </c>
      <c r="O20" s="49">
        <v>10000</v>
      </c>
      <c r="P20" s="49">
        <v>10000</v>
      </c>
      <c r="Q20" s="49">
        <v>10000</v>
      </c>
      <c r="R20" s="49">
        <v>40000</v>
      </c>
      <c r="S20" s="49">
        <v>40000</v>
      </c>
      <c r="T20" s="49">
        <v>30000</v>
      </c>
    </row>
    <row r="21" spans="1:20" x14ac:dyDescent="0.25">
      <c r="A21" s="7" t="s">
        <v>1299</v>
      </c>
      <c r="B21" s="49">
        <v>14650</v>
      </c>
      <c r="C21" s="49">
        <v>6685</v>
      </c>
      <c r="D21" s="49">
        <v>1607</v>
      </c>
      <c r="E21" s="49">
        <v>2642</v>
      </c>
      <c r="F21" s="49">
        <v>1900</v>
      </c>
      <c r="G21" s="49">
        <v>2000</v>
      </c>
      <c r="H21" s="49">
        <v>8149</v>
      </c>
      <c r="I21" s="49">
        <v>1200</v>
      </c>
      <c r="J21" s="49">
        <v>700</v>
      </c>
      <c r="K21" s="49">
        <v>200</v>
      </c>
      <c r="L21" s="49">
        <v>200</v>
      </c>
      <c r="M21" s="49">
        <v>2300</v>
      </c>
      <c r="N21" s="49">
        <v>200</v>
      </c>
      <c r="O21" s="49">
        <v>200</v>
      </c>
      <c r="P21" s="49">
        <v>200</v>
      </c>
      <c r="Q21" s="49">
        <v>200</v>
      </c>
      <c r="R21" s="49">
        <v>800</v>
      </c>
      <c r="S21" s="49">
        <v>800</v>
      </c>
      <c r="T21" s="49">
        <v>800</v>
      </c>
    </row>
    <row r="22" spans="1:20" x14ac:dyDescent="0.25">
      <c r="A22" s="7" t="s">
        <v>1300</v>
      </c>
      <c r="B22" s="49">
        <v>10472</v>
      </c>
      <c r="C22" s="49">
        <v>10987</v>
      </c>
      <c r="D22" s="49">
        <v>3529</v>
      </c>
      <c r="E22" s="49">
        <v>-163</v>
      </c>
      <c r="F22" s="49">
        <v>4100</v>
      </c>
      <c r="G22" s="49">
        <v>4600</v>
      </c>
      <c r="H22" s="49">
        <v>12066</v>
      </c>
      <c r="I22" s="49">
        <v>6300</v>
      </c>
      <c r="J22" s="49">
        <v>6300</v>
      </c>
      <c r="K22" s="49">
        <v>6800</v>
      </c>
      <c r="L22" s="49">
        <v>6800</v>
      </c>
      <c r="M22" s="49">
        <v>26200</v>
      </c>
      <c r="N22" s="49">
        <v>9800</v>
      </c>
      <c r="O22" s="49">
        <v>9800</v>
      </c>
      <c r="P22" s="49">
        <v>9800</v>
      </c>
      <c r="Q22" s="49">
        <v>9800</v>
      </c>
      <c r="R22" s="49">
        <v>39200</v>
      </c>
      <c r="S22" s="49">
        <v>39200</v>
      </c>
      <c r="T22" s="49">
        <v>29200</v>
      </c>
    </row>
    <row r="23" spans="1:20" x14ac:dyDescent="0.25">
      <c r="A23" s="7" t="s">
        <v>1301</v>
      </c>
      <c r="B23" s="49">
        <v>-2228</v>
      </c>
      <c r="C23" s="49">
        <v>-1612</v>
      </c>
      <c r="D23" s="49">
        <v>-2433</v>
      </c>
      <c r="E23" s="49">
        <v>7169</v>
      </c>
      <c r="F23" s="49">
        <v>2461</v>
      </c>
      <c r="G23" s="49">
        <v>147</v>
      </c>
      <c r="H23" s="49">
        <v>7344</v>
      </c>
      <c r="I23" s="49">
        <v>-2397</v>
      </c>
      <c r="J23" s="49">
        <v>88</v>
      </c>
      <c r="K23" s="49">
        <v>702</v>
      </c>
      <c r="L23" s="49">
        <v>648</v>
      </c>
      <c r="M23" s="49">
        <v>-959</v>
      </c>
      <c r="N23" s="49">
        <v>-2855</v>
      </c>
      <c r="O23" s="49">
        <v>-1046</v>
      </c>
      <c r="P23" s="49">
        <v>-52</v>
      </c>
      <c r="Q23" s="49">
        <v>-251</v>
      </c>
      <c r="R23" s="49">
        <v>-4204</v>
      </c>
      <c r="S23" s="49">
        <v>8099</v>
      </c>
      <c r="T23" s="49">
        <v>28997</v>
      </c>
    </row>
    <row r="24" spans="1:20" x14ac:dyDescent="0.25">
      <c r="A24" s="7" t="s">
        <v>1302</v>
      </c>
      <c r="B24" s="50">
        <v>-0.04</v>
      </c>
      <c r="C24" s="50">
        <v>-0.03</v>
      </c>
      <c r="D24" s="50">
        <v>-0.18</v>
      </c>
      <c r="E24" s="50">
        <v>0.44</v>
      </c>
      <c r="F24" s="50">
        <v>0.15</v>
      </c>
      <c r="G24" s="50">
        <v>0.01</v>
      </c>
      <c r="H24" s="50">
        <v>0.11</v>
      </c>
      <c r="I24" s="50">
        <v>-0.13</v>
      </c>
      <c r="J24" s="50">
        <v>0</v>
      </c>
      <c r="K24" s="50">
        <v>0.04</v>
      </c>
      <c r="L24" s="50">
        <v>0.03</v>
      </c>
      <c r="M24" s="50">
        <v>-0.01</v>
      </c>
      <c r="N24" s="50">
        <v>-0.14000000000000001</v>
      </c>
      <c r="O24" s="50">
        <v>-0.05</v>
      </c>
      <c r="P24" s="50">
        <v>0</v>
      </c>
      <c r="Q24" s="50">
        <v>-0.01</v>
      </c>
      <c r="R24" s="50">
        <v>-0.05</v>
      </c>
      <c r="S24" s="50">
        <v>0.08</v>
      </c>
      <c r="T24" s="50">
        <v>0.22</v>
      </c>
    </row>
    <row r="25" spans="1:20" x14ac:dyDescent="0.25">
      <c r="A25" s="7" t="s">
        <v>1289</v>
      </c>
      <c r="D25" s="50">
        <v>-0.34</v>
      </c>
      <c r="E25" s="50">
        <v>-7.83</v>
      </c>
      <c r="F25" s="50">
        <v>1.75</v>
      </c>
      <c r="G25" s="50">
        <v>-0.93</v>
      </c>
      <c r="I25" s="50">
        <v>-0.01</v>
      </c>
      <c r="J25" s="50">
        <v>-0.99</v>
      </c>
      <c r="K25" s="50">
        <v>-0.71</v>
      </c>
      <c r="L25" s="50">
        <v>3.42</v>
      </c>
      <c r="N25" s="50">
        <v>0.19</v>
      </c>
      <c r="O25" s="50">
        <v>-12.89</v>
      </c>
      <c r="P25" s="50">
        <v>-1.07</v>
      </c>
      <c r="Q25" s="50">
        <v>-1.39</v>
      </c>
    </row>
    <row r="26" spans="1:20" x14ac:dyDescent="0.25">
      <c r="A26" s="7" t="s">
        <v>1303</v>
      </c>
    </row>
    <row r="27" spans="1:20" x14ac:dyDescent="0.25">
      <c r="A27" s="7" t="s">
        <v>1304</v>
      </c>
      <c r="B27" s="49">
        <v>49471</v>
      </c>
      <c r="C27" s="49">
        <v>49147</v>
      </c>
      <c r="D27" s="49">
        <v>12779</v>
      </c>
      <c r="E27" s="49">
        <v>15139</v>
      </c>
      <c r="F27" s="49">
        <v>15932</v>
      </c>
      <c r="G27" s="49">
        <v>16654</v>
      </c>
      <c r="H27" s="49">
        <v>60504</v>
      </c>
      <c r="I27" s="49">
        <v>16634</v>
      </c>
      <c r="J27" s="49">
        <v>16916</v>
      </c>
      <c r="K27" s="49">
        <v>17884</v>
      </c>
      <c r="L27" s="49">
        <v>18609</v>
      </c>
      <c r="M27" s="49">
        <v>70042</v>
      </c>
      <c r="N27" s="49">
        <v>18219</v>
      </c>
      <c r="O27" s="49">
        <v>19177</v>
      </c>
      <c r="P27" s="49">
        <v>20374</v>
      </c>
      <c r="Q27" s="49">
        <v>20739</v>
      </c>
      <c r="R27" s="49">
        <v>78508</v>
      </c>
      <c r="S27" s="49">
        <v>86779</v>
      </c>
      <c r="T27" s="49">
        <v>93871</v>
      </c>
    </row>
    <row r="28" spans="1:20" x14ac:dyDescent="0.25">
      <c r="A28" s="7" t="s">
        <v>1305</v>
      </c>
      <c r="D28" s="50">
        <v>-0.01</v>
      </c>
      <c r="E28" s="50">
        <v>0.18</v>
      </c>
      <c r="F28" s="50">
        <v>0.05</v>
      </c>
      <c r="G28" s="50">
        <v>0.05</v>
      </c>
      <c r="I28" s="50">
        <v>0</v>
      </c>
      <c r="J28" s="50">
        <v>0.02</v>
      </c>
      <c r="K28" s="50">
        <v>0.06</v>
      </c>
      <c r="L28" s="50">
        <v>0.04</v>
      </c>
      <c r="N28" s="50">
        <v>-0.02</v>
      </c>
      <c r="O28" s="50">
        <v>0.05</v>
      </c>
      <c r="P28" s="50">
        <v>0.06</v>
      </c>
      <c r="Q28" s="50">
        <v>0.02</v>
      </c>
    </row>
    <row r="29" spans="1:20" x14ac:dyDescent="0.25">
      <c r="A29" s="7" t="s">
        <v>1306</v>
      </c>
      <c r="B29" s="50">
        <v>0.04</v>
      </c>
      <c r="C29" s="50">
        <v>-0.01</v>
      </c>
      <c r="D29" s="50">
        <v>0.09</v>
      </c>
      <c r="E29" s="50">
        <v>0.28000000000000003</v>
      </c>
      <c r="F29" s="50">
        <v>0.26</v>
      </c>
      <c r="G29" s="50">
        <v>0.28999999999999998</v>
      </c>
      <c r="H29" s="50">
        <v>0.23</v>
      </c>
      <c r="I29" s="50">
        <v>0.3</v>
      </c>
      <c r="J29" s="50">
        <v>0.12</v>
      </c>
      <c r="K29" s="50">
        <v>0.12</v>
      </c>
      <c r="L29" s="50">
        <v>0.12</v>
      </c>
      <c r="M29" s="50">
        <v>0.16</v>
      </c>
      <c r="N29" s="50">
        <v>0.1</v>
      </c>
      <c r="O29" s="50">
        <v>0.13</v>
      </c>
      <c r="P29" s="50">
        <v>0.14000000000000001</v>
      </c>
      <c r="Q29" s="50">
        <v>0.11</v>
      </c>
      <c r="R29" s="50">
        <v>0.12</v>
      </c>
      <c r="S29" s="50">
        <v>0.11</v>
      </c>
      <c r="T29" s="50">
        <v>0.08</v>
      </c>
    </row>
    <row r="30" spans="1:20" x14ac:dyDescent="0.25">
      <c r="A30" s="7" t="s">
        <v>1307</v>
      </c>
      <c r="B30" s="49">
        <v>13008</v>
      </c>
      <c r="C30" s="49">
        <v>12739</v>
      </c>
    </row>
    <row r="31" spans="1:20" x14ac:dyDescent="0.25">
      <c r="A31" s="7" t="s">
        <v>1308</v>
      </c>
      <c r="B31" s="50">
        <v>0.26</v>
      </c>
      <c r="C31" s="50">
        <v>0.26</v>
      </c>
    </row>
    <row r="32" spans="1:20" x14ac:dyDescent="0.25">
      <c r="A32" s="7" t="s">
        <v>1309</v>
      </c>
      <c r="B32" s="49">
        <v>33346</v>
      </c>
      <c r="C32" s="49">
        <v>32228</v>
      </c>
      <c r="D32" s="49">
        <v>7727</v>
      </c>
      <c r="E32" s="49">
        <v>8877</v>
      </c>
      <c r="F32" s="49">
        <v>8895</v>
      </c>
      <c r="G32" s="49">
        <v>8756</v>
      </c>
      <c r="H32" s="49">
        <v>34255</v>
      </c>
      <c r="I32" s="49">
        <v>8098</v>
      </c>
      <c r="J32" s="49">
        <v>7801</v>
      </c>
      <c r="K32" s="49">
        <v>8148</v>
      </c>
      <c r="L32" s="49">
        <v>8143</v>
      </c>
      <c r="M32" s="49">
        <v>32190</v>
      </c>
      <c r="N32" s="49">
        <v>7624</v>
      </c>
      <c r="O32" s="49">
        <v>8014</v>
      </c>
      <c r="P32" s="49">
        <v>8384</v>
      </c>
      <c r="Q32" s="49">
        <v>8158</v>
      </c>
      <c r="R32" s="49">
        <v>32181</v>
      </c>
      <c r="S32" s="49">
        <v>33196</v>
      </c>
      <c r="T32" s="49">
        <v>34783</v>
      </c>
    </row>
    <row r="33" spans="1:20" x14ac:dyDescent="0.25">
      <c r="A33" s="7" t="s">
        <v>1310</v>
      </c>
      <c r="D33" s="50">
        <v>-0.06</v>
      </c>
      <c r="E33" s="50">
        <v>0.15</v>
      </c>
      <c r="F33" s="50">
        <v>0</v>
      </c>
      <c r="G33" s="50">
        <v>-0.02</v>
      </c>
      <c r="I33" s="50">
        <v>-0.08</v>
      </c>
      <c r="J33" s="50">
        <v>-0.04</v>
      </c>
      <c r="K33" s="50">
        <v>0.04</v>
      </c>
      <c r="L33" s="50">
        <v>0</v>
      </c>
      <c r="N33" s="50">
        <v>-0.06</v>
      </c>
      <c r="O33" s="50">
        <v>0.05</v>
      </c>
      <c r="P33" s="50">
        <v>0.05</v>
      </c>
      <c r="Q33" s="50">
        <v>-0.03</v>
      </c>
    </row>
    <row r="34" spans="1:20" x14ac:dyDescent="0.25">
      <c r="A34" s="7" t="s">
        <v>1311</v>
      </c>
      <c r="C34" s="50">
        <v>-0.03</v>
      </c>
      <c r="D34" s="50">
        <v>0.01</v>
      </c>
      <c r="E34" s="50">
        <v>0.13</v>
      </c>
      <c r="F34" s="50">
        <v>0.04</v>
      </c>
      <c r="G34" s="50">
        <v>7.0000000000000007E-2</v>
      </c>
      <c r="H34" s="50">
        <v>0.06</v>
      </c>
      <c r="I34" s="50">
        <v>0.05</v>
      </c>
      <c r="J34" s="50">
        <v>-0.12</v>
      </c>
      <c r="K34" s="50">
        <v>-0.08</v>
      </c>
      <c r="L34" s="50">
        <v>-7.0000000000000007E-2</v>
      </c>
      <c r="M34" s="50">
        <v>-0.06</v>
      </c>
      <c r="N34" s="50">
        <v>-0.06</v>
      </c>
      <c r="O34" s="50">
        <v>0.03</v>
      </c>
      <c r="P34" s="50">
        <v>0.03</v>
      </c>
      <c r="Q34" s="50">
        <v>0</v>
      </c>
      <c r="R34" s="50">
        <v>0</v>
      </c>
      <c r="S34" s="50">
        <v>0.03</v>
      </c>
      <c r="T34" s="50">
        <v>0.05</v>
      </c>
    </row>
    <row r="35" spans="1:20" x14ac:dyDescent="0.25">
      <c r="A35" s="7" t="s">
        <v>1312</v>
      </c>
      <c r="B35" s="49">
        <v>11594</v>
      </c>
      <c r="C35" s="49">
        <v>9317</v>
      </c>
      <c r="D35" s="49">
        <v>2516</v>
      </c>
      <c r="E35" s="49">
        <v>2343</v>
      </c>
    </row>
    <row r="36" spans="1:20" x14ac:dyDescent="0.25">
      <c r="A36" s="7" t="s">
        <v>1246</v>
      </c>
      <c r="B36" s="50">
        <v>0.35</v>
      </c>
      <c r="C36" s="50">
        <v>0.28999999999999998</v>
      </c>
      <c r="D36" s="50">
        <v>0.33</v>
      </c>
      <c r="E36" s="50">
        <v>0.26</v>
      </c>
    </row>
    <row r="37" spans="1:20" x14ac:dyDescent="0.25">
      <c r="A37" s="7" t="s">
        <v>1313</v>
      </c>
      <c r="B37" s="49">
        <v>9650</v>
      </c>
      <c r="C37" s="49">
        <v>8966</v>
      </c>
      <c r="D37" s="49">
        <v>2141</v>
      </c>
      <c r="E37" s="49">
        <v>2310</v>
      </c>
      <c r="F37" s="49">
        <v>2159</v>
      </c>
      <c r="G37" s="49">
        <v>2029</v>
      </c>
      <c r="H37" s="49">
        <v>8639</v>
      </c>
      <c r="I37" s="49">
        <v>1844</v>
      </c>
      <c r="J37" s="49">
        <v>1741</v>
      </c>
      <c r="K37" s="49">
        <v>1758</v>
      </c>
      <c r="L37" s="49">
        <v>1671</v>
      </c>
      <c r="M37" s="49">
        <v>7014</v>
      </c>
      <c r="N37" s="49">
        <v>1503</v>
      </c>
      <c r="O37" s="49">
        <v>1503</v>
      </c>
      <c r="P37" s="49">
        <v>1549</v>
      </c>
      <c r="Q37" s="49">
        <v>1626</v>
      </c>
      <c r="R37" s="49">
        <v>6182</v>
      </c>
      <c r="S37" s="49">
        <v>6078</v>
      </c>
      <c r="T37" s="49">
        <v>5977</v>
      </c>
    </row>
    <row r="38" spans="1:20" x14ac:dyDescent="0.25">
      <c r="A38" s="7" t="s">
        <v>1314</v>
      </c>
      <c r="D38" s="50">
        <v>-7.0000000000000007E-2</v>
      </c>
      <c r="E38" s="50">
        <v>0.08</v>
      </c>
      <c r="F38" s="50">
        <v>-7.0000000000000007E-2</v>
      </c>
      <c r="G38" s="50">
        <v>-0.06</v>
      </c>
      <c r="I38" s="50">
        <v>-0.09</v>
      </c>
      <c r="J38" s="50">
        <v>-0.06</v>
      </c>
      <c r="K38" s="50">
        <v>0.01</v>
      </c>
      <c r="L38" s="50">
        <v>-0.05</v>
      </c>
      <c r="N38" s="50">
        <v>-0.1</v>
      </c>
      <c r="P38" s="50">
        <v>0.03</v>
      </c>
      <c r="Q38" s="50">
        <v>0.05</v>
      </c>
    </row>
    <row r="39" spans="1:20" x14ac:dyDescent="0.25">
      <c r="A39" s="7" t="s">
        <v>1315</v>
      </c>
      <c r="B39" s="50">
        <v>-0.05</v>
      </c>
      <c r="C39" s="50">
        <v>-7.0000000000000007E-2</v>
      </c>
      <c r="D39" s="50">
        <v>0.01</v>
      </c>
      <c r="E39" s="50">
        <v>7.0000000000000007E-2</v>
      </c>
      <c r="F39" s="50">
        <v>-0.1</v>
      </c>
      <c r="G39" s="50">
        <v>-0.12</v>
      </c>
      <c r="H39" s="50">
        <v>-0.04</v>
      </c>
      <c r="I39" s="50">
        <v>-0.14000000000000001</v>
      </c>
      <c r="J39" s="50">
        <v>-0.25</v>
      </c>
      <c r="K39" s="50">
        <v>-0.19</v>
      </c>
      <c r="L39" s="50">
        <v>-0.18</v>
      </c>
      <c r="M39" s="50">
        <v>-0.19</v>
      </c>
      <c r="N39" s="50">
        <v>-0.18</v>
      </c>
      <c r="O39" s="50">
        <v>-0.14000000000000001</v>
      </c>
      <c r="P39" s="50">
        <v>-0.12</v>
      </c>
      <c r="Q39" s="50">
        <v>-0.03</v>
      </c>
      <c r="R39" s="50">
        <v>-0.12</v>
      </c>
      <c r="S39" s="50">
        <v>-0.02</v>
      </c>
      <c r="T39" s="50">
        <v>-0.02</v>
      </c>
    </row>
    <row r="40" spans="1:20" x14ac:dyDescent="0.25">
      <c r="A40" s="7" t="s">
        <v>1316</v>
      </c>
      <c r="B40" s="49">
        <v>58316</v>
      </c>
      <c r="C40" s="49">
        <v>52506</v>
      </c>
      <c r="D40" s="49">
        <v>10886</v>
      </c>
      <c r="E40" s="49">
        <v>11267</v>
      </c>
      <c r="F40" s="49">
        <v>10478</v>
      </c>
      <c r="G40" s="49">
        <v>9849</v>
      </c>
      <c r="H40" s="49">
        <v>42479</v>
      </c>
      <c r="I40" s="49">
        <v>8864</v>
      </c>
      <c r="J40" s="49">
        <v>8244</v>
      </c>
      <c r="K40" s="49">
        <v>8244</v>
      </c>
      <c r="L40" s="49">
        <v>7832</v>
      </c>
      <c r="M40" s="49">
        <v>33184</v>
      </c>
      <c r="N40" s="49">
        <v>7048</v>
      </c>
      <c r="O40" s="49">
        <v>7048</v>
      </c>
      <c r="P40" s="49">
        <v>7260</v>
      </c>
      <c r="Q40" s="49">
        <v>7623</v>
      </c>
      <c r="R40" s="49">
        <v>28980</v>
      </c>
      <c r="S40" s="49">
        <v>27785</v>
      </c>
      <c r="T40" s="49">
        <v>26257</v>
      </c>
    </row>
    <row r="41" spans="1:20" x14ac:dyDescent="0.25">
      <c r="A41" s="7" t="s">
        <v>1317</v>
      </c>
      <c r="B41" s="49">
        <v>165</v>
      </c>
      <c r="C41" s="49">
        <v>171</v>
      </c>
      <c r="D41" s="49">
        <v>197</v>
      </c>
      <c r="E41" s="49">
        <v>205</v>
      </c>
      <c r="F41" s="49">
        <v>206</v>
      </c>
      <c r="G41" s="49">
        <v>206</v>
      </c>
      <c r="H41" s="49">
        <v>203</v>
      </c>
      <c r="I41" s="49">
        <v>208</v>
      </c>
      <c r="J41" s="49">
        <v>211</v>
      </c>
      <c r="K41" s="49">
        <v>213</v>
      </c>
      <c r="L41" s="49">
        <v>213</v>
      </c>
      <c r="M41" s="49">
        <v>211</v>
      </c>
      <c r="N41" s="49">
        <v>213</v>
      </c>
      <c r="O41" s="49">
        <v>213</v>
      </c>
      <c r="P41" s="49">
        <v>213</v>
      </c>
      <c r="Q41" s="49">
        <v>213</v>
      </c>
      <c r="R41" s="49">
        <v>213</v>
      </c>
      <c r="S41" s="49">
        <v>219</v>
      </c>
      <c r="T41" s="49">
        <v>228</v>
      </c>
    </row>
    <row r="42" spans="1:20" x14ac:dyDescent="0.25">
      <c r="A42" s="7" t="s">
        <v>1318</v>
      </c>
      <c r="B42" s="49">
        <v>19091</v>
      </c>
      <c r="C42" s="49">
        <v>18657</v>
      </c>
      <c r="D42" s="49">
        <v>4449</v>
      </c>
      <c r="E42" s="49">
        <v>5381</v>
      </c>
      <c r="F42" s="49">
        <v>5537</v>
      </c>
      <c r="G42" s="49">
        <v>5648</v>
      </c>
      <c r="H42" s="49">
        <v>21015</v>
      </c>
      <c r="I42" s="49">
        <v>5196</v>
      </c>
      <c r="J42" s="49">
        <v>5013</v>
      </c>
      <c r="K42" s="49">
        <v>5290</v>
      </c>
      <c r="L42" s="49">
        <v>5340</v>
      </c>
      <c r="M42" s="49">
        <v>20840</v>
      </c>
      <c r="N42" s="49">
        <v>5011</v>
      </c>
      <c r="O42" s="49">
        <v>5412</v>
      </c>
      <c r="P42" s="49">
        <v>5683</v>
      </c>
      <c r="Q42" s="49">
        <v>5344</v>
      </c>
      <c r="R42" s="49">
        <v>21450</v>
      </c>
      <c r="S42" s="49">
        <v>22345</v>
      </c>
      <c r="T42" s="49">
        <v>23798</v>
      </c>
    </row>
    <row r="43" spans="1:20" x14ac:dyDescent="0.25">
      <c r="A43" s="7" t="s">
        <v>1314</v>
      </c>
      <c r="D43" s="50">
        <v>-0.08</v>
      </c>
      <c r="E43" s="50">
        <v>0.21</v>
      </c>
      <c r="F43" s="50">
        <v>0.03</v>
      </c>
      <c r="G43" s="50">
        <v>0.02</v>
      </c>
      <c r="I43" s="50">
        <v>-0.08</v>
      </c>
      <c r="J43" s="50">
        <v>-0.04</v>
      </c>
      <c r="K43" s="50">
        <v>0.06</v>
      </c>
      <c r="L43" s="50">
        <v>0.01</v>
      </c>
      <c r="N43" s="50">
        <v>-0.06</v>
      </c>
      <c r="O43" s="50">
        <v>0.08</v>
      </c>
      <c r="P43" s="50">
        <v>0.05</v>
      </c>
      <c r="Q43" s="50">
        <v>-0.06</v>
      </c>
    </row>
    <row r="44" spans="1:20" x14ac:dyDescent="0.25">
      <c r="A44" s="7" t="s">
        <v>1315</v>
      </c>
      <c r="B44" s="50">
        <v>0.12</v>
      </c>
      <c r="C44" s="50">
        <v>-0.02</v>
      </c>
      <c r="D44" s="50">
        <v>0.01</v>
      </c>
      <c r="E44" s="50">
        <v>0.21</v>
      </c>
      <c r="F44" s="50">
        <v>0.12</v>
      </c>
      <c r="G44" s="50">
        <v>0.17</v>
      </c>
      <c r="H44" s="50">
        <v>0.13</v>
      </c>
      <c r="I44" s="50">
        <v>0.17</v>
      </c>
      <c r="J44" s="50">
        <v>-7.0000000000000007E-2</v>
      </c>
      <c r="K44" s="50">
        <v>-0.04</v>
      </c>
      <c r="L44" s="50">
        <v>-0.05</v>
      </c>
      <c r="M44" s="50">
        <v>-0.01</v>
      </c>
      <c r="N44" s="50">
        <v>-0.04</v>
      </c>
      <c r="O44" s="50">
        <v>0.08</v>
      </c>
      <c r="P44" s="50">
        <v>7.0000000000000007E-2</v>
      </c>
      <c r="Q44" s="50">
        <v>0</v>
      </c>
      <c r="R44" s="50">
        <v>0.03</v>
      </c>
      <c r="S44" s="50">
        <v>0.04</v>
      </c>
      <c r="T44" s="50">
        <v>0.06</v>
      </c>
    </row>
    <row r="45" spans="1:20" x14ac:dyDescent="0.25">
      <c r="A45" s="7" t="s">
        <v>1319</v>
      </c>
      <c r="B45" s="49">
        <v>150490</v>
      </c>
      <c r="C45" s="49">
        <v>148178</v>
      </c>
      <c r="D45" s="49">
        <v>30748</v>
      </c>
      <c r="E45" s="49">
        <v>33207</v>
      </c>
      <c r="F45" s="49">
        <v>32543</v>
      </c>
      <c r="G45" s="49">
        <v>32543</v>
      </c>
      <c r="H45" s="49">
        <v>129041</v>
      </c>
      <c r="I45" s="49">
        <v>29940</v>
      </c>
      <c r="J45" s="49">
        <v>28742</v>
      </c>
      <c r="K45" s="49">
        <v>30179</v>
      </c>
      <c r="L45" s="49">
        <v>31085</v>
      </c>
      <c r="M45" s="49">
        <v>119946</v>
      </c>
      <c r="N45" s="49">
        <v>28598</v>
      </c>
      <c r="O45" s="49">
        <v>30886</v>
      </c>
      <c r="P45" s="49">
        <v>32430</v>
      </c>
      <c r="Q45" s="49">
        <v>30808</v>
      </c>
      <c r="R45" s="49">
        <v>122722</v>
      </c>
      <c r="S45" s="49">
        <v>125598</v>
      </c>
      <c r="T45" s="49">
        <v>128541</v>
      </c>
    </row>
    <row r="46" spans="1:20" x14ac:dyDescent="0.25">
      <c r="A46" s="7" t="s">
        <v>1320</v>
      </c>
      <c r="B46" s="49">
        <v>127</v>
      </c>
      <c r="C46" s="49">
        <v>126</v>
      </c>
      <c r="D46" s="49">
        <v>145</v>
      </c>
      <c r="E46" s="49">
        <v>162</v>
      </c>
      <c r="F46" s="49">
        <v>170</v>
      </c>
      <c r="G46" s="49">
        <v>174</v>
      </c>
      <c r="H46" s="49">
        <v>163</v>
      </c>
      <c r="I46" s="49">
        <v>174</v>
      </c>
      <c r="J46" s="49">
        <v>174</v>
      </c>
      <c r="K46" s="49">
        <v>175</v>
      </c>
      <c r="L46" s="49">
        <v>172</v>
      </c>
      <c r="M46" s="49">
        <v>174</v>
      </c>
      <c r="N46" s="49">
        <v>175</v>
      </c>
      <c r="O46" s="49">
        <v>175</v>
      </c>
      <c r="P46" s="49">
        <v>175</v>
      </c>
      <c r="Q46" s="49">
        <v>173</v>
      </c>
      <c r="R46" s="49">
        <v>175</v>
      </c>
      <c r="S46" s="49">
        <v>178</v>
      </c>
      <c r="T46" s="49">
        <v>185</v>
      </c>
    </row>
    <row r="47" spans="1:20" x14ac:dyDescent="0.25">
      <c r="A47" s="7" t="s">
        <v>1321</v>
      </c>
      <c r="B47" s="49">
        <v>1549</v>
      </c>
      <c r="C47" s="49">
        <v>1365</v>
      </c>
      <c r="D47" s="49">
        <v>353</v>
      </c>
      <c r="E47" s="49">
        <v>355</v>
      </c>
      <c r="F47" s="49">
        <v>357</v>
      </c>
      <c r="G47" s="49">
        <v>359</v>
      </c>
      <c r="H47" s="49">
        <v>1424</v>
      </c>
      <c r="I47" s="49">
        <v>364</v>
      </c>
      <c r="J47" s="49">
        <v>369</v>
      </c>
      <c r="K47" s="49">
        <v>374</v>
      </c>
      <c r="L47" s="49">
        <v>379</v>
      </c>
      <c r="M47" s="49">
        <v>1485</v>
      </c>
      <c r="N47" s="49">
        <v>384</v>
      </c>
      <c r="O47" s="49">
        <v>390</v>
      </c>
      <c r="P47" s="49">
        <v>396</v>
      </c>
      <c r="Q47" s="49">
        <v>402</v>
      </c>
      <c r="R47" s="49">
        <v>1572</v>
      </c>
      <c r="S47" s="49">
        <v>1666</v>
      </c>
      <c r="T47" s="49">
        <v>1766</v>
      </c>
    </row>
    <row r="48" spans="1:20" x14ac:dyDescent="0.25">
      <c r="A48" s="7" t="s">
        <v>1322</v>
      </c>
      <c r="B48" s="49">
        <v>3056</v>
      </c>
      <c r="C48" s="49">
        <v>3239</v>
      </c>
      <c r="D48" s="49">
        <v>784</v>
      </c>
      <c r="E48" s="49">
        <v>831</v>
      </c>
      <c r="F48" s="49">
        <v>848</v>
      </c>
      <c r="G48" s="49">
        <v>848</v>
      </c>
      <c r="H48" s="49">
        <v>3310</v>
      </c>
      <c r="I48" s="49">
        <v>848</v>
      </c>
      <c r="J48" s="49">
        <v>848</v>
      </c>
      <c r="K48" s="49">
        <v>890</v>
      </c>
      <c r="L48" s="49">
        <v>917</v>
      </c>
      <c r="M48" s="49">
        <v>3503</v>
      </c>
      <c r="N48" s="49">
        <v>899</v>
      </c>
      <c r="O48" s="49">
        <v>890</v>
      </c>
      <c r="P48" s="49">
        <v>934</v>
      </c>
      <c r="Q48" s="49">
        <v>962</v>
      </c>
      <c r="R48" s="49">
        <v>3685</v>
      </c>
      <c r="S48" s="49">
        <v>3866</v>
      </c>
      <c r="T48" s="49">
        <v>4057</v>
      </c>
    </row>
    <row r="49" spans="1:20" x14ac:dyDescent="0.25">
      <c r="A49" s="7" t="s">
        <v>1323</v>
      </c>
      <c r="B49" s="49">
        <v>16125</v>
      </c>
      <c r="C49" s="49">
        <v>16919</v>
      </c>
      <c r="D49" s="49">
        <v>5052</v>
      </c>
      <c r="E49" s="49">
        <v>6262</v>
      </c>
      <c r="F49" s="49">
        <v>7037</v>
      </c>
      <c r="G49" s="49">
        <v>7898</v>
      </c>
      <c r="H49" s="49">
        <v>26357</v>
      </c>
      <c r="I49" s="49">
        <v>8536</v>
      </c>
      <c r="J49" s="49">
        <v>9115</v>
      </c>
      <c r="K49" s="49">
        <v>9736</v>
      </c>
      <c r="L49" s="49">
        <v>10466</v>
      </c>
      <c r="M49" s="49">
        <v>37853</v>
      </c>
      <c r="N49" s="49">
        <v>10595</v>
      </c>
      <c r="O49" s="49">
        <v>11163</v>
      </c>
      <c r="P49" s="49">
        <v>11989</v>
      </c>
      <c r="Q49" s="49">
        <v>12580</v>
      </c>
      <c r="R49" s="49">
        <v>46328</v>
      </c>
      <c r="S49" s="49">
        <v>53583</v>
      </c>
      <c r="T49" s="49">
        <v>59088</v>
      </c>
    </row>
    <row r="50" spans="1:20" x14ac:dyDescent="0.25">
      <c r="A50" s="7" t="s">
        <v>1310</v>
      </c>
      <c r="D50" s="50">
        <v>7.0000000000000007E-2</v>
      </c>
      <c r="E50" s="50">
        <v>0.24</v>
      </c>
      <c r="F50" s="50">
        <v>0.12</v>
      </c>
      <c r="G50" s="50">
        <v>0.12</v>
      </c>
      <c r="I50" s="50">
        <v>0.08</v>
      </c>
      <c r="J50" s="50">
        <v>7.0000000000000007E-2</v>
      </c>
      <c r="K50" s="50">
        <v>7.0000000000000007E-2</v>
      </c>
      <c r="L50" s="50">
        <v>7.0000000000000007E-2</v>
      </c>
      <c r="N50" s="50">
        <v>0.01</v>
      </c>
      <c r="O50" s="50">
        <v>0.05</v>
      </c>
      <c r="P50" s="50">
        <v>7.0000000000000007E-2</v>
      </c>
      <c r="Q50" s="50">
        <v>0.05</v>
      </c>
    </row>
    <row r="51" spans="1:20" x14ac:dyDescent="0.25">
      <c r="A51" s="7" t="s">
        <v>1311</v>
      </c>
      <c r="C51" s="50">
        <v>0.05</v>
      </c>
      <c r="D51" s="50">
        <v>0.22</v>
      </c>
      <c r="E51" s="50">
        <v>0.59</v>
      </c>
      <c r="F51" s="50">
        <v>0.71</v>
      </c>
      <c r="G51" s="50">
        <v>0.67</v>
      </c>
      <c r="H51" s="50">
        <v>0.56000000000000005</v>
      </c>
      <c r="I51" s="50">
        <v>0.69</v>
      </c>
      <c r="J51" s="50">
        <v>0.46</v>
      </c>
      <c r="K51" s="50">
        <v>0.38</v>
      </c>
      <c r="L51" s="50">
        <v>0.33</v>
      </c>
      <c r="M51" s="50">
        <v>0.44</v>
      </c>
      <c r="N51" s="50">
        <v>0.24</v>
      </c>
      <c r="O51" s="50">
        <v>0.22</v>
      </c>
      <c r="P51" s="50">
        <v>0.23</v>
      </c>
      <c r="Q51" s="50">
        <v>0.2</v>
      </c>
      <c r="R51" s="50">
        <v>0.22</v>
      </c>
      <c r="S51" s="50">
        <v>0.16</v>
      </c>
      <c r="T51" s="50">
        <v>0.1</v>
      </c>
    </row>
    <row r="52" spans="1:20" x14ac:dyDescent="0.25">
      <c r="A52" s="7" t="s">
        <v>1312</v>
      </c>
      <c r="B52" s="49">
        <v>1414</v>
      </c>
      <c r="C52" s="49">
        <v>3422</v>
      </c>
      <c r="D52" s="49">
        <v>1542</v>
      </c>
      <c r="E52" s="49">
        <v>2956</v>
      </c>
    </row>
    <row r="53" spans="1:20" x14ac:dyDescent="0.25">
      <c r="A53" s="7" t="s">
        <v>1246</v>
      </c>
      <c r="B53" s="50">
        <v>0.09</v>
      </c>
      <c r="C53" s="50">
        <v>0.2</v>
      </c>
      <c r="D53" s="50">
        <v>0.31</v>
      </c>
      <c r="E53" s="50">
        <v>0.47</v>
      </c>
    </row>
    <row r="54" spans="1:20" x14ac:dyDescent="0.25">
      <c r="A54" s="7" t="s">
        <v>1324</v>
      </c>
      <c r="B54" s="49">
        <v>3308</v>
      </c>
      <c r="C54" s="49">
        <v>3250</v>
      </c>
      <c r="D54" s="49">
        <v>766</v>
      </c>
      <c r="E54" s="49">
        <v>687</v>
      </c>
      <c r="F54" s="49">
        <v>694</v>
      </c>
      <c r="G54" s="49">
        <v>701</v>
      </c>
      <c r="H54" s="49">
        <v>2849</v>
      </c>
      <c r="I54" s="49">
        <v>687</v>
      </c>
      <c r="J54" s="49">
        <v>701</v>
      </c>
      <c r="K54" s="49">
        <v>743</v>
      </c>
      <c r="L54" s="49">
        <v>773</v>
      </c>
      <c r="M54" s="49">
        <v>2904</v>
      </c>
      <c r="N54" s="49">
        <v>757</v>
      </c>
      <c r="O54" s="49">
        <v>750</v>
      </c>
      <c r="P54" s="49">
        <v>787</v>
      </c>
      <c r="Q54" s="49">
        <v>811</v>
      </c>
      <c r="R54" s="49">
        <v>3105</v>
      </c>
      <c r="S54" s="49">
        <v>3258</v>
      </c>
      <c r="T54" s="49">
        <v>3418</v>
      </c>
    </row>
    <row r="55" spans="1:20" x14ac:dyDescent="0.25">
      <c r="A55" s="7" t="s">
        <v>1325</v>
      </c>
      <c r="D55" s="49">
        <v>370</v>
      </c>
      <c r="E55" s="49">
        <v>500</v>
      </c>
      <c r="F55" s="49">
        <v>650</v>
      </c>
      <c r="G55" s="49">
        <v>800</v>
      </c>
      <c r="H55" s="49">
        <v>2320</v>
      </c>
      <c r="I55" s="49">
        <v>1000</v>
      </c>
      <c r="J55" s="49">
        <v>1150</v>
      </c>
      <c r="K55" s="49">
        <v>1288</v>
      </c>
      <c r="L55" s="49">
        <v>1443</v>
      </c>
      <c r="M55" s="49">
        <v>4881</v>
      </c>
      <c r="N55" s="49">
        <v>1587</v>
      </c>
      <c r="O55" s="49">
        <v>1745</v>
      </c>
      <c r="P55" s="49">
        <v>1920</v>
      </c>
      <c r="Q55" s="49">
        <v>2112</v>
      </c>
      <c r="R55" s="49">
        <v>7364</v>
      </c>
      <c r="S55" s="49">
        <v>9558</v>
      </c>
      <c r="T55" s="49">
        <v>11062</v>
      </c>
    </row>
    <row r="56" spans="1:20" x14ac:dyDescent="0.25">
      <c r="A56" s="7" t="s">
        <v>1326</v>
      </c>
      <c r="B56" s="49">
        <v>12817</v>
      </c>
      <c r="C56" s="49">
        <v>13419</v>
      </c>
      <c r="D56" s="49">
        <v>3916</v>
      </c>
      <c r="E56" s="49">
        <v>5075</v>
      </c>
      <c r="F56" s="49">
        <v>5693</v>
      </c>
      <c r="G56" s="49">
        <v>6397</v>
      </c>
      <c r="H56" s="49">
        <v>21080</v>
      </c>
      <c r="I56" s="49">
        <v>6784</v>
      </c>
      <c r="J56" s="49">
        <v>7197</v>
      </c>
      <c r="K56" s="49">
        <v>7635</v>
      </c>
      <c r="L56" s="49">
        <v>8177</v>
      </c>
      <c r="M56" s="49">
        <v>29793</v>
      </c>
      <c r="N56" s="49">
        <v>8173</v>
      </c>
      <c r="O56" s="49">
        <v>8587</v>
      </c>
      <c r="P56" s="49">
        <v>9196</v>
      </c>
      <c r="Q56" s="49">
        <v>9568</v>
      </c>
      <c r="R56" s="49">
        <v>35523</v>
      </c>
      <c r="S56" s="49">
        <v>40359</v>
      </c>
      <c r="T56" s="49">
        <v>44112</v>
      </c>
    </row>
    <row r="57" spans="1:20" x14ac:dyDescent="0.25">
      <c r="A57" s="7" t="s">
        <v>1327</v>
      </c>
      <c r="B57" s="49">
        <v>15315</v>
      </c>
      <c r="C57" s="49">
        <v>16709</v>
      </c>
      <c r="D57" s="49">
        <v>4354</v>
      </c>
      <c r="E57" s="49">
        <v>4397</v>
      </c>
      <c r="F57" s="49">
        <v>4661</v>
      </c>
      <c r="G57" s="49">
        <v>4941</v>
      </c>
      <c r="H57" s="49">
        <v>18353</v>
      </c>
      <c r="I57" s="49">
        <v>5039</v>
      </c>
      <c r="J57" s="49">
        <v>5191</v>
      </c>
      <c r="K57" s="49">
        <v>5346</v>
      </c>
      <c r="L57" s="49">
        <v>5560</v>
      </c>
      <c r="M57" s="49">
        <v>21137</v>
      </c>
      <c r="N57" s="49">
        <v>5393</v>
      </c>
      <c r="O57" s="49">
        <v>5501</v>
      </c>
      <c r="P57" s="49">
        <v>5721</v>
      </c>
      <c r="Q57" s="49">
        <v>5779</v>
      </c>
      <c r="R57" s="49">
        <v>22395</v>
      </c>
      <c r="S57" s="49">
        <v>22682</v>
      </c>
      <c r="T57" s="49">
        <v>22975</v>
      </c>
    </row>
    <row r="58" spans="1:20" x14ac:dyDescent="0.25">
      <c r="A58" s="7" t="s">
        <v>1328</v>
      </c>
      <c r="B58" s="49">
        <v>824</v>
      </c>
      <c r="C58" s="49">
        <v>791</v>
      </c>
      <c r="D58" s="49">
        <v>887</v>
      </c>
      <c r="E58" s="49">
        <v>1142</v>
      </c>
      <c r="F58" s="49">
        <v>1221</v>
      </c>
      <c r="G58" s="49">
        <v>1295</v>
      </c>
      <c r="H58" s="49">
        <v>1143</v>
      </c>
      <c r="I58" s="49">
        <v>1334</v>
      </c>
      <c r="J58" s="49">
        <v>1374</v>
      </c>
      <c r="K58" s="49">
        <v>1415</v>
      </c>
      <c r="L58" s="49">
        <v>1457</v>
      </c>
      <c r="M58" s="49">
        <v>1396</v>
      </c>
      <c r="N58" s="49">
        <v>1501</v>
      </c>
      <c r="O58" s="49">
        <v>1546</v>
      </c>
      <c r="P58" s="49">
        <v>1592</v>
      </c>
      <c r="Q58" s="49">
        <v>1640</v>
      </c>
      <c r="R58" s="49">
        <v>1571</v>
      </c>
      <c r="S58" s="49">
        <v>1761</v>
      </c>
      <c r="T58" s="49">
        <v>1898</v>
      </c>
    </row>
    <row r="59" spans="1:20" x14ac:dyDescent="0.25">
      <c r="A59" s="7" t="s">
        <v>1329</v>
      </c>
      <c r="B59" s="49">
        <v>200</v>
      </c>
      <c r="C59" s="49">
        <v>200</v>
      </c>
      <c r="D59" s="49">
        <v>53</v>
      </c>
      <c r="E59" s="49">
        <v>55</v>
      </c>
      <c r="H59" s="49">
        <v>108</v>
      </c>
      <c r="I59" s="49">
        <v>64</v>
      </c>
      <c r="J59" s="49">
        <v>67</v>
      </c>
      <c r="K59" s="49">
        <v>71</v>
      </c>
      <c r="L59" s="49">
        <v>74</v>
      </c>
      <c r="M59" s="49">
        <v>276</v>
      </c>
      <c r="N59" s="49">
        <v>78</v>
      </c>
      <c r="O59" s="49">
        <v>82</v>
      </c>
      <c r="P59" s="49">
        <v>86</v>
      </c>
      <c r="Q59" s="49">
        <v>90</v>
      </c>
      <c r="R59" s="49">
        <v>335</v>
      </c>
      <c r="S59" s="49">
        <v>408</v>
      </c>
      <c r="T59" s="49">
        <v>495</v>
      </c>
    </row>
    <row r="60" spans="1:20" x14ac:dyDescent="0.25">
      <c r="A60" s="7" t="s">
        <v>1330</v>
      </c>
      <c r="B60" s="49">
        <v>17317</v>
      </c>
      <c r="C60" s="49">
        <v>17826</v>
      </c>
      <c r="D60" s="49">
        <v>5421</v>
      </c>
      <c r="E60" s="49">
        <v>5765</v>
      </c>
      <c r="F60" s="49">
        <v>6365</v>
      </c>
      <c r="G60" s="49">
        <v>7037</v>
      </c>
      <c r="H60" s="49">
        <v>24588</v>
      </c>
      <c r="I60" s="49">
        <v>6945</v>
      </c>
      <c r="J60" s="49">
        <v>7060</v>
      </c>
      <c r="K60" s="49">
        <v>7422</v>
      </c>
      <c r="L60" s="49">
        <v>7598</v>
      </c>
      <c r="M60" s="49">
        <v>29025</v>
      </c>
      <c r="N60" s="49">
        <v>7600</v>
      </c>
      <c r="O60" s="49">
        <v>8190</v>
      </c>
      <c r="P60" s="49">
        <v>8861</v>
      </c>
      <c r="Q60" s="49">
        <v>9301</v>
      </c>
      <c r="R60" s="49">
        <v>33950</v>
      </c>
      <c r="S60" s="49">
        <v>45310</v>
      </c>
      <c r="T60" s="49">
        <v>62637</v>
      </c>
    </row>
    <row r="61" spans="1:20" x14ac:dyDescent="0.25">
      <c r="A61" s="7" t="s">
        <v>1305</v>
      </c>
      <c r="D61" s="50">
        <v>0.2</v>
      </c>
      <c r="E61" s="50">
        <v>0.06</v>
      </c>
      <c r="F61" s="50">
        <v>0.1</v>
      </c>
      <c r="G61" s="50">
        <v>0.11</v>
      </c>
      <c r="I61" s="50">
        <v>-0.01</v>
      </c>
      <c r="J61" s="50">
        <v>0.02</v>
      </c>
      <c r="K61" s="50">
        <v>0.05</v>
      </c>
      <c r="L61" s="50">
        <v>0.02</v>
      </c>
      <c r="N61" s="50">
        <v>0</v>
      </c>
      <c r="O61" s="50">
        <v>0.08</v>
      </c>
      <c r="P61" s="50">
        <v>0.08</v>
      </c>
      <c r="Q61" s="50">
        <v>0.05</v>
      </c>
    </row>
    <row r="62" spans="1:20" x14ac:dyDescent="0.25">
      <c r="A62" s="7" t="s">
        <v>1306</v>
      </c>
      <c r="B62" s="50">
        <v>-0.08</v>
      </c>
      <c r="C62" s="50">
        <v>0.03</v>
      </c>
      <c r="D62" s="50">
        <v>0.16</v>
      </c>
      <c r="E62" s="50">
        <v>0.31</v>
      </c>
      <c r="F62" s="50">
        <v>0.5</v>
      </c>
      <c r="G62" s="50">
        <v>0.56000000000000005</v>
      </c>
      <c r="H62" s="50">
        <v>0.38</v>
      </c>
      <c r="I62" s="50">
        <v>0.28000000000000003</v>
      </c>
      <c r="J62" s="50">
        <v>0.22</v>
      </c>
      <c r="K62" s="50">
        <v>0.17</v>
      </c>
      <c r="L62" s="50">
        <v>0.08</v>
      </c>
      <c r="M62" s="50">
        <v>0.18</v>
      </c>
      <c r="N62" s="50">
        <v>0.09</v>
      </c>
      <c r="O62" s="50">
        <v>0.16</v>
      </c>
      <c r="P62" s="50">
        <v>0.19</v>
      </c>
      <c r="Q62" s="50">
        <v>0.22</v>
      </c>
      <c r="R62" s="50">
        <v>0.17</v>
      </c>
      <c r="S62" s="50">
        <v>0.33</v>
      </c>
      <c r="T62" s="50">
        <v>0.38</v>
      </c>
    </row>
    <row r="63" spans="1:20" x14ac:dyDescent="0.25">
      <c r="A63" s="7" t="s">
        <v>1331</v>
      </c>
      <c r="B63" s="49">
        <v>17288</v>
      </c>
      <c r="C63" s="49">
        <v>17683</v>
      </c>
      <c r="D63" s="49">
        <v>5251</v>
      </c>
      <c r="E63" s="49">
        <v>5477</v>
      </c>
      <c r="F63" s="49">
        <v>6025</v>
      </c>
      <c r="G63" s="49">
        <v>6627</v>
      </c>
      <c r="H63" s="49">
        <v>23380</v>
      </c>
      <c r="I63" s="49">
        <v>6495</v>
      </c>
      <c r="J63" s="49">
        <v>6560</v>
      </c>
      <c r="K63" s="49">
        <v>6822</v>
      </c>
      <c r="L63" s="49">
        <v>6958</v>
      </c>
      <c r="M63" s="49">
        <v>26835</v>
      </c>
      <c r="N63" s="49">
        <v>6750</v>
      </c>
      <c r="O63" s="49">
        <v>7020</v>
      </c>
      <c r="P63" s="49">
        <v>7371</v>
      </c>
      <c r="Q63" s="49">
        <v>7371</v>
      </c>
      <c r="R63" s="49">
        <v>28510</v>
      </c>
      <c r="S63" s="49">
        <v>28510</v>
      </c>
      <c r="T63" s="49">
        <v>28510</v>
      </c>
    </row>
    <row r="64" spans="1:20" x14ac:dyDescent="0.25">
      <c r="A64" s="7" t="s">
        <v>1332</v>
      </c>
      <c r="B64" s="49">
        <v>29</v>
      </c>
      <c r="C64" s="49">
        <v>143</v>
      </c>
      <c r="D64" s="49">
        <v>170</v>
      </c>
      <c r="E64" s="49">
        <v>288</v>
      </c>
      <c r="F64" s="49">
        <v>340</v>
      </c>
      <c r="G64" s="49">
        <v>410</v>
      </c>
      <c r="H64" s="49">
        <v>1208</v>
      </c>
      <c r="I64" s="49">
        <v>450</v>
      </c>
      <c r="J64" s="49">
        <v>500</v>
      </c>
      <c r="K64" s="49">
        <v>600</v>
      </c>
      <c r="L64" s="49">
        <v>640</v>
      </c>
      <c r="M64" s="49">
        <v>2190</v>
      </c>
      <c r="N64" s="49">
        <v>850</v>
      </c>
      <c r="O64" s="49">
        <v>1170</v>
      </c>
      <c r="P64" s="49">
        <v>1490</v>
      </c>
      <c r="Q64" s="49">
        <v>1930</v>
      </c>
      <c r="R64" s="49">
        <v>5440</v>
      </c>
      <c r="S64" s="49">
        <v>16800</v>
      </c>
      <c r="T64" s="49">
        <v>34127</v>
      </c>
    </row>
    <row r="65" spans="1:20" x14ac:dyDescent="0.25">
      <c r="A65" s="7" t="s">
        <v>1307</v>
      </c>
      <c r="B65" s="49">
        <v>-13291</v>
      </c>
      <c r="C65" s="49">
        <v>-10318</v>
      </c>
      <c r="D65" s="49">
        <v>-2320</v>
      </c>
      <c r="E65" s="49">
        <v>-2320</v>
      </c>
    </row>
    <row r="66" spans="1:20" x14ac:dyDescent="0.25">
      <c r="A66" s="7" t="s">
        <v>1308</v>
      </c>
      <c r="B66" s="50">
        <v>-0.77</v>
      </c>
      <c r="C66" s="50">
        <v>-0.57999999999999996</v>
      </c>
      <c r="D66" s="50">
        <v>-0.43</v>
      </c>
      <c r="E66" s="50">
        <v>-0.4</v>
      </c>
    </row>
    <row r="67" spans="1:20" x14ac:dyDescent="0.25">
      <c r="A67" s="7" t="s">
        <v>1333</v>
      </c>
      <c r="B67" s="49">
        <v>3601</v>
      </c>
      <c r="C67" s="49">
        <v>3563</v>
      </c>
      <c r="D67" s="49">
        <v>628</v>
      </c>
      <c r="E67" s="49">
        <v>701</v>
      </c>
      <c r="F67" s="49">
        <v>702</v>
      </c>
      <c r="G67" s="49">
        <v>705</v>
      </c>
      <c r="H67" s="49">
        <v>2736</v>
      </c>
      <c r="I67" s="49">
        <v>802</v>
      </c>
      <c r="J67" s="49">
        <v>717</v>
      </c>
      <c r="K67" s="49">
        <v>719</v>
      </c>
      <c r="L67" s="49">
        <v>722</v>
      </c>
      <c r="M67" s="49">
        <v>2960</v>
      </c>
      <c r="N67" s="49">
        <v>909</v>
      </c>
      <c r="O67" s="49">
        <v>808</v>
      </c>
      <c r="P67" s="49">
        <v>810</v>
      </c>
      <c r="Q67" s="49">
        <v>813</v>
      </c>
      <c r="R67" s="49">
        <v>3340</v>
      </c>
      <c r="S67" s="49">
        <v>3677</v>
      </c>
      <c r="T67" s="49">
        <v>4061</v>
      </c>
    </row>
    <row r="68" spans="1:20" x14ac:dyDescent="0.25">
      <c r="A68" s="7" t="s">
        <v>1305</v>
      </c>
      <c r="D68" s="50">
        <v>0.09</v>
      </c>
      <c r="E68" s="50">
        <v>0.12</v>
      </c>
      <c r="F68" s="50">
        <v>0</v>
      </c>
      <c r="G68" s="50">
        <v>0</v>
      </c>
      <c r="I68" s="50">
        <v>0.14000000000000001</v>
      </c>
      <c r="J68" s="50">
        <v>-0.11</v>
      </c>
      <c r="K68" s="50">
        <v>0</v>
      </c>
      <c r="L68" s="50">
        <v>0</v>
      </c>
      <c r="N68" s="50">
        <v>0.26</v>
      </c>
      <c r="O68" s="50">
        <v>-0.11</v>
      </c>
      <c r="P68" s="50">
        <v>0</v>
      </c>
      <c r="Q68" s="50">
        <v>0</v>
      </c>
    </row>
    <row r="69" spans="1:20" x14ac:dyDescent="0.25">
      <c r="A69" s="7" t="s">
        <v>1306</v>
      </c>
      <c r="C69" s="50">
        <v>-0.01</v>
      </c>
      <c r="D69" s="50">
        <v>-0.33</v>
      </c>
      <c r="E69" s="50">
        <v>-0.33</v>
      </c>
      <c r="F69" s="50">
        <v>-0.28999999999999998</v>
      </c>
      <c r="G69" s="50">
        <v>0.23</v>
      </c>
      <c r="H69" s="50">
        <v>-0.23</v>
      </c>
      <c r="I69" s="50">
        <v>0.28000000000000003</v>
      </c>
      <c r="J69" s="50">
        <v>0.02</v>
      </c>
      <c r="K69" s="50">
        <v>0.02</v>
      </c>
      <c r="L69" s="50">
        <v>0.02</v>
      </c>
      <c r="M69" s="50">
        <v>0.08</v>
      </c>
      <c r="N69" s="50">
        <v>0.13</v>
      </c>
      <c r="O69" s="50">
        <v>0.13</v>
      </c>
      <c r="P69" s="50">
        <v>0.13</v>
      </c>
      <c r="Q69" s="50">
        <v>0.13</v>
      </c>
      <c r="R69" s="50">
        <v>0.13</v>
      </c>
      <c r="S69" s="50">
        <v>0.1</v>
      </c>
      <c r="T69" s="50">
        <v>0.1</v>
      </c>
    </row>
    <row r="70" spans="1:20" x14ac:dyDescent="0.25">
      <c r="A70" s="7" t="s">
        <v>1307</v>
      </c>
      <c r="B70" s="49">
        <v>-57</v>
      </c>
      <c r="C70" s="49">
        <v>264</v>
      </c>
      <c r="D70" s="49">
        <v>103</v>
      </c>
      <c r="E70" s="49">
        <v>-139</v>
      </c>
    </row>
    <row r="71" spans="1:20" x14ac:dyDescent="0.25">
      <c r="A71" s="7" t="s">
        <v>1308</v>
      </c>
      <c r="B71" s="50">
        <v>-0.02</v>
      </c>
      <c r="C71" s="50">
        <v>7.0000000000000007E-2</v>
      </c>
      <c r="D71" s="50">
        <v>0.16</v>
      </c>
      <c r="E71" s="50">
        <v>-0.2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A40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6" customWidth="1"/>
    <col min="2" max="39" width="10" customWidth="1"/>
  </cols>
  <sheetData>
    <row r="1" spans="1:27" ht="15.75" x14ac:dyDescent="0.25">
      <c r="A1" s="1" t="s">
        <v>1334</v>
      </c>
    </row>
    <row r="2" spans="1:27" x14ac:dyDescent="0.25">
      <c r="A2" s="4" t="s">
        <v>1221</v>
      </c>
    </row>
    <row r="3" spans="1:27" x14ac:dyDescent="0.25">
      <c r="A3" s="4" t="s">
        <v>280</v>
      </c>
    </row>
    <row r="5" spans="1:27" x14ac:dyDescent="0.25">
      <c r="A5" s="48" t="s">
        <v>1335</v>
      </c>
      <c r="B5" s="48" t="s">
        <v>1336</v>
      </c>
      <c r="C5" s="48" t="s">
        <v>1223</v>
      </c>
      <c r="D5" s="48" t="s">
        <v>1224</v>
      </c>
      <c r="E5" s="48" t="s">
        <v>1225</v>
      </c>
      <c r="F5" s="48" t="s">
        <v>1337</v>
      </c>
      <c r="G5" s="48" t="s">
        <v>1338</v>
      </c>
      <c r="H5" s="48" t="s">
        <v>1339</v>
      </c>
      <c r="I5" s="48" t="s">
        <v>1340</v>
      </c>
      <c r="J5" s="48" t="s">
        <v>1230</v>
      </c>
      <c r="K5" s="48" t="s">
        <v>1341</v>
      </c>
      <c r="L5" s="48" t="s">
        <v>1342</v>
      </c>
      <c r="M5" s="48" t="s">
        <v>1339</v>
      </c>
      <c r="N5" s="48" t="s">
        <v>1340</v>
      </c>
      <c r="O5" s="48" t="s">
        <v>82</v>
      </c>
      <c r="P5" s="48" t="s">
        <v>1343</v>
      </c>
      <c r="Q5" s="48" t="s">
        <v>1342</v>
      </c>
      <c r="R5" s="48" t="s">
        <v>1339</v>
      </c>
      <c r="S5" s="48" t="s">
        <v>1340</v>
      </c>
      <c r="T5" s="48" t="s">
        <v>1233</v>
      </c>
      <c r="U5" s="48" t="s">
        <v>1234</v>
      </c>
      <c r="V5" s="48" t="s">
        <v>635</v>
      </c>
      <c r="W5" s="48" t="s">
        <v>1344</v>
      </c>
      <c r="X5" s="48" t="s">
        <v>1345</v>
      </c>
      <c r="Y5" s="48" t="s">
        <v>1346</v>
      </c>
      <c r="Z5" s="48" t="s">
        <v>1347</v>
      </c>
      <c r="AA5" s="48" t="s">
        <v>1348</v>
      </c>
    </row>
    <row r="6" spans="1:27" x14ac:dyDescent="0.25">
      <c r="A6" s="7" t="s">
        <v>1349</v>
      </c>
      <c r="B6" s="49">
        <v>2703</v>
      </c>
      <c r="C6" s="49">
        <v>2938</v>
      </c>
      <c r="D6" s="49">
        <v>3694</v>
      </c>
      <c r="E6" s="49">
        <v>4671</v>
      </c>
      <c r="F6" s="49">
        <v>1490</v>
      </c>
      <c r="G6" s="49">
        <v>1289</v>
      </c>
      <c r="H6" s="49">
        <v>1379</v>
      </c>
      <c r="I6" s="49">
        <v>1552</v>
      </c>
      <c r="J6" s="49">
        <v>5711</v>
      </c>
      <c r="K6" s="49">
        <v>1923</v>
      </c>
      <c r="L6" s="49">
        <v>1710</v>
      </c>
      <c r="M6" s="49">
        <v>1855</v>
      </c>
      <c r="N6" s="49">
        <v>2162</v>
      </c>
      <c r="O6" s="49">
        <v>7650</v>
      </c>
      <c r="P6" s="49">
        <v>2505</v>
      </c>
      <c r="Q6" s="49">
        <v>2554</v>
      </c>
      <c r="R6" s="49">
        <v>2692</v>
      </c>
      <c r="S6" s="49">
        <v>2893</v>
      </c>
      <c r="T6" s="49">
        <v>10644</v>
      </c>
      <c r="U6" s="49">
        <v>14648</v>
      </c>
      <c r="V6" s="49">
        <v>24698</v>
      </c>
      <c r="W6" s="49">
        <v>2679</v>
      </c>
      <c r="X6" s="49">
        <v>3233</v>
      </c>
      <c r="Y6" s="49">
        <v>4007</v>
      </c>
      <c r="Z6" s="49">
        <v>4920</v>
      </c>
      <c r="AA6" s="49">
        <v>6143</v>
      </c>
    </row>
    <row r="7" spans="1:27" x14ac:dyDescent="0.25">
      <c r="A7" s="7" t="s">
        <v>1236</v>
      </c>
      <c r="C7" s="50">
        <v>8.6999999999999994E-2</v>
      </c>
      <c r="D7" s="50">
        <v>0.25700000000000001</v>
      </c>
      <c r="E7" s="50">
        <v>0.26400000000000001</v>
      </c>
      <c r="F7" s="50">
        <v>0.20100000000000001</v>
      </c>
      <c r="G7" s="50">
        <v>0.224</v>
      </c>
      <c r="H7" s="50">
        <v>0.215</v>
      </c>
      <c r="I7" s="50">
        <v>0.25</v>
      </c>
      <c r="J7" s="50">
        <v>0.223</v>
      </c>
      <c r="K7" s="50">
        <v>0.28999999999999998</v>
      </c>
      <c r="L7" s="50">
        <v>0.32600000000000001</v>
      </c>
      <c r="M7" s="50">
        <v>0.34499999999999997</v>
      </c>
      <c r="N7" s="50">
        <v>0.39300000000000002</v>
      </c>
      <c r="O7" s="50">
        <v>0.34</v>
      </c>
      <c r="P7" s="50">
        <v>0.30299999999999999</v>
      </c>
      <c r="Q7" s="50">
        <v>0.49399999999999999</v>
      </c>
      <c r="R7" s="50">
        <v>0.45100000000000001</v>
      </c>
      <c r="S7" s="50">
        <v>0.33800000000000002</v>
      </c>
      <c r="T7" s="50">
        <v>0.39100000000000001</v>
      </c>
      <c r="U7" s="50">
        <v>0.376</v>
      </c>
      <c r="V7" s="50">
        <v>0.68600000000000005</v>
      </c>
      <c r="W7" s="50">
        <v>-8.9999999999999993E-3</v>
      </c>
      <c r="X7" s="50">
        <v>0.20699999999999999</v>
      </c>
      <c r="Y7" s="50">
        <v>0.23899999999999999</v>
      </c>
      <c r="Z7" s="50">
        <v>0.22800000000000001</v>
      </c>
      <c r="AA7" s="50">
        <v>0.249</v>
      </c>
    </row>
    <row r="8" spans="1:27" x14ac:dyDescent="0.25">
      <c r="A8" s="7" t="s">
        <v>1350</v>
      </c>
      <c r="B8" s="49">
        <v>2592</v>
      </c>
      <c r="C8" s="49">
        <v>2837</v>
      </c>
      <c r="D8" s="49">
        <v>3607</v>
      </c>
      <c r="E8" s="49">
        <v>4588</v>
      </c>
      <c r="F8" s="49">
        <v>1465</v>
      </c>
      <c r="G8" s="49">
        <v>1264</v>
      </c>
      <c r="H8" s="49">
        <v>1354</v>
      </c>
      <c r="I8" s="49">
        <v>1527</v>
      </c>
      <c r="J8" s="49">
        <v>5611</v>
      </c>
      <c r="K8" s="49">
        <v>1818</v>
      </c>
      <c r="L8" s="49">
        <v>1628</v>
      </c>
      <c r="M8" s="49">
        <v>1730</v>
      </c>
      <c r="N8" s="49">
        <v>1951</v>
      </c>
      <c r="O8" s="49">
        <v>7126</v>
      </c>
      <c r="P8" s="49">
        <v>2212</v>
      </c>
      <c r="Q8" s="49">
        <v>2223</v>
      </c>
      <c r="R8" s="49">
        <v>2358</v>
      </c>
      <c r="S8" s="49">
        <v>2501</v>
      </c>
      <c r="T8" s="49">
        <v>9294</v>
      </c>
      <c r="U8" s="49">
        <v>12070</v>
      </c>
      <c r="V8" s="49">
        <v>17305</v>
      </c>
      <c r="W8" s="49">
        <v>2580</v>
      </c>
      <c r="X8" s="49">
        <v>3131</v>
      </c>
      <c r="Y8" s="49">
        <v>3926</v>
      </c>
      <c r="Z8" s="49">
        <v>4832</v>
      </c>
      <c r="AA8" s="49">
        <v>5964</v>
      </c>
    </row>
    <row r="9" spans="1:27" x14ac:dyDescent="0.25">
      <c r="A9" s="7" t="s">
        <v>1351</v>
      </c>
      <c r="B9" s="50">
        <v>0.95899999999999996</v>
      </c>
      <c r="C9" s="50">
        <v>0.96599999999999997</v>
      </c>
      <c r="D9" s="50">
        <v>0.97599999999999998</v>
      </c>
      <c r="E9" s="50">
        <v>0.98199999999999998</v>
      </c>
      <c r="F9" s="50">
        <v>0.98299999999999998</v>
      </c>
      <c r="G9" s="50">
        <v>0.98099999999999998</v>
      </c>
      <c r="H9" s="50">
        <v>0.98199999999999998</v>
      </c>
      <c r="I9" s="50">
        <v>0.98399999999999999</v>
      </c>
      <c r="J9" s="50">
        <v>0.98199999999999998</v>
      </c>
      <c r="K9" s="50">
        <v>0.94599999999999995</v>
      </c>
      <c r="L9" s="50">
        <v>0.95199999999999996</v>
      </c>
      <c r="M9" s="50">
        <v>0.93200000000000005</v>
      </c>
      <c r="N9" s="50">
        <v>0.90200000000000002</v>
      </c>
      <c r="O9" s="50">
        <v>0.93200000000000005</v>
      </c>
      <c r="P9" s="50">
        <v>0.88300000000000001</v>
      </c>
      <c r="Q9" s="50">
        <v>0.87</v>
      </c>
      <c r="R9" s="50">
        <v>0.876</v>
      </c>
      <c r="S9" s="50">
        <v>0.86399999999999999</v>
      </c>
      <c r="T9" s="50">
        <v>0.873</v>
      </c>
      <c r="U9" s="50">
        <v>0.82399999999999995</v>
      </c>
      <c r="V9" s="50">
        <v>0.70099999999999996</v>
      </c>
      <c r="W9" s="50">
        <v>0.96299999999999997</v>
      </c>
      <c r="X9" s="50">
        <v>0.96799999999999997</v>
      </c>
      <c r="Y9" s="50">
        <v>0.98</v>
      </c>
      <c r="Z9" s="50">
        <v>0.98199999999999998</v>
      </c>
      <c r="AA9" s="50">
        <v>0.97099999999999997</v>
      </c>
    </row>
    <row r="10" spans="1:27" x14ac:dyDescent="0.25">
      <c r="A10" s="7" t="s">
        <v>1352</v>
      </c>
      <c r="B10" s="49">
        <v>1839</v>
      </c>
      <c r="C10" s="49">
        <v>1821</v>
      </c>
      <c r="D10" s="49">
        <v>1994</v>
      </c>
      <c r="E10" s="49">
        <v>2549</v>
      </c>
      <c r="F10" s="49">
        <v>734</v>
      </c>
      <c r="G10" s="49">
        <v>733</v>
      </c>
      <c r="H10" s="49">
        <v>780</v>
      </c>
      <c r="I10" s="49">
        <v>822</v>
      </c>
      <c r="J10" s="49">
        <v>3069</v>
      </c>
      <c r="K10" s="49">
        <v>866</v>
      </c>
      <c r="L10" s="49">
        <v>900</v>
      </c>
      <c r="M10" s="49">
        <v>931</v>
      </c>
      <c r="N10" s="49">
        <v>966</v>
      </c>
      <c r="O10" s="49">
        <v>3662</v>
      </c>
      <c r="P10" s="49">
        <v>999</v>
      </c>
      <c r="Q10" s="49">
        <v>1038</v>
      </c>
      <c r="R10" s="49">
        <v>1077</v>
      </c>
      <c r="S10" s="49">
        <v>1117</v>
      </c>
      <c r="T10" s="49">
        <v>4232</v>
      </c>
      <c r="U10" s="49">
        <v>4909</v>
      </c>
      <c r="V10" s="49">
        <v>5564</v>
      </c>
      <c r="W10" s="49">
        <v>1797</v>
      </c>
      <c r="X10" s="49">
        <v>1723</v>
      </c>
      <c r="Y10" s="49">
        <v>2049</v>
      </c>
      <c r="Z10" s="49">
        <v>2717</v>
      </c>
      <c r="AA10" s="49">
        <v>3202</v>
      </c>
    </row>
    <row r="11" spans="1:27" x14ac:dyDescent="0.25">
      <c r="A11" s="7" t="s">
        <v>1236</v>
      </c>
      <c r="D11" s="50">
        <v>9.5000000000000001E-2</v>
      </c>
      <c r="E11" s="50">
        <v>0.27800000000000002</v>
      </c>
      <c r="F11" s="50">
        <v>0.29699999999999999</v>
      </c>
      <c r="G11" s="50">
        <v>0.184</v>
      </c>
      <c r="H11" s="50">
        <v>0.20399999999999999</v>
      </c>
      <c r="I11" s="50">
        <v>0.14799999999999999</v>
      </c>
      <c r="J11" s="50">
        <v>0.20399999999999999</v>
      </c>
      <c r="K11" s="50">
        <v>0.18</v>
      </c>
      <c r="L11" s="50">
        <v>0.22700000000000001</v>
      </c>
      <c r="M11" s="50">
        <v>0.193</v>
      </c>
      <c r="N11" s="50">
        <v>0.17399999999999999</v>
      </c>
      <c r="O11" s="50">
        <v>0.193</v>
      </c>
      <c r="P11" s="50">
        <v>0.154</v>
      </c>
      <c r="Q11" s="50">
        <v>0.154</v>
      </c>
      <c r="R11" s="50">
        <v>0.157</v>
      </c>
      <c r="S11" s="50">
        <v>0.157</v>
      </c>
      <c r="T11" s="50">
        <v>0.155</v>
      </c>
      <c r="U11" s="50">
        <v>0.16</v>
      </c>
      <c r="V11" s="50">
        <v>0.13300000000000001</v>
      </c>
      <c r="W11" s="50">
        <v>-2.9000000000000001E-2</v>
      </c>
      <c r="X11" s="50">
        <v>-4.1000000000000002E-2</v>
      </c>
      <c r="Y11" s="50">
        <v>0.189</v>
      </c>
      <c r="Z11" s="50">
        <v>0.32600000000000001</v>
      </c>
      <c r="AA11" s="50">
        <v>0.17799999999999999</v>
      </c>
    </row>
    <row r="12" spans="1:27" x14ac:dyDescent="0.25">
      <c r="A12" s="7" t="s">
        <v>1295</v>
      </c>
      <c r="B12" s="49">
        <v>753</v>
      </c>
      <c r="C12" s="49">
        <v>1016</v>
      </c>
      <c r="D12" s="49">
        <v>1613</v>
      </c>
      <c r="E12" s="49">
        <v>2039</v>
      </c>
      <c r="F12" s="49">
        <v>731</v>
      </c>
      <c r="G12" s="49">
        <v>531</v>
      </c>
      <c r="H12" s="49">
        <v>574</v>
      </c>
      <c r="I12" s="49">
        <v>705</v>
      </c>
      <c r="J12" s="49">
        <v>2541</v>
      </c>
      <c r="K12" s="49">
        <v>952</v>
      </c>
      <c r="L12" s="49">
        <v>728</v>
      </c>
      <c r="M12" s="49">
        <v>799</v>
      </c>
      <c r="N12" s="49">
        <v>986</v>
      </c>
      <c r="O12" s="49">
        <v>3464</v>
      </c>
      <c r="P12" s="49">
        <v>1213</v>
      </c>
      <c r="Q12" s="49">
        <v>1185</v>
      </c>
      <c r="R12" s="49">
        <v>1281</v>
      </c>
      <c r="S12" s="49">
        <v>1384</v>
      </c>
      <c r="T12" s="49">
        <v>5062</v>
      </c>
      <c r="U12" s="49">
        <v>7161</v>
      </c>
      <c r="V12" s="49">
        <v>11741</v>
      </c>
      <c r="W12" s="49">
        <v>783</v>
      </c>
      <c r="X12" s="49">
        <v>1408</v>
      </c>
      <c r="Y12" s="49">
        <v>1877</v>
      </c>
      <c r="Z12" s="49">
        <v>2115</v>
      </c>
      <c r="AA12" s="49">
        <v>2762</v>
      </c>
    </row>
    <row r="13" spans="1:27" x14ac:dyDescent="0.25">
      <c r="A13" s="7" t="s">
        <v>1308</v>
      </c>
      <c r="B13" s="50">
        <v>0.27900000000000003</v>
      </c>
      <c r="C13" s="50">
        <v>0.34599999999999997</v>
      </c>
      <c r="D13" s="50">
        <v>0.437</v>
      </c>
      <c r="E13" s="50">
        <v>0.437</v>
      </c>
      <c r="F13" s="50">
        <v>0.49099999999999999</v>
      </c>
      <c r="G13" s="50">
        <v>0.41199999999999998</v>
      </c>
      <c r="H13" s="50">
        <v>0.41599999999999998</v>
      </c>
      <c r="I13" s="50">
        <v>0.45400000000000001</v>
      </c>
      <c r="J13" s="50">
        <v>0.44500000000000001</v>
      </c>
      <c r="K13" s="50">
        <v>0.495</v>
      </c>
      <c r="L13" s="50">
        <v>0.42599999999999999</v>
      </c>
      <c r="M13" s="50">
        <v>0.43099999999999999</v>
      </c>
      <c r="N13" s="50">
        <v>0.45600000000000002</v>
      </c>
      <c r="O13" s="50">
        <v>0.45300000000000001</v>
      </c>
      <c r="P13" s="50">
        <v>0.48399999999999999</v>
      </c>
      <c r="Q13" s="50">
        <v>0.46400000000000002</v>
      </c>
      <c r="R13" s="50">
        <v>0.47599999999999998</v>
      </c>
      <c r="S13" s="50">
        <v>0.47799999999999998</v>
      </c>
      <c r="T13" s="50">
        <v>0.47599999999999998</v>
      </c>
      <c r="U13" s="50">
        <v>0.48899999999999999</v>
      </c>
      <c r="V13" s="50">
        <v>0.47499999999999998</v>
      </c>
      <c r="W13" s="50">
        <v>0.29199999999999998</v>
      </c>
      <c r="X13" s="50">
        <v>0.436</v>
      </c>
      <c r="Y13" s="50">
        <v>0.46800000000000003</v>
      </c>
      <c r="Z13" s="50">
        <v>0.43</v>
      </c>
      <c r="AA13" s="50">
        <v>0.45</v>
      </c>
    </row>
    <row r="14" spans="1:27" x14ac:dyDescent="0.25">
      <c r="A14" s="7" t="s">
        <v>1296</v>
      </c>
      <c r="B14" s="38">
        <v>0.62</v>
      </c>
      <c r="C14" s="38">
        <v>0.94</v>
      </c>
      <c r="D14" s="38">
        <v>1.45</v>
      </c>
      <c r="E14" s="38">
        <v>1.72</v>
      </c>
      <c r="F14" s="38">
        <v>0.6</v>
      </c>
      <c r="G14" s="38">
        <v>0.45</v>
      </c>
      <c r="H14" s="38">
        <v>0.48</v>
      </c>
      <c r="I14" s="38">
        <v>0.57999999999999996</v>
      </c>
      <c r="J14" s="38">
        <v>2.1</v>
      </c>
      <c r="K14" s="38">
        <v>0.78</v>
      </c>
      <c r="L14" s="38">
        <v>0.6</v>
      </c>
      <c r="M14" s="38">
        <v>0.66</v>
      </c>
      <c r="N14" s="38">
        <v>0.81</v>
      </c>
      <c r="O14" s="38">
        <v>2.85</v>
      </c>
      <c r="P14" s="38">
        <v>0.99</v>
      </c>
      <c r="Q14" s="38">
        <v>0.97</v>
      </c>
      <c r="R14" s="38">
        <v>1.05</v>
      </c>
      <c r="S14" s="38">
        <v>1.1299999999999999</v>
      </c>
      <c r="T14" s="38">
        <v>4.1399999999999997</v>
      </c>
      <c r="U14" s="38">
        <v>5.8</v>
      </c>
      <c r="V14" s="38">
        <v>9.31</v>
      </c>
      <c r="W14" s="38">
        <v>0.64</v>
      </c>
      <c r="X14" s="38">
        <v>1.28</v>
      </c>
      <c r="Y14" s="38">
        <v>1.64</v>
      </c>
      <c r="Z14" s="38">
        <v>1.77</v>
      </c>
      <c r="AA14" s="38">
        <v>2.2799999999999998</v>
      </c>
    </row>
    <row r="15" spans="1:27" x14ac:dyDescent="0.25">
      <c r="A15" s="7" t="s">
        <v>1248</v>
      </c>
    </row>
    <row r="16" spans="1:27" x14ac:dyDescent="0.25">
      <c r="A16" s="7" t="s">
        <v>1249</v>
      </c>
      <c r="B16" s="49">
        <v>256</v>
      </c>
      <c r="C16" s="49">
        <v>906</v>
      </c>
      <c r="D16" s="49">
        <v>806</v>
      </c>
      <c r="E16" s="49">
        <v>1522</v>
      </c>
      <c r="F16" s="49">
        <v>260</v>
      </c>
      <c r="G16" s="49">
        <v>902</v>
      </c>
      <c r="H16" s="49">
        <v>510</v>
      </c>
      <c r="I16" s="49">
        <v>536</v>
      </c>
      <c r="J16" s="49">
        <v>2208</v>
      </c>
      <c r="K16" s="49">
        <v>538</v>
      </c>
      <c r="L16" s="49">
        <v>1013</v>
      </c>
      <c r="M16" s="49">
        <v>686</v>
      </c>
      <c r="N16" s="49">
        <v>684</v>
      </c>
      <c r="O16" s="49">
        <v>2921</v>
      </c>
      <c r="P16" s="49">
        <v>859</v>
      </c>
      <c r="Q16" s="49">
        <v>1156</v>
      </c>
      <c r="R16" s="49">
        <v>1159</v>
      </c>
      <c r="S16" s="49">
        <v>1200</v>
      </c>
      <c r="T16" s="49">
        <v>4374</v>
      </c>
      <c r="U16" s="49">
        <v>5644</v>
      </c>
      <c r="V16" s="49">
        <v>8910</v>
      </c>
      <c r="W16" s="49">
        <v>739</v>
      </c>
      <c r="X16" s="49">
        <v>1090</v>
      </c>
      <c r="Y16" s="49">
        <v>397</v>
      </c>
      <c r="Z16" s="49">
        <v>1524</v>
      </c>
      <c r="AA16" s="49">
        <v>2486</v>
      </c>
    </row>
    <row r="17" spans="1:27" x14ac:dyDescent="0.25">
      <c r="A17" s="7" t="s">
        <v>1353</v>
      </c>
      <c r="B17" s="49">
        <v>-104</v>
      </c>
      <c r="C17" s="49">
        <v>-182</v>
      </c>
      <c r="D17" s="49">
        <v>-233</v>
      </c>
      <c r="E17" s="49">
        <v>-629</v>
      </c>
      <c r="F17" s="49">
        <v>-108</v>
      </c>
      <c r="G17" s="49">
        <v>-237</v>
      </c>
      <c r="H17" s="49">
        <v>-177</v>
      </c>
      <c r="I17" s="49">
        <v>-200</v>
      </c>
      <c r="J17" s="49">
        <v>-722</v>
      </c>
      <c r="K17" s="49">
        <v>-247</v>
      </c>
      <c r="L17" s="49">
        <v>-203</v>
      </c>
      <c r="M17" s="49">
        <v>-220</v>
      </c>
      <c r="N17" s="49">
        <v>-256</v>
      </c>
      <c r="O17" s="49">
        <v>-926</v>
      </c>
      <c r="P17" s="49">
        <v>-297</v>
      </c>
      <c r="Q17" s="49">
        <v>-277</v>
      </c>
      <c r="R17" s="49">
        <v>-292</v>
      </c>
      <c r="S17" s="49">
        <v>-314</v>
      </c>
      <c r="T17" s="49">
        <v>-1180</v>
      </c>
      <c r="U17" s="49">
        <v>-1474</v>
      </c>
      <c r="V17" s="49">
        <v>-2239</v>
      </c>
      <c r="W17" s="49">
        <v>-133</v>
      </c>
      <c r="X17" s="49">
        <v>-183</v>
      </c>
      <c r="Y17" s="49">
        <v>-298</v>
      </c>
      <c r="Z17" s="49">
        <v>-642</v>
      </c>
      <c r="AA17" s="49">
        <v>-861</v>
      </c>
    </row>
    <row r="18" spans="1:27" x14ac:dyDescent="0.25">
      <c r="A18" s="7" t="s">
        <v>1251</v>
      </c>
      <c r="B18" s="49">
        <v>152</v>
      </c>
      <c r="C18" s="49">
        <v>724</v>
      </c>
      <c r="D18" s="49">
        <v>573</v>
      </c>
      <c r="E18" s="49">
        <v>893</v>
      </c>
      <c r="F18" s="49">
        <v>152</v>
      </c>
      <c r="G18" s="49">
        <v>665</v>
      </c>
      <c r="H18" s="49">
        <v>332</v>
      </c>
      <c r="I18" s="49">
        <v>337</v>
      </c>
      <c r="J18" s="49">
        <v>1486</v>
      </c>
      <c r="K18" s="49">
        <v>291</v>
      </c>
      <c r="L18" s="49">
        <v>810</v>
      </c>
      <c r="M18" s="49">
        <v>466</v>
      </c>
      <c r="N18" s="49">
        <v>427</v>
      </c>
      <c r="O18" s="49">
        <v>1995</v>
      </c>
      <c r="P18" s="49">
        <v>562</v>
      </c>
      <c r="Q18" s="49">
        <v>879</v>
      </c>
      <c r="R18" s="49">
        <v>867</v>
      </c>
      <c r="S18" s="49">
        <v>886</v>
      </c>
      <c r="T18" s="49">
        <v>3194</v>
      </c>
      <c r="U18" s="49">
        <v>4170</v>
      </c>
      <c r="V18" s="49">
        <v>6671</v>
      </c>
      <c r="W18" s="49">
        <v>606</v>
      </c>
      <c r="X18" s="49">
        <v>907</v>
      </c>
      <c r="Y18" s="49">
        <v>99</v>
      </c>
      <c r="Z18" s="49">
        <v>882</v>
      </c>
      <c r="AA18" s="49">
        <v>1625</v>
      </c>
    </row>
    <row r="19" spans="1:27" x14ac:dyDescent="0.25">
      <c r="A19" s="7" t="s">
        <v>1354</v>
      </c>
      <c r="B19" s="50">
        <v>-0.06</v>
      </c>
      <c r="C19" s="50">
        <v>-0.246</v>
      </c>
      <c r="D19" s="50">
        <v>-0.155</v>
      </c>
      <c r="E19" s="50">
        <v>-0.191</v>
      </c>
      <c r="F19" s="50">
        <v>-0.10199999999999999</v>
      </c>
      <c r="G19" s="50">
        <v>-0.51600000000000001</v>
      </c>
      <c r="H19" s="50">
        <v>-0.24099999999999999</v>
      </c>
      <c r="I19" s="50">
        <v>-0.217</v>
      </c>
      <c r="J19" s="50">
        <v>-0.26</v>
      </c>
      <c r="K19" s="50">
        <v>-0.151</v>
      </c>
      <c r="L19" s="50">
        <v>-0.47399999999999998</v>
      </c>
      <c r="M19" s="50">
        <v>-0.251</v>
      </c>
      <c r="N19" s="50">
        <v>-0.19800000000000001</v>
      </c>
      <c r="O19" s="50">
        <v>-0.26100000000000001</v>
      </c>
      <c r="P19" s="50">
        <v>-0.224</v>
      </c>
      <c r="Q19" s="50">
        <v>-0.34399999999999997</v>
      </c>
      <c r="R19" s="50">
        <v>-0.32200000000000001</v>
      </c>
      <c r="S19" s="50">
        <v>-0.30599999999999999</v>
      </c>
      <c r="T19" s="50">
        <v>-0.3</v>
      </c>
      <c r="U19" s="50">
        <v>-0.28499999999999998</v>
      </c>
      <c r="V19" s="50">
        <v>-0.27</v>
      </c>
      <c r="W19" s="50">
        <v>0.22600000000000001</v>
      </c>
      <c r="X19" s="50">
        <v>0.28100000000000003</v>
      </c>
      <c r="Y19" s="50">
        <v>2.5000000000000001E-2</v>
      </c>
      <c r="Z19" s="50">
        <v>0.17899999999999999</v>
      </c>
      <c r="AA19" s="50">
        <v>0.26500000000000001</v>
      </c>
    </row>
    <row r="20" spans="1:27" x14ac:dyDescent="0.25">
      <c r="A20" s="7" t="s">
        <v>1236</v>
      </c>
      <c r="C20" s="50">
        <v>3.7629999999999999</v>
      </c>
      <c r="D20" s="50">
        <v>-0.20899999999999999</v>
      </c>
      <c r="E20" s="50">
        <v>0.55800000000000005</v>
      </c>
      <c r="F20" s="50">
        <v>-6.7000000000000004E-2</v>
      </c>
      <c r="G20" s="50">
        <v>3.4329999999999998</v>
      </c>
      <c r="H20" s="50">
        <v>-0.191</v>
      </c>
      <c r="I20" s="50">
        <v>0.99299999999999999</v>
      </c>
      <c r="J20" s="50">
        <v>0.66400000000000003</v>
      </c>
      <c r="K20" s="50">
        <v>0.91500000000000004</v>
      </c>
      <c r="L20" s="50">
        <v>0.219</v>
      </c>
      <c r="M20" s="50">
        <v>0.40300000000000002</v>
      </c>
      <c r="N20" s="50">
        <v>0.26900000000000002</v>
      </c>
      <c r="O20" s="50">
        <v>0.34200000000000003</v>
      </c>
      <c r="P20" s="50">
        <v>0.93</v>
      </c>
      <c r="Q20" s="50">
        <v>8.5000000000000006E-2</v>
      </c>
      <c r="R20" s="50">
        <v>0.85899999999999999</v>
      </c>
      <c r="S20" s="50">
        <v>1.0720000000000001</v>
      </c>
      <c r="T20" s="50">
        <v>0.60099999999999998</v>
      </c>
      <c r="U20" s="50">
        <v>0.30599999999999999</v>
      </c>
      <c r="V20" s="50">
        <v>0.6</v>
      </c>
      <c r="W20" s="50">
        <v>0.751</v>
      </c>
      <c r="X20" s="50">
        <v>0.497</v>
      </c>
      <c r="Y20" s="50">
        <v>-0.89100000000000001</v>
      </c>
      <c r="Z20" s="50">
        <v>7.9089999999999998</v>
      </c>
      <c r="AA20" s="50">
        <v>0.84299999999999997</v>
      </c>
    </row>
    <row r="21" spans="1:27" x14ac:dyDescent="0.25">
      <c r="A21" s="7" t="s">
        <v>1355</v>
      </c>
    </row>
    <row r="22" spans="1:27" x14ac:dyDescent="0.25">
      <c r="A22" s="7" t="s">
        <v>1356</v>
      </c>
      <c r="B22" s="49">
        <v>1725</v>
      </c>
      <c r="C22" s="49">
        <v>1662</v>
      </c>
      <c r="D22" s="49">
        <v>2075</v>
      </c>
      <c r="E22" s="49">
        <v>2549</v>
      </c>
      <c r="F22" s="49">
        <v>671</v>
      </c>
      <c r="G22" s="49">
        <v>715</v>
      </c>
      <c r="H22" s="49">
        <v>708</v>
      </c>
      <c r="I22" s="49">
        <v>807</v>
      </c>
      <c r="J22" s="49">
        <v>2901</v>
      </c>
      <c r="K22" s="49">
        <v>831</v>
      </c>
      <c r="L22" s="49">
        <v>856</v>
      </c>
      <c r="M22" s="49">
        <v>899</v>
      </c>
      <c r="N22" s="49">
        <v>975</v>
      </c>
      <c r="O22" s="49">
        <v>3561</v>
      </c>
      <c r="P22" s="49">
        <v>1019</v>
      </c>
      <c r="Q22" s="49">
        <v>1029</v>
      </c>
      <c r="R22" s="49">
        <v>1112</v>
      </c>
      <c r="S22" s="49">
        <v>1201</v>
      </c>
      <c r="T22" s="49">
        <v>4361</v>
      </c>
      <c r="U22" s="49">
        <v>5332</v>
      </c>
      <c r="V22" s="49">
        <v>6377</v>
      </c>
      <c r="W22" s="49">
        <v>1675</v>
      </c>
      <c r="X22" s="49">
        <v>1802</v>
      </c>
      <c r="Y22" s="49">
        <v>2168</v>
      </c>
      <c r="Z22" s="49">
        <v>2613</v>
      </c>
      <c r="AA22" s="49">
        <v>3061</v>
      </c>
    </row>
    <row r="23" spans="1:27" x14ac:dyDescent="0.25">
      <c r="A23" s="7" t="s">
        <v>1354</v>
      </c>
      <c r="B23" s="50">
        <v>0.64</v>
      </c>
      <c r="C23" s="50">
        <v>0.56599999999999995</v>
      </c>
      <c r="D23" s="50">
        <v>0.56200000000000006</v>
      </c>
      <c r="E23" s="50">
        <v>0.54600000000000004</v>
      </c>
      <c r="F23" s="50">
        <v>0.45</v>
      </c>
      <c r="G23" s="50">
        <v>0.55500000000000005</v>
      </c>
      <c r="H23" s="50">
        <v>0.51300000000000001</v>
      </c>
      <c r="I23" s="50">
        <v>0.52</v>
      </c>
      <c r="J23" s="50">
        <v>0.50800000000000001</v>
      </c>
      <c r="K23" s="50">
        <v>0.432</v>
      </c>
      <c r="L23" s="50">
        <v>0.501</v>
      </c>
      <c r="M23" s="50">
        <v>0.48499999999999999</v>
      </c>
      <c r="N23" s="50">
        <v>0.45100000000000001</v>
      </c>
      <c r="O23" s="50">
        <v>0.46600000000000003</v>
      </c>
      <c r="P23" s="50">
        <v>0.40699999999999997</v>
      </c>
      <c r="Q23" s="50">
        <v>0.40300000000000002</v>
      </c>
      <c r="R23" s="50">
        <v>0.41299999999999998</v>
      </c>
      <c r="S23" s="50">
        <v>0.41499999999999998</v>
      </c>
      <c r="T23" s="50">
        <v>0.41</v>
      </c>
      <c r="U23" s="50">
        <v>0.36399999999999999</v>
      </c>
      <c r="V23" s="50">
        <v>0.25800000000000001</v>
      </c>
      <c r="W23" s="50">
        <v>0.625</v>
      </c>
      <c r="X23" s="50">
        <v>0.55700000000000005</v>
      </c>
      <c r="Y23" s="50">
        <v>0.54100000000000004</v>
      </c>
      <c r="Z23" s="50">
        <v>0.53100000000000003</v>
      </c>
      <c r="AA23" s="50">
        <v>0.498</v>
      </c>
    </row>
    <row r="24" spans="1:27" x14ac:dyDescent="0.25">
      <c r="A24" s="7" t="s">
        <v>1357</v>
      </c>
      <c r="C24" s="50">
        <v>-3.6999999999999998E-2</v>
      </c>
      <c r="D24" s="50">
        <v>0.248</v>
      </c>
      <c r="E24" s="50">
        <v>0.22800000000000001</v>
      </c>
      <c r="F24" s="50">
        <v>0.105</v>
      </c>
      <c r="G24" s="50">
        <v>0.222</v>
      </c>
      <c r="H24" s="50">
        <v>0.14199999999999999</v>
      </c>
      <c r="I24" s="50">
        <v>9.5000000000000001E-2</v>
      </c>
      <c r="J24" s="50">
        <v>0.13800000000000001</v>
      </c>
      <c r="K24" s="50">
        <v>0.23899999999999999</v>
      </c>
      <c r="L24" s="50">
        <v>0.19700000000000001</v>
      </c>
      <c r="M24" s="50">
        <v>0.27</v>
      </c>
      <c r="N24" s="50">
        <v>0.20899999999999999</v>
      </c>
      <c r="O24" s="50">
        <v>0.22800000000000001</v>
      </c>
      <c r="P24" s="50">
        <v>0.22600000000000001</v>
      </c>
      <c r="Q24" s="50">
        <v>0.20200000000000001</v>
      </c>
      <c r="R24" s="50">
        <v>0.23699999999999999</v>
      </c>
      <c r="S24" s="50">
        <v>0.23100000000000001</v>
      </c>
      <c r="T24" s="50">
        <v>0.224</v>
      </c>
      <c r="U24" s="50">
        <v>0.223</v>
      </c>
      <c r="V24" s="50">
        <v>0.19600000000000001</v>
      </c>
      <c r="W24" s="50">
        <v>7.1999999999999995E-2</v>
      </c>
      <c r="X24" s="50">
        <v>7.5999999999999998E-2</v>
      </c>
      <c r="Y24" s="50">
        <v>0.20300000000000001</v>
      </c>
      <c r="Z24" s="50">
        <v>0.20499999999999999</v>
      </c>
      <c r="AA24" s="50">
        <v>0.17100000000000001</v>
      </c>
    </row>
    <row r="25" spans="1:27" x14ac:dyDescent="0.25">
      <c r="A25" s="7" t="s">
        <v>1358</v>
      </c>
      <c r="F25" s="50">
        <v>-0.09</v>
      </c>
      <c r="G25" s="50">
        <v>6.6000000000000003E-2</v>
      </c>
      <c r="H25" s="50">
        <v>-0.01</v>
      </c>
      <c r="I25" s="50">
        <v>0.14000000000000001</v>
      </c>
      <c r="K25" s="50">
        <v>0.03</v>
      </c>
      <c r="L25" s="50">
        <v>0.03</v>
      </c>
      <c r="M25" s="50">
        <v>0.05</v>
      </c>
      <c r="N25" s="50">
        <v>8.5000000000000006E-2</v>
      </c>
      <c r="P25" s="50">
        <v>4.4999999999999998E-2</v>
      </c>
      <c r="Q25" s="50">
        <v>0.01</v>
      </c>
      <c r="R25" s="50">
        <v>0.08</v>
      </c>
      <c r="S25" s="50">
        <v>0.08</v>
      </c>
    </row>
    <row r="26" spans="1:27" x14ac:dyDescent="0.25">
      <c r="A26" s="7" t="s">
        <v>1359</v>
      </c>
      <c r="D26" s="38">
        <v>0.9</v>
      </c>
      <c r="E26" s="38">
        <v>0.25</v>
      </c>
      <c r="W26" s="38">
        <v>0.43</v>
      </c>
      <c r="X26" s="38">
        <v>0.36</v>
      </c>
      <c r="Y26" s="38">
        <v>0.28599999999999998</v>
      </c>
      <c r="Z26" s="38">
        <v>0.25</v>
      </c>
    </row>
    <row r="27" spans="1:27" x14ac:dyDescent="0.25">
      <c r="A27" s="7" t="s">
        <v>1360</v>
      </c>
      <c r="D27" s="38">
        <v>1.35</v>
      </c>
      <c r="E27" s="38">
        <v>0.44</v>
      </c>
      <c r="W27" s="38">
        <v>0.49</v>
      </c>
      <c r="X27" s="38">
        <v>0.46500000000000002</v>
      </c>
      <c r="Y27" s="38">
        <v>0.44700000000000001</v>
      </c>
      <c r="Z27" s="38">
        <v>0.15</v>
      </c>
    </row>
    <row r="28" spans="1:27" x14ac:dyDescent="0.25">
      <c r="A28" s="7" t="s">
        <v>1361</v>
      </c>
      <c r="C28" s="38">
        <v>0.25</v>
      </c>
      <c r="D28" s="38">
        <v>0.95</v>
      </c>
      <c r="E28" s="38">
        <v>0.31</v>
      </c>
      <c r="W28" s="38">
        <v>0.08</v>
      </c>
      <c r="X28" s="38">
        <v>0.17499999999999999</v>
      </c>
      <c r="Y28" s="38">
        <v>0.26700000000000002</v>
      </c>
      <c r="Z28" s="38">
        <v>0.6</v>
      </c>
    </row>
    <row r="29" spans="1:27" x14ac:dyDescent="0.25">
      <c r="A29" s="7" t="s">
        <v>1362</v>
      </c>
      <c r="B29" s="49">
        <v>978</v>
      </c>
      <c r="C29" s="49">
        <v>1276</v>
      </c>
      <c r="D29" s="49">
        <v>1619</v>
      </c>
      <c r="E29" s="49">
        <v>2122</v>
      </c>
      <c r="F29" s="49">
        <v>819</v>
      </c>
      <c r="G29" s="49">
        <v>574</v>
      </c>
      <c r="H29" s="49">
        <v>672</v>
      </c>
      <c r="I29" s="49">
        <v>745</v>
      </c>
      <c r="J29" s="49">
        <v>2810</v>
      </c>
      <c r="K29" s="49">
        <v>991</v>
      </c>
      <c r="L29" s="49">
        <v>754</v>
      </c>
      <c r="M29" s="49">
        <v>776</v>
      </c>
      <c r="N29" s="49">
        <v>807</v>
      </c>
      <c r="O29" s="49">
        <v>3328</v>
      </c>
      <c r="P29" s="49">
        <v>936</v>
      </c>
      <c r="Q29" s="49">
        <v>908</v>
      </c>
      <c r="R29" s="49">
        <v>890</v>
      </c>
      <c r="S29" s="49">
        <v>899</v>
      </c>
      <c r="T29" s="49">
        <v>3634</v>
      </c>
      <c r="U29" s="49">
        <v>3659</v>
      </c>
      <c r="V29" s="49">
        <v>3693</v>
      </c>
      <c r="W29" s="49">
        <v>1004</v>
      </c>
      <c r="X29" s="49">
        <v>1431</v>
      </c>
      <c r="Y29" s="49">
        <v>1839</v>
      </c>
      <c r="Z29" s="49">
        <v>2307</v>
      </c>
      <c r="AA29" s="49">
        <v>2982</v>
      </c>
    </row>
    <row r="30" spans="1:27" x14ac:dyDescent="0.25">
      <c r="A30" s="7" t="s">
        <v>1363</v>
      </c>
      <c r="B30" s="50">
        <v>0.36</v>
      </c>
      <c r="C30" s="50">
        <v>0.434</v>
      </c>
      <c r="D30" s="50">
        <v>0.438</v>
      </c>
      <c r="E30" s="50">
        <v>0.45400000000000001</v>
      </c>
      <c r="F30" s="50">
        <v>0.55000000000000004</v>
      </c>
      <c r="G30" s="50">
        <v>0.44500000000000001</v>
      </c>
      <c r="H30" s="50">
        <v>0.48699999999999999</v>
      </c>
      <c r="I30" s="50">
        <v>0.48</v>
      </c>
      <c r="J30" s="50">
        <v>0.49199999999999999</v>
      </c>
      <c r="K30" s="50">
        <v>0.51600000000000001</v>
      </c>
      <c r="L30" s="50">
        <v>0.441</v>
      </c>
      <c r="M30" s="50">
        <v>0.41799999999999998</v>
      </c>
      <c r="N30" s="50">
        <v>0.373</v>
      </c>
      <c r="O30" s="50">
        <v>0.435</v>
      </c>
      <c r="P30" s="50">
        <v>0.374</v>
      </c>
      <c r="Q30" s="50">
        <v>0.35599999999999998</v>
      </c>
      <c r="R30" s="50">
        <v>0.33100000000000002</v>
      </c>
      <c r="S30" s="50">
        <v>0.311</v>
      </c>
      <c r="T30" s="50">
        <v>0.34100000000000003</v>
      </c>
      <c r="U30" s="50">
        <v>0.25</v>
      </c>
      <c r="V30" s="50">
        <v>0.15</v>
      </c>
      <c r="W30" s="50">
        <v>0.375</v>
      </c>
      <c r="X30" s="50">
        <v>0.443</v>
      </c>
      <c r="Y30" s="50">
        <v>0.45900000000000002</v>
      </c>
      <c r="Z30" s="50">
        <v>0.46899999999999997</v>
      </c>
      <c r="AA30" s="50">
        <v>0.48499999999999999</v>
      </c>
    </row>
    <row r="31" spans="1:27" x14ac:dyDescent="0.25">
      <c r="A31" s="7" t="s">
        <v>1357</v>
      </c>
      <c r="C31" s="50">
        <v>0.30499999999999999</v>
      </c>
      <c r="D31" s="50">
        <v>0.26900000000000002</v>
      </c>
      <c r="E31" s="50">
        <v>0.311</v>
      </c>
      <c r="F31" s="50">
        <v>0.29199999999999998</v>
      </c>
      <c r="G31" s="50">
        <v>0.22600000000000001</v>
      </c>
      <c r="H31" s="50">
        <v>0.30399999999999999</v>
      </c>
      <c r="I31" s="50">
        <v>0.47599999999999998</v>
      </c>
      <c r="J31" s="50">
        <v>0.32400000000000001</v>
      </c>
      <c r="K31" s="50">
        <v>0.21099999999999999</v>
      </c>
      <c r="L31" s="50">
        <v>0.313</v>
      </c>
      <c r="M31" s="50">
        <v>0.156</v>
      </c>
      <c r="N31" s="50">
        <v>8.3000000000000004E-2</v>
      </c>
      <c r="O31" s="50">
        <v>0.184</v>
      </c>
      <c r="P31" s="50">
        <v>-5.6000000000000001E-2</v>
      </c>
      <c r="Q31" s="50">
        <v>0.20499999999999999</v>
      </c>
      <c r="R31" s="50">
        <v>0.14699999999999999</v>
      </c>
      <c r="S31" s="50">
        <v>0.114</v>
      </c>
      <c r="T31" s="50">
        <v>9.1999999999999998E-2</v>
      </c>
      <c r="U31" s="50">
        <v>7.0000000000000001E-3</v>
      </c>
      <c r="V31" s="50">
        <v>8.9999999999999993E-3</v>
      </c>
      <c r="W31" s="50">
        <v>-0.12</v>
      </c>
      <c r="X31" s="50">
        <v>0.42499999999999999</v>
      </c>
      <c r="Y31" s="50">
        <v>0.28499999999999998</v>
      </c>
      <c r="Z31" s="50">
        <v>0.254</v>
      </c>
      <c r="AA31" s="50">
        <v>0.29299999999999998</v>
      </c>
    </row>
    <row r="32" spans="1:27" x14ac:dyDescent="0.25">
      <c r="A32" s="7" t="s">
        <v>1358</v>
      </c>
      <c r="F32" s="50">
        <v>0.622</v>
      </c>
      <c r="G32" s="50">
        <v>-0.29899999999999999</v>
      </c>
      <c r="H32" s="50">
        <v>0.17</v>
      </c>
      <c r="I32" s="50">
        <v>0.11</v>
      </c>
      <c r="K32" s="50">
        <v>0.33</v>
      </c>
      <c r="L32" s="50">
        <v>-0.24</v>
      </c>
      <c r="M32" s="50">
        <v>0.03</v>
      </c>
      <c r="N32" s="50">
        <v>0.04</v>
      </c>
      <c r="P32" s="50">
        <v>0.16</v>
      </c>
      <c r="Q32" s="50">
        <v>-0.03</v>
      </c>
      <c r="R32" s="50">
        <v>-0.02</v>
      </c>
      <c r="S32" s="50">
        <v>0.01</v>
      </c>
    </row>
    <row r="33" spans="1:27" x14ac:dyDescent="0.25">
      <c r="A33" s="7" t="s">
        <v>1364</v>
      </c>
      <c r="B33" s="49">
        <v>4171</v>
      </c>
      <c r="C33" s="49">
        <v>4346</v>
      </c>
      <c r="D33" s="49">
        <v>4898</v>
      </c>
      <c r="E33" s="49">
        <v>6113</v>
      </c>
      <c r="W33" s="49">
        <v>1030</v>
      </c>
      <c r="X33" s="49">
        <v>1182</v>
      </c>
      <c r="Y33" s="49">
        <v>1365</v>
      </c>
    </row>
    <row r="34" spans="1:27" x14ac:dyDescent="0.25">
      <c r="A34" s="7" t="s">
        <v>1365</v>
      </c>
      <c r="C34" s="50">
        <v>4.2000000000000003E-2</v>
      </c>
      <c r="D34" s="50">
        <v>0.127</v>
      </c>
      <c r="E34" s="50">
        <v>0.248</v>
      </c>
      <c r="X34" s="50">
        <v>0.14799999999999999</v>
      </c>
      <c r="Y34" s="50">
        <v>0.155</v>
      </c>
    </row>
    <row r="35" spans="1:27" x14ac:dyDescent="0.25">
      <c r="A35" s="7" t="s">
        <v>1366</v>
      </c>
    </row>
    <row r="36" spans="1:27" x14ac:dyDescent="0.25">
      <c r="A36" s="7" t="s">
        <v>1367</v>
      </c>
      <c r="B36" s="49">
        <v>6993</v>
      </c>
      <c r="C36" s="49">
        <v>8177</v>
      </c>
      <c r="D36" s="49">
        <v>9362</v>
      </c>
      <c r="E36" s="49">
        <v>8852</v>
      </c>
      <c r="W36" s="49">
        <v>1712</v>
      </c>
      <c r="X36" s="49">
        <v>2484</v>
      </c>
      <c r="Y36" s="49">
        <v>2226</v>
      </c>
    </row>
    <row r="37" spans="1:27" x14ac:dyDescent="0.25">
      <c r="A37" s="7" t="s">
        <v>1365</v>
      </c>
      <c r="C37" s="50">
        <v>0.16900000000000001</v>
      </c>
      <c r="D37" s="50">
        <v>0.14499999999999999</v>
      </c>
      <c r="E37" s="50">
        <v>-5.3999999999999999E-2</v>
      </c>
      <c r="W37" s="50">
        <v>-2.1999999999999999E-2</v>
      </c>
      <c r="X37" s="50">
        <v>0.45100000000000001</v>
      </c>
      <c r="Y37" s="50">
        <v>-0.104</v>
      </c>
    </row>
    <row r="38" spans="1:27" x14ac:dyDescent="0.25">
      <c r="A38" s="7" t="s">
        <v>1366</v>
      </c>
    </row>
    <row r="39" spans="1:27" x14ac:dyDescent="0.25">
      <c r="A39" s="7" t="s">
        <v>1368</v>
      </c>
      <c r="B39" s="49">
        <v>408</v>
      </c>
      <c r="C39" s="49">
        <v>1528</v>
      </c>
      <c r="D39" s="49">
        <v>1162</v>
      </c>
      <c r="E39" s="49">
        <v>1043</v>
      </c>
      <c r="F39" s="49">
        <v>518</v>
      </c>
      <c r="G39" s="49">
        <v>935</v>
      </c>
      <c r="H39" s="49">
        <v>1020</v>
      </c>
      <c r="I39" s="49">
        <v>1132</v>
      </c>
      <c r="J39" s="49">
        <v>3604</v>
      </c>
      <c r="K39" s="49">
        <v>1505</v>
      </c>
      <c r="L39" s="49">
        <v>1151</v>
      </c>
      <c r="M39" s="49">
        <v>1186</v>
      </c>
      <c r="N39" s="49">
        <v>1233</v>
      </c>
      <c r="O39" s="49">
        <v>5076</v>
      </c>
      <c r="P39" s="49">
        <v>1431</v>
      </c>
      <c r="Q39" s="49">
        <v>1397</v>
      </c>
      <c r="R39" s="49">
        <v>1369</v>
      </c>
      <c r="S39" s="49">
        <v>1383</v>
      </c>
      <c r="T39" s="49">
        <v>5580</v>
      </c>
      <c r="U39" s="49">
        <v>5655</v>
      </c>
      <c r="V39" s="49">
        <v>5746</v>
      </c>
      <c r="W39" s="49">
        <v>530</v>
      </c>
      <c r="X39" s="49">
        <v>1823</v>
      </c>
      <c r="Y39" s="49">
        <v>1163</v>
      </c>
      <c r="Z39" s="49">
        <v>1143</v>
      </c>
      <c r="AA39" s="49">
        <v>4592</v>
      </c>
    </row>
    <row r="40" spans="1:27" x14ac:dyDescent="0.25">
      <c r="A40" s="7" t="s">
        <v>1369</v>
      </c>
      <c r="B40" s="38">
        <v>2.4</v>
      </c>
      <c r="C40" s="38">
        <v>0.8</v>
      </c>
      <c r="D40" s="38">
        <v>1.4</v>
      </c>
      <c r="E40" s="49">
        <v>2</v>
      </c>
      <c r="F40" s="38">
        <v>0.9</v>
      </c>
      <c r="G40" s="38">
        <v>1.1000000000000001</v>
      </c>
      <c r="H40" s="49">
        <v>1</v>
      </c>
      <c r="I40" s="49">
        <v>1</v>
      </c>
      <c r="J40" s="38">
        <v>0.8</v>
      </c>
      <c r="K40" s="49">
        <v>1</v>
      </c>
      <c r="L40" s="49">
        <v>1</v>
      </c>
      <c r="M40" s="49">
        <v>1</v>
      </c>
      <c r="N40" s="49">
        <v>1</v>
      </c>
      <c r="O40" s="38">
        <v>0.7</v>
      </c>
      <c r="P40" s="49">
        <v>1</v>
      </c>
      <c r="Q40" s="49">
        <v>1</v>
      </c>
      <c r="R40" s="49">
        <v>1</v>
      </c>
      <c r="S40" s="49">
        <v>1</v>
      </c>
      <c r="T40" s="38">
        <v>0.7</v>
      </c>
      <c r="U40" s="38">
        <v>0.6</v>
      </c>
      <c r="V40" s="38">
        <v>0.6</v>
      </c>
      <c r="W40" s="38">
        <v>0.9</v>
      </c>
      <c r="X40" s="38">
        <v>1.7</v>
      </c>
      <c r="Y40" s="38">
        <v>0.8</v>
      </c>
      <c r="Z40" s="38">
        <v>0.9</v>
      </c>
      <c r="AA40" s="49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2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6" customWidth="1"/>
    <col min="2" max="39" width="10" customWidth="1"/>
  </cols>
  <sheetData>
    <row r="1" spans="1:10" ht="15.75" x14ac:dyDescent="0.25">
      <c r="A1" s="1" t="s">
        <v>1370</v>
      </c>
    </row>
    <row r="2" spans="1:10" x14ac:dyDescent="0.25">
      <c r="A2" s="4" t="s">
        <v>1221</v>
      </c>
    </row>
    <row r="3" spans="1:10" x14ac:dyDescent="0.25">
      <c r="A3" s="4" t="s">
        <v>280</v>
      </c>
    </row>
    <row r="5" spans="1:10" x14ac:dyDescent="0.25">
      <c r="B5" s="48" t="s">
        <v>1371</v>
      </c>
      <c r="C5" s="48" t="s">
        <v>1372</v>
      </c>
      <c r="D5" s="48" t="s">
        <v>1373</v>
      </c>
      <c r="E5" s="48" t="s">
        <v>1374</v>
      </c>
      <c r="F5" s="48" t="s">
        <v>1375</v>
      </c>
      <c r="G5" s="48" t="s">
        <v>1376</v>
      </c>
      <c r="H5" s="48" t="s">
        <v>1377</v>
      </c>
      <c r="I5" s="48" t="s">
        <v>1378</v>
      </c>
      <c r="J5" s="48" t="s">
        <v>1379</v>
      </c>
    </row>
    <row r="6" spans="1:10" x14ac:dyDescent="0.25">
      <c r="A6" s="7" t="s">
        <v>1380</v>
      </c>
      <c r="B6" s="49">
        <v>64448</v>
      </c>
      <c r="C6" s="49">
        <v>64448</v>
      </c>
      <c r="E6" s="49">
        <v>75192</v>
      </c>
      <c r="F6" s="49">
        <v>75192</v>
      </c>
      <c r="H6" s="49">
        <v>87382</v>
      </c>
      <c r="I6" s="49">
        <v>87382</v>
      </c>
    </row>
    <row r="7" spans="1:10" x14ac:dyDescent="0.25">
      <c r="A7" s="7" t="s">
        <v>1289</v>
      </c>
      <c r="B7" s="50">
        <v>0.219</v>
      </c>
      <c r="C7" s="50">
        <v>0.219</v>
      </c>
      <c r="E7" s="50">
        <v>0.16700000000000001</v>
      </c>
      <c r="F7" s="50">
        <v>0.16700000000000001</v>
      </c>
      <c r="H7" s="50">
        <v>0.16200000000000001</v>
      </c>
      <c r="I7" s="50">
        <v>0.16200000000000001</v>
      </c>
    </row>
    <row r="8" spans="1:10" x14ac:dyDescent="0.25">
      <c r="A8" s="7" t="s">
        <v>1351</v>
      </c>
      <c r="B8" s="50">
        <v>0.42</v>
      </c>
      <c r="C8" s="50">
        <v>0.42</v>
      </c>
      <c r="E8" s="50">
        <v>0.435</v>
      </c>
      <c r="F8" s="50">
        <v>0.435</v>
      </c>
      <c r="H8" s="50">
        <v>0.44400000000000001</v>
      </c>
      <c r="I8" s="50">
        <v>0.44400000000000001</v>
      </c>
    </row>
    <row r="9" spans="1:10" x14ac:dyDescent="0.25">
      <c r="A9" s="7" t="s">
        <v>1308</v>
      </c>
      <c r="B9" s="50">
        <v>0.157</v>
      </c>
      <c r="C9" s="50">
        <v>0.156</v>
      </c>
      <c r="D9" s="50">
        <v>2E-3</v>
      </c>
      <c r="E9" s="50">
        <v>0.191</v>
      </c>
      <c r="F9" s="50">
        <v>0.191</v>
      </c>
      <c r="H9" s="50">
        <v>0.214</v>
      </c>
      <c r="I9" s="50">
        <v>0.214</v>
      </c>
    </row>
    <row r="10" spans="1:10" x14ac:dyDescent="0.25">
      <c r="A10" s="7" t="s">
        <v>1296</v>
      </c>
      <c r="B10" s="38">
        <v>1.57</v>
      </c>
      <c r="C10" s="38">
        <v>1.55</v>
      </c>
      <c r="D10" s="38">
        <v>1.0999999999999999E-2</v>
      </c>
      <c r="E10" s="38">
        <v>2.2000000000000002</v>
      </c>
      <c r="F10" s="38">
        <v>2.19</v>
      </c>
      <c r="G10" s="49">
        <v>0</v>
      </c>
      <c r="H10" s="38">
        <v>2.94</v>
      </c>
      <c r="I10" s="38">
        <v>2.94</v>
      </c>
      <c r="J10" s="49">
        <v>0</v>
      </c>
    </row>
    <row r="11" spans="1:10" x14ac:dyDescent="0.25">
      <c r="A11" s="7" t="s">
        <v>1301</v>
      </c>
      <c r="B11" s="49">
        <v>7344</v>
      </c>
      <c r="C11" s="49">
        <v>7244</v>
      </c>
      <c r="D11" s="38">
        <v>1.4E-2</v>
      </c>
      <c r="E11" s="49">
        <v>-959</v>
      </c>
      <c r="F11" s="49">
        <v>-962</v>
      </c>
      <c r="G11" s="38">
        <v>-3.0000000000000001E-3</v>
      </c>
      <c r="H11" s="49">
        <v>-4077</v>
      </c>
      <c r="I11" s="49">
        <v>-4080</v>
      </c>
      <c r="J11" s="38">
        <v>-1E-3</v>
      </c>
    </row>
    <row r="12" spans="1:10" x14ac:dyDescent="0.25">
      <c r="A12" s="7" t="s">
        <v>1381</v>
      </c>
      <c r="B12" s="49">
        <v>20215</v>
      </c>
      <c r="C12" s="49">
        <v>20215</v>
      </c>
      <c r="E12" s="49">
        <v>28500</v>
      </c>
      <c r="F12" s="49">
        <v>28500</v>
      </c>
      <c r="H12" s="49">
        <v>40000</v>
      </c>
      <c r="I12" s="49">
        <v>40000</v>
      </c>
    </row>
    <row r="13" spans="1:10" x14ac:dyDescent="0.25">
      <c r="A13" s="7" t="s">
        <v>1382</v>
      </c>
    </row>
    <row r="14" spans="1:10" x14ac:dyDescent="0.25">
      <c r="A14" s="7" t="s">
        <v>1304</v>
      </c>
      <c r="B14" s="49">
        <v>60504</v>
      </c>
      <c r="C14" s="49">
        <v>60504</v>
      </c>
      <c r="E14" s="49">
        <v>70042</v>
      </c>
      <c r="F14" s="49">
        <v>70042</v>
      </c>
      <c r="H14" s="49">
        <v>78602</v>
      </c>
      <c r="I14" s="49">
        <v>78602</v>
      </c>
    </row>
    <row r="15" spans="1:10" x14ac:dyDescent="0.25">
      <c r="A15" s="7" t="s">
        <v>1289</v>
      </c>
      <c r="B15" s="50">
        <v>0.23100000000000001</v>
      </c>
      <c r="C15" s="50">
        <v>0.23100000000000001</v>
      </c>
      <c r="E15" s="50">
        <v>0.158</v>
      </c>
      <c r="F15" s="50">
        <v>0.158</v>
      </c>
      <c r="H15" s="50">
        <v>0.122</v>
      </c>
      <c r="I15" s="50">
        <v>0.122</v>
      </c>
    </row>
    <row r="16" spans="1:10" x14ac:dyDescent="0.25">
      <c r="A16" s="7" t="s">
        <v>1383</v>
      </c>
      <c r="B16" s="49">
        <v>34255</v>
      </c>
      <c r="C16" s="49">
        <v>34255</v>
      </c>
      <c r="E16" s="49">
        <v>32190</v>
      </c>
      <c r="F16" s="49">
        <v>32190</v>
      </c>
      <c r="H16" s="49">
        <v>32181</v>
      </c>
      <c r="I16" s="49">
        <v>32181</v>
      </c>
    </row>
    <row r="17" spans="1:9" x14ac:dyDescent="0.25">
      <c r="A17" s="7" t="s">
        <v>1236</v>
      </c>
      <c r="B17" s="50">
        <v>6.3E-2</v>
      </c>
      <c r="C17" s="50">
        <v>6.3E-2</v>
      </c>
      <c r="E17" s="50">
        <v>-0.06</v>
      </c>
      <c r="F17" s="50">
        <v>-0.06</v>
      </c>
      <c r="H17" s="50">
        <v>0</v>
      </c>
      <c r="I17" s="50">
        <v>0</v>
      </c>
    </row>
    <row r="18" spans="1:9" x14ac:dyDescent="0.25">
      <c r="A18" s="7" t="s">
        <v>1384</v>
      </c>
      <c r="B18" s="49">
        <v>26357</v>
      </c>
      <c r="C18" s="49">
        <v>26357</v>
      </c>
      <c r="E18" s="49">
        <v>37853</v>
      </c>
      <c r="F18" s="49">
        <v>37853</v>
      </c>
      <c r="H18" s="49">
        <v>46421</v>
      </c>
      <c r="I18" s="49">
        <v>46421</v>
      </c>
    </row>
    <row r="19" spans="1:9" x14ac:dyDescent="0.25">
      <c r="A19" s="7" t="s">
        <v>1236</v>
      </c>
      <c r="B19" s="50">
        <v>0.55800000000000005</v>
      </c>
      <c r="C19" s="50">
        <v>0.55800000000000005</v>
      </c>
      <c r="E19" s="50">
        <v>0.436</v>
      </c>
      <c r="F19" s="50">
        <v>0.436</v>
      </c>
      <c r="H19" s="50">
        <v>0.22600000000000001</v>
      </c>
      <c r="I19" s="50">
        <v>0.22600000000000001</v>
      </c>
    </row>
    <row r="20" spans="1:9" x14ac:dyDescent="0.25">
      <c r="A20" s="7" t="s">
        <v>1330</v>
      </c>
      <c r="B20" s="49">
        <v>24588</v>
      </c>
      <c r="C20" s="49">
        <v>24588</v>
      </c>
      <c r="E20" s="49">
        <v>29025</v>
      </c>
      <c r="F20" s="49">
        <v>29025</v>
      </c>
      <c r="H20" s="49">
        <v>33950</v>
      </c>
      <c r="I20" s="49">
        <v>33950</v>
      </c>
    </row>
    <row r="21" spans="1:9" x14ac:dyDescent="0.25">
      <c r="A21" s="7" t="s">
        <v>1289</v>
      </c>
      <c r="B21" s="50">
        <v>0.379</v>
      </c>
      <c r="C21" s="50">
        <v>0.379</v>
      </c>
      <c r="E21" s="50">
        <v>0.18</v>
      </c>
      <c r="F21" s="50">
        <v>0.18</v>
      </c>
      <c r="H21" s="50">
        <v>0.17</v>
      </c>
      <c r="I21" s="50">
        <v>0.17</v>
      </c>
    </row>
    <row r="22" spans="1:9" x14ac:dyDescent="0.25">
      <c r="A22" s="7" t="s">
        <v>1385</v>
      </c>
      <c r="B22" s="49">
        <v>1208</v>
      </c>
      <c r="C22" s="49">
        <v>1208</v>
      </c>
      <c r="E22" s="49">
        <v>2190</v>
      </c>
      <c r="F22" s="49">
        <v>2190</v>
      </c>
      <c r="H22" s="49">
        <v>5440</v>
      </c>
      <c r="I22" s="49">
        <v>5440</v>
      </c>
    </row>
    <row r="23" spans="1:9" x14ac:dyDescent="0.25">
      <c r="A23" s="7" t="s">
        <v>1333</v>
      </c>
      <c r="B23" s="49">
        <v>2736</v>
      </c>
      <c r="C23" s="49">
        <v>2736</v>
      </c>
      <c r="E23" s="49">
        <v>2960</v>
      </c>
      <c r="F23" s="49">
        <v>2960</v>
      </c>
      <c r="H23" s="49">
        <v>3340</v>
      </c>
      <c r="I23" s="49">
        <v>3340</v>
      </c>
    </row>
    <row r="24" spans="1:9" x14ac:dyDescent="0.25">
      <c r="A24" s="7" t="s">
        <v>1289</v>
      </c>
      <c r="B24" s="50">
        <v>-0.23200000000000001</v>
      </c>
      <c r="C24" s="50">
        <v>-0.23200000000000001</v>
      </c>
      <c r="E24" s="50">
        <v>8.2000000000000003E-2</v>
      </c>
      <c r="F24" s="50">
        <v>8.2000000000000003E-2</v>
      </c>
      <c r="H24" s="50">
        <v>0.128</v>
      </c>
      <c r="I24" s="50">
        <v>0.128</v>
      </c>
    </row>
    <row r="25" spans="1:9" x14ac:dyDescent="0.25">
      <c r="A25" s="7" t="s">
        <v>1386</v>
      </c>
      <c r="B25" s="49">
        <v>-23380</v>
      </c>
      <c r="C25" s="49">
        <v>-23380</v>
      </c>
      <c r="E25" s="49">
        <v>-26835</v>
      </c>
      <c r="F25" s="49">
        <v>-26835</v>
      </c>
      <c r="H25" s="49">
        <v>-28510</v>
      </c>
      <c r="I25" s="49">
        <v>-28510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1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6" customWidth="1"/>
    <col min="2" max="39" width="10" customWidth="1"/>
  </cols>
  <sheetData>
    <row r="1" spans="1:17" ht="15.75" x14ac:dyDescent="0.25">
      <c r="A1" s="1" t="s">
        <v>1387</v>
      </c>
    </row>
    <row r="2" spans="1:17" x14ac:dyDescent="0.25">
      <c r="A2" s="4" t="s">
        <v>1221</v>
      </c>
    </row>
    <row r="3" spans="1:17" x14ac:dyDescent="0.25">
      <c r="A3" s="4" t="s">
        <v>280</v>
      </c>
    </row>
    <row r="5" spans="1:17" x14ac:dyDescent="0.25">
      <c r="B5" s="48" t="s">
        <v>1388</v>
      </c>
      <c r="C5" s="48" t="s">
        <v>1389</v>
      </c>
      <c r="D5" s="48" t="s">
        <v>1390</v>
      </c>
      <c r="E5" s="48" t="s">
        <v>1391</v>
      </c>
      <c r="F5" s="48" t="s">
        <v>1392</v>
      </c>
      <c r="G5" s="48" t="s">
        <v>1393</v>
      </c>
      <c r="H5" s="48" t="s">
        <v>1394</v>
      </c>
      <c r="I5" s="48" t="s">
        <v>1395</v>
      </c>
      <c r="J5" s="48" t="s">
        <v>1396</v>
      </c>
      <c r="K5" s="48" t="s">
        <v>1397</v>
      </c>
      <c r="L5" s="48" t="s">
        <v>1398</v>
      </c>
      <c r="M5" s="48" t="s">
        <v>1399</v>
      </c>
      <c r="N5" s="48" t="s">
        <v>1400</v>
      </c>
      <c r="O5" s="48" t="s">
        <v>1401</v>
      </c>
      <c r="P5" s="48" t="s">
        <v>1402</v>
      </c>
      <c r="Q5" s="48" t="s">
        <v>1403</v>
      </c>
    </row>
    <row r="6" spans="1:17" x14ac:dyDescent="0.25">
      <c r="A6" s="7" t="s">
        <v>1404</v>
      </c>
    </row>
    <row r="7" spans="1:17" x14ac:dyDescent="0.25">
      <c r="A7" s="7" t="s">
        <v>1405</v>
      </c>
      <c r="B7" s="49">
        <v>52853</v>
      </c>
      <c r="C7" s="49">
        <v>13577</v>
      </c>
      <c r="D7" s="49">
        <v>16128</v>
      </c>
      <c r="E7" s="49">
        <v>16974</v>
      </c>
      <c r="F7" s="49">
        <v>17769</v>
      </c>
      <c r="G7" s="49">
        <v>64448</v>
      </c>
      <c r="H7" s="49">
        <v>17886</v>
      </c>
      <c r="I7" s="49">
        <v>18134</v>
      </c>
      <c r="J7" s="49">
        <v>19202</v>
      </c>
      <c r="K7" s="49">
        <v>19970</v>
      </c>
      <c r="L7" s="49">
        <v>75192</v>
      </c>
      <c r="M7" s="49">
        <v>19978</v>
      </c>
      <c r="N7" s="49">
        <v>21156</v>
      </c>
      <c r="O7" s="49">
        <v>22673</v>
      </c>
      <c r="P7" s="49">
        <v>23482</v>
      </c>
      <c r="Q7" s="49">
        <v>87288</v>
      </c>
    </row>
    <row r="8" spans="1:17" x14ac:dyDescent="0.25">
      <c r="A8" s="7" t="s">
        <v>1406</v>
      </c>
      <c r="E8" s="49">
        <v>16974</v>
      </c>
      <c r="F8" s="49">
        <v>17769</v>
      </c>
      <c r="G8" s="49">
        <v>64448</v>
      </c>
      <c r="H8" s="49">
        <v>17886</v>
      </c>
      <c r="I8" s="49">
        <v>18134</v>
      </c>
      <c r="J8" s="49">
        <v>19202</v>
      </c>
      <c r="K8" s="49">
        <v>19970</v>
      </c>
      <c r="L8" s="49">
        <v>75192</v>
      </c>
      <c r="M8" s="49">
        <v>19899</v>
      </c>
      <c r="N8" s="49">
        <v>21155</v>
      </c>
      <c r="O8" s="49">
        <v>22757</v>
      </c>
      <c r="P8" s="49">
        <v>23571</v>
      </c>
      <c r="Q8" s="49">
        <v>87382</v>
      </c>
    </row>
    <row r="9" spans="1:17" x14ac:dyDescent="0.25">
      <c r="A9" s="7" t="s">
        <v>1407</v>
      </c>
      <c r="E9" s="49">
        <v>16518</v>
      </c>
      <c r="F9" s="49">
        <v>17119</v>
      </c>
      <c r="G9" s="49">
        <v>63341</v>
      </c>
      <c r="H9" s="49">
        <v>16928</v>
      </c>
      <c r="I9" s="49">
        <v>17858</v>
      </c>
      <c r="J9" s="49">
        <v>18799</v>
      </c>
      <c r="K9" s="49">
        <v>19584</v>
      </c>
      <c r="L9" s="49">
        <v>73169</v>
      </c>
      <c r="M9" s="49">
        <v>19507</v>
      </c>
      <c r="N9" s="49">
        <v>20357</v>
      </c>
      <c r="O9" s="49">
        <v>21513</v>
      </c>
      <c r="P9" s="49">
        <v>22612</v>
      </c>
      <c r="Q9" s="49">
        <v>83990</v>
      </c>
    </row>
    <row r="10" spans="1:17" x14ac:dyDescent="0.25">
      <c r="A10" s="7" t="s">
        <v>1408</v>
      </c>
      <c r="E10" s="50">
        <v>2.8000000000000001E-2</v>
      </c>
      <c r="F10" s="50">
        <v>3.7999999999999999E-2</v>
      </c>
      <c r="G10" s="50">
        <v>1.7000000000000001E-2</v>
      </c>
      <c r="H10" s="50">
        <v>5.7000000000000002E-2</v>
      </c>
      <c r="I10" s="50">
        <v>1.4999999999999999E-2</v>
      </c>
      <c r="J10" s="50">
        <v>2.1000000000000001E-2</v>
      </c>
      <c r="K10" s="50">
        <v>0.02</v>
      </c>
      <c r="L10" s="50">
        <v>2.8000000000000001E-2</v>
      </c>
      <c r="M10" s="50">
        <v>2.4E-2</v>
      </c>
      <c r="N10" s="50">
        <v>3.9E-2</v>
      </c>
      <c r="O10" s="50">
        <v>5.3999999999999999E-2</v>
      </c>
      <c r="P10" s="50">
        <v>3.7999999999999999E-2</v>
      </c>
      <c r="Q10" s="50">
        <v>3.9E-2</v>
      </c>
    </row>
    <row r="11" spans="1:17" x14ac:dyDescent="0.25">
      <c r="A11" s="7" t="s">
        <v>1296</v>
      </c>
    </row>
    <row r="12" spans="1:17" x14ac:dyDescent="0.25">
      <c r="A12" s="7" t="s">
        <v>1405</v>
      </c>
      <c r="B12" s="38">
        <v>0.42</v>
      </c>
      <c r="C12" s="38">
        <v>0.28999999999999998</v>
      </c>
      <c r="D12" s="38">
        <v>0.43</v>
      </c>
      <c r="E12" s="38">
        <v>0.39</v>
      </c>
      <c r="F12" s="38">
        <v>0.45</v>
      </c>
      <c r="G12" s="38">
        <v>1.57</v>
      </c>
      <c r="H12" s="38">
        <v>0.46</v>
      </c>
      <c r="I12" s="38">
        <v>0.5</v>
      </c>
      <c r="J12" s="38">
        <v>0.59</v>
      </c>
      <c r="K12" s="38">
        <v>0.64</v>
      </c>
      <c r="L12" s="38">
        <v>2.2000000000000002</v>
      </c>
      <c r="M12" s="38">
        <v>0.64</v>
      </c>
      <c r="N12" s="38">
        <v>0.69</v>
      </c>
      <c r="O12" s="38">
        <v>0.78</v>
      </c>
      <c r="P12" s="38">
        <v>0.83</v>
      </c>
      <c r="Q12" s="38">
        <v>2.94</v>
      </c>
    </row>
    <row r="13" spans="1:17" x14ac:dyDescent="0.25">
      <c r="A13" s="7" t="s">
        <v>1406</v>
      </c>
      <c r="E13" s="38">
        <v>0.39</v>
      </c>
      <c r="F13" s="38">
        <v>0.45</v>
      </c>
      <c r="G13" s="38">
        <v>1.57</v>
      </c>
      <c r="H13" s="38">
        <v>0.46</v>
      </c>
      <c r="I13" s="38">
        <v>0.5</v>
      </c>
      <c r="J13" s="38">
        <v>0.59</v>
      </c>
      <c r="K13" s="38">
        <v>0.64</v>
      </c>
      <c r="L13" s="38">
        <v>2.2000000000000002</v>
      </c>
      <c r="M13" s="38">
        <v>0.63</v>
      </c>
      <c r="N13" s="38">
        <v>0.69</v>
      </c>
      <c r="O13" s="38">
        <v>0.79</v>
      </c>
      <c r="P13" s="38">
        <v>0.83</v>
      </c>
      <c r="Q13" s="38">
        <v>2.94</v>
      </c>
    </row>
    <row r="14" spans="1:17" x14ac:dyDescent="0.25">
      <c r="A14" s="7" t="s">
        <v>1407</v>
      </c>
      <c r="E14" s="38">
        <v>0.4</v>
      </c>
      <c r="F14" s="38">
        <v>0.44</v>
      </c>
      <c r="G14" s="38">
        <v>1.56</v>
      </c>
      <c r="H14" s="38">
        <v>0.41</v>
      </c>
      <c r="I14" s="38">
        <v>0.49</v>
      </c>
      <c r="J14" s="38">
        <v>0.57999999999999996</v>
      </c>
      <c r="K14" s="38">
        <v>0.65</v>
      </c>
      <c r="L14" s="38">
        <v>2.13</v>
      </c>
      <c r="M14" s="38">
        <v>0.67</v>
      </c>
      <c r="N14" s="38">
        <v>0.75</v>
      </c>
      <c r="O14" s="38">
        <v>0.85</v>
      </c>
      <c r="P14" s="38">
        <v>0.94</v>
      </c>
      <c r="Q14" s="38">
        <v>3.22</v>
      </c>
    </row>
    <row r="15" spans="1:17" x14ac:dyDescent="0.25">
      <c r="A15" s="7" t="s">
        <v>1408</v>
      </c>
      <c r="E15" s="50">
        <v>-3.5000000000000003E-2</v>
      </c>
      <c r="F15" s="50">
        <v>2.4E-2</v>
      </c>
      <c r="G15" s="50">
        <v>8.0000000000000002E-3</v>
      </c>
      <c r="H15" s="50">
        <v>0.13700000000000001</v>
      </c>
      <c r="I15" s="50">
        <v>1.7999999999999999E-2</v>
      </c>
      <c r="J15" s="50">
        <v>8.0000000000000002E-3</v>
      </c>
      <c r="K15" s="50">
        <v>-1.6E-2</v>
      </c>
      <c r="L15" s="50">
        <v>2.8000000000000001E-2</v>
      </c>
      <c r="M15" s="50">
        <v>-5.3999999999999999E-2</v>
      </c>
      <c r="N15" s="50">
        <v>-7.4999999999999997E-2</v>
      </c>
      <c r="O15" s="50">
        <v>-8.3000000000000004E-2</v>
      </c>
      <c r="P15" s="50">
        <v>-0.123</v>
      </c>
      <c r="Q15" s="50">
        <v>-8.6999999999999994E-2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2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6" customWidth="1"/>
    <col min="2" max="39" width="10" customWidth="1"/>
  </cols>
  <sheetData>
    <row r="1" spans="1:4" ht="15.75" x14ac:dyDescent="0.25">
      <c r="A1" s="1" t="s">
        <v>1409</v>
      </c>
    </row>
    <row r="2" spans="1:4" x14ac:dyDescent="0.25">
      <c r="A2" s="4" t="s">
        <v>1221</v>
      </c>
    </row>
    <row r="3" spans="1:4" x14ac:dyDescent="0.25">
      <c r="A3" s="4" t="s">
        <v>280</v>
      </c>
    </row>
    <row r="5" spans="1:4" x14ac:dyDescent="0.25">
      <c r="B5" s="48" t="s">
        <v>1410</v>
      </c>
      <c r="C5" s="48" t="s">
        <v>1411</v>
      </c>
      <c r="D5" s="48" t="s">
        <v>1412</v>
      </c>
    </row>
    <row r="6" spans="1:4" x14ac:dyDescent="0.25">
      <c r="A6" s="7" t="s">
        <v>1304</v>
      </c>
    </row>
    <row r="7" spans="1:4" x14ac:dyDescent="0.25">
      <c r="A7" s="7" t="s">
        <v>1235</v>
      </c>
      <c r="B7" s="49">
        <v>70042</v>
      </c>
    </row>
    <row r="8" spans="1:4" x14ac:dyDescent="0.25">
      <c r="A8" s="7" t="s">
        <v>1413</v>
      </c>
      <c r="B8" s="50">
        <v>0.25</v>
      </c>
    </row>
    <row r="9" spans="1:4" x14ac:dyDescent="0.25">
      <c r="A9" s="7" t="s">
        <v>1414</v>
      </c>
      <c r="B9" s="49">
        <v>17511</v>
      </c>
    </row>
    <row r="10" spans="1:4" x14ac:dyDescent="0.25">
      <c r="A10" s="7" t="s">
        <v>1415</v>
      </c>
      <c r="B10" s="49">
        <v>27</v>
      </c>
    </row>
    <row r="11" spans="1:4" x14ac:dyDescent="0.25">
      <c r="A11" s="7" t="s">
        <v>1416</v>
      </c>
      <c r="B11" s="49">
        <v>465783</v>
      </c>
      <c r="C11" s="49">
        <v>86</v>
      </c>
    </row>
    <row r="12" spans="1:4" x14ac:dyDescent="0.25">
      <c r="A12" s="7" t="s">
        <v>1330</v>
      </c>
    </row>
    <row r="13" spans="1:4" x14ac:dyDescent="0.25">
      <c r="A13" s="7" t="s">
        <v>1417</v>
      </c>
      <c r="B13" s="49">
        <v>364</v>
      </c>
    </row>
    <row r="14" spans="1:4" x14ac:dyDescent="0.25">
      <c r="A14" s="7" t="s">
        <v>1418</v>
      </c>
      <c r="B14" s="49">
        <v>160</v>
      </c>
    </row>
    <row r="15" spans="1:4" x14ac:dyDescent="0.25">
      <c r="A15" s="7" t="s">
        <v>1419</v>
      </c>
      <c r="B15" s="49">
        <v>58393</v>
      </c>
      <c r="C15" s="49">
        <v>11</v>
      </c>
    </row>
    <row r="16" spans="1:4" x14ac:dyDescent="0.25">
      <c r="A16" s="7" t="s">
        <v>1420</v>
      </c>
      <c r="B16" s="49">
        <v>-14200</v>
      </c>
      <c r="C16" s="49">
        <v>-3</v>
      </c>
      <c r="D16" s="7" t="s">
        <v>1421</v>
      </c>
    </row>
    <row r="17" spans="1:4" x14ac:dyDescent="0.25">
      <c r="A17" s="7" t="s">
        <v>1422</v>
      </c>
      <c r="B17" s="49">
        <v>44193</v>
      </c>
      <c r="C17" s="49">
        <v>8</v>
      </c>
    </row>
    <row r="18" spans="1:4" x14ac:dyDescent="0.25">
      <c r="A18" s="7" t="s">
        <v>1423</v>
      </c>
    </row>
    <row r="19" spans="1:4" x14ac:dyDescent="0.25">
      <c r="A19" s="7" t="s">
        <v>1424</v>
      </c>
      <c r="B19" s="49">
        <v>14310</v>
      </c>
      <c r="D19" s="7" t="s">
        <v>1425</v>
      </c>
    </row>
    <row r="20" spans="1:4" x14ac:dyDescent="0.25">
      <c r="A20" s="7" t="s">
        <v>1426</v>
      </c>
      <c r="B20" s="50">
        <v>0.61</v>
      </c>
    </row>
    <row r="21" spans="1:4" x14ac:dyDescent="0.25">
      <c r="A21" s="7" t="s">
        <v>1427</v>
      </c>
      <c r="B21" s="49">
        <v>8736</v>
      </c>
      <c r="C21" s="49">
        <v>2</v>
      </c>
    </row>
    <row r="22" spans="1:4" x14ac:dyDescent="0.25">
      <c r="A22" s="7" t="s">
        <v>1428</v>
      </c>
    </row>
    <row r="23" spans="1:4" x14ac:dyDescent="0.25">
      <c r="A23" s="7" t="s">
        <v>1429</v>
      </c>
      <c r="B23" s="49">
        <v>518712</v>
      </c>
      <c r="C23" s="49">
        <v>95</v>
      </c>
    </row>
    <row r="24" spans="1:4" x14ac:dyDescent="0.25">
      <c r="A24" s="7" t="s">
        <v>1430</v>
      </c>
      <c r="B24" s="49">
        <v>27184</v>
      </c>
      <c r="C24" s="49">
        <v>5</v>
      </c>
    </row>
    <row r="25" spans="1:4" x14ac:dyDescent="0.25">
      <c r="A25" s="7" t="s">
        <v>1431</v>
      </c>
      <c r="B25" s="49">
        <v>545896</v>
      </c>
      <c r="C25" s="49">
        <v>100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2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6" customWidth="1"/>
    <col min="2" max="39" width="10" customWidth="1"/>
  </cols>
  <sheetData>
    <row r="1" spans="1:4" ht="15.75" x14ac:dyDescent="0.25">
      <c r="A1" s="1" t="s">
        <v>1432</v>
      </c>
    </row>
    <row r="2" spans="1:4" x14ac:dyDescent="0.25">
      <c r="A2" s="4" t="s">
        <v>1221</v>
      </c>
    </row>
    <row r="3" spans="1:4" x14ac:dyDescent="0.25">
      <c r="A3" s="4" t="s">
        <v>280</v>
      </c>
    </row>
    <row r="5" spans="1:4" x14ac:dyDescent="0.25">
      <c r="B5" s="48" t="s">
        <v>1410</v>
      </c>
      <c r="C5" s="48" t="s">
        <v>1411</v>
      </c>
      <c r="D5" s="48" t="s">
        <v>1412</v>
      </c>
    </row>
    <row r="6" spans="1:4" x14ac:dyDescent="0.25">
      <c r="A6" s="7" t="s">
        <v>1304</v>
      </c>
    </row>
    <row r="7" spans="1:4" x14ac:dyDescent="0.25">
      <c r="A7" s="7" t="s">
        <v>1235</v>
      </c>
      <c r="B7" s="49">
        <v>70042</v>
      </c>
    </row>
    <row r="8" spans="1:4" x14ac:dyDescent="0.25">
      <c r="A8" s="7" t="s">
        <v>1413</v>
      </c>
      <c r="B8" s="50">
        <v>0.25</v>
      </c>
    </row>
    <row r="9" spans="1:4" x14ac:dyDescent="0.25">
      <c r="A9" s="7" t="s">
        <v>1414</v>
      </c>
      <c r="B9" s="49">
        <v>17511</v>
      </c>
    </row>
    <row r="10" spans="1:4" x14ac:dyDescent="0.25">
      <c r="A10" s="7" t="s">
        <v>1415</v>
      </c>
      <c r="B10" s="49">
        <v>27</v>
      </c>
    </row>
    <row r="11" spans="1:4" x14ac:dyDescent="0.25">
      <c r="A11" s="7" t="s">
        <v>1416</v>
      </c>
      <c r="B11" s="49">
        <v>476289</v>
      </c>
      <c r="C11" s="49">
        <v>88</v>
      </c>
    </row>
    <row r="12" spans="1:4" x14ac:dyDescent="0.25">
      <c r="A12" s="7" t="s">
        <v>1330</v>
      </c>
    </row>
    <row r="13" spans="1:4" x14ac:dyDescent="0.25">
      <c r="A13" s="7" t="s">
        <v>1417</v>
      </c>
      <c r="B13" s="49">
        <v>364</v>
      </c>
    </row>
    <row r="14" spans="1:4" x14ac:dyDescent="0.25">
      <c r="A14" s="7" t="s">
        <v>1418</v>
      </c>
      <c r="B14" s="49">
        <v>166</v>
      </c>
    </row>
    <row r="15" spans="1:4" x14ac:dyDescent="0.25">
      <c r="A15" s="7" t="s">
        <v>1419</v>
      </c>
      <c r="B15" s="49">
        <v>60445</v>
      </c>
      <c r="C15" s="49">
        <v>11</v>
      </c>
    </row>
    <row r="16" spans="1:4" x14ac:dyDescent="0.25">
      <c r="A16" s="7" t="s">
        <v>1420</v>
      </c>
      <c r="B16" s="49">
        <v>-14200</v>
      </c>
      <c r="C16" s="49">
        <v>-3</v>
      </c>
      <c r="D16" s="7" t="s">
        <v>1421</v>
      </c>
    </row>
    <row r="17" spans="1:4" x14ac:dyDescent="0.25">
      <c r="A17" s="7" t="s">
        <v>1422</v>
      </c>
      <c r="B17" s="49">
        <v>46245</v>
      </c>
      <c r="C17" s="49">
        <v>9</v>
      </c>
    </row>
    <row r="18" spans="1:4" x14ac:dyDescent="0.25">
      <c r="A18" s="7" t="s">
        <v>1423</v>
      </c>
    </row>
    <row r="19" spans="1:4" x14ac:dyDescent="0.25">
      <c r="A19" s="7" t="s">
        <v>1424</v>
      </c>
      <c r="B19" s="49">
        <v>14888</v>
      </c>
      <c r="D19" s="7" t="s">
        <v>1425</v>
      </c>
    </row>
    <row r="20" spans="1:4" x14ac:dyDescent="0.25">
      <c r="A20" s="7" t="s">
        <v>1426</v>
      </c>
      <c r="B20" s="50">
        <v>0.62</v>
      </c>
    </row>
    <row r="21" spans="1:4" x14ac:dyDescent="0.25">
      <c r="A21" s="7" t="s">
        <v>1427</v>
      </c>
      <c r="B21" s="49">
        <v>9198</v>
      </c>
      <c r="C21" s="49">
        <v>2</v>
      </c>
    </row>
    <row r="22" spans="1:4" x14ac:dyDescent="0.25">
      <c r="A22" s="7" t="s">
        <v>1428</v>
      </c>
    </row>
    <row r="23" spans="1:4" x14ac:dyDescent="0.25">
      <c r="A23" s="7" t="s">
        <v>1429</v>
      </c>
      <c r="B23" s="49">
        <v>531732</v>
      </c>
      <c r="C23" s="49">
        <v>98</v>
      </c>
    </row>
    <row r="24" spans="1:4" x14ac:dyDescent="0.25">
      <c r="A24" s="7" t="s">
        <v>1430</v>
      </c>
      <c r="B24" s="49">
        <v>27184</v>
      </c>
      <c r="C24" s="49">
        <v>5</v>
      </c>
    </row>
    <row r="25" spans="1:4" x14ac:dyDescent="0.25">
      <c r="A25" s="7" t="s">
        <v>1431</v>
      </c>
      <c r="B25" s="49">
        <v>558916</v>
      </c>
      <c r="C25" s="49">
        <v>103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1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6" customWidth="1"/>
    <col min="2" max="39" width="10" customWidth="1"/>
  </cols>
  <sheetData>
    <row r="1" spans="1:5" ht="15.75" x14ac:dyDescent="0.25">
      <c r="A1" s="1" t="s">
        <v>1433</v>
      </c>
    </row>
    <row r="2" spans="1:5" x14ac:dyDescent="0.25">
      <c r="A2" s="4" t="s">
        <v>1221</v>
      </c>
    </row>
    <row r="3" spans="1:5" x14ac:dyDescent="0.25">
      <c r="A3" s="4" t="s">
        <v>280</v>
      </c>
    </row>
    <row r="5" spans="1:5" x14ac:dyDescent="0.25">
      <c r="A5" s="48" t="s">
        <v>1434</v>
      </c>
      <c r="B5" s="48" t="s">
        <v>1435</v>
      </c>
      <c r="C5" s="48" t="s">
        <v>1436</v>
      </c>
      <c r="D5" s="48" t="s">
        <v>1437</v>
      </c>
      <c r="E5" s="48" t="s">
        <v>1438</v>
      </c>
    </row>
    <row r="6" spans="1:5" x14ac:dyDescent="0.25">
      <c r="A6" s="7" t="s">
        <v>1439</v>
      </c>
      <c r="B6" s="7" t="s">
        <v>1440</v>
      </c>
      <c r="C6" s="49">
        <v>1642</v>
      </c>
      <c r="D6" s="49">
        <v>1802505</v>
      </c>
      <c r="E6" s="49">
        <v>604</v>
      </c>
    </row>
    <row r="7" spans="1:5" x14ac:dyDescent="0.25">
      <c r="A7" s="7" t="s">
        <v>1441</v>
      </c>
      <c r="B7" s="7" t="s">
        <v>1442</v>
      </c>
      <c r="C7" s="49">
        <v>1685</v>
      </c>
      <c r="D7" s="49">
        <v>969422</v>
      </c>
      <c r="E7" s="49">
        <v>178</v>
      </c>
    </row>
    <row r="8" spans="1:5" x14ac:dyDescent="0.25">
      <c r="A8" s="7" t="s">
        <v>1443</v>
      </c>
      <c r="B8" s="7" t="s">
        <v>1444</v>
      </c>
      <c r="C8" s="49">
        <v>440</v>
      </c>
      <c r="D8" s="49">
        <v>45618</v>
      </c>
      <c r="E8" s="49">
        <v>104</v>
      </c>
    </row>
    <row r="9" spans="1:5" x14ac:dyDescent="0.25">
      <c r="A9" s="7" t="s">
        <v>1445</v>
      </c>
      <c r="B9" s="7" t="s">
        <v>1446</v>
      </c>
      <c r="C9" s="49">
        <v>507</v>
      </c>
      <c r="D9" s="49">
        <v>65426</v>
      </c>
      <c r="E9" s="49">
        <v>129</v>
      </c>
    </row>
    <row r="10" spans="1:5" x14ac:dyDescent="0.25">
      <c r="A10" s="7" t="s">
        <v>1447</v>
      </c>
      <c r="B10" s="7" t="s">
        <v>1448</v>
      </c>
      <c r="C10" s="49">
        <v>292</v>
      </c>
      <c r="D10" s="49">
        <v>23736</v>
      </c>
      <c r="E10" s="49">
        <v>81</v>
      </c>
    </row>
    <row r="11" spans="1:5" x14ac:dyDescent="0.25">
      <c r="A11" s="7" t="s">
        <v>1449</v>
      </c>
      <c r="B11" s="7" t="s">
        <v>1450</v>
      </c>
      <c r="C11" s="49">
        <v>247</v>
      </c>
      <c r="D11" s="49">
        <v>18747</v>
      </c>
      <c r="E11" s="49">
        <v>76</v>
      </c>
    </row>
    <row r="12" spans="1:5" x14ac:dyDescent="0.25">
      <c r="A12" s="7" t="s">
        <v>1451</v>
      </c>
      <c r="B12" s="7" t="s">
        <v>1452</v>
      </c>
      <c r="C12" s="49">
        <v>146</v>
      </c>
      <c r="D12" s="49">
        <v>8752</v>
      </c>
      <c r="E12" s="49">
        <v>60</v>
      </c>
    </row>
    <row r="13" spans="1:5" x14ac:dyDescent="0.25">
      <c r="A13" s="7" t="s">
        <v>1453</v>
      </c>
      <c r="B13" s="7" t="s">
        <v>1454</v>
      </c>
      <c r="C13" s="49">
        <v>163</v>
      </c>
      <c r="D13" s="49">
        <v>8379</v>
      </c>
      <c r="E13" s="49">
        <v>51</v>
      </c>
    </row>
    <row r="14" spans="1:5" x14ac:dyDescent="0.25">
      <c r="B14" s="7" t="s">
        <v>1455</v>
      </c>
      <c r="C14" s="49">
        <v>640</v>
      </c>
      <c r="D14" s="49">
        <v>367823</v>
      </c>
      <c r="E14" s="49">
        <v>160</v>
      </c>
    </row>
    <row r="15" spans="1:5" x14ac:dyDescent="0.25">
      <c r="B15" s="7" t="s">
        <v>1456</v>
      </c>
      <c r="C15" s="49">
        <v>366</v>
      </c>
      <c r="D15" s="49">
        <v>34677</v>
      </c>
      <c r="E15" s="49">
        <v>92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03"/>
  <sheetViews>
    <sheetView workbookViewId="0"/>
  </sheetViews>
  <sheetFormatPr defaultRowHeight="15" x14ac:dyDescent="0.25"/>
  <cols>
    <col min="1" max="1" width="12" customWidth="1"/>
    <col min="2" max="11" width="16" customWidth="1"/>
  </cols>
  <sheetData>
    <row r="1" spans="1:9" ht="15.75" x14ac:dyDescent="0.25">
      <c r="A1" s="1" t="s">
        <v>1457</v>
      </c>
    </row>
    <row r="2" spans="1:9" x14ac:dyDescent="0.25">
      <c r="A2" s="4" t="s">
        <v>1458</v>
      </c>
    </row>
    <row r="3" spans="1:9" x14ac:dyDescent="0.25">
      <c r="A3" s="4" t="s">
        <v>280</v>
      </c>
    </row>
    <row r="5" spans="1:9" x14ac:dyDescent="0.25">
      <c r="A5" s="6" t="s">
        <v>1459</v>
      </c>
    </row>
    <row r="6" spans="1:9" x14ac:dyDescent="0.25">
      <c r="A6" s="48" t="s">
        <v>1106</v>
      </c>
      <c r="B6" s="48" t="s">
        <v>1460</v>
      </c>
      <c r="C6" s="48" t="s">
        <v>1461</v>
      </c>
      <c r="D6" s="48" t="s">
        <v>1462</v>
      </c>
      <c r="E6" s="48" t="s">
        <v>1463</v>
      </c>
      <c r="F6" s="48" t="s">
        <v>1464</v>
      </c>
      <c r="G6" s="48" t="s">
        <v>1465</v>
      </c>
      <c r="H6" s="48" t="s">
        <v>1466</v>
      </c>
      <c r="I6" s="48" t="s">
        <v>1467</v>
      </c>
    </row>
    <row r="7" spans="1:9" x14ac:dyDescent="0.25">
      <c r="A7" s="7" t="s">
        <v>1119</v>
      </c>
      <c r="B7" s="7" t="s">
        <v>1468</v>
      </c>
      <c r="C7" s="7" t="s">
        <v>1468</v>
      </c>
      <c r="D7" s="7" t="s">
        <v>1468</v>
      </c>
      <c r="E7" s="7" t="s">
        <v>1468</v>
      </c>
      <c r="F7" s="7" t="s">
        <v>1469</v>
      </c>
      <c r="G7" s="7" t="s">
        <v>1470</v>
      </c>
      <c r="H7" s="7" t="s">
        <v>1470</v>
      </c>
      <c r="I7" s="7" t="s">
        <v>1471</v>
      </c>
    </row>
    <row r="8" spans="1:9" x14ac:dyDescent="0.25">
      <c r="A8" s="7" t="s">
        <v>1120</v>
      </c>
      <c r="B8" s="7" t="s">
        <v>1468</v>
      </c>
      <c r="C8" s="7" t="s">
        <v>1468</v>
      </c>
      <c r="D8" s="7" t="s">
        <v>1468</v>
      </c>
      <c r="E8" s="7" t="s">
        <v>1468</v>
      </c>
      <c r="F8" s="7" t="s">
        <v>1470</v>
      </c>
      <c r="G8" s="7" t="s">
        <v>1470</v>
      </c>
      <c r="H8" s="7" t="s">
        <v>1470</v>
      </c>
      <c r="I8" s="7" t="s">
        <v>1471</v>
      </c>
    </row>
    <row r="9" spans="1:9" x14ac:dyDescent="0.25">
      <c r="A9" s="7" t="s">
        <v>1121</v>
      </c>
      <c r="B9" s="7" t="s">
        <v>1468</v>
      </c>
      <c r="C9" s="7" t="s">
        <v>1468</v>
      </c>
      <c r="D9" s="7" t="s">
        <v>1468</v>
      </c>
      <c r="E9" s="7" t="s">
        <v>1468</v>
      </c>
      <c r="F9" s="7" t="s">
        <v>1470</v>
      </c>
      <c r="G9" s="7" t="s">
        <v>1470</v>
      </c>
      <c r="H9" s="7" t="s">
        <v>1470</v>
      </c>
      <c r="I9" s="7" t="s">
        <v>1471</v>
      </c>
    </row>
    <row r="10" spans="1:9" x14ac:dyDescent="0.25">
      <c r="A10" s="7" t="s">
        <v>1122</v>
      </c>
      <c r="B10" s="7" t="s">
        <v>1468</v>
      </c>
      <c r="C10" s="7" t="s">
        <v>1468</v>
      </c>
      <c r="D10" s="7" t="s">
        <v>1468</v>
      </c>
      <c r="E10" s="7" t="s">
        <v>1468</v>
      </c>
      <c r="F10" s="7" t="s">
        <v>1470</v>
      </c>
      <c r="G10" s="7" t="s">
        <v>1470</v>
      </c>
      <c r="H10" s="7" t="s">
        <v>1470</v>
      </c>
      <c r="I10" s="7" t="s">
        <v>1471</v>
      </c>
    </row>
    <row r="11" spans="1:9" x14ac:dyDescent="0.25">
      <c r="A11" s="7" t="s">
        <v>1123</v>
      </c>
      <c r="B11" s="7" t="s">
        <v>1468</v>
      </c>
      <c r="C11" s="7" t="s">
        <v>1468</v>
      </c>
      <c r="D11" s="7" t="s">
        <v>1468</v>
      </c>
      <c r="E11" s="7" t="s">
        <v>1469</v>
      </c>
      <c r="F11" s="7" t="s">
        <v>1470</v>
      </c>
      <c r="G11" s="7" t="s">
        <v>1470</v>
      </c>
      <c r="H11" s="7" t="s">
        <v>1470</v>
      </c>
      <c r="I11" s="7" t="s">
        <v>1471</v>
      </c>
    </row>
    <row r="12" spans="1:9" x14ac:dyDescent="0.25">
      <c r="A12" s="7" t="s">
        <v>1124</v>
      </c>
      <c r="B12" s="7" t="s">
        <v>1468</v>
      </c>
      <c r="C12" s="7" t="s">
        <v>1468</v>
      </c>
      <c r="D12" s="7" t="s">
        <v>1468</v>
      </c>
      <c r="E12" s="7" t="s">
        <v>1469</v>
      </c>
      <c r="F12" s="7" t="s">
        <v>1470</v>
      </c>
      <c r="G12" s="7" t="s">
        <v>1470</v>
      </c>
      <c r="H12" s="7" t="s">
        <v>1470</v>
      </c>
      <c r="I12" s="7" t="s">
        <v>1471</v>
      </c>
    </row>
    <row r="13" spans="1:9" x14ac:dyDescent="0.25">
      <c r="A13" s="7" t="s">
        <v>1125</v>
      </c>
      <c r="B13" s="7" t="s">
        <v>1468</v>
      </c>
      <c r="C13" s="7" t="s">
        <v>1468</v>
      </c>
      <c r="D13" s="7" t="s">
        <v>1468</v>
      </c>
      <c r="E13" s="7" t="s">
        <v>1469</v>
      </c>
      <c r="F13" s="7" t="s">
        <v>1470</v>
      </c>
      <c r="G13" s="7" t="s">
        <v>1470</v>
      </c>
      <c r="H13" s="7" t="s">
        <v>1470</v>
      </c>
      <c r="I13" s="7" t="s">
        <v>1471</v>
      </c>
    </row>
    <row r="14" spans="1:9" x14ac:dyDescent="0.25">
      <c r="A14" s="7" t="s">
        <v>1126</v>
      </c>
      <c r="B14" s="7" t="s">
        <v>1468</v>
      </c>
      <c r="C14" s="7" t="s">
        <v>1468</v>
      </c>
      <c r="D14" s="7" t="s">
        <v>1468</v>
      </c>
      <c r="E14" s="7" t="s">
        <v>1469</v>
      </c>
      <c r="F14" s="7" t="s">
        <v>1470</v>
      </c>
      <c r="G14" s="7" t="s">
        <v>1470</v>
      </c>
      <c r="H14" s="7" t="s">
        <v>1470</v>
      </c>
      <c r="I14" s="7" t="s">
        <v>1471</v>
      </c>
    </row>
    <row r="15" spans="1:9" x14ac:dyDescent="0.25">
      <c r="A15" s="7" t="s">
        <v>1127</v>
      </c>
      <c r="B15" s="7" t="s">
        <v>1468</v>
      </c>
      <c r="C15" s="7" t="s">
        <v>1468</v>
      </c>
      <c r="D15" s="7" t="s">
        <v>1468</v>
      </c>
      <c r="E15" s="7" t="s">
        <v>1469</v>
      </c>
      <c r="F15" s="7" t="s">
        <v>1470</v>
      </c>
      <c r="G15" s="7" t="s">
        <v>1470</v>
      </c>
      <c r="H15" s="7" t="s">
        <v>1470</v>
      </c>
      <c r="I15" s="7" t="s">
        <v>1471</v>
      </c>
    </row>
    <row r="16" spans="1:9" x14ac:dyDescent="0.25">
      <c r="A16" s="7" t="s">
        <v>1128</v>
      </c>
      <c r="B16" s="7" t="s">
        <v>1468</v>
      </c>
      <c r="C16" s="7" t="s">
        <v>1468</v>
      </c>
      <c r="D16" s="7" t="s">
        <v>1468</v>
      </c>
      <c r="E16" s="7" t="s">
        <v>1470</v>
      </c>
      <c r="F16" s="7" t="s">
        <v>1470</v>
      </c>
      <c r="G16" s="7" t="s">
        <v>1470</v>
      </c>
      <c r="H16" s="7" t="s">
        <v>1470</v>
      </c>
      <c r="I16" s="7" t="s">
        <v>1471</v>
      </c>
    </row>
    <row r="17" spans="1:9" x14ac:dyDescent="0.25">
      <c r="A17" s="7" t="s">
        <v>1129</v>
      </c>
      <c r="B17" s="7" t="s">
        <v>1468</v>
      </c>
      <c r="C17" s="7" t="s">
        <v>1468</v>
      </c>
      <c r="D17" s="7" t="s">
        <v>1469</v>
      </c>
      <c r="E17" s="7" t="s">
        <v>1470</v>
      </c>
      <c r="F17" s="7" t="s">
        <v>1470</v>
      </c>
      <c r="G17" s="7" t="s">
        <v>1470</v>
      </c>
      <c r="H17" s="7" t="s">
        <v>1468</v>
      </c>
      <c r="I17" s="7" t="s">
        <v>1471</v>
      </c>
    </row>
    <row r="18" spans="1:9" x14ac:dyDescent="0.25">
      <c r="A18" s="7" t="s">
        <v>1130</v>
      </c>
      <c r="B18" s="7" t="s">
        <v>1468</v>
      </c>
      <c r="C18" s="7" t="s">
        <v>1468</v>
      </c>
      <c r="D18" s="7" t="s">
        <v>1469</v>
      </c>
      <c r="E18" s="7" t="s">
        <v>1470</v>
      </c>
      <c r="F18" s="7" t="s">
        <v>1470</v>
      </c>
      <c r="G18" s="7" t="s">
        <v>1470</v>
      </c>
      <c r="H18" s="7" t="s">
        <v>1468</v>
      </c>
      <c r="I18" s="7" t="s">
        <v>1471</v>
      </c>
    </row>
    <row r="19" spans="1:9" x14ac:dyDescent="0.25">
      <c r="A19" s="7" t="s">
        <v>1131</v>
      </c>
      <c r="B19" s="7" t="s">
        <v>1468</v>
      </c>
      <c r="C19" s="7" t="s">
        <v>1469</v>
      </c>
      <c r="D19" s="7" t="s">
        <v>1470</v>
      </c>
      <c r="E19" s="7" t="s">
        <v>1470</v>
      </c>
      <c r="F19" s="7" t="s">
        <v>1470</v>
      </c>
      <c r="G19" s="7" t="s">
        <v>1470</v>
      </c>
      <c r="H19" s="7" t="s">
        <v>1468</v>
      </c>
      <c r="I19" s="7" t="s">
        <v>1471</v>
      </c>
    </row>
    <row r="20" spans="1:9" x14ac:dyDescent="0.25">
      <c r="A20" s="7" t="s">
        <v>1132</v>
      </c>
      <c r="B20" s="7" t="s">
        <v>1468</v>
      </c>
      <c r="C20" s="7" t="s">
        <v>1469</v>
      </c>
      <c r="D20" s="7" t="s">
        <v>1470</v>
      </c>
      <c r="E20" s="7" t="s">
        <v>1470</v>
      </c>
      <c r="F20" s="7" t="s">
        <v>1470</v>
      </c>
      <c r="G20" s="7" t="s">
        <v>1470</v>
      </c>
      <c r="H20" s="7" t="s">
        <v>1468</v>
      </c>
      <c r="I20" s="7" t="s">
        <v>1471</v>
      </c>
    </row>
    <row r="21" spans="1:9" x14ac:dyDescent="0.25">
      <c r="A21" s="7" t="s">
        <v>1133</v>
      </c>
      <c r="B21" s="7" t="s">
        <v>1469</v>
      </c>
      <c r="C21" s="7" t="s">
        <v>1470</v>
      </c>
      <c r="D21" s="7" t="s">
        <v>1470</v>
      </c>
      <c r="E21" s="7" t="s">
        <v>1470</v>
      </c>
      <c r="F21" s="7" t="s">
        <v>1470</v>
      </c>
      <c r="G21" s="7" t="s">
        <v>1470</v>
      </c>
      <c r="H21" s="7" t="s">
        <v>1468</v>
      </c>
      <c r="I21" s="7" t="s">
        <v>1471</v>
      </c>
    </row>
    <row r="22" spans="1:9" x14ac:dyDescent="0.25">
      <c r="A22" s="7" t="s">
        <v>1134</v>
      </c>
      <c r="B22" s="7" t="s">
        <v>1469</v>
      </c>
      <c r="C22" s="7" t="s">
        <v>1470</v>
      </c>
      <c r="D22" s="7" t="s">
        <v>1470</v>
      </c>
      <c r="E22" s="7" t="s">
        <v>1470</v>
      </c>
      <c r="F22" s="7" t="s">
        <v>1470</v>
      </c>
      <c r="G22" s="7" t="s">
        <v>1468</v>
      </c>
      <c r="H22" s="7" t="s">
        <v>1468</v>
      </c>
      <c r="I22" s="7" t="s">
        <v>1471</v>
      </c>
    </row>
    <row r="23" spans="1:9" x14ac:dyDescent="0.25">
      <c r="A23" s="7" t="s">
        <v>1135</v>
      </c>
      <c r="B23" s="7" t="s">
        <v>1469</v>
      </c>
      <c r="C23" s="7" t="s">
        <v>1470</v>
      </c>
      <c r="D23" s="7" t="s">
        <v>1470</v>
      </c>
      <c r="E23" s="7" t="s">
        <v>1470</v>
      </c>
      <c r="F23" s="7" t="s">
        <v>1470</v>
      </c>
      <c r="G23" s="7" t="s">
        <v>1468</v>
      </c>
      <c r="H23" s="7" t="s">
        <v>1468</v>
      </c>
      <c r="I23" s="7" t="s">
        <v>1471</v>
      </c>
    </row>
    <row r="24" spans="1:9" x14ac:dyDescent="0.25">
      <c r="A24" s="7" t="s">
        <v>1136</v>
      </c>
      <c r="B24" s="7" t="s">
        <v>1470</v>
      </c>
      <c r="C24" s="7" t="s">
        <v>1470</v>
      </c>
      <c r="D24" s="7" t="s">
        <v>1470</v>
      </c>
      <c r="E24" s="7" t="s">
        <v>1470</v>
      </c>
      <c r="F24" s="7" t="s">
        <v>1470</v>
      </c>
      <c r="G24" s="7" t="s">
        <v>1468</v>
      </c>
      <c r="H24" s="7" t="s">
        <v>1468</v>
      </c>
      <c r="I24" s="7" t="s">
        <v>1471</v>
      </c>
    </row>
    <row r="25" spans="1:9" x14ac:dyDescent="0.25">
      <c r="A25" s="7" t="s">
        <v>1137</v>
      </c>
      <c r="B25" s="7" t="s">
        <v>1470</v>
      </c>
      <c r="C25" s="7" t="s">
        <v>1470</v>
      </c>
      <c r="D25" s="7" t="s">
        <v>1470</v>
      </c>
      <c r="E25" s="7" t="s">
        <v>1470</v>
      </c>
      <c r="F25" s="7" t="s">
        <v>1470</v>
      </c>
      <c r="G25" s="7" t="s">
        <v>1468</v>
      </c>
      <c r="H25" s="7" t="s">
        <v>1468</v>
      </c>
      <c r="I25" s="7" t="s">
        <v>1471</v>
      </c>
    </row>
    <row r="26" spans="1:9" x14ac:dyDescent="0.25">
      <c r="A26" s="7" t="s">
        <v>1138</v>
      </c>
      <c r="B26" s="7" t="s">
        <v>1470</v>
      </c>
      <c r="C26" s="7" t="s">
        <v>1470</v>
      </c>
      <c r="D26" s="7" t="s">
        <v>1470</v>
      </c>
      <c r="E26" s="7" t="s">
        <v>1470</v>
      </c>
      <c r="F26" s="7" t="s">
        <v>1470</v>
      </c>
      <c r="G26" s="7" t="s">
        <v>1468</v>
      </c>
      <c r="H26" s="7" t="s">
        <v>1468</v>
      </c>
      <c r="I26" s="7" t="s">
        <v>1471</v>
      </c>
    </row>
    <row r="27" spans="1:9" x14ac:dyDescent="0.25">
      <c r="A27" s="7" t="s">
        <v>1139</v>
      </c>
      <c r="B27" s="7" t="s">
        <v>1470</v>
      </c>
      <c r="C27" s="7" t="s">
        <v>1470</v>
      </c>
      <c r="D27" s="7" t="s">
        <v>1470</v>
      </c>
      <c r="E27" s="7" t="s">
        <v>1470</v>
      </c>
      <c r="F27" s="7" t="s">
        <v>1470</v>
      </c>
      <c r="G27" s="7" t="s">
        <v>1468</v>
      </c>
      <c r="H27" s="7" t="s">
        <v>1469</v>
      </c>
      <c r="I27" s="7" t="s">
        <v>1471</v>
      </c>
    </row>
    <row r="28" spans="1:9" x14ac:dyDescent="0.25">
      <c r="A28" s="7" t="s">
        <v>1140</v>
      </c>
      <c r="B28" s="7" t="s">
        <v>1470</v>
      </c>
      <c r="C28" s="7" t="s">
        <v>1470</v>
      </c>
      <c r="D28" s="7" t="s">
        <v>1470</v>
      </c>
      <c r="E28" s="7" t="s">
        <v>1470</v>
      </c>
      <c r="F28" s="7" t="s">
        <v>1470</v>
      </c>
      <c r="G28" s="7" t="s">
        <v>1468</v>
      </c>
      <c r="H28" s="7" t="s">
        <v>1472</v>
      </c>
      <c r="I28" s="7" t="s">
        <v>1473</v>
      </c>
    </row>
    <row r="30" spans="1:9" x14ac:dyDescent="0.25">
      <c r="A30" s="6" t="s">
        <v>1474</v>
      </c>
    </row>
    <row r="31" spans="1:9" x14ac:dyDescent="0.25">
      <c r="A31" s="48" t="s">
        <v>1106</v>
      </c>
      <c r="B31" s="48" t="s">
        <v>1475</v>
      </c>
      <c r="C31" s="48" t="s">
        <v>1476</v>
      </c>
      <c r="D31" s="48" t="s">
        <v>1477</v>
      </c>
      <c r="E31" s="48" t="s">
        <v>1478</v>
      </c>
      <c r="F31" s="48" t="s">
        <v>1479</v>
      </c>
      <c r="G31" s="48" t="s">
        <v>1480</v>
      </c>
      <c r="H31" s="48" t="s">
        <v>1466</v>
      </c>
      <c r="I31" s="48" t="s">
        <v>1467</v>
      </c>
    </row>
    <row r="32" spans="1:9" x14ac:dyDescent="0.25">
      <c r="A32" s="7" t="s">
        <v>1119</v>
      </c>
      <c r="B32" s="7" t="s">
        <v>1468</v>
      </c>
      <c r="C32" s="7" t="s">
        <v>1468</v>
      </c>
      <c r="D32" s="7" t="s">
        <v>1468</v>
      </c>
      <c r="E32" s="7" t="s">
        <v>1468</v>
      </c>
      <c r="F32" s="7" t="s">
        <v>1468</v>
      </c>
      <c r="G32" s="7" t="s">
        <v>1470</v>
      </c>
      <c r="H32" s="7" t="s">
        <v>1470</v>
      </c>
      <c r="I32" s="7" t="s">
        <v>1473</v>
      </c>
    </row>
    <row r="33" spans="1:9" x14ac:dyDescent="0.25">
      <c r="A33" s="7" t="s">
        <v>1120</v>
      </c>
      <c r="B33" s="7" t="s">
        <v>1468</v>
      </c>
      <c r="C33" s="7" t="s">
        <v>1468</v>
      </c>
      <c r="D33" s="7" t="s">
        <v>1468</v>
      </c>
      <c r="E33" s="7" t="s">
        <v>1468</v>
      </c>
      <c r="F33" s="7" t="s">
        <v>1468</v>
      </c>
      <c r="G33" s="7" t="s">
        <v>1470</v>
      </c>
      <c r="H33" s="7" t="s">
        <v>1470</v>
      </c>
      <c r="I33" s="7" t="s">
        <v>1473</v>
      </c>
    </row>
    <row r="34" spans="1:9" x14ac:dyDescent="0.25">
      <c r="A34" s="7" t="s">
        <v>1121</v>
      </c>
      <c r="B34" s="7" t="s">
        <v>1468</v>
      </c>
      <c r="C34" s="7" t="s">
        <v>1468</v>
      </c>
      <c r="D34" s="7" t="s">
        <v>1468</v>
      </c>
      <c r="E34" s="7" t="s">
        <v>1468</v>
      </c>
      <c r="F34" s="7" t="s">
        <v>1468</v>
      </c>
      <c r="G34" s="7" t="s">
        <v>1470</v>
      </c>
      <c r="H34" s="7" t="s">
        <v>1470</v>
      </c>
      <c r="I34" s="7" t="s">
        <v>1473</v>
      </c>
    </row>
    <row r="35" spans="1:9" x14ac:dyDescent="0.25">
      <c r="A35" s="7" t="s">
        <v>1122</v>
      </c>
      <c r="B35" s="7" t="s">
        <v>1468</v>
      </c>
      <c r="C35" s="7" t="s">
        <v>1468</v>
      </c>
      <c r="D35" s="7" t="s">
        <v>1468</v>
      </c>
      <c r="E35" s="7" t="s">
        <v>1468</v>
      </c>
      <c r="F35" s="7" t="s">
        <v>1468</v>
      </c>
      <c r="G35" s="7" t="s">
        <v>1470</v>
      </c>
      <c r="H35" s="7" t="s">
        <v>1470</v>
      </c>
      <c r="I35" s="7" t="s">
        <v>1473</v>
      </c>
    </row>
    <row r="36" spans="1:9" x14ac:dyDescent="0.25">
      <c r="A36" s="7" t="s">
        <v>1123</v>
      </c>
      <c r="B36" s="7" t="s">
        <v>1468</v>
      </c>
      <c r="C36" s="7" t="s">
        <v>1468</v>
      </c>
      <c r="D36" s="7" t="s">
        <v>1468</v>
      </c>
      <c r="E36" s="7" t="s">
        <v>1468</v>
      </c>
      <c r="F36" s="7" t="s">
        <v>1472</v>
      </c>
      <c r="G36" s="7" t="s">
        <v>1470</v>
      </c>
      <c r="H36" s="7" t="s">
        <v>1470</v>
      </c>
      <c r="I36" s="7" t="s">
        <v>1473</v>
      </c>
    </row>
    <row r="37" spans="1:9" x14ac:dyDescent="0.25">
      <c r="A37" s="7" t="s">
        <v>1124</v>
      </c>
      <c r="B37" s="7" t="s">
        <v>1468</v>
      </c>
      <c r="C37" s="7" t="s">
        <v>1468</v>
      </c>
      <c r="D37" s="7" t="s">
        <v>1468</v>
      </c>
      <c r="E37" s="7" t="s">
        <v>1468</v>
      </c>
      <c r="F37" s="7" t="s">
        <v>1472</v>
      </c>
      <c r="G37" s="7" t="s">
        <v>1470</v>
      </c>
      <c r="H37" s="7" t="s">
        <v>1470</v>
      </c>
      <c r="I37" s="7" t="s">
        <v>1473</v>
      </c>
    </row>
    <row r="38" spans="1:9" x14ac:dyDescent="0.25">
      <c r="A38" s="7" t="s">
        <v>1125</v>
      </c>
      <c r="B38" s="7" t="s">
        <v>1468</v>
      </c>
      <c r="C38" s="7" t="s">
        <v>1468</v>
      </c>
      <c r="D38" s="7" t="s">
        <v>1468</v>
      </c>
      <c r="E38" s="7" t="s">
        <v>1468</v>
      </c>
      <c r="F38" s="7" t="s">
        <v>1472</v>
      </c>
      <c r="G38" s="7" t="s">
        <v>1470</v>
      </c>
      <c r="H38" s="7" t="s">
        <v>1470</v>
      </c>
      <c r="I38" s="7" t="s">
        <v>1473</v>
      </c>
    </row>
    <row r="39" spans="1:9" x14ac:dyDescent="0.25">
      <c r="A39" s="7" t="s">
        <v>1126</v>
      </c>
      <c r="B39" s="7" t="s">
        <v>1468</v>
      </c>
      <c r="C39" s="7" t="s">
        <v>1468</v>
      </c>
      <c r="D39" s="7" t="s">
        <v>1468</v>
      </c>
      <c r="E39" s="7" t="s">
        <v>1468</v>
      </c>
      <c r="F39" s="7" t="s">
        <v>1470</v>
      </c>
      <c r="G39" s="7" t="s">
        <v>1470</v>
      </c>
      <c r="H39" s="7" t="s">
        <v>1470</v>
      </c>
      <c r="I39" s="7" t="s">
        <v>1473</v>
      </c>
    </row>
    <row r="40" spans="1:9" x14ac:dyDescent="0.25">
      <c r="A40" s="7" t="s">
        <v>1127</v>
      </c>
      <c r="B40" s="7" t="s">
        <v>1468</v>
      </c>
      <c r="C40" s="7" t="s">
        <v>1468</v>
      </c>
      <c r="D40" s="7" t="s">
        <v>1472</v>
      </c>
      <c r="E40" s="7" t="s">
        <v>1468</v>
      </c>
      <c r="F40" s="7" t="s">
        <v>1470</v>
      </c>
      <c r="G40" s="7" t="s">
        <v>1470</v>
      </c>
      <c r="H40" s="7" t="s">
        <v>1470</v>
      </c>
      <c r="I40" s="7" t="s">
        <v>1473</v>
      </c>
    </row>
    <row r="41" spans="1:9" x14ac:dyDescent="0.25">
      <c r="A41" s="7" t="s">
        <v>1128</v>
      </c>
      <c r="B41" s="7" t="s">
        <v>1468</v>
      </c>
      <c r="C41" s="7" t="s">
        <v>1468</v>
      </c>
      <c r="D41" s="7" t="s">
        <v>1472</v>
      </c>
      <c r="E41" s="7" t="s">
        <v>1472</v>
      </c>
      <c r="F41" s="7" t="s">
        <v>1470</v>
      </c>
      <c r="G41" s="7" t="s">
        <v>1470</v>
      </c>
      <c r="H41" s="7" t="s">
        <v>1470</v>
      </c>
      <c r="I41" s="7" t="s">
        <v>1473</v>
      </c>
    </row>
    <row r="42" spans="1:9" x14ac:dyDescent="0.25">
      <c r="A42" s="7" t="s">
        <v>1129</v>
      </c>
      <c r="B42" s="7" t="s">
        <v>1468</v>
      </c>
      <c r="C42" s="7" t="s">
        <v>1468</v>
      </c>
      <c r="D42" s="7" t="s">
        <v>1470</v>
      </c>
      <c r="E42" s="7" t="s">
        <v>1472</v>
      </c>
      <c r="F42" s="7" t="s">
        <v>1470</v>
      </c>
      <c r="G42" s="7" t="s">
        <v>1470</v>
      </c>
      <c r="H42" s="7" t="s">
        <v>1470</v>
      </c>
      <c r="I42" s="7" t="s">
        <v>1473</v>
      </c>
    </row>
    <row r="43" spans="1:9" x14ac:dyDescent="0.25">
      <c r="A43" s="7" t="s">
        <v>1130</v>
      </c>
      <c r="B43" s="7" t="s">
        <v>1468</v>
      </c>
      <c r="C43" s="7" t="s">
        <v>1468</v>
      </c>
      <c r="D43" s="7" t="s">
        <v>1470</v>
      </c>
      <c r="E43" s="7" t="s">
        <v>1472</v>
      </c>
      <c r="F43" s="7" t="s">
        <v>1470</v>
      </c>
      <c r="G43" s="7" t="s">
        <v>1470</v>
      </c>
      <c r="H43" s="7" t="s">
        <v>1470</v>
      </c>
      <c r="I43" s="7" t="s">
        <v>1473</v>
      </c>
    </row>
    <row r="44" spans="1:9" x14ac:dyDescent="0.25">
      <c r="A44" s="7" t="s">
        <v>1131</v>
      </c>
      <c r="B44" s="7" t="s">
        <v>1468</v>
      </c>
      <c r="C44" s="7" t="s">
        <v>1468</v>
      </c>
      <c r="D44" s="7" t="s">
        <v>1470</v>
      </c>
      <c r="E44" s="7" t="s">
        <v>1472</v>
      </c>
      <c r="F44" s="7" t="s">
        <v>1470</v>
      </c>
      <c r="G44" s="7" t="s">
        <v>1470</v>
      </c>
      <c r="H44" s="7" t="s">
        <v>1470</v>
      </c>
      <c r="I44" s="7" t="s">
        <v>1473</v>
      </c>
    </row>
    <row r="45" spans="1:9" x14ac:dyDescent="0.25">
      <c r="A45" s="7" t="s">
        <v>1132</v>
      </c>
      <c r="B45" s="7" t="s">
        <v>1468</v>
      </c>
      <c r="C45" s="7" t="s">
        <v>1472</v>
      </c>
      <c r="D45" s="7" t="s">
        <v>1470</v>
      </c>
      <c r="E45" s="7" t="s">
        <v>1472</v>
      </c>
      <c r="F45" s="7" t="s">
        <v>1470</v>
      </c>
      <c r="G45" s="7" t="s">
        <v>1470</v>
      </c>
      <c r="H45" s="7" t="s">
        <v>1472</v>
      </c>
      <c r="I45" s="7" t="s">
        <v>1473</v>
      </c>
    </row>
    <row r="46" spans="1:9" x14ac:dyDescent="0.25">
      <c r="A46" s="7" t="s">
        <v>1133</v>
      </c>
      <c r="B46" s="7" t="s">
        <v>1468</v>
      </c>
      <c r="C46" s="7" t="s">
        <v>1472</v>
      </c>
      <c r="D46" s="7" t="s">
        <v>1470</v>
      </c>
      <c r="E46" s="7" t="s">
        <v>1472</v>
      </c>
      <c r="F46" s="7" t="s">
        <v>1470</v>
      </c>
      <c r="G46" s="7" t="s">
        <v>1470</v>
      </c>
      <c r="H46" s="7" t="s">
        <v>1472</v>
      </c>
      <c r="I46" s="7" t="s">
        <v>1473</v>
      </c>
    </row>
    <row r="47" spans="1:9" x14ac:dyDescent="0.25">
      <c r="A47" s="7" t="s">
        <v>1134</v>
      </c>
      <c r="B47" s="7" t="s">
        <v>1468</v>
      </c>
      <c r="C47" s="7" t="s">
        <v>1470</v>
      </c>
      <c r="D47" s="7" t="s">
        <v>1470</v>
      </c>
      <c r="E47" s="7" t="s">
        <v>1472</v>
      </c>
      <c r="F47" s="7" t="s">
        <v>1470</v>
      </c>
      <c r="G47" s="7" t="s">
        <v>1470</v>
      </c>
      <c r="H47" s="7" t="s">
        <v>1472</v>
      </c>
      <c r="I47" s="7" t="s">
        <v>1473</v>
      </c>
    </row>
    <row r="48" spans="1:9" x14ac:dyDescent="0.25">
      <c r="A48" s="7" t="s">
        <v>1135</v>
      </c>
      <c r="B48" s="7" t="s">
        <v>1468</v>
      </c>
      <c r="C48" s="7" t="s">
        <v>1470</v>
      </c>
      <c r="D48" s="7" t="s">
        <v>1470</v>
      </c>
      <c r="E48" s="7" t="s">
        <v>1472</v>
      </c>
      <c r="F48" s="7" t="s">
        <v>1470</v>
      </c>
      <c r="G48" s="7" t="s">
        <v>1470</v>
      </c>
      <c r="H48" s="7" t="s">
        <v>1472</v>
      </c>
      <c r="I48" s="7" t="s">
        <v>1473</v>
      </c>
    </row>
    <row r="49" spans="1:9" x14ac:dyDescent="0.25">
      <c r="A49" s="7" t="s">
        <v>1136</v>
      </c>
      <c r="B49" s="7" t="s">
        <v>1468</v>
      </c>
      <c r="C49" s="7" t="s">
        <v>1470</v>
      </c>
      <c r="D49" s="7" t="s">
        <v>1470</v>
      </c>
      <c r="E49" s="7" t="s">
        <v>1472</v>
      </c>
      <c r="F49" s="7" t="s">
        <v>1470</v>
      </c>
      <c r="G49" s="7" t="s">
        <v>1470</v>
      </c>
      <c r="H49" s="7" t="s">
        <v>1472</v>
      </c>
      <c r="I49" s="7" t="s">
        <v>1473</v>
      </c>
    </row>
    <row r="50" spans="1:9" x14ac:dyDescent="0.25">
      <c r="A50" s="7" t="s">
        <v>1137</v>
      </c>
      <c r="B50" s="7" t="s">
        <v>1472</v>
      </c>
      <c r="C50" s="7" t="s">
        <v>1470</v>
      </c>
      <c r="D50" s="7" t="s">
        <v>1470</v>
      </c>
      <c r="E50" s="7" t="s">
        <v>1472</v>
      </c>
      <c r="F50" s="7" t="s">
        <v>1470</v>
      </c>
      <c r="G50" s="7" t="s">
        <v>1470</v>
      </c>
      <c r="H50" s="7" t="s">
        <v>1472</v>
      </c>
      <c r="I50" s="7" t="s">
        <v>1473</v>
      </c>
    </row>
    <row r="51" spans="1:9" x14ac:dyDescent="0.25">
      <c r="A51" s="7" t="s">
        <v>1138</v>
      </c>
      <c r="B51" s="7" t="s">
        <v>1472</v>
      </c>
      <c r="C51" s="7" t="s">
        <v>1470</v>
      </c>
      <c r="D51" s="7" t="s">
        <v>1470</v>
      </c>
      <c r="E51" s="7" t="s">
        <v>1472</v>
      </c>
      <c r="F51" s="7" t="s">
        <v>1470</v>
      </c>
      <c r="G51" s="7" t="s">
        <v>1470</v>
      </c>
      <c r="H51" s="7" t="s">
        <v>1472</v>
      </c>
      <c r="I51" s="7" t="s">
        <v>1473</v>
      </c>
    </row>
    <row r="52" spans="1:9" x14ac:dyDescent="0.25">
      <c r="A52" s="7" t="s">
        <v>1139</v>
      </c>
      <c r="B52" s="7" t="s">
        <v>1472</v>
      </c>
      <c r="C52" s="7" t="s">
        <v>1470</v>
      </c>
      <c r="D52" s="7" t="s">
        <v>1470</v>
      </c>
      <c r="E52" s="7" t="s">
        <v>1472</v>
      </c>
      <c r="F52" s="7" t="s">
        <v>1470</v>
      </c>
      <c r="G52" s="7" t="s">
        <v>1470</v>
      </c>
      <c r="H52" s="7" t="s">
        <v>1472</v>
      </c>
      <c r="I52" s="7" t="s">
        <v>1473</v>
      </c>
    </row>
    <row r="53" spans="1:9" x14ac:dyDescent="0.25">
      <c r="A53" s="7" t="s">
        <v>1140</v>
      </c>
      <c r="B53" s="7" t="s">
        <v>1470</v>
      </c>
      <c r="C53" s="7" t="s">
        <v>1470</v>
      </c>
      <c r="D53" s="7" t="s">
        <v>1470</v>
      </c>
      <c r="E53" s="7" t="s">
        <v>1472</v>
      </c>
      <c r="F53" s="7" t="s">
        <v>1470</v>
      </c>
      <c r="G53" s="7" t="s">
        <v>1470</v>
      </c>
      <c r="H53" s="7" t="s">
        <v>1472</v>
      </c>
      <c r="I53" s="7" t="s">
        <v>1473</v>
      </c>
    </row>
    <row r="55" spans="1:9" x14ac:dyDescent="0.25">
      <c r="A55" s="6" t="s">
        <v>1481</v>
      </c>
    </row>
    <row r="56" spans="1:9" x14ac:dyDescent="0.25">
      <c r="A56" s="48" t="s">
        <v>1106</v>
      </c>
      <c r="B56" s="48" t="s">
        <v>1482</v>
      </c>
      <c r="C56" s="48" t="s">
        <v>1483</v>
      </c>
      <c r="D56" s="48" t="s">
        <v>1484</v>
      </c>
      <c r="E56" s="48" t="s">
        <v>1485</v>
      </c>
      <c r="F56" s="48" t="s">
        <v>1486</v>
      </c>
      <c r="G56" s="48" t="s">
        <v>1467</v>
      </c>
    </row>
    <row r="57" spans="1:9" x14ac:dyDescent="0.25">
      <c r="A57" s="7" t="s">
        <v>1119</v>
      </c>
      <c r="B57" s="7" t="s">
        <v>1470</v>
      </c>
      <c r="C57" s="7" t="s">
        <v>1469</v>
      </c>
      <c r="D57" s="7" t="s">
        <v>1468</v>
      </c>
      <c r="E57" s="7" t="s">
        <v>1468</v>
      </c>
      <c r="F57" s="7" t="s">
        <v>1470</v>
      </c>
      <c r="G57" s="7" t="s">
        <v>1471</v>
      </c>
    </row>
    <row r="58" spans="1:9" x14ac:dyDescent="0.25">
      <c r="A58" s="7" t="s">
        <v>1120</v>
      </c>
      <c r="B58" s="7" t="s">
        <v>1470</v>
      </c>
      <c r="C58" s="7" t="s">
        <v>1470</v>
      </c>
      <c r="D58" s="7" t="s">
        <v>1468</v>
      </c>
      <c r="E58" s="7" t="s">
        <v>1468</v>
      </c>
      <c r="F58" s="7" t="s">
        <v>1470</v>
      </c>
      <c r="G58" s="7" t="s">
        <v>1471</v>
      </c>
    </row>
    <row r="59" spans="1:9" x14ac:dyDescent="0.25">
      <c r="A59" s="7" t="s">
        <v>1121</v>
      </c>
      <c r="B59" s="7" t="s">
        <v>1470</v>
      </c>
      <c r="C59" s="7" t="s">
        <v>1470</v>
      </c>
      <c r="D59" s="7" t="s">
        <v>1468</v>
      </c>
      <c r="E59" s="7" t="s">
        <v>1468</v>
      </c>
      <c r="F59" s="7" t="s">
        <v>1470</v>
      </c>
      <c r="G59" s="7" t="s">
        <v>1471</v>
      </c>
    </row>
    <row r="60" spans="1:9" x14ac:dyDescent="0.25">
      <c r="A60" s="7" t="s">
        <v>1122</v>
      </c>
      <c r="B60" s="7" t="s">
        <v>1470</v>
      </c>
      <c r="C60" s="7" t="s">
        <v>1470</v>
      </c>
      <c r="D60" s="7" t="s">
        <v>1468</v>
      </c>
      <c r="E60" s="7" t="s">
        <v>1468</v>
      </c>
      <c r="F60" s="7" t="s">
        <v>1470</v>
      </c>
      <c r="G60" s="7" t="s">
        <v>1471</v>
      </c>
    </row>
    <row r="61" spans="1:9" x14ac:dyDescent="0.25">
      <c r="A61" s="7" t="s">
        <v>1123</v>
      </c>
      <c r="B61" s="7" t="s">
        <v>1470</v>
      </c>
      <c r="C61" s="7" t="s">
        <v>1470</v>
      </c>
      <c r="D61" s="7" t="s">
        <v>1469</v>
      </c>
      <c r="E61" s="7" t="s">
        <v>1468</v>
      </c>
      <c r="F61" s="7" t="s">
        <v>1470</v>
      </c>
      <c r="G61" s="7" t="s">
        <v>1471</v>
      </c>
    </row>
    <row r="62" spans="1:9" x14ac:dyDescent="0.25">
      <c r="A62" s="7" t="s">
        <v>1124</v>
      </c>
      <c r="B62" s="7" t="s">
        <v>1470</v>
      </c>
      <c r="C62" s="7" t="s">
        <v>1470</v>
      </c>
      <c r="D62" s="7" t="s">
        <v>1469</v>
      </c>
      <c r="E62" s="7" t="s">
        <v>1468</v>
      </c>
      <c r="F62" s="7" t="s">
        <v>1470</v>
      </c>
      <c r="G62" s="7" t="s">
        <v>1471</v>
      </c>
    </row>
    <row r="63" spans="1:9" x14ac:dyDescent="0.25">
      <c r="A63" s="7" t="s">
        <v>1125</v>
      </c>
      <c r="B63" s="7" t="s">
        <v>1470</v>
      </c>
      <c r="C63" s="7" t="s">
        <v>1470</v>
      </c>
      <c r="D63" s="7" t="s">
        <v>1469</v>
      </c>
      <c r="E63" s="7" t="s">
        <v>1468</v>
      </c>
      <c r="F63" s="7" t="s">
        <v>1470</v>
      </c>
      <c r="G63" s="7" t="s">
        <v>1471</v>
      </c>
    </row>
    <row r="64" spans="1:9" x14ac:dyDescent="0.25">
      <c r="A64" s="7" t="s">
        <v>1126</v>
      </c>
      <c r="B64" s="7" t="s">
        <v>1470</v>
      </c>
      <c r="C64" s="7" t="s">
        <v>1470</v>
      </c>
      <c r="D64" s="7" t="s">
        <v>1470</v>
      </c>
      <c r="E64" s="7" t="s">
        <v>1468</v>
      </c>
      <c r="F64" s="7" t="s">
        <v>1470</v>
      </c>
      <c r="G64" s="7" t="s">
        <v>1471</v>
      </c>
    </row>
    <row r="65" spans="1:7" x14ac:dyDescent="0.25">
      <c r="A65" s="7" t="s">
        <v>1127</v>
      </c>
      <c r="B65" s="7" t="s">
        <v>1470</v>
      </c>
      <c r="C65" s="7" t="s">
        <v>1470</v>
      </c>
      <c r="D65" s="7" t="s">
        <v>1470</v>
      </c>
      <c r="E65" s="7" t="s">
        <v>1468</v>
      </c>
      <c r="F65" s="7" t="s">
        <v>1470</v>
      </c>
      <c r="G65" s="7" t="s">
        <v>1471</v>
      </c>
    </row>
    <row r="66" spans="1:7" x14ac:dyDescent="0.25">
      <c r="A66" s="7" t="s">
        <v>1128</v>
      </c>
      <c r="B66" s="7" t="s">
        <v>1470</v>
      </c>
      <c r="C66" s="7" t="s">
        <v>1470</v>
      </c>
      <c r="D66" s="7" t="s">
        <v>1470</v>
      </c>
      <c r="E66" s="7" t="s">
        <v>1468</v>
      </c>
      <c r="F66" s="7" t="s">
        <v>1470</v>
      </c>
      <c r="G66" s="7" t="s">
        <v>1471</v>
      </c>
    </row>
    <row r="67" spans="1:7" x14ac:dyDescent="0.25">
      <c r="A67" s="7" t="s">
        <v>1129</v>
      </c>
      <c r="B67" s="7" t="s">
        <v>1470</v>
      </c>
      <c r="C67" s="7" t="s">
        <v>1470</v>
      </c>
      <c r="D67" s="7" t="s">
        <v>1470</v>
      </c>
      <c r="E67" s="7" t="s">
        <v>1468</v>
      </c>
      <c r="F67" s="7" t="s">
        <v>1468</v>
      </c>
      <c r="G67" s="7" t="s">
        <v>1471</v>
      </c>
    </row>
    <row r="68" spans="1:7" x14ac:dyDescent="0.25">
      <c r="A68" s="7" t="s">
        <v>1130</v>
      </c>
      <c r="B68" s="7" t="s">
        <v>1470</v>
      </c>
      <c r="C68" s="7" t="s">
        <v>1470</v>
      </c>
      <c r="D68" s="7" t="s">
        <v>1470</v>
      </c>
      <c r="E68" s="7" t="s">
        <v>1468</v>
      </c>
      <c r="F68" s="7" t="s">
        <v>1468</v>
      </c>
      <c r="G68" s="7" t="s">
        <v>1471</v>
      </c>
    </row>
    <row r="69" spans="1:7" x14ac:dyDescent="0.25">
      <c r="A69" s="7" t="s">
        <v>1131</v>
      </c>
      <c r="B69" s="7" t="s">
        <v>1470</v>
      </c>
      <c r="C69" s="7" t="s">
        <v>1470</v>
      </c>
      <c r="D69" s="7" t="s">
        <v>1470</v>
      </c>
      <c r="E69" s="7" t="s">
        <v>1469</v>
      </c>
      <c r="F69" s="7" t="s">
        <v>1468</v>
      </c>
      <c r="G69" s="7" t="s">
        <v>1471</v>
      </c>
    </row>
    <row r="70" spans="1:7" x14ac:dyDescent="0.25">
      <c r="A70" s="7" t="s">
        <v>1132</v>
      </c>
      <c r="B70" s="7" t="s">
        <v>1470</v>
      </c>
      <c r="C70" s="7" t="s">
        <v>1470</v>
      </c>
      <c r="D70" s="7" t="s">
        <v>1470</v>
      </c>
      <c r="E70" s="7" t="s">
        <v>1470</v>
      </c>
      <c r="F70" s="7" t="s">
        <v>1468</v>
      </c>
      <c r="G70" s="7" t="s">
        <v>1471</v>
      </c>
    </row>
    <row r="71" spans="1:7" x14ac:dyDescent="0.25">
      <c r="A71" s="7" t="s">
        <v>1133</v>
      </c>
      <c r="B71" s="7" t="s">
        <v>1470</v>
      </c>
      <c r="C71" s="7" t="s">
        <v>1470</v>
      </c>
      <c r="D71" s="7" t="s">
        <v>1470</v>
      </c>
      <c r="E71" s="7" t="s">
        <v>1470</v>
      </c>
      <c r="F71" s="7" t="s">
        <v>1468</v>
      </c>
      <c r="G71" s="7" t="s">
        <v>1471</v>
      </c>
    </row>
    <row r="72" spans="1:7" x14ac:dyDescent="0.25">
      <c r="A72" s="7" t="s">
        <v>1134</v>
      </c>
      <c r="B72" s="7" t="s">
        <v>1468</v>
      </c>
      <c r="C72" s="7" t="s">
        <v>1470</v>
      </c>
      <c r="D72" s="7" t="s">
        <v>1470</v>
      </c>
      <c r="E72" s="7" t="s">
        <v>1470</v>
      </c>
      <c r="F72" s="7" t="s">
        <v>1468</v>
      </c>
      <c r="G72" s="7" t="s">
        <v>1471</v>
      </c>
    </row>
    <row r="73" spans="1:7" x14ac:dyDescent="0.25">
      <c r="A73" s="7" t="s">
        <v>1135</v>
      </c>
      <c r="B73" s="7" t="s">
        <v>1468</v>
      </c>
      <c r="C73" s="7" t="s">
        <v>1470</v>
      </c>
      <c r="D73" s="7" t="s">
        <v>1470</v>
      </c>
      <c r="E73" s="7" t="s">
        <v>1470</v>
      </c>
      <c r="F73" s="7" t="s">
        <v>1468</v>
      </c>
      <c r="G73" s="7" t="s">
        <v>1471</v>
      </c>
    </row>
    <row r="74" spans="1:7" x14ac:dyDescent="0.25">
      <c r="A74" s="7" t="s">
        <v>1136</v>
      </c>
      <c r="B74" s="7" t="s">
        <v>1468</v>
      </c>
      <c r="C74" s="7" t="s">
        <v>1470</v>
      </c>
      <c r="D74" s="7" t="s">
        <v>1470</v>
      </c>
      <c r="E74" s="7" t="s">
        <v>1470</v>
      </c>
      <c r="F74" s="7" t="s">
        <v>1468</v>
      </c>
      <c r="G74" s="7" t="s">
        <v>1471</v>
      </c>
    </row>
    <row r="75" spans="1:7" x14ac:dyDescent="0.25">
      <c r="A75" s="7" t="s">
        <v>1137</v>
      </c>
      <c r="B75" s="7" t="s">
        <v>1468</v>
      </c>
      <c r="C75" s="7" t="s">
        <v>1470</v>
      </c>
      <c r="D75" s="7" t="s">
        <v>1470</v>
      </c>
      <c r="E75" s="7" t="s">
        <v>1470</v>
      </c>
      <c r="F75" s="7" t="s">
        <v>1468</v>
      </c>
      <c r="G75" s="7" t="s">
        <v>1471</v>
      </c>
    </row>
    <row r="76" spans="1:7" x14ac:dyDescent="0.25">
      <c r="A76" s="7" t="s">
        <v>1138</v>
      </c>
      <c r="B76" s="7" t="s">
        <v>1468</v>
      </c>
      <c r="C76" s="7" t="s">
        <v>1470</v>
      </c>
      <c r="D76" s="7" t="s">
        <v>1470</v>
      </c>
      <c r="E76" s="7" t="s">
        <v>1470</v>
      </c>
      <c r="F76" s="7" t="s">
        <v>1468</v>
      </c>
      <c r="G76" s="7" t="s">
        <v>1471</v>
      </c>
    </row>
    <row r="77" spans="1:7" x14ac:dyDescent="0.25">
      <c r="A77" s="7" t="s">
        <v>1139</v>
      </c>
      <c r="B77" s="7" t="s">
        <v>1468</v>
      </c>
      <c r="C77" s="7" t="s">
        <v>1470</v>
      </c>
      <c r="D77" s="7" t="s">
        <v>1470</v>
      </c>
      <c r="E77" s="7" t="s">
        <v>1470</v>
      </c>
      <c r="F77" s="7" t="s">
        <v>1469</v>
      </c>
      <c r="G77" s="7" t="s">
        <v>1471</v>
      </c>
    </row>
    <row r="78" spans="1:7" x14ac:dyDescent="0.25">
      <c r="A78" s="7" t="s">
        <v>1140</v>
      </c>
      <c r="B78" s="7" t="s">
        <v>1468</v>
      </c>
      <c r="C78" s="7" t="s">
        <v>1470</v>
      </c>
      <c r="D78" s="7" t="s">
        <v>1470</v>
      </c>
      <c r="E78" s="7" t="s">
        <v>1470</v>
      </c>
      <c r="F78" s="7" t="s">
        <v>1470</v>
      </c>
      <c r="G78" s="7" t="s">
        <v>1471</v>
      </c>
    </row>
    <row r="80" spans="1:7" x14ac:dyDescent="0.25">
      <c r="A80" s="6" t="s">
        <v>1487</v>
      </c>
    </row>
    <row r="81" spans="1:7" x14ac:dyDescent="0.25">
      <c r="A81" s="48" t="s">
        <v>1106</v>
      </c>
      <c r="B81" s="48" t="s">
        <v>1488</v>
      </c>
      <c r="C81" s="48" t="s">
        <v>1489</v>
      </c>
      <c r="D81" s="48" t="s">
        <v>1490</v>
      </c>
      <c r="E81" s="48" t="s">
        <v>1491</v>
      </c>
      <c r="F81" s="48" t="s">
        <v>1486</v>
      </c>
      <c r="G81" s="48" t="s">
        <v>1467</v>
      </c>
    </row>
    <row r="82" spans="1:7" x14ac:dyDescent="0.25">
      <c r="A82" s="7" t="s">
        <v>1119</v>
      </c>
      <c r="B82" s="7" t="s">
        <v>1470</v>
      </c>
      <c r="C82" s="7" t="s">
        <v>1468</v>
      </c>
      <c r="D82" s="7" t="s">
        <v>1468</v>
      </c>
      <c r="E82" s="7" t="s">
        <v>1468</v>
      </c>
      <c r="F82" s="7" t="s">
        <v>1470</v>
      </c>
      <c r="G82" s="7" t="s">
        <v>1471</v>
      </c>
    </row>
    <row r="83" spans="1:7" x14ac:dyDescent="0.25">
      <c r="A83" s="7" t="s">
        <v>1120</v>
      </c>
      <c r="B83" s="7" t="s">
        <v>1470</v>
      </c>
      <c r="C83" s="7" t="s">
        <v>1468</v>
      </c>
      <c r="D83" s="7" t="s">
        <v>1468</v>
      </c>
      <c r="E83" s="7" t="s">
        <v>1468</v>
      </c>
      <c r="F83" s="7" t="s">
        <v>1470</v>
      </c>
      <c r="G83" s="7" t="s">
        <v>1471</v>
      </c>
    </row>
    <row r="84" spans="1:7" x14ac:dyDescent="0.25">
      <c r="A84" s="7" t="s">
        <v>1121</v>
      </c>
      <c r="B84" s="7" t="s">
        <v>1470</v>
      </c>
      <c r="C84" s="7" t="s">
        <v>1468</v>
      </c>
      <c r="D84" s="7" t="s">
        <v>1468</v>
      </c>
      <c r="E84" s="7" t="s">
        <v>1468</v>
      </c>
      <c r="F84" s="7" t="s">
        <v>1470</v>
      </c>
      <c r="G84" s="7" t="s">
        <v>1471</v>
      </c>
    </row>
    <row r="85" spans="1:7" x14ac:dyDescent="0.25">
      <c r="A85" s="7" t="s">
        <v>1122</v>
      </c>
      <c r="B85" s="7" t="s">
        <v>1470</v>
      </c>
      <c r="C85" s="7" t="s">
        <v>1468</v>
      </c>
      <c r="D85" s="7" t="s">
        <v>1468</v>
      </c>
      <c r="E85" s="7" t="s">
        <v>1468</v>
      </c>
      <c r="F85" s="7" t="s">
        <v>1470</v>
      </c>
      <c r="G85" s="7" t="s">
        <v>1471</v>
      </c>
    </row>
    <row r="86" spans="1:7" x14ac:dyDescent="0.25">
      <c r="A86" s="7" t="s">
        <v>1123</v>
      </c>
      <c r="B86" s="7" t="s">
        <v>1470</v>
      </c>
      <c r="C86" s="7" t="s">
        <v>1469</v>
      </c>
      <c r="D86" s="7" t="s">
        <v>1468</v>
      </c>
      <c r="E86" s="7" t="s">
        <v>1468</v>
      </c>
      <c r="F86" s="7" t="s">
        <v>1470</v>
      </c>
      <c r="G86" s="7" t="s">
        <v>1471</v>
      </c>
    </row>
    <row r="87" spans="1:7" x14ac:dyDescent="0.25">
      <c r="A87" s="7" t="s">
        <v>1124</v>
      </c>
      <c r="B87" s="7" t="s">
        <v>1470</v>
      </c>
      <c r="C87" s="7" t="s">
        <v>1469</v>
      </c>
      <c r="D87" s="7" t="s">
        <v>1468</v>
      </c>
      <c r="E87" s="7" t="s">
        <v>1468</v>
      </c>
      <c r="F87" s="7" t="s">
        <v>1470</v>
      </c>
      <c r="G87" s="7" t="s">
        <v>1471</v>
      </c>
    </row>
    <row r="88" spans="1:7" x14ac:dyDescent="0.25">
      <c r="A88" s="7" t="s">
        <v>1125</v>
      </c>
      <c r="B88" s="7" t="s">
        <v>1470</v>
      </c>
      <c r="C88" s="7" t="s">
        <v>1470</v>
      </c>
      <c r="D88" s="7" t="s">
        <v>1468</v>
      </c>
      <c r="E88" s="7" t="s">
        <v>1468</v>
      </c>
      <c r="F88" s="7" t="s">
        <v>1470</v>
      </c>
      <c r="G88" s="7" t="s">
        <v>1471</v>
      </c>
    </row>
    <row r="89" spans="1:7" x14ac:dyDescent="0.25">
      <c r="A89" s="7" t="s">
        <v>1126</v>
      </c>
      <c r="B89" s="7" t="s">
        <v>1470</v>
      </c>
      <c r="C89" s="7" t="s">
        <v>1470</v>
      </c>
      <c r="D89" s="7" t="s">
        <v>1468</v>
      </c>
      <c r="E89" s="7" t="s">
        <v>1468</v>
      </c>
      <c r="F89" s="7" t="s">
        <v>1470</v>
      </c>
      <c r="G89" s="7" t="s">
        <v>1471</v>
      </c>
    </row>
    <row r="90" spans="1:7" x14ac:dyDescent="0.25">
      <c r="A90" s="7" t="s">
        <v>1127</v>
      </c>
      <c r="B90" s="7" t="s">
        <v>1470</v>
      </c>
      <c r="C90" s="7" t="s">
        <v>1470</v>
      </c>
      <c r="D90" s="7" t="s">
        <v>1468</v>
      </c>
      <c r="E90" s="7" t="s">
        <v>1468</v>
      </c>
      <c r="F90" s="7" t="s">
        <v>1470</v>
      </c>
      <c r="G90" s="7" t="s">
        <v>1471</v>
      </c>
    </row>
    <row r="91" spans="1:7" x14ac:dyDescent="0.25">
      <c r="A91" s="7" t="s">
        <v>1128</v>
      </c>
      <c r="B91" s="7" t="s">
        <v>1470</v>
      </c>
      <c r="C91" s="7" t="s">
        <v>1470</v>
      </c>
      <c r="D91" s="7" t="s">
        <v>1468</v>
      </c>
      <c r="E91" s="7" t="s">
        <v>1468</v>
      </c>
      <c r="F91" s="7" t="s">
        <v>1470</v>
      </c>
      <c r="G91" s="7" t="s">
        <v>1471</v>
      </c>
    </row>
    <row r="92" spans="1:7" x14ac:dyDescent="0.25">
      <c r="A92" s="7" t="s">
        <v>1129</v>
      </c>
      <c r="B92" s="7" t="s">
        <v>1470</v>
      </c>
      <c r="C92" s="7" t="s">
        <v>1470</v>
      </c>
      <c r="D92" s="7" t="s">
        <v>1468</v>
      </c>
      <c r="E92" s="7" t="s">
        <v>1468</v>
      </c>
      <c r="F92" s="7" t="s">
        <v>1470</v>
      </c>
      <c r="G92" s="7" t="s">
        <v>1471</v>
      </c>
    </row>
    <row r="93" spans="1:7" x14ac:dyDescent="0.25">
      <c r="A93" s="7" t="s">
        <v>1130</v>
      </c>
      <c r="B93" s="7" t="s">
        <v>1470</v>
      </c>
      <c r="C93" s="7" t="s">
        <v>1470</v>
      </c>
      <c r="D93" s="7" t="s">
        <v>1468</v>
      </c>
      <c r="E93" s="7" t="s">
        <v>1468</v>
      </c>
      <c r="F93" s="7" t="s">
        <v>1470</v>
      </c>
      <c r="G93" s="7" t="s">
        <v>1471</v>
      </c>
    </row>
    <row r="94" spans="1:7" x14ac:dyDescent="0.25">
      <c r="A94" s="7" t="s">
        <v>1131</v>
      </c>
      <c r="B94" s="7" t="s">
        <v>1470</v>
      </c>
      <c r="C94" s="7" t="s">
        <v>1470</v>
      </c>
      <c r="D94" s="7" t="s">
        <v>1468</v>
      </c>
      <c r="E94" s="7" t="s">
        <v>1468</v>
      </c>
      <c r="F94" s="7" t="s">
        <v>1470</v>
      </c>
      <c r="G94" s="7" t="s">
        <v>1471</v>
      </c>
    </row>
    <row r="95" spans="1:7" x14ac:dyDescent="0.25">
      <c r="A95" s="7" t="s">
        <v>1132</v>
      </c>
      <c r="B95" s="7" t="s">
        <v>1470</v>
      </c>
      <c r="C95" s="7" t="s">
        <v>1470</v>
      </c>
      <c r="D95" s="7" t="s">
        <v>1469</v>
      </c>
      <c r="E95" s="7" t="s">
        <v>1468</v>
      </c>
      <c r="F95" s="7" t="s">
        <v>1470</v>
      </c>
      <c r="G95" s="7" t="s">
        <v>1471</v>
      </c>
    </row>
    <row r="96" spans="1:7" x14ac:dyDescent="0.25">
      <c r="A96" s="7" t="s">
        <v>1133</v>
      </c>
      <c r="B96" s="7" t="s">
        <v>1470</v>
      </c>
      <c r="C96" s="7" t="s">
        <v>1470</v>
      </c>
      <c r="D96" s="7" t="s">
        <v>1470</v>
      </c>
      <c r="E96" s="7" t="s">
        <v>1468</v>
      </c>
      <c r="F96" s="7" t="s">
        <v>1469</v>
      </c>
      <c r="G96" s="7" t="s">
        <v>1471</v>
      </c>
    </row>
    <row r="97" spans="1:7" x14ac:dyDescent="0.25">
      <c r="A97" s="7" t="s">
        <v>1134</v>
      </c>
      <c r="B97" s="7" t="s">
        <v>1470</v>
      </c>
      <c r="C97" s="7" t="s">
        <v>1470</v>
      </c>
      <c r="D97" s="7" t="s">
        <v>1470</v>
      </c>
      <c r="E97" s="7" t="s">
        <v>1468</v>
      </c>
      <c r="F97" s="7" t="s">
        <v>1469</v>
      </c>
      <c r="G97" s="7" t="s">
        <v>1471</v>
      </c>
    </row>
    <row r="98" spans="1:7" x14ac:dyDescent="0.25">
      <c r="A98" s="7" t="s">
        <v>1135</v>
      </c>
      <c r="B98" s="7" t="s">
        <v>1470</v>
      </c>
      <c r="C98" s="7" t="s">
        <v>1470</v>
      </c>
      <c r="D98" s="7" t="s">
        <v>1470</v>
      </c>
      <c r="E98" s="7" t="s">
        <v>1468</v>
      </c>
      <c r="F98" s="7" t="s">
        <v>1469</v>
      </c>
      <c r="G98" s="7" t="s">
        <v>1471</v>
      </c>
    </row>
    <row r="99" spans="1:7" x14ac:dyDescent="0.25">
      <c r="A99" s="7" t="s">
        <v>1136</v>
      </c>
      <c r="B99" s="7" t="s">
        <v>1470</v>
      </c>
      <c r="C99" s="7" t="s">
        <v>1470</v>
      </c>
      <c r="D99" s="7" t="s">
        <v>1470</v>
      </c>
      <c r="E99" s="7" t="s">
        <v>1468</v>
      </c>
      <c r="F99" s="7" t="s">
        <v>1469</v>
      </c>
      <c r="G99" s="7" t="s">
        <v>1471</v>
      </c>
    </row>
    <row r="100" spans="1:7" x14ac:dyDescent="0.25">
      <c r="A100" s="7" t="s">
        <v>1137</v>
      </c>
      <c r="B100" s="7" t="s">
        <v>1470</v>
      </c>
      <c r="C100" s="7" t="s">
        <v>1470</v>
      </c>
      <c r="D100" s="7" t="s">
        <v>1470</v>
      </c>
      <c r="E100" s="7" t="s">
        <v>1468</v>
      </c>
      <c r="F100" s="7" t="s">
        <v>1469</v>
      </c>
      <c r="G100" s="7" t="s">
        <v>1471</v>
      </c>
    </row>
    <row r="101" spans="1:7" x14ac:dyDescent="0.25">
      <c r="A101" s="7" t="s">
        <v>1138</v>
      </c>
      <c r="B101" s="7" t="s">
        <v>1470</v>
      </c>
      <c r="C101" s="7" t="s">
        <v>1470</v>
      </c>
      <c r="D101" s="7" t="s">
        <v>1470</v>
      </c>
      <c r="E101" s="7" t="s">
        <v>1468</v>
      </c>
      <c r="F101" s="7" t="s">
        <v>1469</v>
      </c>
      <c r="G101" s="7" t="s">
        <v>1471</v>
      </c>
    </row>
    <row r="102" spans="1:7" x14ac:dyDescent="0.25">
      <c r="A102" s="7" t="s">
        <v>1139</v>
      </c>
      <c r="B102" s="7" t="s">
        <v>1470</v>
      </c>
      <c r="C102" s="7" t="s">
        <v>1470</v>
      </c>
      <c r="D102" s="7" t="s">
        <v>1470</v>
      </c>
      <c r="E102" s="7" t="s">
        <v>1470</v>
      </c>
      <c r="F102" s="7" t="s">
        <v>1469</v>
      </c>
      <c r="G102" s="7" t="s">
        <v>1471</v>
      </c>
    </row>
    <row r="103" spans="1:7" x14ac:dyDescent="0.25">
      <c r="A103" s="7" t="s">
        <v>1140</v>
      </c>
      <c r="B103" s="7" t="s">
        <v>1470</v>
      </c>
      <c r="C103" s="7" t="s">
        <v>1470</v>
      </c>
      <c r="D103" s="7" t="s">
        <v>1470</v>
      </c>
      <c r="E103" s="7" t="s">
        <v>1470</v>
      </c>
      <c r="F103" s="7" t="s">
        <v>1469</v>
      </c>
      <c r="G103" s="7" t="s">
        <v>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README</vt:lpstr>
      <vt:lpstr>Summary</vt:lpstr>
      <vt:lpstr>DRAM_CPU_Link</vt:lpstr>
      <vt:lpstr>Cross_Check</vt:lpstr>
      <vt:lpstr>Report_Tieouts</vt:lpstr>
      <vt:lpstr>Fig01_Workloads</vt:lpstr>
      <vt:lpstr>Fig02_03_Muse</vt:lpstr>
      <vt:lpstr>Fig04_Unconstrained</vt:lpstr>
      <vt:lpstr>Fig05_DRAM_per_CPU</vt:lpstr>
      <vt:lpstr>Fig06_07_DRAM_Supply</vt:lpstr>
      <vt:lpstr>Fig08_09_DRAM_Demand</vt:lpstr>
      <vt:lpstr>Fig10_12_TAM</vt:lpstr>
      <vt:lpstr>Fig15_18_Power</vt:lpstr>
      <vt:lpstr>Fig19_21_Share</vt:lpstr>
      <vt:lpstr>Fig23_Server_Roadmap</vt:lpstr>
      <vt:lpstr>Fig24_CPU_Specs</vt:lpstr>
      <vt:lpstr>Fig25_CPU_Units_digitized</vt:lpstr>
      <vt:lpstr>Fig26_Unit_Share_digitized</vt:lpstr>
      <vt:lpstr>Fig27_x86_RevShare_digitized</vt:lpstr>
      <vt:lpstr>Fig28_INTC_Product_Mix</vt:lpstr>
      <vt:lpstr>Fig29_AMD_Product_Mix</vt:lpstr>
      <vt:lpstr>Fig30_INTC_Node_Mix</vt:lpstr>
      <vt:lpstr>Fig31_AMD_Node_Mix</vt:lpstr>
      <vt:lpstr>Fig32_AMD_Model</vt:lpstr>
      <vt:lpstr>Fig33_INTC_Model</vt:lpstr>
      <vt:lpstr>Fig34_ARM_Model</vt:lpstr>
      <vt:lpstr>Fig35_INTC_New_vs_Old</vt:lpstr>
      <vt:lpstr>Fig36_UBSe_vs_Street</vt:lpstr>
      <vt:lpstr>Fig37_INTC_SOTP_New</vt:lpstr>
      <vt:lpstr>Fig38_INTC_SOTP_Old</vt:lpstr>
      <vt:lpstr>Fig39_INTC_Foundry_Comps</vt:lpstr>
      <vt:lpstr>Fig28_31_Provenance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Monteiro</cp:lastModifiedBy>
  <dcterms:created xsi:type="dcterms:W3CDTF">2026-10-26T14:27:28Z</dcterms:created>
  <dcterms:modified xsi:type="dcterms:W3CDTF">2026-10-26T14:27:35Z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