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lipe.monteiro\AppData\Local\Temp\claude\E--Wiki-Felipe-empresas\6ee90eba-bf8d-441e-8c75-f4ea98e07b87\scratchpad\"/>
    </mc:Choice>
  </mc:AlternateContent>
  <xr:revisionPtr revIDLastSave="0" documentId="13_ncr:1_{4B1C69BD-8A7A-485F-A2DB-61866480F8FA}" xr6:coauthVersionLast="47" xr6:coauthVersionMax="47" xr10:uidLastSave="{00000000-0000-0000-0000-000000000000}"/>
  <bookViews>
    <workbookView xWindow="58815" yWindow="2595" windowWidth="13365" windowHeight="11295" xr2:uid="{00000000-000D-0000-FFFF-FFFF00000000}"/>
  </bookViews>
  <sheets>
    <sheet name="CY Summary" sheetId="1" r:id="rId1"/>
    <sheet name="CY Detail by company" sheetId="2" r:id="rId2"/>
    <sheet name="Quarterly CY2025-CY2026" sheetId="3" r:id="rId3"/>
    <sheet name="Mix e segmentos" sheetId="4" r:id="rId4"/>
    <sheet name="Regiões" sheetId="5" r:id="rId5"/>
    <sheet name="Clientes" sheetId="6" r:id="rId6"/>
    <sheet name="Not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5" l="1"/>
  <c r="D55" i="5"/>
  <c r="K46" i="5"/>
  <c r="J46" i="5"/>
  <c r="I46" i="5"/>
  <c r="E46" i="5"/>
  <c r="J44" i="5"/>
  <c r="I44" i="5"/>
  <c r="E44" i="5"/>
  <c r="D44" i="5"/>
  <c r="J42" i="5"/>
  <c r="I42" i="5"/>
  <c r="E42" i="5"/>
  <c r="D42" i="5"/>
  <c r="E40" i="5"/>
  <c r="D40" i="5"/>
  <c r="L39" i="5"/>
  <c r="K39" i="5"/>
  <c r="K45" i="5" s="1"/>
  <c r="J39" i="5"/>
  <c r="J45" i="5" s="1"/>
  <c r="I39" i="5"/>
  <c r="I45" i="5" s="1"/>
  <c r="H39" i="5"/>
  <c r="H43" i="5" s="1"/>
  <c r="G39" i="5"/>
  <c r="F39" i="5"/>
  <c r="E39" i="5"/>
  <c r="E45" i="5" s="1"/>
  <c r="D39" i="5"/>
  <c r="D45" i="5" s="1"/>
  <c r="H28" i="5"/>
  <c r="G28" i="5"/>
  <c r="F28" i="5"/>
  <c r="E28" i="5"/>
  <c r="D28" i="5"/>
  <c r="H27" i="5"/>
  <c r="G27" i="5"/>
  <c r="F27" i="5"/>
  <c r="E27" i="5"/>
  <c r="D27" i="5"/>
  <c r="H26" i="5"/>
  <c r="G26" i="5"/>
  <c r="F26" i="5"/>
  <c r="E26" i="5"/>
  <c r="D26" i="5"/>
  <c r="H25" i="5"/>
  <c r="G25" i="5"/>
  <c r="F25" i="5"/>
  <c r="E25" i="5"/>
  <c r="D25" i="5"/>
  <c r="H24" i="5"/>
  <c r="G24" i="5"/>
  <c r="F24" i="5"/>
  <c r="E24" i="5"/>
  <c r="D24" i="5"/>
  <c r="H23" i="5"/>
  <c r="G23" i="5"/>
  <c r="F23" i="5"/>
  <c r="E23" i="5"/>
  <c r="D23" i="5"/>
  <c r="H22" i="5"/>
  <c r="G22" i="5"/>
  <c r="F22" i="5"/>
  <c r="E22" i="5"/>
  <c r="D22" i="5"/>
  <c r="H21" i="5"/>
  <c r="G21" i="5"/>
  <c r="F21" i="5"/>
  <c r="E21" i="5"/>
  <c r="D21" i="5"/>
  <c r="H20" i="5"/>
  <c r="G20" i="5"/>
  <c r="F20" i="5"/>
  <c r="E20" i="5"/>
  <c r="D20" i="5"/>
  <c r="H19" i="5"/>
  <c r="G19" i="5"/>
  <c r="F19" i="5"/>
  <c r="E19" i="5"/>
  <c r="D19" i="5"/>
  <c r="H17" i="5"/>
  <c r="G17" i="5"/>
  <c r="F17" i="5"/>
  <c r="E17" i="5"/>
  <c r="D17" i="5"/>
  <c r="J64" i="4"/>
  <c r="I64" i="4"/>
  <c r="H64" i="4"/>
  <c r="G64" i="4"/>
  <c r="F64" i="4"/>
  <c r="E64" i="4"/>
  <c r="D64" i="4"/>
  <c r="G63" i="4"/>
  <c r="G65" i="4" s="1"/>
  <c r="J61" i="4"/>
  <c r="I61" i="4"/>
  <c r="H61" i="4"/>
  <c r="G61" i="4"/>
  <c r="F61" i="4"/>
  <c r="E61" i="4"/>
  <c r="D61" i="4"/>
  <c r="J51" i="4"/>
  <c r="I51" i="4"/>
  <c r="H51" i="4"/>
  <c r="G51" i="4"/>
  <c r="F51" i="4"/>
  <c r="E51" i="4"/>
  <c r="D51" i="4"/>
  <c r="G50" i="4"/>
  <c r="G49" i="4"/>
  <c r="F49" i="4"/>
  <c r="G48" i="4"/>
  <c r="F48" i="4"/>
  <c r="G47" i="4"/>
  <c r="J45" i="4"/>
  <c r="J46" i="4" s="1"/>
  <c r="I45" i="4"/>
  <c r="I46" i="4" s="1"/>
  <c r="H45" i="4"/>
  <c r="H47" i="4" s="1"/>
  <c r="G45" i="4"/>
  <c r="G46" i="4" s="1"/>
  <c r="F45" i="4"/>
  <c r="F47" i="4" s="1"/>
  <c r="E45" i="4"/>
  <c r="E49" i="4" s="1"/>
  <c r="D45" i="4"/>
  <c r="D50" i="4" s="1"/>
  <c r="L21" i="4"/>
  <c r="K21" i="4"/>
  <c r="J63" i="4" s="1"/>
  <c r="J65" i="4" s="1"/>
  <c r="J21" i="4"/>
  <c r="I63" i="4" s="1"/>
  <c r="I21" i="4"/>
  <c r="H63" i="4" s="1"/>
  <c r="H65" i="4" s="1"/>
  <c r="H21" i="4"/>
  <c r="G21" i="4"/>
  <c r="F63" i="4" s="1"/>
  <c r="F65" i="4" s="1"/>
  <c r="F21" i="4"/>
  <c r="E63" i="4" s="1"/>
  <c r="E65" i="4" s="1"/>
  <c r="E21" i="4"/>
  <c r="D63" i="4" s="1"/>
  <c r="D65" i="4" s="1"/>
  <c r="D21" i="4"/>
  <c r="L20" i="4"/>
  <c r="K20" i="4"/>
  <c r="J60" i="4" s="1"/>
  <c r="J20" i="4"/>
  <c r="I60" i="4" s="1"/>
  <c r="I20" i="4"/>
  <c r="H60" i="4" s="1"/>
  <c r="H20" i="4"/>
  <c r="G60" i="4" s="1"/>
  <c r="G20" i="4"/>
  <c r="F60" i="4" s="1"/>
  <c r="F20" i="4"/>
  <c r="E60" i="4" s="1"/>
  <c r="E20" i="4"/>
  <c r="D60" i="4" s="1"/>
  <c r="D66" i="4" s="1"/>
  <c r="D20" i="4"/>
  <c r="J19" i="4"/>
  <c r="I19" i="4"/>
  <c r="J16" i="4"/>
  <c r="I16" i="4"/>
  <c r="D16" i="4"/>
  <c r="J15" i="4"/>
  <c r="D15" i="4"/>
  <c r="J14" i="4"/>
  <c r="I14" i="4"/>
  <c r="D14" i="4"/>
  <c r="D13" i="4"/>
  <c r="J12" i="4"/>
  <c r="L11" i="4"/>
  <c r="K11" i="4"/>
  <c r="J11" i="4"/>
  <c r="J13" i="4" s="1"/>
  <c r="I11" i="4"/>
  <c r="I15" i="4" s="1"/>
  <c r="H11" i="4"/>
  <c r="H19" i="4" s="1"/>
  <c r="G11" i="4"/>
  <c r="F11" i="4"/>
  <c r="E11" i="4"/>
  <c r="D11" i="4"/>
  <c r="D19" i="4" s="1"/>
  <c r="H50" i="4" l="1"/>
  <c r="H49" i="4"/>
  <c r="H13" i="4"/>
  <c r="H46" i="4"/>
  <c r="I13" i="4"/>
  <c r="H15" i="4"/>
  <c r="H48" i="4"/>
  <c r="E50" i="4"/>
  <c r="J40" i="5"/>
  <c r="K42" i="5"/>
  <c r="K44" i="5"/>
  <c r="J50" i="4"/>
  <c r="I40" i="5"/>
  <c r="I65" i="4"/>
  <c r="F50" i="4"/>
  <c r="K40" i="5"/>
  <c r="D46" i="5"/>
  <c r="J62" i="4"/>
  <c r="J66" i="4"/>
  <c r="J69" i="4" s="1"/>
  <c r="H62" i="4"/>
  <c r="H66" i="4"/>
  <c r="H69" i="4" s="1"/>
  <c r="I62" i="4"/>
  <c r="I66" i="4"/>
  <c r="I69" i="4" s="1"/>
  <c r="I67" i="4"/>
  <c r="E62" i="4"/>
  <c r="E66" i="4"/>
  <c r="E67" i="4" s="1"/>
  <c r="E19" i="4"/>
  <c r="E15" i="4"/>
  <c r="E13" i="4"/>
  <c r="K19" i="4"/>
  <c r="K15" i="4"/>
  <c r="K13" i="4"/>
  <c r="K12" i="4"/>
  <c r="F66" i="4"/>
  <c r="F69" i="4" s="1"/>
  <c r="F62" i="4"/>
  <c r="F46" i="5"/>
  <c r="F44" i="5"/>
  <c r="F42" i="5"/>
  <c r="F40" i="5"/>
  <c r="L46" i="5"/>
  <c r="L44" i="5"/>
  <c r="L42" i="5"/>
  <c r="L40" i="5"/>
  <c r="F41" i="5"/>
  <c r="L43" i="5"/>
  <c r="F45" i="5"/>
  <c r="F16" i="4"/>
  <c r="F14" i="4"/>
  <c r="L16" i="4"/>
  <c r="L14" i="4"/>
  <c r="L12" i="4"/>
  <c r="K14" i="4"/>
  <c r="K16" i="4"/>
  <c r="G66" i="4"/>
  <c r="G69" i="4" s="1"/>
  <c r="D62" i="4"/>
  <c r="D67" i="4"/>
  <c r="G62" i="4"/>
  <c r="G46" i="5"/>
  <c r="G44" i="5"/>
  <c r="G42" i="5"/>
  <c r="G40" i="5"/>
  <c r="G41" i="5"/>
  <c r="G45" i="5"/>
  <c r="G16" i="4"/>
  <c r="G14" i="4"/>
  <c r="G12" i="4"/>
  <c r="E12" i="4"/>
  <c r="L13" i="4"/>
  <c r="L15" i="4"/>
  <c r="L19" i="4"/>
  <c r="I50" i="4"/>
  <c r="I49" i="4"/>
  <c r="I48" i="4"/>
  <c r="H46" i="5"/>
  <c r="H44" i="5"/>
  <c r="H42" i="5"/>
  <c r="H40" i="5"/>
  <c r="H41" i="5"/>
  <c r="H45" i="5"/>
  <c r="H16" i="4"/>
  <c r="H14" i="4"/>
  <c r="H12" i="4"/>
  <c r="F12" i="4"/>
  <c r="F13" i="4"/>
  <c r="F15" i="4"/>
  <c r="F19" i="4"/>
  <c r="D49" i="4"/>
  <c r="D48" i="4"/>
  <c r="D47" i="4"/>
  <c r="J49" i="4"/>
  <c r="J48" i="4"/>
  <c r="J47" i="4"/>
  <c r="L41" i="5"/>
  <c r="F43" i="5"/>
  <c r="L45" i="5"/>
  <c r="I12" i="4"/>
  <c r="G13" i="4"/>
  <c r="E14" i="4"/>
  <c r="G15" i="4"/>
  <c r="E16" i="4"/>
  <c r="G19" i="4"/>
  <c r="E48" i="4"/>
  <c r="E47" i="4"/>
  <c r="E46" i="4"/>
  <c r="D46" i="4"/>
  <c r="I47" i="4"/>
  <c r="G43" i="5"/>
  <c r="I41" i="5"/>
  <c r="I43" i="5"/>
  <c r="F46" i="4"/>
  <c r="D41" i="5"/>
  <c r="J41" i="5"/>
  <c r="D43" i="5"/>
  <c r="J43" i="5"/>
  <c r="E41" i="5"/>
  <c r="K41" i="5"/>
  <c r="E43" i="5"/>
  <c r="K43" i="5"/>
  <c r="H67" i="4" l="1"/>
  <c r="G67" i="4"/>
  <c r="F67" i="4"/>
  <c r="J67" i="4"/>
</calcChain>
</file>

<file path=xl/sharedStrings.xml><?xml version="1.0" encoding="utf-8"?>
<sst xmlns="http://schemas.openxmlformats.org/spreadsheetml/2006/main" count="1033" uniqueCount="511">
  <si>
    <t>ATE — Advantest + Teradyne | resumo em ano-calendário (US$ milhões salvo indicação)</t>
  </si>
  <si>
    <t>Bloomberg BEst calendarizado ('&lt;yr&gt;BC', pulled 2026-09-18) para CY2019-CY2025 (anos completos = actuals); CY2026-CY2028 = modelos oficiais Capstone (Template DCF ADVANTEST / TER, 2026-09-18). Advantest convertida ao FX médio do CY (BBG USDJPY; 157 / 150 / 150 nas projeções).</t>
  </si>
  <si>
    <t>Preto = actual  |  Azul = estimativa (casa)  |  Cinza = consenso BBG (memo). Advantest reporta FY-Mar em IFRS; Teradyne non-GAAP (SBC não excluído).</t>
  </si>
  <si>
    <t>Receita (US$ mi)</t>
  </si>
  <si>
    <t>Empresa</t>
  </si>
  <si>
    <t>CY2019A</t>
  </si>
  <si>
    <t>CY2020A</t>
  </si>
  <si>
    <t>CY2021A</t>
  </si>
  <si>
    <t>CY2022A</t>
  </si>
  <si>
    <t>CY2023A</t>
  </si>
  <si>
    <t>CY2024A</t>
  </si>
  <si>
    <t>CY2025A</t>
  </si>
  <si>
    <t>CY2026E</t>
  </si>
  <si>
    <t>CY2027E</t>
  </si>
  <si>
    <t>CY2028E</t>
  </si>
  <si>
    <t>Advantest (US$, ao FX médio do CY)</t>
  </si>
  <si>
    <t>Teradyne</t>
  </si>
  <si>
    <t>Combinado</t>
  </si>
  <si>
    <t>Advantest — ¥ bilhões (memo)</t>
  </si>
  <si>
    <t>Crescimento da receita (US$)</t>
  </si>
  <si>
    <t>Advantest (US$)</t>
  </si>
  <si>
    <t>-</t>
  </si>
  <si>
    <t>Advantest (¥, moeda local)</t>
  </si>
  <si>
    <t>Margem bruta (Advantest IFRS; Teradyne non-GAAP)</t>
  </si>
  <si>
    <t>Advantest</t>
  </si>
  <si>
    <t>Resultado operacional (US$ mi; Advantest IFRS, Teradyne non-GAAP)</t>
  </si>
  <si>
    <t>Margem operacional</t>
  </si>
  <si>
    <t>Lucro líquido (US$ mi; Advantest IFRS, Teradyne non-GAAP)</t>
  </si>
  <si>
    <t>EPS diluído (moeda local; Advantest ¥ IFRS, Teradyne US$ non-GAAP)</t>
  </si>
  <si>
    <t>Advantest (¥)</t>
  </si>
  <si>
    <t>Teradyne (US$)</t>
  </si>
  <si>
    <t>Ações diluídas (milhões)</t>
  </si>
  <si>
    <t>Free cash flow (US$ mi; CFO − capex; CY26-28 = FCF equity dos modelos)</t>
  </si>
  <si>
    <t>Mix Advantest / (Advantest + Teradyne)</t>
  </si>
  <si>
    <t>Receita</t>
  </si>
  <si>
    <t>Resultado operacional</t>
  </si>
  <si>
    <t>Consenso BBG calendarizado ('&lt;yr&gt;BC') — memo para CY2026-CY2028 (casa ÷ consenso − 1 na linha seguinte)</t>
  </si>
  <si>
    <t>Advantest receita (¥ mi) — consenso</t>
  </si>
  <si>
    <t xml:space="preserve">  casa ÷ consenso − 1</t>
  </si>
  <si>
    <t>Teradyne receita (US$ mi) — consenso</t>
  </si>
  <si>
    <t>Advantest EPS (¥) — consenso BBG FY-Mar (NÃO calendarizado: 1CY = 1FY)</t>
  </si>
  <si>
    <t>Teradyne EPS (US$) — consenso</t>
  </si>
  <si>
    <t>Nota: para a Advantest o EPS de consenso BBG em '2026BC' é o EPS do FY-Mar-2027 (¥927), não um EPS calendarizado — comparar EPS em FY ou por trimestre; receita e EBIT BC são calendarizados.</t>
  </si>
  <si>
    <t>Detalhe por empresa em ano-calendário — P&amp;L (GAAP/IFRS e non-GAAP) + revenue build-up por segmento e drivers</t>
  </si>
  <si>
    <t>Bloomberg (pulled 2026-09-18): linhas non-GAAP = BEst calendarizado '&lt;yr&gt;BC' (anos completos = actuals); linhas GAAP/IFRS = trimestres reportados pró-rateados por dias no ano-calendário; segmentos = PG_REVENUE (produto). CY2026-28 = modelos oficiais Capstone.</t>
  </si>
  <si>
    <t>Advantest (6857 JP)   |   JPY mm, EPS em JPY   |   FYE mar</t>
  </si>
  <si>
    <t>JPY mm</t>
  </si>
  <si>
    <t xml:space="preserve">  YoY</t>
  </si>
  <si>
    <t>Margem bruta — IFRS</t>
  </si>
  <si>
    <t>Resultado operacional — IFRS</t>
  </si>
  <si>
    <t xml:space="preserve">  Margem operacional</t>
  </si>
  <si>
    <t>Lucro líquido — IFRS</t>
  </si>
  <si>
    <t>CY26E inclui ¥66 bi de resultado financeiro não recorrente (ganhos de valuation de investimentos estratégicos); EPS ex = ¥821.</t>
  </si>
  <si>
    <t xml:space="preserve">  Margem líquida</t>
  </si>
  <si>
    <t>EPS básico/diluído (¥)</t>
  </si>
  <si>
    <t>Ações diluídas (milhões, média ponderada)</t>
  </si>
  <si>
    <t>Free cash flow (CFO − capex; CY26+ FCF equity do modelo)</t>
  </si>
  <si>
    <t xml:space="preserve">  Margem FCF</t>
  </si>
  <si>
    <t>Nº de estimativas de receita (BBG)</t>
  </si>
  <si>
    <t>Consenso BBG receita ('&lt;yr&gt;BC') — memo</t>
  </si>
  <si>
    <t>Consenso BBG EBIT ('&lt;yr&gt;BC') — memo</t>
  </si>
  <si>
    <t>Revenue build-up — Advantest (¥ milhões; CY = jan-mar do FQ4 anterior + abr-dez)</t>
  </si>
  <si>
    <t>SoC test systems</t>
  </si>
  <si>
    <t>Memory test systems</t>
  </si>
  <si>
    <t>Outros sistemas (handlers, probers, interfaces; 'Mechatronics' até FY23)</t>
  </si>
  <si>
    <t>Services &amp; Others</t>
  </si>
  <si>
    <t>Soma dos segmentos</t>
  </si>
  <si>
    <t xml:space="preserve">  Receita reportada / modelo (linha 'Receita' acima)</t>
  </si>
  <si>
    <t xml:space="preserve">  Diferença (segmentos − receita)</t>
  </si>
  <si>
    <t>Histórico: segmentos BBG PG_REVENUE trimestrais (2024-25) ou FY pró-rateado 25/75 (≤2023) — diferença = calendarização/arredondamento. Basis por ano na linha abaixo.</t>
  </si>
  <si>
    <t xml:space="preserve">  Base do build-up histórico</t>
  </si>
  <si>
    <t>FY pró-rateado 25/75</t>
  </si>
  <si>
    <t>trimestres</t>
  </si>
  <si>
    <t>modelo</t>
  </si>
  <si>
    <t xml:space="preserve">    % SoC</t>
  </si>
  <si>
    <t xml:space="preserve">    % Memória</t>
  </si>
  <si>
    <t xml:space="preserve">    % Outros sistemas + Services</t>
  </si>
  <si>
    <t>Drivers do modelo (CY2023-CY2028; Template DCF ADVANTEST)</t>
  </si>
  <si>
    <t>WFE global (US$ bi)</t>
  </si>
  <si>
    <t>Intensidade de teste (TAM ATE / WFE)</t>
  </si>
  <si>
    <t>TAM ATE total (US$ bi) — base Advantest ex burn-in</t>
  </si>
  <si>
    <t>TAM SoC (US$ bi)</t>
  </si>
  <si>
    <t>Share Advantest em SoC</t>
  </si>
  <si>
    <t>CY23-25 implícito (receita SoC ÷ TAM SoC); mgmt: 66% em CY25, 'path to &gt;70%'.</t>
  </si>
  <si>
    <t>Receita SoC (US$ mi) = TAM × share</t>
  </si>
  <si>
    <t>TAM memória (US$ bi)</t>
  </si>
  <si>
    <t>Share Advantest em memória</t>
  </si>
  <si>
    <t>Receita memória (US$ mi) = TAM × share</t>
  </si>
  <si>
    <t>FX ¥/US$ (média do ano)</t>
  </si>
  <si>
    <t>Outros sistemas / (SoC + memória)</t>
  </si>
  <si>
    <t>Services &amp; Others / Test Systems</t>
  </si>
  <si>
    <t>Teradyne (TER US)   |   USD mm, EPS em USD   |   FYE dez</t>
  </si>
  <si>
    <t>USD mm</t>
  </si>
  <si>
    <t>Margem bruta — GAAP</t>
  </si>
  <si>
    <t>Margem bruta — non-GAAP</t>
  </si>
  <si>
    <t>Resultado operacional (EBIT) — GAAP</t>
  </si>
  <si>
    <t xml:space="preserve">  Margem EBIT — GAAP</t>
  </si>
  <si>
    <t>Resultado operacional (EBIT) — non-GAAP</t>
  </si>
  <si>
    <t xml:space="preserve">  Margem EBIT — non-GAAP</t>
  </si>
  <si>
    <t>Lucro líquido — GAAP</t>
  </si>
  <si>
    <t>Lucro líquido — non-GAAP</t>
  </si>
  <si>
    <t xml:space="preserve">  Margem líquida — non-GAAP</t>
  </si>
  <si>
    <t>EPS diluído — GAAP</t>
  </si>
  <si>
    <t>EPS diluído — non-GAAP</t>
  </si>
  <si>
    <t>Revenue build-up — Teradyne (US$ milhões; segmentação de 2025: Semi Test inclui IST; Product Test = System + Wireless ex-IST)</t>
  </si>
  <si>
    <t>Semiconductor Test</t>
  </si>
  <si>
    <t xml:space="preserve">  SOC</t>
  </si>
  <si>
    <t>CY26-28: Semi Test do modelo × mix da iniciação (SOC 74% / 74% / 75%; memória 20% / 22% / 21%; IST 5% / 5% / 4%).</t>
  </si>
  <si>
    <t xml:space="preserve">  Memory</t>
  </si>
  <si>
    <t xml:space="preserve">  IST (storage test; dentro de Semi Test desde 2023)</t>
  </si>
  <si>
    <t>Product Test (2019-22: System Test + Wireless Test, incl. storage)</t>
  </si>
  <si>
    <t>Robotics</t>
  </si>
  <si>
    <t xml:space="preserve">  Receita reportada / modelo</t>
  </si>
  <si>
    <t xml:space="preserve">    % Semi Test</t>
  </si>
  <si>
    <t xml:space="preserve">    % SOC / Semi Test</t>
  </si>
  <si>
    <t xml:space="preserve">    % Memory / Semi Test</t>
  </si>
  <si>
    <t>Drivers do modelo (CY2023-CY2028; Template DCF TER)</t>
  </si>
  <si>
    <t>Share Teradyne no TAM (Semi Test incl. IST ÷ TAM)</t>
  </si>
  <si>
    <t>Calibrado à iniciação (2026-09-16): +90bp / +100bp por ano; na base WFE da iniciação = 34,2% / 35,4% / 36,9%.</t>
  </si>
  <si>
    <t>Semi Test (US$ mi) = TAM × share</t>
  </si>
  <si>
    <t>Product Test — crescimento</t>
  </si>
  <si>
    <t>Robotics — crescimento</t>
  </si>
  <si>
    <t>Visão trimestral — trimestre fiscal alocado ao trimestre-calendário mais próximo (1Q25 … 4Q26)</t>
  </si>
  <si>
    <t>Bloomberg, pulled 2026-09-18. A = reportado (FUND_PER=Qn); E = consenso BEst (1FQ/2FQ). Advantest: FQ1 FY26 (convenção da empresa) = abr-jun 2026 = 2Q26. Segmentos trimestrais = PG_REVENUE por trimestre fiscal.</t>
  </si>
  <si>
    <t>Advantest (6857 JP)   |   JPY mm, EPS em JPY</t>
  </si>
  <si>
    <t>1Q25</t>
  </si>
  <si>
    <t>2Q25</t>
  </si>
  <si>
    <t>3Q25</t>
  </si>
  <si>
    <t>4Q25</t>
  </si>
  <si>
    <t>1Q26</t>
  </si>
  <si>
    <t>2Q26</t>
  </si>
  <si>
    <t>3Q26</t>
  </si>
  <si>
    <t>4Q26</t>
  </si>
  <si>
    <t>Trimestre fiscal (fim do período)</t>
  </si>
  <si>
    <t>FQ4 FY25 (ended 31-Mar-25) = FQ4 FY24 na convenção Advantest</t>
  </si>
  <si>
    <t>FQ1 FY26 (ended 30-Jun-25) = FQ1 FY25 na convenção Advantest</t>
  </si>
  <si>
    <t>FQ2 FY26 (ended 30-Sep-25) = FQ2 FY25 na convenção Advantest</t>
  </si>
  <si>
    <t>FQ3 FY26 (ended 31-Dec-25) = FQ3 FY25 na convenção Advantest</t>
  </si>
  <si>
    <t>FQ4 FY26 (ended 31-Mar-26) = FQ4 FY25 na convenção Advantest</t>
  </si>
  <si>
    <t>FQ1 FY27 (ended 30-Jun-26) = FQ1 FY26 na convenção Advantest</t>
  </si>
  <si>
    <t>FQ2 FY27 (ended 30-Sep-26) = FQ2 FY26 na convenção Advantest</t>
  </si>
  <si>
    <t>FQ3 FY27 (ended 31-Dec-26) = FQ3 FY26 na convenção Advantest</t>
  </si>
  <si>
    <t>Base</t>
  </si>
  <si>
    <t>A - reportado</t>
  </si>
  <si>
    <t>E - consenso</t>
  </si>
  <si>
    <t xml:space="preserve">  YoY (vs mesmo trimestre-calendário)</t>
  </si>
  <si>
    <t>Margem bruta — IFRS (reportado) / consenso</t>
  </si>
  <si>
    <t>Resultado operacional — IFRS / consenso</t>
  </si>
  <si>
    <t>Lucro líquido — IFRS / consenso</t>
  </si>
  <si>
    <t>EPS (¥)</t>
  </si>
  <si>
    <t>Free cash flow (CFO − capex)</t>
  </si>
  <si>
    <t>Nº de estimativas de receita</t>
  </si>
  <si>
    <t>Revenue build-up por segmento (reportado; PG_REVENUE trimestral)</t>
  </si>
  <si>
    <t>Outros sistemas</t>
  </si>
  <si>
    <t xml:space="preserve">  % SoC / receita</t>
  </si>
  <si>
    <t>Teradyne (TER US)   |   USD mm, EPS em USD</t>
  </si>
  <si>
    <t>FQ1 FY25 (ended 30-Mar-25)</t>
  </si>
  <si>
    <t>FQ2 FY25 (ended 29-Jun-25)</t>
  </si>
  <si>
    <t>FQ3 FY25 (ended 28-Sep-25)</t>
  </si>
  <si>
    <t>FQ4 FY25 (ended 31-Dec-25)</t>
  </si>
  <si>
    <t>FQ1 FY26 (ended 29-Mar-26)</t>
  </si>
  <si>
    <t>FQ2 FY26 (ended 28-Jun-26)</t>
  </si>
  <si>
    <t>FQ3 FY26 (ended 30-Sep-26)</t>
  </si>
  <si>
    <t>FQ4 FY26 (ended 31-Dec-26)</t>
  </si>
  <si>
    <t>Margem bruta — GAAP (reportado)</t>
  </si>
  <si>
    <t>Margem bruta — non-GAAP (consenso)</t>
  </si>
  <si>
    <t>EBIT — GAAP (reportado)</t>
  </si>
  <si>
    <t>EBIT — non-GAAP (consenso)</t>
  </si>
  <si>
    <t>Lucro líquido — GAAP (reportado)</t>
  </si>
  <si>
    <t xml:space="preserve">  IST</t>
  </si>
  <si>
    <t>Product Test</t>
  </si>
  <si>
    <t xml:space="preserve">  % SOC / Semi Test</t>
  </si>
  <si>
    <t>ATE | Mix por segmento e produto — histórico e modelo</t>
  </si>
  <si>
    <t>Advantest em FY-Mar (¥ bi; FY18 = abr-2018→mar-2019) e Teradyne em ano-calendário (US$ mi). Fontes: BBG PG_REVENUE (FUND_PER=A, 2026-09-18), deck Advantest 1Q FY26, 10-K FY25 Teradyne, modelos oficiais.</t>
  </si>
  <si>
    <t>Advantest — receita por produto, FY-Mar (¥ bilhões)</t>
  </si>
  <si>
    <t>FY18</t>
  </si>
  <si>
    <t>FY19</t>
  </si>
  <si>
    <t>FY20</t>
  </si>
  <si>
    <t>FY21</t>
  </si>
  <si>
    <t>FY22</t>
  </si>
  <si>
    <t>FY23</t>
  </si>
  <si>
    <t>FY24</t>
  </si>
  <si>
    <t>FY25</t>
  </si>
  <si>
    <t>FY26e</t>
  </si>
  <si>
    <t>Fonte / nota</t>
  </si>
  <si>
    <t>BBG PG_REVENUE (FY18-23 'SoC' dentro de Semiconductor &amp; Component Test; FY24-25 deck 1Q FY26); FY26e = guidance jul-2026.</t>
  </si>
  <si>
    <t>Outros sistemas (mechatronics → 'Other systems' a partir de FY24)</t>
  </si>
  <si>
    <t>FY24+ nova estrutura de 2 segmentos: SLT e interfaces migraram de Serviços para 'Other systems' — quebra de série entre FY23 e FY24.</t>
  </si>
  <si>
    <t>Services &amp; Others (FY18-23: 'Services, Support &amp; Others' incl. SLT)</t>
  </si>
  <si>
    <t>Receita total</t>
  </si>
  <si>
    <t>Crescimento</t>
  </si>
  <si>
    <t xml:space="preserve">  % SoC test systems</t>
  </si>
  <si>
    <t xml:space="preserve">  % Memory test systems</t>
  </si>
  <si>
    <t xml:space="preserve">  % Outros sistemas</t>
  </si>
  <si>
    <t xml:space="preserve">  % Services &amp; Others</t>
  </si>
  <si>
    <t>Receita total reportada (¥ bi) — referência</t>
  </si>
  <si>
    <t>Tanshin / guidance jul-2026; a soma dos segmentos BBG difere por arredondamento (≤¥1,3 bi).</t>
  </si>
  <si>
    <t>FX ¥/US$ (média FY-Mar)</t>
  </si>
  <si>
    <t>BBG USDJPY médias mensais abr→mar; FY26e = premissa da companhia (¥152; YTD 159).</t>
  </si>
  <si>
    <t>Receita total (US$ mi)</t>
  </si>
  <si>
    <t>SoC (US$ mi)</t>
  </si>
  <si>
    <t>Memória (US$ mi)</t>
  </si>
  <si>
    <t>Advantest — mix de aplicação e trimestres recentes</t>
  </si>
  <si>
    <t>SoC: Computing / Communications (% do SoC)</t>
  </si>
  <si>
    <t>Deck 1Q FY26: FY24 90/10, FY26e 95/5 (Auto / Industrial / Consumer / DDIC = resto).</t>
  </si>
  <si>
    <t>Memória: DRAM (% da memória)</t>
  </si>
  <si>
    <t>Deck 1Q FY26: DRAM 95 / 90 / 85%; não volátil 5 / 10 / 15% (triplica em dois anos).</t>
  </si>
  <si>
    <t>SoC: ~80% HPC / AI (comentário)</t>
  </si>
  <si>
    <t>Call 3Q FY25 (2026-01-28): ~80% do negócio SoC é HPC/AI.</t>
  </si>
  <si>
    <t>Trimestres (¥ bi) — jan-mar 2026 / abr-jun 2026</t>
  </si>
  <si>
    <t>Q4 FY25</t>
  </si>
  <si>
    <t>Q1 FY26</t>
  </si>
  <si>
    <t>Deck 1Q FY26 (2026-07-29).</t>
  </si>
  <si>
    <t>Other systems</t>
  </si>
  <si>
    <t>Support services</t>
  </si>
  <si>
    <t>Others</t>
  </si>
  <si>
    <t>Total</t>
  </si>
  <si>
    <t>Teradyne — receita por segmento e sub-segmento, CY (US$ milhões)</t>
  </si>
  <si>
    <t>2019</t>
  </si>
  <si>
    <t>2020</t>
  </si>
  <si>
    <t>2021</t>
  </si>
  <si>
    <t>2022</t>
  </si>
  <si>
    <t>2023</t>
  </si>
  <si>
    <t>2024</t>
  </si>
  <si>
    <t>2025</t>
  </si>
  <si>
    <t>BBG PG_REVENUE / 10-K; 2023-25 na segmentação de 2025 (inclui IST).</t>
  </si>
  <si>
    <t>BBG PG_REVENUE nível 2.</t>
  </si>
  <si>
    <t xml:space="preserve">  IST (storage/system test dentro de Semi Test desde 2023)</t>
  </si>
  <si>
    <t>BBG PG_REVENUE; antes de 2023 dentro de System Test.</t>
  </si>
  <si>
    <t>Product Test (2019-22: System Test + Wireless Test)</t>
  </si>
  <si>
    <t>2019-22 soma de System + Wireless (segmentação antiga, incl. storage); 2023-25 restated ex-IST.</t>
  </si>
  <si>
    <t>BBG PG_REVENUE / 10-K.</t>
  </si>
  <si>
    <t>10-K: 2.295,0 / 3.121,5 / 3.702,9 / 3.155,0 / 2.676,3 / 2.819,9 / 3.190,0 (diferenças de arredondamento/corporate).</t>
  </si>
  <si>
    <t xml:space="preserve">  % Semiconductor Test</t>
  </si>
  <si>
    <t xml:space="preserve">  % SOC</t>
  </si>
  <si>
    <t xml:space="preserve">  % Memory</t>
  </si>
  <si>
    <t xml:space="preserve">  % Product Test (2019-22: System Test + Wireless Test)</t>
  </si>
  <si>
    <t xml:space="preserve">  % Robotics</t>
  </si>
  <si>
    <t xml:space="preserve">  SOC / Semi Test</t>
  </si>
  <si>
    <t>Teradyne — end-market e trimestre</t>
  </si>
  <si>
    <t>Q3 FY25</t>
  </si>
  <si>
    <t>Q2 CY26</t>
  </si>
  <si>
    <t>AI-related como % da receita</t>
  </si>
  <si>
    <t>Calls 1Q FY26 (2026-04-29): ~50% → ~60% → ~70%.</t>
  </si>
  <si>
    <t>Compute como % da receita de produto SOC</t>
  </si>
  <si>
    <t>Call 2Q CY26 (2026-07-29): compute 70% do SOC product revenue, +~600% y/y.</t>
  </si>
  <si>
    <t>SOC / Memory / IST no trimestre (US$ mi)</t>
  </si>
  <si>
    <t>843 / 212 / 67</t>
  </si>
  <si>
    <t>Call 2Q CY26: Semi Test $1.122 mi = SOC 843 + memória 212 (recorde) + IST 67.</t>
  </si>
  <si>
    <t>Duopólio SoC e memória — histórico em US$ (Advantest FY-Mar ao FX médio FY vs Teradyne CY)</t>
  </si>
  <si>
    <t>⚠ Basis: FY-Mar da Advantest (FY19 = abr-19→mar-20) contra CY da Teradyne — desalinhamento de um trimestre.</t>
  </si>
  <si>
    <t>Advantest SoC (US$ mi, FY-Mar)</t>
  </si>
  <si>
    <t>Teradyne SOC (US$ mi, CY)</t>
  </si>
  <si>
    <t>Advantest / (Advantest + Teradyne) em SoC</t>
  </si>
  <si>
    <t>Advantest memória (US$ mi, FY-Mar)</t>
  </si>
  <si>
    <t>Teradyne Memory (US$ mi, CY)</t>
  </si>
  <si>
    <t>Advantest / (Advantest + Teradyne) em memória</t>
  </si>
  <si>
    <t>Duopólio SoC + memória (US$ mi)</t>
  </si>
  <si>
    <t xml:space="preserve">  Advantest / duopólio</t>
  </si>
  <si>
    <t>TAM ATE referência (US$ bi) — Advantest deck (CY24-25) / Capstone Industry Assumptions (2019-23, base antiga)</t>
  </si>
  <si>
    <t>2021-23 = ASML_Peers_SemiCap_Felipe.xlsx Industry Assumptions (base antiga; o mesmo arquivo carrega 6,8 / 8,0 bi para 2025 / 2026, ~40% abaixo da série da Advantest); 2024-25 deck Advantest 2026-07-29.</t>
  </si>
  <si>
    <t xml:space="preserve">  Duopólio / TAM referência</t>
  </si>
  <si>
    <t>⚠ Numerador Advantest em FY-Mar (inclui jan-mar do ano seguinte) vs TAM CY — infla a razão em anos de crescimento (2024-25 ~96-99% é teto, não leitura). 2021-23 na base antiga: 69-84%.</t>
  </si>
  <si>
    <t>ATE | Mix geográfico</t>
  </si>
  <si>
    <t>Teradyne: receita por país (localização do cliente, 10-K / 10-Q). Advantest: ship-to por região (deck trimestral) e localização do cliente (tanshin).</t>
  </si>
  <si>
    <t>Teradyne — receita por país (US$ mi; localização do site do cliente)</t>
  </si>
  <si>
    <t>1H26 %</t>
  </si>
  <si>
    <t>2Q26 %</t>
  </si>
  <si>
    <t>Taiwan</t>
  </si>
  <si>
    <t>Taiwan 36% em 2025 (21% em 2024) e 41% no 1H26: o swing para compute AI/OSATs taiwaneses. Coreia 25% em 2024 (memória/Samsung 12,5%) → 14% em 2025 → 20% no 1H26 (HBM).</t>
  </si>
  <si>
    <t>China</t>
  </si>
  <si>
    <t>China 14% (2025) / 11% (1H26): abaixo dos ~19-20% da Advantest.</t>
  </si>
  <si>
    <t>Coreia</t>
  </si>
  <si>
    <t>Estados Unidos</t>
  </si>
  <si>
    <t>Europa</t>
  </si>
  <si>
    <t>Japão</t>
  </si>
  <si>
    <t>Filipinas</t>
  </si>
  <si>
    <t>Singapura</t>
  </si>
  <si>
    <t>Tailândia</t>
  </si>
  <si>
    <t>Malásia</t>
  </si>
  <si>
    <t>Resto do mundo (residual; 2025 inclui Japão ~2%)</t>
  </si>
  <si>
    <t>2025: Japão ~2% + RoW ~4% (10-K %); o valor de Japão 2025 não foi extraído em US$.</t>
  </si>
  <si>
    <t>10-K FY23 / FY24 / FY25 'revenues by country'; 10-Q 2Q FY26 (six months / three months ended 28-jun-2026).</t>
  </si>
  <si>
    <t xml:space="preserve">  % Taiwan</t>
  </si>
  <si>
    <t xml:space="preserve">  % China</t>
  </si>
  <si>
    <t xml:space="preserve">  % Coreia</t>
  </si>
  <si>
    <t xml:space="preserve">  % Estados Unidos</t>
  </si>
  <si>
    <t xml:space="preserve">  % Europa</t>
  </si>
  <si>
    <t xml:space="preserve">  % Japão</t>
  </si>
  <si>
    <t xml:space="preserve">  % Filipinas</t>
  </si>
  <si>
    <t xml:space="preserve">  % Singapura</t>
  </si>
  <si>
    <t xml:space="preserve">  % Tailândia</t>
  </si>
  <si>
    <t xml:space="preserve">  % Malásia</t>
  </si>
  <si>
    <t>Advantest — ship-to por região, trimestral (¥ bilhões) — Q1 FY24 (abr-jun 2024) → Q1 FY26 (abr-jun 2026)</t>
  </si>
  <si>
    <t>Q1 FY24</t>
  </si>
  <si>
    <t>Q2 FY24</t>
  </si>
  <si>
    <t>Q3 FY24</t>
  </si>
  <si>
    <t>Q4 FY24</t>
  </si>
  <si>
    <t>Q1 FY25</t>
  </si>
  <si>
    <t>Q2 FY25</t>
  </si>
  <si>
    <t>⚠ Séries mapeadas às regiões por magnitude (Taiwan = maior ship-to; China ≈19% no Q1 FY26 por Q&amp;A). Conferir com o gráfico do slide 7.</t>
  </si>
  <si>
    <t>Taiwan 30% (Q1 FY24) → 49% (Q1 FY26): fabless norte-americanos via TSMC/OSATs — mesma migração vista na Teradyne (Taiwan 41% no 1H26).</t>
  </si>
  <si>
    <t>Coreia do Sul</t>
  </si>
  <si>
    <t>Coreia (memória: HBM/DRAM para Hynix/Samsung) volátil — 23,7 no Q4 FY24 vs 67,4 no Q1 FY26.</t>
  </si>
  <si>
    <t>Américas</t>
  </si>
  <si>
    <t>Outros</t>
  </si>
  <si>
    <t>Total (confere com a receita trimestral reportada)</t>
  </si>
  <si>
    <t>Reportado: 138,7 / 190,5 / 218,2 / 232,3 / 263,8 / 262,9 / 273,8 / 328,1 / 367,5.</t>
  </si>
  <si>
    <t xml:space="preserve">  % Coreia do Sul</t>
  </si>
  <si>
    <t xml:space="preserve">  % Américas</t>
  </si>
  <si>
    <t xml:space="preserve">  % Outros</t>
  </si>
  <si>
    <t>Advantest — receita por localização do cliente, FY-Mar (¥ bilhões, tanshin)</t>
  </si>
  <si>
    <t>Américas (EUA, Brasil etc.)</t>
  </si>
  <si>
    <t>Europa (Alemanha, Israel, Irlanda etc.)</t>
  </si>
  <si>
    <t>Ásia (Taiwan, China, Coreia, Malásia etc.)</t>
  </si>
  <si>
    <t xml:space="preserve">  % Ásia</t>
  </si>
  <si>
    <t>Tanshin FY2025 p.12: 97,8% das vendas a clientes no exterior (Japão 2,2%). Ship-to Japão 8% ≠ cliente japonês (fabs de clientes estrangeiros no Japão).</t>
  </si>
  <si>
    <t>ATE | Maiores clientes e concentração — comentários com fonte</t>
  </si>
  <si>
    <t>Cada linha carrega a fonte e a data. 'Inferência' = identificação de mercado, não disclosure da companhia.</t>
  </si>
  <si>
    <t>Cliente / conta</t>
  </si>
  <si>
    <t>Métrica</t>
  </si>
  <si>
    <t>Valor</t>
  </si>
  <si>
    <t>Período</t>
  </si>
  <si>
    <t>Fonte (documento, data)</t>
  </si>
  <si>
    <t>Leitura / comentário</t>
  </si>
  <si>
    <t>NVIDIA International, Inc.</t>
  </si>
  <si>
    <t>% das vendas consolidadas</t>
  </si>
  <si>
    <t>20,2% (¥228,3 bi)</t>
  </si>
  <si>
    <t>FY25 (mar-26)</t>
  </si>
  <si>
    <t>Annual securities report FY2025 via @QQ_Timmy (2026-08-01) — 2ª mão; aritmética confere (228,3 / 1.128,6). Wiki ADVANTEST.md 'Current state'.</t>
  </si>
  <si>
    <t>Primeira vez que um cliente cruza o limiar de 10% (ano anterior '–'). A incumbência em teste de GPU é ~1/5 da receita — o entrante (TER, 2ª fonte qualificada, 1º pedido no 2T CY26) é risco de P&amp;L, não só de narrativa.</t>
  </si>
  <si>
    <t>Base de clientes</t>
  </si>
  <si>
    <t>Descrição</t>
  </si>
  <si>
    <t>Foundries, OSATs, IDMs, memory makers; ~98% no exterior</t>
  </si>
  <si>
    <t>Tanshin FY2025 (2026-04-27); wiki ADVANTEST.md Snapshot.</t>
  </si>
  <si>
    <t>Ship-to concentrado em Taiwan (~49% no Q1 FY26) = fabless americanos via TSMC/OSATs; localização do cliente Ásia 92%.</t>
  </si>
  <si>
    <t>Taiwan (TSMC / OSATs / fabless)</t>
  </si>
  <si>
    <t>Ship-to</t>
  </si>
  <si>
    <t>~49% da receita</t>
  </si>
  <si>
    <t>Q1 FY26 (abr-jun 26)</t>
  </si>
  <si>
    <t>Deck 1Q FY26 slide 7 (mapeamento por magnitude) + Q&amp;A Q10 ('Taiwan remains the largest ship-to region').</t>
  </si>
  <si>
    <t>Predominantemente SoC; CoWoS device testing 'comes from Advantest' (StoneX/John Su 2025-08-20).</t>
  </si>
  <si>
    <t>% das vendas</t>
  </si>
  <si>
    <t>≈19% (histórico ~20%); SoC 80-85% / memória ~15%</t>
  </si>
  <si>
    <t>Q&amp;A 1Q FY26 Q10 (2026-07-29); call 3Q FY25: 20-25%.</t>
  </si>
  <si>
    <t>Novas fabs chinesas = opção 2028-29; até lá ~20% ou menos. Risco regulatório/decoupling + concorrência doméstica (call 4Q FY25).</t>
  </si>
  <si>
    <t>Mercado SoC (GPU / ASIC / CPU)</t>
  </si>
  <si>
    <t>Share em SoC test</t>
  </si>
  <si>
    <t>66% em CY25; 'path to &gt;70%'; share em HPC ainda maior</t>
  </si>
  <si>
    <t>CY25 → CY26</t>
  </si>
  <si>
    <t>Q&amp;A 1Q FY26 Q4 (2026-07-29).</t>
  </si>
  <si>
    <t>TER contesta: 'SOC share… pretty flat, maybe a slight incremental gain for us' (call TER 2026-07-29). Uma das duas está errada — dado final de share ATE CY26 (~abr-27) decide.</t>
  </si>
  <si>
    <t>Hyperscaler ASIC / TPU (AVGO / MediaTek), AMD GPU &amp; CPU, ARM server CPU</t>
  </si>
  <si>
    <t>Posição competitiva</t>
  </si>
  <si>
    <t>'Dominant position in TPU testing'; 'dominant share of CPU testing outside of Intel'</t>
  </si>
  <si>
    <t>2026</t>
  </si>
  <si>
    <t>MS Asia sales desk (Amerian, 2026-08-14 / 07-27) — comentário de vendas, NÃO research; MS Research (Charlie Chan) CoWoS +82%/+64% 2026-27.</t>
  </si>
  <si>
    <t>Inferência de mercado, não disclosure. Advantest declinou separar GPU / ASIC / CPU no TAM (Q&amp;A Q1). 'Agnostic winner' entre NVDA e ASICs é a tese do desk.</t>
  </si>
  <si>
    <t>Amazon Trainium (via Alchip)</t>
  </si>
  <si>
    <t>Leitura de cadeia</t>
  </si>
  <si>
    <t>Ganho de share assumido com a troca MRVL → Alchip no design service (Trainium 4 a 2nm)</t>
  </si>
  <si>
    <t>2026-08</t>
  </si>
  <si>
    <t>MS Asia desk (2026-08-14) — comentário de vendas.</t>
  </si>
  <si>
    <t>Hipótese de cadeia; nada disclosed pela Advantest.</t>
  </si>
  <si>
    <t>Memória (SK Hynix / Samsung / Micron — HBM e DRAM de alta performance)</t>
  </si>
  <si>
    <t>Share em memory test</t>
  </si>
  <si>
    <t>~54% CY25 implícito; 'may experience a decline this year' (NAND não incumbente)</t>
  </si>
  <si>
    <t>CY26</t>
  </si>
  <si>
    <t>Q&amp;A 1Q FY26 Q4; TER concorda ('I agree with their commentary about memory', call 2026-07-29).</t>
  </si>
  <si>
    <t>Perda de share em memória é consensual entre as duas; 'Korean suppliers win HBM4 tester orders from SK Hynix' (DIGITIMES 2026-07-30). Mix memória FY26e: DRAM 85% / NVM 15%.</t>
  </si>
  <si>
    <t>Novo cliente hyperscaler ASIC</t>
  </si>
  <si>
    <t>Novo programa</t>
  </si>
  <si>
    <t>Contribuição a partir de FY26</t>
  </si>
  <si>
    <t>FY26</t>
  </si>
  <si>
    <t>Jefferies / Techknowledge (2025-12-17), via wiki.</t>
  </si>
  <si>
    <t>Alavanca da franquia NVDA (interface tester-handler) para ganhar os ASICs.</t>
  </si>
  <si>
    <t>Visibilidade de demanda</t>
  </si>
  <si>
    <t>Horizonte de forecast</t>
  </si>
  <si>
    <t>18 meses com clientes próximos (antes ~6 meses)</t>
  </si>
  <si>
    <t>2026-07</t>
  </si>
  <si>
    <t>Q&amp;A 1Q FY26 Q8.</t>
  </si>
  <si>
    <t>Contraste com TER: lead times de 10-20 semanas 'usando a supply chain para ganhar share' (UBS fireside IR 2026-08-03).</t>
  </si>
  <si>
    <t>5 maiores clientes diretos</t>
  </si>
  <si>
    <t>% da receita consolidada</t>
  </si>
  <si>
    <t>44% (2025) / 36% (2024) / 32% (2023) / 26% (2022) / 33% (2021)</t>
  </si>
  <si>
    <t>2021-2025</t>
  </si>
  <si>
    <t>10-K FY25 (2026-02-19), FY24, FY23 — 'Sales and Distribution'.</t>
  </si>
  <si>
    <t>Concentração subiu 18 pp em dois anos com o ramp de compute AI; 'vast majority of tester demand driven by ~2 customers' (call 3Q FY25).</t>
  </si>
  <si>
    <t>Dois 'specifying customers' (Semi Test + Product Test) + um comprador direto (OSAT)</t>
  </si>
  <si>
    <t>% da receita</t>
  </si>
  <si>
    <t>12% e 10% (especificadores); 19% (comprador direto, incl. receita especificada pelos dois)</t>
  </si>
  <si>
    <t>10-K FY25.</t>
  </si>
  <si>
    <t>Padrão hyperscaler/fabless → OSAT: os especificadores decidem a plataforma, o OSAT compra. Nenhum nome divulgado em 2025.</t>
  </si>
  <si>
    <t>Samsung</t>
  </si>
  <si>
    <t>% da receita (direto + OSATs)</t>
  </si>
  <si>
    <t>12,5%</t>
  </si>
  <si>
    <t>10-K FY24 / FY25 (Semi Test + Wireless Test).</t>
  </si>
  <si>
    <t>Memória (DRAM/HBM) + mobile; explica Coreia 25% da receita em 2024.</t>
  </si>
  <si>
    <t>Um cliente (Semi Test + Wireless Test)</t>
  </si>
  <si>
    <t>% especificado</t>
  </si>
  <si>
    <t>~13%</t>
  </si>
  <si>
    <t>Não nomeado; perfil mobile/SoC (Semi + Wireless).</t>
  </si>
  <si>
    <t>Texas Instruments</t>
  </si>
  <si>
    <t>10%</t>
  </si>
  <si>
    <t>10-K FY24 / FY23.</t>
  </si>
  <si>
    <t>Analógico/industrial — o cliente âncora do ciclo pré-AI.</t>
  </si>
  <si>
    <t>Qualcomm</t>
  </si>
  <si>
    <t>% da receita (direto + indireto)</t>
  </si>
  <si>
    <t>~12,5%</t>
  </si>
  <si>
    <t>10-K FY23.</t>
  </si>
  <si>
    <t>Mobile SoC; outro cliente OEM (Semi + Wireless) ~11% em 2022.</t>
  </si>
  <si>
    <t>TSMC (direto) e um OEM (Semi + Wireless, incl. OSATs como TSMC)</t>
  </si>
  <si>
    <t>TSMC 12%; OEM 19%</t>
  </si>
  <si>
    <t>10-K FY23 (o OEM não é nomeado; o mercado entende como Apple — inferência).</t>
  </si>
  <si>
    <t>Pico do ciclo mobile/Apple: Taiwan 30% da receita em 2021.</t>
  </si>
  <si>
    <t>Hyperscaler #1 (custom silicon)</t>
  </si>
  <si>
    <t>Share de tester na conta</t>
  </si>
  <si>
    <t>~70% após ramp de dual-source; cada grande hyperscaler = 'hundreds of millions to ~$1bn' de TAM anual</t>
  </si>
  <si>
    <t>2026-09</t>
  </si>
  <si>
    <t>GS Communacopia — small group com o CEO (2026-09-09; compile 09-13). Fonte = management, sem rating.</t>
  </si>
  <si>
    <t>Os ~30% de 'fast follower' eram estação de passagem, não teto. Conta não nomeada (Google/TPU e Amazon são inferências de sell-side).</t>
  </si>
  <si>
    <t>Hyperscaler #2</t>
  </si>
  <si>
    <t>Ramp</t>
  </si>
  <si>
    <t>TAM maior que #1; rampa em incrementos de 10/20/30 pontos; share de produção relevante em 2027</t>
  </si>
  <si>
    <t>2027</t>
  </si>
  <si>
    <t>UBS fireside IR (2026-08-03); GS Communacopia (2026-09-13).</t>
  </si>
  <si>
    <t>Slope mais plano, teto mais alto; SKU a SKU.</t>
  </si>
  <si>
    <t>Merchant compute (NVDA — inferência)</t>
  </si>
  <si>
    <t>Qualificação</t>
  </si>
  <si>
    <t>Qualificada como 2º vendor; 1º pedido embarcado no 2T CY26; caminho de 3-5 anos até ~30% da porção compute</t>
  </si>
  <si>
    <t>2026-27+</t>
  </si>
  <si>
    <t>Call 2Q CY26 (2026-07-29); GS Communacopia (2026-09-13). Cliente NÃO nomeado.</t>
  </si>
  <si>
    <t>É exatamente a incumbência que responde por ~20% da receita da Advantest (NVIDIA 20,2%). GS (07-05): 'durability of Advantest's GPU-test share' = debate central.</t>
  </si>
  <si>
    <t>Networking / VIP (dois grandes clientes)</t>
  </si>
  <si>
    <t>Share</t>
  </si>
  <si>
    <t>'Very, very high share' nos dois; sole-source em um; TAM ~$1 bi em 2026 (vs '$800m+ by 2028' anterior)</t>
  </si>
  <si>
    <t>UBS fireside IR (2026-08-03).</t>
  </si>
  <si>
    <t>Trocaria 'metade do share em networking por metade do share na outra parte da conta' — a qualificação recíproca em compute é o objetivo.</t>
  </si>
  <si>
    <t>Memória (DRAM/HBM + NAND)</t>
  </si>
  <si>
    <t>Receita / book-to-bill</t>
  </si>
  <si>
    <t>Recorde $212 mi no 2T CY26; book-to-bill 2,0; 3º trimestre seguido &gt;$200 mi</t>
  </si>
  <si>
    <t>2Q CY26</t>
  </si>
  <si>
    <t>Call 2Q CY26; UBS fireside IR (2026-08-03).</t>
  </si>
  <si>
    <t>Ganho de share em memória é o que a Advantest concede; TAM de memória 2026 '&gt;40% maior que 2025'.</t>
  </si>
  <si>
    <t>AI como % da receita</t>
  </si>
  <si>
    <t>Mix</t>
  </si>
  <si>
    <t>~50% (3Q FY25) → ~60% (4Q FY25) → ~70% (1Q FY26); compute = 70% do SOC product revenue no 2T CY26 (+~600% y/y)</t>
  </si>
  <si>
    <t>2025-26</t>
  </si>
  <si>
    <t>Calls 1Q FY26 (2026-04-29) e 2Q CY26 (2026-07-29).</t>
  </si>
  <si>
    <t>Swing de mobile para AI em seis trimestres; Semi Test 79% da receita em 2025.</t>
  </si>
  <si>
    <t>Intel (merchant test)</t>
  </si>
  <si>
    <t>Opção</t>
  </si>
  <si>
    <t>Volta ao ATE comercial em 2027 em pequena escala; relevante em 2028+</t>
  </si>
  <si>
    <t>2027-28</t>
  </si>
  <si>
    <t>GS Communacopia small group (2026-09-13); UBS fireside (08-03): 'at least a year out'.</t>
  </si>
  <si>
    <t>Tese da companhia, não pedido.</t>
  </si>
  <si>
    <t>Robotics — cliente 'marquee'</t>
  </si>
  <si>
    <t>3x 2025→2026 e 3x esperado 2026→2027 (UMA conta, não o segmento)</t>
  </si>
  <si>
    <t>2026-27</t>
  </si>
  <si>
    <t>GS Communacopia small group (2026-09-13).</t>
  </si>
  <si>
    <t>Robotics ainda abaixo do breakeven (~$365 mi/ano).</t>
  </si>
  <si>
    <t>Ambas</t>
  </si>
  <si>
    <t>TSMC / CoWoS (canal)</t>
  </si>
  <si>
    <t>Posicionamento</t>
  </si>
  <si>
    <t>CoWoS device testing 'comes from Advantest'; TER 'best for mobile' / InFO (Apple); 2ª fonte TER para teste AI na TSMC 'very difficult'</t>
  </si>
  <si>
    <t>2025-08</t>
  </si>
  <si>
    <t>StoneX / John Su — TSMC channel (2025-08-20).</t>
  </si>
  <si>
    <t>Leitura de canal de 2025; a qualificação de TER em merchant GPU (1º pedido 2T CY26) moveu o debate para 2027.</t>
  </si>
  <si>
    <t>TAM e share — visões cruzadas</t>
  </si>
  <si>
    <t>Comentário do concorrente</t>
  </si>
  <si>
    <t>TER sobre o TAM da Advantest: 'right zip code'; concorda em memória, contesta SoC. UBS: share total da TER ~37% em 2026, 'basically flat'</t>
  </si>
  <si>
    <t>2026-07-29</t>
  </si>
  <si>
    <t>Call TER 2Q CY26 (Bloomberg transcript).</t>
  </si>
  <si>
    <t>No pool comum (ex burn-in, ex-IST) os dois modelos oficiais somam 94% / 96% / 97% do TAM em CY26-28 — resíduo para outros ~3%: os dois shares não podem estar ambos certos com o TAM mid-point.</t>
  </si>
  <si>
    <t>Lead times como arma de share</t>
  </si>
  <si>
    <t>Operacional</t>
  </si>
  <si>
    <t>Advantest: visibilidade 12-18 meses; TER: 10-20 semanas, 'using our supply chain to gain share'</t>
  </si>
  <si>
    <t>UBS fireside TER IR (2026-08-03); Advantest IR call (2026-08-02) via TER.</t>
  </si>
  <si>
    <t>Em escassez, disponibilidade — não roadmap — é o mecanismo de share.</t>
  </si>
  <si>
    <t>Notas de método, fontes e qualidade de dados</t>
  </si>
  <si>
    <t>Método ano-calendário</t>
  </si>
  <si>
    <t>Linhas non-GAAP anuais: Bloomberg BEst calendarizado (BEST_FPERIOD_OVERRIDE = '&lt;year&gt;BC'): cada trimestre fiscal é pró-rateado nos anos-calendário pelos dias que tem em cada um. Para a Advantest (FYE março) CY2025 = 1/4 do FQ4 (jan-mar 2025)... na prática BBG usa os trimestres reportados: CY2025 = jan-mar 25 + abr-jun 25 + jul-set 25 + out-dez 25 quando os quatro estão reportados. Anos completos voltam como actuals (zero estimativas). Teradyne: CY = FY.</t>
  </si>
  <si>
    <t>Linhas GAAP/IFRS</t>
  </si>
  <si>
    <t>Bloomberg não tem consenso GAAP para lucro bruto, EBIT ou lucro líquido; as linhas GAAP/IFRS são construídas aqui pró-rateando por dias os trimestres reportados (GROSS_PROFIT, IS_OPER_INC, NET_INCOME) — só anos completos. Checagem: o mesmo procedimento aplicado à receita reproduz a receita calendarizada BBG dentro de 0.01%.</t>
  </si>
  <si>
    <t>CY2026-CY2028</t>
  </si>
  <si>
    <t>NÃO são consenso: são os modelos oficiais Capstone (Template DCF ADVANTEST.xlsx e Template DCF TER.xlsx, 2026-09-18). O consenso BBG '&lt;yr&gt;BC' aparece em linhas 'memo' (cinza). TER: NEUTRAL, PT $400 (iniciação 2026-09-16); Advantest: sem rating.</t>
  </si>
  <si>
    <t>Revenue build-up</t>
  </si>
  <si>
    <t>Segmentos = Bloomberg PG_REVENUE (hierarquia de produto). Advantest: SoC / Memory / Other systems / Services &amp; Others — CY a partir dos trimestres fiscais quando os quatro existem (2024-25), senão FY-Mar pró-rateado 25/75 (≤2023; a estrutura de 2 segmentos começa em FY24: SLT e interfaces migraram de Serviços para 'Other systems', quebra de série). Teradyne: Semiconductor Test (SOC / Memory / IST) / Product Test / Robotics na segmentação de 2025; 2019-22 Product Test = System Test + Wireless Test (inclui storage, depois movido para IST dentro de Semi Test). CY26-28: TAM × share (drivers listados), sub-split SOC/Memory/IST pela mix da iniciação.</t>
  </si>
  <si>
    <t>Pool de teste (TAM)</t>
  </si>
  <si>
    <t>Base da própria Advantest (SoC + memória, EX burn-in): CY24 $6,0 bi / CY25 $9,0 bi / CY26e $13,75 bi (deck 29-jul-2026, ponto médio); CY27-28 = WFE × intensidade (8,0% / 8,3%) nos dois modelos. Teradyne Semi Test ex-IST para comparar com o mesmo pool. Não misturar com a base Teradyne (7-9% do WFE, inclui burn-in) nem com 'teste ÷ receita de semis' (~1%, UBS).</t>
  </si>
  <si>
    <t>Advantest — bases</t>
  </si>
  <si>
    <t>IFRS, ¥; FY termina em março (FY2026 = abr-2026→mar-2027 na convenção da empresa; Bloomberg rotula pelo ano de término = FY2027). EPS de consenso BBG NÃO é calendarizado (1CY = 1FY). CY26E do modelo inclui ¥66 bi de resultado financeiro não recorrente. Conversão a US$ ao FX médio do CY (BBG USDJPY): 109,0 / 106,4 / 110,4 / 131,7 / 141,4 / 151,9 / 150,0 (2019-25); 157 / 150 / 150 nas projeções (premissa do modelo).</t>
  </si>
  <si>
    <t>Teradyne — bases</t>
  </si>
  <si>
    <t>Non-GAAP da companhia (exclui amortização de intangíveis, reestruturação e itens; SBC NÃO excluído) = base do consenso BEst. Ressegmentação em 2025 (IST para Semi Test). Clientes: 10-K FY23/FY24/FY25 ('Sales and Distribution' e 'Revenues by country').</t>
  </si>
  <si>
    <t>Regiões</t>
  </si>
  <si>
    <t>Teradyne: localização do site do cliente (10-K / 10-Q). Advantest: ship-to por região (slide 7 do deck 1Q FY26) — as séries do PDF foram atribuídas às regiões por magnitude (Taiwan = maior ship-to; China ≈19% no Q1 FY26 confirmam duas das sete); localização do cliente (tanshin: Japão / Américas / Europa / Ásia).</t>
  </si>
  <si>
    <t>Reprodução no Excel</t>
  </si>
  <si>
    <t>BDP("6857 JP Equity","BEST_SALES","BEST_FPERIOD_OVERRIDE","2027BC"); trimestres reportados: BDP("TER US Equity","SALES_REV_TURN","FUND_PER","Q2","EQY_FUND_YEAR","2026"); consenso trimestral: BEST_FPERIOD_OVERRIDE = "1FQ".."8FQ"; segmentos: BDS("TER US Equity","PG_REVENUE","FUND_PER","Q2","EQY_FUND_YEAR","2026").</t>
  </si>
  <si>
    <t>Arquivos</t>
  </si>
  <si>
    <t>Modelos oficiais em P:\Felipe Monteiro\US Equities\Modelos oficiais; scripts (pull_ate_bbg.py, build_ate_fernanda.py, ate_extra_sheets.py) em _wiki/_data/research/ATE_official_models_2026-09-18/.</t>
  </si>
  <si>
    <t>Log de qualidade de dados</t>
  </si>
  <si>
    <t>MÉTODO: máx |receita pró-rateada − Bloomberg BC| nos anos completos = 0.01%</t>
  </si>
  <si>
    <t>6857: 9 trimestres com segmentos: 2024-06-30, 2024-09-30, 2024-12-31, 2025-03-31, 2025-06-30, 2025-09-30, 2025-12-31, 2026-03-31, 2026-06-30</t>
  </si>
  <si>
    <t>TER 2023Q1 (2023-04-02): total de segmentos 454 ≠ receita reportada 618 — BBG devolveu outro período; descartado</t>
  </si>
  <si>
    <t>TER 2024Q1 (2024-03-31): total de segmentos 524 ≠ receita reportada 600 — BBG devolveu outro período; descartado</t>
  </si>
  <si>
    <t>TER: 12 trimestres com segmentos: 2023-07-02, 2023-10-01, 2023-12-31, 2024-06-30, 2024-09-29, 2024-12-31, 2025-03-30, 2025-06-29, 2025-09-28, 2025-12-31, 2026-03-29, 2026-06-28</t>
  </si>
  <si>
    <t>TER CY2019: Robotics ausente no PG_REVENUE anual de 2019 — usado 296,8 (BBG PG_REVENUE, bloco 2023 período 5 = FY2019)</t>
  </si>
  <si>
    <t>6857 FY ending Mar-2025: SoC soma dos 4 trimestres 440,400 vs anual PG_REVENUE 440,400</t>
  </si>
  <si>
    <t>6857 FY ending Mar-2026: SoC soma dos 4 trimestres 767,400 vs anual PG_REVENUE 767,400</t>
  </si>
  <si>
    <t>TER CY2025: Semi Test soma dos 4 trimestres 2,523.7 vs anual PG_REVENUE 2523.744</t>
  </si>
  <si>
    <t>6857 CY2023: EPS BEst-actual BBG 119.0 ≠ soma dos trimestres reportados 105.1 — usado o reportado (BBG não calendariza EPS de FYE março)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</si>
</sst>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&quot;-&quot;"/>
    <numFmt numFmtId="165" formatCode="0.0%;\(0.0%\);&quot;-&quot;"/>
    <numFmt numFmtId="166" formatCode="0.00;\(0.00\);&quot;-&quot;"/>
    <numFmt numFmtId="167" formatCode="#,##0.0;\(#,##0.0\);&quot;-&quot;"/>
  </numFmts>
  <fonts count="11" x14ac:knownFonts="1">
    <font>
      <sz val="11"/>
      <color theme="1"/>
      <name val="Calibri"/>
      <family val="2"/>
      <scheme val="minor"/>
    </font>
    <font>
      <b/>
      <sz val="14"/>
      <color rgb="FF203864"/>
      <name val="Arial"/>
    </font>
    <font>
      <sz val="9"/>
      <color rgb="FF666666"/>
      <name val="Arial"/>
    </font>
    <font>
      <b/>
      <sz val="10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FFFFFF"/>
      <name val="Arial"/>
    </font>
    <font>
      <b/>
      <sz val="16"/>
      <color rgb="FF203864"/>
      <name val="Arial"/>
    </font>
    <font>
      <sz val="10"/>
      <color rgb="FF202020"/>
      <name val="Arial"/>
    </font>
    <font>
      <b/>
      <sz val="10"/>
      <color rgb="FF202020"/>
      <name val="Arial"/>
    </font>
    <font>
      <b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20386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6" fillId="3" borderId="0" xfId="0" applyFont="1" applyFill="1"/>
    <xf numFmtId="0" fontId="0" fillId="3" borderId="0" xfId="0" applyFill="1"/>
    <xf numFmtId="0" fontId="3" fillId="4" borderId="0" xfId="0" applyFont="1" applyFill="1"/>
    <xf numFmtId="0" fontId="0" fillId="4" borderId="0" xfId="0" applyFill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0" fontId="9" fillId="2" borderId="0" xfId="0" applyFont="1" applyFill="1" applyAlignment="1">
      <alignment horizontal="center"/>
    </xf>
    <xf numFmtId="0" fontId="9" fillId="0" borderId="0" xfId="0" applyFont="1"/>
    <xf numFmtId="167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5" fontId="9" fillId="0" borderId="0" xfId="0" applyNumberFormat="1" applyFont="1" applyAlignment="1">
      <alignment horizontal="right"/>
    </xf>
    <xf numFmtId="167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0" fontId="8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11" width="11.42578125" customWidth="1"/>
    <col min="13" max="13" width="70" customWidth="1"/>
  </cols>
  <sheetData>
    <row r="1" spans="1:11" ht="18" x14ac:dyDescent="0.25">
      <c r="A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</row>
    <row r="5" spans="1:11" x14ac:dyDescent="0.25">
      <c r="A5" s="3" t="s">
        <v>3</v>
      </c>
    </row>
    <row r="6" spans="1:11" x14ac:dyDescent="0.25">
      <c r="A6" s="4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</row>
    <row r="7" spans="1:11" x14ac:dyDescent="0.25">
      <c r="A7" s="6" t="s">
        <v>15</v>
      </c>
      <c r="B7" s="7">
        <v>2491.990825688074</v>
      </c>
      <c r="C7" s="7">
        <v>2730.606488011284</v>
      </c>
      <c r="D7" s="7">
        <v>3537.8248664312232</v>
      </c>
      <c r="E7" s="7">
        <v>4020.59515676004</v>
      </c>
      <c r="F7" s="7">
        <v>3522.1381602206038</v>
      </c>
      <c r="G7" s="7">
        <v>4496.5837282780412</v>
      </c>
      <c r="H7" s="7">
        <v>6887.7433982395314</v>
      </c>
      <c r="I7" s="8">
        <v>10375.846250000001</v>
      </c>
      <c r="J7" s="8">
        <v>12489.964480000001</v>
      </c>
      <c r="K7" s="8">
        <v>15119.8598712</v>
      </c>
    </row>
    <row r="8" spans="1:11" x14ac:dyDescent="0.25">
      <c r="A8" s="6" t="s">
        <v>16</v>
      </c>
      <c r="B8" s="7">
        <v>2294.9650000000001</v>
      </c>
      <c r="C8" s="7">
        <v>3121.4690000000001</v>
      </c>
      <c r="D8" s="7">
        <v>3702.8809999999999</v>
      </c>
      <c r="E8" s="7">
        <v>3155.0450000000001</v>
      </c>
      <c r="F8" s="7">
        <v>2676</v>
      </c>
      <c r="G8" s="7">
        <v>2819.88</v>
      </c>
      <c r="H8" s="7">
        <v>3190.0239999999999</v>
      </c>
      <c r="I8" s="8">
        <v>5123.5000000000009</v>
      </c>
      <c r="J8" s="8">
        <v>6222.2</v>
      </c>
      <c r="K8" s="8">
        <v>7688.3600000000006</v>
      </c>
    </row>
    <row r="9" spans="1:11" x14ac:dyDescent="0.25">
      <c r="A9" s="6" t="s">
        <v>17</v>
      </c>
      <c r="B9" s="7">
        <v>4786.9558256880737</v>
      </c>
      <c r="C9" s="7">
        <v>5852.0754880112836</v>
      </c>
      <c r="D9" s="7">
        <v>7240.7058664312226</v>
      </c>
      <c r="E9" s="7">
        <v>7175.6401567600396</v>
      </c>
      <c r="F9" s="7">
        <v>6198.1381602206038</v>
      </c>
      <c r="G9" s="7">
        <v>7316.4637282780413</v>
      </c>
      <c r="H9" s="7">
        <v>10077.76739823953</v>
      </c>
      <c r="I9" s="8">
        <v>15499.346250000001</v>
      </c>
      <c r="J9" s="8">
        <v>18712.164479999999</v>
      </c>
      <c r="K9" s="8">
        <v>22808.219871199999</v>
      </c>
    </row>
    <row r="10" spans="1:11" x14ac:dyDescent="0.25">
      <c r="A10" s="6" t="s">
        <v>18</v>
      </c>
      <c r="B10" s="7">
        <v>271.62700000000001</v>
      </c>
      <c r="C10" s="7">
        <v>290.39999999999998</v>
      </c>
      <c r="D10" s="7">
        <v>390.68200000000002</v>
      </c>
      <c r="E10" s="7">
        <v>529.63300000000004</v>
      </c>
      <c r="F10" s="7">
        <v>498.13600000000002</v>
      </c>
      <c r="G10" s="7">
        <v>683.12099999999998</v>
      </c>
      <c r="H10" s="7">
        <v>1032.886</v>
      </c>
      <c r="I10" s="8">
        <v>1629.0078612499999</v>
      </c>
      <c r="J10" s="8">
        <v>1873.494672</v>
      </c>
      <c r="K10" s="8">
        <v>2267.9789806799999</v>
      </c>
    </row>
    <row r="12" spans="1:11" x14ac:dyDescent="0.25">
      <c r="A12" s="3" t="s">
        <v>19</v>
      </c>
    </row>
    <row r="13" spans="1:11" x14ac:dyDescent="0.25">
      <c r="A13" s="4" t="s">
        <v>4</v>
      </c>
      <c r="B13" s="5" t="s">
        <v>5</v>
      </c>
      <c r="C13" s="5" t="s">
        <v>6</v>
      </c>
      <c r="D13" s="5" t="s">
        <v>7</v>
      </c>
      <c r="E13" s="5" t="s">
        <v>8</v>
      </c>
      <c r="F13" s="5" t="s">
        <v>9</v>
      </c>
      <c r="G13" s="5" t="s">
        <v>10</v>
      </c>
      <c r="H13" s="5" t="s">
        <v>11</v>
      </c>
      <c r="I13" s="5" t="s">
        <v>12</v>
      </c>
      <c r="J13" s="5" t="s">
        <v>13</v>
      </c>
      <c r="K13" s="5" t="s">
        <v>14</v>
      </c>
    </row>
    <row r="14" spans="1:11" x14ac:dyDescent="0.25">
      <c r="A14" s="6" t="s">
        <v>20</v>
      </c>
      <c r="B14" s="9" t="s">
        <v>21</v>
      </c>
      <c r="C14" s="10">
        <v>9.5753025999734565E-2</v>
      </c>
      <c r="D14" s="10">
        <v>0.29561871399779821</v>
      </c>
      <c r="E14" s="10">
        <v>0.13645963510223449</v>
      </c>
      <c r="F14" s="10">
        <v>-0.1239759232414519</v>
      </c>
      <c r="G14" s="10">
        <v>0.2766630733180564</v>
      </c>
      <c r="H14" s="10">
        <v>0.53177252208693537</v>
      </c>
      <c r="I14" s="11">
        <v>0.50642171899899924</v>
      </c>
      <c r="J14" s="11">
        <v>0.20375381236976201</v>
      </c>
      <c r="K14" s="11">
        <v>0.21056067816775739</v>
      </c>
    </row>
    <row r="15" spans="1:11" x14ac:dyDescent="0.25">
      <c r="A15" s="6" t="s">
        <v>22</v>
      </c>
      <c r="B15" s="9" t="s">
        <v>21</v>
      </c>
      <c r="C15" s="10">
        <v>6.9113158853869372E-2</v>
      </c>
      <c r="D15" s="10">
        <v>0.34532369146005498</v>
      </c>
      <c r="E15" s="10">
        <v>0.35566266170440408</v>
      </c>
      <c r="F15" s="10">
        <v>-5.946948169770383E-2</v>
      </c>
      <c r="G15" s="10">
        <v>0.37135440923763802</v>
      </c>
      <c r="H15" s="10">
        <v>0.51201031735226987</v>
      </c>
      <c r="I15" s="11">
        <v>0.57714197041106208</v>
      </c>
      <c r="J15" s="11">
        <v>0.15008326022588719</v>
      </c>
      <c r="K15" s="11">
        <v>0.21056067816775739</v>
      </c>
    </row>
    <row r="16" spans="1:11" x14ac:dyDescent="0.25">
      <c r="A16" s="6" t="s">
        <v>16</v>
      </c>
      <c r="B16" s="9" t="s">
        <v>21</v>
      </c>
      <c r="C16" s="10">
        <v>0.36013795417359301</v>
      </c>
      <c r="D16" s="10">
        <v>0.18626230149971049</v>
      </c>
      <c r="E16" s="10">
        <v>-0.14794858381892359</v>
      </c>
      <c r="F16" s="10">
        <v>-0.1518346014082208</v>
      </c>
      <c r="G16" s="10">
        <v>5.3766816143497882E-2</v>
      </c>
      <c r="H16" s="10">
        <v>0.13126232321942771</v>
      </c>
      <c r="I16" s="11">
        <v>0.60610076914781863</v>
      </c>
      <c r="J16" s="11">
        <v>0.21444325168341941</v>
      </c>
      <c r="K16" s="11">
        <v>0.23563369869178111</v>
      </c>
    </row>
    <row r="17" spans="1:11" x14ac:dyDescent="0.25">
      <c r="A17" s="6" t="s">
        <v>17</v>
      </c>
      <c r="B17" s="9" t="s">
        <v>21</v>
      </c>
      <c r="C17" s="10">
        <v>0.22250459396501959</v>
      </c>
      <c r="D17" s="10">
        <v>0.2372885280213359</v>
      </c>
      <c r="E17" s="10">
        <v>-8.9861003707988329E-3</v>
      </c>
      <c r="F17" s="10">
        <v>-0.1362250579996753</v>
      </c>
      <c r="G17" s="10">
        <v>0.18042927394468311</v>
      </c>
      <c r="H17" s="10">
        <v>0.37740960285077119</v>
      </c>
      <c r="I17" s="11">
        <v>0.53797419979226357</v>
      </c>
      <c r="J17" s="11">
        <v>0.20728733832886651</v>
      </c>
      <c r="K17" s="11">
        <v>0.21889800058020881</v>
      </c>
    </row>
    <row r="19" spans="1:11" x14ac:dyDescent="0.25">
      <c r="A19" s="3" t="s">
        <v>23</v>
      </c>
    </row>
    <row r="20" spans="1:11" x14ac:dyDescent="0.25">
      <c r="A20" s="4" t="s">
        <v>4</v>
      </c>
      <c r="B20" s="5" t="s">
        <v>5</v>
      </c>
      <c r="C20" s="5" t="s">
        <v>6</v>
      </c>
      <c r="D20" s="5" t="s">
        <v>7</v>
      </c>
      <c r="E20" s="5" t="s">
        <v>8</v>
      </c>
      <c r="F20" s="5" t="s">
        <v>9</v>
      </c>
      <c r="G20" s="5" t="s">
        <v>10</v>
      </c>
      <c r="H20" s="5" t="s">
        <v>11</v>
      </c>
      <c r="I20" s="5" t="s">
        <v>12</v>
      </c>
      <c r="J20" s="5" t="s">
        <v>13</v>
      </c>
      <c r="K20" s="5" t="s">
        <v>14</v>
      </c>
    </row>
    <row r="21" spans="1:11" x14ac:dyDescent="0.25">
      <c r="A21" s="6" t="s">
        <v>24</v>
      </c>
      <c r="B21" s="10">
        <v>0.56765343651404321</v>
      </c>
      <c r="C21" s="10">
        <v>0.53900826446280992</v>
      </c>
      <c r="D21" s="10">
        <v>0.55821614510010698</v>
      </c>
      <c r="E21" s="10">
        <v>0.57901603563222082</v>
      </c>
      <c r="F21" s="10">
        <v>0.51209709798127423</v>
      </c>
      <c r="G21" s="10">
        <v>0.54966104101615965</v>
      </c>
      <c r="H21" s="10">
        <v>0.62370968335324517</v>
      </c>
      <c r="I21" s="11">
        <v>0.68</v>
      </c>
      <c r="J21" s="11">
        <v>0.66500000000000004</v>
      </c>
      <c r="K21" s="11">
        <v>0.65500000000000003</v>
      </c>
    </row>
    <row r="22" spans="1:11" x14ac:dyDescent="0.25">
      <c r="A22" s="6" t="s">
        <v>16</v>
      </c>
      <c r="B22" s="10">
        <v>0.58399999999999996</v>
      </c>
      <c r="C22" s="10">
        <v>0.57200000000000006</v>
      </c>
      <c r="D22" s="10">
        <v>0.59599999999999997</v>
      </c>
      <c r="E22" s="10">
        <v>0.59179853000000004</v>
      </c>
      <c r="F22" s="10">
        <v>0.57420000000000004</v>
      </c>
      <c r="G22" s="10">
        <v>0.58599999999999997</v>
      </c>
      <c r="H22" s="10">
        <v>0.58262884999999998</v>
      </c>
      <c r="I22" s="11">
        <v>0.59460000000000002</v>
      </c>
      <c r="J22" s="11">
        <v>0.59509999999999996</v>
      </c>
      <c r="K22" s="11">
        <v>0.60199999999999998</v>
      </c>
    </row>
    <row r="24" spans="1:11" x14ac:dyDescent="0.25">
      <c r="A24" s="3" t="s">
        <v>25</v>
      </c>
    </row>
    <row r="25" spans="1:11" x14ac:dyDescent="0.25">
      <c r="A25" s="4" t="s">
        <v>4</v>
      </c>
      <c r="B25" s="5" t="s">
        <v>5</v>
      </c>
      <c r="C25" s="5" t="s">
        <v>6</v>
      </c>
      <c r="D25" s="5" t="s">
        <v>7</v>
      </c>
      <c r="E25" s="5" t="s">
        <v>8</v>
      </c>
      <c r="F25" s="5" t="s">
        <v>9</v>
      </c>
      <c r="G25" s="5" t="s">
        <v>10</v>
      </c>
      <c r="H25" s="5" t="s">
        <v>11</v>
      </c>
      <c r="I25" s="5" t="s">
        <v>12</v>
      </c>
      <c r="J25" s="5" t="s">
        <v>13</v>
      </c>
      <c r="K25" s="5" t="s">
        <v>14</v>
      </c>
    </row>
    <row r="26" spans="1:11" x14ac:dyDescent="0.25">
      <c r="A26" s="6" t="s">
        <v>20</v>
      </c>
      <c r="B26" s="7">
        <v>525.93577981651379</v>
      </c>
      <c r="C26" s="7">
        <v>543.06535025858022</v>
      </c>
      <c r="D26" s="7">
        <v>956.1713302544598</v>
      </c>
      <c r="E26" s="7">
        <v>1236.1041524330069</v>
      </c>
      <c r="F26" s="7">
        <v>711.63119564448846</v>
      </c>
      <c r="G26" s="7">
        <v>1208.892838335966</v>
      </c>
      <c r="H26" s="7">
        <v>2734.335822886103</v>
      </c>
      <c r="I26" s="8">
        <v>5115.2922012500021</v>
      </c>
      <c r="J26" s="8">
        <v>6007.6729148800014</v>
      </c>
      <c r="K26" s="8">
        <v>7197.0532986912003</v>
      </c>
    </row>
    <row r="27" spans="1:11" x14ac:dyDescent="0.25">
      <c r="A27" s="6" t="s">
        <v>16</v>
      </c>
      <c r="B27" s="7">
        <v>582.4</v>
      </c>
      <c r="C27" s="7">
        <v>947.2</v>
      </c>
      <c r="D27" s="7">
        <v>1231.5</v>
      </c>
      <c r="E27" s="7">
        <v>868.4</v>
      </c>
      <c r="F27" s="7">
        <v>547.29999999999995</v>
      </c>
      <c r="G27" s="7">
        <v>576.29999999999995</v>
      </c>
      <c r="H27" s="7">
        <v>710.1</v>
      </c>
      <c r="I27" s="8">
        <v>1648.742300000001</v>
      </c>
      <c r="J27" s="8">
        <v>2164.0811600000002</v>
      </c>
      <c r="K27" s="8">
        <v>2922.345636</v>
      </c>
    </row>
    <row r="28" spans="1:11" x14ac:dyDescent="0.25">
      <c r="A28" s="6" t="s">
        <v>17</v>
      </c>
      <c r="B28" s="7">
        <v>1108.3357798165141</v>
      </c>
      <c r="C28" s="7">
        <v>1490.2653502585799</v>
      </c>
      <c r="D28" s="7">
        <v>2187.6713302544599</v>
      </c>
      <c r="E28" s="7">
        <v>2104.5041524330072</v>
      </c>
      <c r="F28" s="7">
        <v>1258.931195644489</v>
      </c>
      <c r="G28" s="7">
        <v>1785.1928383359659</v>
      </c>
      <c r="H28" s="7">
        <v>3444.4358228861029</v>
      </c>
      <c r="I28" s="8">
        <v>6764.0345012500029</v>
      </c>
      <c r="J28" s="8">
        <v>8171.7540748800011</v>
      </c>
      <c r="K28" s="8">
        <v>10119.3989346912</v>
      </c>
    </row>
    <row r="30" spans="1:11" x14ac:dyDescent="0.25">
      <c r="A30" s="3" t="s">
        <v>26</v>
      </c>
    </row>
    <row r="31" spans="1:11" x14ac:dyDescent="0.25">
      <c r="A31" s="4" t="s">
        <v>4</v>
      </c>
      <c r="B31" s="5" t="s">
        <v>5</v>
      </c>
      <c r="C31" s="5" t="s">
        <v>6</v>
      </c>
      <c r="D31" s="5" t="s">
        <v>7</v>
      </c>
      <c r="E31" s="5" t="s">
        <v>8</v>
      </c>
      <c r="F31" s="5" t="s">
        <v>9</v>
      </c>
      <c r="G31" s="5" t="s">
        <v>10</v>
      </c>
      <c r="H31" s="5" t="s">
        <v>11</v>
      </c>
      <c r="I31" s="5" t="s">
        <v>12</v>
      </c>
      <c r="J31" s="5" t="s">
        <v>13</v>
      </c>
      <c r="K31" s="5" t="s">
        <v>14</v>
      </c>
    </row>
    <row r="32" spans="1:11" x14ac:dyDescent="0.25">
      <c r="A32" s="6" t="s">
        <v>24</v>
      </c>
      <c r="B32" s="10">
        <v>0.2110504478568036</v>
      </c>
      <c r="C32" s="10">
        <v>0.19888085399449029</v>
      </c>
      <c r="D32" s="10">
        <v>0.27027096206121598</v>
      </c>
      <c r="E32" s="10">
        <v>0.30744307850908081</v>
      </c>
      <c r="F32" s="10">
        <v>0.20204522459729871</v>
      </c>
      <c r="G32" s="10">
        <v>0.26884695390714092</v>
      </c>
      <c r="H32" s="10">
        <v>0.39698572736971938</v>
      </c>
      <c r="I32" s="11">
        <v>0.4930000000000001</v>
      </c>
      <c r="J32" s="11">
        <v>0.48100000000000009</v>
      </c>
      <c r="K32" s="11">
        <v>0.47599999999999998</v>
      </c>
    </row>
    <row r="33" spans="1:11" x14ac:dyDescent="0.25">
      <c r="A33" s="6" t="s">
        <v>16</v>
      </c>
      <c r="B33" s="10">
        <v>0.25377293335628209</v>
      </c>
      <c r="C33" s="10">
        <v>0.30344687068812792</v>
      </c>
      <c r="D33" s="10">
        <v>0.33257887574566941</v>
      </c>
      <c r="E33" s="10">
        <v>0.27524171604525449</v>
      </c>
      <c r="F33" s="10">
        <v>0.2045216741405082</v>
      </c>
      <c r="G33" s="10">
        <v>0.20437039874037191</v>
      </c>
      <c r="H33" s="10">
        <v>0.22260020614264969</v>
      </c>
      <c r="I33" s="11">
        <v>0.32179999999999997</v>
      </c>
      <c r="J33" s="11">
        <v>0.34779999999999989</v>
      </c>
      <c r="K33" s="11">
        <v>0.38009999999999988</v>
      </c>
    </row>
    <row r="34" spans="1:11" x14ac:dyDescent="0.25">
      <c r="A34" s="6" t="s">
        <v>17</v>
      </c>
      <c r="B34" s="10">
        <v>0.231532485398944</v>
      </c>
      <c r="C34" s="10">
        <v>0.25465586582257482</v>
      </c>
      <c r="D34" s="10">
        <v>0.30213509160712709</v>
      </c>
      <c r="E34" s="10">
        <v>0.29328451628812402</v>
      </c>
      <c r="F34" s="10">
        <v>0.20311441324820051</v>
      </c>
      <c r="G34" s="10">
        <v>0.2439966771701769</v>
      </c>
      <c r="H34" s="10">
        <v>0.34178560456632551</v>
      </c>
      <c r="I34" s="11">
        <v>0.43640772921309517</v>
      </c>
      <c r="J34" s="11">
        <v>0.43670811485299649</v>
      </c>
      <c r="K34" s="11">
        <v>0.44367333320339442</v>
      </c>
    </row>
    <row r="36" spans="1:11" x14ac:dyDescent="0.25">
      <c r="A36" s="3" t="s">
        <v>27</v>
      </c>
    </row>
    <row r="37" spans="1:11" x14ac:dyDescent="0.25">
      <c r="A37" s="4" t="s">
        <v>4</v>
      </c>
      <c r="B37" s="5" t="s">
        <v>5</v>
      </c>
      <c r="C37" s="5" t="s">
        <v>6</v>
      </c>
      <c r="D37" s="5" t="s">
        <v>7</v>
      </c>
      <c r="E37" s="5" t="s">
        <v>8</v>
      </c>
      <c r="F37" s="5" t="s">
        <v>9</v>
      </c>
      <c r="G37" s="5" t="s">
        <v>10</v>
      </c>
      <c r="H37" s="5" t="s">
        <v>11</v>
      </c>
      <c r="I37" s="5" t="s">
        <v>12</v>
      </c>
      <c r="J37" s="5" t="s">
        <v>13</v>
      </c>
      <c r="K37" s="5" t="s">
        <v>14</v>
      </c>
    </row>
    <row r="38" spans="1:11" x14ac:dyDescent="0.25">
      <c r="A38" s="6" t="s">
        <v>20</v>
      </c>
      <c r="B38" s="7">
        <v>437.1926605504587</v>
      </c>
      <c r="C38" s="7">
        <v>482.72684532204988</v>
      </c>
      <c r="D38" s="7">
        <v>852.68495879742818</v>
      </c>
      <c r="E38" s="7">
        <v>958.12647081150851</v>
      </c>
      <c r="F38" s="7">
        <v>549.65000353531775</v>
      </c>
      <c r="G38" s="7">
        <v>897.55792522380204</v>
      </c>
      <c r="H38" s="7">
        <v>1923.799679914644</v>
      </c>
      <c r="I38" s="8">
        <v>4096.3990314727716</v>
      </c>
      <c r="J38" s="8">
        <v>4405.0678945290674</v>
      </c>
      <c r="K38" s="8">
        <v>5273.3155747112432</v>
      </c>
    </row>
    <row r="39" spans="1:11" x14ac:dyDescent="0.25">
      <c r="A39" s="6" t="s">
        <v>16</v>
      </c>
      <c r="B39" s="7">
        <v>493.8</v>
      </c>
      <c r="C39" s="7">
        <v>800.5</v>
      </c>
      <c r="D39" s="7">
        <v>1050.4000000000001</v>
      </c>
      <c r="E39" s="7">
        <v>712.9</v>
      </c>
      <c r="F39" s="7">
        <v>479.1</v>
      </c>
      <c r="G39" s="7">
        <v>525.1</v>
      </c>
      <c r="H39" s="7">
        <v>632.1</v>
      </c>
      <c r="I39" s="8">
        <v>1440.430955</v>
      </c>
      <c r="J39" s="8">
        <v>1878.4689860000001</v>
      </c>
      <c r="K39" s="8">
        <v>2508.282062419999</v>
      </c>
    </row>
    <row r="40" spans="1:11" x14ac:dyDescent="0.25">
      <c r="A40" s="6" t="s">
        <v>17</v>
      </c>
      <c r="B40" s="7">
        <v>930.99266055045871</v>
      </c>
      <c r="C40" s="7">
        <v>1283.2268453220499</v>
      </c>
      <c r="D40" s="7">
        <v>1903.084958797428</v>
      </c>
      <c r="E40" s="7">
        <v>1671.026470811508</v>
      </c>
      <c r="F40" s="7">
        <v>1028.750003535318</v>
      </c>
      <c r="G40" s="7">
        <v>1422.6579252238021</v>
      </c>
      <c r="H40" s="7">
        <v>2555.8996799146439</v>
      </c>
      <c r="I40" s="8">
        <v>5536.8299864727724</v>
      </c>
      <c r="J40" s="8">
        <v>6283.5368805290673</v>
      </c>
      <c r="K40" s="8">
        <v>7781.5976371312427</v>
      </c>
    </row>
    <row r="42" spans="1:11" x14ac:dyDescent="0.25">
      <c r="A42" s="3" t="s">
        <v>28</v>
      </c>
    </row>
    <row r="43" spans="1:11" x14ac:dyDescent="0.25">
      <c r="A43" s="4" t="s">
        <v>4</v>
      </c>
      <c r="B43" s="5" t="s">
        <v>5</v>
      </c>
      <c r="C43" s="5" t="s">
        <v>6</v>
      </c>
      <c r="D43" s="5" t="s">
        <v>7</v>
      </c>
      <c r="E43" s="5" t="s">
        <v>8</v>
      </c>
      <c r="F43" s="5" t="s">
        <v>9</v>
      </c>
      <c r="G43" s="5" t="s">
        <v>10</v>
      </c>
      <c r="H43" s="5" t="s">
        <v>11</v>
      </c>
      <c r="I43" s="5" t="s">
        <v>12</v>
      </c>
      <c r="J43" s="5" t="s">
        <v>13</v>
      </c>
      <c r="K43" s="5" t="s">
        <v>14</v>
      </c>
    </row>
    <row r="44" spans="1:11" x14ac:dyDescent="0.25">
      <c r="A44" s="6" t="s">
        <v>29</v>
      </c>
      <c r="B44" s="12">
        <v>59.558000000000007</v>
      </c>
      <c r="C44" s="12">
        <v>64.59075</v>
      </c>
      <c r="D44" s="12">
        <v>119.73925</v>
      </c>
      <c r="E44" s="12">
        <v>166.59225000000001</v>
      </c>
      <c r="F44" s="12">
        <v>105.11799999999999</v>
      </c>
      <c r="G44" s="12">
        <v>184.172</v>
      </c>
      <c r="H44" s="12">
        <v>393.81200000000001</v>
      </c>
      <c r="I44" s="13">
        <v>884.03388033158103</v>
      </c>
      <c r="J44" s="13">
        <v>917.72247802688912</v>
      </c>
      <c r="K44" s="13">
        <v>1107.8394064519421</v>
      </c>
    </row>
    <row r="45" spans="1:11" x14ac:dyDescent="0.25">
      <c r="A45" s="6" t="s">
        <v>30</v>
      </c>
      <c r="B45" s="12">
        <v>2.86</v>
      </c>
      <c r="C45" s="12">
        <v>4.62</v>
      </c>
      <c r="D45" s="12">
        <v>5.7203540000000004</v>
      </c>
      <c r="E45" s="12">
        <v>4.25</v>
      </c>
      <c r="F45" s="12">
        <v>2.93</v>
      </c>
      <c r="G45" s="12">
        <v>3.22</v>
      </c>
      <c r="H45" s="12">
        <v>3.96</v>
      </c>
      <c r="I45" s="13">
        <v>9.1282063054499396</v>
      </c>
      <c r="J45" s="13">
        <v>11.926787212698409</v>
      </c>
      <c r="K45" s="13">
        <v>15.97631886891719</v>
      </c>
    </row>
    <row r="47" spans="1:11" x14ac:dyDescent="0.25">
      <c r="A47" s="3" t="s">
        <v>31</v>
      </c>
    </row>
    <row r="48" spans="1:11" x14ac:dyDescent="0.25">
      <c r="A48" s="4" t="s">
        <v>4</v>
      </c>
      <c r="B48" s="5" t="s">
        <v>5</v>
      </c>
      <c r="C48" s="5" t="s">
        <v>6</v>
      </c>
      <c r="D48" s="5" t="s">
        <v>7</v>
      </c>
      <c r="E48" s="5" t="s">
        <v>8</v>
      </c>
      <c r="F48" s="5" t="s">
        <v>9</v>
      </c>
      <c r="G48" s="5" t="s">
        <v>10</v>
      </c>
      <c r="H48" s="5" t="s">
        <v>11</v>
      </c>
      <c r="I48" s="5" t="s">
        <v>12</v>
      </c>
      <c r="J48" s="5" t="s">
        <v>13</v>
      </c>
      <c r="K48" s="5" t="s">
        <v>14</v>
      </c>
    </row>
    <row r="49" spans="1:11" x14ac:dyDescent="0.25">
      <c r="A49" s="6" t="s">
        <v>24</v>
      </c>
      <c r="B49" s="14">
        <v>801.96857083835607</v>
      </c>
      <c r="C49" s="14">
        <v>794.77368922404378</v>
      </c>
      <c r="D49" s="14">
        <v>786.55389755616432</v>
      </c>
      <c r="E49" s="14">
        <v>757.41657934246575</v>
      </c>
      <c r="F49" s="14">
        <v>739.6486626082193</v>
      </c>
      <c r="G49" s="14">
        <v>740.38109443832832</v>
      </c>
      <c r="H49" s="14">
        <v>732.91515342247737</v>
      </c>
      <c r="I49" s="15">
        <v>727.5</v>
      </c>
      <c r="J49" s="15">
        <v>720</v>
      </c>
      <c r="K49" s="15">
        <v>714</v>
      </c>
    </row>
    <row r="50" spans="1:11" x14ac:dyDescent="0.25">
      <c r="A50" s="6" t="s">
        <v>16</v>
      </c>
      <c r="B50" s="14">
        <v>179.47853150684929</v>
      </c>
      <c r="C50" s="14">
        <v>183.09607650273219</v>
      </c>
      <c r="D50" s="14">
        <v>183.68878630136979</v>
      </c>
      <c r="E50" s="14">
        <v>169.7774438356164</v>
      </c>
      <c r="F50" s="14">
        <v>164.3092410958904</v>
      </c>
      <c r="G50" s="14">
        <v>163.31304098360661</v>
      </c>
      <c r="H50" s="14">
        <v>159.69027397260271</v>
      </c>
      <c r="I50" s="15">
        <v>157.80000000000001</v>
      </c>
      <c r="J50" s="15">
        <v>157.5</v>
      </c>
      <c r="K50" s="15">
        <v>157</v>
      </c>
    </row>
    <row r="52" spans="1:11" x14ac:dyDescent="0.25">
      <c r="A52" s="3" t="s">
        <v>32</v>
      </c>
    </row>
    <row r="53" spans="1:11" x14ac:dyDescent="0.25">
      <c r="A53" s="4" t="s">
        <v>4</v>
      </c>
      <c r="B53" s="5" t="s">
        <v>5</v>
      </c>
      <c r="C53" s="5" t="s">
        <v>6</v>
      </c>
      <c r="D53" s="5" t="s">
        <v>7</v>
      </c>
      <c r="E53" s="5" t="s">
        <v>8</v>
      </c>
      <c r="F53" s="5" t="s">
        <v>9</v>
      </c>
      <c r="G53" s="5" t="s">
        <v>10</v>
      </c>
      <c r="H53" s="5" t="s">
        <v>11</v>
      </c>
      <c r="I53" s="5" t="s">
        <v>12</v>
      </c>
      <c r="J53" s="5" t="s">
        <v>13</v>
      </c>
      <c r="K53" s="5" t="s">
        <v>14</v>
      </c>
    </row>
    <row r="54" spans="1:11" x14ac:dyDescent="0.25">
      <c r="A54" s="6" t="s">
        <v>20</v>
      </c>
      <c r="B54" s="7">
        <v>512.45871559633031</v>
      </c>
      <c r="C54" s="7">
        <v>272.44945933239308</v>
      </c>
      <c r="D54" s="7">
        <v>727.09408675178838</v>
      </c>
      <c r="E54" s="7">
        <v>359.87246640856301</v>
      </c>
      <c r="F54" s="7">
        <v>4.5817719012939264</v>
      </c>
      <c r="G54" s="7">
        <v>1239.6063717746181</v>
      </c>
      <c r="H54" s="7">
        <v>2027.2272606028271</v>
      </c>
      <c r="I54" s="8">
        <v>3364.3729735587581</v>
      </c>
      <c r="J54" s="8">
        <v>3893.861004535735</v>
      </c>
      <c r="K54" s="8">
        <v>4498.8236137720442</v>
      </c>
    </row>
    <row r="55" spans="1:11" x14ac:dyDescent="0.25">
      <c r="A55" s="6" t="s">
        <v>16</v>
      </c>
      <c r="B55" s="7">
        <v>444.096</v>
      </c>
      <c r="C55" s="7">
        <v>683.95799999999997</v>
      </c>
      <c r="D55" s="7">
        <v>965.89400000000001</v>
      </c>
      <c r="E55" s="7">
        <v>414.67399999999998</v>
      </c>
      <c r="F55" s="7">
        <v>425.589</v>
      </c>
      <c r="G55" s="7">
        <v>474.08100000000002</v>
      </c>
      <c r="H55" s="7">
        <v>450.40600000000001</v>
      </c>
      <c r="I55" s="8">
        <v>898.02745500000015</v>
      </c>
      <c r="J55" s="8">
        <v>1460.6833859999999</v>
      </c>
      <c r="K55" s="8">
        <v>2003.3515824200001</v>
      </c>
    </row>
    <row r="57" spans="1:11" x14ac:dyDescent="0.25">
      <c r="A57" s="3" t="s">
        <v>33</v>
      </c>
    </row>
    <row r="58" spans="1:11" x14ac:dyDescent="0.25">
      <c r="A58" s="4" t="s">
        <v>4</v>
      </c>
      <c r="B58" s="5" t="s">
        <v>5</v>
      </c>
      <c r="C58" s="5" t="s">
        <v>6</v>
      </c>
      <c r="D58" s="5" t="s">
        <v>7</v>
      </c>
      <c r="E58" s="5" t="s">
        <v>8</v>
      </c>
      <c r="F58" s="5" t="s">
        <v>9</v>
      </c>
      <c r="G58" s="5" t="s">
        <v>10</v>
      </c>
      <c r="H58" s="5" t="s">
        <v>11</v>
      </c>
      <c r="I58" s="5" t="s">
        <v>12</v>
      </c>
      <c r="J58" s="5" t="s">
        <v>13</v>
      </c>
      <c r="K58" s="5" t="s">
        <v>14</v>
      </c>
    </row>
    <row r="59" spans="1:11" x14ac:dyDescent="0.25">
      <c r="A59" s="6" t="s">
        <v>34</v>
      </c>
      <c r="B59" s="10">
        <v>0.52057944890892671</v>
      </c>
      <c r="C59" s="10">
        <v>0.46660479578660191</v>
      </c>
      <c r="D59" s="10">
        <v>0.48860220697998552</v>
      </c>
      <c r="E59" s="10">
        <v>0.56031170305722622</v>
      </c>
      <c r="F59" s="10">
        <v>0.5682574458932752</v>
      </c>
      <c r="G59" s="10">
        <v>0.61458429854559393</v>
      </c>
      <c r="H59" s="10">
        <v>0.68345925501740989</v>
      </c>
      <c r="I59" s="11">
        <v>0.66943767063723736</v>
      </c>
      <c r="J59" s="11">
        <v>0.66747833973721038</v>
      </c>
      <c r="K59" s="11">
        <v>0.6629127549884718</v>
      </c>
    </row>
    <row r="60" spans="1:11" x14ac:dyDescent="0.25">
      <c r="A60" s="6" t="s">
        <v>35</v>
      </c>
      <c r="B60" s="10">
        <v>0.47452747569295561</v>
      </c>
      <c r="C60" s="10">
        <v>0.36440849286628813</v>
      </c>
      <c r="D60" s="10">
        <v>0.43707266124991562</v>
      </c>
      <c r="E60" s="10">
        <v>0.58736123233777093</v>
      </c>
      <c r="F60" s="10">
        <v>0.56526615442250672</v>
      </c>
      <c r="G60" s="10">
        <v>0.67717773249797086</v>
      </c>
      <c r="H60" s="10">
        <v>0.79384141946212683</v>
      </c>
      <c r="I60" s="11">
        <v>0.75624868564829006</v>
      </c>
      <c r="J60" s="11">
        <v>0.73517544211806463</v>
      </c>
      <c r="K60" s="11">
        <v>0.71121351625128149</v>
      </c>
    </row>
    <row r="62" spans="1:11" x14ac:dyDescent="0.25">
      <c r="A62" s="3" t="s">
        <v>36</v>
      </c>
    </row>
    <row r="63" spans="1:11" x14ac:dyDescent="0.25">
      <c r="A63" s="4" t="s">
        <v>4</v>
      </c>
      <c r="B63" s="5" t="s">
        <v>5</v>
      </c>
      <c r="C63" s="5" t="s">
        <v>6</v>
      </c>
      <c r="D63" s="5" t="s">
        <v>7</v>
      </c>
      <c r="E63" s="5" t="s">
        <v>8</v>
      </c>
      <c r="F63" s="5" t="s">
        <v>9</v>
      </c>
      <c r="G63" s="5" t="s">
        <v>10</v>
      </c>
      <c r="H63" s="5" t="s">
        <v>11</v>
      </c>
      <c r="I63" s="5" t="s">
        <v>12</v>
      </c>
      <c r="J63" s="5" t="s">
        <v>13</v>
      </c>
      <c r="K63" s="5" t="s">
        <v>14</v>
      </c>
    </row>
    <row r="64" spans="1:11" x14ac:dyDescent="0.25">
      <c r="A64" s="6" t="s">
        <v>37</v>
      </c>
      <c r="B64" s="9" t="s">
        <v>21</v>
      </c>
      <c r="C64" s="9" t="s">
        <v>21</v>
      </c>
      <c r="D64" s="9" t="s">
        <v>21</v>
      </c>
      <c r="E64" s="9" t="s">
        <v>21</v>
      </c>
      <c r="F64" s="9" t="s">
        <v>21</v>
      </c>
      <c r="G64" s="9" t="s">
        <v>21</v>
      </c>
      <c r="H64" s="9" t="s">
        <v>21</v>
      </c>
      <c r="I64" s="16">
        <v>1592372.0714285709</v>
      </c>
      <c r="J64" s="16">
        <v>2140571.5595238088</v>
      </c>
      <c r="K64" s="16">
        <v>2639525.5</v>
      </c>
    </row>
    <row r="65" spans="1:11" x14ac:dyDescent="0.25">
      <c r="A65" s="6" t="s">
        <v>38</v>
      </c>
      <c r="B65" s="9" t="s">
        <v>21</v>
      </c>
      <c r="C65" s="9" t="s">
        <v>21</v>
      </c>
      <c r="D65" s="9" t="s">
        <v>21</v>
      </c>
      <c r="E65" s="9" t="s">
        <v>21</v>
      </c>
      <c r="F65" s="9" t="s">
        <v>21</v>
      </c>
      <c r="G65" s="9" t="s">
        <v>21</v>
      </c>
      <c r="H65" s="9" t="s">
        <v>21</v>
      </c>
      <c r="I65" s="11">
        <v>2.300705373999801E-2</v>
      </c>
      <c r="J65" s="11">
        <v>-0.124768960110459</v>
      </c>
      <c r="K65" s="11">
        <v>-0.14076261787203789</v>
      </c>
    </row>
    <row r="66" spans="1:11" x14ac:dyDescent="0.25">
      <c r="A66" s="6" t="s">
        <v>39</v>
      </c>
      <c r="B66" s="9" t="s">
        <v>21</v>
      </c>
      <c r="C66" s="9" t="s">
        <v>21</v>
      </c>
      <c r="D66" s="9" t="s">
        <v>21</v>
      </c>
      <c r="E66" s="9" t="s">
        <v>21</v>
      </c>
      <c r="F66" s="9" t="s">
        <v>21</v>
      </c>
      <c r="G66" s="9" t="s">
        <v>21</v>
      </c>
      <c r="H66" s="9" t="s">
        <v>21</v>
      </c>
      <c r="I66" s="16">
        <v>5065.9285714285716</v>
      </c>
      <c r="J66" s="16">
        <v>6237.2941176470586</v>
      </c>
      <c r="K66" s="16">
        <v>7543.363636363636</v>
      </c>
    </row>
    <row r="67" spans="1:11" x14ac:dyDescent="0.25">
      <c r="A67" s="6" t="s">
        <v>38</v>
      </c>
      <c r="B67" s="9" t="s">
        <v>21</v>
      </c>
      <c r="C67" s="9" t="s">
        <v>21</v>
      </c>
      <c r="D67" s="9" t="s">
        <v>21</v>
      </c>
      <c r="E67" s="9" t="s">
        <v>21</v>
      </c>
      <c r="F67" s="9" t="s">
        <v>21</v>
      </c>
      <c r="G67" s="9" t="s">
        <v>21</v>
      </c>
      <c r="H67" s="9" t="s">
        <v>21</v>
      </c>
      <c r="I67" s="11">
        <v>1.136443748854399E-2</v>
      </c>
      <c r="J67" s="11">
        <v>-2.419978497463116E-3</v>
      </c>
      <c r="K67" s="11">
        <v>1.922171204068612E-2</v>
      </c>
    </row>
    <row r="68" spans="1:11" x14ac:dyDescent="0.25">
      <c r="A68" s="6" t="s">
        <v>40</v>
      </c>
      <c r="B68" s="9" t="s">
        <v>21</v>
      </c>
      <c r="C68" s="9" t="s">
        <v>21</v>
      </c>
      <c r="D68" s="9" t="s">
        <v>21</v>
      </c>
      <c r="E68" s="9" t="s">
        <v>21</v>
      </c>
      <c r="F68" s="9" t="s">
        <v>21</v>
      </c>
      <c r="G68" s="9" t="s">
        <v>21</v>
      </c>
      <c r="H68" s="9" t="s">
        <v>21</v>
      </c>
      <c r="I68" s="17">
        <v>851.29131500000005</v>
      </c>
      <c r="J68" s="17">
        <v>958.91200000000003</v>
      </c>
      <c r="K68" s="17">
        <v>956.92499999999995</v>
      </c>
    </row>
    <row r="69" spans="1:11" x14ac:dyDescent="0.25">
      <c r="A69" s="6" t="s">
        <v>41</v>
      </c>
      <c r="B69" s="9" t="s">
        <v>21</v>
      </c>
      <c r="C69" s="9" t="s">
        <v>21</v>
      </c>
      <c r="D69" s="9" t="s">
        <v>21</v>
      </c>
      <c r="E69" s="9" t="s">
        <v>21</v>
      </c>
      <c r="F69" s="9" t="s">
        <v>21</v>
      </c>
      <c r="G69" s="9" t="s">
        <v>21</v>
      </c>
      <c r="H69" s="9" t="s">
        <v>21</v>
      </c>
      <c r="I69" s="17">
        <v>8.838000000000001</v>
      </c>
      <c r="J69" s="17">
        <v>11.452999999999999</v>
      </c>
      <c r="K69" s="17">
        <v>14.769</v>
      </c>
    </row>
    <row r="71" spans="1:11" x14ac:dyDescent="0.25">
      <c r="A71" s="2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2" customWidth="1"/>
    <col min="2" max="11" width="11.42578125" customWidth="1"/>
    <col min="13" max="13" width="80" customWidth="1"/>
  </cols>
  <sheetData>
    <row r="1" spans="1:13" ht="18" x14ac:dyDescent="0.25">
      <c r="A1" s="1" t="s">
        <v>43</v>
      </c>
    </row>
    <row r="2" spans="1:13" x14ac:dyDescent="0.25">
      <c r="A2" s="2" t="s">
        <v>44</v>
      </c>
    </row>
    <row r="4" spans="1:13" x14ac:dyDescent="0.25">
      <c r="A4" s="18" t="s">
        <v>45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3" x14ac:dyDescent="0.25">
      <c r="A5" s="4" t="s">
        <v>46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</row>
    <row r="6" spans="1:13" x14ac:dyDescent="0.25">
      <c r="A6" s="6" t="s">
        <v>34</v>
      </c>
      <c r="B6" s="7">
        <v>271627</v>
      </c>
      <c r="C6" s="7">
        <v>290400</v>
      </c>
      <c r="D6" s="7">
        <v>390682</v>
      </c>
      <c r="E6" s="7">
        <v>529633</v>
      </c>
      <c r="F6" s="7">
        <v>498136</v>
      </c>
      <c r="G6" s="7">
        <v>683121</v>
      </c>
      <c r="H6" s="7">
        <v>1032886</v>
      </c>
      <c r="I6" s="8">
        <v>1629007.8612500001</v>
      </c>
      <c r="J6" s="8">
        <v>1873494.672</v>
      </c>
      <c r="K6" s="8">
        <v>2267978.98068</v>
      </c>
    </row>
    <row r="7" spans="1:13" x14ac:dyDescent="0.25">
      <c r="A7" s="6" t="s">
        <v>47</v>
      </c>
      <c r="B7" s="9" t="s">
        <v>21</v>
      </c>
      <c r="C7" s="10">
        <v>6.9113158853869372E-2</v>
      </c>
      <c r="D7" s="10">
        <v>0.34532369146005498</v>
      </c>
      <c r="E7" s="10">
        <v>0.35566266170440408</v>
      </c>
      <c r="F7" s="10">
        <v>-5.946948169770383E-2</v>
      </c>
      <c r="G7" s="10">
        <v>0.37135440923763802</v>
      </c>
      <c r="H7" s="10">
        <v>0.51201031735226987</v>
      </c>
      <c r="I7" s="11">
        <v>0.57714197041106208</v>
      </c>
      <c r="J7" s="11">
        <v>0.15008326022588719</v>
      </c>
      <c r="K7" s="11">
        <v>0.21056067816775739</v>
      </c>
    </row>
    <row r="8" spans="1:13" x14ac:dyDescent="0.25">
      <c r="A8" s="6" t="s">
        <v>48</v>
      </c>
      <c r="B8" s="10">
        <v>0.56765343651404321</v>
      </c>
      <c r="C8" s="10">
        <v>0.53900826446280992</v>
      </c>
      <c r="D8" s="10">
        <v>0.55821614510010698</v>
      </c>
      <c r="E8" s="10">
        <v>0.57901603563222082</v>
      </c>
      <c r="F8" s="10">
        <v>0.51209709798127423</v>
      </c>
      <c r="G8" s="10">
        <v>0.54966104101615965</v>
      </c>
      <c r="H8" s="10">
        <v>0.62370968335324517</v>
      </c>
      <c r="I8" s="11">
        <v>0.68</v>
      </c>
      <c r="J8" s="11">
        <v>0.66500000000000004</v>
      </c>
      <c r="K8" s="11">
        <v>0.65500000000000003</v>
      </c>
    </row>
    <row r="9" spans="1:13" x14ac:dyDescent="0.25">
      <c r="A9" s="6" t="s">
        <v>49</v>
      </c>
      <c r="B9" s="7">
        <v>57327</v>
      </c>
      <c r="C9" s="7">
        <v>57755</v>
      </c>
      <c r="D9" s="7">
        <v>105590</v>
      </c>
      <c r="E9" s="7">
        <v>162832</v>
      </c>
      <c r="F9" s="7">
        <v>100646</v>
      </c>
      <c r="G9" s="7">
        <v>183655</v>
      </c>
      <c r="H9" s="7">
        <v>410041</v>
      </c>
      <c r="I9" s="8">
        <v>803100.87559625029</v>
      </c>
      <c r="J9" s="8">
        <v>901150.93723200017</v>
      </c>
      <c r="K9" s="8">
        <v>1079557.9948036801</v>
      </c>
    </row>
    <row r="10" spans="1:13" x14ac:dyDescent="0.25">
      <c r="A10" s="6" t="s">
        <v>50</v>
      </c>
      <c r="B10" s="10">
        <v>0.2110504478568036</v>
      </c>
      <c r="C10" s="10">
        <v>0.19888085399449029</v>
      </c>
      <c r="D10" s="10">
        <v>0.27027096206121598</v>
      </c>
      <c r="E10" s="10">
        <v>0.30744307850908081</v>
      </c>
      <c r="F10" s="10">
        <v>0.20204522459729871</v>
      </c>
      <c r="G10" s="10">
        <v>0.26884695390714092</v>
      </c>
      <c r="H10" s="10">
        <v>0.39698572736971938</v>
      </c>
      <c r="I10" s="11">
        <v>0.4930000000000001</v>
      </c>
      <c r="J10" s="11">
        <v>0.48100000000000009</v>
      </c>
      <c r="K10" s="11">
        <v>0.47599999999999998</v>
      </c>
    </row>
    <row r="11" spans="1:13" x14ac:dyDescent="0.25">
      <c r="A11" s="6" t="s">
        <v>51</v>
      </c>
      <c r="B11" s="7">
        <v>47654</v>
      </c>
      <c r="C11" s="7">
        <v>51338</v>
      </c>
      <c r="D11" s="7">
        <v>94162</v>
      </c>
      <c r="E11" s="7">
        <v>126214</v>
      </c>
      <c r="F11" s="7">
        <v>77737</v>
      </c>
      <c r="G11" s="7">
        <v>136357</v>
      </c>
      <c r="H11" s="7">
        <v>288493</v>
      </c>
      <c r="I11" s="8">
        <v>643134.64794122521</v>
      </c>
      <c r="J11" s="8">
        <v>660760.18417936016</v>
      </c>
      <c r="K11" s="8">
        <v>790997.33620668645</v>
      </c>
      <c r="M11" s="2" t="s">
        <v>52</v>
      </c>
    </row>
    <row r="12" spans="1:13" x14ac:dyDescent="0.25">
      <c r="A12" s="6" t="s">
        <v>53</v>
      </c>
      <c r="B12" s="10">
        <v>0.1754391131956691</v>
      </c>
      <c r="C12" s="10">
        <v>0.1767837465564738</v>
      </c>
      <c r="D12" s="10">
        <v>0.24101955042720169</v>
      </c>
      <c r="E12" s="10">
        <v>0.23830463736209789</v>
      </c>
      <c r="F12" s="10">
        <v>0.156055775932677</v>
      </c>
      <c r="G12" s="10">
        <v>0.19960885406831291</v>
      </c>
      <c r="H12" s="10">
        <v>0.27930768739241307</v>
      </c>
      <c r="I12" s="11">
        <v>0.39480143910890853</v>
      </c>
      <c r="J12" s="11">
        <v>0.35268858462991137</v>
      </c>
      <c r="K12" s="11">
        <v>0.34876748988631479</v>
      </c>
    </row>
    <row r="13" spans="1:13" x14ac:dyDescent="0.25">
      <c r="A13" s="6" t="s">
        <v>54</v>
      </c>
      <c r="B13" s="12">
        <v>59.558000000000007</v>
      </c>
      <c r="C13" s="12">
        <v>64.59075</v>
      </c>
      <c r="D13" s="12">
        <v>119.73925</v>
      </c>
      <c r="E13" s="12">
        <v>166.59225000000001</v>
      </c>
      <c r="F13" s="12">
        <v>105.11799999999999</v>
      </c>
      <c r="G13" s="12">
        <v>184.172</v>
      </c>
      <c r="H13" s="12">
        <v>393.81200000000001</v>
      </c>
      <c r="I13" s="13">
        <v>884.03388033158103</v>
      </c>
      <c r="J13" s="13">
        <v>917.72247802688912</v>
      </c>
      <c r="K13" s="13">
        <v>1107.8394064519421</v>
      </c>
    </row>
    <row r="14" spans="1:13" x14ac:dyDescent="0.25">
      <c r="A14" s="6" t="s">
        <v>55</v>
      </c>
      <c r="B14" s="14">
        <v>801.96857083835607</v>
      </c>
      <c r="C14" s="14">
        <v>794.77368922404378</v>
      </c>
      <c r="D14" s="14">
        <v>786.55389755616432</v>
      </c>
      <c r="E14" s="14">
        <v>757.41657934246575</v>
      </c>
      <c r="F14" s="14">
        <v>739.6486626082193</v>
      </c>
      <c r="G14" s="14">
        <v>740.38109443832832</v>
      </c>
      <c r="H14" s="14">
        <v>732.91515342247737</v>
      </c>
      <c r="I14" s="15">
        <v>727.5</v>
      </c>
      <c r="J14" s="15">
        <v>720</v>
      </c>
      <c r="K14" s="15">
        <v>714</v>
      </c>
    </row>
    <row r="15" spans="1:13" x14ac:dyDescent="0.25">
      <c r="A15" s="6" t="s">
        <v>56</v>
      </c>
      <c r="B15" s="7">
        <v>55858</v>
      </c>
      <c r="C15" s="7">
        <v>28975</v>
      </c>
      <c r="D15" s="7">
        <v>80293</v>
      </c>
      <c r="E15" s="7">
        <v>47406</v>
      </c>
      <c r="F15" s="7">
        <v>648</v>
      </c>
      <c r="G15" s="7">
        <v>188321</v>
      </c>
      <c r="H15" s="7">
        <v>304003</v>
      </c>
      <c r="I15" s="8">
        <v>528206.55684872495</v>
      </c>
      <c r="J15" s="8">
        <v>584079.15068036027</v>
      </c>
      <c r="K15" s="8">
        <v>674823.54206580657</v>
      </c>
    </row>
    <row r="16" spans="1:13" x14ac:dyDescent="0.25">
      <c r="A16" s="6" t="s">
        <v>57</v>
      </c>
      <c r="B16" s="10">
        <v>0.2056422962371193</v>
      </c>
      <c r="C16" s="10">
        <v>9.977617079889807E-2</v>
      </c>
      <c r="D16" s="10">
        <v>0.20552009050839301</v>
      </c>
      <c r="E16" s="10">
        <v>8.9507262576161234E-2</v>
      </c>
      <c r="F16" s="10">
        <v>1.3008495671864709E-3</v>
      </c>
      <c r="G16" s="10">
        <v>0.27567736901661638</v>
      </c>
      <c r="H16" s="10">
        <v>0.29432386536365102</v>
      </c>
      <c r="I16" s="11">
        <v>0.32425046521470552</v>
      </c>
      <c r="J16" s="11">
        <v>0.31175917359660382</v>
      </c>
      <c r="K16" s="11">
        <v>0.29754400186878133</v>
      </c>
    </row>
    <row r="17" spans="1:13" x14ac:dyDescent="0.25">
      <c r="A17" s="6" t="s">
        <v>58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30</v>
      </c>
      <c r="J17" s="16">
        <v>24</v>
      </c>
      <c r="K17" s="16">
        <v>9</v>
      </c>
    </row>
    <row r="18" spans="1:13" x14ac:dyDescent="0.25">
      <c r="A18" s="6" t="s">
        <v>59</v>
      </c>
      <c r="B18" s="9" t="s">
        <v>21</v>
      </c>
      <c r="C18" s="9" t="s">
        <v>21</v>
      </c>
      <c r="D18" s="9" t="s">
        <v>21</v>
      </c>
      <c r="E18" s="9" t="s">
        <v>21</v>
      </c>
      <c r="F18" s="9" t="s">
        <v>21</v>
      </c>
      <c r="G18" s="9" t="s">
        <v>21</v>
      </c>
      <c r="H18" s="9" t="s">
        <v>21</v>
      </c>
      <c r="I18" s="16">
        <v>1592372.0714285709</v>
      </c>
      <c r="J18" s="16">
        <v>2140571.5595238088</v>
      </c>
      <c r="K18" s="16">
        <v>2639525.5</v>
      </c>
    </row>
    <row r="19" spans="1:13" x14ac:dyDescent="0.25">
      <c r="A19" s="6" t="s">
        <v>60</v>
      </c>
      <c r="B19" s="9" t="s">
        <v>21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  <c r="H19" s="9" t="s">
        <v>21</v>
      </c>
      <c r="I19" s="16">
        <v>791100.75</v>
      </c>
      <c r="J19" s="16">
        <v>1094998.023809524</v>
      </c>
      <c r="K19" s="16">
        <v>1379757.166666667</v>
      </c>
    </row>
    <row r="21" spans="1:13" x14ac:dyDescent="0.25">
      <c r="A21" s="20" t="s">
        <v>61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3" x14ac:dyDescent="0.25">
      <c r="A22" s="6" t="s">
        <v>62</v>
      </c>
      <c r="B22" s="7">
        <v>153357</v>
      </c>
      <c r="C22" s="7">
        <v>144821</v>
      </c>
      <c r="D22" s="7">
        <v>204562</v>
      </c>
      <c r="E22" s="7">
        <v>300467.75</v>
      </c>
      <c r="F22" s="7">
        <v>265622</v>
      </c>
      <c r="G22" s="7">
        <v>391722</v>
      </c>
      <c r="H22" s="7">
        <v>679000</v>
      </c>
      <c r="I22" s="8">
        <v>1174360</v>
      </c>
      <c r="J22" s="8">
        <v>1377600</v>
      </c>
      <c r="K22" s="8">
        <v>1652364</v>
      </c>
    </row>
    <row r="23" spans="1:13" x14ac:dyDescent="0.25">
      <c r="A23" s="6" t="s">
        <v>63</v>
      </c>
      <c r="B23" s="7">
        <v>47437.75</v>
      </c>
      <c r="C23" s="7">
        <v>59869.75</v>
      </c>
      <c r="D23" s="7">
        <v>63883</v>
      </c>
      <c r="E23" s="7">
        <v>74936</v>
      </c>
      <c r="F23" s="7">
        <v>84097.5</v>
      </c>
      <c r="G23" s="7">
        <v>139738.5</v>
      </c>
      <c r="H23" s="7">
        <v>169800</v>
      </c>
      <c r="I23" s="8">
        <v>215875</v>
      </c>
      <c r="J23" s="8">
        <v>236159.99999999991</v>
      </c>
      <c r="K23" s="8">
        <v>301190.39999999991</v>
      </c>
    </row>
    <row r="24" spans="1:13" x14ac:dyDescent="0.25">
      <c r="A24" s="6" t="s">
        <v>64</v>
      </c>
      <c r="B24" s="7">
        <v>37027</v>
      </c>
      <c r="C24" s="7">
        <v>39077</v>
      </c>
      <c r="D24" s="7">
        <v>41730</v>
      </c>
      <c r="E24" s="7">
        <v>55481.75</v>
      </c>
      <c r="F24" s="7">
        <v>54489.75</v>
      </c>
      <c r="G24" s="7">
        <v>76698.75</v>
      </c>
      <c r="H24" s="7">
        <v>78400</v>
      </c>
      <c r="I24" s="8">
        <v>104267.625</v>
      </c>
      <c r="J24" s="8">
        <v>112963.2</v>
      </c>
      <c r="K24" s="8">
        <v>136748.80799999999</v>
      </c>
    </row>
    <row r="25" spans="1:13" x14ac:dyDescent="0.25">
      <c r="A25" s="6" t="s">
        <v>65</v>
      </c>
      <c r="B25" s="7">
        <v>39766.25</v>
      </c>
      <c r="C25" s="7">
        <v>60694</v>
      </c>
      <c r="D25" s="7">
        <v>81040.5</v>
      </c>
      <c r="E25" s="7">
        <v>93528.75</v>
      </c>
      <c r="F25" s="7">
        <v>100728.5</v>
      </c>
      <c r="G25" s="7">
        <v>98233.5</v>
      </c>
      <c r="H25" s="7">
        <v>105717</v>
      </c>
      <c r="I25" s="8">
        <v>134505.23624999999</v>
      </c>
      <c r="J25" s="8">
        <v>146771.47200000001</v>
      </c>
      <c r="K25" s="8">
        <v>177675.77267999999</v>
      </c>
    </row>
    <row r="26" spans="1:13" x14ac:dyDescent="0.25">
      <c r="A26" s="6" t="s">
        <v>66</v>
      </c>
      <c r="B26" s="7">
        <v>277588</v>
      </c>
      <c r="C26" s="7">
        <v>304461.75</v>
      </c>
      <c r="D26" s="7">
        <v>391215.5</v>
      </c>
      <c r="E26" s="7">
        <v>524414.25</v>
      </c>
      <c r="F26" s="7">
        <v>504937.75</v>
      </c>
      <c r="G26" s="7">
        <v>706392.75</v>
      </c>
      <c r="H26" s="7">
        <v>1032917</v>
      </c>
      <c r="I26" s="8">
        <v>1629007.8612500001</v>
      </c>
      <c r="J26" s="8">
        <v>1873494.672</v>
      </c>
      <c r="K26" s="8">
        <v>2267978.98068</v>
      </c>
    </row>
    <row r="27" spans="1:13" x14ac:dyDescent="0.25">
      <c r="A27" s="6" t="s">
        <v>67</v>
      </c>
      <c r="B27" s="7">
        <v>271627</v>
      </c>
      <c r="C27" s="7">
        <v>290400</v>
      </c>
      <c r="D27" s="7">
        <v>390682</v>
      </c>
      <c r="E27" s="7">
        <v>529633</v>
      </c>
      <c r="F27" s="7">
        <v>498136</v>
      </c>
      <c r="G27" s="7">
        <v>683121</v>
      </c>
      <c r="H27" s="7">
        <v>1032886</v>
      </c>
      <c r="I27" s="8">
        <v>1629007.8612500001</v>
      </c>
      <c r="J27" s="8">
        <v>1873494.672</v>
      </c>
      <c r="K27" s="8">
        <v>2267978.98068</v>
      </c>
    </row>
    <row r="28" spans="1:13" x14ac:dyDescent="0.25">
      <c r="A28" s="6" t="s">
        <v>68</v>
      </c>
      <c r="B28" s="16">
        <v>5961</v>
      </c>
      <c r="C28" s="16">
        <v>14061.75</v>
      </c>
      <c r="D28" s="16">
        <v>533.5</v>
      </c>
      <c r="E28" s="16">
        <v>-5218.75</v>
      </c>
      <c r="F28" s="16">
        <v>6801.75</v>
      </c>
      <c r="G28" s="16">
        <v>23271.75</v>
      </c>
      <c r="H28" s="16">
        <v>31</v>
      </c>
      <c r="I28" s="16">
        <v>0</v>
      </c>
      <c r="J28" s="16">
        <v>0</v>
      </c>
      <c r="K28" s="16">
        <v>0</v>
      </c>
      <c r="M28" s="2" t="s">
        <v>69</v>
      </c>
    </row>
    <row r="29" spans="1:13" x14ac:dyDescent="0.25">
      <c r="A29" s="6" t="s">
        <v>70</v>
      </c>
      <c r="B29" s="9" t="s">
        <v>71</v>
      </c>
      <c r="C29" s="9" t="s">
        <v>71</v>
      </c>
      <c r="D29" s="9" t="s">
        <v>71</v>
      </c>
      <c r="E29" s="9" t="s">
        <v>71</v>
      </c>
      <c r="F29" s="9" t="s">
        <v>71</v>
      </c>
      <c r="G29" s="9" t="s">
        <v>71</v>
      </c>
      <c r="H29" s="9" t="s">
        <v>72</v>
      </c>
      <c r="I29" s="9" t="s">
        <v>73</v>
      </c>
      <c r="J29" s="9" t="s">
        <v>73</v>
      </c>
      <c r="K29" s="9" t="s">
        <v>73</v>
      </c>
    </row>
    <row r="30" spans="1:13" x14ac:dyDescent="0.25">
      <c r="A30" s="6" t="s">
        <v>74</v>
      </c>
      <c r="B30" s="10">
        <v>0.55246264247734056</v>
      </c>
      <c r="C30" s="10">
        <v>0.4756623779505964</v>
      </c>
      <c r="D30" s="10">
        <v>0.52288828024451994</v>
      </c>
      <c r="E30" s="10">
        <v>0.57295878210784701</v>
      </c>
      <c r="F30" s="10">
        <v>0.52604900307018043</v>
      </c>
      <c r="G30" s="10">
        <v>0.55453853398127317</v>
      </c>
      <c r="H30" s="10">
        <v>0.6573616273137145</v>
      </c>
      <c r="I30" s="11">
        <v>0.72090505388897796</v>
      </c>
      <c r="J30" s="11">
        <v>0.73531033772803811</v>
      </c>
      <c r="K30" s="11">
        <v>0.72856230770912067</v>
      </c>
    </row>
    <row r="31" spans="1:13" x14ac:dyDescent="0.25">
      <c r="A31" s="6" t="s">
        <v>75</v>
      </c>
      <c r="B31" s="10">
        <v>0.1708926538611179</v>
      </c>
      <c r="C31" s="10">
        <v>0.1966412858101223</v>
      </c>
      <c r="D31" s="10">
        <v>0.16329363228195201</v>
      </c>
      <c r="E31" s="10">
        <v>0.14289466771736281</v>
      </c>
      <c r="F31" s="10">
        <v>0.16655023317230691</v>
      </c>
      <c r="G31" s="10">
        <v>0.1978198388927406</v>
      </c>
      <c r="H31" s="10">
        <v>0.16438881342837811</v>
      </c>
      <c r="I31" s="11">
        <v>0.13251931137665041</v>
      </c>
      <c r="J31" s="11">
        <v>0.12605320075337789</v>
      </c>
      <c r="K31" s="11">
        <v>0.13280123077229539</v>
      </c>
    </row>
    <row r="32" spans="1:13" x14ac:dyDescent="0.25">
      <c r="A32" s="6" t="s">
        <v>76</v>
      </c>
      <c r="B32" s="10">
        <v>0.27664470366154159</v>
      </c>
      <c r="C32" s="10">
        <v>0.32769633623928129</v>
      </c>
      <c r="D32" s="10">
        <v>0.31381808747352802</v>
      </c>
      <c r="E32" s="10">
        <v>0.28414655017479018</v>
      </c>
      <c r="F32" s="10">
        <v>0.30740076375751269</v>
      </c>
      <c r="G32" s="10">
        <v>0.2476416271259862</v>
      </c>
      <c r="H32" s="10">
        <v>0.17824955925790739</v>
      </c>
      <c r="I32" s="11">
        <v>0.14657563473437171</v>
      </c>
      <c r="J32" s="11">
        <v>0.13863646151858389</v>
      </c>
      <c r="K32" s="11">
        <v>0.13863646151858389</v>
      </c>
    </row>
    <row r="33" spans="1:13" x14ac:dyDescent="0.25">
      <c r="A33" s="3" t="s">
        <v>77</v>
      </c>
    </row>
    <row r="34" spans="1:13" x14ac:dyDescent="0.25">
      <c r="A34" s="6" t="s">
        <v>78</v>
      </c>
      <c r="B34" s="9" t="s">
        <v>21</v>
      </c>
      <c r="C34" s="9" t="s">
        <v>21</v>
      </c>
      <c r="D34" s="9" t="s">
        <v>21</v>
      </c>
      <c r="E34" s="9" t="s">
        <v>21</v>
      </c>
      <c r="F34" s="14">
        <v>95.76</v>
      </c>
      <c r="G34" s="14">
        <v>100.34</v>
      </c>
      <c r="H34" s="14">
        <v>116</v>
      </c>
      <c r="I34" s="15">
        <v>158</v>
      </c>
      <c r="J34" s="15">
        <v>205</v>
      </c>
      <c r="K34" s="15">
        <v>240</v>
      </c>
    </row>
    <row r="35" spans="1:13" x14ac:dyDescent="0.25">
      <c r="A35" s="6" t="s">
        <v>79</v>
      </c>
      <c r="B35" s="9" t="s">
        <v>21</v>
      </c>
      <c r="C35" s="9" t="s">
        <v>21</v>
      </c>
      <c r="D35" s="9" t="s">
        <v>21</v>
      </c>
      <c r="E35" s="9" t="s">
        <v>21</v>
      </c>
      <c r="F35" s="10">
        <v>5.1169590643274858E-2</v>
      </c>
      <c r="G35" s="10">
        <v>5.9796691249750837E-2</v>
      </c>
      <c r="H35" s="10">
        <v>7.7586206896551727E-2</v>
      </c>
      <c r="I35" s="11">
        <v>8.7025316455696208E-2</v>
      </c>
      <c r="J35" s="11">
        <v>0.08</v>
      </c>
      <c r="K35" s="11">
        <v>8.3000000000000004E-2</v>
      </c>
    </row>
    <row r="36" spans="1:13" x14ac:dyDescent="0.25">
      <c r="A36" s="6" t="s">
        <v>80</v>
      </c>
      <c r="B36" s="9" t="s">
        <v>21</v>
      </c>
      <c r="C36" s="9" t="s">
        <v>21</v>
      </c>
      <c r="D36" s="9" t="s">
        <v>21</v>
      </c>
      <c r="E36" s="9" t="s">
        <v>21</v>
      </c>
      <c r="F36" s="12">
        <v>4.9000000000000004</v>
      </c>
      <c r="G36" s="12">
        <v>6</v>
      </c>
      <c r="H36" s="12">
        <v>9</v>
      </c>
      <c r="I36" s="13">
        <v>13.75</v>
      </c>
      <c r="J36" s="13">
        <v>16.399999999999999</v>
      </c>
      <c r="K36" s="13">
        <v>19.920000000000002</v>
      </c>
    </row>
    <row r="37" spans="1:13" x14ac:dyDescent="0.25">
      <c r="A37" s="6" t="s">
        <v>81</v>
      </c>
      <c r="B37" s="9" t="s">
        <v>21</v>
      </c>
      <c r="C37" s="9" t="s">
        <v>21</v>
      </c>
      <c r="D37" s="9" t="s">
        <v>21</v>
      </c>
      <c r="E37" s="9" t="s">
        <v>21</v>
      </c>
      <c r="F37" s="12">
        <v>3.6749999999999998</v>
      </c>
      <c r="G37" s="12">
        <v>4.0999999999999996</v>
      </c>
      <c r="H37" s="12">
        <v>6.9</v>
      </c>
      <c r="I37" s="13">
        <v>11</v>
      </c>
      <c r="J37" s="13">
        <v>13.12</v>
      </c>
      <c r="K37" s="13">
        <v>15.736800000000001</v>
      </c>
    </row>
    <row r="38" spans="1:13" x14ac:dyDescent="0.25">
      <c r="A38" s="6" t="s">
        <v>82</v>
      </c>
      <c r="B38" s="9" t="s">
        <v>21</v>
      </c>
      <c r="C38" s="9" t="s">
        <v>21</v>
      </c>
      <c r="D38" s="9" t="s">
        <v>21</v>
      </c>
      <c r="E38" s="9" t="s">
        <v>21</v>
      </c>
      <c r="F38" s="10">
        <v>0.5415179600783252</v>
      </c>
      <c r="G38" s="10">
        <v>0.61967310686625854</v>
      </c>
      <c r="H38" s="10">
        <v>0.64934051153351025</v>
      </c>
      <c r="I38" s="11">
        <v>0.68</v>
      </c>
      <c r="J38" s="11">
        <v>0.7</v>
      </c>
      <c r="K38" s="11">
        <v>0.7</v>
      </c>
      <c r="M38" s="2" t="s">
        <v>83</v>
      </c>
    </row>
    <row r="39" spans="1:13" x14ac:dyDescent="0.25">
      <c r="A39" s="6" t="s">
        <v>84</v>
      </c>
      <c r="B39" s="9" t="s">
        <v>21</v>
      </c>
      <c r="C39" s="9" t="s">
        <v>21</v>
      </c>
      <c r="D39" s="9" t="s">
        <v>21</v>
      </c>
      <c r="E39" s="9" t="s">
        <v>21</v>
      </c>
      <c r="F39" s="7">
        <v>1990.078503287845</v>
      </c>
      <c r="G39" s="7">
        <v>2540.659738151659</v>
      </c>
      <c r="H39" s="7">
        <v>4480.4495295812212</v>
      </c>
      <c r="I39" s="8">
        <v>7480.0000000000009</v>
      </c>
      <c r="J39" s="8">
        <v>9184</v>
      </c>
      <c r="K39" s="8">
        <v>11015.76</v>
      </c>
    </row>
    <row r="40" spans="1:13" x14ac:dyDescent="0.25">
      <c r="A40" s="6" t="s">
        <v>85</v>
      </c>
      <c r="B40" s="9" t="s">
        <v>21</v>
      </c>
      <c r="C40" s="9" t="s">
        <v>21</v>
      </c>
      <c r="D40" s="9" t="s">
        <v>21</v>
      </c>
      <c r="E40" s="9" t="s">
        <v>21</v>
      </c>
      <c r="F40" s="12">
        <v>1.2250000000000001</v>
      </c>
      <c r="G40" s="12">
        <v>1.9</v>
      </c>
      <c r="H40" s="12">
        <v>2.1</v>
      </c>
      <c r="I40" s="13">
        <v>2.75</v>
      </c>
      <c r="J40" s="13">
        <v>3.2799999999999989</v>
      </c>
      <c r="K40" s="13">
        <v>4.1831999999999994</v>
      </c>
    </row>
    <row r="41" spans="1:13" x14ac:dyDescent="0.25">
      <c r="A41" s="6" t="s">
        <v>86</v>
      </c>
      <c r="B41" s="9" t="s">
        <v>21</v>
      </c>
      <c r="C41" s="9" t="s">
        <v>21</v>
      </c>
      <c r="D41" s="9" t="s">
        <v>21</v>
      </c>
      <c r="E41" s="9" t="s">
        <v>21</v>
      </c>
      <c r="F41" s="10">
        <v>0.58181697106089825</v>
      </c>
      <c r="G41" s="10">
        <v>0.47890036679970072</v>
      </c>
      <c r="H41" s="10">
        <v>0.54073377505112485</v>
      </c>
      <c r="I41" s="11">
        <v>0.5</v>
      </c>
      <c r="J41" s="11">
        <v>0.48</v>
      </c>
      <c r="K41" s="11">
        <v>0.48</v>
      </c>
    </row>
    <row r="42" spans="1:13" x14ac:dyDescent="0.25">
      <c r="A42" s="6" t="s">
        <v>87</v>
      </c>
      <c r="B42" s="9" t="s">
        <v>21</v>
      </c>
      <c r="C42" s="9" t="s">
        <v>21</v>
      </c>
      <c r="D42" s="9" t="s">
        <v>21</v>
      </c>
      <c r="E42" s="9" t="s">
        <v>21</v>
      </c>
      <c r="F42" s="7">
        <v>712.72578954960045</v>
      </c>
      <c r="G42" s="7">
        <v>909.91069691943153</v>
      </c>
      <c r="H42" s="7">
        <v>1135.5409276073619</v>
      </c>
      <c r="I42" s="8">
        <v>1375</v>
      </c>
      <c r="J42" s="8">
        <v>1574.4</v>
      </c>
      <c r="K42" s="8">
        <v>2007.935999999999</v>
      </c>
    </row>
    <row r="43" spans="1:13" x14ac:dyDescent="0.25">
      <c r="A43" s="6" t="s">
        <v>88</v>
      </c>
      <c r="B43" s="14">
        <v>109</v>
      </c>
      <c r="C43" s="14">
        <v>106.35</v>
      </c>
      <c r="D43" s="14">
        <v>110.43</v>
      </c>
      <c r="E43" s="14">
        <v>131.72999999999999</v>
      </c>
      <c r="F43" s="14">
        <v>141.43</v>
      </c>
      <c r="G43" s="14">
        <v>151.91999999999999</v>
      </c>
      <c r="H43" s="14">
        <v>149.96</v>
      </c>
      <c r="I43" s="15">
        <v>157</v>
      </c>
      <c r="J43" s="15">
        <v>150</v>
      </c>
      <c r="K43" s="15">
        <v>150</v>
      </c>
    </row>
    <row r="44" spans="1:13" x14ac:dyDescent="0.25">
      <c r="A44" s="6" t="s">
        <v>89</v>
      </c>
      <c r="B44" s="9" t="s">
        <v>21</v>
      </c>
      <c r="C44" s="9" t="s">
        <v>21</v>
      </c>
      <c r="D44" s="9" t="s">
        <v>21</v>
      </c>
      <c r="E44" s="9" t="s">
        <v>21</v>
      </c>
      <c r="F44" s="10">
        <v>0.14155251141552511</v>
      </c>
      <c r="G44" s="10">
        <v>0.14155251141552511</v>
      </c>
      <c r="H44" s="10">
        <v>9.8901098901098897E-2</v>
      </c>
      <c r="I44" s="11">
        <v>7.4999999999999997E-2</v>
      </c>
      <c r="J44" s="11">
        <v>7.0000000000000007E-2</v>
      </c>
      <c r="K44" s="11">
        <v>7.0000000000000007E-2</v>
      </c>
    </row>
    <row r="45" spans="1:13" x14ac:dyDescent="0.25">
      <c r="A45" s="6" t="s">
        <v>90</v>
      </c>
      <c r="B45" s="9" t="s">
        <v>21</v>
      </c>
      <c r="C45" s="9" t="s">
        <v>21</v>
      </c>
      <c r="D45" s="9" t="s">
        <v>21</v>
      </c>
      <c r="E45" s="9" t="s">
        <v>21</v>
      </c>
      <c r="F45" s="10">
        <v>0.14155251141552511</v>
      </c>
      <c r="G45" s="10">
        <v>0.14155251141552511</v>
      </c>
      <c r="H45" s="10">
        <v>0.1160714285714286</v>
      </c>
      <c r="I45" s="11">
        <v>0.09</v>
      </c>
      <c r="J45" s="11">
        <v>8.5000000000000006E-2</v>
      </c>
      <c r="K45" s="11">
        <v>8.5000000000000006E-2</v>
      </c>
    </row>
    <row r="48" spans="1:13" x14ac:dyDescent="0.25">
      <c r="A48" s="18" t="s">
        <v>91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1:11" x14ac:dyDescent="0.25">
      <c r="A49" s="4" t="s">
        <v>92</v>
      </c>
      <c r="B49" s="5" t="s">
        <v>5</v>
      </c>
      <c r="C49" s="5" t="s">
        <v>6</v>
      </c>
      <c r="D49" s="5" t="s">
        <v>7</v>
      </c>
      <c r="E49" s="5" t="s">
        <v>8</v>
      </c>
      <c r="F49" s="5" t="s">
        <v>9</v>
      </c>
      <c r="G49" s="5" t="s">
        <v>10</v>
      </c>
      <c r="H49" s="5" t="s">
        <v>11</v>
      </c>
      <c r="I49" s="5" t="s">
        <v>12</v>
      </c>
      <c r="J49" s="5" t="s">
        <v>13</v>
      </c>
      <c r="K49" s="5" t="s">
        <v>14</v>
      </c>
    </row>
    <row r="50" spans="1:11" x14ac:dyDescent="0.25">
      <c r="A50" s="6" t="s">
        <v>34</v>
      </c>
      <c r="B50" s="7">
        <v>2294.9650000000001</v>
      </c>
      <c r="C50" s="7">
        <v>3121.4690000000001</v>
      </c>
      <c r="D50" s="7">
        <v>3702.8809999999999</v>
      </c>
      <c r="E50" s="7">
        <v>3155.0450000000001</v>
      </c>
      <c r="F50" s="7">
        <v>2676</v>
      </c>
      <c r="G50" s="7">
        <v>2819.88</v>
      </c>
      <c r="H50" s="7">
        <v>3190.0239999999999</v>
      </c>
      <c r="I50" s="8">
        <v>5123.5000000000009</v>
      </c>
      <c r="J50" s="8">
        <v>6222.2</v>
      </c>
      <c r="K50" s="8">
        <v>7688.3600000000006</v>
      </c>
    </row>
    <row r="51" spans="1:11" x14ac:dyDescent="0.25">
      <c r="A51" s="6" t="s">
        <v>47</v>
      </c>
      <c r="B51" s="9" t="s">
        <v>21</v>
      </c>
      <c r="C51" s="10">
        <v>0.36013795417359301</v>
      </c>
      <c r="D51" s="10">
        <v>0.18626230149971049</v>
      </c>
      <c r="E51" s="10">
        <v>-0.14794858381892359</v>
      </c>
      <c r="F51" s="10">
        <v>-0.1518346014082208</v>
      </c>
      <c r="G51" s="10">
        <v>5.3766816143497882E-2</v>
      </c>
      <c r="H51" s="10">
        <v>0.13126232321942771</v>
      </c>
      <c r="I51" s="11">
        <v>0.60610076914781863</v>
      </c>
      <c r="J51" s="11">
        <v>0.21444325168341941</v>
      </c>
      <c r="K51" s="11">
        <v>0.23563369869178111</v>
      </c>
    </row>
    <row r="52" spans="1:11" x14ac:dyDescent="0.25">
      <c r="A52" s="6" t="s">
        <v>93</v>
      </c>
      <c r="B52" s="10">
        <v>0.58381238929569723</v>
      </c>
      <c r="C52" s="10">
        <v>0.57208320825867565</v>
      </c>
      <c r="D52" s="10">
        <v>0.59592976387845042</v>
      </c>
      <c r="E52" s="10">
        <v>0.59179821523940224</v>
      </c>
      <c r="F52" s="10">
        <v>0.5742705530642751</v>
      </c>
      <c r="G52" s="10">
        <v>0.58475076953629224</v>
      </c>
      <c r="H52" s="10">
        <v>0.58223511798030358</v>
      </c>
      <c r="I52" s="9" t="s">
        <v>21</v>
      </c>
      <c r="J52" s="9" t="s">
        <v>21</v>
      </c>
      <c r="K52" s="9" t="s">
        <v>21</v>
      </c>
    </row>
    <row r="53" spans="1:11" x14ac:dyDescent="0.25">
      <c r="A53" s="6" t="s">
        <v>94</v>
      </c>
      <c r="B53" s="10">
        <v>0.58399999999999996</v>
      </c>
      <c r="C53" s="10">
        <v>0.57200000000000006</v>
      </c>
      <c r="D53" s="10">
        <v>0.59599999999999997</v>
      </c>
      <c r="E53" s="10">
        <v>0.59179853000000004</v>
      </c>
      <c r="F53" s="10">
        <v>0.57420000000000004</v>
      </c>
      <c r="G53" s="10">
        <v>0.58599999999999997</v>
      </c>
      <c r="H53" s="10">
        <v>0.58262884999999998</v>
      </c>
      <c r="I53" s="11">
        <v>0.59460000000000002</v>
      </c>
      <c r="J53" s="11">
        <v>0.59509999999999996</v>
      </c>
      <c r="K53" s="11">
        <v>0.60199999999999998</v>
      </c>
    </row>
    <row r="54" spans="1:11" x14ac:dyDescent="0.25">
      <c r="A54" s="6" t="s">
        <v>95</v>
      </c>
      <c r="B54" s="7">
        <v>553.65599999999995</v>
      </c>
      <c r="C54" s="7">
        <v>928.40800000000002</v>
      </c>
      <c r="D54" s="7">
        <v>1200.721</v>
      </c>
      <c r="E54" s="7">
        <v>831.9380000000001</v>
      </c>
      <c r="F54" s="7">
        <v>501.06799999999998</v>
      </c>
      <c r="G54" s="7">
        <v>593.78800000000001</v>
      </c>
      <c r="H54" s="7">
        <v>650.04899999999998</v>
      </c>
      <c r="I54" s="9" t="s">
        <v>21</v>
      </c>
      <c r="J54" s="9" t="s">
        <v>21</v>
      </c>
      <c r="K54" s="9" t="s">
        <v>21</v>
      </c>
    </row>
    <row r="55" spans="1:11" x14ac:dyDescent="0.25">
      <c r="A55" s="6" t="s">
        <v>96</v>
      </c>
      <c r="B55" s="10">
        <v>0.24124812360972819</v>
      </c>
      <c r="C55" s="10">
        <v>0.29742662829584399</v>
      </c>
      <c r="D55" s="10">
        <v>0.32426669936192931</v>
      </c>
      <c r="E55" s="10">
        <v>0.26368498706040638</v>
      </c>
      <c r="F55" s="10">
        <v>0.18724514200298961</v>
      </c>
      <c r="G55" s="10">
        <v>0.2105720810814645</v>
      </c>
      <c r="H55" s="10">
        <v>0.20377558287962719</v>
      </c>
      <c r="I55" s="9" t="s">
        <v>21</v>
      </c>
      <c r="J55" s="9" t="s">
        <v>21</v>
      </c>
      <c r="K55" s="9" t="s">
        <v>21</v>
      </c>
    </row>
    <row r="56" spans="1:11" x14ac:dyDescent="0.25">
      <c r="A56" s="6" t="s">
        <v>97</v>
      </c>
      <c r="B56" s="7">
        <v>582.4</v>
      </c>
      <c r="C56" s="7">
        <v>947.2</v>
      </c>
      <c r="D56" s="7">
        <v>1231.5</v>
      </c>
      <c r="E56" s="7">
        <v>868.4</v>
      </c>
      <c r="F56" s="7">
        <v>547.29999999999995</v>
      </c>
      <c r="G56" s="7">
        <v>576.29999999999995</v>
      </c>
      <c r="H56" s="7">
        <v>710.1</v>
      </c>
      <c r="I56" s="8">
        <v>1648.742300000001</v>
      </c>
      <c r="J56" s="8">
        <v>2164.0811600000002</v>
      </c>
      <c r="K56" s="8">
        <v>2922.345636</v>
      </c>
    </row>
    <row r="57" spans="1:11" x14ac:dyDescent="0.25">
      <c r="A57" s="6" t="s">
        <v>98</v>
      </c>
      <c r="B57" s="10">
        <v>0.25377293335628209</v>
      </c>
      <c r="C57" s="10">
        <v>0.30344687068812792</v>
      </c>
      <c r="D57" s="10">
        <v>0.33257887574566941</v>
      </c>
      <c r="E57" s="10">
        <v>0.27524171604525449</v>
      </c>
      <c r="F57" s="10">
        <v>0.2045216741405082</v>
      </c>
      <c r="G57" s="10">
        <v>0.20437039874037191</v>
      </c>
      <c r="H57" s="10">
        <v>0.22260020614264969</v>
      </c>
      <c r="I57" s="11">
        <v>0.32179999999999997</v>
      </c>
      <c r="J57" s="11">
        <v>0.34779999999999989</v>
      </c>
      <c r="K57" s="11">
        <v>0.38009999999999988</v>
      </c>
    </row>
    <row r="58" spans="1:11" x14ac:dyDescent="0.25">
      <c r="A58" s="6" t="s">
        <v>99</v>
      </c>
      <c r="B58" s="7">
        <v>467.47</v>
      </c>
      <c r="C58" s="7">
        <v>784.14700000000005</v>
      </c>
      <c r="D58" s="7">
        <v>1014.5890000000001</v>
      </c>
      <c r="E58" s="7">
        <v>715.50099999999998</v>
      </c>
      <c r="F58" s="7">
        <v>448.75099999999998</v>
      </c>
      <c r="G58" s="7">
        <v>542.37200000000007</v>
      </c>
      <c r="H58" s="7">
        <v>554.04600000000005</v>
      </c>
      <c r="I58" s="9" t="s">
        <v>21</v>
      </c>
      <c r="J58" s="9" t="s">
        <v>21</v>
      </c>
      <c r="K58" s="9" t="s">
        <v>21</v>
      </c>
    </row>
    <row r="59" spans="1:11" x14ac:dyDescent="0.25">
      <c r="A59" s="6" t="s">
        <v>100</v>
      </c>
      <c r="B59" s="7">
        <v>493.8</v>
      </c>
      <c r="C59" s="7">
        <v>800.5</v>
      </c>
      <c r="D59" s="7">
        <v>1050.4000000000001</v>
      </c>
      <c r="E59" s="7">
        <v>712.9</v>
      </c>
      <c r="F59" s="7">
        <v>479.1</v>
      </c>
      <c r="G59" s="7">
        <v>525.1</v>
      </c>
      <c r="H59" s="7">
        <v>632.1</v>
      </c>
      <c r="I59" s="8">
        <v>1440.430955</v>
      </c>
      <c r="J59" s="8">
        <v>1878.4689860000001</v>
      </c>
      <c r="K59" s="8">
        <v>2508.282062419999</v>
      </c>
    </row>
    <row r="60" spans="1:11" x14ac:dyDescent="0.25">
      <c r="A60" s="6" t="s">
        <v>101</v>
      </c>
      <c r="B60" s="10">
        <v>0.2151666801018752</v>
      </c>
      <c r="C60" s="10">
        <v>0.25644976772154388</v>
      </c>
      <c r="D60" s="10">
        <v>0.28367101184186039</v>
      </c>
      <c r="E60" s="10">
        <v>0.22595557274143471</v>
      </c>
      <c r="F60" s="10">
        <v>0.1790358744394619</v>
      </c>
      <c r="G60" s="10">
        <v>0.18621359774174789</v>
      </c>
      <c r="H60" s="10">
        <v>0.19814897944341489</v>
      </c>
      <c r="I60" s="11">
        <v>0.28114198399531581</v>
      </c>
      <c r="J60" s="11">
        <v>0.30189787952814112</v>
      </c>
      <c r="K60" s="11">
        <v>0.32624409658496728</v>
      </c>
    </row>
    <row r="61" spans="1:11" x14ac:dyDescent="0.25">
      <c r="A61" s="6" t="s">
        <v>102</v>
      </c>
      <c r="B61" s="12">
        <v>2.67</v>
      </c>
      <c r="C61" s="12">
        <v>4.28</v>
      </c>
      <c r="D61" s="12">
        <v>5.56</v>
      </c>
      <c r="E61" s="12">
        <v>4.22</v>
      </c>
      <c r="F61" s="12">
        <v>2.73</v>
      </c>
      <c r="G61" s="12">
        <v>3.32</v>
      </c>
      <c r="H61" s="12">
        <v>3.47</v>
      </c>
      <c r="I61" s="9" t="s">
        <v>21</v>
      </c>
      <c r="J61" s="9" t="s">
        <v>21</v>
      </c>
      <c r="K61" s="9" t="s">
        <v>21</v>
      </c>
    </row>
    <row r="62" spans="1:11" x14ac:dyDescent="0.25">
      <c r="A62" s="6" t="s">
        <v>103</v>
      </c>
      <c r="B62" s="12">
        <v>2.86</v>
      </c>
      <c r="C62" s="12">
        <v>4.62</v>
      </c>
      <c r="D62" s="12">
        <v>5.7203540000000004</v>
      </c>
      <c r="E62" s="12">
        <v>4.25</v>
      </c>
      <c r="F62" s="12">
        <v>2.93</v>
      </c>
      <c r="G62" s="12">
        <v>3.22</v>
      </c>
      <c r="H62" s="12">
        <v>3.96</v>
      </c>
      <c r="I62" s="13">
        <v>9.1282063054499396</v>
      </c>
      <c r="J62" s="13">
        <v>11.926787212698409</v>
      </c>
      <c r="K62" s="13">
        <v>15.97631886891719</v>
      </c>
    </row>
    <row r="63" spans="1:11" x14ac:dyDescent="0.25">
      <c r="A63" s="6" t="s">
        <v>55</v>
      </c>
      <c r="B63" s="14">
        <v>179.47853150684929</v>
      </c>
      <c r="C63" s="14">
        <v>183.09607650273219</v>
      </c>
      <c r="D63" s="14">
        <v>183.68878630136979</v>
      </c>
      <c r="E63" s="14">
        <v>169.7774438356164</v>
      </c>
      <c r="F63" s="14">
        <v>164.3092410958904</v>
      </c>
      <c r="G63" s="14">
        <v>163.31304098360661</v>
      </c>
      <c r="H63" s="14">
        <v>159.69027397260271</v>
      </c>
      <c r="I63" s="15">
        <v>157.80000000000001</v>
      </c>
      <c r="J63" s="15">
        <v>157.5</v>
      </c>
      <c r="K63" s="15">
        <v>157</v>
      </c>
    </row>
    <row r="64" spans="1:11" x14ac:dyDescent="0.25">
      <c r="A64" s="6" t="s">
        <v>56</v>
      </c>
      <c r="B64" s="7">
        <v>444.096</v>
      </c>
      <c r="C64" s="7">
        <v>683.95799999999997</v>
      </c>
      <c r="D64" s="7">
        <v>965.89400000000001</v>
      </c>
      <c r="E64" s="7">
        <v>414.67399999999998</v>
      </c>
      <c r="F64" s="7">
        <v>425.589</v>
      </c>
      <c r="G64" s="7">
        <v>474.08100000000002</v>
      </c>
      <c r="H64" s="7">
        <v>450.40600000000001</v>
      </c>
      <c r="I64" s="8">
        <v>898.02745500000015</v>
      </c>
      <c r="J64" s="8">
        <v>1460.6833859999999</v>
      </c>
      <c r="K64" s="8">
        <v>2003.3515824200001</v>
      </c>
    </row>
    <row r="65" spans="1:13" x14ac:dyDescent="0.25">
      <c r="A65" s="6" t="s">
        <v>57</v>
      </c>
      <c r="B65" s="10">
        <v>0.19350883346804851</v>
      </c>
      <c r="C65" s="10">
        <v>0.21911414145070801</v>
      </c>
      <c r="D65" s="10">
        <v>0.26084932245999798</v>
      </c>
      <c r="E65" s="10">
        <v>0.13143203979657969</v>
      </c>
      <c r="F65" s="10">
        <v>0.15903923766816139</v>
      </c>
      <c r="G65" s="10">
        <v>0.16812098387165411</v>
      </c>
      <c r="H65" s="10">
        <v>0.14119204118840489</v>
      </c>
      <c r="I65" s="11">
        <v>0.1752761696106177</v>
      </c>
      <c r="J65" s="11">
        <v>0.23475352544116221</v>
      </c>
      <c r="K65" s="11">
        <v>0.26056942994604831</v>
      </c>
    </row>
    <row r="66" spans="1:13" x14ac:dyDescent="0.25">
      <c r="A66" s="6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14</v>
      </c>
      <c r="J66" s="16">
        <v>17</v>
      </c>
      <c r="K66" s="16">
        <v>11</v>
      </c>
    </row>
    <row r="67" spans="1:13" x14ac:dyDescent="0.25">
      <c r="A67" s="6" t="s">
        <v>59</v>
      </c>
      <c r="B67" s="9" t="s">
        <v>21</v>
      </c>
      <c r="C67" s="9" t="s">
        <v>21</v>
      </c>
      <c r="D67" s="9" t="s">
        <v>21</v>
      </c>
      <c r="E67" s="9" t="s">
        <v>21</v>
      </c>
      <c r="F67" s="9" t="s">
        <v>21</v>
      </c>
      <c r="G67" s="9" t="s">
        <v>21</v>
      </c>
      <c r="H67" s="9" t="s">
        <v>21</v>
      </c>
      <c r="I67" s="16">
        <v>5065.9285714285716</v>
      </c>
      <c r="J67" s="16">
        <v>6237.2941176470586</v>
      </c>
      <c r="K67" s="16">
        <v>7543.363636363636</v>
      </c>
    </row>
    <row r="68" spans="1:13" x14ac:dyDescent="0.25">
      <c r="A68" s="6" t="s">
        <v>60</v>
      </c>
      <c r="B68" s="9" t="s">
        <v>21</v>
      </c>
      <c r="C68" s="9" t="s">
        <v>21</v>
      </c>
      <c r="D68" s="9" t="s">
        <v>21</v>
      </c>
      <c r="E68" s="9" t="s">
        <v>21</v>
      </c>
      <c r="F68" s="9" t="s">
        <v>21</v>
      </c>
      <c r="G68" s="9" t="s">
        <v>21</v>
      </c>
      <c r="H68" s="9" t="s">
        <v>21</v>
      </c>
      <c r="I68" s="16">
        <v>1655.666666666667</v>
      </c>
      <c r="J68" s="16">
        <v>2143.5</v>
      </c>
      <c r="K68" s="16">
        <v>2724.333333333333</v>
      </c>
    </row>
    <row r="70" spans="1:13" x14ac:dyDescent="0.25">
      <c r="A70" s="20" t="s">
        <v>104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</row>
    <row r="71" spans="1:13" x14ac:dyDescent="0.25">
      <c r="A71" s="6" t="s">
        <v>105</v>
      </c>
      <c r="B71" s="7">
        <v>1552.5709999999999</v>
      </c>
      <c r="C71" s="7">
        <v>2259.5970000000002</v>
      </c>
      <c r="D71" s="7">
        <v>2642.3420000000001</v>
      </c>
      <c r="E71" s="7">
        <v>2080.59</v>
      </c>
      <c r="F71" s="7">
        <v>1957.1880000000001</v>
      </c>
      <c r="G71" s="7">
        <v>2123.92</v>
      </c>
      <c r="H71" s="7">
        <v>2523.7440000000001</v>
      </c>
      <c r="I71" s="8">
        <v>4317.5000000000009</v>
      </c>
      <c r="J71" s="8">
        <v>5297.2</v>
      </c>
      <c r="K71" s="8">
        <v>6633.3600000000006</v>
      </c>
    </row>
    <row r="72" spans="1:13" x14ac:dyDescent="0.25">
      <c r="A72" s="6" t="s">
        <v>106</v>
      </c>
      <c r="B72" s="7">
        <v>1286.44</v>
      </c>
      <c r="C72" s="7">
        <v>1877.3889999999999</v>
      </c>
      <c r="D72" s="7">
        <v>2246.73</v>
      </c>
      <c r="E72" s="7">
        <v>1706.884</v>
      </c>
      <c r="F72" s="7">
        <v>1432.6210000000001</v>
      </c>
      <c r="G72" s="7">
        <v>1537.124</v>
      </c>
      <c r="H72" s="7">
        <v>1889.6849999999999</v>
      </c>
      <c r="I72" s="8">
        <v>3203.14525462963</v>
      </c>
      <c r="J72" s="8">
        <v>3901.620396600566</v>
      </c>
      <c r="K72" s="8">
        <v>4945.05</v>
      </c>
      <c r="M72" s="2" t="s">
        <v>107</v>
      </c>
    </row>
    <row r="73" spans="1:13" x14ac:dyDescent="0.25">
      <c r="A73" s="6" t="s">
        <v>108</v>
      </c>
      <c r="B73" s="7">
        <v>266.13099999999997</v>
      </c>
      <c r="C73" s="7">
        <v>382.20800000000003</v>
      </c>
      <c r="D73" s="7">
        <v>395.61200000000002</v>
      </c>
      <c r="E73" s="7">
        <v>373.70600000000002</v>
      </c>
      <c r="F73" s="7">
        <v>386.01499999999999</v>
      </c>
      <c r="G73" s="7">
        <v>501.78800000000001</v>
      </c>
      <c r="H73" s="7">
        <v>504.90300000000002</v>
      </c>
      <c r="I73" s="8">
        <v>884.4878472222224</v>
      </c>
      <c r="J73" s="8">
        <v>1150.477809254013</v>
      </c>
      <c r="K73" s="8">
        <v>1398.6</v>
      </c>
    </row>
    <row r="74" spans="1:13" x14ac:dyDescent="0.25">
      <c r="A74" s="6" t="s">
        <v>109</v>
      </c>
      <c r="B74" s="9" t="s">
        <v>21</v>
      </c>
      <c r="C74" s="9" t="s">
        <v>21</v>
      </c>
      <c r="D74" s="9" t="s">
        <v>21</v>
      </c>
      <c r="E74" s="9" t="s">
        <v>21</v>
      </c>
      <c r="F74" s="7">
        <v>138.55199999999999</v>
      </c>
      <c r="G74" s="7">
        <v>85.007999999999996</v>
      </c>
      <c r="H74" s="7">
        <v>129.15600000000001</v>
      </c>
      <c r="I74" s="8">
        <v>229.86689814814821</v>
      </c>
      <c r="J74" s="8">
        <v>245.1017941454202</v>
      </c>
      <c r="K74" s="8">
        <v>289.70999999999998</v>
      </c>
    </row>
    <row r="75" spans="1:13" x14ac:dyDescent="0.25">
      <c r="A75" s="6" t="s">
        <v>110</v>
      </c>
      <c r="B75" s="7">
        <v>444.77</v>
      </c>
      <c r="C75" s="7">
        <v>582.745</v>
      </c>
      <c r="D75" s="7">
        <v>684.63400000000001</v>
      </c>
      <c r="E75" s="7">
        <v>671.06600000000003</v>
      </c>
      <c r="F75" s="7">
        <v>343.92700000000002</v>
      </c>
      <c r="G75" s="7">
        <v>331.11200000000002</v>
      </c>
      <c r="H75" s="7">
        <v>357.98500000000001</v>
      </c>
      <c r="I75" s="8">
        <v>410</v>
      </c>
      <c r="J75" s="8">
        <v>464.99999999999989</v>
      </c>
      <c r="K75" s="8">
        <v>525</v>
      </c>
    </row>
    <row r="76" spans="1:13" x14ac:dyDescent="0.25">
      <c r="A76" s="6" t="s">
        <v>111</v>
      </c>
      <c r="B76" s="7">
        <v>296.76100000000002</v>
      </c>
      <c r="C76" s="7">
        <v>279.73099999999999</v>
      </c>
      <c r="D76" s="7">
        <v>375.90499999999997</v>
      </c>
      <c r="E76" s="7">
        <v>403.13799999999998</v>
      </c>
      <c r="F76" s="7">
        <v>375.18299999999999</v>
      </c>
      <c r="G76" s="7">
        <v>364.84800000000001</v>
      </c>
      <c r="H76" s="7">
        <v>308.29500000000002</v>
      </c>
      <c r="I76" s="8">
        <v>395.99999999999989</v>
      </c>
      <c r="J76" s="8">
        <v>459.99999999999989</v>
      </c>
      <c r="K76" s="8">
        <v>529.99999999999989</v>
      </c>
    </row>
    <row r="77" spans="1:13" x14ac:dyDescent="0.25">
      <c r="A77" s="6" t="s">
        <v>66</v>
      </c>
      <c r="B77" s="7">
        <v>2294.1019999999999</v>
      </c>
      <c r="C77" s="7">
        <v>3122.0729999999999</v>
      </c>
      <c r="D77" s="7">
        <v>3702.8809999999999</v>
      </c>
      <c r="E77" s="7">
        <v>3154.7939999999999</v>
      </c>
      <c r="F77" s="7">
        <v>2676.2979999999998</v>
      </c>
      <c r="G77" s="7">
        <v>2819.88</v>
      </c>
      <c r="H77" s="7">
        <v>3190.0239999999999</v>
      </c>
      <c r="I77" s="8">
        <v>5123.5000000000009</v>
      </c>
      <c r="J77" s="8">
        <v>6222.2</v>
      </c>
      <c r="K77" s="8">
        <v>7688.3600000000006</v>
      </c>
    </row>
    <row r="78" spans="1:13" x14ac:dyDescent="0.25">
      <c r="A78" s="6" t="s">
        <v>112</v>
      </c>
      <c r="B78" s="7">
        <v>2294.9650000000001</v>
      </c>
      <c r="C78" s="7">
        <v>3121.4690000000001</v>
      </c>
      <c r="D78" s="7">
        <v>3702.8809999999999</v>
      </c>
      <c r="E78" s="7">
        <v>3155.0450000000001</v>
      </c>
      <c r="F78" s="7">
        <v>2676</v>
      </c>
      <c r="G78" s="7">
        <v>2819.88</v>
      </c>
      <c r="H78" s="7">
        <v>3190.0239999999999</v>
      </c>
      <c r="I78" s="8">
        <v>5123.5000000000009</v>
      </c>
      <c r="J78" s="8">
        <v>6222.2</v>
      </c>
      <c r="K78" s="8">
        <v>7688.3600000000006</v>
      </c>
    </row>
    <row r="79" spans="1:13" x14ac:dyDescent="0.25">
      <c r="A79" s="6" t="s">
        <v>68</v>
      </c>
      <c r="B79" s="16">
        <v>-0.86300000000028376</v>
      </c>
      <c r="C79" s="16">
        <v>0.60400000000026921</v>
      </c>
      <c r="D79" s="16">
        <v>4.5474735088646412E-13</v>
      </c>
      <c r="E79" s="16">
        <v>-0.25100000000020373</v>
      </c>
      <c r="F79" s="16">
        <v>0.29800000000022919</v>
      </c>
      <c r="G79" s="16">
        <v>0</v>
      </c>
      <c r="H79" s="16">
        <v>4.5474735088646412E-13</v>
      </c>
      <c r="I79" s="16">
        <v>0</v>
      </c>
      <c r="J79" s="16">
        <v>0</v>
      </c>
      <c r="K79" s="16">
        <v>0</v>
      </c>
    </row>
    <row r="80" spans="1:13" x14ac:dyDescent="0.25">
      <c r="A80" s="6" t="s">
        <v>113</v>
      </c>
      <c r="B80" s="10">
        <v>0.67676633384217444</v>
      </c>
      <c r="C80" s="10">
        <v>0.7237489321998557</v>
      </c>
      <c r="D80" s="10">
        <v>0.71359084993549615</v>
      </c>
      <c r="E80" s="10">
        <v>0.65950106409483478</v>
      </c>
      <c r="F80" s="10">
        <v>0.7313042120122647</v>
      </c>
      <c r="G80" s="10">
        <v>0.75319517142573444</v>
      </c>
      <c r="H80" s="10">
        <v>0.7911363676260742</v>
      </c>
      <c r="I80" s="11">
        <v>0.8426856640968089</v>
      </c>
      <c r="J80" s="11">
        <v>0.85133875478126708</v>
      </c>
      <c r="K80" s="11">
        <v>0.86277957847967579</v>
      </c>
    </row>
    <row r="81" spans="1:13" x14ac:dyDescent="0.25">
      <c r="A81" s="6" t="s">
        <v>114</v>
      </c>
      <c r="B81" s="10">
        <v>0.82858690520433531</v>
      </c>
      <c r="C81" s="10">
        <v>0.83085125356424161</v>
      </c>
      <c r="D81" s="10">
        <v>0.85027978967143536</v>
      </c>
      <c r="E81" s="10">
        <v>0.82038460244449884</v>
      </c>
      <c r="F81" s="10">
        <v>0.73197924777793444</v>
      </c>
      <c r="G81" s="10">
        <v>0.72372029078308031</v>
      </c>
      <c r="H81" s="10">
        <v>0.74876255277872872</v>
      </c>
      <c r="I81" s="11">
        <v>0.74189814814814814</v>
      </c>
      <c r="J81" s="11">
        <v>0.73654390934844194</v>
      </c>
      <c r="K81" s="11">
        <v>0.74548192771084332</v>
      </c>
    </row>
    <row r="82" spans="1:13" x14ac:dyDescent="0.25">
      <c r="A82" s="6" t="s">
        <v>115</v>
      </c>
      <c r="B82" s="10">
        <v>0.17141309479566469</v>
      </c>
      <c r="C82" s="10">
        <v>0.1691487464357582</v>
      </c>
      <c r="D82" s="10">
        <v>0.14972021032856461</v>
      </c>
      <c r="E82" s="10">
        <v>0.1796153975555011</v>
      </c>
      <c r="F82" s="10">
        <v>0.19722939237313941</v>
      </c>
      <c r="G82" s="10">
        <v>0.23625560284756489</v>
      </c>
      <c r="H82" s="10">
        <v>0.20006109969949409</v>
      </c>
      <c r="I82" s="11">
        <v>0.2048611111111111</v>
      </c>
      <c r="J82" s="11">
        <v>0.21718602455146371</v>
      </c>
      <c r="K82" s="11">
        <v>0.21084337349397589</v>
      </c>
    </row>
    <row r="83" spans="1:13" x14ac:dyDescent="0.25">
      <c r="A83" s="3" t="s">
        <v>116</v>
      </c>
    </row>
    <row r="84" spans="1:13" x14ac:dyDescent="0.25">
      <c r="A84" s="6" t="s">
        <v>78</v>
      </c>
      <c r="B84" s="9" t="s">
        <v>21</v>
      </c>
      <c r="C84" s="9" t="s">
        <v>21</v>
      </c>
      <c r="D84" s="9" t="s">
        <v>21</v>
      </c>
      <c r="E84" s="9" t="s">
        <v>21</v>
      </c>
      <c r="F84" s="14">
        <v>95.76</v>
      </c>
      <c r="G84" s="14">
        <v>100.34</v>
      </c>
      <c r="H84" s="14">
        <v>116</v>
      </c>
      <c r="I84" s="15">
        <v>158</v>
      </c>
      <c r="J84" s="15">
        <v>205</v>
      </c>
      <c r="K84" s="15">
        <v>240</v>
      </c>
    </row>
    <row r="85" spans="1:13" x14ac:dyDescent="0.25">
      <c r="A85" s="6" t="s">
        <v>79</v>
      </c>
      <c r="B85" s="9" t="s">
        <v>21</v>
      </c>
      <c r="C85" s="9" t="s">
        <v>21</v>
      </c>
      <c r="D85" s="9" t="s">
        <v>21</v>
      </c>
      <c r="E85" s="9" t="s">
        <v>21</v>
      </c>
      <c r="F85" s="10">
        <v>5.1169590643274858E-2</v>
      </c>
      <c r="G85" s="10">
        <v>5.9796691249750837E-2</v>
      </c>
      <c r="H85" s="10">
        <v>7.7586206896551727E-2</v>
      </c>
      <c r="I85" s="11">
        <v>8.7025316455696208E-2</v>
      </c>
      <c r="J85" s="11">
        <v>0.08</v>
      </c>
      <c r="K85" s="11">
        <v>8.3000000000000004E-2</v>
      </c>
    </row>
    <row r="86" spans="1:13" x14ac:dyDescent="0.25">
      <c r="A86" s="6" t="s">
        <v>80</v>
      </c>
      <c r="B86" s="9" t="s">
        <v>21</v>
      </c>
      <c r="C86" s="9" t="s">
        <v>21</v>
      </c>
      <c r="D86" s="9" t="s">
        <v>21</v>
      </c>
      <c r="E86" s="9" t="s">
        <v>21</v>
      </c>
      <c r="F86" s="12">
        <v>4.9000000000000004</v>
      </c>
      <c r="G86" s="12">
        <v>6</v>
      </c>
      <c r="H86" s="12">
        <v>9</v>
      </c>
      <c r="I86" s="13">
        <v>13.75</v>
      </c>
      <c r="J86" s="13">
        <v>16.399999999999999</v>
      </c>
      <c r="K86" s="13">
        <v>19.920000000000002</v>
      </c>
    </row>
    <row r="87" spans="1:13" x14ac:dyDescent="0.25">
      <c r="A87" s="6" t="s">
        <v>117</v>
      </c>
      <c r="B87" s="9" t="s">
        <v>21</v>
      </c>
      <c r="C87" s="9" t="s">
        <v>21</v>
      </c>
      <c r="D87" s="9" t="s">
        <v>21</v>
      </c>
      <c r="E87" s="9" t="s">
        <v>21</v>
      </c>
      <c r="F87" s="10">
        <v>0.39942857142857141</v>
      </c>
      <c r="G87" s="10">
        <v>0.35398333333333332</v>
      </c>
      <c r="H87" s="10">
        <v>0.28041111111111111</v>
      </c>
      <c r="I87" s="11">
        <v>0.314</v>
      </c>
      <c r="J87" s="11">
        <v>0.32300000000000001</v>
      </c>
      <c r="K87" s="11">
        <v>0.33300000000000002</v>
      </c>
      <c r="M87" s="2" t="s">
        <v>118</v>
      </c>
    </row>
    <row r="88" spans="1:13" x14ac:dyDescent="0.25">
      <c r="A88" s="6" t="s">
        <v>119</v>
      </c>
      <c r="B88" s="9" t="s">
        <v>21</v>
      </c>
      <c r="C88" s="9" t="s">
        <v>21</v>
      </c>
      <c r="D88" s="9" t="s">
        <v>21</v>
      </c>
      <c r="E88" s="9" t="s">
        <v>21</v>
      </c>
      <c r="F88" s="7">
        <v>1957.2</v>
      </c>
      <c r="G88" s="7">
        <v>2123.9</v>
      </c>
      <c r="H88" s="7">
        <v>2523.6999999999998</v>
      </c>
      <c r="I88" s="8">
        <v>4317.5000000000009</v>
      </c>
      <c r="J88" s="8">
        <v>5297.2</v>
      </c>
      <c r="K88" s="8">
        <v>6633.3600000000006</v>
      </c>
    </row>
    <row r="89" spans="1:13" x14ac:dyDescent="0.25">
      <c r="A89" s="6" t="s">
        <v>120</v>
      </c>
      <c r="B89" s="9" t="s">
        <v>21</v>
      </c>
      <c r="C89" s="9" t="s">
        <v>21</v>
      </c>
      <c r="D89" s="9" t="s">
        <v>21</v>
      </c>
      <c r="E89" s="9" t="s">
        <v>21</v>
      </c>
      <c r="F89" s="9" t="s">
        <v>21</v>
      </c>
      <c r="G89" s="10">
        <v>-3.7220122128525657E-2</v>
      </c>
      <c r="H89" s="10">
        <v>8.1244337058290483E-2</v>
      </c>
      <c r="I89" s="11">
        <v>0.14525139664804471</v>
      </c>
      <c r="J89" s="11">
        <v>0.1341463414634145</v>
      </c>
      <c r="K89" s="11">
        <v>0.12903225806451621</v>
      </c>
    </row>
    <row r="90" spans="1:13" x14ac:dyDescent="0.25">
      <c r="A90" s="6" t="s">
        <v>121</v>
      </c>
      <c r="B90" s="9" t="s">
        <v>21</v>
      </c>
      <c r="C90" s="9" t="s">
        <v>21</v>
      </c>
      <c r="D90" s="9" t="s">
        <v>21</v>
      </c>
      <c r="E90" s="9" t="s">
        <v>21</v>
      </c>
      <c r="F90" s="9" t="s">
        <v>21</v>
      </c>
      <c r="G90" s="10">
        <v>-2.771855010660973E-2</v>
      </c>
      <c r="H90" s="10">
        <v>-0.15487938596491219</v>
      </c>
      <c r="I90" s="11">
        <v>0.28446318520921171</v>
      </c>
      <c r="J90" s="11">
        <v>0.16161616161616149</v>
      </c>
      <c r="K90" s="11">
        <v>0.1521739130434783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2" customWidth="1"/>
    <col min="2" max="9" width="13.42578125" customWidth="1"/>
    <col min="11" max="11" width="70" customWidth="1"/>
  </cols>
  <sheetData>
    <row r="1" spans="1:10" ht="18" x14ac:dyDescent="0.25">
      <c r="A1" s="1" t="s">
        <v>122</v>
      </c>
    </row>
    <row r="2" spans="1:10" x14ac:dyDescent="0.25">
      <c r="A2" s="2" t="s">
        <v>123</v>
      </c>
    </row>
    <row r="4" spans="1:10" x14ac:dyDescent="0.25">
      <c r="A4" s="18" t="s">
        <v>124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25">
      <c r="A5" s="4" t="s">
        <v>46</v>
      </c>
      <c r="B5" s="5" t="s">
        <v>125</v>
      </c>
      <c r="C5" s="5" t="s">
        <v>126</v>
      </c>
      <c r="D5" s="5" t="s">
        <v>127</v>
      </c>
      <c r="E5" s="5" t="s">
        <v>128</v>
      </c>
      <c r="F5" s="5" t="s">
        <v>129</v>
      </c>
      <c r="G5" s="5" t="s">
        <v>130</v>
      </c>
      <c r="H5" s="5" t="s">
        <v>131</v>
      </c>
      <c r="I5" s="5" t="s">
        <v>132</v>
      </c>
    </row>
    <row r="6" spans="1:10" x14ac:dyDescent="0.25">
      <c r="A6" s="6" t="s">
        <v>133</v>
      </c>
      <c r="B6" s="9" t="s">
        <v>134</v>
      </c>
      <c r="C6" s="9" t="s">
        <v>135</v>
      </c>
      <c r="D6" s="9" t="s">
        <v>136</v>
      </c>
      <c r="E6" s="9" t="s">
        <v>137</v>
      </c>
      <c r="F6" s="9" t="s">
        <v>138</v>
      </c>
      <c r="G6" s="9" t="s">
        <v>139</v>
      </c>
      <c r="H6" s="9" t="s">
        <v>140</v>
      </c>
      <c r="I6" s="9" t="s">
        <v>141</v>
      </c>
    </row>
    <row r="7" spans="1:10" x14ac:dyDescent="0.25">
      <c r="A7" s="6" t="s">
        <v>142</v>
      </c>
      <c r="B7" s="9" t="s">
        <v>143</v>
      </c>
      <c r="C7" s="9" t="s">
        <v>143</v>
      </c>
      <c r="D7" s="9" t="s">
        <v>143</v>
      </c>
      <c r="E7" s="9" t="s">
        <v>143</v>
      </c>
      <c r="F7" s="9" t="s">
        <v>143</v>
      </c>
      <c r="G7" s="9" t="s">
        <v>143</v>
      </c>
      <c r="H7" s="9" t="s">
        <v>144</v>
      </c>
      <c r="I7" s="9" t="s">
        <v>144</v>
      </c>
    </row>
    <row r="8" spans="1:10" x14ac:dyDescent="0.25">
      <c r="A8" s="6" t="s">
        <v>34</v>
      </c>
      <c r="B8" s="7">
        <v>232349</v>
      </c>
      <c r="C8" s="7">
        <v>263776</v>
      </c>
      <c r="D8" s="7">
        <v>262957</v>
      </c>
      <c r="E8" s="7">
        <v>273804</v>
      </c>
      <c r="F8" s="7">
        <v>328073</v>
      </c>
      <c r="G8" s="7">
        <v>367473</v>
      </c>
      <c r="H8" s="8">
        <v>433064</v>
      </c>
      <c r="I8" s="8">
        <v>463762.07142857142</v>
      </c>
    </row>
    <row r="9" spans="1:10" x14ac:dyDescent="0.25">
      <c r="A9" s="6" t="s">
        <v>145</v>
      </c>
      <c r="B9" s="10">
        <v>0.71143094952232944</v>
      </c>
      <c r="C9" s="10">
        <v>0.90143088844836905</v>
      </c>
      <c r="D9" s="10">
        <v>0.38048939264283588</v>
      </c>
      <c r="E9" s="10">
        <v>0.25510653122593419</v>
      </c>
      <c r="F9" s="10">
        <v>0.411983696938657</v>
      </c>
      <c r="G9" s="10">
        <v>0.39312522746572842</v>
      </c>
      <c r="H9" s="11">
        <v>0.64690044379879597</v>
      </c>
      <c r="I9" s="11">
        <v>0.69377390917799375</v>
      </c>
    </row>
    <row r="10" spans="1:10" x14ac:dyDescent="0.25">
      <c r="A10" s="6" t="s">
        <v>146</v>
      </c>
      <c r="B10" s="10">
        <v>0.59924510111943674</v>
      </c>
      <c r="C10" s="10">
        <v>0.65069604512920054</v>
      </c>
      <c r="D10" s="10">
        <v>0.6223108721197762</v>
      </c>
      <c r="E10" s="10">
        <v>0.6198156345414968</v>
      </c>
      <c r="F10" s="10">
        <v>0.67399633618127675</v>
      </c>
      <c r="G10" s="10">
        <v>0.69543340599173276</v>
      </c>
      <c r="H10" s="11">
        <v>0.69091999999999998</v>
      </c>
      <c r="I10" s="11">
        <v>0.67024000000000006</v>
      </c>
    </row>
    <row r="11" spans="1:10" x14ac:dyDescent="0.25">
      <c r="A11" s="6" t="s">
        <v>147</v>
      </c>
      <c r="B11" s="7">
        <v>64035</v>
      </c>
      <c r="C11" s="7">
        <v>123952</v>
      </c>
      <c r="D11" s="7">
        <v>108483</v>
      </c>
      <c r="E11" s="7">
        <v>113571</v>
      </c>
      <c r="F11" s="7">
        <v>153114</v>
      </c>
      <c r="G11" s="7">
        <v>189990</v>
      </c>
      <c r="H11" s="8">
        <v>218977.25</v>
      </c>
      <c r="I11" s="8">
        <v>229019.5</v>
      </c>
    </row>
    <row r="12" spans="1:10" x14ac:dyDescent="0.25">
      <c r="A12" s="6" t="s">
        <v>50</v>
      </c>
      <c r="B12" s="10">
        <v>0.27559834559219099</v>
      </c>
      <c r="C12" s="10">
        <v>0.46991386631080923</v>
      </c>
      <c r="D12" s="10">
        <v>0.41255034093026621</v>
      </c>
      <c r="E12" s="10">
        <v>0.4147894114037779</v>
      </c>
      <c r="F12" s="10">
        <v>0.46670710482118311</v>
      </c>
      <c r="G12" s="10">
        <v>0.51701757680156091</v>
      </c>
      <c r="H12" s="11">
        <v>0.50564639406646594</v>
      </c>
      <c r="I12" s="11">
        <v>0.49382973319600931</v>
      </c>
    </row>
    <row r="13" spans="1:10" x14ac:dyDescent="0.25">
      <c r="A13" s="6" t="s">
        <v>148</v>
      </c>
      <c r="B13" s="7">
        <v>39967</v>
      </c>
      <c r="C13" s="7">
        <v>90180</v>
      </c>
      <c r="D13" s="7">
        <v>79633</v>
      </c>
      <c r="E13" s="7">
        <v>78713</v>
      </c>
      <c r="F13" s="7">
        <v>126827</v>
      </c>
      <c r="G13" s="7">
        <v>174780</v>
      </c>
      <c r="H13" s="8">
        <v>156658.91699999999</v>
      </c>
      <c r="I13" s="8">
        <v>169824.4</v>
      </c>
    </row>
    <row r="14" spans="1:10" x14ac:dyDescent="0.25">
      <c r="A14" s="6" t="s">
        <v>149</v>
      </c>
      <c r="B14" s="12">
        <v>54.298999999999999</v>
      </c>
      <c r="C14" s="12">
        <v>122.8</v>
      </c>
      <c r="D14" s="12">
        <v>108.705</v>
      </c>
      <c r="E14" s="12">
        <v>108.008</v>
      </c>
      <c r="F14" s="12">
        <v>174.17400000000001</v>
      </c>
      <c r="G14" s="12">
        <v>239.89</v>
      </c>
      <c r="H14" s="13">
        <v>213.90899999999999</v>
      </c>
      <c r="I14" s="13">
        <v>221.30699999999999</v>
      </c>
    </row>
    <row r="15" spans="1:10" x14ac:dyDescent="0.25">
      <c r="A15" s="6" t="s">
        <v>31</v>
      </c>
      <c r="B15" s="14">
        <v>736.04898600000001</v>
      </c>
      <c r="C15" s="14">
        <v>734.3648208469059</v>
      </c>
      <c r="D15" s="14">
        <v>732.56059978841802</v>
      </c>
      <c r="E15" s="14">
        <v>728.77009110436302</v>
      </c>
      <c r="F15" s="14">
        <v>728.158726</v>
      </c>
      <c r="G15" s="14">
        <v>728.58393430322189</v>
      </c>
      <c r="H15" s="15">
        <v>732.36243916805756</v>
      </c>
      <c r="I15" s="15">
        <v>767.37021422729504</v>
      </c>
    </row>
    <row r="16" spans="1:10" x14ac:dyDescent="0.25">
      <c r="A16" s="6" t="s">
        <v>150</v>
      </c>
      <c r="B16" s="7">
        <v>110183</v>
      </c>
      <c r="C16" s="7">
        <v>41202</v>
      </c>
      <c r="D16" s="7">
        <v>80418</v>
      </c>
      <c r="E16" s="7">
        <v>72200</v>
      </c>
      <c r="F16" s="7">
        <v>108350</v>
      </c>
      <c r="G16" s="7">
        <v>127303</v>
      </c>
      <c r="H16" s="8">
        <v>73494.733931386203</v>
      </c>
      <c r="I16" s="8">
        <v>145977.449613303</v>
      </c>
    </row>
    <row r="17" spans="1:10" x14ac:dyDescent="0.25">
      <c r="A17" s="6" t="s">
        <v>151</v>
      </c>
      <c r="B17" s="9" t="s">
        <v>21</v>
      </c>
      <c r="C17" s="9" t="s">
        <v>21</v>
      </c>
      <c r="D17" s="9" t="s">
        <v>21</v>
      </c>
      <c r="E17" s="9" t="s">
        <v>21</v>
      </c>
      <c r="F17" s="9" t="s">
        <v>21</v>
      </c>
      <c r="G17" s="9" t="s">
        <v>21</v>
      </c>
      <c r="H17" s="16">
        <v>16</v>
      </c>
      <c r="I17" s="16">
        <v>14</v>
      </c>
    </row>
    <row r="18" spans="1:10" x14ac:dyDescent="0.25">
      <c r="A18" s="20" t="s">
        <v>152</v>
      </c>
      <c r="B18" s="21"/>
      <c r="C18" s="21"/>
      <c r="D18" s="21"/>
      <c r="E18" s="21"/>
      <c r="F18" s="21"/>
      <c r="G18" s="21"/>
      <c r="H18" s="21"/>
      <c r="I18" s="21"/>
    </row>
    <row r="19" spans="1:10" x14ac:dyDescent="0.25">
      <c r="A19" s="6" t="s">
        <v>62</v>
      </c>
      <c r="B19" s="7">
        <v>148800</v>
      </c>
      <c r="C19" s="7">
        <v>191300</v>
      </c>
      <c r="D19" s="7">
        <v>173700</v>
      </c>
      <c r="E19" s="7">
        <v>165200</v>
      </c>
      <c r="F19" s="7">
        <v>237200</v>
      </c>
      <c r="G19" s="7">
        <v>259600</v>
      </c>
      <c r="H19" s="9" t="s">
        <v>21</v>
      </c>
      <c r="I19" s="9" t="s">
        <v>21</v>
      </c>
    </row>
    <row r="20" spans="1:10" x14ac:dyDescent="0.25">
      <c r="A20" s="6" t="s">
        <v>63</v>
      </c>
      <c r="B20" s="7">
        <v>35100</v>
      </c>
      <c r="C20" s="7">
        <v>33500</v>
      </c>
      <c r="D20" s="7">
        <v>43900</v>
      </c>
      <c r="E20" s="7">
        <v>57300</v>
      </c>
      <c r="F20" s="7">
        <v>36800</v>
      </c>
      <c r="G20" s="7">
        <v>48000</v>
      </c>
      <c r="H20" s="9" t="s">
        <v>21</v>
      </c>
      <c r="I20" s="9" t="s">
        <v>21</v>
      </c>
    </row>
    <row r="21" spans="1:10" x14ac:dyDescent="0.25">
      <c r="A21" s="6" t="s">
        <v>153</v>
      </c>
      <c r="B21" s="7">
        <v>20200</v>
      </c>
      <c r="C21" s="7">
        <v>15800</v>
      </c>
      <c r="D21" s="7">
        <v>19800</v>
      </c>
      <c r="E21" s="7">
        <v>22600</v>
      </c>
      <c r="F21" s="7">
        <v>22300</v>
      </c>
      <c r="G21" s="7">
        <v>26000</v>
      </c>
      <c r="H21" s="9" t="s">
        <v>21</v>
      </c>
      <c r="I21" s="9" t="s">
        <v>21</v>
      </c>
    </row>
    <row r="22" spans="1:10" x14ac:dyDescent="0.25">
      <c r="A22" s="6" t="s">
        <v>65</v>
      </c>
      <c r="B22" s="7">
        <v>28189</v>
      </c>
      <c r="C22" s="7">
        <v>23222</v>
      </c>
      <c r="D22" s="7">
        <v>25600</v>
      </c>
      <c r="E22" s="7">
        <v>28706</v>
      </c>
      <c r="F22" s="7">
        <v>31748</v>
      </c>
      <c r="G22" s="7">
        <v>33911</v>
      </c>
      <c r="H22" s="9" t="s">
        <v>21</v>
      </c>
      <c r="I22" s="9" t="s">
        <v>21</v>
      </c>
    </row>
    <row r="23" spans="1:10" x14ac:dyDescent="0.25">
      <c r="A23" s="6" t="s">
        <v>154</v>
      </c>
      <c r="B23" s="10">
        <v>0.64041592604228981</v>
      </c>
      <c r="C23" s="10">
        <v>0.72523656435763684</v>
      </c>
      <c r="D23" s="10">
        <v>0.66056427476735735</v>
      </c>
      <c r="E23" s="10">
        <v>0.60335130239149171</v>
      </c>
      <c r="F23" s="10">
        <v>0.72300981793686159</v>
      </c>
      <c r="G23" s="10">
        <v>0.70644646001202804</v>
      </c>
      <c r="H23" s="9" t="s">
        <v>21</v>
      </c>
      <c r="I23" s="9" t="s">
        <v>21</v>
      </c>
    </row>
    <row r="25" spans="1:10" x14ac:dyDescent="0.25">
      <c r="A25" s="18" t="s">
        <v>155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x14ac:dyDescent="0.25">
      <c r="A26" s="4" t="s">
        <v>92</v>
      </c>
      <c r="B26" s="5" t="s">
        <v>125</v>
      </c>
      <c r="C26" s="5" t="s">
        <v>126</v>
      </c>
      <c r="D26" s="5" t="s">
        <v>127</v>
      </c>
      <c r="E26" s="5" t="s">
        <v>128</v>
      </c>
      <c r="F26" s="5" t="s">
        <v>129</v>
      </c>
      <c r="G26" s="5" t="s">
        <v>130</v>
      </c>
      <c r="H26" s="5" t="s">
        <v>131</v>
      </c>
      <c r="I26" s="5" t="s">
        <v>132</v>
      </c>
    </row>
    <row r="27" spans="1:10" x14ac:dyDescent="0.25">
      <c r="A27" s="6" t="s">
        <v>133</v>
      </c>
      <c r="B27" s="9" t="s">
        <v>156</v>
      </c>
      <c r="C27" s="9" t="s">
        <v>157</v>
      </c>
      <c r="D27" s="9" t="s">
        <v>158</v>
      </c>
      <c r="E27" s="9" t="s">
        <v>159</v>
      </c>
      <c r="F27" s="9" t="s">
        <v>160</v>
      </c>
      <c r="G27" s="9" t="s">
        <v>161</v>
      </c>
      <c r="H27" s="9" t="s">
        <v>162</v>
      </c>
      <c r="I27" s="9" t="s">
        <v>163</v>
      </c>
    </row>
    <row r="28" spans="1:10" x14ac:dyDescent="0.25">
      <c r="A28" s="6" t="s">
        <v>142</v>
      </c>
      <c r="B28" s="9" t="s">
        <v>143</v>
      </c>
      <c r="C28" s="9" t="s">
        <v>143</v>
      </c>
      <c r="D28" s="9" t="s">
        <v>143</v>
      </c>
      <c r="E28" s="9" t="s">
        <v>143</v>
      </c>
      <c r="F28" s="9" t="s">
        <v>143</v>
      </c>
      <c r="G28" s="9" t="s">
        <v>143</v>
      </c>
      <c r="H28" s="9" t="s">
        <v>144</v>
      </c>
      <c r="I28" s="9" t="s">
        <v>144</v>
      </c>
    </row>
    <row r="29" spans="1:10" x14ac:dyDescent="0.25">
      <c r="A29" s="6" t="s">
        <v>34</v>
      </c>
      <c r="B29" s="7">
        <v>685.68</v>
      </c>
      <c r="C29" s="7">
        <v>651.79700000000003</v>
      </c>
      <c r="D29" s="7">
        <v>769.21</v>
      </c>
      <c r="E29" s="7">
        <v>1083.337</v>
      </c>
      <c r="F29" s="7">
        <v>1282.4939999999999</v>
      </c>
      <c r="G29" s="7">
        <v>1328.99</v>
      </c>
      <c r="H29" s="8">
        <v>1243.571428571428</v>
      </c>
      <c r="I29" s="8">
        <v>1235.6923076923081</v>
      </c>
    </row>
    <row r="30" spans="1:10" x14ac:dyDescent="0.25">
      <c r="A30" s="6" t="s">
        <v>145</v>
      </c>
      <c r="B30" s="10">
        <v>0.1431448486960234</v>
      </c>
      <c r="C30" s="10">
        <v>-0.1069793760335617</v>
      </c>
      <c r="D30" s="10">
        <v>4.3282363440562799E-2</v>
      </c>
      <c r="E30" s="10">
        <v>0.43891622082551879</v>
      </c>
      <c r="F30" s="10">
        <v>0.87039726986349319</v>
      </c>
      <c r="G30" s="10">
        <v>1.0389630513794941</v>
      </c>
      <c r="H30" s="11">
        <v>0.61668650767856414</v>
      </c>
      <c r="I30" s="11">
        <v>0.14063519264301649</v>
      </c>
    </row>
    <row r="31" spans="1:10" x14ac:dyDescent="0.25">
      <c r="A31" s="6" t="s">
        <v>164</v>
      </c>
      <c r="B31" s="10">
        <v>0.60572861976432157</v>
      </c>
      <c r="C31" s="10">
        <v>0.57228247445140124</v>
      </c>
      <c r="D31" s="10">
        <v>0.58411357106641881</v>
      </c>
      <c r="E31" s="10">
        <v>0.5720196023951919</v>
      </c>
      <c r="F31" s="10">
        <v>0.60892994431163028</v>
      </c>
      <c r="G31" s="10">
        <v>0.59791119572005813</v>
      </c>
      <c r="H31" s="9" t="s">
        <v>21</v>
      </c>
      <c r="I31" s="9" t="s">
        <v>21</v>
      </c>
    </row>
    <row r="32" spans="1:10" x14ac:dyDescent="0.25">
      <c r="A32" s="6" t="s">
        <v>165</v>
      </c>
      <c r="B32" s="9" t="s">
        <v>21</v>
      </c>
      <c r="C32" s="9" t="s">
        <v>21</v>
      </c>
      <c r="D32" s="9" t="s">
        <v>21</v>
      </c>
      <c r="E32" s="9" t="s">
        <v>21</v>
      </c>
      <c r="F32" s="9" t="s">
        <v>21</v>
      </c>
      <c r="G32" s="9" t="s">
        <v>21</v>
      </c>
      <c r="H32" s="11">
        <v>0.58321000000000001</v>
      </c>
      <c r="I32" s="11">
        <v>0.57956000000000008</v>
      </c>
    </row>
    <row r="33" spans="1:9" x14ac:dyDescent="0.25">
      <c r="A33" s="6" t="s">
        <v>166</v>
      </c>
      <c r="B33" s="7">
        <v>120.803</v>
      </c>
      <c r="C33" s="7">
        <v>90.742999999999995</v>
      </c>
      <c r="D33" s="7">
        <v>145.303</v>
      </c>
      <c r="E33" s="7">
        <v>293.2</v>
      </c>
      <c r="F33" s="7">
        <v>473.00200000000001</v>
      </c>
      <c r="G33" s="7">
        <v>437.81</v>
      </c>
      <c r="H33" s="9" t="s">
        <v>21</v>
      </c>
      <c r="I33" s="9" t="s">
        <v>21</v>
      </c>
    </row>
    <row r="34" spans="1:9" x14ac:dyDescent="0.25">
      <c r="A34" s="6" t="s">
        <v>167</v>
      </c>
      <c r="B34" s="9" t="s">
        <v>21</v>
      </c>
      <c r="C34" s="9" t="s">
        <v>21</v>
      </c>
      <c r="D34" s="9" t="s">
        <v>21</v>
      </c>
      <c r="E34" s="9" t="s">
        <v>21</v>
      </c>
      <c r="F34" s="9" t="s">
        <v>21</v>
      </c>
      <c r="G34" s="9" t="s">
        <v>21</v>
      </c>
      <c r="H34" s="8">
        <v>374.23076923076923</v>
      </c>
      <c r="I34" s="8">
        <v>368.76923076923077</v>
      </c>
    </row>
    <row r="35" spans="1:9" x14ac:dyDescent="0.25">
      <c r="A35" s="6" t="s">
        <v>168</v>
      </c>
      <c r="B35" s="7">
        <v>98.896000000000001</v>
      </c>
      <c r="C35" s="7">
        <v>78.372</v>
      </c>
      <c r="D35" s="7">
        <v>119.55800000000001</v>
      </c>
      <c r="E35" s="7">
        <v>257.22000000000003</v>
      </c>
      <c r="F35" s="7">
        <v>398.90800000000002</v>
      </c>
      <c r="G35" s="7">
        <v>374.88499999999999</v>
      </c>
      <c r="H35" s="9" t="s">
        <v>21</v>
      </c>
      <c r="I35" s="9" t="s">
        <v>21</v>
      </c>
    </row>
    <row r="36" spans="1:9" x14ac:dyDescent="0.25">
      <c r="A36" s="6" t="s">
        <v>100</v>
      </c>
      <c r="B36" s="7">
        <v>121.5</v>
      </c>
      <c r="C36" s="7">
        <v>91.6</v>
      </c>
      <c r="D36" s="7">
        <v>135.9</v>
      </c>
      <c r="E36" s="7">
        <v>283</v>
      </c>
      <c r="F36" s="7">
        <v>402.9</v>
      </c>
      <c r="G36" s="7">
        <v>389</v>
      </c>
      <c r="H36" s="8">
        <v>321.25</v>
      </c>
      <c r="I36" s="8">
        <v>315.91699999999997</v>
      </c>
    </row>
    <row r="37" spans="1:9" x14ac:dyDescent="0.25">
      <c r="A37" s="6" t="s">
        <v>102</v>
      </c>
      <c r="B37" s="12">
        <v>0.61</v>
      </c>
      <c r="C37" s="12">
        <v>0.49</v>
      </c>
      <c r="D37" s="12">
        <v>0.75</v>
      </c>
      <c r="E37" s="12">
        <v>1.63</v>
      </c>
      <c r="F37" s="12">
        <v>2.5299999999999998</v>
      </c>
      <c r="G37" s="12">
        <v>2.38</v>
      </c>
      <c r="H37" s="13">
        <v>1.9990000000000001</v>
      </c>
      <c r="I37" s="13">
        <v>1.974</v>
      </c>
    </row>
    <row r="38" spans="1:9" x14ac:dyDescent="0.25">
      <c r="A38" s="6" t="s">
        <v>103</v>
      </c>
      <c r="B38" s="12">
        <v>0.75</v>
      </c>
      <c r="C38" s="12">
        <v>0.56999999999999995</v>
      </c>
      <c r="D38" s="12">
        <v>0.85</v>
      </c>
      <c r="E38" s="12">
        <v>1.8</v>
      </c>
      <c r="F38" s="12">
        <v>2.56</v>
      </c>
      <c r="G38" s="12">
        <v>2.4700000000000002</v>
      </c>
      <c r="H38" s="13">
        <v>1.988</v>
      </c>
      <c r="I38" s="13">
        <v>1.9419999999999999</v>
      </c>
    </row>
    <row r="39" spans="1:9" x14ac:dyDescent="0.25">
      <c r="A39" s="6" t="s">
        <v>31</v>
      </c>
      <c r="B39" s="14">
        <v>161.99600000000001</v>
      </c>
      <c r="C39" s="14">
        <v>160.13499999999999</v>
      </c>
      <c r="D39" s="14">
        <v>159.09700000000001</v>
      </c>
      <c r="E39" s="14">
        <v>157.65100000000001</v>
      </c>
      <c r="F39" s="14">
        <v>157.636</v>
      </c>
      <c r="G39" s="14">
        <v>157.69300000000001</v>
      </c>
      <c r="H39" s="15">
        <v>161.59456740442661</v>
      </c>
      <c r="I39" s="15">
        <v>162.67610710607619</v>
      </c>
    </row>
    <row r="40" spans="1:9" x14ac:dyDescent="0.25">
      <c r="A40" s="6" t="s">
        <v>150</v>
      </c>
      <c r="B40" s="7">
        <v>97.616</v>
      </c>
      <c r="C40" s="7">
        <v>131.68</v>
      </c>
      <c r="D40" s="7">
        <v>2.3590000000000022</v>
      </c>
      <c r="E40" s="7">
        <v>218.751</v>
      </c>
      <c r="F40" s="7">
        <v>200.39099999999999</v>
      </c>
      <c r="G40" s="7">
        <v>378.43200000000002</v>
      </c>
      <c r="H40" s="8">
        <v>359.608629234651</v>
      </c>
      <c r="I40" s="8">
        <v>290.80429956189022</v>
      </c>
    </row>
    <row r="41" spans="1:9" x14ac:dyDescent="0.25">
      <c r="A41" s="6" t="s">
        <v>151</v>
      </c>
      <c r="B41" s="9" t="s">
        <v>21</v>
      </c>
      <c r="C41" s="9" t="s">
        <v>21</v>
      </c>
      <c r="D41" s="9" t="s">
        <v>21</v>
      </c>
      <c r="E41" s="9" t="s">
        <v>21</v>
      </c>
      <c r="F41" s="9" t="s">
        <v>21</v>
      </c>
      <c r="G41" s="9" t="s">
        <v>21</v>
      </c>
      <c r="H41" s="16">
        <v>14</v>
      </c>
      <c r="I41" s="16">
        <v>13</v>
      </c>
    </row>
    <row r="42" spans="1:9" x14ac:dyDescent="0.25">
      <c r="A42" s="20" t="s">
        <v>152</v>
      </c>
      <c r="B42" s="21"/>
      <c r="C42" s="21"/>
      <c r="D42" s="21"/>
      <c r="E42" s="21"/>
      <c r="F42" s="21"/>
      <c r="G42" s="21"/>
      <c r="H42" s="21"/>
      <c r="I42" s="21"/>
    </row>
    <row r="43" spans="1:9" x14ac:dyDescent="0.25">
      <c r="A43" s="6" t="s">
        <v>105</v>
      </c>
      <c r="B43" s="7">
        <v>542.50400000000002</v>
      </c>
      <c r="C43" s="7">
        <v>491.87799999999999</v>
      </c>
      <c r="D43" s="7">
        <v>605.86699999999996</v>
      </c>
      <c r="E43" s="7">
        <v>883.495</v>
      </c>
      <c r="F43" s="7">
        <v>1110.8009999999999</v>
      </c>
      <c r="G43" s="7">
        <v>1121.825</v>
      </c>
      <c r="H43" s="9" t="s">
        <v>21</v>
      </c>
      <c r="I43" s="9" t="s">
        <v>21</v>
      </c>
    </row>
    <row r="44" spans="1:9" x14ac:dyDescent="0.25">
      <c r="A44" s="6" t="s">
        <v>106</v>
      </c>
      <c r="B44" s="7">
        <v>406.39100000000002</v>
      </c>
      <c r="C44" s="7">
        <v>396.58800000000002</v>
      </c>
      <c r="D44" s="7">
        <v>440.21600000000001</v>
      </c>
      <c r="E44" s="7">
        <v>646.49</v>
      </c>
      <c r="F44" s="7">
        <v>881.80700000000002</v>
      </c>
      <c r="G44" s="7">
        <v>842.971</v>
      </c>
      <c r="H44" s="9" t="s">
        <v>21</v>
      </c>
      <c r="I44" s="9" t="s">
        <v>21</v>
      </c>
    </row>
    <row r="45" spans="1:9" x14ac:dyDescent="0.25">
      <c r="A45" s="6" t="s">
        <v>108</v>
      </c>
      <c r="B45" s="7">
        <v>109.407</v>
      </c>
      <c r="C45" s="7">
        <v>60.942999999999998</v>
      </c>
      <c r="D45" s="7">
        <v>128.06200000000001</v>
      </c>
      <c r="E45" s="7">
        <v>206.49100000000001</v>
      </c>
      <c r="F45" s="7">
        <v>202.45</v>
      </c>
      <c r="G45" s="7">
        <v>212.333</v>
      </c>
      <c r="H45" s="9" t="s">
        <v>21</v>
      </c>
      <c r="I45" s="9" t="s">
        <v>21</v>
      </c>
    </row>
    <row r="46" spans="1:9" x14ac:dyDescent="0.25">
      <c r="A46" s="6" t="s">
        <v>169</v>
      </c>
      <c r="B46" s="7">
        <v>26.706</v>
      </c>
      <c r="C46" s="7">
        <v>34.347000000000001</v>
      </c>
      <c r="D46" s="7">
        <v>37.588999999999999</v>
      </c>
      <c r="E46" s="7">
        <v>30.513999999999999</v>
      </c>
      <c r="F46" s="7">
        <v>26.544</v>
      </c>
      <c r="G46" s="7">
        <v>66.521000000000001</v>
      </c>
      <c r="H46" s="9" t="s">
        <v>21</v>
      </c>
      <c r="I46" s="9" t="s">
        <v>21</v>
      </c>
    </row>
    <row r="47" spans="1:9" x14ac:dyDescent="0.25">
      <c r="A47" s="6" t="s">
        <v>170</v>
      </c>
      <c r="B47" s="7">
        <v>74.188999999999993</v>
      </c>
      <c r="C47" s="7">
        <v>85.052999999999997</v>
      </c>
      <c r="D47" s="7">
        <v>88.256</v>
      </c>
      <c r="E47" s="7">
        <v>110.48699999999999</v>
      </c>
      <c r="F47" s="7">
        <v>80.435000000000002</v>
      </c>
      <c r="G47" s="7">
        <v>107.248</v>
      </c>
      <c r="H47" s="9" t="s">
        <v>21</v>
      </c>
      <c r="I47" s="9" t="s">
        <v>21</v>
      </c>
    </row>
    <row r="48" spans="1:9" x14ac:dyDescent="0.25">
      <c r="A48" s="6" t="s">
        <v>111</v>
      </c>
      <c r="B48" s="7">
        <v>68.986999999999995</v>
      </c>
      <c r="C48" s="7">
        <v>74.866</v>
      </c>
      <c r="D48" s="7">
        <v>75.087000000000003</v>
      </c>
      <c r="E48" s="7">
        <v>89.355000000000004</v>
      </c>
      <c r="F48" s="7">
        <v>91.257999999999996</v>
      </c>
      <c r="G48" s="7">
        <v>99.917000000000002</v>
      </c>
      <c r="H48" s="9" t="s">
        <v>21</v>
      </c>
      <c r="I48" s="9" t="s">
        <v>21</v>
      </c>
    </row>
    <row r="49" spans="1:9" x14ac:dyDescent="0.25">
      <c r="A49" s="6" t="s">
        <v>171</v>
      </c>
      <c r="B49" s="10">
        <v>0.74910231076637224</v>
      </c>
      <c r="C49" s="10">
        <v>0.80627310024030352</v>
      </c>
      <c r="D49" s="10">
        <v>0.72658850869910396</v>
      </c>
      <c r="E49" s="10">
        <v>0.73174154918816747</v>
      </c>
      <c r="F49" s="10">
        <v>0.79384786293854626</v>
      </c>
      <c r="G49" s="10">
        <v>0.75142825306977468</v>
      </c>
      <c r="H49" s="9" t="s">
        <v>21</v>
      </c>
      <c r="I49" s="9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R69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2.28515625" customWidth="1"/>
    <col min="3" max="3" width="52" customWidth="1"/>
    <col min="4" max="15" width="11.42578125" customWidth="1"/>
    <col min="17" max="17" width="3" customWidth="1"/>
    <col min="18" max="18" width="60" customWidth="1"/>
  </cols>
  <sheetData>
    <row r="2" spans="3:18" ht="20.25" x14ac:dyDescent="0.3">
      <c r="C2" s="22" t="s">
        <v>172</v>
      </c>
    </row>
    <row r="3" spans="3:18" x14ac:dyDescent="0.25">
      <c r="C3" s="23" t="s">
        <v>173</v>
      </c>
    </row>
    <row r="5" spans="3:18" x14ac:dyDescent="0.25">
      <c r="C5" s="24" t="s">
        <v>174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3:18" x14ac:dyDescent="0.25">
      <c r="D6" s="26" t="s">
        <v>175</v>
      </c>
      <c r="E6" s="26" t="s">
        <v>176</v>
      </c>
      <c r="F6" s="26" t="s">
        <v>177</v>
      </c>
      <c r="G6" s="26" t="s">
        <v>178</v>
      </c>
      <c r="H6" s="26" t="s">
        <v>179</v>
      </c>
      <c r="I6" s="26" t="s">
        <v>180</v>
      </c>
      <c r="J6" s="26" t="s">
        <v>181</v>
      </c>
      <c r="K6" s="26" t="s">
        <v>182</v>
      </c>
      <c r="L6" s="26" t="s">
        <v>183</v>
      </c>
      <c r="R6" s="24" t="s">
        <v>184</v>
      </c>
    </row>
    <row r="7" spans="3:18" x14ac:dyDescent="0.25">
      <c r="C7" s="23" t="s">
        <v>62</v>
      </c>
      <c r="D7" s="15">
        <v>148.6</v>
      </c>
      <c r="E7" s="15">
        <v>154.9</v>
      </c>
      <c r="F7" s="15">
        <v>141.5</v>
      </c>
      <c r="G7" s="15">
        <v>225.6</v>
      </c>
      <c r="H7" s="15">
        <v>325.39999999999998</v>
      </c>
      <c r="I7" s="15">
        <v>245.7</v>
      </c>
      <c r="J7" s="15">
        <v>440.4</v>
      </c>
      <c r="K7" s="15">
        <v>767.4</v>
      </c>
      <c r="L7" s="15">
        <v>1243.5</v>
      </c>
      <c r="R7" s="2" t="s">
        <v>185</v>
      </c>
    </row>
    <row r="8" spans="3:18" x14ac:dyDescent="0.25">
      <c r="C8" s="23" t="s">
        <v>63</v>
      </c>
      <c r="D8" s="15">
        <v>63.1</v>
      </c>
      <c r="E8" s="15">
        <v>42.2</v>
      </c>
      <c r="F8" s="15">
        <v>65.8</v>
      </c>
      <c r="G8" s="15">
        <v>63.3</v>
      </c>
      <c r="H8" s="15">
        <v>78.8</v>
      </c>
      <c r="I8" s="15">
        <v>85.9</v>
      </c>
      <c r="J8" s="15">
        <v>157.69999999999999</v>
      </c>
      <c r="K8" s="15">
        <v>171.5</v>
      </c>
      <c r="L8" s="15">
        <v>227</v>
      </c>
    </row>
    <row r="9" spans="3:18" x14ac:dyDescent="0.25">
      <c r="C9" s="23" t="s">
        <v>186</v>
      </c>
      <c r="D9" s="15">
        <v>39.200000000000003</v>
      </c>
      <c r="E9" s="15">
        <v>36.299999999999997</v>
      </c>
      <c r="F9" s="15">
        <v>40</v>
      </c>
      <c r="G9" s="15">
        <v>42.3</v>
      </c>
      <c r="H9" s="15">
        <v>59.9</v>
      </c>
      <c r="I9" s="15">
        <v>52.7</v>
      </c>
      <c r="J9" s="15">
        <v>84.7</v>
      </c>
      <c r="K9" s="15">
        <v>80.5</v>
      </c>
      <c r="L9" s="15">
        <v>104.5</v>
      </c>
      <c r="R9" s="2" t="s">
        <v>187</v>
      </c>
    </row>
    <row r="10" spans="3:18" x14ac:dyDescent="0.25">
      <c r="C10" s="23" t="s">
        <v>188</v>
      </c>
      <c r="D10" s="15">
        <v>31.5</v>
      </c>
      <c r="E10" s="15">
        <v>42.5</v>
      </c>
      <c r="F10" s="15">
        <v>66.8</v>
      </c>
      <c r="G10" s="15">
        <v>85.8</v>
      </c>
      <c r="H10" s="15">
        <v>96.1</v>
      </c>
      <c r="I10" s="15">
        <v>102.3</v>
      </c>
      <c r="J10" s="15">
        <v>96.9</v>
      </c>
      <c r="K10" s="15">
        <v>109.2</v>
      </c>
      <c r="L10" s="15">
        <v>139</v>
      </c>
    </row>
    <row r="11" spans="3:18" x14ac:dyDescent="0.25">
      <c r="C11" s="27" t="s">
        <v>189</v>
      </c>
      <c r="D11" s="28">
        <f t="shared" ref="D11:L11" si="0">SUM(D7:D10)</f>
        <v>282.39999999999998</v>
      </c>
      <c r="E11" s="28">
        <f t="shared" si="0"/>
        <v>275.90000000000003</v>
      </c>
      <c r="F11" s="28">
        <f t="shared" si="0"/>
        <v>314.10000000000002</v>
      </c>
      <c r="G11" s="28">
        <f t="shared" si="0"/>
        <v>417</v>
      </c>
      <c r="H11" s="28">
        <f t="shared" si="0"/>
        <v>560.19999999999993</v>
      </c>
      <c r="I11" s="28">
        <f t="shared" si="0"/>
        <v>486.6</v>
      </c>
      <c r="J11" s="28">
        <f t="shared" si="0"/>
        <v>779.69999999999993</v>
      </c>
      <c r="K11" s="28">
        <f t="shared" si="0"/>
        <v>1128.5999999999999</v>
      </c>
      <c r="L11" s="28">
        <f t="shared" si="0"/>
        <v>1714</v>
      </c>
    </row>
    <row r="12" spans="3:18" x14ac:dyDescent="0.25">
      <c r="C12" s="23" t="s">
        <v>190</v>
      </c>
      <c r="E12" s="29">
        <f t="shared" ref="E12:L12" si="1">E11/D11-1</f>
        <v>-2.3016997167138564E-2</v>
      </c>
      <c r="F12" s="29">
        <f t="shared" si="1"/>
        <v>0.13845596230518309</v>
      </c>
      <c r="G12" s="29">
        <f t="shared" si="1"/>
        <v>0.32760267430754531</v>
      </c>
      <c r="H12" s="29">
        <f t="shared" si="1"/>
        <v>0.34340527577937641</v>
      </c>
      <c r="I12" s="29">
        <f t="shared" si="1"/>
        <v>-0.13138164941092456</v>
      </c>
      <c r="J12" s="29">
        <f t="shared" si="1"/>
        <v>0.60234278668310703</v>
      </c>
      <c r="K12" s="29">
        <f t="shared" si="1"/>
        <v>0.44747979992304732</v>
      </c>
      <c r="L12" s="29">
        <f t="shared" si="1"/>
        <v>0.5186957292220451</v>
      </c>
    </row>
    <row r="13" spans="3:18" x14ac:dyDescent="0.25">
      <c r="C13" s="23" t="s">
        <v>191</v>
      </c>
      <c r="D13" s="29">
        <f t="shared" ref="D13:L13" si="2">D7/D11</f>
        <v>0.52620396600566577</v>
      </c>
      <c r="E13" s="29">
        <f t="shared" si="2"/>
        <v>0.56143530264588615</v>
      </c>
      <c r="F13" s="29">
        <f t="shared" si="2"/>
        <v>0.45049347341610951</v>
      </c>
      <c r="G13" s="29">
        <f t="shared" si="2"/>
        <v>0.54100719424460431</v>
      </c>
      <c r="H13" s="29">
        <f t="shared" si="2"/>
        <v>0.58086397715101756</v>
      </c>
      <c r="I13" s="29">
        <f t="shared" si="2"/>
        <v>0.50493218249075211</v>
      </c>
      <c r="J13" s="29">
        <f t="shared" si="2"/>
        <v>0.56483262793382072</v>
      </c>
      <c r="K13" s="29">
        <f t="shared" si="2"/>
        <v>0.67995746943115365</v>
      </c>
      <c r="L13" s="29">
        <f t="shared" si="2"/>
        <v>0.72549591598599772</v>
      </c>
    </row>
    <row r="14" spans="3:18" x14ac:dyDescent="0.25">
      <c r="C14" s="23" t="s">
        <v>192</v>
      </c>
      <c r="D14" s="29">
        <f t="shared" ref="D14:L14" si="3">D8/D11</f>
        <v>0.22344192634560908</v>
      </c>
      <c r="E14" s="29">
        <f t="shared" si="3"/>
        <v>0.15295396882928597</v>
      </c>
      <c r="F14" s="29">
        <f t="shared" si="3"/>
        <v>0.20948742438713783</v>
      </c>
      <c r="G14" s="29">
        <f t="shared" si="3"/>
        <v>0.15179856115107912</v>
      </c>
      <c r="H14" s="29">
        <f t="shared" si="3"/>
        <v>0.14066404855408784</v>
      </c>
      <c r="I14" s="29">
        <f t="shared" si="3"/>
        <v>0.17653103164817099</v>
      </c>
      <c r="J14" s="29">
        <f t="shared" si="3"/>
        <v>0.20225727844042582</v>
      </c>
      <c r="K14" s="29">
        <f t="shared" si="3"/>
        <v>0.15195817827396776</v>
      </c>
      <c r="L14" s="29">
        <f t="shared" si="3"/>
        <v>0.13243873978996498</v>
      </c>
    </row>
    <row r="15" spans="3:18" x14ac:dyDescent="0.25">
      <c r="C15" s="23" t="s">
        <v>193</v>
      </c>
      <c r="D15" s="29">
        <f t="shared" ref="D15:L15" si="4">D9/D11</f>
        <v>0.13881019830028329</v>
      </c>
      <c r="E15" s="29">
        <f t="shared" si="4"/>
        <v>0.13156940920623411</v>
      </c>
      <c r="F15" s="29">
        <f t="shared" si="4"/>
        <v>0.12734797835084366</v>
      </c>
      <c r="G15" s="29">
        <f t="shared" si="4"/>
        <v>0.1014388489208633</v>
      </c>
      <c r="H15" s="29">
        <f t="shared" si="4"/>
        <v>0.10692609782220637</v>
      </c>
      <c r="I15" s="29">
        <f t="shared" si="4"/>
        <v>0.10830250719276613</v>
      </c>
      <c r="J15" s="29">
        <f t="shared" si="4"/>
        <v>0.10863152494549187</v>
      </c>
      <c r="K15" s="29">
        <f t="shared" si="4"/>
        <v>7.1327308169413434E-2</v>
      </c>
      <c r="L15" s="29">
        <f t="shared" si="4"/>
        <v>6.0968494749124857E-2</v>
      </c>
    </row>
    <row r="16" spans="3:18" x14ac:dyDescent="0.25">
      <c r="C16" s="23" t="s">
        <v>194</v>
      </c>
      <c r="D16" s="29">
        <f t="shared" ref="D16:L16" si="5">D10/D11</f>
        <v>0.11154390934844194</v>
      </c>
      <c r="E16" s="29">
        <f t="shared" si="5"/>
        <v>0.15404131931859366</v>
      </c>
      <c r="F16" s="29">
        <f t="shared" si="5"/>
        <v>0.21267112384590892</v>
      </c>
      <c r="G16" s="29">
        <f t="shared" si="5"/>
        <v>0.20575539568345322</v>
      </c>
      <c r="H16" s="29">
        <f t="shared" si="5"/>
        <v>0.17154587647268835</v>
      </c>
      <c r="I16" s="29">
        <f t="shared" si="5"/>
        <v>0.21023427866831071</v>
      </c>
      <c r="J16" s="29">
        <f t="shared" si="5"/>
        <v>0.12427856868026166</v>
      </c>
      <c r="K16" s="29">
        <f t="shared" si="5"/>
        <v>9.6757044125465194E-2</v>
      </c>
      <c r="L16" s="29">
        <f t="shared" si="5"/>
        <v>8.1096849474912483E-2</v>
      </c>
    </row>
    <row r="17" spans="3:18" x14ac:dyDescent="0.25">
      <c r="C17" s="23" t="s">
        <v>195</v>
      </c>
      <c r="D17" s="15">
        <v>282.5</v>
      </c>
      <c r="E17" s="15">
        <v>275.89999999999998</v>
      </c>
      <c r="F17" s="15">
        <v>312.8</v>
      </c>
      <c r="G17" s="15">
        <v>416.9</v>
      </c>
      <c r="H17" s="15">
        <v>560.20000000000005</v>
      </c>
      <c r="I17" s="15">
        <v>486.5</v>
      </c>
      <c r="J17" s="15">
        <v>779.7</v>
      </c>
      <c r="K17" s="15">
        <v>1128.5999999999999</v>
      </c>
      <c r="L17" s="15">
        <v>1714</v>
      </c>
      <c r="R17" s="30" t="s">
        <v>196</v>
      </c>
    </row>
    <row r="18" spans="3:18" x14ac:dyDescent="0.25">
      <c r="C18" s="23" t="s">
        <v>197</v>
      </c>
      <c r="D18" s="15">
        <v>111.07</v>
      </c>
      <c r="E18" s="15">
        <v>108.38</v>
      </c>
      <c r="F18" s="15">
        <v>106.2</v>
      </c>
      <c r="G18" s="15">
        <v>112.92</v>
      </c>
      <c r="H18" s="15">
        <v>135.66999999999999</v>
      </c>
      <c r="I18" s="15">
        <v>145.53</v>
      </c>
      <c r="J18" s="15">
        <v>152.55000000000001</v>
      </c>
      <c r="K18" s="15">
        <v>151.1</v>
      </c>
      <c r="L18" s="15">
        <v>152</v>
      </c>
      <c r="R18" s="30" t="s">
        <v>198</v>
      </c>
    </row>
    <row r="19" spans="3:18" x14ac:dyDescent="0.25">
      <c r="C19" s="23" t="s">
        <v>199</v>
      </c>
      <c r="D19" s="31">
        <f t="shared" ref="D19:L19" si="6">D11*1000/D18</f>
        <v>2542.5407400738277</v>
      </c>
      <c r="E19" s="31">
        <f t="shared" si="6"/>
        <v>2545.6726333271827</v>
      </c>
      <c r="F19" s="31">
        <f t="shared" si="6"/>
        <v>2957.6271186440677</v>
      </c>
      <c r="G19" s="31">
        <f t="shared" si="6"/>
        <v>3692.8799149840593</v>
      </c>
      <c r="H19" s="31">
        <f t="shared" si="6"/>
        <v>4129.136876243826</v>
      </c>
      <c r="I19" s="31">
        <f t="shared" si="6"/>
        <v>3343.6404864976294</v>
      </c>
      <c r="J19" s="31">
        <f t="shared" si="6"/>
        <v>5111.1111111111104</v>
      </c>
      <c r="K19" s="31">
        <f t="shared" si="6"/>
        <v>7469.2256783587027</v>
      </c>
      <c r="L19" s="31">
        <f t="shared" si="6"/>
        <v>11276.315789473685</v>
      </c>
    </row>
    <row r="20" spans="3:18" x14ac:dyDescent="0.25">
      <c r="C20" s="23" t="s">
        <v>200</v>
      </c>
      <c r="D20" s="31">
        <f t="shared" ref="D20:L20" si="7">D7*1000/D18</f>
        <v>1337.8950211578285</v>
      </c>
      <c r="E20" s="31">
        <f t="shared" si="7"/>
        <v>1429.2304853293965</v>
      </c>
      <c r="F20" s="31">
        <f t="shared" si="7"/>
        <v>1332.391713747646</v>
      </c>
      <c r="G20" s="31">
        <f t="shared" si="7"/>
        <v>1997.8746014877788</v>
      </c>
      <c r="H20" s="31">
        <f t="shared" si="7"/>
        <v>2398.466868135918</v>
      </c>
      <c r="I20" s="31">
        <f t="shared" si="7"/>
        <v>1688.3116883116884</v>
      </c>
      <c r="J20" s="31">
        <f t="shared" si="7"/>
        <v>2886.9223205506391</v>
      </c>
      <c r="K20" s="31">
        <f t="shared" si="7"/>
        <v>5078.755790866976</v>
      </c>
      <c r="L20" s="31">
        <f t="shared" si="7"/>
        <v>8180.9210526315792</v>
      </c>
    </row>
    <row r="21" spans="3:18" x14ac:dyDescent="0.25">
      <c r="C21" s="23" t="s">
        <v>201</v>
      </c>
      <c r="D21" s="31">
        <f t="shared" ref="D21:L21" si="8">D8*1000/D18</f>
        <v>568.11020077428657</v>
      </c>
      <c r="E21" s="31">
        <f t="shared" si="8"/>
        <v>389.37073260749219</v>
      </c>
      <c r="F21" s="31">
        <f t="shared" si="8"/>
        <v>619.58568738229758</v>
      </c>
      <c r="G21" s="31">
        <f t="shared" si="8"/>
        <v>560.5738575982997</v>
      </c>
      <c r="H21" s="31">
        <f t="shared" si="8"/>
        <v>580.82111004643627</v>
      </c>
      <c r="I21" s="31">
        <f t="shared" si="8"/>
        <v>590.25630454201882</v>
      </c>
      <c r="J21" s="31">
        <f t="shared" si="8"/>
        <v>1033.7594231399539</v>
      </c>
      <c r="K21" s="31">
        <f t="shared" si="8"/>
        <v>1135.0099272005295</v>
      </c>
      <c r="L21" s="31">
        <f t="shared" si="8"/>
        <v>1493.421052631579</v>
      </c>
    </row>
    <row r="23" spans="3:18" x14ac:dyDescent="0.25">
      <c r="C23" s="24" t="s">
        <v>202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3:18" x14ac:dyDescent="0.25">
      <c r="D24" s="26" t="s">
        <v>181</v>
      </c>
      <c r="E24" s="26" t="s">
        <v>182</v>
      </c>
      <c r="F24" s="26" t="s">
        <v>183</v>
      </c>
    </row>
    <row r="25" spans="3:18" x14ac:dyDescent="0.25">
      <c r="C25" s="23" t="s">
        <v>203</v>
      </c>
      <c r="D25" s="11">
        <v>0.9</v>
      </c>
      <c r="F25" s="11">
        <v>0.95</v>
      </c>
      <c r="R25" s="30" t="s">
        <v>204</v>
      </c>
    </row>
    <row r="26" spans="3:18" x14ac:dyDescent="0.25">
      <c r="C26" s="23" t="s">
        <v>205</v>
      </c>
      <c r="D26" s="11">
        <v>0.95</v>
      </c>
      <c r="E26" s="11">
        <v>0.9</v>
      </c>
      <c r="F26" s="11">
        <v>0.85</v>
      </c>
      <c r="R26" s="30" t="s">
        <v>206</v>
      </c>
    </row>
    <row r="27" spans="3:18" x14ac:dyDescent="0.25">
      <c r="C27" s="23" t="s">
        <v>207</v>
      </c>
      <c r="E27" s="11">
        <v>0.8</v>
      </c>
      <c r="R27" s="30" t="s">
        <v>208</v>
      </c>
    </row>
    <row r="29" spans="3:18" x14ac:dyDescent="0.25">
      <c r="C29" s="27" t="s">
        <v>209</v>
      </c>
      <c r="D29" s="26" t="s">
        <v>210</v>
      </c>
      <c r="E29" s="26" t="s">
        <v>211</v>
      </c>
    </row>
    <row r="30" spans="3:18" x14ac:dyDescent="0.25">
      <c r="C30" s="23" t="s">
        <v>62</v>
      </c>
      <c r="D30" s="15">
        <v>237.2</v>
      </c>
      <c r="E30" s="15">
        <v>259.60000000000002</v>
      </c>
      <c r="R30" s="2" t="s">
        <v>212</v>
      </c>
    </row>
    <row r="31" spans="3:18" x14ac:dyDescent="0.25">
      <c r="C31" s="23" t="s">
        <v>63</v>
      </c>
      <c r="D31" s="15">
        <v>36.799999999999997</v>
      </c>
      <c r="E31" s="15">
        <v>48</v>
      </c>
    </row>
    <row r="32" spans="3:18" x14ac:dyDescent="0.25">
      <c r="C32" s="23" t="s">
        <v>213</v>
      </c>
      <c r="D32" s="15">
        <v>22.3</v>
      </c>
      <c r="E32" s="15">
        <v>26</v>
      </c>
    </row>
    <row r="33" spans="3:18" x14ac:dyDescent="0.25">
      <c r="C33" s="23" t="s">
        <v>214</v>
      </c>
      <c r="D33" s="15">
        <v>13.1</v>
      </c>
      <c r="E33" s="15">
        <v>13.6</v>
      </c>
    </row>
    <row r="34" spans="3:18" x14ac:dyDescent="0.25">
      <c r="C34" s="23" t="s">
        <v>215</v>
      </c>
      <c r="D34" s="15">
        <v>18.600000000000001</v>
      </c>
      <c r="E34" s="15">
        <v>20.3</v>
      </c>
    </row>
    <row r="35" spans="3:18" x14ac:dyDescent="0.25">
      <c r="C35" s="27" t="s">
        <v>216</v>
      </c>
      <c r="D35" s="32">
        <v>328.1</v>
      </c>
      <c r="E35" s="32">
        <v>367.5</v>
      </c>
    </row>
    <row r="37" spans="3:18" x14ac:dyDescent="0.25">
      <c r="C37" s="24" t="s">
        <v>217</v>
      </c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3:18" x14ac:dyDescent="0.25">
      <c r="D38" s="26" t="s">
        <v>218</v>
      </c>
      <c r="E38" s="26" t="s">
        <v>219</v>
      </c>
      <c r="F38" s="26" t="s">
        <v>220</v>
      </c>
      <c r="G38" s="26" t="s">
        <v>221</v>
      </c>
      <c r="H38" s="26" t="s">
        <v>222</v>
      </c>
      <c r="I38" s="26" t="s">
        <v>223</v>
      </c>
      <c r="J38" s="26" t="s">
        <v>224</v>
      </c>
      <c r="R38" s="24" t="s">
        <v>184</v>
      </c>
    </row>
    <row r="39" spans="3:18" x14ac:dyDescent="0.25">
      <c r="C39" s="23" t="s">
        <v>105</v>
      </c>
      <c r="D39" s="15">
        <v>1552.6</v>
      </c>
      <c r="E39" s="15">
        <v>2259.6</v>
      </c>
      <c r="F39" s="15">
        <v>2642.3</v>
      </c>
      <c r="G39" s="15">
        <v>2080.6</v>
      </c>
      <c r="H39" s="15">
        <v>1957.2</v>
      </c>
      <c r="I39" s="15">
        <v>2123.9</v>
      </c>
      <c r="J39" s="15">
        <v>2523.6999999999998</v>
      </c>
      <c r="R39" s="30" t="s">
        <v>225</v>
      </c>
    </row>
    <row r="40" spans="3:18" x14ac:dyDescent="0.25">
      <c r="C40" s="23" t="s">
        <v>106</v>
      </c>
      <c r="D40" s="15">
        <v>1286.4000000000001</v>
      </c>
      <c r="E40" s="15">
        <v>1877.4</v>
      </c>
      <c r="F40" s="15">
        <v>2246.6999999999998</v>
      </c>
      <c r="G40" s="15">
        <v>1706.9</v>
      </c>
      <c r="H40" s="15">
        <v>1432.6</v>
      </c>
      <c r="I40" s="15">
        <v>1537.1</v>
      </c>
      <c r="J40" s="15">
        <v>1889.7</v>
      </c>
      <c r="R40" s="30" t="s">
        <v>226</v>
      </c>
    </row>
    <row r="41" spans="3:18" x14ac:dyDescent="0.25">
      <c r="C41" s="23" t="s">
        <v>108</v>
      </c>
      <c r="D41" s="15">
        <v>266.10000000000002</v>
      </c>
      <c r="E41" s="15">
        <v>382.2</v>
      </c>
      <c r="F41" s="15">
        <v>395.6</v>
      </c>
      <c r="G41" s="15">
        <v>373.7</v>
      </c>
      <c r="H41" s="15">
        <v>386</v>
      </c>
      <c r="I41" s="15">
        <v>501.8</v>
      </c>
      <c r="J41" s="15">
        <v>504.9</v>
      </c>
      <c r="R41" s="30" t="s">
        <v>226</v>
      </c>
    </row>
    <row r="42" spans="3:18" x14ac:dyDescent="0.25">
      <c r="C42" s="23" t="s">
        <v>227</v>
      </c>
      <c r="H42" s="15">
        <v>138.6</v>
      </c>
      <c r="I42" s="15">
        <v>85</v>
      </c>
      <c r="J42" s="15">
        <v>129.19999999999999</v>
      </c>
      <c r="R42" s="30" t="s">
        <v>228</v>
      </c>
    </row>
    <row r="43" spans="3:18" x14ac:dyDescent="0.25">
      <c r="C43" s="23" t="s">
        <v>229</v>
      </c>
      <c r="D43" s="15">
        <v>444.8</v>
      </c>
      <c r="E43" s="15">
        <v>582.70000000000005</v>
      </c>
      <c r="F43" s="15">
        <v>684.6</v>
      </c>
      <c r="G43" s="15">
        <v>671</v>
      </c>
      <c r="H43" s="15">
        <v>343.9</v>
      </c>
      <c r="I43" s="15">
        <v>331.1</v>
      </c>
      <c r="J43" s="15">
        <v>358</v>
      </c>
      <c r="R43" s="30" t="s">
        <v>230</v>
      </c>
    </row>
    <row r="44" spans="3:18" x14ac:dyDescent="0.25">
      <c r="C44" s="23" t="s">
        <v>111</v>
      </c>
      <c r="D44" s="15">
        <v>296.8</v>
      </c>
      <c r="E44" s="15">
        <v>279.7</v>
      </c>
      <c r="F44" s="15">
        <v>375.9</v>
      </c>
      <c r="G44" s="15">
        <v>403.1</v>
      </c>
      <c r="H44" s="15">
        <v>375.2</v>
      </c>
      <c r="I44" s="15">
        <v>364.8</v>
      </c>
      <c r="J44" s="15">
        <v>308.3</v>
      </c>
      <c r="R44" s="30" t="s">
        <v>231</v>
      </c>
    </row>
    <row r="45" spans="3:18" x14ac:dyDescent="0.25">
      <c r="C45" s="27" t="s">
        <v>189</v>
      </c>
      <c r="D45" s="28">
        <f t="shared" ref="D45:J45" si="9">D39+D43+D44</f>
        <v>2294.1999999999998</v>
      </c>
      <c r="E45" s="28">
        <f t="shared" si="9"/>
        <v>3122</v>
      </c>
      <c r="F45" s="28">
        <f t="shared" si="9"/>
        <v>3702.8</v>
      </c>
      <c r="G45" s="28">
        <f t="shared" si="9"/>
        <v>3154.7</v>
      </c>
      <c r="H45" s="28">
        <f t="shared" si="9"/>
        <v>2676.2999999999997</v>
      </c>
      <c r="I45" s="28">
        <f t="shared" si="9"/>
        <v>2819.8</v>
      </c>
      <c r="J45" s="28">
        <f t="shared" si="9"/>
        <v>3190</v>
      </c>
      <c r="R45" s="30" t="s">
        <v>232</v>
      </c>
    </row>
    <row r="46" spans="3:18" x14ac:dyDescent="0.25">
      <c r="C46" s="23" t="s">
        <v>233</v>
      </c>
      <c r="D46" s="29">
        <f t="shared" ref="D46:J46" si="10">D39/D45</f>
        <v>0.67675006538226834</v>
      </c>
      <c r="E46" s="29">
        <f t="shared" si="10"/>
        <v>0.72376681614349769</v>
      </c>
      <c r="F46" s="29">
        <f t="shared" si="10"/>
        <v>0.71359511720859892</v>
      </c>
      <c r="G46" s="29">
        <f t="shared" si="10"/>
        <v>0.65952388499698866</v>
      </c>
      <c r="H46" s="29">
        <f t="shared" si="10"/>
        <v>0.7313081493106155</v>
      </c>
      <c r="I46" s="29">
        <f t="shared" si="10"/>
        <v>0.75320944747854457</v>
      </c>
      <c r="J46" s="29">
        <f t="shared" si="10"/>
        <v>0.79112852664576794</v>
      </c>
    </row>
    <row r="47" spans="3:18" x14ac:dyDescent="0.25">
      <c r="C47" s="23" t="s">
        <v>234</v>
      </c>
      <c r="D47" s="29">
        <f t="shared" ref="D47:J47" si="11">D40/D45</f>
        <v>0.56071833318803954</v>
      </c>
      <c r="E47" s="29">
        <f t="shared" si="11"/>
        <v>0.60134529147982063</v>
      </c>
      <c r="F47" s="29">
        <f t="shared" si="11"/>
        <v>0.60675704871988756</v>
      </c>
      <c r="G47" s="29">
        <f t="shared" si="11"/>
        <v>0.54106571147811211</v>
      </c>
      <c r="H47" s="29">
        <f t="shared" si="11"/>
        <v>0.53529126032208652</v>
      </c>
      <c r="I47" s="29">
        <f t="shared" si="11"/>
        <v>0.54510958223987505</v>
      </c>
      <c r="J47" s="29">
        <f t="shared" si="11"/>
        <v>0.59238244514106586</v>
      </c>
    </row>
    <row r="48" spans="3:18" x14ac:dyDescent="0.25">
      <c r="C48" s="23" t="s">
        <v>235</v>
      </c>
      <c r="D48" s="29">
        <f t="shared" ref="D48:J48" si="12">D41/D45</f>
        <v>0.11598814401534306</v>
      </c>
      <c r="E48" s="29">
        <f t="shared" si="12"/>
        <v>0.12242152466367713</v>
      </c>
      <c r="F48" s="29">
        <f t="shared" si="12"/>
        <v>0.10683806848871125</v>
      </c>
      <c r="G48" s="29">
        <f t="shared" si="12"/>
        <v>0.11845817351887659</v>
      </c>
      <c r="H48" s="29">
        <f t="shared" si="12"/>
        <v>0.1442289728356313</v>
      </c>
      <c r="I48" s="29">
        <f t="shared" si="12"/>
        <v>0.17795588339598553</v>
      </c>
      <c r="J48" s="29">
        <f t="shared" si="12"/>
        <v>0.15827586206896552</v>
      </c>
    </row>
    <row r="49" spans="3:18" x14ac:dyDescent="0.25">
      <c r="C49" s="23" t="s">
        <v>236</v>
      </c>
      <c r="D49" s="29">
        <f t="shared" ref="D49:J49" si="13">D43/D45</f>
        <v>0.1938802196844216</v>
      </c>
      <c r="E49" s="29">
        <f t="shared" si="13"/>
        <v>0.18664317745035236</v>
      </c>
      <c r="F49" s="29">
        <f t="shared" si="13"/>
        <v>0.18488711245543912</v>
      </c>
      <c r="G49" s="29">
        <f t="shared" si="13"/>
        <v>0.21269851332931816</v>
      </c>
      <c r="H49" s="29">
        <f t="shared" si="13"/>
        <v>0.12849829989164144</v>
      </c>
      <c r="I49" s="29">
        <f t="shared" si="13"/>
        <v>0.11741967515426625</v>
      </c>
      <c r="J49" s="29">
        <f t="shared" si="13"/>
        <v>0.1122257053291536</v>
      </c>
    </row>
    <row r="50" spans="3:18" x14ac:dyDescent="0.25">
      <c r="C50" s="23" t="s">
        <v>237</v>
      </c>
      <c r="D50" s="29">
        <f t="shared" ref="D50:J50" si="14">D44/D45</f>
        <v>0.12936971493331009</v>
      </c>
      <c r="E50" s="29">
        <f t="shared" si="14"/>
        <v>8.9590006406149905E-2</v>
      </c>
      <c r="F50" s="29">
        <f t="shared" si="14"/>
        <v>0.10151777033596196</v>
      </c>
      <c r="G50" s="29">
        <f t="shared" si="14"/>
        <v>0.12777760167369323</v>
      </c>
      <c r="H50" s="29">
        <f t="shared" si="14"/>
        <v>0.14019355079774315</v>
      </c>
      <c r="I50" s="29">
        <f t="shared" si="14"/>
        <v>0.12937087736718916</v>
      </c>
      <c r="J50" s="29">
        <f t="shared" si="14"/>
        <v>9.6645768025078377E-2</v>
      </c>
    </row>
    <row r="51" spans="3:18" x14ac:dyDescent="0.25">
      <c r="C51" s="23" t="s">
        <v>238</v>
      </c>
      <c r="D51" s="29">
        <f t="shared" ref="D51:J51" si="15">D40/D39</f>
        <v>0.82854566533556628</v>
      </c>
      <c r="E51" s="29">
        <f t="shared" si="15"/>
        <v>0.83085501858736066</v>
      </c>
      <c r="F51" s="29">
        <f t="shared" si="15"/>
        <v>0.85028195133028028</v>
      </c>
      <c r="G51" s="29">
        <f t="shared" si="15"/>
        <v>0.82038834951456319</v>
      </c>
      <c r="H51" s="29">
        <f t="shared" si="15"/>
        <v>0.73196403024729195</v>
      </c>
      <c r="I51" s="29">
        <f t="shared" si="15"/>
        <v>0.72371580582889961</v>
      </c>
      <c r="J51" s="29">
        <f t="shared" si="15"/>
        <v>0.74878155089749188</v>
      </c>
    </row>
    <row r="53" spans="3:18" x14ac:dyDescent="0.25">
      <c r="C53" s="27" t="s">
        <v>239</v>
      </c>
      <c r="D53" s="26" t="s">
        <v>240</v>
      </c>
      <c r="E53" s="26" t="s">
        <v>210</v>
      </c>
      <c r="F53" s="26" t="s">
        <v>211</v>
      </c>
      <c r="G53" s="26" t="s">
        <v>241</v>
      </c>
    </row>
    <row r="54" spans="3:18" x14ac:dyDescent="0.25">
      <c r="C54" s="23" t="s">
        <v>242</v>
      </c>
      <c r="D54" s="11">
        <v>0.5</v>
      </c>
      <c r="E54" s="11">
        <v>0.6</v>
      </c>
      <c r="F54" s="11">
        <v>0.7</v>
      </c>
      <c r="R54" s="30" t="s">
        <v>243</v>
      </c>
    </row>
    <row r="55" spans="3:18" x14ac:dyDescent="0.25">
      <c r="C55" s="23" t="s">
        <v>244</v>
      </c>
      <c r="G55" s="11">
        <v>0.7</v>
      </c>
      <c r="R55" s="30" t="s">
        <v>245</v>
      </c>
    </row>
    <row r="56" spans="3:18" x14ac:dyDescent="0.25">
      <c r="C56" s="23" t="s">
        <v>246</v>
      </c>
      <c r="G56" s="33" t="s">
        <v>247</v>
      </c>
      <c r="R56" s="30" t="s">
        <v>248</v>
      </c>
    </row>
    <row r="58" spans="3:18" x14ac:dyDescent="0.25">
      <c r="C58" s="24" t="s">
        <v>249</v>
      </c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spans="3:18" x14ac:dyDescent="0.25">
      <c r="D59" s="26" t="s">
        <v>218</v>
      </c>
      <c r="E59" s="26" t="s">
        <v>219</v>
      </c>
      <c r="F59" s="26" t="s">
        <v>220</v>
      </c>
      <c r="G59" s="26" t="s">
        <v>221</v>
      </c>
      <c r="H59" s="26" t="s">
        <v>222</v>
      </c>
      <c r="I59" s="26" t="s">
        <v>223</v>
      </c>
      <c r="J59" s="26" t="s">
        <v>224</v>
      </c>
      <c r="R59" s="2" t="s">
        <v>250</v>
      </c>
    </row>
    <row r="60" spans="3:18" x14ac:dyDescent="0.25">
      <c r="C60" s="23" t="s">
        <v>251</v>
      </c>
      <c r="D60" s="31">
        <f t="shared" ref="D60:J60" si="16">E20</f>
        <v>1429.2304853293965</v>
      </c>
      <c r="E60" s="31">
        <f t="shared" si="16"/>
        <v>1332.391713747646</v>
      </c>
      <c r="F60" s="31">
        <f t="shared" si="16"/>
        <v>1997.8746014877788</v>
      </c>
      <c r="G60" s="31">
        <f t="shared" si="16"/>
        <v>2398.466868135918</v>
      </c>
      <c r="H60" s="31">
        <f t="shared" si="16"/>
        <v>1688.3116883116884</v>
      </c>
      <c r="I60" s="31">
        <f t="shared" si="16"/>
        <v>2886.9223205506391</v>
      </c>
      <c r="J60" s="31">
        <f t="shared" si="16"/>
        <v>5078.755790866976</v>
      </c>
    </row>
    <row r="61" spans="3:18" x14ac:dyDescent="0.25">
      <c r="C61" s="23" t="s">
        <v>252</v>
      </c>
      <c r="D61" s="31">
        <f t="shared" ref="D61:J61" si="17">D40</f>
        <v>1286.4000000000001</v>
      </c>
      <c r="E61" s="31">
        <f t="shared" si="17"/>
        <v>1877.4</v>
      </c>
      <c r="F61" s="31">
        <f t="shared" si="17"/>
        <v>2246.6999999999998</v>
      </c>
      <c r="G61" s="31">
        <f t="shared" si="17"/>
        <v>1706.9</v>
      </c>
      <c r="H61" s="31">
        <f t="shared" si="17"/>
        <v>1432.6</v>
      </c>
      <c r="I61" s="31">
        <f t="shared" si="17"/>
        <v>1537.1</v>
      </c>
      <c r="J61" s="31">
        <f t="shared" si="17"/>
        <v>1889.7</v>
      </c>
    </row>
    <row r="62" spans="3:18" x14ac:dyDescent="0.25">
      <c r="C62" s="27" t="s">
        <v>253</v>
      </c>
      <c r="D62" s="34">
        <f t="shared" ref="D62:J62" si="18">D60/(D60+D61)</f>
        <v>0.526297849818119</v>
      </c>
      <c r="E62" s="34">
        <f t="shared" si="18"/>
        <v>0.41510223484002634</v>
      </c>
      <c r="F62" s="34">
        <f t="shared" si="18"/>
        <v>0.4706890063346979</v>
      </c>
      <c r="G62" s="34">
        <f t="shared" si="18"/>
        <v>0.58422717023216142</v>
      </c>
      <c r="H62" s="34">
        <f t="shared" si="18"/>
        <v>0.54096746621658176</v>
      </c>
      <c r="I62" s="34">
        <f t="shared" si="18"/>
        <v>0.65255600251838608</v>
      </c>
      <c r="J62" s="34">
        <f t="shared" si="18"/>
        <v>0.72882083825850119</v>
      </c>
    </row>
    <row r="63" spans="3:18" x14ac:dyDescent="0.25">
      <c r="C63" s="23" t="s">
        <v>254</v>
      </c>
      <c r="D63" s="31">
        <f t="shared" ref="D63:J63" si="19">E21</f>
        <v>389.37073260749219</v>
      </c>
      <c r="E63" s="31">
        <f t="shared" si="19"/>
        <v>619.58568738229758</v>
      </c>
      <c r="F63" s="31">
        <f t="shared" si="19"/>
        <v>560.5738575982997</v>
      </c>
      <c r="G63" s="31">
        <f t="shared" si="19"/>
        <v>580.82111004643627</v>
      </c>
      <c r="H63" s="31">
        <f t="shared" si="19"/>
        <v>590.25630454201882</v>
      </c>
      <c r="I63" s="31">
        <f t="shared" si="19"/>
        <v>1033.7594231399539</v>
      </c>
      <c r="J63" s="31">
        <f t="shared" si="19"/>
        <v>1135.0099272005295</v>
      </c>
    </row>
    <row r="64" spans="3:18" x14ac:dyDescent="0.25">
      <c r="C64" s="23" t="s">
        <v>255</v>
      </c>
      <c r="D64" s="31">
        <f t="shared" ref="D64:J64" si="20">D41</f>
        <v>266.10000000000002</v>
      </c>
      <c r="E64" s="31">
        <f t="shared" si="20"/>
        <v>382.2</v>
      </c>
      <c r="F64" s="31">
        <f t="shared" si="20"/>
        <v>395.6</v>
      </c>
      <c r="G64" s="31">
        <f t="shared" si="20"/>
        <v>373.7</v>
      </c>
      <c r="H64" s="31">
        <f t="shared" si="20"/>
        <v>386</v>
      </c>
      <c r="I64" s="31">
        <f t="shared" si="20"/>
        <v>501.8</v>
      </c>
      <c r="J64" s="31">
        <f t="shared" si="20"/>
        <v>504.9</v>
      </c>
    </row>
    <row r="65" spans="3:18" x14ac:dyDescent="0.25">
      <c r="C65" s="27" t="s">
        <v>256</v>
      </c>
      <c r="D65" s="34">
        <f t="shared" ref="D65:J65" si="21">D63/(D63+D64)</f>
        <v>0.59403221721061106</v>
      </c>
      <c r="E65" s="34">
        <f t="shared" si="21"/>
        <v>0.61848127317659884</v>
      </c>
      <c r="F65" s="34">
        <f t="shared" si="21"/>
        <v>0.58626770973046582</v>
      </c>
      <c r="G65" s="34">
        <f t="shared" si="21"/>
        <v>0.60849477704917398</v>
      </c>
      <c r="H65" s="34">
        <f t="shared" si="21"/>
        <v>0.60461202841493533</v>
      </c>
      <c r="I65" s="34">
        <f t="shared" si="21"/>
        <v>0.67321355823931217</v>
      </c>
      <c r="J65" s="34">
        <f t="shared" si="21"/>
        <v>0.69211723666926706</v>
      </c>
    </row>
    <row r="66" spans="3:18" x14ac:dyDescent="0.25">
      <c r="C66" s="23" t="s">
        <v>257</v>
      </c>
      <c r="D66" s="31">
        <f t="shared" ref="D66:J66" si="22">D60+D61+D63+D64</f>
        <v>3371.101217936889</v>
      </c>
      <c r="E66" s="31">
        <f t="shared" si="22"/>
        <v>4211.5774011299436</v>
      </c>
      <c r="F66" s="31">
        <f t="shared" si="22"/>
        <v>5200.7484590860786</v>
      </c>
      <c r="G66" s="31">
        <f t="shared" si="22"/>
        <v>5059.8879781823534</v>
      </c>
      <c r="H66" s="31">
        <f t="shared" si="22"/>
        <v>4097.1679928537069</v>
      </c>
      <c r="I66" s="31">
        <f t="shared" si="22"/>
        <v>5959.5817436905936</v>
      </c>
      <c r="J66" s="31">
        <f t="shared" si="22"/>
        <v>8608.3657180675054</v>
      </c>
    </row>
    <row r="67" spans="3:18" x14ac:dyDescent="0.25">
      <c r="C67" s="27" t="s">
        <v>258</v>
      </c>
      <c r="D67" s="34">
        <f t="shared" ref="D67:J67" si="23">(D60+D63)/D66</f>
        <v>0.53946799587639527</v>
      </c>
      <c r="E67" s="34">
        <f t="shared" si="23"/>
        <v>0.46347893323917982</v>
      </c>
      <c r="F67" s="34">
        <f t="shared" si="23"/>
        <v>0.49193851216093454</v>
      </c>
      <c r="G67" s="34">
        <f t="shared" si="23"/>
        <v>0.58880512592940726</v>
      </c>
      <c r="H67" s="34">
        <f t="shared" si="23"/>
        <v>0.55613243021228143</v>
      </c>
      <c r="I67" s="34">
        <f t="shared" si="23"/>
        <v>0.65787867543580836</v>
      </c>
      <c r="J67" s="34">
        <f t="shared" si="23"/>
        <v>0.72182873283669402</v>
      </c>
    </row>
    <row r="68" spans="3:18" x14ac:dyDescent="0.25">
      <c r="C68" s="23" t="s">
        <v>259</v>
      </c>
      <c r="F68" s="13">
        <v>7.5</v>
      </c>
      <c r="G68" s="13">
        <v>6.2</v>
      </c>
      <c r="H68" s="13">
        <v>4.9000000000000004</v>
      </c>
      <c r="I68" s="13">
        <v>6</v>
      </c>
      <c r="J68" s="13">
        <v>9</v>
      </c>
      <c r="R68" s="30" t="s">
        <v>260</v>
      </c>
    </row>
    <row r="69" spans="3:18" x14ac:dyDescent="0.25">
      <c r="C69" s="23" t="s">
        <v>261</v>
      </c>
      <c r="F69" s="29">
        <f>F66/1000/F68</f>
        <v>0.69343312787814382</v>
      </c>
      <c r="G69" s="29">
        <f>G66/1000/G68</f>
        <v>0.81611096422296026</v>
      </c>
      <c r="H69" s="29">
        <f>H66/1000/H68</f>
        <v>0.83615673323545026</v>
      </c>
      <c r="I69" s="29">
        <f>I66/1000/I68</f>
        <v>0.99326362394843226</v>
      </c>
      <c r="J69" s="29">
        <f>J66/1000/J68</f>
        <v>0.9564850797852783</v>
      </c>
      <c r="R69" s="30" t="s">
        <v>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R55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2.28515625" customWidth="1"/>
    <col min="3" max="3" width="40" customWidth="1"/>
    <col min="4" max="15" width="11.42578125" customWidth="1"/>
    <col min="17" max="17" width="3" customWidth="1"/>
    <col min="18" max="18" width="70" customWidth="1"/>
  </cols>
  <sheetData>
    <row r="2" spans="3:18" ht="20.25" x14ac:dyDescent="0.3">
      <c r="C2" s="22" t="s">
        <v>263</v>
      </c>
    </row>
    <row r="3" spans="3:18" x14ac:dyDescent="0.25">
      <c r="C3" s="23" t="s">
        <v>264</v>
      </c>
    </row>
    <row r="5" spans="3:18" x14ac:dyDescent="0.25">
      <c r="C5" s="24" t="s">
        <v>265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3:18" x14ac:dyDescent="0.25">
      <c r="D6" s="26" t="s">
        <v>220</v>
      </c>
      <c r="E6" s="26" t="s">
        <v>221</v>
      </c>
      <c r="F6" s="26" t="s">
        <v>222</v>
      </c>
      <c r="G6" s="26" t="s">
        <v>223</v>
      </c>
      <c r="H6" s="26" t="s">
        <v>224</v>
      </c>
      <c r="I6" s="26" t="s">
        <v>266</v>
      </c>
      <c r="J6" s="26" t="s">
        <v>267</v>
      </c>
    </row>
    <row r="7" spans="3:18" x14ac:dyDescent="0.25">
      <c r="C7" s="23" t="s">
        <v>268</v>
      </c>
      <c r="D7" s="15">
        <v>1117.9000000000001</v>
      </c>
      <c r="E7" s="15">
        <v>626.4</v>
      </c>
      <c r="F7" s="15">
        <v>384.8</v>
      </c>
      <c r="G7" s="15">
        <v>602</v>
      </c>
      <c r="H7" s="15">
        <v>1155.2</v>
      </c>
      <c r="I7" s="11">
        <v>0.41</v>
      </c>
      <c r="J7" s="11">
        <v>0.4</v>
      </c>
      <c r="R7" s="2" t="s">
        <v>269</v>
      </c>
    </row>
    <row r="8" spans="3:18" x14ac:dyDescent="0.25">
      <c r="C8" s="23" t="s">
        <v>270</v>
      </c>
      <c r="D8" s="15">
        <v>632</v>
      </c>
      <c r="E8" s="15">
        <v>491.8</v>
      </c>
      <c r="F8" s="15">
        <v>314.89999999999998</v>
      </c>
      <c r="G8" s="15">
        <v>375.2</v>
      </c>
      <c r="H8" s="15">
        <v>451.3</v>
      </c>
      <c r="I8" s="11">
        <v>0.11</v>
      </c>
      <c r="J8" s="11">
        <v>0.12</v>
      </c>
      <c r="R8" s="2" t="s">
        <v>271</v>
      </c>
    </row>
    <row r="9" spans="3:18" x14ac:dyDescent="0.25">
      <c r="C9" s="23" t="s">
        <v>272</v>
      </c>
      <c r="D9" s="15">
        <v>502.2</v>
      </c>
      <c r="E9" s="15">
        <v>544.79999999999995</v>
      </c>
      <c r="F9" s="15">
        <v>394.7</v>
      </c>
      <c r="G9" s="15">
        <v>695.7</v>
      </c>
      <c r="H9" s="15">
        <v>446.3</v>
      </c>
      <c r="I9" s="11">
        <v>0.2</v>
      </c>
      <c r="J9" s="11">
        <v>0.2</v>
      </c>
    </row>
    <row r="10" spans="3:18" x14ac:dyDescent="0.25">
      <c r="C10" s="23" t="s">
        <v>273</v>
      </c>
      <c r="D10" s="15">
        <v>392.6</v>
      </c>
      <c r="E10" s="15">
        <v>469.9</v>
      </c>
      <c r="F10" s="15">
        <v>433.7</v>
      </c>
      <c r="G10" s="15">
        <v>374.3</v>
      </c>
      <c r="H10" s="15">
        <v>360.9</v>
      </c>
      <c r="I10" s="11">
        <v>7.0000000000000007E-2</v>
      </c>
      <c r="J10" s="11">
        <v>7.0000000000000007E-2</v>
      </c>
    </row>
    <row r="11" spans="3:18" x14ac:dyDescent="0.25">
      <c r="C11" s="23" t="s">
        <v>274</v>
      </c>
      <c r="D11" s="15">
        <v>260</v>
      </c>
      <c r="E11" s="15">
        <v>268.39999999999998</v>
      </c>
      <c r="F11" s="15">
        <v>273.8</v>
      </c>
      <c r="G11" s="15">
        <v>251.3</v>
      </c>
      <c r="H11" s="15">
        <v>215.4</v>
      </c>
      <c r="I11" s="11">
        <v>0.06</v>
      </c>
      <c r="J11" s="11">
        <v>0.04</v>
      </c>
    </row>
    <row r="12" spans="3:18" x14ac:dyDescent="0.25">
      <c r="C12" s="23" t="s">
        <v>275</v>
      </c>
      <c r="D12" s="15">
        <v>166.2</v>
      </c>
      <c r="E12" s="15">
        <v>162.9</v>
      </c>
      <c r="F12" s="15">
        <v>281.7</v>
      </c>
      <c r="G12" s="15">
        <v>159.80000000000001</v>
      </c>
      <c r="I12" s="11">
        <v>0.01</v>
      </c>
      <c r="J12" s="11">
        <v>0.01</v>
      </c>
    </row>
    <row r="13" spans="3:18" x14ac:dyDescent="0.25">
      <c r="C13" s="23" t="s">
        <v>276</v>
      </c>
      <c r="D13" s="15">
        <v>166.8</v>
      </c>
      <c r="E13" s="15">
        <v>124.1</v>
      </c>
      <c r="F13" s="15">
        <v>189.4</v>
      </c>
      <c r="G13" s="15">
        <v>53.6</v>
      </c>
      <c r="H13" s="15">
        <v>92.5</v>
      </c>
      <c r="I13" s="11">
        <v>0.02</v>
      </c>
      <c r="J13" s="11">
        <v>0.02</v>
      </c>
    </row>
    <row r="14" spans="3:18" x14ac:dyDescent="0.25">
      <c r="C14" s="23" t="s">
        <v>277</v>
      </c>
      <c r="D14" s="15">
        <v>121.6</v>
      </c>
      <c r="E14" s="15">
        <v>99.5</v>
      </c>
      <c r="F14" s="15">
        <v>117</v>
      </c>
      <c r="G14" s="15">
        <v>90.1</v>
      </c>
      <c r="H14" s="15">
        <v>95.2</v>
      </c>
      <c r="I14" s="11">
        <v>0.04</v>
      </c>
      <c r="J14" s="11">
        <v>0.05</v>
      </c>
    </row>
    <row r="15" spans="3:18" x14ac:dyDescent="0.25">
      <c r="C15" s="23" t="s">
        <v>278</v>
      </c>
      <c r="D15" s="15">
        <v>138.80000000000001</v>
      </c>
      <c r="E15" s="15">
        <v>137.4</v>
      </c>
      <c r="F15" s="15">
        <v>91.8</v>
      </c>
      <c r="G15" s="15">
        <v>49.3</v>
      </c>
      <c r="H15" s="15">
        <v>67.599999999999994</v>
      </c>
      <c r="I15" s="11">
        <v>0.02</v>
      </c>
      <c r="J15" s="11">
        <v>0.03</v>
      </c>
    </row>
    <row r="16" spans="3:18" x14ac:dyDescent="0.25">
      <c r="C16" s="23" t="s">
        <v>279</v>
      </c>
      <c r="D16" s="15">
        <v>136.80000000000001</v>
      </c>
      <c r="E16" s="15">
        <v>142.19999999999999</v>
      </c>
      <c r="F16" s="15">
        <v>89.2</v>
      </c>
      <c r="G16" s="15">
        <v>62.4</v>
      </c>
      <c r="H16" s="15">
        <v>107.4</v>
      </c>
      <c r="I16" s="11">
        <v>0.04</v>
      </c>
      <c r="J16" s="11">
        <v>0.03</v>
      </c>
    </row>
    <row r="17" spans="3:18" x14ac:dyDescent="0.25">
      <c r="C17" s="23" t="s">
        <v>280</v>
      </c>
      <c r="D17" s="35">
        <f>3702.9-SUM(D7:D16)</f>
        <v>68</v>
      </c>
      <c r="E17" s="35">
        <f>3155-SUM(E7:E16)</f>
        <v>87.599999999999909</v>
      </c>
      <c r="F17" s="35">
        <f>2676.3-SUM(F7:F16)</f>
        <v>105.30000000000018</v>
      </c>
      <c r="G17" s="35">
        <f>2819.9-SUM(G7:G16)</f>
        <v>106.19999999999982</v>
      </c>
      <c r="H17" s="35">
        <f>3190-SUM(H7:H16)</f>
        <v>198.19999999999982</v>
      </c>
      <c r="I17" s="29">
        <v>0.03</v>
      </c>
      <c r="J17" s="29">
        <v>0.04</v>
      </c>
      <c r="R17" s="30" t="s">
        <v>281</v>
      </c>
    </row>
    <row r="18" spans="3:18" x14ac:dyDescent="0.25">
      <c r="C18" s="27" t="s">
        <v>216</v>
      </c>
      <c r="D18" s="32">
        <v>3702.9</v>
      </c>
      <c r="E18" s="32">
        <v>3155</v>
      </c>
      <c r="F18" s="32">
        <v>2676.3</v>
      </c>
      <c r="G18" s="32">
        <v>2819.9</v>
      </c>
      <c r="H18" s="32">
        <v>3190</v>
      </c>
      <c r="I18" s="36">
        <v>1</v>
      </c>
      <c r="J18" s="36">
        <v>1</v>
      </c>
      <c r="R18" s="30" t="s">
        <v>282</v>
      </c>
    </row>
    <row r="19" spans="3:18" x14ac:dyDescent="0.25">
      <c r="C19" s="23" t="s">
        <v>283</v>
      </c>
      <c r="D19" s="29">
        <f>D7/D18</f>
        <v>0.30189851197709905</v>
      </c>
      <c r="E19" s="29">
        <f>E7/E18</f>
        <v>0.19854199683042789</v>
      </c>
      <c r="F19" s="29">
        <f>F7/F18</f>
        <v>0.14378059260919926</v>
      </c>
      <c r="G19" s="29">
        <f>G7/G18</f>
        <v>0.21348274761516364</v>
      </c>
      <c r="H19" s="29">
        <f>H7/H18</f>
        <v>0.36213166144200626</v>
      </c>
    </row>
    <row r="20" spans="3:18" x14ac:dyDescent="0.25">
      <c r="C20" s="23" t="s">
        <v>284</v>
      </c>
      <c r="D20" s="29">
        <f>D8/D18</f>
        <v>0.170677036917011</v>
      </c>
      <c r="E20" s="29">
        <f>E8/E18</f>
        <v>0.15587955625990491</v>
      </c>
      <c r="F20" s="29">
        <f>F8/F18</f>
        <v>0.11766244441953441</v>
      </c>
      <c r="G20" s="29">
        <f>G8/G18</f>
        <v>0.13305436362991593</v>
      </c>
      <c r="H20" s="29">
        <f>H8/H18</f>
        <v>0.14147335423197493</v>
      </c>
    </row>
    <row r="21" spans="3:18" x14ac:dyDescent="0.25">
      <c r="C21" s="23" t="s">
        <v>285</v>
      </c>
      <c r="D21" s="29">
        <f>D9/D18</f>
        <v>0.13562343028437171</v>
      </c>
      <c r="E21" s="29">
        <f>E9/E18</f>
        <v>0.17267828843106178</v>
      </c>
      <c r="F21" s="29">
        <f>F9/F18</f>
        <v>0.14747972947726337</v>
      </c>
      <c r="G21" s="29">
        <f>G9/G18</f>
        <v>0.24671087627220825</v>
      </c>
      <c r="H21" s="29">
        <f>H9/H18</f>
        <v>0.13990595611285267</v>
      </c>
    </row>
    <row r="22" spans="3:18" x14ac:dyDescent="0.25">
      <c r="C22" s="23" t="s">
        <v>286</v>
      </c>
      <c r="D22" s="29">
        <f>D10/D18</f>
        <v>0.10602500742661158</v>
      </c>
      <c r="E22" s="29">
        <f>E10/E18</f>
        <v>0.14893819334389857</v>
      </c>
      <c r="F22" s="29">
        <f>F10/F18</f>
        <v>0.16205208683630384</v>
      </c>
      <c r="G22" s="29">
        <f>G10/G18</f>
        <v>0.13273520337600625</v>
      </c>
      <c r="H22" s="29">
        <f>H10/H18</f>
        <v>0.1131347962382445</v>
      </c>
    </row>
    <row r="23" spans="3:18" x14ac:dyDescent="0.25">
      <c r="C23" s="23" t="s">
        <v>287</v>
      </c>
      <c r="D23" s="29">
        <f>D11/D18</f>
        <v>7.0215236706365286E-2</v>
      </c>
      <c r="E23" s="29">
        <f>E11/E18</f>
        <v>8.5071315372424711E-2</v>
      </c>
      <c r="F23" s="29">
        <f>F11/F18</f>
        <v>0.10230542166423794</v>
      </c>
      <c r="G23" s="29">
        <f>G11/G18</f>
        <v>8.9116635341678782E-2</v>
      </c>
      <c r="H23" s="29">
        <f>H11/H18</f>
        <v>6.752351097178684E-2</v>
      </c>
    </row>
    <row r="24" spans="3:18" x14ac:dyDescent="0.25">
      <c r="C24" s="23" t="s">
        <v>288</v>
      </c>
      <c r="D24" s="29">
        <f>D12/D18</f>
        <v>4.4883739771530415E-2</v>
      </c>
      <c r="E24" s="29">
        <f>E12/E18</f>
        <v>5.1632329635499206E-2</v>
      </c>
      <c r="F24" s="29">
        <f>F12/F18</f>
        <v>0.10525725815491535</v>
      </c>
      <c r="G24" s="29">
        <f>G12/G18</f>
        <v>5.6668676194191282E-2</v>
      </c>
      <c r="H24" s="29">
        <f>H12/H18</f>
        <v>0</v>
      </c>
    </row>
    <row r="25" spans="3:18" x14ac:dyDescent="0.25">
      <c r="C25" s="23" t="s">
        <v>289</v>
      </c>
      <c r="D25" s="29">
        <f>D13/D18</f>
        <v>4.5045774933160497E-2</v>
      </c>
      <c r="E25" s="29">
        <f>E13/E18</f>
        <v>3.9334389857369256E-2</v>
      </c>
      <c r="F25" s="29">
        <f>F13/F18</f>
        <v>7.076934573851959E-2</v>
      </c>
      <c r="G25" s="29">
        <f>G13/G18</f>
        <v>1.9007766232845138E-2</v>
      </c>
      <c r="H25" s="29">
        <f>H13/H18</f>
        <v>2.8996865203761754E-2</v>
      </c>
    </row>
    <row r="26" spans="3:18" x14ac:dyDescent="0.25">
      <c r="C26" s="23" t="s">
        <v>290</v>
      </c>
      <c r="D26" s="29">
        <f>D14/D18</f>
        <v>3.2839126090361603E-2</v>
      </c>
      <c r="E26" s="29">
        <f>E14/E18</f>
        <v>3.1537242472266247E-2</v>
      </c>
      <c r="F26" s="29">
        <f>F14/F18</f>
        <v>4.3717072077121395E-2</v>
      </c>
      <c r="G26" s="29">
        <f>G14/G18</f>
        <v>3.1951487641405721E-2</v>
      </c>
      <c r="H26" s="29">
        <f>H14/H18</f>
        <v>2.9843260188087774E-2</v>
      </c>
    </row>
    <row r="27" spans="3:18" x14ac:dyDescent="0.25">
      <c r="C27" s="23" t="s">
        <v>291</v>
      </c>
      <c r="D27" s="29">
        <f>D15/D18</f>
        <v>3.748413405709039E-2</v>
      </c>
      <c r="E27" s="29">
        <f>E15/E18</f>
        <v>4.354992076069731E-2</v>
      </c>
      <c r="F27" s="29">
        <f>F15/F18</f>
        <v>3.4301087322049097E-2</v>
      </c>
      <c r="G27" s="29">
        <f>G15/G18</f>
        <v>1.7482889464165395E-2</v>
      </c>
      <c r="H27" s="29">
        <f>H15/H18</f>
        <v>2.1191222570532915E-2</v>
      </c>
    </row>
    <row r="28" spans="3:18" x14ac:dyDescent="0.25">
      <c r="C28" s="23" t="s">
        <v>292</v>
      </c>
      <c r="D28" s="29">
        <f>D16/D18</f>
        <v>3.6944016851656811E-2</v>
      </c>
      <c r="E28" s="29">
        <f>E16/E18</f>
        <v>4.5071315372424717E-2</v>
      </c>
      <c r="F28" s="29">
        <f>F16/F18</f>
        <v>3.3329596831446401E-2</v>
      </c>
      <c r="G28" s="29">
        <f>G16/G18</f>
        <v>2.2128444271073442E-2</v>
      </c>
      <c r="H28" s="29">
        <f>H16/H18</f>
        <v>3.3667711598746083E-2</v>
      </c>
    </row>
    <row r="30" spans="3:18" x14ac:dyDescent="0.25">
      <c r="C30" s="24" t="s">
        <v>293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3:18" x14ac:dyDescent="0.25">
      <c r="D31" s="26" t="s">
        <v>294</v>
      </c>
      <c r="E31" s="26" t="s">
        <v>295</v>
      </c>
      <c r="F31" s="26" t="s">
        <v>296</v>
      </c>
      <c r="G31" s="26" t="s">
        <v>297</v>
      </c>
      <c r="H31" s="26" t="s">
        <v>298</v>
      </c>
      <c r="I31" s="26" t="s">
        <v>299</v>
      </c>
      <c r="J31" s="26" t="s">
        <v>240</v>
      </c>
      <c r="K31" s="26" t="s">
        <v>210</v>
      </c>
      <c r="L31" s="26" t="s">
        <v>211</v>
      </c>
      <c r="R31" s="2" t="s">
        <v>300</v>
      </c>
    </row>
    <row r="32" spans="3:18" x14ac:dyDescent="0.25">
      <c r="C32" s="23" t="s">
        <v>268</v>
      </c>
      <c r="D32" s="15">
        <v>41.5</v>
      </c>
      <c r="E32" s="15">
        <v>73.099999999999994</v>
      </c>
      <c r="F32" s="15">
        <v>78.8</v>
      </c>
      <c r="G32" s="15">
        <v>133.1</v>
      </c>
      <c r="H32" s="15">
        <v>162.1</v>
      </c>
      <c r="I32" s="15">
        <v>115.4</v>
      </c>
      <c r="J32" s="15">
        <v>103.2</v>
      </c>
      <c r="K32" s="15">
        <v>188.8</v>
      </c>
      <c r="L32" s="15">
        <v>178.6</v>
      </c>
      <c r="R32" s="2" t="s">
        <v>301</v>
      </c>
    </row>
    <row r="33" spans="3:18" x14ac:dyDescent="0.25">
      <c r="C33" s="23" t="s">
        <v>270</v>
      </c>
      <c r="D33" s="15">
        <v>36</v>
      </c>
      <c r="E33" s="15">
        <v>42.7</v>
      </c>
      <c r="F33" s="15">
        <v>51.8</v>
      </c>
      <c r="G33" s="15">
        <v>44.6</v>
      </c>
      <c r="H33" s="15">
        <v>39</v>
      </c>
      <c r="I33" s="15">
        <v>52.1</v>
      </c>
      <c r="J33" s="15">
        <v>65.400000000000006</v>
      </c>
      <c r="K33" s="15">
        <v>56.8</v>
      </c>
      <c r="L33" s="15">
        <v>69.400000000000006</v>
      </c>
    </row>
    <row r="34" spans="3:18" x14ac:dyDescent="0.25">
      <c r="C34" s="23" t="s">
        <v>302</v>
      </c>
      <c r="D34" s="15">
        <v>33.4</v>
      </c>
      <c r="E34" s="15">
        <v>45</v>
      </c>
      <c r="F34" s="15">
        <v>54.9</v>
      </c>
      <c r="G34" s="15">
        <v>23.7</v>
      </c>
      <c r="H34" s="15">
        <v>32.700000000000003</v>
      </c>
      <c r="I34" s="15">
        <v>56.1</v>
      </c>
      <c r="J34" s="15">
        <v>57</v>
      </c>
      <c r="K34" s="15">
        <v>34.5</v>
      </c>
      <c r="L34" s="15">
        <v>67.400000000000006</v>
      </c>
      <c r="R34" s="2" t="s">
        <v>303</v>
      </c>
    </row>
    <row r="35" spans="3:18" x14ac:dyDescent="0.25">
      <c r="C35" s="23" t="s">
        <v>275</v>
      </c>
      <c r="D35" s="15">
        <v>9.5</v>
      </c>
      <c r="E35" s="15">
        <v>7.3</v>
      </c>
      <c r="F35" s="15">
        <v>11.7</v>
      </c>
      <c r="G35" s="15">
        <v>9.6999999999999993</v>
      </c>
      <c r="H35" s="15">
        <v>12.2</v>
      </c>
      <c r="I35" s="15">
        <v>16.7</v>
      </c>
      <c r="J35" s="15">
        <v>21.8</v>
      </c>
      <c r="K35" s="15">
        <v>22.1</v>
      </c>
      <c r="L35" s="15">
        <v>29.5</v>
      </c>
    </row>
    <row r="36" spans="3:18" x14ac:dyDescent="0.25">
      <c r="C36" s="23" t="s">
        <v>304</v>
      </c>
      <c r="D36" s="15">
        <v>9.1</v>
      </c>
      <c r="E36" s="15">
        <v>12.4</v>
      </c>
      <c r="F36" s="15">
        <v>12.6</v>
      </c>
      <c r="G36" s="15">
        <v>13</v>
      </c>
      <c r="H36" s="15">
        <v>9.6</v>
      </c>
      <c r="I36" s="15">
        <v>11.3</v>
      </c>
      <c r="J36" s="15">
        <v>12</v>
      </c>
      <c r="K36" s="15">
        <v>11.6</v>
      </c>
      <c r="L36" s="15">
        <v>13.2</v>
      </c>
    </row>
    <row r="37" spans="3:18" x14ac:dyDescent="0.25">
      <c r="C37" s="23" t="s">
        <v>274</v>
      </c>
      <c r="D37" s="15">
        <v>3.9</v>
      </c>
      <c r="E37" s="15">
        <v>5.4</v>
      </c>
      <c r="F37" s="15">
        <v>5</v>
      </c>
      <c r="G37" s="15">
        <v>5.7</v>
      </c>
      <c r="H37" s="15">
        <v>4.4000000000000004</v>
      </c>
      <c r="I37" s="15">
        <v>6.1</v>
      </c>
      <c r="J37" s="15">
        <v>5.9</v>
      </c>
      <c r="K37" s="15">
        <v>6.7</v>
      </c>
      <c r="L37" s="15">
        <v>6.1</v>
      </c>
    </row>
    <row r="38" spans="3:18" x14ac:dyDescent="0.25">
      <c r="C38" s="23" t="s">
        <v>305</v>
      </c>
      <c r="D38" s="15">
        <v>5.3</v>
      </c>
      <c r="E38" s="15">
        <v>4.5999999999999996</v>
      </c>
      <c r="F38" s="15">
        <v>3.4</v>
      </c>
      <c r="G38" s="15">
        <v>2.5</v>
      </c>
      <c r="H38" s="15">
        <v>3.8</v>
      </c>
      <c r="I38" s="15">
        <v>5.2</v>
      </c>
      <c r="J38" s="15">
        <v>8.5</v>
      </c>
      <c r="K38" s="15">
        <v>7.6</v>
      </c>
      <c r="L38" s="15">
        <v>3.3</v>
      </c>
    </row>
    <row r="39" spans="3:18" x14ac:dyDescent="0.25">
      <c r="C39" s="27" t="s">
        <v>306</v>
      </c>
      <c r="D39" s="28">
        <f t="shared" ref="D39:L39" si="0">SUM(D32:D38)</f>
        <v>138.70000000000002</v>
      </c>
      <c r="E39" s="28">
        <f t="shared" si="0"/>
        <v>190.50000000000003</v>
      </c>
      <c r="F39" s="28">
        <f t="shared" si="0"/>
        <v>218.2</v>
      </c>
      <c r="G39" s="28">
        <f t="shared" si="0"/>
        <v>232.29999999999995</v>
      </c>
      <c r="H39" s="28">
        <f t="shared" si="0"/>
        <v>263.8</v>
      </c>
      <c r="I39" s="28">
        <f t="shared" si="0"/>
        <v>262.89999999999998</v>
      </c>
      <c r="J39" s="28">
        <f t="shared" si="0"/>
        <v>273.8</v>
      </c>
      <c r="K39" s="28">
        <f t="shared" si="0"/>
        <v>328.10000000000008</v>
      </c>
      <c r="L39" s="28">
        <f t="shared" si="0"/>
        <v>367.5</v>
      </c>
      <c r="R39" s="30" t="s">
        <v>307</v>
      </c>
    </row>
    <row r="40" spans="3:18" x14ac:dyDescent="0.25">
      <c r="C40" s="23" t="s">
        <v>283</v>
      </c>
      <c r="D40" s="29">
        <f t="shared" ref="D40:L40" si="1">D32/D39</f>
        <v>0.29920692141312183</v>
      </c>
      <c r="E40" s="29">
        <f t="shared" si="1"/>
        <v>0.38372703412073483</v>
      </c>
      <c r="F40" s="29">
        <f t="shared" si="1"/>
        <v>0.36113657195233734</v>
      </c>
      <c r="G40" s="29">
        <f t="shared" si="1"/>
        <v>0.5729659922513991</v>
      </c>
      <c r="H40" s="29">
        <f t="shared" si="1"/>
        <v>0.61448066717210004</v>
      </c>
      <c r="I40" s="29">
        <f t="shared" si="1"/>
        <v>0.43895017116774443</v>
      </c>
      <c r="J40" s="29">
        <f t="shared" si="1"/>
        <v>0.3769174579985391</v>
      </c>
      <c r="K40" s="29">
        <f t="shared" si="1"/>
        <v>0.57543431880524221</v>
      </c>
      <c r="L40" s="29">
        <f t="shared" si="1"/>
        <v>0.48598639455782311</v>
      </c>
    </row>
    <row r="41" spans="3:18" x14ac:dyDescent="0.25">
      <c r="C41" s="23" t="s">
        <v>284</v>
      </c>
      <c r="D41" s="29">
        <f t="shared" ref="D41:L41" si="2">D33/D39</f>
        <v>0.25955299206921412</v>
      </c>
      <c r="E41" s="29">
        <f t="shared" si="2"/>
        <v>0.22414698162729657</v>
      </c>
      <c r="F41" s="29">
        <f t="shared" si="2"/>
        <v>0.2373968835930339</v>
      </c>
      <c r="G41" s="29">
        <f t="shared" si="2"/>
        <v>0.19199311235471378</v>
      </c>
      <c r="H41" s="29">
        <f t="shared" si="2"/>
        <v>0.14783927217589082</v>
      </c>
      <c r="I41" s="29">
        <f t="shared" si="2"/>
        <v>0.19817421072651201</v>
      </c>
      <c r="J41" s="29">
        <f t="shared" si="2"/>
        <v>0.23886048210372535</v>
      </c>
      <c r="K41" s="29">
        <f t="shared" si="2"/>
        <v>0.17311795184394996</v>
      </c>
      <c r="L41" s="29">
        <f t="shared" si="2"/>
        <v>0.18884353741496601</v>
      </c>
    </row>
    <row r="42" spans="3:18" x14ac:dyDescent="0.25">
      <c r="C42" s="23" t="s">
        <v>308</v>
      </c>
      <c r="D42" s="29">
        <f t="shared" ref="D42:L42" si="3">D34/D39</f>
        <v>0.24080749819754863</v>
      </c>
      <c r="E42" s="29">
        <f t="shared" si="3"/>
        <v>0.23622047244094485</v>
      </c>
      <c r="F42" s="29">
        <f t="shared" si="3"/>
        <v>0.25160403299725026</v>
      </c>
      <c r="G42" s="29">
        <f t="shared" si="3"/>
        <v>0.10202324580284117</v>
      </c>
      <c r="H42" s="29">
        <f t="shared" si="3"/>
        <v>0.12395754359363155</v>
      </c>
      <c r="I42" s="29">
        <f t="shared" si="3"/>
        <v>0.21338912133891216</v>
      </c>
      <c r="J42" s="29">
        <f t="shared" si="3"/>
        <v>0.20818115412710006</v>
      </c>
      <c r="K42" s="29">
        <f t="shared" si="3"/>
        <v>0.10515086863761046</v>
      </c>
      <c r="L42" s="29">
        <f t="shared" si="3"/>
        <v>0.18340136054421771</v>
      </c>
    </row>
    <row r="43" spans="3:18" x14ac:dyDescent="0.25">
      <c r="C43" s="23" t="s">
        <v>288</v>
      </c>
      <c r="D43" s="29">
        <f t="shared" ref="D43:L43" si="4">D35/D39</f>
        <v>6.8493150684931503E-2</v>
      </c>
      <c r="E43" s="29">
        <f t="shared" si="4"/>
        <v>3.8320209973753273E-2</v>
      </c>
      <c r="F43" s="29">
        <f t="shared" si="4"/>
        <v>5.3620531622364805E-2</v>
      </c>
      <c r="G43" s="29">
        <f t="shared" si="4"/>
        <v>4.1756349547998284E-2</v>
      </c>
      <c r="H43" s="29">
        <f t="shared" si="4"/>
        <v>4.6247156937073534E-2</v>
      </c>
      <c r="I43" s="29">
        <f t="shared" si="4"/>
        <v>6.3522251806770638E-2</v>
      </c>
      <c r="J43" s="29">
        <f t="shared" si="4"/>
        <v>7.9620160701241782E-2</v>
      </c>
      <c r="K43" s="29">
        <f t="shared" si="4"/>
        <v>6.7357512953367865E-2</v>
      </c>
      <c r="L43" s="29">
        <f t="shared" si="4"/>
        <v>8.0272108843537415E-2</v>
      </c>
    </row>
    <row r="44" spans="3:18" x14ac:dyDescent="0.25">
      <c r="C44" s="23" t="s">
        <v>309</v>
      </c>
      <c r="D44" s="29">
        <f t="shared" ref="D44:L44" si="5">D36/D39</f>
        <v>6.560922855082911E-2</v>
      </c>
      <c r="E44" s="29">
        <f t="shared" si="5"/>
        <v>6.5091863517060353E-2</v>
      </c>
      <c r="F44" s="29">
        <f t="shared" si="5"/>
        <v>5.7745187901008251E-2</v>
      </c>
      <c r="G44" s="29">
        <f t="shared" si="5"/>
        <v>5.5962117950925538E-2</v>
      </c>
      <c r="H44" s="29">
        <f t="shared" si="5"/>
        <v>3.6391205458680818E-2</v>
      </c>
      <c r="I44" s="29">
        <f t="shared" si="5"/>
        <v>4.2982122480030437E-2</v>
      </c>
      <c r="J44" s="29">
        <f t="shared" si="5"/>
        <v>4.3827611395178961E-2</v>
      </c>
      <c r="K44" s="29">
        <f t="shared" si="5"/>
        <v>3.5355074672355977E-2</v>
      </c>
      <c r="L44" s="29">
        <f t="shared" si="5"/>
        <v>3.5918367346938776E-2</v>
      </c>
    </row>
    <row r="45" spans="3:18" x14ac:dyDescent="0.25">
      <c r="C45" s="23" t="s">
        <v>287</v>
      </c>
      <c r="D45" s="29">
        <f t="shared" ref="D45:L45" si="6">D37/D39</f>
        <v>2.8118240807498193E-2</v>
      </c>
      <c r="E45" s="29">
        <f t="shared" si="6"/>
        <v>2.8346456692913382E-2</v>
      </c>
      <c r="F45" s="29">
        <f t="shared" si="6"/>
        <v>2.2914757103574702E-2</v>
      </c>
      <c r="G45" s="29">
        <f t="shared" si="6"/>
        <v>2.4537236332328891E-2</v>
      </c>
      <c r="H45" s="29">
        <f t="shared" si="6"/>
        <v>1.6679302501895376E-2</v>
      </c>
      <c r="I45" s="29">
        <f t="shared" si="6"/>
        <v>2.3202738683910231E-2</v>
      </c>
      <c r="J45" s="29">
        <f t="shared" si="6"/>
        <v>2.1548575602629658E-2</v>
      </c>
      <c r="K45" s="29">
        <f t="shared" si="6"/>
        <v>2.0420603474550436E-2</v>
      </c>
      <c r="L45" s="29">
        <f t="shared" si="6"/>
        <v>1.6598639455782313E-2</v>
      </c>
    </row>
    <row r="46" spans="3:18" x14ac:dyDescent="0.25">
      <c r="C46" s="23" t="s">
        <v>310</v>
      </c>
      <c r="D46" s="29">
        <f t="shared" ref="D46:L46" si="7">D38/D39</f>
        <v>3.8211968276856516E-2</v>
      </c>
      <c r="E46" s="29">
        <f t="shared" si="7"/>
        <v>2.4146981627296584E-2</v>
      </c>
      <c r="F46" s="29">
        <f t="shared" si="7"/>
        <v>1.5582034830430799E-2</v>
      </c>
      <c r="G46" s="29">
        <f t="shared" si="7"/>
        <v>1.0761945759793373E-2</v>
      </c>
      <c r="H46" s="29">
        <f t="shared" si="7"/>
        <v>1.4404852160727823E-2</v>
      </c>
      <c r="I46" s="29">
        <f t="shared" si="7"/>
        <v>1.9779383796120199E-2</v>
      </c>
      <c r="J46" s="29">
        <f t="shared" si="7"/>
        <v>3.1044558071585099E-2</v>
      </c>
      <c r="K46" s="29">
        <f t="shared" si="7"/>
        <v>2.3163669612922884E-2</v>
      </c>
      <c r="L46" s="29">
        <f t="shared" si="7"/>
        <v>8.979591836734694E-3</v>
      </c>
    </row>
    <row r="48" spans="3:18" x14ac:dyDescent="0.25">
      <c r="C48" s="24" t="s">
        <v>311</v>
      </c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3:18" x14ac:dyDescent="0.25">
      <c r="D49" s="26" t="s">
        <v>181</v>
      </c>
      <c r="E49" s="26" t="s">
        <v>182</v>
      </c>
    </row>
    <row r="50" spans="3:18" x14ac:dyDescent="0.25">
      <c r="C50" s="23" t="s">
        <v>275</v>
      </c>
      <c r="D50" s="15">
        <v>15.8</v>
      </c>
      <c r="E50" s="15">
        <v>25.1</v>
      </c>
    </row>
    <row r="51" spans="3:18" x14ac:dyDescent="0.25">
      <c r="C51" s="23" t="s">
        <v>312</v>
      </c>
      <c r="D51" s="15">
        <v>47.1</v>
      </c>
      <c r="E51" s="15">
        <v>44.5</v>
      </c>
    </row>
    <row r="52" spans="3:18" x14ac:dyDescent="0.25">
      <c r="C52" s="23" t="s">
        <v>313</v>
      </c>
      <c r="D52" s="15">
        <v>20</v>
      </c>
      <c r="E52" s="15">
        <v>23.1</v>
      </c>
    </row>
    <row r="53" spans="3:18" x14ac:dyDescent="0.25">
      <c r="C53" s="23" t="s">
        <v>314</v>
      </c>
      <c r="D53" s="15">
        <v>696.8</v>
      </c>
      <c r="E53" s="15">
        <v>1035.9000000000001</v>
      </c>
    </row>
    <row r="54" spans="3:18" x14ac:dyDescent="0.25">
      <c r="C54" s="27" t="s">
        <v>216</v>
      </c>
      <c r="D54" s="32">
        <v>779.7</v>
      </c>
      <c r="E54" s="32">
        <v>1128.5999999999999</v>
      </c>
    </row>
    <row r="55" spans="3:18" x14ac:dyDescent="0.25">
      <c r="C55" s="23" t="s">
        <v>315</v>
      </c>
      <c r="D55" s="29">
        <f>D53/D54</f>
        <v>0.89367705527767083</v>
      </c>
      <c r="E55" s="29">
        <f>E53/E54</f>
        <v>0.9178628389154706</v>
      </c>
      <c r="R55" s="30" t="s">
        <v>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I33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2.28515625" customWidth="1"/>
    <col min="3" max="3" width="12" customWidth="1"/>
    <col min="4" max="4" width="30" customWidth="1"/>
    <col min="5" max="5" width="34" customWidth="1"/>
    <col min="6" max="6" width="16" customWidth="1"/>
    <col min="7" max="7" width="12" customWidth="1"/>
    <col min="8" max="8" width="52" customWidth="1"/>
    <col min="9" max="9" width="70" customWidth="1"/>
  </cols>
  <sheetData>
    <row r="2" spans="3:9" ht="20.25" x14ac:dyDescent="0.3">
      <c r="C2" s="22" t="s">
        <v>317</v>
      </c>
    </row>
    <row r="3" spans="3:9" x14ac:dyDescent="0.25">
      <c r="C3" s="23" t="s">
        <v>318</v>
      </c>
    </row>
    <row r="5" spans="3:9" x14ac:dyDescent="0.25">
      <c r="C5" s="24" t="s">
        <v>4</v>
      </c>
      <c r="D5" s="24" t="s">
        <v>319</v>
      </c>
      <c r="E5" s="24" t="s">
        <v>320</v>
      </c>
      <c r="F5" s="24" t="s">
        <v>321</v>
      </c>
      <c r="G5" s="24" t="s">
        <v>322</v>
      </c>
      <c r="H5" s="24" t="s">
        <v>323</v>
      </c>
      <c r="I5" s="24" t="s">
        <v>324</v>
      </c>
    </row>
    <row r="6" spans="3:9" ht="62.1" customHeight="1" x14ac:dyDescent="0.25">
      <c r="C6" s="37" t="s">
        <v>24</v>
      </c>
      <c r="D6" s="37" t="s">
        <v>325</v>
      </c>
      <c r="E6" s="37" t="s">
        <v>326</v>
      </c>
      <c r="F6" s="37" t="s">
        <v>327</v>
      </c>
      <c r="G6" s="37" t="s">
        <v>328</v>
      </c>
      <c r="H6" s="37" t="s">
        <v>329</v>
      </c>
      <c r="I6" s="37" t="s">
        <v>330</v>
      </c>
    </row>
    <row r="7" spans="3:9" ht="62.1" customHeight="1" x14ac:dyDescent="0.25">
      <c r="C7" s="37" t="s">
        <v>24</v>
      </c>
      <c r="D7" s="37" t="s">
        <v>331</v>
      </c>
      <c r="E7" s="37" t="s">
        <v>332</v>
      </c>
      <c r="F7" s="37" t="s">
        <v>333</v>
      </c>
      <c r="G7" s="37" t="s">
        <v>182</v>
      </c>
      <c r="H7" s="37" t="s">
        <v>334</v>
      </c>
      <c r="I7" s="37" t="s">
        <v>335</v>
      </c>
    </row>
    <row r="8" spans="3:9" ht="62.1" customHeight="1" x14ac:dyDescent="0.25">
      <c r="C8" s="37" t="s">
        <v>24</v>
      </c>
      <c r="D8" s="37" t="s">
        <v>336</v>
      </c>
      <c r="E8" s="37" t="s">
        <v>337</v>
      </c>
      <c r="F8" s="37" t="s">
        <v>338</v>
      </c>
      <c r="G8" s="37" t="s">
        <v>339</v>
      </c>
      <c r="H8" s="37" t="s">
        <v>340</v>
      </c>
      <c r="I8" s="37" t="s">
        <v>341</v>
      </c>
    </row>
    <row r="9" spans="3:9" ht="62.1" customHeight="1" x14ac:dyDescent="0.25">
      <c r="C9" s="37" t="s">
        <v>24</v>
      </c>
      <c r="D9" s="37" t="s">
        <v>270</v>
      </c>
      <c r="E9" s="37" t="s">
        <v>342</v>
      </c>
      <c r="F9" s="37" t="s">
        <v>343</v>
      </c>
      <c r="G9" s="37" t="s">
        <v>211</v>
      </c>
      <c r="H9" s="37" t="s">
        <v>344</v>
      </c>
      <c r="I9" s="37" t="s">
        <v>345</v>
      </c>
    </row>
    <row r="10" spans="3:9" ht="62.1" customHeight="1" x14ac:dyDescent="0.25">
      <c r="C10" s="37" t="s">
        <v>24</v>
      </c>
      <c r="D10" s="37" t="s">
        <v>346</v>
      </c>
      <c r="E10" s="37" t="s">
        <v>347</v>
      </c>
      <c r="F10" s="37" t="s">
        <v>348</v>
      </c>
      <c r="G10" s="37" t="s">
        <v>349</v>
      </c>
      <c r="H10" s="37" t="s">
        <v>350</v>
      </c>
      <c r="I10" s="37" t="s">
        <v>351</v>
      </c>
    </row>
    <row r="11" spans="3:9" ht="62.1" customHeight="1" x14ac:dyDescent="0.25">
      <c r="C11" s="37" t="s">
        <v>24</v>
      </c>
      <c r="D11" s="37" t="s">
        <v>352</v>
      </c>
      <c r="E11" s="37" t="s">
        <v>353</v>
      </c>
      <c r="F11" s="37" t="s">
        <v>354</v>
      </c>
      <c r="G11" s="37" t="s">
        <v>355</v>
      </c>
      <c r="H11" s="37" t="s">
        <v>356</v>
      </c>
      <c r="I11" s="37" t="s">
        <v>357</v>
      </c>
    </row>
    <row r="12" spans="3:9" ht="62.1" customHeight="1" x14ac:dyDescent="0.25">
      <c r="C12" s="37" t="s">
        <v>24</v>
      </c>
      <c r="D12" s="37" t="s">
        <v>358</v>
      </c>
      <c r="E12" s="37" t="s">
        <v>359</v>
      </c>
      <c r="F12" s="37" t="s">
        <v>360</v>
      </c>
      <c r="G12" s="37" t="s">
        <v>361</v>
      </c>
      <c r="H12" s="37" t="s">
        <v>362</v>
      </c>
      <c r="I12" s="37" t="s">
        <v>363</v>
      </c>
    </row>
    <row r="13" spans="3:9" ht="62.1" customHeight="1" x14ac:dyDescent="0.25">
      <c r="C13" s="37" t="s">
        <v>24</v>
      </c>
      <c r="D13" s="37" t="s">
        <v>364</v>
      </c>
      <c r="E13" s="37" t="s">
        <v>365</v>
      </c>
      <c r="F13" s="37" t="s">
        <v>366</v>
      </c>
      <c r="G13" s="37" t="s">
        <v>367</v>
      </c>
      <c r="H13" s="37" t="s">
        <v>368</v>
      </c>
      <c r="I13" s="37" t="s">
        <v>369</v>
      </c>
    </row>
    <row r="14" spans="3:9" ht="62.1" customHeight="1" x14ac:dyDescent="0.25">
      <c r="C14" s="37" t="s">
        <v>24</v>
      </c>
      <c r="D14" s="37" t="s">
        <v>370</v>
      </c>
      <c r="E14" s="37" t="s">
        <v>371</v>
      </c>
      <c r="F14" s="37" t="s">
        <v>372</v>
      </c>
      <c r="G14" s="37" t="s">
        <v>373</v>
      </c>
      <c r="H14" s="37" t="s">
        <v>374</v>
      </c>
      <c r="I14" s="37" t="s">
        <v>375</v>
      </c>
    </row>
    <row r="15" spans="3:9" ht="62.1" customHeight="1" x14ac:dyDescent="0.25">
      <c r="C15" s="37" t="s">
        <v>24</v>
      </c>
      <c r="D15" s="37" t="s">
        <v>376</v>
      </c>
      <c r="E15" s="37" t="s">
        <v>377</v>
      </c>
      <c r="F15" s="37" t="s">
        <v>378</v>
      </c>
      <c r="G15" s="37" t="s">
        <v>379</v>
      </c>
      <c r="H15" s="37" t="s">
        <v>380</v>
      </c>
      <c r="I15" s="37" t="s">
        <v>381</v>
      </c>
    </row>
    <row r="16" spans="3:9" ht="62.1" customHeight="1" x14ac:dyDescent="0.25">
      <c r="C16" s="37" t="s">
        <v>16</v>
      </c>
      <c r="D16" s="37" t="s">
        <v>382</v>
      </c>
      <c r="E16" s="37" t="s">
        <v>383</v>
      </c>
      <c r="F16" s="37" t="s">
        <v>384</v>
      </c>
      <c r="G16" s="37" t="s">
        <v>385</v>
      </c>
      <c r="H16" s="37" t="s">
        <v>386</v>
      </c>
      <c r="I16" s="37" t="s">
        <v>387</v>
      </c>
    </row>
    <row r="17" spans="3:9" ht="62.1" customHeight="1" x14ac:dyDescent="0.25">
      <c r="C17" s="37" t="s">
        <v>16</v>
      </c>
      <c r="D17" s="37" t="s">
        <v>388</v>
      </c>
      <c r="E17" s="37" t="s">
        <v>389</v>
      </c>
      <c r="F17" s="37" t="s">
        <v>390</v>
      </c>
      <c r="G17" s="37" t="s">
        <v>224</v>
      </c>
      <c r="H17" s="37" t="s">
        <v>391</v>
      </c>
      <c r="I17" s="37" t="s">
        <v>392</v>
      </c>
    </row>
    <row r="18" spans="3:9" ht="62.1" customHeight="1" x14ac:dyDescent="0.25">
      <c r="C18" s="37" t="s">
        <v>16</v>
      </c>
      <c r="D18" s="37" t="s">
        <v>393</v>
      </c>
      <c r="E18" s="37" t="s">
        <v>394</v>
      </c>
      <c r="F18" s="37" t="s">
        <v>395</v>
      </c>
      <c r="G18" s="37" t="s">
        <v>223</v>
      </c>
      <c r="H18" s="37" t="s">
        <v>396</v>
      </c>
      <c r="I18" s="37" t="s">
        <v>397</v>
      </c>
    </row>
    <row r="19" spans="3:9" ht="62.1" customHeight="1" x14ac:dyDescent="0.25">
      <c r="C19" s="37" t="s">
        <v>16</v>
      </c>
      <c r="D19" s="37" t="s">
        <v>398</v>
      </c>
      <c r="E19" s="37" t="s">
        <v>399</v>
      </c>
      <c r="F19" s="37" t="s">
        <v>400</v>
      </c>
      <c r="G19" s="37" t="s">
        <v>223</v>
      </c>
      <c r="H19" s="37" t="s">
        <v>391</v>
      </c>
      <c r="I19" s="37" t="s">
        <v>401</v>
      </c>
    </row>
    <row r="20" spans="3:9" ht="62.1" customHeight="1" x14ac:dyDescent="0.25">
      <c r="C20" s="37" t="s">
        <v>16</v>
      </c>
      <c r="D20" s="37" t="s">
        <v>402</v>
      </c>
      <c r="E20" s="37" t="s">
        <v>389</v>
      </c>
      <c r="F20" s="37" t="s">
        <v>403</v>
      </c>
      <c r="G20" s="37" t="s">
        <v>222</v>
      </c>
      <c r="H20" s="37" t="s">
        <v>404</v>
      </c>
      <c r="I20" s="37" t="s">
        <v>405</v>
      </c>
    </row>
    <row r="21" spans="3:9" ht="62.1" customHeight="1" x14ac:dyDescent="0.25">
      <c r="C21" s="37" t="s">
        <v>16</v>
      </c>
      <c r="D21" s="37" t="s">
        <v>406</v>
      </c>
      <c r="E21" s="37" t="s">
        <v>407</v>
      </c>
      <c r="F21" s="37" t="s">
        <v>408</v>
      </c>
      <c r="G21" s="37" t="s">
        <v>221</v>
      </c>
      <c r="H21" s="37" t="s">
        <v>409</v>
      </c>
      <c r="I21" s="37" t="s">
        <v>410</v>
      </c>
    </row>
    <row r="22" spans="3:9" ht="62.1" customHeight="1" x14ac:dyDescent="0.25">
      <c r="C22" s="37" t="s">
        <v>16</v>
      </c>
      <c r="D22" s="37" t="s">
        <v>411</v>
      </c>
      <c r="E22" s="37" t="s">
        <v>389</v>
      </c>
      <c r="F22" s="37" t="s">
        <v>412</v>
      </c>
      <c r="G22" s="37" t="s">
        <v>220</v>
      </c>
      <c r="H22" s="37" t="s">
        <v>413</v>
      </c>
      <c r="I22" s="37" t="s">
        <v>414</v>
      </c>
    </row>
    <row r="23" spans="3:9" ht="62.1" customHeight="1" x14ac:dyDescent="0.25">
      <c r="C23" s="37" t="s">
        <v>16</v>
      </c>
      <c r="D23" s="37" t="s">
        <v>415</v>
      </c>
      <c r="E23" s="37" t="s">
        <v>416</v>
      </c>
      <c r="F23" s="37" t="s">
        <v>417</v>
      </c>
      <c r="G23" s="37" t="s">
        <v>418</v>
      </c>
      <c r="H23" s="37" t="s">
        <v>419</v>
      </c>
      <c r="I23" s="37" t="s">
        <v>420</v>
      </c>
    </row>
    <row r="24" spans="3:9" ht="62.1" customHeight="1" x14ac:dyDescent="0.25">
      <c r="C24" s="37" t="s">
        <v>16</v>
      </c>
      <c r="D24" s="37" t="s">
        <v>421</v>
      </c>
      <c r="E24" s="37" t="s">
        <v>422</v>
      </c>
      <c r="F24" s="37" t="s">
        <v>423</v>
      </c>
      <c r="G24" s="37" t="s">
        <v>424</v>
      </c>
      <c r="H24" s="37" t="s">
        <v>425</v>
      </c>
      <c r="I24" s="37" t="s">
        <v>426</v>
      </c>
    </row>
    <row r="25" spans="3:9" ht="62.1" customHeight="1" x14ac:dyDescent="0.25">
      <c r="C25" s="37" t="s">
        <v>16</v>
      </c>
      <c r="D25" s="37" t="s">
        <v>427</v>
      </c>
      <c r="E25" s="37" t="s">
        <v>428</v>
      </c>
      <c r="F25" s="37" t="s">
        <v>429</v>
      </c>
      <c r="G25" s="37" t="s">
        <v>430</v>
      </c>
      <c r="H25" s="37" t="s">
        <v>431</v>
      </c>
      <c r="I25" s="37" t="s">
        <v>432</v>
      </c>
    </row>
    <row r="26" spans="3:9" ht="62.1" customHeight="1" x14ac:dyDescent="0.25">
      <c r="C26" s="37" t="s">
        <v>16</v>
      </c>
      <c r="D26" s="37" t="s">
        <v>433</v>
      </c>
      <c r="E26" s="37" t="s">
        <v>434</v>
      </c>
      <c r="F26" s="37" t="s">
        <v>435</v>
      </c>
      <c r="G26" s="37" t="s">
        <v>355</v>
      </c>
      <c r="H26" s="37" t="s">
        <v>436</v>
      </c>
      <c r="I26" s="37" t="s">
        <v>437</v>
      </c>
    </row>
    <row r="27" spans="3:9" ht="62.1" customHeight="1" x14ac:dyDescent="0.25">
      <c r="C27" s="37" t="s">
        <v>16</v>
      </c>
      <c r="D27" s="37" t="s">
        <v>438</v>
      </c>
      <c r="E27" s="37" t="s">
        <v>439</v>
      </c>
      <c r="F27" s="37" t="s">
        <v>440</v>
      </c>
      <c r="G27" s="37" t="s">
        <v>441</v>
      </c>
      <c r="H27" s="37" t="s">
        <v>442</v>
      </c>
      <c r="I27" s="37" t="s">
        <v>443</v>
      </c>
    </row>
    <row r="28" spans="3:9" ht="62.1" customHeight="1" x14ac:dyDescent="0.25">
      <c r="C28" s="37" t="s">
        <v>16</v>
      </c>
      <c r="D28" s="37" t="s">
        <v>444</v>
      </c>
      <c r="E28" s="37" t="s">
        <v>445</v>
      </c>
      <c r="F28" s="37" t="s">
        <v>446</v>
      </c>
      <c r="G28" s="37" t="s">
        <v>447</v>
      </c>
      <c r="H28" s="37" t="s">
        <v>448</v>
      </c>
      <c r="I28" s="37" t="s">
        <v>449</v>
      </c>
    </row>
    <row r="29" spans="3:9" ht="62.1" customHeight="1" x14ac:dyDescent="0.25">
      <c r="C29" s="37" t="s">
        <v>16</v>
      </c>
      <c r="D29" s="37" t="s">
        <v>450</v>
      </c>
      <c r="E29" s="37" t="s">
        <v>451</v>
      </c>
      <c r="F29" s="37" t="s">
        <v>452</v>
      </c>
      <c r="G29" s="37" t="s">
        <v>453</v>
      </c>
      <c r="H29" s="37" t="s">
        <v>454</v>
      </c>
      <c r="I29" s="37" t="s">
        <v>455</v>
      </c>
    </row>
    <row r="30" spans="3:9" ht="62.1" customHeight="1" x14ac:dyDescent="0.25">
      <c r="C30" s="37" t="s">
        <v>16</v>
      </c>
      <c r="D30" s="37" t="s">
        <v>456</v>
      </c>
      <c r="E30" s="37" t="s">
        <v>190</v>
      </c>
      <c r="F30" s="37" t="s">
        <v>457</v>
      </c>
      <c r="G30" s="37" t="s">
        <v>458</v>
      </c>
      <c r="H30" s="37" t="s">
        <v>459</v>
      </c>
      <c r="I30" s="37" t="s">
        <v>460</v>
      </c>
    </row>
    <row r="31" spans="3:9" ht="62.1" customHeight="1" x14ac:dyDescent="0.25">
      <c r="C31" s="37" t="s">
        <v>461</v>
      </c>
      <c r="D31" s="37" t="s">
        <v>462</v>
      </c>
      <c r="E31" s="37" t="s">
        <v>463</v>
      </c>
      <c r="F31" s="37" t="s">
        <v>464</v>
      </c>
      <c r="G31" s="37" t="s">
        <v>465</v>
      </c>
      <c r="H31" s="37" t="s">
        <v>466</v>
      </c>
      <c r="I31" s="37" t="s">
        <v>467</v>
      </c>
    </row>
    <row r="32" spans="3:9" ht="62.1" customHeight="1" x14ac:dyDescent="0.25">
      <c r="C32" s="37" t="s">
        <v>461</v>
      </c>
      <c r="D32" s="37" t="s">
        <v>468</v>
      </c>
      <c r="E32" s="37" t="s">
        <v>469</v>
      </c>
      <c r="F32" s="37" t="s">
        <v>470</v>
      </c>
      <c r="G32" s="37" t="s">
        <v>471</v>
      </c>
      <c r="H32" s="37" t="s">
        <v>472</v>
      </c>
      <c r="I32" s="37" t="s">
        <v>473</v>
      </c>
    </row>
    <row r="33" spans="3:9" ht="62.1" customHeight="1" x14ac:dyDescent="0.25">
      <c r="C33" s="37" t="s">
        <v>461</v>
      </c>
      <c r="D33" s="37" t="s">
        <v>474</v>
      </c>
      <c r="E33" s="37" t="s">
        <v>475</v>
      </c>
      <c r="F33" s="37" t="s">
        <v>476</v>
      </c>
      <c r="G33" s="37" t="s">
        <v>361</v>
      </c>
      <c r="H33" s="37" t="s">
        <v>477</v>
      </c>
      <c r="I33" s="37" t="s">
        <v>478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4"/>
  <sheetViews>
    <sheetView workbookViewId="0"/>
  </sheetViews>
  <sheetFormatPr defaultRowHeight="15" x14ac:dyDescent="0.25"/>
  <cols>
    <col min="1" max="1" width="34" customWidth="1"/>
    <col min="2" max="2" width="150" customWidth="1"/>
  </cols>
  <sheetData>
    <row r="1" spans="1:2" ht="18" x14ac:dyDescent="0.25">
      <c r="A1" s="1" t="s">
        <v>479</v>
      </c>
    </row>
    <row r="3" spans="1:2" ht="60" customHeight="1" x14ac:dyDescent="0.25">
      <c r="A3" s="38" t="s">
        <v>480</v>
      </c>
      <c r="B3" s="39" t="s">
        <v>481</v>
      </c>
    </row>
    <row r="4" spans="1:2" ht="60" customHeight="1" x14ac:dyDescent="0.25">
      <c r="A4" s="38" t="s">
        <v>482</v>
      </c>
      <c r="B4" s="39" t="s">
        <v>483</v>
      </c>
    </row>
    <row r="5" spans="1:2" ht="60" customHeight="1" x14ac:dyDescent="0.25">
      <c r="A5" s="38" t="s">
        <v>484</v>
      </c>
      <c r="B5" s="39" t="s">
        <v>485</v>
      </c>
    </row>
    <row r="6" spans="1:2" ht="60" customHeight="1" x14ac:dyDescent="0.25">
      <c r="A6" s="38" t="s">
        <v>486</v>
      </c>
      <c r="B6" s="39" t="s">
        <v>487</v>
      </c>
    </row>
    <row r="7" spans="1:2" ht="60" customHeight="1" x14ac:dyDescent="0.25">
      <c r="A7" s="38" t="s">
        <v>488</v>
      </c>
      <c r="B7" s="39" t="s">
        <v>489</v>
      </c>
    </row>
    <row r="8" spans="1:2" ht="60" customHeight="1" x14ac:dyDescent="0.25">
      <c r="A8" s="38" t="s">
        <v>490</v>
      </c>
      <c r="B8" s="39" t="s">
        <v>491</v>
      </c>
    </row>
    <row r="9" spans="1:2" ht="60" customHeight="1" x14ac:dyDescent="0.25">
      <c r="A9" s="38" t="s">
        <v>492</v>
      </c>
      <c r="B9" s="39" t="s">
        <v>493</v>
      </c>
    </row>
    <row r="10" spans="1:2" ht="60" customHeight="1" x14ac:dyDescent="0.25">
      <c r="A10" s="38" t="s">
        <v>494</v>
      </c>
      <c r="B10" s="39" t="s">
        <v>495</v>
      </c>
    </row>
    <row r="11" spans="1:2" ht="60" customHeight="1" x14ac:dyDescent="0.25">
      <c r="A11" s="38" t="s">
        <v>496</v>
      </c>
      <c r="B11" s="39" t="s">
        <v>497</v>
      </c>
    </row>
    <row r="12" spans="1:2" ht="60" customHeight="1" x14ac:dyDescent="0.25">
      <c r="A12" s="38" t="s">
        <v>498</v>
      </c>
      <c r="B12" s="39" t="s">
        <v>499</v>
      </c>
    </row>
    <row r="14" spans="1:2" x14ac:dyDescent="0.25">
      <c r="A14" s="3" t="s">
        <v>500</v>
      </c>
    </row>
    <row r="15" spans="1:2" x14ac:dyDescent="0.25">
      <c r="B15" s="40" t="s">
        <v>501</v>
      </c>
    </row>
    <row r="16" spans="1:2" x14ac:dyDescent="0.25">
      <c r="B16" s="40" t="s">
        <v>502</v>
      </c>
    </row>
    <row r="17" spans="2:2" x14ac:dyDescent="0.25">
      <c r="B17" s="40" t="s">
        <v>503</v>
      </c>
    </row>
    <row r="18" spans="2:2" x14ac:dyDescent="0.25">
      <c r="B18" s="40" t="s">
        <v>504</v>
      </c>
    </row>
    <row r="19" spans="2:2" ht="24" x14ac:dyDescent="0.25">
      <c r="B19" s="40" t="s">
        <v>505</v>
      </c>
    </row>
    <row r="20" spans="2:2" x14ac:dyDescent="0.25">
      <c r="B20" s="40" t="s">
        <v>506</v>
      </c>
    </row>
    <row r="21" spans="2:2" x14ac:dyDescent="0.25">
      <c r="B21" s="40" t="s">
        <v>507</v>
      </c>
    </row>
    <row r="22" spans="2:2" x14ac:dyDescent="0.25">
      <c r="B22" s="40" t="s">
        <v>508</v>
      </c>
    </row>
    <row r="23" spans="2:2" x14ac:dyDescent="0.25">
      <c r="B23" s="40" t="s">
        <v>509</v>
      </c>
    </row>
    <row r="24" spans="2:2" x14ac:dyDescent="0.25">
      <c r="B24" s="40" t="s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CY Summary</vt:lpstr>
      <vt:lpstr>CY Detail by company</vt:lpstr>
      <vt:lpstr>Quarterly CY2025-CY2026</vt:lpstr>
      <vt:lpstr>Mix e segmentos</vt:lpstr>
      <vt:lpstr>Regiões</vt:lpstr>
      <vt:lpstr>Clientes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2026-09-18T20:09:27Z</dcterms:created>
  <dcterms:modified xsi:type="dcterms:W3CDTF">2026-09-18T20:09:32Z</dcterms:modified>
</cp:coreProperties>
</file>