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iki Felipe empresas\_wiki\models\"/>
    </mc:Choice>
  </mc:AlternateContent>
  <xr:revisionPtr revIDLastSave="0" documentId="13_ncr:1_{AC356BA0-C485-41D8-9562-E0E2208A9667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cenarios" sheetId="1" r:id="rId1"/>
    <sheet name="Model" sheetId="2" r:id="rId2"/>
    <sheet name="Sensitivity" sheetId="3" r:id="rId3"/>
    <sheet name="Checks &amp; Sources" sheetId="4" r:id="rId4"/>
  </sheets>
  <definedNames>
    <definedName name="_xlnm._FilterDatabase" localSheetId="3" hidden="1">'Checks &amp; Sources'!$A$15:$G$24</definedName>
    <definedName name="_xlnm._FilterDatabase" localSheetId="0" hidden="1">Scenarios!$A$3:$P$8</definedName>
    <definedName name="DDR_Sufficiency">Model!$D$43</definedName>
    <definedName name="_xlnm.Print_Area" localSheetId="3">'Checks &amp; Sources'!$A$1:$G$24</definedName>
    <definedName name="_xlnm.Print_Area" localSheetId="1">Model!$A$1:$O$48</definedName>
    <definedName name="_xlnm.Print_Area" localSheetId="0">Scenarios!$A$1:$P$8</definedName>
    <definedName name="_xlnm.Print_Area" localSheetId="2">Sensitivity!$A$1:$H$12</definedName>
    <definedName name="Required_Total_DRAM_WPM">Model!$D$45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6" i="4"/>
  <c r="B6" i="4"/>
  <c r="D6" i="4" s="1"/>
  <c r="C5" i="4"/>
  <c r="B5" i="4"/>
  <c r="B18" i="2"/>
  <c r="D18" i="2" s="1"/>
  <c r="B17" i="2"/>
  <c r="D17" i="2" s="1"/>
  <c r="B16" i="2"/>
  <c r="D16" i="2" s="1"/>
  <c r="D10" i="3" s="1"/>
  <c r="B15" i="2"/>
  <c r="D15" i="2" s="1"/>
  <c r="D11" i="3" s="1"/>
  <c r="B14" i="2"/>
  <c r="D14" i="2" s="1"/>
  <c r="C5" i="3" s="1"/>
  <c r="B13" i="2"/>
  <c r="D13" i="2" s="1"/>
  <c r="G5" i="3" s="1"/>
  <c r="B12" i="2"/>
  <c r="D12" i="2" s="1"/>
  <c r="D33" i="2" s="1"/>
  <c r="B11" i="2"/>
  <c r="D11" i="2" s="1"/>
  <c r="B10" i="2"/>
  <c r="D10" i="2" s="1"/>
  <c r="D8" i="3" s="1"/>
  <c r="B9" i="2"/>
  <c r="D9" i="2" s="1"/>
  <c r="D7" i="3" s="1"/>
  <c r="B8" i="2"/>
  <c r="D8" i="2" s="1"/>
  <c r="N7" i="1"/>
  <c r="O7" i="1" s="1"/>
  <c r="P7" i="1" s="1"/>
  <c r="M7" i="1"/>
  <c r="N6" i="1"/>
  <c r="O6" i="1" s="1"/>
  <c r="M6" i="1"/>
  <c r="N5" i="1"/>
  <c r="O5" i="1" s="1"/>
  <c r="M5" i="1"/>
  <c r="N4" i="1"/>
  <c r="O4" i="1" s="1"/>
  <c r="P4" i="1" s="1"/>
  <c r="M4" i="1"/>
  <c r="D9" i="3" l="1"/>
  <c r="E9" i="3" s="1"/>
  <c r="G4" i="3"/>
  <c r="E12" i="3"/>
  <c r="E10" i="3"/>
  <c r="C12" i="3"/>
  <c r="C10" i="3"/>
  <c r="C6" i="3"/>
  <c r="G11" i="3"/>
  <c r="G9" i="3"/>
  <c r="E11" i="3"/>
  <c r="C11" i="3"/>
  <c r="D5" i="4"/>
  <c r="G6" i="3"/>
  <c r="G10" i="3"/>
  <c r="G12" i="3"/>
  <c r="P5" i="1"/>
  <c r="C4" i="3"/>
  <c r="C9" i="3"/>
  <c r="P6" i="1"/>
  <c r="D12" i="3"/>
  <c r="K29" i="2"/>
  <c r="D34" i="2"/>
  <c r="D35" i="2" s="1"/>
  <c r="D5" i="3"/>
  <c r="E5" i="3" s="1"/>
  <c r="C7" i="3"/>
  <c r="B11" i="4"/>
  <c r="D6" i="3"/>
  <c r="E6" i="3" s="1"/>
  <c r="C8" i="3"/>
  <c r="B9" i="4"/>
  <c r="D9" i="4" s="1"/>
  <c r="D36" i="2"/>
  <c r="D38" i="2" s="1"/>
  <c r="D32" i="2"/>
  <c r="D4" i="3"/>
  <c r="E4" i="3" s="1"/>
  <c r="G8" i="3"/>
  <c r="D40" i="2"/>
  <c r="D44" i="2" s="1"/>
  <c r="G7" i="3"/>
  <c r="D45" i="2" l="1"/>
  <c r="D37" i="2"/>
  <c r="K3" i="2"/>
  <c r="D46" i="2"/>
  <c r="B7" i="4"/>
  <c r="D39" i="2"/>
  <c r="D41" i="2" s="1"/>
  <c r="D47" i="2"/>
  <c r="D48" i="2" s="1"/>
  <c r="M3" i="2" s="1"/>
  <c r="E8" i="3"/>
  <c r="E7" i="3"/>
  <c r="B8" i="4"/>
  <c r="D8" i="4" s="1"/>
  <c r="D42" i="2" l="1"/>
  <c r="D43" i="2" s="1"/>
  <c r="J29" i="2"/>
  <c r="L29" i="2" l="1"/>
  <c r="I3" i="2"/>
  <c r="A3" i="2"/>
</calcChain>
</file>

<file path=xl/sharedStrings.xml><?xml version="1.0" encoding="utf-8"?>
<sst xmlns="http://schemas.openxmlformats.org/spreadsheetml/2006/main" count="340" uniqueCount="213">
  <si>
    <t>Scenario library — feeds the Model sheet</t>
  </si>
  <si>
    <t>Scenario</t>
  </si>
  <si>
    <t>TSMC Low-NA allocation</t>
  </si>
  <si>
    <t>Intel Low-NA allocation</t>
  </si>
  <si>
    <t>Other logic allocation</t>
  </si>
  <si>
    <t>Total DRAM wafer capacity, 2028</t>
  </si>
  <si>
    <t>Gross adds qualified by YE</t>
  </si>
  <si>
    <t>HBM bit demand, 2028</t>
  </si>
  <si>
    <t>HBM demand served</t>
  </si>
  <si>
    <t>HBM output per wafer, 2028</t>
  </si>
  <si>
    <t>DDR node-migration uplift</t>
  </si>
  <si>
    <t>DDR ex-HBM demand, 2028</t>
  </si>
  <si>
    <t>Memory tools residual</t>
  </si>
  <si>
    <t>HBM wafer burden</t>
  </si>
  <si>
    <t>DDR supply</t>
  </si>
  <si>
    <t>DDR sufficiency</t>
  </si>
  <si>
    <t>Updated base</t>
  </si>
  <si>
    <t>Prior house</t>
  </si>
  <si>
    <t>HBM rationed</t>
  </si>
  <si>
    <t>Supply bull</t>
  </si>
  <si>
    <t>Custom</t>
  </si>
  <si>
    <t>Memory supply / demand — DDR balance through 2028</t>
  </si>
  <si>
    <t>ASML allocation is a feasibility constraint; wafer capacity is modeled independently to avoid the circular wafers-per-tool conversion.</t>
  </si>
  <si>
    <t>Selected scenario</t>
  </si>
  <si>
    <t>Enter an Override; leave blank to use the selected scenario.</t>
  </si>
  <si>
    <t>Input</t>
  </si>
  <si>
    <t>Scenario value</t>
  </si>
  <si>
    <t>Override</t>
  </si>
  <si>
    <t>Active</t>
  </si>
  <si>
    <t>Unit</t>
  </si>
  <si>
    <t>Grounding</t>
  </si>
  <si>
    <t>Source / date</t>
  </si>
  <si>
    <t>tools</t>
  </si>
  <si>
    <t>HARD</t>
  </si>
  <si>
    <t>ASML Q2 call · 15 Jul 2026; capacity plan, realization PARTIAL</t>
  </si>
  <si>
    <t>ESTIMATE</t>
  </si>
  <si>
    <t>2027 40–45 booked: Redburn / Conor O’Mara · 23 Jun 2026</t>
  </si>
  <si>
    <t>Orders +30–40%: KeyBanc / John Vinh · 24 Jul 2026; not EUV-specific</t>
  </si>
  <si>
    <t>Other Low-NA logic allocation</t>
  </si>
  <si>
    <t>PARTIAL</t>
  </si>
  <si>
    <t>Bristlemoon · Jun 2026</t>
  </si>
  <si>
    <t>k wpm</t>
  </si>
  <si>
    <t>Capstone prior-house default · 27 Jul 2026; no independent 2028 anchor</t>
  </si>
  <si>
    <t>%</t>
  </si>
  <si>
    <t>Shipment → install → qualification; 100% supply-friendly</t>
  </si>
  <si>
    <t>bn Gb</t>
  </si>
  <si>
    <t>Bernstein ≈109bn via Capstone · 27 Jul 2026; Bristlemoon 78.3bn · Jun 2026</t>
  </si>
  <si>
    <t>Below 100% explicitly rations HBM</t>
  </si>
  <si>
    <t>kGb / wafer</t>
  </si>
  <si>
    <t>Capstone physical engine · 27 Jul 2026</t>
  </si>
  <si>
    <t>Constants and independent anchors</t>
  </si>
  <si>
    <t>Constant / anchor</t>
  </si>
  <si>
    <t>Value</t>
  </si>
  <si>
    <t>2027 DRAM wafer capacity</t>
  </si>
  <si>
    <t>ANCHOR</t>
  </si>
  <si>
    <t>Capstone · 27 Jul 2026; UBS ≈2,170k · 3 Jul 2026</t>
  </si>
  <si>
    <t>DDR bits per wafer, 2027</t>
  </si>
  <si>
    <t>Capstone · 27 Jul 2026</t>
  </si>
  <si>
    <t>Monthly-to-annual conversion</t>
  </si>
  <si>
    <t>×12 / 1,000</t>
  </si>
  <si>
    <t>Dimensional conversion</t>
  </si>
  <si>
    <t>Prior-case incremental DRAM EUV demand</t>
  </si>
  <si>
    <t>Bristlemoon · Jun 2026; comparator only</t>
  </si>
  <si>
    <t>Independent HBM wafers, 2027</t>
  </si>
  <si>
    <t>SemiAnalysis · 6 Feb 2026</t>
  </si>
  <si>
    <t>Modeled HBM wafers, 2027</t>
  </si>
  <si>
    <t>Independent total DRAM capacity, 2027</t>
  </si>
  <si>
    <t>UBS / Nicolas Gaudois · 3 Jul 2026</t>
  </si>
  <si>
    <t>Selected-case arithmetic</t>
  </si>
  <si>
    <t>Step</t>
  </si>
  <si>
    <t>Formula / interpretation</t>
  </si>
  <si>
    <t>Low-NA memory residual</t>
  </si>
  <si>
    <t>ASML − TSMC − Intel − other</t>
  </si>
  <si>
    <t>Planned gross wafer add</t>
  </si>
  <si>
    <t>2028 total − 2027 anchor</t>
  </si>
  <si>
    <t>Qualified gross wafer add</t>
  </si>
  <si>
    <t>Gross add × qualification</t>
  </si>
  <si>
    <t>Effective 2028 DRAM wafers</t>
  </si>
  <si>
    <t>2027 anchor + qualified add</t>
  </si>
  <si>
    <t>HBM bits produced</t>
  </si>
  <si>
    <t>Demand × served share</t>
  </si>
  <si>
    <t>Unmet HBM demand</t>
  </si>
  <si>
    <t>Demand − produced</t>
  </si>
  <si>
    <t>HBM wafers required</t>
  </si>
  <si>
    <t>HBM bits ÷ (density × .012)</t>
  </si>
  <si>
    <t>DDR wafers remaining</t>
  </si>
  <si>
    <t>Total − HBM wafers</t>
  </si>
  <si>
    <t>DDR bits per wafer</t>
  </si>
  <si>
    <t>2027 density × (1 + node)</t>
  </si>
  <si>
    <t>DDR wpm × density × .012</t>
  </si>
  <si>
    <t>DDR gap</t>
  </si>
  <si>
    <t>Supply − demand</t>
  </si>
  <si>
    <t>Gap ÷ demand</t>
  </si>
  <si>
    <t>Required DDR wafers</t>
  </si>
  <si>
    <t>Demand ÷ (density × .012)</t>
  </si>
  <si>
    <t>Required total DRAM wafers</t>
  </si>
  <si>
    <t>DDR + HBM wafers</t>
  </si>
  <si>
    <t>Additional qualified wafers</t>
  </si>
  <si>
    <t>Required − effective total</t>
  </si>
  <si>
    <t>Max HBM output at DDR balance</t>
  </si>
  <si>
    <t>Residual after DDR</t>
  </si>
  <si>
    <t>HBM coverage at DDR balance</t>
  </si>
  <si>
    <t>Max HBM ÷ HBM demand</t>
  </si>
  <si>
    <t>2028 DDR sufficiency</t>
  </si>
  <si>
    <t>Year</t>
  </si>
  <si>
    <t>DDR demand</t>
  </si>
  <si>
    <t>Sufficiency</t>
  </si>
  <si>
    <t>2025</t>
  </si>
  <si>
    <t>2026E</t>
  </si>
  <si>
    <t>2027E</t>
  </si>
  <si>
    <t>2028E</t>
  </si>
  <si>
    <t>Sensitivity around the selected case</t>
  </si>
  <si>
    <t>TSMC and Intel change Low-NA feasibility, not wafer capacity.</t>
  </si>
  <si>
    <t>Low assumption</t>
  </si>
  <si>
    <t>Low output</t>
  </si>
  <si>
    <t>Selected</t>
  </si>
  <si>
    <t>Selected output</t>
  </si>
  <si>
    <t>High assumption</t>
  </si>
  <si>
    <t>High output</t>
  </si>
  <si>
    <t>Output basis</t>
  </si>
  <si>
    <t>HBM demand</t>
  </si>
  <si>
    <t>Total DRAM wafers</t>
  </si>
  <si>
    <t>Gross adds qualified</t>
  </si>
  <si>
    <t>Node uplift</t>
  </si>
  <si>
    <t>HBM density</t>
  </si>
  <si>
    <t>HBM served</t>
  </si>
  <si>
    <t>Guardrails, provenance and skeptic verdict</t>
  </si>
  <si>
    <t>Verdict: PARTIAL — directional, not precise; 2028 capacity, qualification and tool allocation remain unvalidated.</t>
  </si>
  <si>
    <t>Guardrail</t>
  </si>
  <si>
    <t>Model</t>
  </si>
  <si>
    <t>Independent</t>
  </si>
  <si>
    <t>Variance</t>
  </si>
  <si>
    <t>Basis</t>
  </si>
  <si>
    <t>Status</t>
  </si>
  <si>
    <t>Why it matters</t>
  </si>
  <si>
    <t>2027 HBM wafer level</t>
  </si>
  <si>
    <t>k wpm stock</t>
  </si>
  <si>
    <t>PASS</t>
  </si>
  <si>
    <t>Independent SemiAnalysis level; &lt;25% variance</t>
  </si>
  <si>
    <t>2027 total DRAM capacity</t>
  </si>
  <si>
    <t>Independent UBS vendor sum</t>
  </si>
  <si>
    <t>2028 total DRAM capacity</t>
  </si>
  <si>
    <t>n/a</t>
  </si>
  <si>
    <t>UNVALIDATED</t>
  </si>
  <si>
    <t>No independent 2028 anchor</t>
  </si>
  <si>
    <t>Low-NA memory flow</t>
  </si>
  <si>
    <t>tools/year flow</t>
  </si>
  <si>
    <t>WATCH</t>
  </si>
  <si>
    <t>Prior case comparator, not validation</t>
  </si>
  <si>
    <t>HBM demand cross-source</t>
  </si>
  <si>
    <t>bn Gb/year</t>
  </si>
  <si>
    <t>Low-NA / High-NA split</t>
  </si>
  <si>
    <t>Low-NA only</t>
  </si>
  <si>
    <t>tool-flow</t>
  </si>
  <si>
    <t>High-NA timing not converted</t>
  </si>
  <si>
    <t>Qualification timing</t>
  </si>
  <si>
    <t>share by YE</t>
  </si>
  <si>
    <t>No install/qualification curve</t>
  </si>
  <si>
    <t>Source ledger</t>
  </si>
  <si>
    <t>Datapoint</t>
  </si>
  <si>
    <t>Source</t>
  </si>
  <si>
    <t>Analyst</t>
  </si>
  <si>
    <t>Date</t>
  </si>
  <si>
    <t>Use</t>
  </si>
  <si>
    <t>ASML 2028 Low-NA plan</t>
  </si>
  <si>
    <t>110 tools</t>
  </si>
  <si>
    <t>ASML Q2 call</t>
  </si>
  <si>
    <t>Company</t>
  </si>
  <si>
    <t>15 Jul 2026</t>
  </si>
  <si>
    <t>Feasibility ceiling; realization PARTIAL</t>
  </si>
  <si>
    <t>TSMC 2027 EUV bookings</t>
  </si>
  <si>
    <t>40–45</t>
  </si>
  <si>
    <t>Redburn</t>
  </si>
  <si>
    <t>Conor O’Mara</t>
  </si>
  <si>
    <t>23 Jun 2026</t>
  </si>
  <si>
    <t>2028 allocation 50 is ESTIMATE</t>
  </si>
  <si>
    <t>Intel equipment orders</t>
  </si>
  <si>
    <t>+30–40%</t>
  </si>
  <si>
    <t>KeyBanc via Semiecosystem</t>
  </si>
  <si>
    <t>John Vinh</t>
  </si>
  <si>
    <t>24 Jul 2026</t>
  </si>
  <si>
    <t>Not EUV-specific</t>
  </si>
  <si>
    <t>Prior 2028 allocation</t>
  </si>
  <si>
    <t>112 total; TSMC45; Intel11; DRAM51</t>
  </si>
  <si>
    <t>Bristlemoon EUV model</t>
  </si>
  <si>
    <t>Bristlemoon</t>
  </si>
  <si>
    <t>Jun 2026</t>
  </si>
  <si>
    <t>Prior comparator</t>
  </si>
  <si>
    <t>HBM demand 2028</t>
  </si>
  <si>
    <t>78.3bn Gb</t>
  </si>
  <si>
    <t>Lower case</t>
  </si>
  <si>
    <t>≈109bn Gb</t>
  </si>
  <si>
    <t>Bernstein via Capstone</t>
  </si>
  <si>
    <t>Bernstein</t>
  </si>
  <si>
    <t>27 Jul 2026</t>
  </si>
  <si>
    <t>Updated high-XPU case</t>
  </si>
  <si>
    <t>Total DRAM 2027</t>
  </si>
  <si>
    <t>≈2,170k wpm</t>
  </si>
  <si>
    <t>UBS Memory Semis Monthly</t>
  </si>
  <si>
    <t>Nicolas Gaudois</t>
  </si>
  <si>
    <t>3 Jul 2026</t>
  </si>
  <si>
    <t>Independent level</t>
  </si>
  <si>
    <t>HBM capacity 2027</t>
  </si>
  <si>
    <t>668k wpm</t>
  </si>
  <si>
    <t>SemiAnalysis</t>
  </si>
  <si>
    <t>6 Feb 2026</t>
  </si>
  <si>
    <t>Capstone engine</t>
  </si>
  <si>
    <t>2,176k/2,480k wpm; 528.5bn Gb DDR</t>
  </si>
  <si>
    <t>Memory dashboard</t>
  </si>
  <si>
    <t>Capstone</t>
  </si>
  <si>
    <t>Core assumptions</t>
  </si>
  <si>
    <t>ASML Low-NA capacity plan / ceiling, 2028</t>
  </si>
  <si>
    <t>109bn Bernstein vs 78.3bn Bristlemoon; prior-house 80bn is shown separately in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</si>
</sst>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20"/>
      <color rgb="FF102A4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2A43"/>
      <name val="Calibri"/>
      <family val="2"/>
      <scheme val="minor"/>
    </font>
    <font>
      <sz val="11"/>
      <color rgb="FF102A43"/>
      <name val="Calibri"/>
      <family val="2"/>
      <scheme val="minor"/>
    </font>
    <font>
      <sz val="11"/>
      <color rgb="FF66788A"/>
      <name val="Calibri"/>
      <family val="2"/>
      <scheme val="minor"/>
    </font>
    <font>
      <b/>
      <sz val="11"/>
      <color rgb="FFC44536"/>
      <name val="Calibri"/>
      <family val="2"/>
      <scheme val="minor"/>
    </font>
    <font>
      <b/>
      <sz val="11"/>
      <color rgb="FF146C43"/>
      <name val="Calibri"/>
      <family val="2"/>
      <scheme val="minor"/>
    </font>
    <font>
      <b/>
      <sz val="11"/>
      <color rgb="FF8A5200"/>
      <name val="Calibri"/>
      <family val="2"/>
      <scheme val="minor"/>
    </font>
    <font>
      <b/>
      <sz val="11"/>
      <color rgb="FF1B5E9E"/>
      <name val="Calibri"/>
      <family val="2"/>
      <scheme val="minor"/>
    </font>
    <font>
      <b/>
      <sz val="11"/>
      <color rgb="FF145A7D"/>
      <name val="Calibri"/>
      <family val="2"/>
      <scheme val="minor"/>
    </font>
    <font>
      <b/>
      <sz val="11"/>
      <color rgb="FF2E8B57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F80ED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E7F1FF"/>
        <bgColor indexed="64"/>
      </patternFill>
    </fill>
    <fill>
      <patternFill patternType="solid">
        <fgColor rgb="FFFFF2D8"/>
        <bgColor indexed="64"/>
      </patternFill>
    </fill>
    <fill>
      <patternFill patternType="solid">
        <fgColor rgb="FFDFF3E7"/>
        <bgColor indexed="64"/>
      </patternFill>
    </fill>
    <fill>
      <patternFill patternType="solid">
        <fgColor rgb="FFFFF0C7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102A43"/>
        <bgColor indexed="64"/>
      </patternFill>
    </fill>
    <fill>
      <patternFill patternType="solid">
        <fgColor rgb="FFD9EEF8"/>
        <bgColor indexed="64"/>
      </patternFill>
    </fill>
    <fill>
      <patternFill patternType="solid">
        <fgColor rgb="FFE6F4EA"/>
        <bgColor indexed="64"/>
      </patternFill>
    </fill>
  </fills>
  <borders count="6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 style="dotted">
        <color rgb="FFC44536"/>
      </left>
      <right/>
      <top/>
      <bottom/>
      <diagonal/>
    </border>
    <border>
      <left style="thin">
        <color rgb="FF2F80ED"/>
      </left>
      <right style="thin">
        <color rgb="FF2F80ED"/>
      </right>
      <top style="thin">
        <color rgb="FF2F80ED"/>
      </top>
      <bottom style="thin">
        <color rgb="FF2F80ED"/>
      </bottom>
      <diagonal/>
    </border>
    <border>
      <left style="thin">
        <color rgb="FFF28C28"/>
      </left>
      <right style="thin">
        <color rgb="FFF28C28"/>
      </right>
      <top style="thin">
        <color rgb="FFF28C28"/>
      </top>
      <bottom style="thin">
        <color rgb="FFF28C2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vertical="center" wrapText="1"/>
    </xf>
    <xf numFmtId="0" fontId="3" fillId="5" borderId="4" xfId="0" applyFont="1" applyFill="1" applyBorder="1"/>
    <xf numFmtId="164" fontId="4" fillId="5" borderId="1" xfId="0" applyNumberFormat="1" applyFont="1" applyFill="1" applyBorder="1" applyAlignment="1">
      <alignment horizontal="right"/>
    </xf>
    <xf numFmtId="164" fontId="4" fillId="6" borderId="5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5" fillId="0" borderId="2" xfId="0" applyFont="1" applyBorder="1"/>
    <xf numFmtId="0" fontId="7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8" fillId="8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right"/>
    </xf>
    <xf numFmtId="0" fontId="11" fillId="1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1" fillId="0" borderId="0" xfId="0" applyFont="1"/>
    <xf numFmtId="0" fontId="2" fillId="10" borderId="0" xfId="0" applyFont="1" applyFill="1"/>
    <xf numFmtId="0" fontId="5" fillId="0" borderId="0" xfId="0" applyFont="1" applyAlignment="1">
      <alignment wrapText="1"/>
    </xf>
    <xf numFmtId="0" fontId="6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b/>
        <color rgb="FFC44536"/>
      </font>
      <fill>
        <patternFill>
          <bgColor rgb="FFFCE8E6"/>
        </patternFill>
      </fill>
      <border>
        <left style="dotted">
          <color rgb="FFC44536"/>
        </left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DDR supply vs demand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Model!$J$25</c:f>
              <c:strCache>
                <c:ptCount val="1"/>
                <c:pt idx="0">
                  <c:v>DDR supply</c:v>
                </c:pt>
              </c:strCache>
            </c:strRef>
          </c:tx>
          <c:spPr>
            <a:solidFill>
              <a:srgbClr val="3697F2"/>
            </a:solidFill>
          </c:spPr>
          <c:invertIfNegative val="0"/>
          <c:cat>
            <c:strRef>
              <c:f>Model!$I$26:$I$29</c:f>
              <c:strCache>
                <c:ptCount val="4"/>
                <c:pt idx="0">
                  <c:v>2025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Model!$J$26:$J$29</c:f>
              <c:numCache>
                <c:formatCode>#,##0.0</c:formatCode>
                <c:ptCount val="4"/>
                <c:pt idx="0">
                  <c:v>293</c:v>
                </c:pt>
                <c:pt idx="1">
                  <c:v>352.7</c:v>
                </c:pt>
                <c:pt idx="2">
                  <c:v>405.2</c:v>
                </c:pt>
                <c:pt idx="3">
                  <c:v>396.64735040000005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C-4137-94BC-E88E3044DB1F}"/>
            </c:ext>
          </c:extLst>
        </c:ser>
        <c:ser>
          <c:idx val="1"/>
          <c:order val="1"/>
          <c:tx>
            <c:strRef>
              <c:f>Model!$K$25</c:f>
              <c:strCache>
                <c:ptCount val="1"/>
                <c:pt idx="0">
                  <c:v>DDR demand</c:v>
                </c:pt>
              </c:strCache>
            </c:strRef>
          </c:tx>
          <c:spPr>
            <a:solidFill>
              <a:srgbClr val="F28C28"/>
            </a:solidFill>
          </c:spPr>
          <c:invertIfNegative val="0"/>
          <c:cat>
            <c:strRef>
              <c:f>Model!$I$26:$I$29</c:f>
              <c:strCache>
                <c:ptCount val="4"/>
                <c:pt idx="0">
                  <c:v>2025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Model!$K$26:$K$29</c:f>
              <c:numCache>
                <c:formatCode>#,##0.0</c:formatCode>
                <c:ptCount val="4"/>
                <c:pt idx="0">
                  <c:v>306.3</c:v>
                </c:pt>
                <c:pt idx="1">
                  <c:v>358.3</c:v>
                </c:pt>
                <c:pt idx="2">
                  <c:v>474.5</c:v>
                </c:pt>
                <c:pt idx="3">
                  <c:v>528.5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C-4137-94BC-E88E3044D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lineChart>
        <c:grouping val="standard"/>
        <c:varyColors val="0"/>
        <c:ser>
          <c:idx val="2"/>
          <c:order val="2"/>
          <c:tx>
            <c:strRef>
              <c:f>Model!$L$25</c:f>
              <c:strCache>
                <c:ptCount val="1"/>
                <c:pt idx="0">
                  <c:v>Sufficiency</c:v>
                </c:pt>
              </c:strCache>
            </c:strRef>
          </c:tx>
          <c:spPr>
            <a:ln>
              <a:solidFill>
                <a:srgbClr val="C44536"/>
              </a:solidFill>
            </a:ln>
          </c:spPr>
          <c:marker>
            <c:symbol val="none"/>
          </c:marker>
          <c:cat>
            <c:strRef>
              <c:f>Model!$I$26:$I$29</c:f>
              <c:strCache>
                <c:ptCount val="4"/>
                <c:pt idx="0">
                  <c:v>2025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Model!$L$26:$L$29</c:f>
              <c:numCache>
                <c:formatCode>0.0%</c:formatCode>
                <c:ptCount val="4"/>
                <c:pt idx="0">
                  <c:v>-4.2999999999999997E-2</c:v>
                </c:pt>
                <c:pt idx="1">
                  <c:v>-1.6E-2</c:v>
                </c:pt>
                <c:pt idx="2">
                  <c:v>-0.14599999999999999</c:v>
                </c:pt>
                <c:pt idx="3">
                  <c:v>-0.24948467284768203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3C-4137-94BC-E88E3044D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0001"/>
        <c:axId val="6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bn Gb</a:t>
                </a:r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10002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15</xdr:col>
      <xdr:colOff>457200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P1"/>
    </sheetView>
  </sheetViews>
  <sheetFormatPr defaultRowHeight="15" x14ac:dyDescent="0.25"/>
  <cols>
    <col min="1" max="1" width="18.7109375" customWidth="1"/>
    <col min="2" max="12" width="15.7109375" customWidth="1"/>
    <col min="13" max="16" width="17.7109375" customWidth="1"/>
  </cols>
  <sheetData>
    <row r="1" spans="1:16" ht="26.25" x14ac:dyDescent="0.4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3" spans="1:16" ht="45" x14ac:dyDescent="0.25">
      <c r="A3" s="1" t="s">
        <v>1</v>
      </c>
      <c r="B3" s="1" t="s">
        <v>211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25">
      <c r="A4" s="2" t="s">
        <v>16</v>
      </c>
      <c r="B4" s="3">
        <v>110</v>
      </c>
      <c r="C4" s="3">
        <v>50</v>
      </c>
      <c r="D4" s="3">
        <v>15</v>
      </c>
      <c r="E4" s="3">
        <v>5</v>
      </c>
      <c r="F4" s="3">
        <v>2480</v>
      </c>
      <c r="G4" s="4">
        <v>1</v>
      </c>
      <c r="H4" s="3">
        <v>109</v>
      </c>
      <c r="I4" s="4">
        <v>1</v>
      </c>
      <c r="J4" s="3">
        <v>8</v>
      </c>
      <c r="K4" s="4">
        <v>8.2000000000000003E-2</v>
      </c>
      <c r="L4" s="3">
        <v>528.5</v>
      </c>
      <c r="M4" s="3">
        <f>MAX(0,B4-C4-D4-E4)</f>
        <v>40</v>
      </c>
      <c r="N4" s="3">
        <f>(H4*I4)/(J4*0.012)</f>
        <v>1135.4166666666667</v>
      </c>
      <c r="O4" s="3">
        <f>MAX(0,(2176+(F4-2176)*G4)-N4)*(22.72*(1+K4))*0.012</f>
        <v>396.64735040000005</v>
      </c>
      <c r="P4" s="5">
        <f>O4/L4-1</f>
        <v>-0.24948467284768205</v>
      </c>
    </row>
    <row r="5" spans="1:16" x14ac:dyDescent="0.25">
      <c r="A5" s="2" t="s">
        <v>17</v>
      </c>
      <c r="B5" s="3">
        <v>112</v>
      </c>
      <c r="C5" s="3">
        <v>45</v>
      </c>
      <c r="D5" s="3">
        <v>11</v>
      </c>
      <c r="E5" s="3">
        <v>5</v>
      </c>
      <c r="F5" s="3">
        <v>2480</v>
      </c>
      <c r="G5" s="4">
        <v>1</v>
      </c>
      <c r="H5" s="3">
        <v>80</v>
      </c>
      <c r="I5" s="4">
        <v>0.83299999999999996</v>
      </c>
      <c r="J5" s="3">
        <v>8</v>
      </c>
      <c r="K5" s="4">
        <v>8.2000000000000003E-2</v>
      </c>
      <c r="L5" s="3">
        <v>528.5</v>
      </c>
      <c r="M5" s="3">
        <f>MAX(0,B5-C5-D5-E5)</f>
        <v>51</v>
      </c>
      <c r="N5" s="3">
        <f>(H5*I5)/(J5*0.012)</f>
        <v>694.16666666666663</v>
      </c>
      <c r="O5" s="3">
        <f>MAX(0,(2176+(F5-2176)*G5)-N5)*(22.72*(1+K5))*0.012</f>
        <v>526.81454719999999</v>
      </c>
      <c r="P5" s="5">
        <f>O5/L5-1</f>
        <v>-3.1891254493850996E-3</v>
      </c>
    </row>
    <row r="6" spans="1:16" x14ac:dyDescent="0.25">
      <c r="A6" s="2" t="s">
        <v>18</v>
      </c>
      <c r="B6" s="3">
        <v>110</v>
      </c>
      <c r="C6" s="3">
        <v>50</v>
      </c>
      <c r="D6" s="3">
        <v>15</v>
      </c>
      <c r="E6" s="3">
        <v>5</v>
      </c>
      <c r="F6" s="3">
        <v>2480</v>
      </c>
      <c r="G6" s="4">
        <v>1</v>
      </c>
      <c r="H6" s="3">
        <v>109</v>
      </c>
      <c r="I6" s="4">
        <v>0.6</v>
      </c>
      <c r="J6" s="3">
        <v>8</v>
      </c>
      <c r="K6" s="4">
        <v>8.2000000000000003E-2</v>
      </c>
      <c r="L6" s="3">
        <v>528.5</v>
      </c>
      <c r="M6" s="3">
        <f>MAX(0,B6-C6-D6-E6)</f>
        <v>40</v>
      </c>
      <c r="N6" s="3">
        <f>(H6*I6)/(J6*0.012)</f>
        <v>681.24999999999989</v>
      </c>
      <c r="O6" s="3">
        <f>MAX(0,(2176+(F6-2176)*G6)-N6)*(22.72*(1+K6))*0.012</f>
        <v>530.62491840000007</v>
      </c>
      <c r="P6" s="5">
        <f>O6/L6-1</f>
        <v>4.0206592242195693E-3</v>
      </c>
    </row>
    <row r="7" spans="1:16" x14ac:dyDescent="0.25">
      <c r="A7" s="2" t="s">
        <v>19</v>
      </c>
      <c r="B7" s="3">
        <v>120</v>
      </c>
      <c r="C7" s="3">
        <v>45</v>
      </c>
      <c r="D7" s="3">
        <v>12</v>
      </c>
      <c r="E7" s="3">
        <v>5</v>
      </c>
      <c r="F7" s="3">
        <v>2700</v>
      </c>
      <c r="G7" s="4">
        <v>1</v>
      </c>
      <c r="H7" s="3">
        <v>109</v>
      </c>
      <c r="I7" s="4">
        <v>1</v>
      </c>
      <c r="J7" s="3">
        <v>10</v>
      </c>
      <c r="K7" s="4">
        <v>0.12</v>
      </c>
      <c r="L7" s="3">
        <v>510</v>
      </c>
      <c r="M7" s="3">
        <f>MAX(0,B7-C7-D7-E7)</f>
        <v>58</v>
      </c>
      <c r="N7" s="3">
        <f>(H7*I7)/(J7*0.012)</f>
        <v>908.33333333333337</v>
      </c>
      <c r="O7" s="3">
        <f>MAX(0,(2176+(F7-2176)*G7)-N7)*(22.72*(1+K7))*0.012</f>
        <v>547.09760000000006</v>
      </c>
      <c r="P7" s="5">
        <f>O7/L7-1</f>
        <v>7.2740392156862788E-2</v>
      </c>
    </row>
    <row r="8" spans="1:16" x14ac:dyDescent="0.25">
      <c r="A8" s="2" t="s">
        <v>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</sheetData>
  <autoFilter ref="A3:P8" xr:uid="{00000000-0009-0000-0000-000000000000}"/>
  <mergeCells count="1">
    <mergeCell ref="A1:P1"/>
  </mergeCells>
  <pageMargins left="0.35" right="0.3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8"/>
  <sheetViews>
    <sheetView showGridLines="0" zoomScale="90" zoomScaleNormal="90" workbookViewId="0">
      <pane ySplit="7" topLeftCell="A8" activePane="bottomLeft" state="frozen"/>
      <selection pane="bottomLeft"/>
    </sheetView>
  </sheetViews>
  <sheetFormatPr defaultRowHeight="15" x14ac:dyDescent="0.25"/>
  <cols>
    <col min="1" max="1" width="37.7109375" customWidth="1"/>
    <col min="2" max="4" width="16.7109375" customWidth="1"/>
    <col min="5" max="5" width="15.7109375" customWidth="1"/>
    <col min="6" max="6" width="14.7109375" customWidth="1"/>
    <col min="7" max="7" width="62.7109375" customWidth="1"/>
    <col min="8" max="8" width="3.7109375" customWidth="1"/>
    <col min="9" max="15" width="13.7109375" customWidth="1"/>
  </cols>
  <sheetData>
    <row r="1" spans="1:13" ht="27.95" customHeight="1" x14ac:dyDescent="0.4">
      <c r="A1" s="21" t="s">
        <v>21</v>
      </c>
      <c r="B1" s="21"/>
      <c r="C1" s="21"/>
      <c r="D1" s="21"/>
      <c r="E1" s="21"/>
      <c r="F1" s="21"/>
      <c r="G1" s="21"/>
    </row>
    <row r="2" spans="1:13" ht="33.950000000000003" customHeight="1" x14ac:dyDescent="0.25">
      <c r="A2" s="23" t="s">
        <v>22</v>
      </c>
      <c r="B2" s="23"/>
      <c r="C2" s="23"/>
      <c r="D2" s="23"/>
      <c r="E2" s="23"/>
      <c r="F2" s="23"/>
      <c r="G2" s="23"/>
      <c r="I2" s="1" t="s">
        <v>103</v>
      </c>
      <c r="K2" s="1" t="s">
        <v>13</v>
      </c>
      <c r="M2" s="1" t="s">
        <v>101</v>
      </c>
    </row>
    <row r="3" spans="1:13" ht="38.1" customHeight="1" x14ac:dyDescent="0.25">
      <c r="A3" s="24" t="str">
        <f>IF($D$43&gt;=0,"YES — selected case: "&amp;TEXT($D$43,"0.0%")&amp;" DDR sufficiency.","NO — selected case: "&amp;TEXT($D$43,"0.0%")&amp;" DDR sufficiency.")</f>
        <v>NO — selected case: -25% DDR sufficiency.</v>
      </c>
      <c r="B3" s="24"/>
      <c r="C3" s="24"/>
      <c r="D3" s="24"/>
      <c r="E3" s="24"/>
      <c r="F3" s="24"/>
      <c r="G3" s="24"/>
      <c r="I3" s="5">
        <f>D43</f>
        <v>-0.24948467284768203</v>
      </c>
      <c r="K3" s="5">
        <f>D38/D35</f>
        <v>0.45782930107526887</v>
      </c>
      <c r="M3" s="5">
        <f>D48</f>
        <v>0.60634410202161615</v>
      </c>
    </row>
    <row r="5" spans="1:13" x14ac:dyDescent="0.25">
      <c r="A5" s="2" t="s">
        <v>23</v>
      </c>
      <c r="B5" s="7" t="s">
        <v>16</v>
      </c>
      <c r="D5" s="23" t="s">
        <v>24</v>
      </c>
      <c r="E5" s="23"/>
      <c r="F5" s="23"/>
      <c r="G5" s="23"/>
    </row>
    <row r="7" spans="1:13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</row>
    <row r="8" spans="1:13" ht="30" x14ac:dyDescent="0.25">
      <c r="A8" s="2" t="s">
        <v>211</v>
      </c>
      <c r="B8" s="8">
        <f>IF($B$5="Custom","",INDEX(Scenarios!$B$4:$L$8,MATCH($B$5,Scenarios!$A$4:$A$8,0),1))</f>
        <v>110</v>
      </c>
      <c r="C8" s="9"/>
      <c r="D8" s="10">
        <f t="shared" ref="D8:D18" si="0">IF(ISNUMBER(C8),C8,B8)</f>
        <v>110</v>
      </c>
      <c r="E8" s="11" t="s">
        <v>32</v>
      </c>
      <c r="F8" s="12" t="s">
        <v>33</v>
      </c>
      <c r="G8" s="13" t="s">
        <v>34</v>
      </c>
    </row>
    <row r="9" spans="1:13" x14ac:dyDescent="0.25">
      <c r="A9" s="2" t="s">
        <v>2</v>
      </c>
      <c r="B9" s="8">
        <f>IF($B$5="Custom","",INDEX(Scenarios!$B$4:$L$8,MATCH($B$5,Scenarios!$A$4:$A$8,0),2))</f>
        <v>50</v>
      </c>
      <c r="C9" s="9"/>
      <c r="D9" s="10">
        <f t="shared" si="0"/>
        <v>50</v>
      </c>
      <c r="E9" s="11" t="s">
        <v>32</v>
      </c>
      <c r="F9" s="14" t="s">
        <v>35</v>
      </c>
      <c r="G9" s="13" t="s">
        <v>36</v>
      </c>
    </row>
    <row r="10" spans="1:13" x14ac:dyDescent="0.25">
      <c r="A10" s="2" t="s">
        <v>3</v>
      </c>
      <c r="B10" s="8">
        <f>IF($B$5="Custom","",INDEX(Scenarios!$B$4:$L$8,MATCH($B$5,Scenarios!$A$4:$A$8,0),3))</f>
        <v>15</v>
      </c>
      <c r="C10" s="9"/>
      <c r="D10" s="10">
        <f t="shared" si="0"/>
        <v>15</v>
      </c>
      <c r="E10" s="11" t="s">
        <v>32</v>
      </c>
      <c r="F10" s="14" t="s">
        <v>35</v>
      </c>
      <c r="G10" s="13" t="s">
        <v>37</v>
      </c>
    </row>
    <row r="11" spans="1:13" x14ac:dyDescent="0.25">
      <c r="A11" s="2" t="s">
        <v>38</v>
      </c>
      <c r="B11" s="8">
        <f>IF($B$5="Custom","",INDEX(Scenarios!$B$4:$L$8,MATCH($B$5,Scenarios!$A$4:$A$8,0),4))</f>
        <v>5</v>
      </c>
      <c r="C11" s="9"/>
      <c r="D11" s="10">
        <f t="shared" si="0"/>
        <v>5</v>
      </c>
      <c r="E11" s="11" t="s">
        <v>32</v>
      </c>
      <c r="F11" s="15" t="s">
        <v>39</v>
      </c>
      <c r="G11" s="13" t="s">
        <v>40</v>
      </c>
    </row>
    <row r="12" spans="1:13" ht="30" x14ac:dyDescent="0.25">
      <c r="A12" s="2" t="s">
        <v>5</v>
      </c>
      <c r="B12" s="8">
        <f>IF($B$5="Custom","",INDEX(Scenarios!$B$4:$L$8,MATCH($B$5,Scenarios!$A$4:$A$8,0),5))</f>
        <v>2480</v>
      </c>
      <c r="C12" s="9"/>
      <c r="D12" s="10">
        <f t="shared" si="0"/>
        <v>2480</v>
      </c>
      <c r="E12" s="11" t="s">
        <v>41</v>
      </c>
      <c r="F12" s="14" t="s">
        <v>35</v>
      </c>
      <c r="G12" s="13" t="s">
        <v>42</v>
      </c>
    </row>
    <row r="13" spans="1:13" x14ac:dyDescent="0.25">
      <c r="A13" s="2" t="s">
        <v>6</v>
      </c>
      <c r="B13" s="4">
        <f>IF($B$5="Custom","",INDEX(Scenarios!$B$4:$L$8,MATCH($B$5,Scenarios!$A$4:$A$8,0),6))</f>
        <v>1</v>
      </c>
      <c r="C13" s="4"/>
      <c r="D13" s="4">
        <f t="shared" si="0"/>
        <v>1</v>
      </c>
      <c r="E13" s="11" t="s">
        <v>43</v>
      </c>
      <c r="F13" s="14" t="s">
        <v>35</v>
      </c>
      <c r="G13" s="13" t="s">
        <v>44</v>
      </c>
    </row>
    <row r="14" spans="1:13" ht="30" x14ac:dyDescent="0.25">
      <c r="A14" s="2" t="s">
        <v>7</v>
      </c>
      <c r="B14" s="8">
        <f>IF($B$5="Custom","",INDEX(Scenarios!$B$4:$L$8,MATCH($B$5,Scenarios!$A$4:$A$8,0),7))</f>
        <v>109</v>
      </c>
      <c r="C14" s="9"/>
      <c r="D14" s="10">
        <f t="shared" si="0"/>
        <v>109</v>
      </c>
      <c r="E14" s="11" t="s">
        <v>45</v>
      </c>
      <c r="F14" s="15" t="s">
        <v>39</v>
      </c>
      <c r="G14" s="13" t="s">
        <v>46</v>
      </c>
    </row>
    <row r="15" spans="1:13" x14ac:dyDescent="0.25">
      <c r="A15" s="2" t="s">
        <v>8</v>
      </c>
      <c r="B15" s="4">
        <f>IF($B$5="Custom","",INDEX(Scenarios!$B$4:$L$8,MATCH($B$5,Scenarios!$A$4:$A$8,0),8))</f>
        <v>1</v>
      </c>
      <c r="C15" s="4"/>
      <c r="D15" s="4">
        <f t="shared" si="0"/>
        <v>1</v>
      </c>
      <c r="E15" s="11" t="s">
        <v>43</v>
      </c>
      <c r="F15" s="14" t="s">
        <v>35</v>
      </c>
      <c r="G15" s="13" t="s">
        <v>47</v>
      </c>
    </row>
    <row r="16" spans="1:13" x14ac:dyDescent="0.25">
      <c r="A16" s="2" t="s">
        <v>9</v>
      </c>
      <c r="B16" s="8">
        <f>IF($B$5="Custom","",INDEX(Scenarios!$B$4:$L$8,MATCH($B$5,Scenarios!$A$4:$A$8,0),9))</f>
        <v>8</v>
      </c>
      <c r="C16" s="9"/>
      <c r="D16" s="10">
        <f t="shared" si="0"/>
        <v>8</v>
      </c>
      <c r="E16" s="11" t="s">
        <v>48</v>
      </c>
      <c r="F16" s="14" t="s">
        <v>35</v>
      </c>
      <c r="G16" s="13" t="s">
        <v>49</v>
      </c>
    </row>
    <row r="17" spans="1:12" x14ac:dyDescent="0.25">
      <c r="A17" s="2" t="s">
        <v>10</v>
      </c>
      <c r="B17" s="4">
        <f>IF($B$5="Custom","",INDEX(Scenarios!$B$4:$L$8,MATCH($B$5,Scenarios!$A$4:$A$8,0),10))</f>
        <v>8.2000000000000003E-2</v>
      </c>
      <c r="C17" s="4"/>
      <c r="D17" s="4">
        <f t="shared" si="0"/>
        <v>8.2000000000000003E-2</v>
      </c>
      <c r="E17" s="11" t="s">
        <v>43</v>
      </c>
      <c r="F17" s="14" t="s">
        <v>35</v>
      </c>
      <c r="G17" s="13" t="s">
        <v>49</v>
      </c>
    </row>
    <row r="18" spans="1:12" x14ac:dyDescent="0.25">
      <c r="A18" s="2" t="s">
        <v>11</v>
      </c>
      <c r="B18" s="8">
        <f>IF($B$5="Custom","",INDEX(Scenarios!$B$4:$L$8,MATCH($B$5,Scenarios!$A$4:$A$8,0),11))</f>
        <v>528.5</v>
      </c>
      <c r="C18" s="9"/>
      <c r="D18" s="10">
        <f t="shared" si="0"/>
        <v>528.5</v>
      </c>
      <c r="E18" s="11" t="s">
        <v>45</v>
      </c>
      <c r="F18" s="14" t="s">
        <v>35</v>
      </c>
      <c r="G18" s="13" t="s">
        <v>49</v>
      </c>
    </row>
    <row r="20" spans="1:12" x14ac:dyDescent="0.25">
      <c r="A20" s="22" t="s">
        <v>50</v>
      </c>
      <c r="B20" s="22"/>
      <c r="C20" s="22"/>
      <c r="D20" s="22"/>
      <c r="E20" s="22"/>
      <c r="F20" s="22"/>
      <c r="G20" s="22"/>
    </row>
    <row r="21" spans="1:12" x14ac:dyDescent="0.25">
      <c r="A21" s="1" t="s">
        <v>51</v>
      </c>
      <c r="B21" s="1"/>
      <c r="C21" s="1"/>
      <c r="D21" s="1" t="s">
        <v>52</v>
      </c>
      <c r="E21" s="1" t="s">
        <v>29</v>
      </c>
      <c r="F21" s="1" t="s">
        <v>30</v>
      </c>
      <c r="G21" s="1" t="s">
        <v>31</v>
      </c>
    </row>
    <row r="22" spans="1:12" x14ac:dyDescent="0.25">
      <c r="A22" s="2" t="s">
        <v>53</v>
      </c>
      <c r="B22" s="6"/>
      <c r="C22" s="6"/>
      <c r="D22" s="3">
        <v>2176</v>
      </c>
      <c r="E22" s="11" t="s">
        <v>41</v>
      </c>
      <c r="F22" s="16" t="s">
        <v>54</v>
      </c>
      <c r="G22" s="13" t="s">
        <v>55</v>
      </c>
    </row>
    <row r="23" spans="1:12" x14ac:dyDescent="0.25">
      <c r="A23" s="2" t="s">
        <v>56</v>
      </c>
      <c r="B23" s="6"/>
      <c r="C23" s="6"/>
      <c r="D23" s="3">
        <v>22.72</v>
      </c>
      <c r="E23" s="11" t="s">
        <v>48</v>
      </c>
      <c r="F23" s="16" t="s">
        <v>54</v>
      </c>
      <c r="G23" s="13" t="s">
        <v>57</v>
      </c>
    </row>
    <row r="24" spans="1:12" x14ac:dyDescent="0.25">
      <c r="A24" s="2" t="s">
        <v>58</v>
      </c>
      <c r="B24" s="6"/>
      <c r="C24" s="6"/>
      <c r="D24" s="3">
        <v>1.2E-2</v>
      </c>
      <c r="E24" s="11" t="s">
        <v>59</v>
      </c>
      <c r="F24" s="12" t="s">
        <v>33</v>
      </c>
      <c r="G24" s="13" t="s">
        <v>60</v>
      </c>
    </row>
    <row r="25" spans="1:12" ht="30" x14ac:dyDescent="0.25">
      <c r="A25" s="2" t="s">
        <v>61</v>
      </c>
      <c r="B25" s="6"/>
      <c r="C25" s="6"/>
      <c r="D25" s="3">
        <v>51</v>
      </c>
      <c r="E25" s="11" t="s">
        <v>32</v>
      </c>
      <c r="F25" s="15" t="s">
        <v>39</v>
      </c>
      <c r="G25" s="13" t="s">
        <v>62</v>
      </c>
      <c r="I25" s="1" t="s">
        <v>104</v>
      </c>
      <c r="J25" s="1" t="s">
        <v>14</v>
      </c>
      <c r="K25" s="1" t="s">
        <v>105</v>
      </c>
      <c r="L25" s="1" t="s">
        <v>106</v>
      </c>
    </row>
    <row r="26" spans="1:12" x14ac:dyDescent="0.25">
      <c r="A26" s="2" t="s">
        <v>63</v>
      </c>
      <c r="B26" s="6"/>
      <c r="C26" s="6"/>
      <c r="D26" s="3">
        <v>668</v>
      </c>
      <c r="E26" s="11" t="s">
        <v>41</v>
      </c>
      <c r="F26" s="12" t="s">
        <v>33</v>
      </c>
      <c r="G26" s="13" t="s">
        <v>64</v>
      </c>
      <c r="I26" s="6" t="s">
        <v>107</v>
      </c>
      <c r="J26" s="3">
        <v>293</v>
      </c>
      <c r="K26" s="3">
        <v>306.3</v>
      </c>
      <c r="L26" s="4">
        <v>-4.2999999999999997E-2</v>
      </c>
    </row>
    <row r="27" spans="1:12" x14ac:dyDescent="0.25">
      <c r="A27" s="2" t="s">
        <v>65</v>
      </c>
      <c r="B27" s="6"/>
      <c r="C27" s="6"/>
      <c r="D27" s="3">
        <v>690</v>
      </c>
      <c r="E27" s="11" t="s">
        <v>41</v>
      </c>
      <c r="F27" s="16" t="s">
        <v>54</v>
      </c>
      <c r="G27" s="13" t="s">
        <v>57</v>
      </c>
      <c r="I27" s="6" t="s">
        <v>108</v>
      </c>
      <c r="J27" s="3">
        <v>352.7</v>
      </c>
      <c r="K27" s="3">
        <v>358.3</v>
      </c>
      <c r="L27" s="4">
        <v>-1.6E-2</v>
      </c>
    </row>
    <row r="28" spans="1:12" x14ac:dyDescent="0.25">
      <c r="A28" s="2" t="s">
        <v>66</v>
      </c>
      <c r="B28" s="6"/>
      <c r="C28" s="6"/>
      <c r="D28" s="3">
        <v>2170</v>
      </c>
      <c r="E28" s="11" t="s">
        <v>41</v>
      </c>
      <c r="F28" s="15" t="s">
        <v>39</v>
      </c>
      <c r="G28" s="13" t="s">
        <v>67</v>
      </c>
      <c r="I28" s="6" t="s">
        <v>109</v>
      </c>
      <c r="J28" s="3">
        <v>405.2</v>
      </c>
      <c r="K28" s="3">
        <v>474.5</v>
      </c>
      <c r="L28" s="4">
        <v>-0.14599999999999999</v>
      </c>
    </row>
    <row r="29" spans="1:12" x14ac:dyDescent="0.25">
      <c r="I29" s="6" t="s">
        <v>110</v>
      </c>
      <c r="J29" s="3">
        <f>D41</f>
        <v>396.64735040000005</v>
      </c>
      <c r="K29" s="3">
        <f>D18</f>
        <v>528.5</v>
      </c>
      <c r="L29" s="4">
        <f>D43</f>
        <v>-0.24948467284768203</v>
      </c>
    </row>
    <row r="30" spans="1:12" x14ac:dyDescent="0.25">
      <c r="A30" s="22" t="s">
        <v>68</v>
      </c>
      <c r="B30" s="22"/>
      <c r="C30" s="22"/>
      <c r="D30" s="22"/>
      <c r="E30" s="22"/>
      <c r="F30" s="22"/>
      <c r="G30" s="22"/>
    </row>
    <row r="31" spans="1:12" x14ac:dyDescent="0.25">
      <c r="A31" s="1" t="s">
        <v>69</v>
      </c>
      <c r="B31" s="1"/>
      <c r="C31" s="1"/>
      <c r="D31" s="1" t="s">
        <v>52</v>
      </c>
      <c r="E31" s="1" t="s">
        <v>29</v>
      </c>
      <c r="F31" s="1" t="s">
        <v>30</v>
      </c>
      <c r="G31" s="1" t="s">
        <v>70</v>
      </c>
    </row>
    <row r="32" spans="1:12" x14ac:dyDescent="0.25">
      <c r="A32" s="2" t="s">
        <v>71</v>
      </c>
      <c r="B32" s="6"/>
      <c r="C32" s="6"/>
      <c r="D32" s="17">
        <f>MAX(0,D8-D9-D10-D11)</f>
        <v>40</v>
      </c>
      <c r="E32" s="11" t="s">
        <v>32</v>
      </c>
      <c r="F32" s="14" t="s">
        <v>35</v>
      </c>
      <c r="G32" s="13" t="s">
        <v>72</v>
      </c>
    </row>
    <row r="33" spans="1:7" x14ac:dyDescent="0.25">
      <c r="A33" s="2" t="s">
        <v>73</v>
      </c>
      <c r="B33" s="6"/>
      <c r="C33" s="6"/>
      <c r="D33" s="17">
        <f>D12-D22</f>
        <v>304</v>
      </c>
      <c r="E33" s="11" t="s">
        <v>41</v>
      </c>
      <c r="F33" s="14" t="s">
        <v>35</v>
      </c>
      <c r="G33" s="13" t="s">
        <v>74</v>
      </c>
    </row>
    <row r="34" spans="1:7" x14ac:dyDescent="0.25">
      <c r="A34" s="2" t="s">
        <v>75</v>
      </c>
      <c r="B34" s="6"/>
      <c r="C34" s="6"/>
      <c r="D34" s="17">
        <f>D33*D13</f>
        <v>304</v>
      </c>
      <c r="E34" s="11" t="s">
        <v>41</v>
      </c>
      <c r="F34" s="14" t="s">
        <v>35</v>
      </c>
      <c r="G34" s="13" t="s">
        <v>76</v>
      </c>
    </row>
    <row r="35" spans="1:7" x14ac:dyDescent="0.25">
      <c r="A35" s="2" t="s">
        <v>77</v>
      </c>
      <c r="B35" s="6"/>
      <c r="C35" s="6"/>
      <c r="D35" s="17">
        <f>D22+D34</f>
        <v>2480</v>
      </c>
      <c r="E35" s="11" t="s">
        <v>41</v>
      </c>
      <c r="F35" s="14" t="s">
        <v>35</v>
      </c>
      <c r="G35" s="13" t="s">
        <v>78</v>
      </c>
    </row>
    <row r="36" spans="1:7" x14ac:dyDescent="0.25">
      <c r="A36" s="2" t="s">
        <v>79</v>
      </c>
      <c r="B36" s="6"/>
      <c r="C36" s="6"/>
      <c r="D36" s="17">
        <f>D14*D15</f>
        <v>109</v>
      </c>
      <c r="E36" s="11" t="s">
        <v>45</v>
      </c>
      <c r="F36" s="14" t="s">
        <v>35</v>
      </c>
      <c r="G36" s="13" t="s">
        <v>80</v>
      </c>
    </row>
    <row r="37" spans="1:7" x14ac:dyDescent="0.25">
      <c r="A37" s="2" t="s">
        <v>81</v>
      </c>
      <c r="B37" s="6"/>
      <c r="C37" s="6"/>
      <c r="D37" s="17">
        <f>MAX(0,D14-D36)</f>
        <v>0</v>
      </c>
      <c r="E37" s="11" t="s">
        <v>45</v>
      </c>
      <c r="F37" s="14" t="s">
        <v>35</v>
      </c>
      <c r="G37" s="13" t="s">
        <v>82</v>
      </c>
    </row>
    <row r="38" spans="1:7" x14ac:dyDescent="0.25">
      <c r="A38" s="2" t="s">
        <v>83</v>
      </c>
      <c r="B38" s="6"/>
      <c r="C38" s="6"/>
      <c r="D38" s="17">
        <f>D36/(D16*D24)</f>
        <v>1135.4166666666667</v>
      </c>
      <c r="E38" s="11" t="s">
        <v>41</v>
      </c>
      <c r="F38" s="14" t="s">
        <v>35</v>
      </c>
      <c r="G38" s="13" t="s">
        <v>84</v>
      </c>
    </row>
    <row r="39" spans="1:7" x14ac:dyDescent="0.25">
      <c r="A39" s="2" t="s">
        <v>85</v>
      </c>
      <c r="B39" s="6"/>
      <c r="C39" s="6"/>
      <c r="D39" s="17">
        <f>MAX(0,D35-D38)</f>
        <v>1344.5833333333333</v>
      </c>
      <c r="E39" s="11" t="s">
        <v>41</v>
      </c>
      <c r="F39" s="14" t="s">
        <v>35</v>
      </c>
      <c r="G39" s="13" t="s">
        <v>86</v>
      </c>
    </row>
    <row r="40" spans="1:7" x14ac:dyDescent="0.25">
      <c r="A40" s="2" t="s">
        <v>87</v>
      </c>
      <c r="B40" s="6"/>
      <c r="C40" s="6"/>
      <c r="D40" s="17">
        <f>D23*(1+D17)</f>
        <v>24.58304</v>
      </c>
      <c r="E40" s="11" t="s">
        <v>48</v>
      </c>
      <c r="F40" s="14" t="s">
        <v>35</v>
      </c>
      <c r="G40" s="13" t="s">
        <v>88</v>
      </c>
    </row>
    <row r="41" spans="1:7" x14ac:dyDescent="0.25">
      <c r="A41" s="2" t="s">
        <v>14</v>
      </c>
      <c r="B41" s="6"/>
      <c r="C41" s="6"/>
      <c r="D41" s="17">
        <f>D39*D40*D24</f>
        <v>396.64735040000005</v>
      </c>
      <c r="E41" s="11" t="s">
        <v>45</v>
      </c>
      <c r="F41" s="14" t="s">
        <v>35</v>
      </c>
      <c r="G41" s="13" t="s">
        <v>89</v>
      </c>
    </row>
    <row r="42" spans="1:7" x14ac:dyDescent="0.25">
      <c r="A42" s="2" t="s">
        <v>90</v>
      </c>
      <c r="B42" s="6"/>
      <c r="C42" s="6"/>
      <c r="D42" s="17">
        <f>D41-D18</f>
        <v>-131.85264959999995</v>
      </c>
      <c r="E42" s="11" t="s">
        <v>45</v>
      </c>
      <c r="F42" s="14" t="s">
        <v>35</v>
      </c>
      <c r="G42" s="13" t="s">
        <v>91</v>
      </c>
    </row>
    <row r="43" spans="1:7" x14ac:dyDescent="0.25">
      <c r="A43" s="2" t="s">
        <v>15</v>
      </c>
      <c r="B43" s="6"/>
      <c r="C43" s="6"/>
      <c r="D43" s="5">
        <f>D42/D18</f>
        <v>-0.24948467284768203</v>
      </c>
      <c r="E43" s="11" t="s">
        <v>43</v>
      </c>
      <c r="F43" s="14" t="s">
        <v>35</v>
      </c>
      <c r="G43" s="13" t="s">
        <v>92</v>
      </c>
    </row>
    <row r="44" spans="1:7" x14ac:dyDescent="0.25">
      <c r="A44" s="2" t="s">
        <v>93</v>
      </c>
      <c r="B44" s="6"/>
      <c r="C44" s="6"/>
      <c r="D44" s="17">
        <f>D18/(D40*D24)</f>
        <v>1791.5468008296234</v>
      </c>
      <c r="E44" s="11" t="s">
        <v>41</v>
      </c>
      <c r="F44" s="14" t="s">
        <v>35</v>
      </c>
      <c r="G44" s="13" t="s">
        <v>94</v>
      </c>
    </row>
    <row r="45" spans="1:7" x14ac:dyDescent="0.25">
      <c r="A45" s="2" t="s">
        <v>95</v>
      </c>
      <c r="B45" s="6"/>
      <c r="C45" s="6"/>
      <c r="D45" s="17">
        <f>D44+D38</f>
        <v>2926.9634674962899</v>
      </c>
      <c r="E45" s="11" t="s">
        <v>41</v>
      </c>
      <c r="F45" s="14" t="s">
        <v>35</v>
      </c>
      <c r="G45" s="13" t="s">
        <v>96</v>
      </c>
    </row>
    <row r="46" spans="1:7" x14ac:dyDescent="0.25">
      <c r="A46" s="2" t="s">
        <v>97</v>
      </c>
      <c r="B46" s="6"/>
      <c r="C46" s="6"/>
      <c r="D46" s="17">
        <f>D45-D35</f>
        <v>446.96346749628992</v>
      </c>
      <c r="E46" s="11" t="s">
        <v>41</v>
      </c>
      <c r="F46" s="14" t="s">
        <v>35</v>
      </c>
      <c r="G46" s="13" t="s">
        <v>98</v>
      </c>
    </row>
    <row r="47" spans="1:7" x14ac:dyDescent="0.25">
      <c r="A47" s="2" t="s">
        <v>99</v>
      </c>
      <c r="B47" s="6"/>
      <c r="C47" s="6"/>
      <c r="D47" s="17">
        <f>MAX(0,D35-D44)*D16*D24</f>
        <v>66.091507120356155</v>
      </c>
      <c r="E47" s="11" t="s">
        <v>45</v>
      </c>
      <c r="F47" s="14" t="s">
        <v>35</v>
      </c>
      <c r="G47" s="13" t="s">
        <v>100</v>
      </c>
    </row>
    <row r="48" spans="1:7" x14ac:dyDescent="0.25">
      <c r="A48" s="2" t="s">
        <v>101</v>
      </c>
      <c r="B48" s="6"/>
      <c r="C48" s="6"/>
      <c r="D48" s="5">
        <f>D47/D14</f>
        <v>0.60634410202161615</v>
      </c>
      <c r="E48" s="11" t="s">
        <v>43</v>
      </c>
      <c r="F48" s="14" t="s">
        <v>35</v>
      </c>
      <c r="G48" s="13" t="s">
        <v>102</v>
      </c>
    </row>
  </sheetData>
  <mergeCells count="6">
    <mergeCell ref="A30:G30"/>
    <mergeCell ref="A1:G1"/>
    <mergeCell ref="A2:G2"/>
    <mergeCell ref="A3:G3"/>
    <mergeCell ref="D5:G5"/>
    <mergeCell ref="A20:G20"/>
  </mergeCells>
  <conditionalFormatting sqref="D43">
    <cfRule type="cellIs" dxfId="0" priority="1" operator="lessThan">
      <formula>0</formula>
    </cfRule>
  </conditionalFormatting>
  <dataValidations count="11">
    <dataValidation type="decimal" allowBlank="1" showInputMessage="1" showErrorMessage="1" sqref="C8" xr:uid="{00000000-0002-0000-0100-000001000000}">
      <formula1>95</formula1>
      <formula2>130</formula2>
    </dataValidation>
    <dataValidation type="decimal" allowBlank="1" showInputMessage="1" showErrorMessage="1" sqref="C9" xr:uid="{00000000-0002-0000-0100-000002000000}">
      <formula1>40</formula1>
      <formula2>55</formula2>
    </dataValidation>
    <dataValidation type="decimal" allowBlank="1" showInputMessage="1" showErrorMessage="1" sqref="C10" xr:uid="{00000000-0002-0000-0100-000003000000}">
      <formula1>8</formula1>
      <formula2>20</formula2>
    </dataValidation>
    <dataValidation type="decimal" allowBlank="1" showInputMessage="1" showErrorMessage="1" sqref="C11" xr:uid="{00000000-0002-0000-0100-000004000000}">
      <formula1>0</formula1>
      <formula2>10</formula2>
    </dataValidation>
    <dataValidation type="decimal" allowBlank="1" showInputMessage="1" showErrorMessage="1" sqref="C12" xr:uid="{00000000-0002-0000-0100-000005000000}">
      <formula1>2200</formula1>
      <formula2>3000</formula2>
    </dataValidation>
    <dataValidation type="decimal" allowBlank="1" showInputMessage="1" showErrorMessage="1" sqref="C13" xr:uid="{00000000-0002-0000-0100-000006000000}">
      <formula1>0.6</formula1>
      <formula2>1</formula2>
    </dataValidation>
    <dataValidation type="decimal" allowBlank="1" showInputMessage="1" showErrorMessage="1" sqref="C14" xr:uid="{00000000-0002-0000-0100-000007000000}">
      <formula1>90</formula1>
      <formula2>120</formula2>
    </dataValidation>
    <dataValidation type="decimal" allowBlank="1" showInputMessage="1" showErrorMessage="1" sqref="C15" xr:uid="{00000000-0002-0000-0100-000008000000}">
      <formula1>0.5</formula1>
      <formula2>1</formula2>
    </dataValidation>
    <dataValidation type="decimal" allowBlank="1" showInputMessage="1" showErrorMessage="1" sqref="C16" xr:uid="{00000000-0002-0000-0100-000009000000}">
      <formula1>7</formula1>
      <formula2>10</formula2>
    </dataValidation>
    <dataValidation type="decimal" allowBlank="1" showInputMessage="1" showErrorMessage="1" sqref="C17" xr:uid="{00000000-0002-0000-0100-00000A000000}">
      <formula1>0.05</formula1>
      <formula2>0.12</formula2>
    </dataValidation>
    <dataValidation type="decimal" allowBlank="1" showInputMessage="1" showErrorMessage="1" sqref="C18" xr:uid="{00000000-0002-0000-0100-00000B000000}">
      <formula1>500</formula1>
      <formula2>560</formula2>
    </dataValidation>
  </dataValidations>
  <pageMargins left="0.35" right="0.35" top="0.5" bottom="0.5" header="0.3" footer="0.3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Scenarios!$A$4:$A$8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30.7109375" customWidth="1"/>
    <col min="2" max="7" width="17.7109375" customWidth="1"/>
    <col min="8" max="8" width="42.7109375" customWidth="1"/>
  </cols>
  <sheetData>
    <row r="1" spans="1:8" ht="26.25" x14ac:dyDescent="0.4">
      <c r="A1" s="21" t="s">
        <v>111</v>
      </c>
      <c r="B1" s="21"/>
      <c r="C1" s="21"/>
      <c r="D1" s="21"/>
      <c r="E1" s="21"/>
      <c r="F1" s="21"/>
      <c r="G1" s="21"/>
      <c r="H1" s="21"/>
    </row>
    <row r="2" spans="1:8" x14ac:dyDescent="0.25">
      <c r="A2" s="23" t="s">
        <v>112</v>
      </c>
      <c r="B2" s="23"/>
      <c r="C2" s="23"/>
      <c r="D2" s="23"/>
      <c r="E2" s="23"/>
      <c r="F2" s="23"/>
      <c r="G2" s="23"/>
      <c r="H2" s="23"/>
    </row>
    <row r="3" spans="1:8" x14ac:dyDescent="0.25">
      <c r="A3" s="1" t="s">
        <v>25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</row>
    <row r="4" spans="1:8" x14ac:dyDescent="0.25">
      <c r="A4" s="2" t="s">
        <v>120</v>
      </c>
      <c r="B4" s="3">
        <v>90</v>
      </c>
      <c r="C4" s="5">
        <f>MAX(0,(Model!$D$22+(Model!$D$12-Model!$D$22)*Model!$D$13)-((B4*Model!$D$15)/(Model!$D$16*Model!$D$24)))*(Model!$D$23*(1+Model!$D$17))*Model!$D$24/Model!$D$18-1</f>
        <v>-0.1390121657521286</v>
      </c>
      <c r="D4" s="3">
        <f>Model!$D$14</f>
        <v>109</v>
      </c>
      <c r="E4" s="5">
        <f>MAX(0,(Model!$D$22+(Model!$D$12-Model!$D$22)*Model!$D$13)-((D4*Model!$D$15)/(Model!$D$16*Model!$D$24)))*(Model!$D$23*(1+Model!$D$17))*Model!$D$24/Model!$D$18-1</f>
        <v>-0.24948467284768205</v>
      </c>
      <c r="F4" s="3">
        <v>120</v>
      </c>
      <c r="G4" s="5">
        <f>MAX(0,(Model!$D$22+(Model!$D$12-Model!$D$22)*Model!$D$13)-((F4*Model!$D$15)/(Model!$D$16*Model!$D$24)))*(Model!$D$23*(1+Model!$D$17))*Model!$D$24/Model!$D$18-1</f>
        <v>-0.31344244011352884</v>
      </c>
      <c r="H4" s="13" t="s">
        <v>15</v>
      </c>
    </row>
    <row r="5" spans="1:8" x14ac:dyDescent="0.25">
      <c r="A5" s="2" t="s">
        <v>121</v>
      </c>
      <c r="B5" s="3">
        <v>2300</v>
      </c>
      <c r="C5" s="5">
        <f>MAX(0,(Model!$D$22+(B5-Model!$D$22)*Model!$D$13)-((Model!$D$14*Model!$D$15)/(Model!$D$16*Model!$D$24)))*(Model!$D$23*(1+Model!$D$17))*Model!$D$24/Model!$D$18-1</f>
        <v>-0.34995651087984869</v>
      </c>
      <c r="D5" s="3">
        <f>Model!$D$12</f>
        <v>2480</v>
      </c>
      <c r="E5" s="5">
        <f>MAX(0,(Model!$D$22+(D5-Model!$D$22)*Model!$D$13)-((Model!$D$14*Model!$D$15)/(Model!$D$16*Model!$D$24)))*(Model!$D$23*(1+Model!$D$17))*Model!$D$24/Model!$D$18-1</f>
        <v>-0.24948467284768205</v>
      </c>
      <c r="F5" s="3">
        <v>2800</v>
      </c>
      <c r="G5" s="5">
        <f>MAX(0,(Model!$D$22+(F5-Model!$D$22)*Model!$D$13)-((Model!$D$14*Model!$D$15)/(Model!$D$16*Model!$D$24)))*(Model!$D$23*(1+Model!$D$17))*Model!$D$24/Model!$D$18-1</f>
        <v>-7.0868071901608376E-2</v>
      </c>
      <c r="H5" s="13" t="s">
        <v>15</v>
      </c>
    </row>
    <row r="6" spans="1:8" x14ac:dyDescent="0.25">
      <c r="A6" s="2" t="s">
        <v>122</v>
      </c>
      <c r="B6" s="4">
        <v>0.7</v>
      </c>
      <c r="C6" s="5">
        <f>MAX(0,(Model!$D$22+(Model!$D$12-Model!$D$22)*B6)-((Model!$D$14*Model!$D$15)/(Model!$D$16*Model!$D$24)))*(Model!$D$23*(1+Model!$D$17))*Model!$D$24/Model!$D$18-1</f>
        <v>-0.30039040411731299</v>
      </c>
      <c r="D6" s="4">
        <f>Model!$D$13</f>
        <v>1</v>
      </c>
      <c r="E6" s="5">
        <f>MAX(0,(Model!$D$22+(Model!$D$12-Model!$D$22)*D6)-((Model!$D$14*Model!$D$15)/(Model!$D$16*Model!$D$24)))*(Model!$D$23*(1+Model!$D$17))*Model!$D$24/Model!$D$18-1</f>
        <v>-0.24948467284768205</v>
      </c>
      <c r="F6" s="4">
        <v>1</v>
      </c>
      <c r="G6" s="5">
        <f>MAX(0,(Model!$D$22+(Model!$D$12-Model!$D$22)*F6)-((Model!$D$14*Model!$D$15)/(Model!$D$16*Model!$D$24)))*(Model!$D$23*(1+Model!$D$17))*Model!$D$24/Model!$D$18-1</f>
        <v>-0.24948467284768205</v>
      </c>
      <c r="H6" s="13" t="s">
        <v>15</v>
      </c>
    </row>
    <row r="7" spans="1:8" x14ac:dyDescent="0.25">
      <c r="A7" s="2" t="s">
        <v>2</v>
      </c>
      <c r="B7" s="3">
        <v>45</v>
      </c>
      <c r="C7" s="17">
        <f>MAX(0,Model!$D$8-B7-Model!$D$10-Model!$D$11)</f>
        <v>45</v>
      </c>
      <c r="D7" s="3">
        <f>Model!$D$9</f>
        <v>50</v>
      </c>
      <c r="E7" s="17">
        <f>Model!$D$32</f>
        <v>40</v>
      </c>
      <c r="F7" s="3">
        <v>55</v>
      </c>
      <c r="G7" s="17">
        <f>MAX(0,Model!$D$8-F7-Model!$D$10-Model!$D$11)</f>
        <v>35</v>
      </c>
      <c r="H7" s="13" t="s">
        <v>12</v>
      </c>
    </row>
    <row r="8" spans="1:8" x14ac:dyDescent="0.25">
      <c r="A8" s="2" t="s">
        <v>3</v>
      </c>
      <c r="B8" s="3">
        <v>8</v>
      </c>
      <c r="C8" s="17">
        <f>MAX(0,Model!$D$8-Model!$D$9-B8-Model!$D$11)</f>
        <v>47</v>
      </c>
      <c r="D8" s="3">
        <f>Model!$D$10</f>
        <v>15</v>
      </c>
      <c r="E8" s="17">
        <f>Model!$D$32</f>
        <v>40</v>
      </c>
      <c r="F8" s="3">
        <v>20</v>
      </c>
      <c r="G8" s="17">
        <f>MAX(0,Model!$D$8-Model!$D$9-F8-Model!$D$11)</f>
        <v>35</v>
      </c>
      <c r="H8" s="13" t="s">
        <v>12</v>
      </c>
    </row>
    <row r="9" spans="1:8" x14ac:dyDescent="0.25">
      <c r="A9" s="2" t="s">
        <v>123</v>
      </c>
      <c r="B9" s="4">
        <v>0.05</v>
      </c>
      <c r="C9" s="5">
        <f>MAX(0,(Model!$D$22+(Model!$D$12-Model!$D$22)*Model!$D$13)-((Model!$D$14*Model!$D$15)/(Model!$D$16*Model!$D$24)))*(Model!$D$23*(1+B9))*Model!$D$24/Model!$D$18-1</f>
        <v>-0.27168105960264899</v>
      </c>
      <c r="D9" s="4">
        <f>Model!$D$17</f>
        <v>8.2000000000000003E-2</v>
      </c>
      <c r="E9" s="5">
        <f>MAX(0,(Model!$D$22+(Model!$D$12-Model!$D$22)*Model!$D$13)-((Model!$D$14*Model!$D$15)/(Model!$D$16*Model!$D$24)))*(Model!$D$23*(1+D9))*Model!$D$24/Model!$D$18-1</f>
        <v>-0.24948467284768205</v>
      </c>
      <c r="F9" s="4">
        <v>0.12</v>
      </c>
      <c r="G9" s="5">
        <f>MAX(0,(Model!$D$22+(Model!$D$12-Model!$D$22)*Model!$D$13)-((Model!$D$14*Model!$D$15)/(Model!$D$16*Model!$D$24)))*(Model!$D$23*(1+F9))*Model!$D$24/Model!$D$18-1</f>
        <v>-0.22312646357615895</v>
      </c>
      <c r="H9" s="13" t="s">
        <v>15</v>
      </c>
    </row>
    <row r="10" spans="1:8" x14ac:dyDescent="0.25">
      <c r="A10" s="2" t="s">
        <v>124</v>
      </c>
      <c r="B10" s="3">
        <v>7</v>
      </c>
      <c r="C10" s="5">
        <f>MAX(0,(Model!$D$22+(Model!$D$12-Model!$D$22)*Model!$D$13)-((Model!$D$14*Model!$D$15)/(B10*Model!$D$24)))*(Model!$D$23*(1+Model!$D$17))*Model!$D$24/Model!$D$18-1</f>
        <v>-0.34002229144478968</v>
      </c>
      <c r="D10" s="3">
        <f>Model!$D$16</f>
        <v>8</v>
      </c>
      <c r="E10" s="5">
        <f>MAX(0,(Model!$D$22+(Model!$D$12-Model!$D$22)*Model!$D$13)-((Model!$D$14*Model!$D$15)/(D10*Model!$D$24)))*(Model!$D$23*(1+Model!$D$17))*Model!$D$24/Model!$D$18-1</f>
        <v>-0.24948467284768205</v>
      </c>
      <c r="F10" s="3">
        <v>10</v>
      </c>
      <c r="G10" s="5">
        <f>MAX(0,(Model!$D$22+(Model!$D$12-Model!$D$22)*Model!$D$13)-((Model!$D$14*Model!$D$15)/(F10*Model!$D$24)))*(Model!$D$23*(1+Model!$D$17))*Model!$D$24/Model!$D$18-1</f>
        <v>-0.12273200681173146</v>
      </c>
      <c r="H10" s="13" t="s">
        <v>15</v>
      </c>
    </row>
    <row r="11" spans="1:8" x14ac:dyDescent="0.25">
      <c r="A11" s="2" t="s">
        <v>125</v>
      </c>
      <c r="B11" s="4">
        <v>0.6</v>
      </c>
      <c r="C11" s="5">
        <f>MAX(0,(Model!$D$22+(Model!$D$12-Model!$D$22)*Model!$D$13)-((Model!$D$14*B11)/(Model!$D$16*Model!$D$24)))*(Model!$D$23*(1+Model!$D$17))*Model!$D$24/Model!$D$18-1</f>
        <v>4.0206592242195693E-3</v>
      </c>
      <c r="D11" s="4">
        <f>Model!$D$15</f>
        <v>1</v>
      </c>
      <c r="E11" s="5">
        <f>MAX(0,(Model!$D$22+(Model!$D$12-Model!$D$22)*Model!$D$13)-((Model!$D$14*D11)/(Model!$D$16*Model!$D$24)))*(Model!$D$23*(1+Model!$D$17))*Model!$D$24/Model!$D$18-1</f>
        <v>-0.24948467284768205</v>
      </c>
      <c r="F11" s="4">
        <v>1</v>
      </c>
      <c r="G11" s="5">
        <f>MAX(0,(Model!$D$22+(Model!$D$12-Model!$D$22)*Model!$D$13)-((Model!$D$14*F11)/(Model!$D$16*Model!$D$24)))*(Model!$D$23*(1+Model!$D$17))*Model!$D$24/Model!$D$18-1</f>
        <v>-0.24948467284768205</v>
      </c>
      <c r="H11" s="13" t="s">
        <v>15</v>
      </c>
    </row>
    <row r="12" spans="1:8" x14ac:dyDescent="0.25">
      <c r="A12" s="2" t="s">
        <v>105</v>
      </c>
      <c r="B12" s="3">
        <v>500</v>
      </c>
      <c r="C12" s="5">
        <f>MAX(0,(Model!$D$22+(Model!$D$12-Model!$D$22)*Model!$D$13)-((Model!$D$14*Model!$D$15)/(Model!$D$16*Model!$D$24)))*(Model!$D$23*(1+Model!$D$17))*Model!$D$24/B12-1</f>
        <v>-0.20670529919999991</v>
      </c>
      <c r="D12" s="3">
        <f>Model!$D$18</f>
        <v>528.5</v>
      </c>
      <c r="E12" s="5">
        <f>MAX(0,(Model!$D$22+(Model!$D$12-Model!$D$22)*Model!$D$13)-((Model!$D$14*Model!$D$15)/(Model!$D$16*Model!$D$24)))*(Model!$D$23*(1+Model!$D$17))*Model!$D$24/D12-1</f>
        <v>-0.24948467284768205</v>
      </c>
      <c r="F12" s="3">
        <v>560</v>
      </c>
      <c r="G12" s="5">
        <f>MAX(0,(Model!$D$22+(Model!$D$12-Model!$D$22)*Model!$D$13)-((Model!$D$14*Model!$D$15)/(Model!$D$16*Model!$D$24)))*(Model!$D$23*(1+Model!$D$17))*Model!$D$24/F12-1</f>
        <v>-0.2917011599999999</v>
      </c>
      <c r="H12" s="13" t="s">
        <v>15</v>
      </c>
    </row>
  </sheetData>
  <mergeCells count="2">
    <mergeCell ref="A1:H1"/>
    <mergeCell ref="A2:H2"/>
  </mergeCells>
  <pageMargins left="0.35" right="0.35" top="0.5" bottom="0.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0.7109375" customWidth="1"/>
    <col min="2" max="3" width="19.7109375" customWidth="1"/>
    <col min="4" max="4" width="18.7109375" customWidth="1"/>
    <col min="5" max="5" width="24.7109375" customWidth="1"/>
    <col min="6" max="6" width="18.7109375" customWidth="1"/>
    <col min="7" max="7" width="62.7109375" customWidth="1"/>
  </cols>
  <sheetData>
    <row r="1" spans="1:7" ht="26.25" x14ac:dyDescent="0.4">
      <c r="A1" s="21" t="s">
        <v>126</v>
      </c>
      <c r="B1" s="21"/>
      <c r="C1" s="21"/>
      <c r="D1" s="21"/>
      <c r="E1" s="21"/>
      <c r="F1" s="21"/>
      <c r="G1" s="21"/>
    </row>
    <row r="2" spans="1:7" x14ac:dyDescent="0.25">
      <c r="A2" s="24" t="s">
        <v>127</v>
      </c>
      <c r="B2" s="24"/>
      <c r="C2" s="24"/>
      <c r="D2" s="24"/>
      <c r="E2" s="24"/>
      <c r="F2" s="24"/>
      <c r="G2" s="24"/>
    </row>
    <row r="4" spans="1:7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</row>
    <row r="5" spans="1:7" x14ac:dyDescent="0.25">
      <c r="A5" s="6" t="s">
        <v>135</v>
      </c>
      <c r="B5" s="3">
        <f>Model!$D$27</f>
        <v>690</v>
      </c>
      <c r="C5" s="3">
        <f>Model!$D$26</f>
        <v>668</v>
      </c>
      <c r="D5" s="4">
        <f>B5/C5-1</f>
        <v>3.2934131736527039E-2</v>
      </c>
      <c r="E5" s="6" t="s">
        <v>136</v>
      </c>
      <c r="F5" s="18" t="s">
        <v>137</v>
      </c>
      <c r="G5" s="13" t="s">
        <v>138</v>
      </c>
    </row>
    <row r="6" spans="1:7" x14ac:dyDescent="0.25">
      <c r="A6" s="6" t="s">
        <v>139</v>
      </c>
      <c r="B6" s="3">
        <f>Model!$D$22</f>
        <v>2176</v>
      </c>
      <c r="C6" s="3">
        <f>Model!$D$28</f>
        <v>2170</v>
      </c>
      <c r="D6" s="4">
        <f>B6/C6-1</f>
        <v>2.7649769585254003E-3</v>
      </c>
      <c r="E6" s="6" t="s">
        <v>136</v>
      </c>
      <c r="F6" s="18" t="s">
        <v>137</v>
      </c>
      <c r="G6" s="13" t="s">
        <v>140</v>
      </c>
    </row>
    <row r="7" spans="1:7" x14ac:dyDescent="0.25">
      <c r="A7" s="6" t="s">
        <v>141</v>
      </c>
      <c r="B7" s="3">
        <f>Model!$D$35</f>
        <v>2480</v>
      </c>
      <c r="C7" s="6" t="s">
        <v>142</v>
      </c>
      <c r="D7" s="6" t="s">
        <v>142</v>
      </c>
      <c r="E7" s="6" t="s">
        <v>136</v>
      </c>
      <c r="F7" s="19" t="s">
        <v>143</v>
      </c>
      <c r="G7" s="13" t="s">
        <v>144</v>
      </c>
    </row>
    <row r="8" spans="1:7" x14ac:dyDescent="0.25">
      <c r="A8" s="6" t="s">
        <v>145</v>
      </c>
      <c r="B8" s="3">
        <f>Model!$D$32</f>
        <v>40</v>
      </c>
      <c r="C8" s="3">
        <f>Model!$D$25</f>
        <v>51</v>
      </c>
      <c r="D8" s="4">
        <f>B8/C8-1</f>
        <v>-0.21568627450980393</v>
      </c>
      <c r="E8" s="6" t="s">
        <v>146</v>
      </c>
      <c r="F8" s="20" t="s">
        <v>147</v>
      </c>
      <c r="G8" s="13" t="s">
        <v>148</v>
      </c>
    </row>
    <row r="9" spans="1:7" ht="30" x14ac:dyDescent="0.25">
      <c r="A9" s="6" t="s">
        <v>149</v>
      </c>
      <c r="B9" s="3">
        <f>Model!$D$14</f>
        <v>109</v>
      </c>
      <c r="C9" s="3">
        <v>78.3</v>
      </c>
      <c r="D9" s="4">
        <f>B9/C9-1</f>
        <v>0.39208173690932324</v>
      </c>
      <c r="E9" s="6" t="s">
        <v>150</v>
      </c>
      <c r="F9" s="20" t="s">
        <v>147</v>
      </c>
      <c r="G9" s="13" t="s">
        <v>212</v>
      </c>
    </row>
    <row r="10" spans="1:7" x14ac:dyDescent="0.25">
      <c r="A10" s="6" t="s">
        <v>151</v>
      </c>
      <c r="B10" s="6" t="s">
        <v>152</v>
      </c>
      <c r="C10" s="6" t="s">
        <v>142</v>
      </c>
      <c r="D10" s="6" t="s">
        <v>142</v>
      </c>
      <c r="E10" s="6" t="s">
        <v>153</v>
      </c>
      <c r="F10" s="19" t="s">
        <v>143</v>
      </c>
      <c r="G10" s="13" t="s">
        <v>154</v>
      </c>
    </row>
    <row r="11" spans="1:7" x14ac:dyDescent="0.25">
      <c r="A11" s="6" t="s">
        <v>155</v>
      </c>
      <c r="B11" s="4">
        <f>Model!$D$13</f>
        <v>1</v>
      </c>
      <c r="C11" s="6" t="s">
        <v>142</v>
      </c>
      <c r="D11" s="6" t="s">
        <v>142</v>
      </c>
      <c r="E11" s="6" t="s">
        <v>156</v>
      </c>
      <c r="F11" s="19" t="s">
        <v>143</v>
      </c>
      <c r="G11" s="13" t="s">
        <v>157</v>
      </c>
    </row>
    <row r="14" spans="1:7" x14ac:dyDescent="0.25">
      <c r="A14" s="22" t="s">
        <v>158</v>
      </c>
      <c r="B14" s="22"/>
      <c r="C14" s="22"/>
      <c r="D14" s="22"/>
      <c r="E14" s="22"/>
      <c r="F14" s="22"/>
      <c r="G14" s="22"/>
    </row>
    <row r="15" spans="1:7" x14ac:dyDescent="0.25">
      <c r="A15" s="1" t="s">
        <v>159</v>
      </c>
      <c r="B15" s="1" t="s">
        <v>52</v>
      </c>
      <c r="C15" s="1" t="s">
        <v>30</v>
      </c>
      <c r="D15" s="1" t="s">
        <v>160</v>
      </c>
      <c r="E15" s="1" t="s">
        <v>161</v>
      </c>
      <c r="F15" s="1" t="s">
        <v>162</v>
      </c>
      <c r="G15" s="1" t="s">
        <v>163</v>
      </c>
    </row>
    <row r="16" spans="1:7" x14ac:dyDescent="0.25">
      <c r="A16" s="6" t="s">
        <v>164</v>
      </c>
      <c r="B16" s="6" t="s">
        <v>165</v>
      </c>
      <c r="C16" s="12" t="s">
        <v>33</v>
      </c>
      <c r="D16" s="13" t="s">
        <v>166</v>
      </c>
      <c r="E16" s="13" t="s">
        <v>167</v>
      </c>
      <c r="F16" s="13" t="s">
        <v>168</v>
      </c>
      <c r="G16" s="13" t="s">
        <v>169</v>
      </c>
    </row>
    <row r="17" spans="1:7" x14ac:dyDescent="0.25">
      <c r="A17" s="6" t="s">
        <v>170</v>
      </c>
      <c r="B17" s="6" t="s">
        <v>171</v>
      </c>
      <c r="C17" s="15" t="s">
        <v>39</v>
      </c>
      <c r="D17" s="13" t="s">
        <v>172</v>
      </c>
      <c r="E17" s="13" t="s">
        <v>173</v>
      </c>
      <c r="F17" s="13" t="s">
        <v>174</v>
      </c>
      <c r="G17" s="13" t="s">
        <v>175</v>
      </c>
    </row>
    <row r="18" spans="1:7" ht="30" x14ac:dyDescent="0.25">
      <c r="A18" s="6" t="s">
        <v>176</v>
      </c>
      <c r="B18" s="6" t="s">
        <v>177</v>
      </c>
      <c r="C18" s="15" t="s">
        <v>39</v>
      </c>
      <c r="D18" s="13" t="s">
        <v>178</v>
      </c>
      <c r="E18" s="13" t="s">
        <v>179</v>
      </c>
      <c r="F18" s="13" t="s">
        <v>180</v>
      </c>
      <c r="G18" s="13" t="s">
        <v>181</v>
      </c>
    </row>
    <row r="19" spans="1:7" ht="30" x14ac:dyDescent="0.25">
      <c r="A19" s="6" t="s">
        <v>182</v>
      </c>
      <c r="B19" s="6" t="s">
        <v>183</v>
      </c>
      <c r="C19" s="15" t="s">
        <v>39</v>
      </c>
      <c r="D19" s="13" t="s">
        <v>184</v>
      </c>
      <c r="E19" s="13" t="s">
        <v>185</v>
      </c>
      <c r="F19" s="13" t="s">
        <v>186</v>
      </c>
      <c r="G19" s="13" t="s">
        <v>187</v>
      </c>
    </row>
    <row r="20" spans="1:7" ht="30" x14ac:dyDescent="0.25">
      <c r="A20" s="6" t="s">
        <v>188</v>
      </c>
      <c r="B20" s="6" t="s">
        <v>189</v>
      </c>
      <c r="C20" s="15" t="s">
        <v>39</v>
      </c>
      <c r="D20" s="13" t="s">
        <v>184</v>
      </c>
      <c r="E20" s="13" t="s">
        <v>185</v>
      </c>
      <c r="F20" s="13" t="s">
        <v>186</v>
      </c>
      <c r="G20" s="13" t="s">
        <v>190</v>
      </c>
    </row>
    <row r="21" spans="1:7" ht="30" x14ac:dyDescent="0.25">
      <c r="A21" s="6" t="s">
        <v>188</v>
      </c>
      <c r="B21" s="6" t="s">
        <v>191</v>
      </c>
      <c r="C21" s="15" t="s">
        <v>39</v>
      </c>
      <c r="D21" s="13" t="s">
        <v>192</v>
      </c>
      <c r="E21" s="13" t="s">
        <v>193</v>
      </c>
      <c r="F21" s="13" t="s">
        <v>194</v>
      </c>
      <c r="G21" s="13" t="s">
        <v>195</v>
      </c>
    </row>
    <row r="22" spans="1:7" ht="30" x14ac:dyDescent="0.25">
      <c r="A22" s="6" t="s">
        <v>196</v>
      </c>
      <c r="B22" s="6" t="s">
        <v>197</v>
      </c>
      <c r="C22" s="15" t="s">
        <v>39</v>
      </c>
      <c r="D22" s="13" t="s">
        <v>198</v>
      </c>
      <c r="E22" s="13" t="s">
        <v>199</v>
      </c>
      <c r="F22" s="13" t="s">
        <v>200</v>
      </c>
      <c r="G22" s="13" t="s">
        <v>201</v>
      </c>
    </row>
    <row r="23" spans="1:7" x14ac:dyDescent="0.25">
      <c r="A23" s="6" t="s">
        <v>202</v>
      </c>
      <c r="B23" s="6" t="s">
        <v>203</v>
      </c>
      <c r="C23" s="12" t="s">
        <v>33</v>
      </c>
      <c r="D23" s="13" t="s">
        <v>204</v>
      </c>
      <c r="E23" s="13" t="s">
        <v>204</v>
      </c>
      <c r="F23" s="13" t="s">
        <v>205</v>
      </c>
      <c r="G23" s="13" t="s">
        <v>201</v>
      </c>
    </row>
    <row r="24" spans="1:7" ht="30" x14ac:dyDescent="0.25">
      <c r="A24" s="6" t="s">
        <v>206</v>
      </c>
      <c r="B24" s="6" t="s">
        <v>207</v>
      </c>
      <c r="C24" s="14" t="s">
        <v>35</v>
      </c>
      <c r="D24" s="13" t="s">
        <v>208</v>
      </c>
      <c r="E24" s="13" t="s">
        <v>209</v>
      </c>
      <c r="F24" s="13" t="s">
        <v>194</v>
      </c>
      <c r="G24" s="13" t="s">
        <v>210</v>
      </c>
    </row>
  </sheetData>
  <autoFilter ref="A15:G24" xr:uid="{00000000-0009-0000-0000-000003000000}"/>
  <mergeCells count="3">
    <mergeCell ref="A1:G1"/>
    <mergeCell ref="A2:G2"/>
    <mergeCell ref="A14:G14"/>
  </mergeCells>
  <pageMargins left="0.35" right="0.3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Scenarios</vt:lpstr>
      <vt:lpstr>Model</vt:lpstr>
      <vt:lpstr>Sensitivity</vt:lpstr>
      <vt:lpstr>Checks &amp; Sources</vt:lpstr>
      <vt:lpstr>DDR_Sufficiency</vt:lpstr>
      <vt:lpstr>'Checks &amp; Sources'!Print_Area</vt:lpstr>
      <vt:lpstr>Model!Print_Area</vt:lpstr>
      <vt:lpstr>Scenarios!Print_Area</vt:lpstr>
      <vt:lpstr>Sensitivity!Print_Area</vt:lpstr>
      <vt:lpstr>Required_Total_DRAM_WPM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Memory S&amp;D — DDR balance through 2028</dc:title>
  <dc:creator>Capstone / Codex</dc:creator>
  <cp:lastModifiedBy>Felipe Monteiro</cp:lastModifiedBy>
  <dcterms:created xsi:type="dcterms:W3CDTF">2026-07-28T19:57:59Z</dcterms:created>
  <dcterms:modified xsi:type="dcterms:W3CDTF">2026-07-28T20:05:50Z</dcterms:modified>
</cp:coreProperties>
</file>