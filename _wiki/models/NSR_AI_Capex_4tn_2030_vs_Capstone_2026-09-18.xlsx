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Wiki Felipe empresas\_wiki\models\"/>
    </mc:Choice>
  </mc:AlternateContent>
  <xr:revisionPtr revIDLastSave="0" documentId="13_ncr:1_{72A9F291-EAF6-410F-A0C1-62707D22FC7A}" xr6:coauthVersionLast="47" xr6:coauthVersionMax="47" xr10:uidLastSave="{00000000-0000-0000-0000-000000000000}"/>
  <bookViews>
    <workbookView xWindow="58815" yWindow="2595" windowWidth="13365" windowHeight="11295" xr2:uid="{00000000-000D-0000-FFFF-FFFF00000000}"/>
  </bookViews>
  <sheets>
    <sheet name="Summary" sheetId="1" r:id="rId1"/>
    <sheet name="Comparison" sheetId="2" r:id="rId2"/>
    <sheet name="Share_XPU" sheetId="3" r:id="rId3"/>
    <sheet name="Share_CPU" sheetId="4" r:id="rId4"/>
    <sheet name="Share_Memory" sheetId="5" r:id="rId5"/>
    <sheet name="NSR_Capex" sheetId="6" r:id="rId6"/>
    <sheet name="NSR_Memory" sheetId="7" r:id="rId7"/>
    <sheet name="NSR_HyperPL" sheetId="8" r:id="rId8"/>
    <sheet name="NSR_Funding" sheetId="9" r:id="rId9"/>
    <sheet name="NSR_Datapoints" sheetId="10" r:id="rId10"/>
    <sheet name="House" sheetId="11" r:id="rId11"/>
    <sheet name="README" sheetId="12" r:id="rId12"/>
  </sheets>
  <definedNames>
    <definedName name="_xlnm.Print_Titles" localSheetId="1">Comparison!$4:$4</definedName>
    <definedName name="_xlnm.Print_Titles" localSheetId="10">House!$4:$4</definedName>
    <definedName name="_xlnm.Print_Titles" localSheetId="5">NSR_Capex!$4:$4</definedName>
    <definedName name="_xlnm.Print_Titles" localSheetId="7">NSR_HyperPL!$4:$4</definedName>
    <definedName name="_xlnm.Print_Titles" localSheetId="6">NSR_Memory!$4:$4</definedName>
    <definedName name="_xlnm.Print_Titles" localSheetId="3">Share_CPU!$4:$4</definedName>
    <definedName name="_xlnm.Print_Titles" localSheetId="4">Share_Memory!$4:$4</definedName>
    <definedName name="_xlnm.Print_Titles" localSheetId="2">Share_XPU!$4:$4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9" i="11" l="1"/>
  <c r="I109" i="11"/>
  <c r="H109" i="11"/>
  <c r="G109" i="11"/>
  <c r="F109" i="11"/>
  <c r="D149" i="2" s="1"/>
  <c r="E109" i="11"/>
  <c r="D109" i="11"/>
  <c r="C109" i="11"/>
  <c r="J108" i="11"/>
  <c r="I108" i="11"/>
  <c r="H108" i="11"/>
  <c r="G108" i="11"/>
  <c r="F108" i="11"/>
  <c r="E108" i="11"/>
  <c r="D108" i="11"/>
  <c r="J107" i="11"/>
  <c r="I107" i="11"/>
  <c r="H107" i="11"/>
  <c r="G107" i="11"/>
  <c r="F107" i="11"/>
  <c r="E107" i="11"/>
  <c r="D107" i="11"/>
  <c r="G98" i="11"/>
  <c r="F98" i="11"/>
  <c r="E98" i="11"/>
  <c r="J93" i="11"/>
  <c r="I93" i="11"/>
  <c r="H93" i="11"/>
  <c r="F132" i="2" s="1"/>
  <c r="F133" i="2" s="1"/>
  <c r="G93" i="11"/>
  <c r="E132" i="2" s="1"/>
  <c r="E133" i="2" s="1"/>
  <c r="F93" i="11"/>
  <c r="E93" i="11"/>
  <c r="D93" i="11"/>
  <c r="C93" i="11"/>
  <c r="H92" i="11"/>
  <c r="F128" i="2" s="1"/>
  <c r="D30" i="1" s="1"/>
  <c r="G92" i="11"/>
  <c r="H95" i="11" s="1"/>
  <c r="F154" i="2" s="1"/>
  <c r="F155" i="2" s="1"/>
  <c r="F92" i="11"/>
  <c r="E92" i="11"/>
  <c r="J87" i="11"/>
  <c r="I87" i="11"/>
  <c r="H87" i="11"/>
  <c r="G87" i="11"/>
  <c r="E78" i="2" s="1"/>
  <c r="F87" i="11"/>
  <c r="E87" i="11"/>
  <c r="D87" i="11"/>
  <c r="C87" i="11"/>
  <c r="H86" i="11"/>
  <c r="G86" i="11"/>
  <c r="F86" i="11"/>
  <c r="E86" i="11"/>
  <c r="D86" i="11"/>
  <c r="C86" i="11"/>
  <c r="H81" i="11"/>
  <c r="G81" i="11"/>
  <c r="E115" i="2" s="1"/>
  <c r="E116" i="2" s="1"/>
  <c r="F81" i="11"/>
  <c r="E81" i="11"/>
  <c r="D81" i="11"/>
  <c r="C81" i="11"/>
  <c r="J70" i="11"/>
  <c r="I70" i="11"/>
  <c r="H70" i="11"/>
  <c r="G70" i="11"/>
  <c r="F70" i="11"/>
  <c r="E70" i="11"/>
  <c r="D70" i="11"/>
  <c r="C70" i="11"/>
  <c r="J45" i="11"/>
  <c r="I45" i="11"/>
  <c r="H45" i="11"/>
  <c r="G45" i="11"/>
  <c r="F45" i="11"/>
  <c r="D82" i="2" s="1"/>
  <c r="E45" i="11"/>
  <c r="D45" i="11"/>
  <c r="C45" i="11"/>
  <c r="J36" i="11"/>
  <c r="I36" i="11"/>
  <c r="H36" i="11"/>
  <c r="G36" i="11"/>
  <c r="F36" i="11"/>
  <c r="E36" i="11"/>
  <c r="D36" i="11"/>
  <c r="C36" i="11"/>
  <c r="J35" i="11"/>
  <c r="I35" i="11"/>
  <c r="G41" i="2" s="1"/>
  <c r="G42" i="2" s="1"/>
  <c r="H35" i="11"/>
  <c r="G35" i="11"/>
  <c r="F35" i="11"/>
  <c r="E35" i="11"/>
  <c r="D35" i="11"/>
  <c r="C35" i="11"/>
  <c r="H23" i="11"/>
  <c r="J22" i="11"/>
  <c r="I22" i="11"/>
  <c r="H22" i="11"/>
  <c r="G22" i="11"/>
  <c r="F22" i="11"/>
  <c r="E22" i="11"/>
  <c r="D22" i="11"/>
  <c r="C22" i="11"/>
  <c r="J14" i="11"/>
  <c r="I14" i="11"/>
  <c r="H14" i="11"/>
  <c r="G14" i="11"/>
  <c r="F14" i="11"/>
  <c r="E14" i="11"/>
  <c r="D14" i="11"/>
  <c r="C14" i="11"/>
  <c r="J13" i="11"/>
  <c r="I13" i="11"/>
  <c r="H13" i="11"/>
  <c r="G13" i="11"/>
  <c r="F13" i="11"/>
  <c r="E13" i="11"/>
  <c r="D13" i="11"/>
  <c r="C13" i="11"/>
  <c r="J12" i="11"/>
  <c r="I12" i="11"/>
  <c r="H12" i="11"/>
  <c r="G12" i="11"/>
  <c r="F12" i="11"/>
  <c r="D37" i="2" s="1"/>
  <c r="E12" i="11"/>
  <c r="D12" i="11"/>
  <c r="C12" i="11"/>
  <c r="J11" i="11"/>
  <c r="I11" i="11"/>
  <c r="H11" i="11"/>
  <c r="G11" i="11"/>
  <c r="F11" i="11"/>
  <c r="E11" i="11"/>
  <c r="D11" i="11"/>
  <c r="H10" i="11"/>
  <c r="G10" i="11"/>
  <c r="F10" i="11"/>
  <c r="E10" i="11"/>
  <c r="D10" i="11"/>
  <c r="C10" i="11"/>
  <c r="B35" i="10"/>
  <c r="B22" i="10"/>
  <c r="B19" i="10"/>
  <c r="B37" i="9"/>
  <c r="B36" i="9"/>
  <c r="B29" i="9"/>
  <c r="C28" i="9"/>
  <c r="C27" i="9"/>
  <c r="C26" i="9"/>
  <c r="C25" i="9"/>
  <c r="B21" i="9"/>
  <c r="C21" i="9" s="1"/>
  <c r="B19" i="9"/>
  <c r="C19" i="9" s="1"/>
  <c r="C18" i="9"/>
  <c r="C17" i="9"/>
  <c r="C16" i="9"/>
  <c r="C15" i="9"/>
  <c r="B9" i="9"/>
  <c r="H41" i="8"/>
  <c r="H42" i="8" s="1"/>
  <c r="H43" i="8" s="1"/>
  <c r="G41" i="8"/>
  <c r="G42" i="8" s="1"/>
  <c r="G43" i="8" s="1"/>
  <c r="F41" i="8"/>
  <c r="F42" i="8" s="1"/>
  <c r="F43" i="8" s="1"/>
  <c r="E41" i="8"/>
  <c r="E42" i="8" s="1"/>
  <c r="E43" i="8" s="1"/>
  <c r="D41" i="8"/>
  <c r="D42" i="8" s="1"/>
  <c r="D43" i="8" s="1"/>
  <c r="C41" i="8"/>
  <c r="C42" i="8" s="1"/>
  <c r="C43" i="8" s="1"/>
  <c r="G38" i="8"/>
  <c r="F38" i="8"/>
  <c r="H36" i="8"/>
  <c r="H38" i="8" s="1"/>
  <c r="G36" i="8"/>
  <c r="F36" i="8"/>
  <c r="E36" i="8"/>
  <c r="E38" i="8" s="1"/>
  <c r="D36" i="8"/>
  <c r="C36" i="8"/>
  <c r="C38" i="8" s="1"/>
  <c r="H34" i="8"/>
  <c r="G34" i="8"/>
  <c r="F34" i="8"/>
  <c r="E34" i="8"/>
  <c r="D34" i="8"/>
  <c r="I33" i="8"/>
  <c r="H32" i="8"/>
  <c r="G32" i="8"/>
  <c r="F32" i="8"/>
  <c r="E32" i="8"/>
  <c r="D32" i="8"/>
  <c r="C32" i="8"/>
  <c r="I31" i="8"/>
  <c r="H27" i="8"/>
  <c r="G27" i="8"/>
  <c r="F27" i="8"/>
  <c r="E27" i="8"/>
  <c r="D27" i="8"/>
  <c r="C27" i="8"/>
  <c r="I26" i="8"/>
  <c r="I22" i="8"/>
  <c r="H15" i="8"/>
  <c r="G15" i="8"/>
  <c r="F15" i="8"/>
  <c r="E15" i="8"/>
  <c r="D15" i="8"/>
  <c r="H13" i="8"/>
  <c r="H23" i="8" s="1"/>
  <c r="H24" i="8" s="1"/>
  <c r="G13" i="8"/>
  <c r="G20" i="8" s="1"/>
  <c r="G25" i="8" s="1"/>
  <c r="F13" i="8"/>
  <c r="F23" i="8" s="1"/>
  <c r="F24" i="8" s="1"/>
  <c r="E13" i="8"/>
  <c r="E23" i="8" s="1"/>
  <c r="E24" i="8" s="1"/>
  <c r="D13" i="8"/>
  <c r="D23" i="8" s="1"/>
  <c r="D24" i="8" s="1"/>
  <c r="C13" i="8"/>
  <c r="C23" i="8" s="1"/>
  <c r="C24" i="8" s="1"/>
  <c r="I12" i="8"/>
  <c r="I11" i="8"/>
  <c r="I6" i="8"/>
  <c r="D53" i="7"/>
  <c r="H52" i="7"/>
  <c r="H53" i="7" s="1"/>
  <c r="G52" i="7"/>
  <c r="G53" i="7" s="1"/>
  <c r="F52" i="7"/>
  <c r="E52" i="7"/>
  <c r="D52" i="7"/>
  <c r="D54" i="7" s="1"/>
  <c r="D93" i="2" s="1"/>
  <c r="D95" i="2" s="1"/>
  <c r="C52" i="7"/>
  <c r="C54" i="7" s="1"/>
  <c r="H50" i="7"/>
  <c r="H51" i="7" s="1"/>
  <c r="G50" i="7"/>
  <c r="G51" i="7" s="1"/>
  <c r="F50" i="7"/>
  <c r="F51" i="7" s="1"/>
  <c r="E50" i="7"/>
  <c r="E51" i="7" s="1"/>
  <c r="D50" i="7"/>
  <c r="D51" i="7" s="1"/>
  <c r="C50" i="7"/>
  <c r="C51" i="7" s="1"/>
  <c r="E49" i="7"/>
  <c r="H48" i="7"/>
  <c r="G48" i="7"/>
  <c r="F48" i="7"/>
  <c r="E48" i="7"/>
  <c r="D48" i="7"/>
  <c r="C48" i="7"/>
  <c r="H47" i="7"/>
  <c r="H49" i="7" s="1"/>
  <c r="G47" i="7"/>
  <c r="G49" i="7" s="1"/>
  <c r="F47" i="7"/>
  <c r="F49" i="7" s="1"/>
  <c r="E47" i="7"/>
  <c r="D47" i="7"/>
  <c r="D49" i="7" s="1"/>
  <c r="C47" i="7"/>
  <c r="C49" i="7" s="1"/>
  <c r="H43" i="7"/>
  <c r="G43" i="7"/>
  <c r="F43" i="7"/>
  <c r="E43" i="7"/>
  <c r="D43" i="7"/>
  <c r="H37" i="7"/>
  <c r="G37" i="7"/>
  <c r="F37" i="7"/>
  <c r="E37" i="7"/>
  <c r="D37" i="7"/>
  <c r="C37" i="7"/>
  <c r="H36" i="7"/>
  <c r="G36" i="7"/>
  <c r="F36" i="7"/>
  <c r="E36" i="7"/>
  <c r="D36" i="7"/>
  <c r="I35" i="7"/>
  <c r="H32" i="7"/>
  <c r="G32" i="7"/>
  <c r="F32" i="7"/>
  <c r="E32" i="7"/>
  <c r="D32" i="7"/>
  <c r="C32" i="7"/>
  <c r="H31" i="7"/>
  <c r="G31" i="7"/>
  <c r="F31" i="7"/>
  <c r="E31" i="7"/>
  <c r="D31" i="7"/>
  <c r="I30" i="7"/>
  <c r="H27" i="7"/>
  <c r="G27" i="7"/>
  <c r="F27" i="7"/>
  <c r="E27" i="7"/>
  <c r="D27" i="7"/>
  <c r="C27" i="7"/>
  <c r="H26" i="7"/>
  <c r="G26" i="7"/>
  <c r="F26" i="7"/>
  <c r="E26" i="7"/>
  <c r="D26" i="7"/>
  <c r="I25" i="7"/>
  <c r="D20" i="7"/>
  <c r="D22" i="7" s="1"/>
  <c r="H18" i="7"/>
  <c r="G18" i="7"/>
  <c r="H19" i="7" s="1"/>
  <c r="F18" i="7"/>
  <c r="E18" i="7"/>
  <c r="D18" i="7"/>
  <c r="C18" i="7"/>
  <c r="D19" i="7" s="1"/>
  <c r="H14" i="7"/>
  <c r="G14" i="7"/>
  <c r="F14" i="7"/>
  <c r="E14" i="7"/>
  <c r="D14" i="7"/>
  <c r="I13" i="7"/>
  <c r="H10" i="7"/>
  <c r="G10" i="7"/>
  <c r="G20" i="7" s="1"/>
  <c r="G22" i="7" s="1"/>
  <c r="F10" i="7"/>
  <c r="E10" i="7"/>
  <c r="E15" i="7" s="1"/>
  <c r="D10" i="7"/>
  <c r="D15" i="7" s="1"/>
  <c r="C10" i="7"/>
  <c r="C20" i="7" s="1"/>
  <c r="C22" i="7" s="1"/>
  <c r="H5" i="7"/>
  <c r="H7" i="7" s="1"/>
  <c r="G5" i="7"/>
  <c r="G7" i="7" s="1"/>
  <c r="F5" i="7"/>
  <c r="F7" i="7" s="1"/>
  <c r="E5" i="7"/>
  <c r="E7" i="7" s="1"/>
  <c r="D5" i="7"/>
  <c r="D7" i="7" s="1"/>
  <c r="C5" i="7"/>
  <c r="C7" i="7" s="1"/>
  <c r="H43" i="6"/>
  <c r="H44" i="6" s="1"/>
  <c r="H21" i="6"/>
  <c r="G21" i="6"/>
  <c r="F21" i="6"/>
  <c r="E21" i="6"/>
  <c r="D21" i="6"/>
  <c r="H20" i="6"/>
  <c r="G20" i="6"/>
  <c r="F20" i="6"/>
  <c r="E20" i="6"/>
  <c r="D20" i="6"/>
  <c r="H19" i="6"/>
  <c r="G19" i="6"/>
  <c r="F19" i="6"/>
  <c r="E19" i="6"/>
  <c r="D19" i="6"/>
  <c r="H18" i="6"/>
  <c r="G18" i="6"/>
  <c r="F18" i="6"/>
  <c r="E18" i="6"/>
  <c r="D18" i="6"/>
  <c r="H17" i="6"/>
  <c r="G17" i="6"/>
  <c r="F17" i="6"/>
  <c r="E17" i="6"/>
  <c r="D17" i="6"/>
  <c r="H16" i="6"/>
  <c r="G16" i="6"/>
  <c r="F16" i="6"/>
  <c r="E16" i="6"/>
  <c r="D16" i="6"/>
  <c r="H11" i="6"/>
  <c r="G11" i="6"/>
  <c r="F11" i="6"/>
  <c r="E11" i="6"/>
  <c r="E31" i="6" s="1"/>
  <c r="D11" i="6"/>
  <c r="D13" i="6" s="1"/>
  <c r="C11" i="6"/>
  <c r="C31" i="6" s="1"/>
  <c r="I10" i="6"/>
  <c r="I9" i="6"/>
  <c r="I8" i="6"/>
  <c r="I7" i="6"/>
  <c r="I6" i="6"/>
  <c r="I5" i="6"/>
  <c r="C80" i="5"/>
  <c r="G67" i="5"/>
  <c r="G75" i="5" s="1"/>
  <c r="G55" i="5"/>
  <c r="G50" i="5"/>
  <c r="C47" i="5"/>
  <c r="H46" i="5"/>
  <c r="G46" i="5"/>
  <c r="F46" i="5"/>
  <c r="E46" i="5"/>
  <c r="D46" i="5"/>
  <c r="H45" i="5"/>
  <c r="G45" i="5"/>
  <c r="F45" i="5"/>
  <c r="C57" i="1" s="1"/>
  <c r="E45" i="5"/>
  <c r="D45" i="5"/>
  <c r="H44" i="5"/>
  <c r="G44" i="5"/>
  <c r="G66" i="5" s="1"/>
  <c r="F44" i="5"/>
  <c r="E44" i="5"/>
  <c r="D44" i="5"/>
  <c r="H43" i="5"/>
  <c r="G43" i="5"/>
  <c r="F43" i="5"/>
  <c r="C55" i="1" s="1"/>
  <c r="E43" i="5"/>
  <c r="D43" i="5"/>
  <c r="H42" i="5"/>
  <c r="G42" i="5"/>
  <c r="F42" i="5"/>
  <c r="E42" i="5"/>
  <c r="D42" i="5"/>
  <c r="D35" i="5"/>
  <c r="D34" i="5"/>
  <c r="C34" i="5"/>
  <c r="F33" i="5"/>
  <c r="E33" i="5"/>
  <c r="E38" i="5" s="1"/>
  <c r="D33" i="5"/>
  <c r="D38" i="5" s="1"/>
  <c r="C33" i="5"/>
  <c r="C38" i="5" s="1"/>
  <c r="H20" i="5"/>
  <c r="G20" i="5"/>
  <c r="H19" i="5"/>
  <c r="G19" i="5"/>
  <c r="H18" i="5"/>
  <c r="G18" i="5"/>
  <c r="H17" i="5"/>
  <c r="G17" i="5"/>
  <c r="H16" i="5"/>
  <c r="G16" i="5"/>
  <c r="G56" i="5" s="1"/>
  <c r="H15" i="5"/>
  <c r="G15" i="5"/>
  <c r="H12" i="5"/>
  <c r="G12" i="5"/>
  <c r="F12" i="5"/>
  <c r="E12" i="5"/>
  <c r="D12" i="5"/>
  <c r="C12" i="5"/>
  <c r="H11" i="5"/>
  <c r="G11" i="5"/>
  <c r="G64" i="5" s="1"/>
  <c r="F11" i="5"/>
  <c r="E11" i="5"/>
  <c r="D11" i="5"/>
  <c r="C11" i="5"/>
  <c r="H10" i="5"/>
  <c r="G10" i="5"/>
  <c r="F10" i="5"/>
  <c r="E10" i="5"/>
  <c r="D10" i="5"/>
  <c r="C10" i="5"/>
  <c r="H9" i="5"/>
  <c r="H63" i="5" s="1"/>
  <c r="G9" i="5"/>
  <c r="G63" i="5" s="1"/>
  <c r="F9" i="5"/>
  <c r="E9" i="5"/>
  <c r="E63" i="5" s="1"/>
  <c r="D9" i="5"/>
  <c r="D63" i="5" s="1"/>
  <c r="C9" i="5"/>
  <c r="C63" i="5" s="1"/>
  <c r="H8" i="5"/>
  <c r="G8" i="5"/>
  <c r="F8" i="5"/>
  <c r="E8" i="5"/>
  <c r="D8" i="5"/>
  <c r="C8" i="5"/>
  <c r="H7" i="5"/>
  <c r="G7" i="5"/>
  <c r="F7" i="5"/>
  <c r="E7" i="5"/>
  <c r="D7" i="5"/>
  <c r="C7" i="5"/>
  <c r="H6" i="5"/>
  <c r="H57" i="5" s="1"/>
  <c r="G6" i="5"/>
  <c r="G53" i="5" s="1"/>
  <c r="F6" i="5"/>
  <c r="E6" i="5"/>
  <c r="E57" i="5" s="1"/>
  <c r="D6" i="5"/>
  <c r="D57" i="5" s="1"/>
  <c r="C6" i="5"/>
  <c r="C57" i="5" s="1"/>
  <c r="H46" i="4"/>
  <c r="G46" i="4"/>
  <c r="F46" i="4"/>
  <c r="F44" i="4"/>
  <c r="H42" i="4"/>
  <c r="H44" i="4" s="1"/>
  <c r="G42" i="4"/>
  <c r="G44" i="4" s="1"/>
  <c r="F42" i="4"/>
  <c r="E42" i="4"/>
  <c r="E44" i="4" s="1"/>
  <c r="D42" i="4"/>
  <c r="D44" i="4" s="1"/>
  <c r="C42" i="4"/>
  <c r="C44" i="4" s="1"/>
  <c r="H40" i="4"/>
  <c r="G40" i="4"/>
  <c r="F40" i="4"/>
  <c r="E40" i="4"/>
  <c r="E45" i="4" s="1"/>
  <c r="D40" i="4"/>
  <c r="C40" i="4"/>
  <c r="H29" i="4"/>
  <c r="H33" i="4" s="1"/>
  <c r="G29" i="4"/>
  <c r="G34" i="4" s="1"/>
  <c r="F29" i="4"/>
  <c r="F32" i="4" s="1"/>
  <c r="E29" i="4"/>
  <c r="E33" i="4" s="1"/>
  <c r="D29" i="4"/>
  <c r="D34" i="4" s="1"/>
  <c r="C29" i="4"/>
  <c r="C34" i="4" s="1"/>
  <c r="F21" i="4"/>
  <c r="E21" i="4"/>
  <c r="D21" i="4"/>
  <c r="C21" i="4"/>
  <c r="H20" i="4"/>
  <c r="G20" i="4"/>
  <c r="H19" i="4"/>
  <c r="G19" i="4"/>
  <c r="H18" i="4"/>
  <c r="G18" i="4"/>
  <c r="H17" i="4"/>
  <c r="G17" i="4"/>
  <c r="H10" i="4"/>
  <c r="G10" i="4"/>
  <c r="F10" i="4"/>
  <c r="E10" i="4"/>
  <c r="D10" i="4"/>
  <c r="C10" i="4"/>
  <c r="H8" i="4"/>
  <c r="G8" i="4"/>
  <c r="F8" i="4"/>
  <c r="E8" i="4"/>
  <c r="D8" i="4"/>
  <c r="C8" i="4"/>
  <c r="H7" i="4"/>
  <c r="H60" i="4" s="1"/>
  <c r="G7" i="4"/>
  <c r="F7" i="4"/>
  <c r="F60" i="4" s="1"/>
  <c r="E7" i="4"/>
  <c r="E58" i="4" s="1"/>
  <c r="D7" i="4"/>
  <c r="C7" i="4"/>
  <c r="C60" i="4" s="1"/>
  <c r="H6" i="4"/>
  <c r="G6" i="4"/>
  <c r="F6" i="4"/>
  <c r="E6" i="4"/>
  <c r="D6" i="4"/>
  <c r="C6" i="4"/>
  <c r="D43" i="3"/>
  <c r="D24" i="3"/>
  <c r="H22" i="3"/>
  <c r="F41" i="1" s="1"/>
  <c r="D22" i="3"/>
  <c r="D20" i="3"/>
  <c r="H16" i="3"/>
  <c r="H20" i="3" s="1"/>
  <c r="G16" i="3"/>
  <c r="G24" i="3" s="1"/>
  <c r="F16" i="3"/>
  <c r="F25" i="3" s="1"/>
  <c r="E16" i="3"/>
  <c r="E25" i="3" s="1"/>
  <c r="D16" i="3"/>
  <c r="D25" i="3" s="1"/>
  <c r="C16" i="3"/>
  <c r="C25" i="3" s="1"/>
  <c r="H7" i="3"/>
  <c r="H17" i="3" s="1"/>
  <c r="G7" i="3"/>
  <c r="G17" i="3" s="1"/>
  <c r="F7" i="3"/>
  <c r="F17" i="3" s="1"/>
  <c r="E7" i="3"/>
  <c r="E17" i="3" s="1"/>
  <c r="D7" i="3"/>
  <c r="D17" i="3" s="1"/>
  <c r="C7" i="3"/>
  <c r="C17" i="3" s="1"/>
  <c r="H6" i="3"/>
  <c r="G6" i="3"/>
  <c r="G43" i="3" s="1"/>
  <c r="F6" i="3"/>
  <c r="F44" i="3" s="1"/>
  <c r="E6" i="3"/>
  <c r="E44" i="3" s="1"/>
  <c r="D6" i="3"/>
  <c r="D44" i="3" s="1"/>
  <c r="C6" i="3"/>
  <c r="C44" i="3" s="1"/>
  <c r="G155" i="2"/>
  <c r="E155" i="2"/>
  <c r="D155" i="2"/>
  <c r="C155" i="2"/>
  <c r="H153" i="2"/>
  <c r="H155" i="2" s="1"/>
  <c r="H149" i="2"/>
  <c r="G149" i="2"/>
  <c r="F149" i="2"/>
  <c r="E149" i="2"/>
  <c r="C149" i="2"/>
  <c r="G148" i="2"/>
  <c r="G150" i="2" s="1"/>
  <c r="F148" i="2"/>
  <c r="F150" i="2" s="1"/>
  <c r="E148" i="2"/>
  <c r="D148" i="2"/>
  <c r="C148" i="2"/>
  <c r="C150" i="2" s="1"/>
  <c r="H145" i="2"/>
  <c r="G145" i="2"/>
  <c r="F145" i="2"/>
  <c r="E145" i="2"/>
  <c r="D145" i="2"/>
  <c r="C145" i="2"/>
  <c r="H144" i="2"/>
  <c r="H146" i="2" s="1"/>
  <c r="G144" i="2"/>
  <c r="G146" i="2" s="1"/>
  <c r="F144" i="2"/>
  <c r="F146" i="2" s="1"/>
  <c r="E144" i="2"/>
  <c r="E146" i="2" s="1"/>
  <c r="D144" i="2"/>
  <c r="D146" i="2" s="1"/>
  <c r="C144" i="2"/>
  <c r="C146" i="2" s="1"/>
  <c r="H141" i="2"/>
  <c r="G141" i="2"/>
  <c r="F141" i="2"/>
  <c r="E141" i="2"/>
  <c r="D141" i="2"/>
  <c r="C141" i="2"/>
  <c r="G140" i="2"/>
  <c r="G142" i="2" s="1"/>
  <c r="F140" i="2"/>
  <c r="E140" i="2"/>
  <c r="E142" i="2" s="1"/>
  <c r="D140" i="2"/>
  <c r="D142" i="2" s="1"/>
  <c r="C140" i="2"/>
  <c r="C142" i="2" s="1"/>
  <c r="H137" i="2"/>
  <c r="G137" i="2"/>
  <c r="F137" i="2"/>
  <c r="D31" i="1" s="1"/>
  <c r="E137" i="2"/>
  <c r="D137" i="2"/>
  <c r="C137" i="2"/>
  <c r="H136" i="2"/>
  <c r="H138" i="2" s="1"/>
  <c r="G136" i="2"/>
  <c r="G138" i="2" s="1"/>
  <c r="F136" i="2"/>
  <c r="F138" i="2" s="1"/>
  <c r="E31" i="1" s="1"/>
  <c r="E136" i="2"/>
  <c r="E138" i="2" s="1"/>
  <c r="D136" i="2"/>
  <c r="D138" i="2" s="1"/>
  <c r="C136" i="2"/>
  <c r="C138" i="2" s="1"/>
  <c r="D133" i="2"/>
  <c r="C133" i="2"/>
  <c r="D132" i="2"/>
  <c r="C132" i="2"/>
  <c r="H131" i="2"/>
  <c r="H133" i="2" s="1"/>
  <c r="G131" i="2"/>
  <c r="G133" i="2" s="1"/>
  <c r="F131" i="2"/>
  <c r="E131" i="2"/>
  <c r="D131" i="2"/>
  <c r="C131" i="2"/>
  <c r="H129" i="2"/>
  <c r="G129" i="2"/>
  <c r="E128" i="2"/>
  <c r="D128" i="2"/>
  <c r="C128" i="2"/>
  <c r="H127" i="2"/>
  <c r="G127" i="2"/>
  <c r="F127" i="2"/>
  <c r="E127" i="2"/>
  <c r="E129" i="2" s="1"/>
  <c r="D127" i="2"/>
  <c r="D129" i="2" s="1"/>
  <c r="C127" i="2"/>
  <c r="C129" i="2" s="1"/>
  <c r="G125" i="2"/>
  <c r="F124" i="2"/>
  <c r="D29" i="1" s="1"/>
  <c r="E124" i="2"/>
  <c r="D124" i="2"/>
  <c r="C124" i="2"/>
  <c r="H123" i="2"/>
  <c r="H125" i="2" s="1"/>
  <c r="G123" i="2"/>
  <c r="F123" i="2"/>
  <c r="F125" i="2" s="1"/>
  <c r="E29" i="1" s="1"/>
  <c r="E123" i="2"/>
  <c r="E125" i="2" s="1"/>
  <c r="D123" i="2"/>
  <c r="C123" i="2"/>
  <c r="C125" i="2" s="1"/>
  <c r="E121" i="2"/>
  <c r="D121" i="2"/>
  <c r="C121" i="2"/>
  <c r="F120" i="2"/>
  <c r="E120" i="2"/>
  <c r="D120" i="2"/>
  <c r="C120" i="2"/>
  <c r="H119" i="2"/>
  <c r="H121" i="2" s="1"/>
  <c r="G119" i="2"/>
  <c r="G121" i="2" s="1"/>
  <c r="F119" i="2"/>
  <c r="F121" i="2" s="1"/>
  <c r="E119" i="2"/>
  <c r="D119" i="2"/>
  <c r="C119" i="2"/>
  <c r="G116" i="2"/>
  <c r="D116" i="2"/>
  <c r="C116" i="2"/>
  <c r="F115" i="2"/>
  <c r="D115" i="2"/>
  <c r="H114" i="2"/>
  <c r="H116" i="2" s="1"/>
  <c r="F114" i="2"/>
  <c r="H112" i="2"/>
  <c r="G112" i="2"/>
  <c r="C112" i="2"/>
  <c r="F111" i="2"/>
  <c r="E111" i="2"/>
  <c r="D111" i="2"/>
  <c r="C111" i="2"/>
  <c r="F110" i="2"/>
  <c r="F112" i="2" s="1"/>
  <c r="E34" i="1" s="1"/>
  <c r="E110" i="2"/>
  <c r="D110" i="2"/>
  <c r="G108" i="2"/>
  <c r="F107" i="2"/>
  <c r="F108" i="2" s="1"/>
  <c r="E107" i="2"/>
  <c r="E108" i="2" s="1"/>
  <c r="D107" i="2"/>
  <c r="D108" i="2" s="1"/>
  <c r="C107" i="2"/>
  <c r="C108" i="2" s="1"/>
  <c r="H106" i="2"/>
  <c r="H108" i="2" s="1"/>
  <c r="H103" i="2"/>
  <c r="G103" i="2"/>
  <c r="G104" i="2" s="1"/>
  <c r="F103" i="2"/>
  <c r="F104" i="2" s="1"/>
  <c r="E103" i="2"/>
  <c r="E104" i="2" s="1"/>
  <c r="D103" i="2"/>
  <c r="D104" i="2" s="1"/>
  <c r="C103" i="2"/>
  <c r="C104" i="2" s="1"/>
  <c r="H102" i="2"/>
  <c r="F33" i="1" s="1"/>
  <c r="D100" i="2"/>
  <c r="H99" i="2"/>
  <c r="G32" i="1" s="1"/>
  <c r="G99" i="2"/>
  <c r="G100" i="2" s="1"/>
  <c r="F99" i="2"/>
  <c r="F100" i="2" s="1"/>
  <c r="E99" i="2"/>
  <c r="E100" i="2" s="1"/>
  <c r="D99" i="2"/>
  <c r="C99" i="2"/>
  <c r="C100" i="2" s="1"/>
  <c r="H98" i="2"/>
  <c r="H100" i="2" s="1"/>
  <c r="H32" i="1" s="1"/>
  <c r="H94" i="2"/>
  <c r="G94" i="2"/>
  <c r="F94" i="2"/>
  <c r="E94" i="2"/>
  <c r="D94" i="2"/>
  <c r="C94" i="2"/>
  <c r="C93" i="2"/>
  <c r="C95" i="2" s="1"/>
  <c r="H90" i="2"/>
  <c r="G27" i="1" s="1"/>
  <c r="G90" i="2"/>
  <c r="F90" i="2"/>
  <c r="E90" i="2"/>
  <c r="D90" i="2"/>
  <c r="C90" i="2"/>
  <c r="H89" i="2"/>
  <c r="F27" i="1" s="1"/>
  <c r="F89" i="2"/>
  <c r="F91" i="2" s="1"/>
  <c r="E27" i="1" s="1"/>
  <c r="E89" i="2"/>
  <c r="E91" i="2" s="1"/>
  <c r="D89" i="2"/>
  <c r="C89" i="2"/>
  <c r="C91" i="2" s="1"/>
  <c r="H87" i="2"/>
  <c r="D87" i="2"/>
  <c r="H86" i="2"/>
  <c r="G86" i="2"/>
  <c r="F86" i="2"/>
  <c r="E86" i="2"/>
  <c r="D86" i="2"/>
  <c r="C86" i="2"/>
  <c r="H85" i="2"/>
  <c r="G85" i="2"/>
  <c r="G87" i="2" s="1"/>
  <c r="F85" i="2"/>
  <c r="F87" i="2" s="1"/>
  <c r="E85" i="2"/>
  <c r="E87" i="2" s="1"/>
  <c r="D85" i="2"/>
  <c r="C85" i="2"/>
  <c r="C87" i="2" s="1"/>
  <c r="H82" i="2"/>
  <c r="G26" i="1" s="1"/>
  <c r="G82" i="2"/>
  <c r="F82" i="2"/>
  <c r="E82" i="2"/>
  <c r="C82" i="2"/>
  <c r="H81" i="2"/>
  <c r="G81" i="2"/>
  <c r="G83" i="2" s="1"/>
  <c r="F81" i="2"/>
  <c r="F83" i="2" s="1"/>
  <c r="E26" i="1" s="1"/>
  <c r="E81" i="2"/>
  <c r="D81" i="2"/>
  <c r="C81" i="2"/>
  <c r="F78" i="2"/>
  <c r="D78" i="2"/>
  <c r="C78" i="2"/>
  <c r="E77" i="2"/>
  <c r="D77" i="2"/>
  <c r="D79" i="2" s="1"/>
  <c r="H74" i="2"/>
  <c r="G25" i="1" s="1"/>
  <c r="G74" i="2"/>
  <c r="F74" i="2"/>
  <c r="D25" i="1" s="1"/>
  <c r="E74" i="2"/>
  <c r="D74" i="2"/>
  <c r="C74" i="2"/>
  <c r="H73" i="2"/>
  <c r="G73" i="2"/>
  <c r="G75" i="2" s="1"/>
  <c r="F73" i="2"/>
  <c r="F75" i="2" s="1"/>
  <c r="E25" i="1" s="1"/>
  <c r="E73" i="2"/>
  <c r="E75" i="2" s="1"/>
  <c r="D73" i="2"/>
  <c r="C73" i="2"/>
  <c r="C75" i="2" s="1"/>
  <c r="E71" i="2"/>
  <c r="D71" i="2"/>
  <c r="C71" i="2"/>
  <c r="F70" i="2"/>
  <c r="E70" i="2"/>
  <c r="D70" i="2"/>
  <c r="C70" i="2"/>
  <c r="H69" i="2"/>
  <c r="H71" i="2" s="1"/>
  <c r="G69" i="2"/>
  <c r="G71" i="2" s="1"/>
  <c r="F69" i="2"/>
  <c r="E69" i="2"/>
  <c r="D69" i="2"/>
  <c r="C69" i="2"/>
  <c r="F65" i="2"/>
  <c r="E65" i="2"/>
  <c r="D65" i="2"/>
  <c r="C65" i="2"/>
  <c r="E62" i="2"/>
  <c r="F61" i="2"/>
  <c r="E61" i="2"/>
  <c r="D61" i="2"/>
  <c r="C61" i="2"/>
  <c r="H60" i="2"/>
  <c r="H62" i="2" s="1"/>
  <c r="G60" i="2"/>
  <c r="G62" i="2" s="1"/>
  <c r="F60" i="2"/>
  <c r="F62" i="2" s="1"/>
  <c r="E60" i="2"/>
  <c r="D60" i="2"/>
  <c r="D62" i="2" s="1"/>
  <c r="C60" i="2"/>
  <c r="H57" i="2"/>
  <c r="G57" i="2"/>
  <c r="F57" i="2"/>
  <c r="E57" i="2"/>
  <c r="D57" i="2"/>
  <c r="C57" i="2"/>
  <c r="H56" i="2"/>
  <c r="H58" i="2" s="1"/>
  <c r="G56" i="2"/>
  <c r="G58" i="2" s="1"/>
  <c r="F56" i="2"/>
  <c r="F58" i="2" s="1"/>
  <c r="E56" i="2"/>
  <c r="E58" i="2" s="1"/>
  <c r="D56" i="2"/>
  <c r="D58" i="2" s="1"/>
  <c r="C56" i="2"/>
  <c r="C58" i="2" s="1"/>
  <c r="H53" i="2"/>
  <c r="G28" i="1" s="1"/>
  <c r="G53" i="2"/>
  <c r="F53" i="2"/>
  <c r="E53" i="2"/>
  <c r="D53" i="2"/>
  <c r="C53" i="2"/>
  <c r="H52" i="2"/>
  <c r="F28" i="1" s="1"/>
  <c r="G52" i="2"/>
  <c r="G54" i="2" s="1"/>
  <c r="F52" i="2"/>
  <c r="F54" i="2" s="1"/>
  <c r="E28" i="1" s="1"/>
  <c r="E52" i="2"/>
  <c r="E54" i="2" s="1"/>
  <c r="D52" i="2"/>
  <c r="D54" i="2" s="1"/>
  <c r="C52" i="2"/>
  <c r="C54" i="2" s="1"/>
  <c r="E50" i="2"/>
  <c r="H49" i="2"/>
  <c r="F49" i="2"/>
  <c r="E49" i="2"/>
  <c r="D49" i="2"/>
  <c r="H48" i="2"/>
  <c r="G48" i="2"/>
  <c r="G50" i="2" s="1"/>
  <c r="F48" i="2"/>
  <c r="E48" i="2"/>
  <c r="D48" i="2"/>
  <c r="D50" i="2" s="1"/>
  <c r="C48" i="2"/>
  <c r="C50" i="2" s="1"/>
  <c r="H45" i="2"/>
  <c r="G45" i="2"/>
  <c r="F45" i="2"/>
  <c r="E45" i="2"/>
  <c r="D45" i="2"/>
  <c r="C45" i="2"/>
  <c r="H44" i="2"/>
  <c r="H46" i="2" s="1"/>
  <c r="G44" i="2"/>
  <c r="G46" i="2" s="1"/>
  <c r="F44" i="2"/>
  <c r="F46" i="2" s="1"/>
  <c r="E44" i="2"/>
  <c r="E46" i="2" s="1"/>
  <c r="D44" i="2"/>
  <c r="D46" i="2" s="1"/>
  <c r="C44" i="2"/>
  <c r="C46" i="2" s="1"/>
  <c r="F42" i="2"/>
  <c r="H41" i="2"/>
  <c r="F41" i="2"/>
  <c r="E41" i="2"/>
  <c r="E42" i="2" s="1"/>
  <c r="D41" i="2"/>
  <c r="D42" i="2" s="1"/>
  <c r="C41" i="2"/>
  <c r="C42" i="2" s="1"/>
  <c r="H40" i="2"/>
  <c r="H42" i="2" s="1"/>
  <c r="F37" i="2"/>
  <c r="E37" i="2"/>
  <c r="C37" i="2"/>
  <c r="F34" i="2"/>
  <c r="E24" i="1" s="1"/>
  <c r="E34" i="2"/>
  <c r="H33" i="2"/>
  <c r="G33" i="2"/>
  <c r="F33" i="2"/>
  <c r="E33" i="2"/>
  <c r="D33" i="2"/>
  <c r="C33" i="2"/>
  <c r="H32" i="2"/>
  <c r="F24" i="1" s="1"/>
  <c r="G32" i="2"/>
  <c r="G34" i="2" s="1"/>
  <c r="F32" i="2"/>
  <c r="E32" i="2"/>
  <c r="D32" i="2"/>
  <c r="D34" i="2" s="1"/>
  <c r="C32" i="2"/>
  <c r="C34" i="2" s="1"/>
  <c r="G29" i="2"/>
  <c r="F28" i="2"/>
  <c r="F29" i="2" s="1"/>
  <c r="E28" i="2"/>
  <c r="E29" i="2" s="1"/>
  <c r="D28" i="2"/>
  <c r="D29" i="2" s="1"/>
  <c r="C28" i="2"/>
  <c r="C29" i="2" s="1"/>
  <c r="H27" i="2"/>
  <c r="H29" i="2" s="1"/>
  <c r="E25" i="2"/>
  <c r="D25" i="2"/>
  <c r="F24" i="2"/>
  <c r="E24" i="2"/>
  <c r="D24" i="2"/>
  <c r="C24" i="2"/>
  <c r="H23" i="2"/>
  <c r="H25" i="2" s="1"/>
  <c r="G23" i="2"/>
  <c r="G25" i="2" s="1"/>
  <c r="F23" i="2"/>
  <c r="F25" i="2" s="1"/>
  <c r="E23" i="2"/>
  <c r="D23" i="2"/>
  <c r="C23" i="2"/>
  <c r="C25" i="2" s="1"/>
  <c r="E21" i="2"/>
  <c r="D21" i="2"/>
  <c r="F20" i="2"/>
  <c r="E20" i="2"/>
  <c r="D20" i="2"/>
  <c r="C20" i="2"/>
  <c r="H19" i="2"/>
  <c r="H21" i="2" s="1"/>
  <c r="G19" i="2"/>
  <c r="G21" i="2" s="1"/>
  <c r="F19" i="2"/>
  <c r="F21" i="2" s="1"/>
  <c r="E19" i="2"/>
  <c r="D19" i="2"/>
  <c r="C19" i="2"/>
  <c r="C21" i="2" s="1"/>
  <c r="G16" i="2"/>
  <c r="E16" i="2"/>
  <c r="D16" i="2"/>
  <c r="C16" i="2"/>
  <c r="F15" i="2"/>
  <c r="F16" i="2" s="1"/>
  <c r="F11" i="2"/>
  <c r="E11" i="2"/>
  <c r="D11" i="2"/>
  <c r="C11" i="2"/>
  <c r="C10" i="2"/>
  <c r="C12" i="2" s="1"/>
  <c r="F8" i="2"/>
  <c r="E23" i="1" s="1"/>
  <c r="H7" i="2"/>
  <c r="G23" i="1" s="1"/>
  <c r="G7" i="2"/>
  <c r="F7" i="2"/>
  <c r="E7" i="2"/>
  <c r="D7" i="2"/>
  <c r="C7" i="2"/>
  <c r="H6" i="2"/>
  <c r="F23" i="1" s="1"/>
  <c r="G6" i="2"/>
  <c r="G8" i="2" s="1"/>
  <c r="F6" i="2"/>
  <c r="E6" i="2"/>
  <c r="E8" i="2" s="1"/>
  <c r="D6" i="2"/>
  <c r="D8" i="2" s="1"/>
  <c r="C6" i="2"/>
  <c r="C8" i="2" s="1"/>
  <c r="F57" i="1"/>
  <c r="F56" i="1"/>
  <c r="C56" i="1"/>
  <c r="F55" i="1"/>
  <c r="F54" i="1"/>
  <c r="C54" i="1"/>
  <c r="F49" i="1"/>
  <c r="C49" i="1"/>
  <c r="F48" i="1"/>
  <c r="C48" i="1"/>
  <c r="F47" i="1"/>
  <c r="C47" i="1"/>
  <c r="F42" i="1"/>
  <c r="C42" i="1"/>
  <c r="D34" i="1"/>
  <c r="C34" i="1"/>
  <c r="G33" i="1"/>
  <c r="H31" i="1"/>
  <c r="G31" i="1"/>
  <c r="F31" i="1"/>
  <c r="D28" i="1"/>
  <c r="C28" i="1"/>
  <c r="D27" i="1"/>
  <c r="D26" i="1"/>
  <c r="C26" i="1"/>
  <c r="G24" i="1"/>
  <c r="D24" i="1"/>
  <c r="C24" i="1"/>
  <c r="D23" i="1"/>
  <c r="C23" i="1"/>
  <c r="E79" i="2" l="1"/>
  <c r="H26" i="3"/>
  <c r="F39" i="1"/>
  <c r="H54" i="2"/>
  <c r="H28" i="1" s="1"/>
  <c r="C83" i="2"/>
  <c r="H50" i="2"/>
  <c r="D83" i="2"/>
  <c r="G89" i="2"/>
  <c r="G91" i="2" s="1"/>
  <c r="D150" i="2"/>
  <c r="D41" i="3"/>
  <c r="H21" i="4"/>
  <c r="F30" i="4"/>
  <c r="F33" i="4"/>
  <c r="F66" i="4"/>
  <c r="F58" i="4"/>
  <c r="G54" i="5"/>
  <c r="G65" i="5"/>
  <c r="E13" i="6"/>
  <c r="G11" i="7"/>
  <c r="G15" i="7"/>
  <c r="G77" i="2" s="1"/>
  <c r="G79" i="2" s="1"/>
  <c r="H20" i="8"/>
  <c r="H21" i="8" s="1"/>
  <c r="E150" i="2"/>
  <c r="E31" i="4"/>
  <c r="E34" i="4"/>
  <c r="E59" i="4"/>
  <c r="F31" i="4"/>
  <c r="F34" i="4"/>
  <c r="F59" i="4"/>
  <c r="D91" i="2"/>
  <c r="E32" i="4"/>
  <c r="F50" i="4"/>
  <c r="E57" i="4"/>
  <c r="E60" i="4"/>
  <c r="G51" i="5"/>
  <c r="G57" i="5"/>
  <c r="G54" i="7"/>
  <c r="G93" i="2" s="1"/>
  <c r="G95" i="2" s="1"/>
  <c r="C12" i="7"/>
  <c r="E19" i="7"/>
  <c r="G28" i="8"/>
  <c r="E83" i="2"/>
  <c r="D125" i="2"/>
  <c r="E112" i="2"/>
  <c r="C25" i="1"/>
  <c r="C27" i="1"/>
  <c r="F32" i="1"/>
  <c r="F50" i="2"/>
  <c r="H140" i="2"/>
  <c r="H142" i="2" s="1"/>
  <c r="H148" i="2"/>
  <c r="H150" i="2" s="1"/>
  <c r="H66" i="4"/>
  <c r="F57" i="4"/>
  <c r="H69" i="5"/>
  <c r="H47" i="5"/>
  <c r="G52" i="5"/>
  <c r="G83" i="5" s="1"/>
  <c r="H54" i="7"/>
  <c r="H93" i="2" s="1"/>
  <c r="H95" i="2" s="1"/>
  <c r="G12" i="7"/>
  <c r="F19" i="7"/>
  <c r="G14" i="8"/>
  <c r="C20" i="8"/>
  <c r="C35" i="8" s="1"/>
  <c r="C31" i="1"/>
  <c r="D26" i="3"/>
  <c r="G21" i="4"/>
  <c r="E30" i="4"/>
  <c r="F45" i="4"/>
  <c r="F64" i="4" s="1"/>
  <c r="C69" i="5"/>
  <c r="G47" i="5"/>
  <c r="G69" i="5" s="1"/>
  <c r="C13" i="6"/>
  <c r="C15" i="7"/>
  <c r="C77" i="2" s="1"/>
  <c r="C79" i="2" s="1"/>
  <c r="F20" i="8"/>
  <c r="F25" i="8" s="1"/>
  <c r="H8" i="2"/>
  <c r="H23" i="1" s="1"/>
  <c r="F25" i="1"/>
  <c r="H75" i="2"/>
  <c r="H25" i="1" s="1"/>
  <c r="H91" i="2"/>
  <c r="H27" i="1" s="1"/>
  <c r="D75" i="2"/>
  <c r="C29" i="1"/>
  <c r="F26" i="1"/>
  <c r="H83" i="2"/>
  <c r="H26" i="1" s="1"/>
  <c r="H104" i="2"/>
  <c r="H33" i="1" s="1"/>
  <c r="F129" i="2"/>
  <c r="E30" i="1" s="1"/>
  <c r="C30" i="1"/>
  <c r="H34" i="2"/>
  <c r="H24" i="1" s="1"/>
  <c r="H44" i="3"/>
  <c r="H42" i="3"/>
  <c r="G42" i="1" s="1"/>
  <c r="H38" i="3"/>
  <c r="H36" i="3"/>
  <c r="H43" i="3"/>
  <c r="H25" i="3"/>
  <c r="H41" i="3" s="1"/>
  <c r="H23" i="3"/>
  <c r="H39" i="3" s="1"/>
  <c r="H21" i="3"/>
  <c r="F40" i="1" s="1"/>
  <c r="H24" i="3"/>
  <c r="H40" i="3" s="1"/>
  <c r="F71" i="2"/>
  <c r="C62" i="2"/>
  <c r="F142" i="2"/>
  <c r="E64" i="4"/>
  <c r="E48" i="4"/>
  <c r="E54" i="4" s="1"/>
  <c r="E80" i="4" s="1"/>
  <c r="E46" i="4"/>
  <c r="E49" i="4"/>
  <c r="E55" i="4" s="1"/>
  <c r="E73" i="4" s="1"/>
  <c r="E67" i="4"/>
  <c r="E63" i="4"/>
  <c r="E47" i="4"/>
  <c r="E53" i="4" s="1"/>
  <c r="E78" i="4" s="1"/>
  <c r="E50" i="4"/>
  <c r="E56" i="4" s="1"/>
  <c r="E70" i="4"/>
  <c r="F63" i="5"/>
  <c r="F68" i="5"/>
  <c r="F67" i="5"/>
  <c r="F66" i="5"/>
  <c r="D56" i="1" s="1"/>
  <c r="F65" i="5"/>
  <c r="D55" i="1" s="1"/>
  <c r="F64" i="5"/>
  <c r="D54" i="1" s="1"/>
  <c r="F38" i="5"/>
  <c r="F62" i="5" s="1"/>
  <c r="F37" i="5"/>
  <c r="F61" i="5" s="1"/>
  <c r="F36" i="5"/>
  <c r="F60" i="5" s="1"/>
  <c r="D52" i="1" s="1"/>
  <c r="F35" i="5"/>
  <c r="F34" i="5"/>
  <c r="F58" i="5" s="1"/>
  <c r="D50" i="1" s="1"/>
  <c r="F13" i="6"/>
  <c r="F30" i="6"/>
  <c r="F64" i="2" s="1"/>
  <c r="F66" i="2" s="1"/>
  <c r="F22" i="6"/>
  <c r="F10" i="2" s="1"/>
  <c r="F12" i="2" s="1"/>
  <c r="F29" i="6"/>
  <c r="F28" i="6"/>
  <c r="F27" i="6"/>
  <c r="F26" i="6"/>
  <c r="F116" i="2"/>
  <c r="D21" i="3"/>
  <c r="D37" i="3" s="1"/>
  <c r="D23" i="3"/>
  <c r="D39" i="3" s="1"/>
  <c r="D36" i="3"/>
  <c r="D38" i="3"/>
  <c r="D59" i="3" s="1"/>
  <c r="D40" i="3"/>
  <c r="D42" i="3"/>
  <c r="F68" i="4"/>
  <c r="H30" i="4"/>
  <c r="H32" i="4"/>
  <c r="H34" i="4"/>
  <c r="H45" i="4"/>
  <c r="H63" i="4" s="1"/>
  <c r="F47" i="4"/>
  <c r="F63" i="4"/>
  <c r="F65" i="4"/>
  <c r="F67" i="4"/>
  <c r="F57" i="5"/>
  <c r="F56" i="5"/>
  <c r="F55" i="5"/>
  <c r="F54" i="5"/>
  <c r="F53" i="5"/>
  <c r="F52" i="5"/>
  <c r="F51" i="5"/>
  <c r="F50" i="5"/>
  <c r="F31" i="6"/>
  <c r="D112" i="2"/>
  <c r="G21" i="3"/>
  <c r="G37" i="3" s="1"/>
  <c r="G23" i="3"/>
  <c r="G39" i="3" s="1"/>
  <c r="G25" i="3"/>
  <c r="G41" i="3" s="1"/>
  <c r="G40" i="3"/>
  <c r="G42" i="3"/>
  <c r="G44" i="3"/>
  <c r="G66" i="4"/>
  <c r="G65" i="4"/>
  <c r="G63" i="4"/>
  <c r="G60" i="4"/>
  <c r="G59" i="4"/>
  <c r="G58" i="4"/>
  <c r="G57" i="4"/>
  <c r="G68" i="4"/>
  <c r="H57" i="4"/>
  <c r="H59" i="4"/>
  <c r="H65" i="4"/>
  <c r="G68" i="5"/>
  <c r="E72" i="4"/>
  <c r="E71" i="4"/>
  <c r="E76" i="4"/>
  <c r="E75" i="4"/>
  <c r="F47" i="5"/>
  <c r="F69" i="5" s="1"/>
  <c r="C68" i="4"/>
  <c r="H31" i="4"/>
  <c r="F48" i="4"/>
  <c r="G82" i="5"/>
  <c r="G81" i="5"/>
  <c r="G20" i="3"/>
  <c r="G22" i="3"/>
  <c r="G38" i="3" s="1"/>
  <c r="G59" i="3" s="1"/>
  <c r="D60" i="4"/>
  <c r="D59" i="4"/>
  <c r="D58" i="4"/>
  <c r="D57" i="4"/>
  <c r="H58" i="4"/>
  <c r="H64" i="4"/>
  <c r="F25" i="6"/>
  <c r="F36" i="2" s="1"/>
  <c r="F38" i="2" s="1"/>
  <c r="E20" i="3"/>
  <c r="E36" i="3" s="1"/>
  <c r="E21" i="3"/>
  <c r="E37" i="3" s="1"/>
  <c r="E22" i="3"/>
  <c r="E38" i="3" s="1"/>
  <c r="E59" i="3" s="1"/>
  <c r="E23" i="3"/>
  <c r="E24" i="3"/>
  <c r="E40" i="3" s="1"/>
  <c r="E39" i="3"/>
  <c r="E41" i="3"/>
  <c r="E42" i="3"/>
  <c r="E43" i="3"/>
  <c r="E68" i="4"/>
  <c r="C30" i="4"/>
  <c r="C31" i="4"/>
  <c r="C32" i="4"/>
  <c r="C33" i="4"/>
  <c r="C45" i="4"/>
  <c r="C49" i="4" s="1"/>
  <c r="C55" i="4" s="1"/>
  <c r="C57" i="4"/>
  <c r="C58" i="4"/>
  <c r="C59" i="4"/>
  <c r="C64" i="4"/>
  <c r="C67" i="4"/>
  <c r="D47" i="5"/>
  <c r="D69" i="5" s="1"/>
  <c r="G21" i="8"/>
  <c r="G35" i="8"/>
  <c r="F20" i="3"/>
  <c r="F36" i="3" s="1"/>
  <c r="F21" i="3"/>
  <c r="C40" i="1" s="1"/>
  <c r="F22" i="3"/>
  <c r="C41" i="1" s="1"/>
  <c r="F23" i="3"/>
  <c r="F39" i="3" s="1"/>
  <c r="F24" i="3"/>
  <c r="F40" i="3" s="1"/>
  <c r="F41" i="3"/>
  <c r="F42" i="3"/>
  <c r="D42" i="1" s="1"/>
  <c r="F43" i="3"/>
  <c r="D30" i="4"/>
  <c r="D31" i="4"/>
  <c r="D32" i="4"/>
  <c r="D33" i="4"/>
  <c r="D45" i="4"/>
  <c r="D64" i="4" s="1"/>
  <c r="E47" i="5"/>
  <c r="E69" i="5" s="1"/>
  <c r="G23" i="8"/>
  <c r="G24" i="8" s="1"/>
  <c r="H44" i="8"/>
  <c r="H45" i="8" s="1"/>
  <c r="I42" i="8"/>
  <c r="C33" i="6"/>
  <c r="C32" i="6"/>
  <c r="E54" i="7"/>
  <c r="E93" i="2" s="1"/>
  <c r="E95" i="2" s="1"/>
  <c r="E53" i="7"/>
  <c r="C8" i="9"/>
  <c r="C7" i="9"/>
  <c r="C6" i="9"/>
  <c r="B11" i="9"/>
  <c r="C20" i="3"/>
  <c r="C21" i="3"/>
  <c r="C22" i="3"/>
  <c r="C38" i="3" s="1"/>
  <c r="C59" i="3" s="1"/>
  <c r="C23" i="3"/>
  <c r="C39" i="3" s="1"/>
  <c r="C24" i="3"/>
  <c r="C40" i="3" s="1"/>
  <c r="C37" i="3"/>
  <c r="C41" i="3"/>
  <c r="C42" i="3"/>
  <c r="C43" i="3"/>
  <c r="G30" i="4"/>
  <c r="G31" i="4"/>
  <c r="G32" i="4"/>
  <c r="G33" i="4"/>
  <c r="G45" i="4"/>
  <c r="G67" i="4" s="1"/>
  <c r="G86" i="5"/>
  <c r="G85" i="5"/>
  <c r="E33" i="6"/>
  <c r="E32" i="6"/>
  <c r="H15" i="7"/>
  <c r="H77" i="2" s="1"/>
  <c r="H79" i="2" s="1"/>
  <c r="H12" i="7"/>
  <c r="H11" i="7"/>
  <c r="H20" i="7"/>
  <c r="H22" i="7" s="1"/>
  <c r="F54" i="7"/>
  <c r="F93" i="2" s="1"/>
  <c r="F95" i="2" s="1"/>
  <c r="H25" i="8"/>
  <c r="I36" i="8"/>
  <c r="D38" i="8"/>
  <c r="C35" i="5"/>
  <c r="C59" i="5" s="1"/>
  <c r="C36" i="5"/>
  <c r="C60" i="5" s="1"/>
  <c r="C37" i="5"/>
  <c r="H50" i="5"/>
  <c r="H51" i="5"/>
  <c r="H52" i="5"/>
  <c r="H53" i="5"/>
  <c r="H54" i="5"/>
  <c r="H55" i="5"/>
  <c r="H56" i="5"/>
  <c r="H64" i="5"/>
  <c r="G54" i="1" s="1"/>
  <c r="H65" i="5"/>
  <c r="G55" i="1" s="1"/>
  <c r="H66" i="5"/>
  <c r="G56" i="1" s="1"/>
  <c r="H67" i="5"/>
  <c r="H68" i="5"/>
  <c r="G22" i="6"/>
  <c r="G10" i="2" s="1"/>
  <c r="G12" i="2" s="1"/>
  <c r="G25" i="6"/>
  <c r="G36" i="2" s="1"/>
  <c r="G38" i="2" s="1"/>
  <c r="G26" i="6"/>
  <c r="G27" i="6"/>
  <c r="G28" i="6"/>
  <c r="G29" i="6"/>
  <c r="G30" i="6"/>
  <c r="G64" i="2" s="1"/>
  <c r="G66" i="2" s="1"/>
  <c r="G31" i="6"/>
  <c r="D11" i="7"/>
  <c r="D12" i="7"/>
  <c r="E20" i="7"/>
  <c r="E22" i="7" s="1"/>
  <c r="H14" i="8"/>
  <c r="D36" i="5"/>
  <c r="D60" i="5" s="1"/>
  <c r="D37" i="5"/>
  <c r="C50" i="5"/>
  <c r="C51" i="5"/>
  <c r="C52" i="5"/>
  <c r="C53" i="5"/>
  <c r="C54" i="5"/>
  <c r="C55" i="5"/>
  <c r="C56" i="5"/>
  <c r="C58" i="5"/>
  <c r="C61" i="5"/>
  <c r="C76" i="5" s="1"/>
  <c r="C62" i="5"/>
  <c r="C64" i="5"/>
  <c r="C65" i="5"/>
  <c r="C66" i="5"/>
  <c r="C67" i="5"/>
  <c r="C75" i="5" s="1"/>
  <c r="C68" i="5"/>
  <c r="G13" i="6"/>
  <c r="H22" i="6"/>
  <c r="H10" i="2" s="1"/>
  <c r="H12" i="2" s="1"/>
  <c r="H25" i="6"/>
  <c r="H36" i="2" s="1"/>
  <c r="H38" i="2" s="1"/>
  <c r="H26" i="6"/>
  <c r="H27" i="6"/>
  <c r="H28" i="6"/>
  <c r="H29" i="6"/>
  <c r="H30" i="6"/>
  <c r="H64" i="2" s="1"/>
  <c r="H66" i="2" s="1"/>
  <c r="H31" i="6"/>
  <c r="E11" i="7"/>
  <c r="E12" i="7"/>
  <c r="F20" i="7"/>
  <c r="F22" i="7" s="1"/>
  <c r="F53" i="7"/>
  <c r="I13" i="8"/>
  <c r="D20" i="8"/>
  <c r="D28" i="8" s="1"/>
  <c r="C25" i="8"/>
  <c r="E34" i="5"/>
  <c r="E58" i="5" s="1"/>
  <c r="E35" i="5"/>
  <c r="E59" i="5" s="1"/>
  <c r="E36" i="5"/>
  <c r="E60" i="5" s="1"/>
  <c r="E37" i="5"/>
  <c r="E61" i="5" s="1"/>
  <c r="E76" i="5" s="1"/>
  <c r="D50" i="5"/>
  <c r="D51" i="5"/>
  <c r="D52" i="5"/>
  <c r="D53" i="5"/>
  <c r="D54" i="5"/>
  <c r="D55" i="5"/>
  <c r="D56" i="5"/>
  <c r="D58" i="5"/>
  <c r="D59" i="5"/>
  <c r="D61" i="5"/>
  <c r="D76" i="5" s="1"/>
  <c r="D62" i="5"/>
  <c r="D64" i="5"/>
  <c r="D65" i="5"/>
  <c r="D66" i="5"/>
  <c r="D67" i="5"/>
  <c r="D75" i="5" s="1"/>
  <c r="D68" i="5"/>
  <c r="I11" i="6"/>
  <c r="H13" i="6"/>
  <c r="C25" i="6"/>
  <c r="C36" i="2" s="1"/>
  <c r="C38" i="2" s="1"/>
  <c r="C26" i="6"/>
  <c r="C27" i="6"/>
  <c r="C28" i="6"/>
  <c r="C29" i="6"/>
  <c r="C30" i="6"/>
  <c r="C64" i="2" s="1"/>
  <c r="C66" i="2" s="1"/>
  <c r="H36" i="6"/>
  <c r="F11" i="7"/>
  <c r="F12" i="7"/>
  <c r="F15" i="7"/>
  <c r="F77" i="2" s="1"/>
  <c r="F79" i="2" s="1"/>
  <c r="G19" i="7"/>
  <c r="D14" i="8"/>
  <c r="E20" i="8"/>
  <c r="I27" i="8"/>
  <c r="E50" i="5"/>
  <c r="E51" i="5"/>
  <c r="E52" i="5"/>
  <c r="E53" i="5"/>
  <c r="E54" i="5"/>
  <c r="E55" i="5"/>
  <c r="E56" i="5"/>
  <c r="E62" i="5"/>
  <c r="E64" i="5"/>
  <c r="E65" i="5"/>
  <c r="E66" i="5"/>
  <c r="E67" i="5"/>
  <c r="E75" i="5" s="1"/>
  <c r="E68" i="5"/>
  <c r="D22" i="6"/>
  <c r="D10" i="2" s="1"/>
  <c r="D12" i="2" s="1"/>
  <c r="D25" i="6"/>
  <c r="D36" i="2" s="1"/>
  <c r="D38" i="2" s="1"/>
  <c r="D26" i="6"/>
  <c r="D27" i="6"/>
  <c r="D28" i="6"/>
  <c r="D29" i="6"/>
  <c r="D30" i="6"/>
  <c r="D64" i="2" s="1"/>
  <c r="D66" i="2" s="1"/>
  <c r="D31" i="6"/>
  <c r="I52" i="7"/>
  <c r="E14" i="8"/>
  <c r="E22" i="6"/>
  <c r="E10" i="2" s="1"/>
  <c r="E12" i="2" s="1"/>
  <c r="E25" i="6"/>
  <c r="E36" i="2" s="1"/>
  <c r="E38" i="2" s="1"/>
  <c r="E26" i="6"/>
  <c r="E27" i="6"/>
  <c r="E28" i="6"/>
  <c r="E29" i="6"/>
  <c r="E30" i="6"/>
  <c r="E64" i="2" s="1"/>
  <c r="E66" i="2" s="1"/>
  <c r="C53" i="7"/>
  <c r="F14" i="8"/>
  <c r="H35" i="8" l="1"/>
  <c r="C26" i="3"/>
  <c r="C50" i="4"/>
  <c r="C56" i="4" s="1"/>
  <c r="G84" i="5"/>
  <c r="G50" i="4"/>
  <c r="G56" i="4" s="1"/>
  <c r="G76" i="4" s="1"/>
  <c r="H50" i="4"/>
  <c r="F56" i="4"/>
  <c r="C46" i="1"/>
  <c r="G26" i="3"/>
  <c r="E74" i="4"/>
  <c r="F49" i="4"/>
  <c r="F38" i="3"/>
  <c r="G49" i="4"/>
  <c r="G55" i="4" s="1"/>
  <c r="H37" i="3"/>
  <c r="H56" i="3" s="1"/>
  <c r="F35" i="8"/>
  <c r="H28" i="8"/>
  <c r="C63" i="4"/>
  <c r="F28" i="8"/>
  <c r="C28" i="8"/>
  <c r="C75" i="4"/>
  <c r="C76" i="4"/>
  <c r="F76" i="5"/>
  <c r="D53" i="1"/>
  <c r="D84" i="5"/>
  <c r="D83" i="5"/>
  <c r="D74" i="5"/>
  <c r="D88" i="5" s="1"/>
  <c r="E25" i="8"/>
  <c r="E21" i="8"/>
  <c r="E35" i="8"/>
  <c r="E28" i="8"/>
  <c r="H38" i="6"/>
  <c r="H14" i="2"/>
  <c r="H16" i="2" s="1"/>
  <c r="D86" i="5"/>
  <c r="D85" i="5"/>
  <c r="D73" i="5"/>
  <c r="D92" i="5" s="1"/>
  <c r="F21" i="8"/>
  <c r="D82" i="5"/>
  <c r="D81" i="5"/>
  <c r="D72" i="5"/>
  <c r="D90" i="5" s="1"/>
  <c r="C84" i="5"/>
  <c r="C83" i="5"/>
  <c r="C74" i="5"/>
  <c r="C88" i="5" s="1"/>
  <c r="H75" i="5"/>
  <c r="G57" i="1"/>
  <c r="C74" i="4"/>
  <c r="C73" i="4"/>
  <c r="G64" i="4"/>
  <c r="F33" i="6"/>
  <c r="F32" i="6"/>
  <c r="H48" i="4"/>
  <c r="H47" i="4"/>
  <c r="G36" i="5"/>
  <c r="G60" i="5" s="1"/>
  <c r="G74" i="5" s="1"/>
  <c r="G88" i="5" s="1"/>
  <c r="H36" i="5"/>
  <c r="C52" i="1"/>
  <c r="F75" i="5"/>
  <c r="D57" i="1"/>
  <c r="H67" i="4"/>
  <c r="H53" i="3"/>
  <c r="H54" i="3"/>
  <c r="G40" i="1"/>
  <c r="D68" i="4"/>
  <c r="G74" i="4"/>
  <c r="G73" i="4"/>
  <c r="F53" i="4"/>
  <c r="C43" i="1"/>
  <c r="G35" i="5"/>
  <c r="G59" i="5" s="1"/>
  <c r="G72" i="5" s="1"/>
  <c r="G90" i="5" s="1"/>
  <c r="H35" i="5"/>
  <c r="C51" i="1"/>
  <c r="E66" i="4"/>
  <c r="E65" i="4"/>
  <c r="H59" i="3"/>
  <c r="G41" i="1"/>
  <c r="E84" i="5"/>
  <c r="E83" i="5"/>
  <c r="E74" i="5"/>
  <c r="E88" i="5" s="1"/>
  <c r="D25" i="8"/>
  <c r="D21" i="8"/>
  <c r="I20" i="8"/>
  <c r="D35" i="8"/>
  <c r="H33" i="6"/>
  <c r="H32" i="6"/>
  <c r="C86" i="5"/>
  <c r="C85" i="5"/>
  <c r="C73" i="5"/>
  <c r="C92" i="5" s="1"/>
  <c r="H84" i="5"/>
  <c r="H83" i="5"/>
  <c r="G49" i="1"/>
  <c r="C48" i="4"/>
  <c r="C54" i="4" s="1"/>
  <c r="C80" i="4" s="1"/>
  <c r="C47" i="4"/>
  <c r="C53" i="4" s="1"/>
  <c r="C78" i="4" s="1"/>
  <c r="C46" i="4"/>
  <c r="E57" i="3"/>
  <c r="E56" i="3"/>
  <c r="E54" i="3"/>
  <c r="E53" i="3"/>
  <c r="E26" i="3"/>
  <c r="D50" i="4"/>
  <c r="D56" i="4" s="1"/>
  <c r="D76" i="4" s="1"/>
  <c r="G36" i="3"/>
  <c r="F72" i="5"/>
  <c r="F90" i="5" s="1"/>
  <c r="F82" i="5"/>
  <c r="F81" i="5"/>
  <c r="D47" i="1"/>
  <c r="G37" i="5"/>
  <c r="G61" i="5" s="1"/>
  <c r="G76" i="5" s="1"/>
  <c r="H37" i="5"/>
  <c r="C53" i="1"/>
  <c r="H49" i="4"/>
  <c r="E86" i="5"/>
  <c r="E85" i="5"/>
  <c r="E73" i="5"/>
  <c r="E92" i="5" s="1"/>
  <c r="C82" i="5"/>
  <c r="C81" i="5"/>
  <c r="C72" i="5"/>
  <c r="C90" i="5" s="1"/>
  <c r="F59" i="3"/>
  <c r="D41" i="1"/>
  <c r="E51" i="3"/>
  <c r="E50" i="3"/>
  <c r="E49" i="3"/>
  <c r="D63" i="4"/>
  <c r="D51" i="3"/>
  <c r="D49" i="3"/>
  <c r="D50" i="3"/>
  <c r="G38" i="5"/>
  <c r="G62" i="5" s="1"/>
  <c r="H38" i="5"/>
  <c r="H62" i="5" s="1"/>
  <c r="H86" i="5"/>
  <c r="H85" i="5"/>
  <c r="G48" i="1"/>
  <c r="C57" i="3"/>
  <c r="C56" i="3"/>
  <c r="C54" i="3"/>
  <c r="C53" i="3"/>
  <c r="C70" i="4"/>
  <c r="G57" i="3"/>
  <c r="G54" i="3"/>
  <c r="G56" i="3"/>
  <c r="G53" i="3"/>
  <c r="F54" i="4"/>
  <c r="C44" i="1"/>
  <c r="D49" i="4"/>
  <c r="D55" i="4" s="1"/>
  <c r="D74" i="4" s="1"/>
  <c r="F73" i="5"/>
  <c r="F92" i="5" s="1"/>
  <c r="F86" i="5"/>
  <c r="F85" i="5"/>
  <c r="D48" i="1"/>
  <c r="D33" i="6"/>
  <c r="D32" i="6"/>
  <c r="E82" i="5"/>
  <c r="E81" i="5"/>
  <c r="E72" i="5"/>
  <c r="E90" i="5" s="1"/>
  <c r="G33" i="6"/>
  <c r="G32" i="6"/>
  <c r="H82" i="5"/>
  <c r="H81" i="5"/>
  <c r="G47" i="1"/>
  <c r="G48" i="4"/>
  <c r="G54" i="4" s="1"/>
  <c r="G80" i="4" s="1"/>
  <c r="G47" i="4"/>
  <c r="G53" i="4" s="1"/>
  <c r="G78" i="4" s="1"/>
  <c r="C36" i="3"/>
  <c r="F37" i="3"/>
  <c r="F26" i="3"/>
  <c r="C39" i="1"/>
  <c r="H68" i="4"/>
  <c r="G70" i="4"/>
  <c r="F74" i="5"/>
  <c r="F88" i="5" s="1"/>
  <c r="F84" i="5"/>
  <c r="F83" i="5"/>
  <c r="D49" i="1"/>
  <c r="E69" i="4"/>
  <c r="D48" i="4"/>
  <c r="D54" i="4" s="1"/>
  <c r="D80" i="4" s="1"/>
  <c r="D47" i="4"/>
  <c r="D53" i="4" s="1"/>
  <c r="D78" i="4" s="1"/>
  <c r="D46" i="4"/>
  <c r="F51" i="3"/>
  <c r="F50" i="3"/>
  <c r="F49" i="3"/>
  <c r="D39" i="1"/>
  <c r="D67" i="4"/>
  <c r="D57" i="3"/>
  <c r="D54" i="3"/>
  <c r="D56" i="3"/>
  <c r="D53" i="3"/>
  <c r="G34" i="5"/>
  <c r="G58" i="5" s="1"/>
  <c r="G73" i="5" s="1"/>
  <c r="G92" i="5" s="1"/>
  <c r="H34" i="5"/>
  <c r="C50" i="1"/>
  <c r="F59" i="5"/>
  <c r="D51" i="1" s="1"/>
  <c r="H50" i="3"/>
  <c r="H51" i="3"/>
  <c r="H49" i="3"/>
  <c r="G39" i="1"/>
  <c r="D73" i="4" l="1"/>
  <c r="G75" i="4"/>
  <c r="C69" i="4"/>
  <c r="F46" i="1"/>
  <c r="H56" i="4"/>
  <c r="D70" i="4"/>
  <c r="C45" i="1"/>
  <c r="F55" i="4"/>
  <c r="G71" i="4"/>
  <c r="G72" i="4"/>
  <c r="H57" i="3"/>
  <c r="F75" i="4"/>
  <c r="D46" i="1"/>
  <c r="F76" i="4"/>
  <c r="F45" i="1"/>
  <c r="H55" i="4"/>
  <c r="F51" i="1"/>
  <c r="H59" i="5"/>
  <c r="F43" i="1"/>
  <c r="H53" i="4"/>
  <c r="G69" i="4"/>
  <c r="D71" i="4"/>
  <c r="C71" i="4"/>
  <c r="F44" i="1"/>
  <c r="H54" i="4"/>
  <c r="D69" i="4"/>
  <c r="F57" i="3"/>
  <c r="F56" i="3"/>
  <c r="F54" i="3"/>
  <c r="F53" i="3"/>
  <c r="D40" i="1"/>
  <c r="D72" i="4"/>
  <c r="C72" i="4"/>
  <c r="F50" i="1"/>
  <c r="H58" i="5"/>
  <c r="C51" i="3"/>
  <c r="C50" i="3"/>
  <c r="C49" i="3"/>
  <c r="F53" i="1"/>
  <c r="H61" i="5"/>
  <c r="G51" i="3"/>
  <c r="G49" i="3"/>
  <c r="G50" i="3"/>
  <c r="F78" i="4"/>
  <c r="F70" i="4"/>
  <c r="F69" i="4"/>
  <c r="D43" i="1"/>
  <c r="D65" i="4"/>
  <c r="D66" i="4"/>
  <c r="D75" i="4"/>
  <c r="F52" i="1"/>
  <c r="H60" i="5"/>
  <c r="C65" i="4"/>
  <c r="C66" i="4"/>
  <c r="F80" i="4"/>
  <c r="D44" i="1"/>
  <c r="F71" i="4"/>
  <c r="F72" i="4"/>
  <c r="G46" i="1" l="1"/>
  <c r="H75" i="4"/>
  <c r="H76" i="4"/>
  <c r="D45" i="1"/>
  <c r="F74" i="4"/>
  <c r="F73" i="4"/>
  <c r="H78" i="4"/>
  <c r="G43" i="1"/>
  <c r="H70" i="4"/>
  <c r="H69" i="4"/>
  <c r="H80" i="4"/>
  <c r="G44" i="1"/>
  <c r="H72" i="4"/>
  <c r="H71" i="4"/>
  <c r="G51" i="1"/>
  <c r="H72" i="5"/>
  <c r="H90" i="5" s="1"/>
  <c r="G50" i="1"/>
  <c r="H73" i="5"/>
  <c r="H92" i="5" s="1"/>
  <c r="G52" i="1"/>
  <c r="H74" i="5"/>
  <c r="H88" i="5" s="1"/>
  <c r="H76" i="5"/>
  <c r="G53" i="1"/>
  <c r="G45" i="1"/>
  <c r="H74" i="4"/>
  <c r="H73" i="4"/>
</calcChain>
</file>

<file path=xl/sharedStrings.xml><?xml version="1.0" encoding="utf-8"?>
<sst xmlns="http://schemas.openxmlformats.org/spreadsheetml/2006/main" count="1907" uniqueCount="1068">
  <si>
    <t>New Street Research “$4tn AI capex in 2030” (18-Sep-2026) vs Capstone — summary</t>
  </si>
  <si>
    <t>NSR (Pierre Ferragu, Antoine Chkaiban, Benjamin Harwood, Peter Vogel) raised its 2030 AI capex forecast from ~$3.1tn to $4.15tn. This workbook transcribes the note with live formulas (NSR_* sheets), lays the Capstone series beside it (House) and compares them line by line (Comparison). This page links to those cells.</t>
  </si>
  <si>
    <t>WHAT NSR SAYS</t>
  </si>
  <si>
    <t>• $4.15tn of AI infrastructure capex in 2030 (from $584bn in 2025, 48% CAGR): XPUs $1.70tn (41%), other equipment &amp; buildings $1.02tn (24%), networking $465bn, DRAM &amp; NAND $423bn, other server content $373bn, CPUs $168bn. Increase is volume-driven; ~275 GW of installed AI capacity in 2030 (from ~225 GW).</t>
  </si>
  <si>
    <t>• Memory share of AI infrastructure keeps rising even as prices normalise: HBM $560bn in 2030 (33% of XPU spend, GM ~76%), DRAM $241bn, NAND $182bn.</t>
  </si>
  <si>
    <t>• Hyperscalers: group capex $8.7tn cumulative 2026-30, FCF negative through 2029 (trough −$486bn in 2028), positive again in 2030; OCF $8.0tn vs consensus $6tn on a 24% revenue CAGR and 77% incremental OCF margin.</t>
  </si>
  <si>
    <t>• Funding: $16.5tn of datacenter capex 2026-30, &gt;75% covered by hyperscaler / tier-2 / neocloud OCF and enterprise self-funding; ~$3.7tn (23%) needs external financing, mostly neoclouds with hyperscaler guarantees; industry leverage ~2.2x 2027 EBITDA.</t>
  </si>
  <si>
    <t>KEY READS — NSR vs Capstone</t>
  </si>
  <si>
    <t>1. Level: NSR is above the house on total AI capex in every year — $584bn vs $396bn in 2025 (+47%), $1,132 vs $902 (2026), $2,190 vs $1,885 (2027), $3,330 vs $2,913 (2028, +14%). The gap narrows because the house grows faster in 2026-27 (+128% / +109% vs NSR +94% / +93%).</t>
  </si>
  <si>
    <t>2. 2030: NSR $4.15tn vs the house's July-vintage extension $3.48tn (−16%). Re-based on the current CY28 ($2,913bn) the same growth path gives ~$3.9tn — within ~6% of NSR. The house has no modeled CY29-30 on the current base.</t>
  </si>
  <si>
    <t>3. Mix: the house puts more into accelerators (48% → 40% of capex) than NSR (35% → 41%); NSR puts more into shell/buildings early (44% in 2025 vs 36%) and less later (27% vs 36% in 2028). Capex per GW converges on ~$42bn by 2028 (NSR $40-45bn; house $30.5 → $41.9bn).</t>
  </si>
  <si>
    <t>4. Memory is the biggest dollar disagreement: HBM 2030 NSR $560bn vs house repriced $283bn (BofA $168bn) — the two agree in 2027 (~$190bn) and diverge after, as NSR keeps HBM compounding at 22-38% into 2029-30 where the house fades price. Ex-HBM DRAM+NAND agree within 6% (2027) and 4% (2030).</t>
  </si>
  <si>
    <t>5. GW: NSR ~275 GW installed in 2030 (basis unstated) sits between the house's cumulative chip-content GW (299, gross) and cumulative facility GW (242). On an online-capacity basis the house has 119 GW at CY28.</t>
  </si>
  <si>
    <t>6. Hyperscaler cash: NSR OCF runs 11-19% above the house big-4; NSR capex 19-35% above in 2027-28; NSR FCF troughs at −$486bn in 2028 vs house −$261bn (house trough is earlier and shallower). Both are far below BBG consensus (−$19bn 2027 / +$132bn 2028, 07-28 vintage).</t>
  </si>
  <si>
    <t>7. Cloud revenue is where the two agree most: AI cloud 2030 $1,511bn (NSR) vs $1,492bn (house), within 13% every year. Non-AI cloud diverges: NSR $370bn vs house $630bn in 2030 (NSR ~10% growth, house ~21%).</t>
  </si>
  <si>
    <t>8. Funding: NSR needs $3.7tn of external financing over 2026-30 (23% of $16.5tn), mostly neoclouds. The house already shows ~$2.9tn of spend not covered by big-4 cash in 2026-28 alone (big-4 FCF −$563bn + other players' capex $2.3tn) — a bigger, earlier hole than NSR's.</t>
  </si>
  <si>
    <t>9. Internal NSR inconsistencies flagged in the NSR sheets: p.5 'other server content' 2025 ($29bn) does not tie to its printed +191% growth; DRAM and NAND carry an identical COGS-growth row; p.6 financing $3.7tn vs p.8 $4.0tn; hyperscaler AI capex at $40-45bn/GW implies ~184 GW cumulative vs the stated '&gt;100 GW'.</t>
  </si>
  <si>
    <t>HEADLINE TABLE — 2028 and 2030 (linked to the Comparison sheet; blue Δ = Capstone above NSR, red = below)</t>
  </si>
  <si>
    <t>Metric</t>
  </si>
  <si>
    <t>Unit</t>
  </si>
  <si>
    <t>NSR 2028</t>
  </si>
  <si>
    <t>Capstone 2028</t>
  </si>
  <si>
    <t>Δ 2028</t>
  </si>
  <si>
    <t>NSR 2030</t>
  </si>
  <si>
    <t>Capstone 2030</t>
  </si>
  <si>
    <t>Δ 2030</t>
  </si>
  <si>
    <t>Read</t>
  </si>
  <si>
    <t>Total AI capex</t>
  </si>
  <si>
    <t>$bn</t>
  </si>
  <si>
    <t>Capstone 2030 is a July-vintage extension; re-based ~$3.9tn.</t>
  </si>
  <si>
    <t>XPUs / accelerators</t>
  </si>
  <si>
    <t>House chips = designers' revenue incl. HBM.</t>
  </si>
  <si>
    <t>HBM (Semis MAP repriced)</t>
  </si>
  <si>
    <t>The largest dollar gap; agree in 2027, diverge after.</t>
  </si>
  <si>
    <t>DRAM ex-HBM + NAND</t>
  </si>
  <si>
    <t>Close in 2027 and 2030; house lower in 2028.</t>
  </si>
  <si>
    <t>Total memory (HBM + DRAM + NAND)</t>
  </si>
  <si>
    <t>House TOTAL CSP memory bill vs NSR sum.</t>
  </si>
  <si>
    <t>Networking</t>
  </si>
  <si>
    <t>Semis MAP line; Bottom_Up build is ~0.65x NSR.</t>
  </si>
  <si>
    <t>Hyperscaler capex (total)</t>
  </si>
  <si>
    <t>NSR basket not enumerated; house = big-4 calendar.</t>
  </si>
  <si>
    <t>Hyperscaler FCF</t>
  </si>
  <si>
    <t>House trough earlier and shallower.</t>
  </si>
  <si>
    <t>AI cloud revenue</t>
  </si>
  <si>
    <t>Strongest convergence in the note.</t>
  </si>
  <si>
    <t>Installed AI GW (chip-content basis)</t>
  </si>
  <si>
    <t>GW</t>
  </si>
  <si>
    <t>NSR basis unstated; house chip GW, gross of retirements.</t>
  </si>
  <si>
    <t>Installed AI GW (facility basis)</t>
  </si>
  <si>
    <t>Bottom_Up physical facility GW.</t>
  </si>
  <si>
    <t>Capex per GW</t>
  </si>
  <si>
    <t>$bn/GW</t>
  </si>
  <si>
    <t>Converging on ~$42bn by 2028.</t>
  </si>
  <si>
    <t>VENDOR MARKET SHARES ON THE NSR POOLS — 2028 and 2030 (linked to Share_XPU / Share_CPU / Share_Memory; implied $bn = NSR pool × share)</t>
  </si>
  <si>
    <t>Not additive across blocks: HBM dollars sit inside the XPU figures AND appear as vendor HBM revenue below (NSR p.5 puts HBM inside XPU spending) — summing NVIDIA/Broadcom with SK Hynix/Samsung/Micron double-counts $332bn in 2028 and $560bn in 2030. Capstone-mix shares are house forecasts (EST), not market prints; CY29-30 sit on the July base.</t>
  </si>
  <si>
    <t>Pool — vendor</t>
  </si>
  <si>
    <t>Share 2028</t>
  </si>
  <si>
    <t>$bn 2028</t>
  </si>
  <si>
    <t>Share 2030</t>
  </si>
  <si>
    <t>$bn 2030</t>
  </si>
  <si>
    <t>Share lens / basis</t>
  </si>
  <si>
    <t>XPU — NVIDIA</t>
  </si>
  <si>
    <t>Capstone designer mix (AI Model CY28; Semis MAP CY30 — the CY28→29 share step is a vintage splice). NSR itself has ~60% in 2030, BofA 68%.</t>
  </si>
  <si>
    <t>XPU — Broadcom (custom ASIC)</t>
  </si>
  <si>
    <t>Capstone mix; BofA 16% in 2030. On NSR's pool this implies more Broadcom revenue than NSR's own $230bn FY28 Broadcom datapoint — see Share_XPU guardrail.</t>
  </si>
  <si>
    <t>XPU — AMD</t>
  </si>
  <si>
    <t>Capstone mix; BofA ~7% in 2030.</t>
  </si>
  <si>
    <t>XPU — NVIDIA at NSR’s own 60% (2030 only)</t>
  </si>
  <si>
    <t>NSR p.3: ~$1.0tn of NVIDIA XPU revenue in 2030.</t>
  </si>
  <si>
    <t>Server CPU — Intel</t>
  </si>
  <si>
    <t>Silicon anchor build applied to NSR's total CPU pool: Intel on BofA's printed path ($14.1bn CY25 → $46.3bn CY30E).</t>
  </si>
  <si>
    <t>Server CPU — AMD</t>
  </si>
  <si>
    <t>Segment prints to 2026, UBS 05-21 on its own TAM in 2030 (29% × $173bn ≈ $50bn); AMD's own target is &gt;50% of $220bn.</t>
  </si>
  <si>
    <t>Server CPU — NVIDIA (Grace/Vera)</t>
  </si>
  <si>
    <t>CHIP basis: Bernstein units × $4k ASP (≈ Grace TTM &gt;$5bn in 2025). Management's ‘$20bn demand / more than double in FY28’ is a systems-basis reading, kept as a scenario.</t>
  </si>
  <si>
    <t>Server CPU — captive Arm + Hygon + others</t>
  </si>
  <si>
    <t>Bernstein units × ~$1.2k EST (±$0.5k moves the line ±42%).</t>
  </si>
  <si>
    <t>HBM — SK Hynix</t>
  </si>
  <si>
    <t>JPM SALES-share path (60% → 42% by 2028) held at 2028; if JPM's −6pp/yr slope continues, 30% / $168bn in 2030 (Share_Memory scenario). Capstone Semis MAP has 47% in 2028.</t>
  </si>
  <si>
    <t>HBM — Samsung</t>
  </si>
  <si>
    <t>JPM 20% → 38% held; slope-continued 50% / $280bn in 2030. UBS's ‘41% in 2027’ is a BIT share. Capstone 28%.</t>
  </si>
  <si>
    <t>HBM — Micron</t>
  </si>
  <si>
    <t>JPM ~20% flat; Capstone 25%; UBS 20-21% (bits).</t>
  </si>
  <si>
    <t>Server DRAM — Samsung</t>
  </si>
  <si>
    <t>DRAM bit-supply share (memory bible), held from 2028 — proxy for server-DRAM value share.</t>
  </si>
  <si>
    <t>Server DRAM — SK Hynix</t>
  </si>
  <si>
    <t>Bit share.</t>
  </si>
  <si>
    <t>Server DRAM — Micron</t>
  </si>
  <si>
    <t>Server DRAM — CXMT</t>
  </si>
  <si>
    <t>Bit share overstates CXMT in servers (Wells: ~8% revenue share, DDR4/LPDDR4-heavy); at a ~3% server share the 2028 figure would be ~$8bn (Share_Memory alternative row).</t>
  </si>
  <si>
    <t>Server NAND — Samsung</t>
  </si>
  <si>
    <t>TrendForce 2Q26 enterprise-SSD revenue share (35%), held flat.</t>
  </si>
  <si>
    <t>Server NAND — SK Hynix + Solidigm</t>
  </si>
  <si>
    <t>eSSD share 21% (2Q26).</t>
  </si>
  <si>
    <t>Server NAND — Micron</t>
  </si>
  <si>
    <t>eSSD share 17% (2Q26).</t>
  </si>
  <si>
    <t>Server NAND — Kioxia</t>
  </si>
  <si>
    <t>eSSD share 11% (2Q26; TrendForce via Jefferies).</t>
  </si>
  <si>
    <t>Colour code: blue numbers = inputs as printed / pasted; black = formulas; green = links. Sheet order: Summary → Comparison → Share_XPU → Share_CPU → Share_Memory → NSR_Capex → NSR_Memory → NSR_HyperPL → NSR_Funding → NSR_Datapoints → House → README (sources, basis warnings).</t>
  </si>
  <si>
    <t>NSR (18-Sep-2026) vs Capstone — side by side, 2025-2030</t>
  </si>
  <si>
    <t>Each metric has three rows: NSR (linked from the NSR sheets) / Capstone (linked from House) / Δ = Capstone ÷ NSR − 1 (blue = Capstone above NSR, red = below). Capstone CY29-30 come from July-vintage extensions (stale base) or are blank. Read the basis note before quoting a delta.</t>
  </si>
  <si>
    <t>Series</t>
  </si>
  <si>
    <t>2025</t>
  </si>
  <si>
    <t>2026</t>
  </si>
  <si>
    <t>2027</t>
  </si>
  <si>
    <t>2028</t>
  </si>
  <si>
    <t>2029</t>
  </si>
  <si>
    <t>2030</t>
  </si>
  <si>
    <t>Basis / how to read</t>
  </si>
  <si>
    <t>1. THE HEADLINE — total AI capex, all buyers</t>
  </si>
  <si>
    <t>Total AI capex ($bn)</t>
  </si>
  <si>
    <t>NSR</t>
  </si>
  <si>
    <t>NSR p.4 total (all buyers). Capstone CY25-28 = AI Model Capex Total (31-Aug, all players); CY29-30 = Semis MAP v11 scenario extension on the JULY base (CY28 2,588 vs current 2,913) — re-based on the current CY28 the CY29-30 house path would be ~$3.4tn / ~$3.9tn. Read: NSR is ABOVE the house in every year — +47% in 2025 ($584bn vs $396bn), narrowing to +14% in 2028 ($3,330bn vs $2,913bn) because the house grows faster in 2026-27. In 2030 NSR $4.15tn vs the stale house extension $3.48tn (−16%); on the re-based ~$3.9tn the gap is ~6%.</t>
  </si>
  <si>
    <t>Capstone</t>
  </si>
  <si>
    <t>Δ Capstone vs NSR</t>
  </si>
  <si>
    <t>Total AI capex — y/y growth</t>
  </si>
  <si>
    <t>House 2026 +128% / 2027 +109% / 2028 +54% vs NSR +94% / +93% / +52% / +14% / +9%. Same 2028 deceleration; house 2027 is the steeper year.</t>
  </si>
  <si>
    <t>Cumulative AI capex ($bn) — NSR 2026-30 in the 2030 column; Capstone 2026-28 in the 2028 column</t>
  </si>
  <si>
    <t>NSR 2026-30 cumulative $14.6tn AI (inside a $16.5tn total DC figure). House 2026-28 alone = $5.7tn on the current model (NSR 2026-28 = $6.65tn). No house cumulative to 2030 on the current base.</t>
  </si>
  <si>
    <t>2. WHO SPENDS — hyperscalers vs the rest</t>
  </si>
  <si>
    <t>Hyperscaler capex, total incl. non-AI ($bn)</t>
  </si>
  <si>
    <t>NSR p.7 group capex, basket not enumerated. Capstone = MSFT+AMZN+GOOG+META official models (calendar). NSR 2027 $1,384bn vs house big-4 $1,098bn: NSR is ~26% above on a basket that probably includes ORCL and possibly others.</t>
  </si>
  <si>
    <t>Hyperscaler AI capex ($bn)</t>
  </si>
  <si>
    <t>NSR implied = group capex − non-AI ($125bn +13% p.a., NSR's own comment). Capstone = AI Model hyperscaler AI bottom-up (big-4). House is above NSR in 2025-26 (+16% / +4%) and below from 2027 (−8%) and 2028 (−21%); by 2028 both put ~all of the growth in AI.</t>
  </si>
  <si>
    <t>Non-hyperscaler share of AI capex</t>
  </si>
  <si>
    <t>NSR: cumulative 2026-30, neocloud $6.5tn + enterprise/gov $1.4tn = 48% of $16.5tn (neocloud alone 39%). Capstone: other players (ORCL, CRWV, SpaceX, labs, sovereign) = 24% of 2026 → 40% of 2027 → 51% of 2028 AI capex. Both houses agree the non-hyperscaler half is where the funding question lives.</t>
  </si>
  <si>
    <t>3. WHERE IT GOES — component mix</t>
  </si>
  <si>
    <t>XPUs / accelerators ($bn)</t>
  </si>
  <si>
    <t>NSR XPUs (incl. HBM) vs Capstone chips = designers' revenue incl. HBM (AI Model CY25-28; Semis MAP extension CY29-30). Capstone is only 2-8% below NSR on XPUs while it is 12-32% below on total capex — i.e. the house puts a LARGER share of each capex dollar into the accelerator than NSR does.</t>
  </si>
  <si>
    <t>XPUs as % of total AI capex</t>
  </si>
  <si>
    <t>NSR 35% → 38% (2028) → 41% (2030), rising. Capstone 48% → 40% (CY28), falling as the networking/CPU/memory bucket grows 16% → 25%. House share is higher every year but the trajectories cross — the sharpest structural disagreement in this comparison.</t>
  </si>
  <si>
    <t>NVDA share of accelerator value</t>
  </si>
  <si>
    <t>NSR: ~60% in 2030 (~$1.0tn NVDA of $1.7tn). Capstone: 68% CY28 (AI Model), 64% CY30 (Semis MAP). House is 4-8pp more NVDA-heavy at the end of the decade; BofA has 68% CY30.</t>
  </si>
  <si>
    <t>CPUs — AI slice ($bn)</t>
  </si>
  <si>
    <t>NSR p.4 CPUs (AI) 6 → 168. Capstone Semis MAP AI CPUs (head-node, BofA-mix on house capex) 15 → 171. Nearly identical 2030 level, but the house is 1.5-2.5x NSR in 2025-26 (NSR's $6bn 2025 looks too low against any head-node count).</t>
  </si>
  <si>
    <t>CPUs — total server-CPU market ($bn)</t>
  </si>
  <si>
    <t>NSR p.5 CPUs spending 25 → 202. Capstone ledger: house build ~$55bn CY26 / $96bn CY27 / $137bn CY28, ~$180-200bn 2030 (CPU-silicon total incl. Vera + enterprise). House is above NSR in 2026-28 (front-loaded agentic 1:1), converges by 2030; AMD's $220bn 2030 is above both.</t>
  </si>
  <si>
    <t>Networking ($bn)</t>
  </si>
  <si>
    <t>NSR networking 40 → 465. Capstone Semis MAP AI networking (BofA ratio × house accelerators) 57 → 606; Bottom_Up physical build is lower (56 → 306). NSR sits between the two house constructions; all three agree networking outgrows compute.</t>
  </si>
  <si>
    <t>Networking — vs Capstone Bottom_Up physical build ($bn)</t>
  </si>
  <si>
    <t>Same NSR line vs the physical units×ASP build (Bottom_Up_Capex_v3). Shows the house's own range on networking: 0.65x (2028-30) to 1.4x (2025) of NSR.</t>
  </si>
  <si>
    <t>Other equipment &amp; buildings / shell, power, site ($bn)</t>
  </si>
  <si>
    <t>NSR 258 → 1,016 (44% → 24% of capex, 'frontloaded'). Capstone AI Model 'Other' 141 → 1,041 CY25-28 (held ~36% of capex). NSR has ~$120bn MORE shell in 2025 and ~$140bn LESS by 2028 — NSR front-loads the physical build, the house scales it with chips.</t>
  </si>
  <si>
    <t>Shell / other equipment as % of total AI capex</t>
  </si>
  <si>
    <t>See above. NSR's falling share is the mechanism behind its 'financing is easy' conclusion (less long-lived asset per capex dollar over time).</t>
  </si>
  <si>
    <t>4. MEMORY — the biggest dollar disagreement</t>
  </si>
  <si>
    <t>HBM ($bn) — vs Capstone AI Model bottom-up</t>
  </si>
  <si>
    <t>NSR HBM 34 → 560 (33% of XPU by 2030, GM normalizing to 76%). Capstone AI Model HBM Model (units × GB × spec-sheet $/GB) 27 → 282 CY25-28. House CY28 is 15% below NSR; the house has NO 2027 repricing in this line.</t>
  </si>
  <si>
    <t>HBM ($bn) — vs Capstone Semis MAP repriced (bits × $/GB)</t>
  </si>
  <si>
    <t>Same NSR line vs Semis MAP repriced HBM (2/4.3/6.25/8/9.6/11.2 EB × $17.5/18/31/28/26.6/25.3 per GB). House 2027 ($194bn) matches NSR ($189bn); by 2030 NSR is 2.0x the house ($560bn vs $283bn) — NSR keeps HBM $ compounding at +22-38% into 2029-30 where the house fades price. BofA CY30 is $168bn.</t>
  </si>
  <si>
    <t>HBM as % of XPU spending</t>
  </si>
  <si>
    <t>NSR 16% → 33%. Capstone AI Model 14% → 24% (CY28). The HBM-content-per-dollar story is the same direction; NSR is more extreme.</t>
  </si>
  <si>
    <t>DRAM (ex-HBM) + NAND ($bn)</t>
  </si>
  <si>
    <t>NSR DRAM &amp; NAND 26 → 338 (2027 peak) → 423. Capstone Semis MAP fleet DDR5 + DC NAND 42 → 317 (2027) → 405. Close in 2027 (−6%) and 2030 (−4%); the house is ~25% lower in 2028 (house DDR5 price fades from 2028 while NSR peaks there) and ~$16bn higher in 2025 (fleet DRAM already counted). Both fade price after 2027-28.</t>
  </si>
  <si>
    <t>DRAM + NAND ($bn) — vs Capstone Bottom_Up 'memory bought direct'</t>
  </si>
  <si>
    <t>Same NSR line vs the physical Bottom_Up build (DDR5 + DC NAND + …; broader perimeter incl. LPDDR/HDD legs). Bottom_Up runs 1.4-2.9x NSR — the sheet's own note flags stacked bull assumptions; treat as the house's upper bound.</t>
  </si>
  <si>
    <t>Total memory = HBM + DRAM + NAND ($bn)</t>
  </si>
  <si>
    <t>NSR 60 → 983. Capstone Semis MAP TOTAL CSP memory bill (mapped + repricing + fleet DDR5/NAND/HDD) 90 → 737. House above NSR in 2025-26, below from 2027 as NSR keeps HBM compounding. Memory-as-%-of-capex: NSR 10% → 24% (2030); house 21% → 21%.</t>
  </si>
  <si>
    <t>Total memory as % of total AI capex</t>
  </si>
  <si>
    <t>House share uses the Semis MAP capex path as denominator (same vintage as its numerator). JPM Kwon (08-09) has memory at 31%/49%/60% of CSP HARDWARE capex 2026-28 — a different denominator (ex-shell); not comparable to either row.</t>
  </si>
  <si>
    <t>5. GIGAWATTS — three bases, none of them NSR's</t>
  </si>
  <si>
    <t>Installed AI capacity (GW) — vs Capstone cumulative CHIP-content GW</t>
  </si>
  <si>
    <t>NSR ~275 GW 2030 (basis not stated; prior ~225). Capstone purchase-basis chip stock 24/51/102/171 GW CY25-28 (AI Model, all players) and Semis MAP cumulative chip-content GW 217/299 CY29-30 (gross, no retirements, July base). On this basis the house is AT NSR's 2030 mark (+9%). Chip GW ≠ facility GW.</t>
  </si>
  <si>
    <t>Installed AI capacity (GW) — vs Capstone cumulative FACILITY GW</t>
  </si>
  <si>
    <t>Bottom_Up_Capex_v3 physical facility GW (units × kW × PUE): 24/44/80/125/179/242 GW CY25-30. 12% below NSR's 275 in 2030; matches BofA's 233 GW. The Tokenomics bridge's BofA-derived 224 GW IT (~314 GW facility) brackets NSR from the other side.</t>
  </si>
  <si>
    <t>Installed AI capacity (GW) — vs Capstone ONLINE-capacity stock</t>
  </si>
  <si>
    <t>AI Model online-capacity stock 14/31/64/119 GW CY25-28 — what is actually energised and billable, ~1 year behind purchases. NSR's hyperscaler-only '&gt;100 GW deployed by end of decade' sits closest to this basis.</t>
  </si>
  <si>
    <t>Capex per GW ($bn/GW)</t>
  </si>
  <si>
    <t>NSR '~$40-45bn/GW' (midpoint 42.5, hyperscaler AI capex). Capstone blended build cost per GW added 30.5/34/38/41.9 CY25-28 (NVDA-only basis runs 37 → 51; CY28E NVDA 50.8 = chip 25.5 + networking 10.3 + other 15.0). MS GB300 all-in $39bn/GW. Converging on ~$42bn by 2028.</t>
  </si>
  <si>
    <t>AI revenue per GW ($bn/GW/yr)</t>
  </si>
  <si>
    <t>NSR ~$13bn/GW (AI cloud revenue / deployed GW) — but its tier-2/neocloud block implies ~$25bn/GW ($2.3tn on 91 GW). Capstone implied blend (implied AI revenue / avg online GW) ~13-14 $bn/GW; by designer NVDA $20bn, Google $14bn, Trainium $7bn. Ledger rental marks $12-13bn merchant GPU. NSR's hyperscaler figure = the house blend; its neocloud figure = the house NVDA-premium figure.</t>
  </si>
  <si>
    <t>6. HYPERSCALER CASH — OCF, capex, FCF (NSR basket vs Capstone big-4, calendar)</t>
  </si>
  <si>
    <t>Hyperscaler OCF ($bn)</t>
  </si>
  <si>
    <t>NSR OCF 580 → 2,650 (its basket). Capstone big-4 OCF 515/688/923/1,202 CY25-28 (GOOG/META on the conservative LL+D&amp;A definition). House is 11-19% below NSR each year — consistent with NSR's stated +$2tn OCF uplift vs consensus (24% revenue CAGR, 77% incremental OCF margin).</t>
  </si>
  <si>
    <t>Hyperscaler capex ($bn)</t>
  </si>
  <si>
    <t>NSR group capex 415 → 2,387. Capstone big-4 total capex 410/750/1,163/1,463. Level agrees in 2025; NSR is 19% above the house in 2027 and 35% above in 2028 (basket + NSR's higher AI intensity).</t>
  </si>
  <si>
    <t>Hyperscaler FCF = OCF − capex ($bn)</t>
  </si>
  <si>
    <t>NSR 164 / (22) / (310) / (486) / (162) / +263 — trough 2028, positive 2030, ~$700bn cumulative burn. Capstone big-4 105 / (62) / (240) / (261) CY25-28 — the house goes negative a year EARLIER and less deep (no 2029-30). BBG consensus basket (07-28): (3.5) / (18.8) / +132 — both NSR and the house are far below consensus on 2027-28 FCF.</t>
  </si>
  <si>
    <t>Capex / OCF (x)</t>
  </si>
  <si>
    <t>NSR 0.72x → 1.33x (2028 peak) → 0.90x. Capstone 0.80x → 1.26x (2027) → 1.22x. Same peak intensity, house peaks a year earlier.</t>
  </si>
  <si>
    <t>7. CLOUD REVENUE — the line where the two houses agree most</t>
  </si>
  <si>
    <t>AI cloud revenue ($bn)</t>
  </si>
  <si>
    <t>NSR AI cloud 55 → 1,511 ('&gt;100 GW, ~$13bn/GW'). Capstone AI Model Resumo | Clouds (scenario 1, demand view) 50 → 1,492 CY25-30. Within 13% every year and within 1% in 2030 — built independently (house = GW × rev/GW by lab/use). The strongest convergence in the note.</t>
  </si>
  <si>
    <t>Total cloud revenue ($bn)</t>
  </si>
  <si>
    <t>NSR cloud 279 → 1,881. Capstone 283 → 2,122. House perimeter = MSFT Azure (API gross) + AWS + GCP + Others (ORCL/CRWV/neoclouds) — the 'Others' leg is why the house total is above NSR from 2028.</t>
  </si>
  <si>
    <t>Non-AI cloud revenue ($bn)</t>
  </si>
  <si>
    <t>NSR non-AI 224 → 370 (~10% growth). Capstone 233 → 630 (+21-23% p.a.). House keeps traditional cloud compounding; NSR flattens it. This is a $260bn gap by 2030 hiding under an identical AI line.</t>
  </si>
  <si>
    <t>AI share of cloud revenue</t>
  </si>
  <si>
    <t>NSR 20% → 80%. Capstone 18% → 70%.</t>
  </si>
  <si>
    <t>8. FUNDING — external financing need</t>
  </si>
  <si>
    <t>External financing required ($tn) — NSR cumulative 2026-30 in the 2030 column; Capstone big-4 FCF shortfall 2026-28 in the 2028 column</t>
  </si>
  <si>
    <t>NSR $3.7tn (23% of $16.5tn): hyperscalers ~$0.7tn (= their cumulative FCF 2026-30 of −$716bn), tier-2/neoclouds ~$3.3tn (loans 2.6 + prepay/equity 0.7) at ~2.2x 2027 EBITDA of the key players. Capstone: big-4 cumulative FCF 2026-28 = −$563bn (shown as +0.56 $tn of need), plus 'capex faltante' for other players of $152bn / $722bn / $1,450bn CY26-28 = $2.3tn that big-4 cash does not cover. The house's 2026-28 external need (~$2.9tn) is ALREADY close to NSR's five-year $3.7tn — the house sees a bigger, earlier hole.</t>
  </si>
  <si>
    <t>Reading guide: a positive (blue) delta means Capstone is above NSR; red means below. Blank = no house value on a comparable basis. Every Capstone CY29-30 value is a July-2026 extension on the July AI Model base and is flagged in House column L.</t>
  </si>
  <si>
    <t>XPU / accelerators — vendor market share and implied revenue, 2025-2030 ($bn)</t>
  </si>
  <si>
    <t>Pool = NSR XPUs (p.4, HBM inside the package) and the Capstone chip pool. Shares = Capstone designer revenue ÷ Capstone pool (our model's mix, tagged EST because it is a house forecast), with NSR's and BofA's 2030 marks as the external alternatives. Implied revenue = NSR pool × share. NOT ADDITIVE with Share_Memory: the HBM dollars inside these XPU figures are the same dollars shown as vendor HBM revenue there. Tags: HARD = sourced figure; PARTIAL = sourced range, point is ours; EST = our assumption; SCENARIO = alternative reading; FORMULA = derived.</t>
  </si>
  <si>
    <t>Line</t>
  </si>
  <si>
    <t>Tag</t>
  </si>
  <si>
    <t>Source</t>
  </si>
  <si>
    <t>A. Pools ($bn)</t>
  </si>
  <si>
    <t>NSR XPU spending (incl. HBM inside the package)</t>
  </si>
  <si>
    <t>LINK</t>
  </si>
  <si>
    <t>NSR p.4 (NSR_Capex)</t>
  </si>
  <si>
    <t>Capstone chip pool = designers' AI chip revenue (incl. HBM inside)</t>
  </si>
  <si>
    <t>House!cx_chips CY25-28 (AI Model 31-Aug); House!sm_des CY29-30 (Semis MAP v11, July base). VINTAGE SPLICE: NVDA CY28 → CY29 grows only +1.4% across the join (Semis MAP's own CY28→29 is +17%), so the CY29-30 NVDA share step-down is an artifact, not a view</t>
  </si>
  <si>
    <t>B. Capstone vendor chip revenue ($bn) — the house mix (EST: house model output)</t>
  </si>
  <si>
    <t>NVIDIA (merchant GPU)</t>
  </si>
  <si>
    <t>EST</t>
  </si>
  <si>
    <t>AI Model.xlsx (31-Aug-2026) → Resumo |  Designers ‘Receita de Chip das Designers’ rows 34-45 (CY25-28); Semis MAP v11 → Designers TAM (CY29-30, July base). HOUSE MODEL OUTPUT — a forecast split, not a market print (hence EST)</t>
  </si>
  <si>
    <t>Broadcom (Google TPU + Meta MTIA + OpenAI Titan, custom ASIC)</t>
  </si>
  <si>
    <t>same source. NOTE the house fork: the official AVGO model (Modelo Avgo pós 2Q26) has AI semis $251bn FY28 INCLUDING networking, below this XPU-only $284.6bn</t>
  </si>
  <si>
    <t>AMD (MI series)</t>
  </si>
  <si>
    <t>same source</t>
  </si>
  <si>
    <t>Marvell (Trainium + other custom)</t>
  </si>
  <si>
    <t>MediaTek (TPU co-design)</t>
  </si>
  <si>
    <t>Alchip (incl. Microsoft Maia co-design)</t>
  </si>
  <si>
    <t>same source — Semis MAP labels the row ‘Microsoft (Alchip)’; Maia is INSIDE Alchip, not additive (skeptic fix)</t>
  </si>
  <si>
    <t>Sum of vendor rows</t>
  </si>
  <si>
    <t>FORMULA</t>
  </si>
  <si>
    <t>Check: vendor rows − Capstone pool (should be ~0)</t>
  </si>
  <si>
    <t>AI Model total = NVDA + AVGO + AMD + MRVL + MTK + Alchip exactly</t>
  </si>
  <si>
    <t>C. Market share — Capstone mix (share of the Capstone pool)</t>
  </si>
  <si>
    <t>NVIDIA — share of accelerator value</t>
  </si>
  <si>
    <t>%</t>
  </si>
  <si>
    <t>→ vendor row / sum of vendor rows (house forecast split)</t>
  </si>
  <si>
    <t>Broadcom — share of accelerator value</t>
  </si>
  <si>
    <t>AMD — share of accelerator value</t>
  </si>
  <si>
    <t>Marvell — share of accelerator value</t>
  </si>
  <si>
    <t>MediaTek — share of accelerator value</t>
  </si>
  <si>
    <t>Alchip (incl. Maia) — share of accelerator value</t>
  </si>
  <si>
    <t>Custom ASIC total (Broadcom + Marvell + MediaTek + Alchip) — share</t>
  </si>
  <si>
    <t>→ 1 − NVIDIA − AMD</t>
  </si>
  <si>
    <t>D. Third-party marks (share of accelerator value unless stated)</t>
  </si>
  <si>
    <t>NVIDIA — NSR (2030)</t>
  </si>
  <si>
    <t>HARD</t>
  </si>
  <si>
    <t>NSR p.3: “Nvidia at close to 60% of XPU value in 2030, implying ~$1.7tn of total XPU spending”</t>
  </si>
  <si>
    <t>NVIDIA — BofA AI 2030 (CY30)</t>
  </si>
  <si>
    <t>BofA Arya “AI 2030” 2026-05-13 (themes/ai-tam-bofa.md §5): NVDA ~$800bn of $1.17tn accelerators CY30 (83% → 68%)</t>
  </si>
  <si>
    <t>Broadcom — BofA AI 2030 (CY30)</t>
  </si>
  <si>
    <t>BofA: AVGO custom ASIC ~$182bn CY30 = 16% (8% → 16%)</t>
  </si>
  <si>
    <t>AMD — BofA AI 2030 (CY30)</t>
  </si>
  <si>
    <t>BofA: AMD ~$80bn CY30 = ~5-7%</t>
  </si>
  <si>
    <t>Custom ASIC — JPM UNIT share (units, NOT value)</t>
  </si>
  <si>
    <t>JPM Sur ‘AI Capex 2.0’ 2026-06-16 (assumptions.md asic-vs-gpu-share): ASIC 42% of units 2026E → 53% 2027E. Unit share ≠ value share (ASIC ASP ~$9-19k vs NVDA $41-137k in our model)</t>
  </si>
  <si>
    <t>E. Implied vendor revenue on the NSR pool ($bn) = NSR XPU pool × Capstone share</t>
  </si>
  <si>
    <t>NVIDIA — implied on NSR pool</t>
  </si>
  <si>
    <t>NSR pool × Capstone share</t>
  </si>
  <si>
    <t>Broadcom — implied on NSR pool</t>
  </si>
  <si>
    <t>AMD — implied on NSR pool</t>
  </si>
  <si>
    <t>Marvell — implied on NSR pool</t>
  </si>
  <si>
    <t>MediaTek — implied on NSR pool</t>
  </si>
  <si>
    <t>Alchip (incl. Maia) — implied on NSR pool</t>
  </si>
  <si>
    <t>NVIDIA — implied on NSR pool at NSR's own 60% (2030)</t>
  </si>
  <si>
    <t>→ $1,702bn × 60% ≈ $1.02tn, NSR's implied NVIDIA 2030 XPU revenue</t>
  </si>
  <si>
    <t>NVIDIA — implied on NSR pool at BofA's 68% (2030)</t>
  </si>
  <si>
    <t>Broadcom — implied on NSR pool at BofA's 16% (2030)</t>
  </si>
  <si>
    <t>F. Guardrails — implied revenue vs what the companies / consensus actually print</t>
  </si>
  <si>
    <t>NVIDIA total revenue — BBG consensus</t>
  </si>
  <si>
    <t>estimates.json asof 2026-09-18 (CY2026 / CY2027)</t>
  </si>
  <si>
    <t>NVIDIA data-center COMPUTE revenue — Capstone official model</t>
  </si>
  <si>
    <t>house.json NVDA ‘Compute / Networking’ 162/31, 313/67, 518/111 (Modelo Felipe NVDA, CY25-27). Compute INCLUDES Grace/Vera CPUs (ledger server-cpu-tam scope note), so this denominator is ~$5-20bn wider than the XPU-only numerator</t>
  </si>
  <si>
    <t>Implied NVDA XPU (NSR pool) ÷ Capstone DC compute</t>
  </si>
  <si>
    <t>x</t>
  </si>
  <si>
    <t>≈ NSR pool ÷ Capstone pool, slightly flattered by the CPU inside the denominator</t>
  </si>
  <si>
    <t>Flag (±25%)</t>
  </si>
  <si>
    <t>Implied NVDA XPU (NSR pool) ÷ BBG NVDA total revenue</t>
  </si>
  <si>
    <t>Ceiling check: compute is ~77-80% of NVDA revenue in the house model; above ~0.85 NSR's pool exceeds what consensus gives NVIDIA</t>
  </si>
  <si>
    <t>Broadcom AI semiconductor revenue — NSR's OWN datapoint (fiscal years FY26-28, Nov-Oct)</t>
  </si>
  <si>
    <t>NSR p.2: “AI semiconductor revenue of $58bn in FY26, $115bn in FY27 and $230bn in FY28” (= Broadcom guidance). Fiscal Nov-Oct ≈ one month ahead of CY</t>
  </si>
  <si>
    <t>Implied AVGO custom ASIC (NSR pool × Capstone mix) ÷ NSR's own AVGO AI semis</t>
  </si>
  <si>
    <t>The cleanest XPU check in the note: NSR's pool × our ASIC mix gives MORE Broadcom revenue than NSR's own Broadcom datapoint (which even includes networking) — our ASIC mix is too rich for NSR's pool, or NSR's pool and vendor datapoints disagree</t>
  </si>
  <si>
    <t>Broadcom AI semis revenue — Capstone official model (incl. AI networking)</t>
  </si>
  <si>
    <t>house.json AVGO ‘AI semis’ 14/24/63/132/251 (FY24-28, Modelo Avgo pós 2Q26; fiscal Nov-Oct placed in CY columns unadjusted, ~5-8% effect)</t>
  </si>
  <si>
    <t>Implied AVGO custom ASIC (NSR pool) ÷ Capstone AVGO AI semis incl. networking</t>
  </si>
  <si>
    <t>DIRECTIONAL test: must sit BELOW 1.0 because the denominator adds ~$15-25bn/yr of AI networking silicon. 2028 fails: the AI Model's AVGO XPU line ($284.6bn CY28) already exceeds the official AVGO model's AI semis ($251bn) — an internal house fork, not an NSR issue</t>
  </si>
  <si>
    <t>Flag (directional: OFF if implied XPU-only &gt; house AI semis incl. networking)</t>
  </si>
  <si>
    <t>AMD total revenue — BBG consensus</t>
  </si>
  <si>
    <t>estimates.json asof 2026-09-18</t>
  </si>
  <si>
    <t>Implied AMD GPU (NSR pool) ÷ BBG AMD total revenue</t>
  </si>
  <si>
    <t>MI GPUs are ~40-45% of AMD revenue in CY26-27 consensus; a ratio near 0.4-0.5 is consistent</t>
  </si>
  <si>
    <t>Reading: the share set is our own model's mix, so this sheet re-prices Capstone's vendor split onto NSR's larger pool (NSR ÷ Capstone pool 1.08x 2025, 1.02x 2027, 1.08x 2028; 1.20x 2030 on the stale July base). Two external checks bite: (1) NSR's own Broadcom datapoint ($230bn FY28 incl. networking) is 25% BELOW what NSR's pool × our ASIC mix implies for Broadcom XPUs alone — so either our 24.6% ASIC share in 2028 is too rich for NSR's pool, or NSR's pool is inconsistent with its own vendor marks; (2) on 2030 NVIDIA share the three marks are NSR 60%, our 64% (stale base) and BofA 68%. Do NOT add these vendor figures to the Share_Memory HBM figures: HBM is inside the XPU pool.</t>
  </si>
  <si>
    <t>Server CPUs — vendor market share and implied revenue, 2025-2030 ($bn)</t>
  </si>
  <si>
    <t>Two NSR pools (total server-CPU market p.5; AI-slice p.4) and three share lenses: (1) Capstone Semis MAP head-node value shares (EST, systems-value basis), (2) Bernstein unit shares (HARD units; unit ≠ value), (3) a street-anchored SILICON value build from reported / printed vendor figures (Intel: BofA's printed 08-12 path; AMD: segment prints + UBS 05-21 on its own TAM; NVIDIA: Bernstein units × $4k chip ASP, with management's systems-basis reading as a scenario). Lens 3 is load-bearing. Skeptic-revised 2026-09-18.</t>
  </si>
  <si>
    <t>A. Pools ($bn) and external TAM marks</t>
  </si>
  <si>
    <t>NSR total server-CPU market (p.5 ‘CPUs spending’)</t>
  </si>
  <si>
    <t>NSR p.5 (NSR_Memory)</t>
  </si>
  <si>
    <t>NSR AI-slice CPUs (p.4)</t>
  </si>
  <si>
    <t>Capstone AI head-node CPUs — Semis MAP BofA-mix line (uncalibrated)</t>
  </si>
  <si>
    <t>House!sm_cpu (Semis MAP v11 ‘AI DC TAM (BofA mix)’ AI CPUs = BofA ratio × house capex)</t>
  </si>
  <si>
    <t>Capstone AI head-node CPUs — Semis MAP Build | CPU CALIBRATED line</t>
  </si>
  <si>
    <t>AI_Chip_Designers_TAM_v11.xlsx → Build | CPU row 3 (the sheet's own ‘capture-calibrated version’). On this line NSR's AI-slice CPU pool is ~60% ABOVE the house in 2030; on the uncalibrated line above they look aligned — the alignment is a series choice</t>
  </si>
  <si>
    <t>Capstone total server-CPU (ledger canon)</t>
  </si>
  <si>
    <t>House!lg_cpu (assumptions.md server-cpu-tam: ~$55bn CY26 / $96bn CY27 / $137bn CY28 / ~$190bn 2030)</t>
  </si>
  <si>
    <t>External TAM — BofA (2026-08-12): ~$35bn CY25 level → $210.6bn CY30E</t>
  </si>
  <si>
    <t>INTC.md rows ~409/553: BofA raised CY30E server-CPU TAM to $210.6bn (from ~$170bn on 07-13); Intel value share 40.4% → 22.0%</t>
  </si>
  <si>
    <t>External TAM — UBS ‘CPU TAM’ (2026-05-21): $31bn 2025 → $74bn 2027E → $173bn 2030E</t>
  </si>
  <si>
    <t>AMD.md row ~212 / ARM.md: UBS unit shares Intel 60% → 29%, Arm 16% → 42%, AMD 24% → 29% (2025 → 2030); AMD value share 24% → 27% (2027E) → 29% (2030E)</t>
  </si>
  <si>
    <t>External TAM — Bernstein Rasgon (2026-06-16): $37bn 2025 → $137bn 2030 BASE ($223bn BULL)</t>
  </si>
  <si>
    <t>assumptions.md server-cpu-tam</t>
  </si>
  <si>
    <t>Company target — AMD Advancing AI (2026-07-23): $220bn 2030, AMD share &gt;50%</t>
  </si>
  <si>
    <t>assumptions.md server-cpu-tam; company event TAM, high bias</t>
  </si>
  <si>
    <t>B. Lens 1 — Capstone Semis MAP head-node value shares (AI servers only; systems-value basis)</t>
  </si>
  <si>
    <t>Intel (Xeon head-node)</t>
  </si>
  <si>
    <t>AI_Chip_Designers_TAM_v11.xlsx → Build | CPU rows 7-10 (2026-07-16); CY29-30 held at CY28. Systems-value shares: NVIDIA's 38% carries Grace/Vera at superchip value, which is why lens 1 can exceed the silicon build in block D</t>
  </si>
  <si>
    <t>AMD (EPYC head-node)</t>
  </si>
  <si>
    <t>NVIDIA (Grace / Vera inside GB200-GB300-VR200 superchips)</t>
  </si>
  <si>
    <t>Captive Arm (Graviton / Axion / Cobalt / Maia-CPU) + others</t>
  </si>
  <si>
    <t>Check: sum of shares</t>
  </si>
  <si>
    <t>C. Lens 2 — Bernstein server-CPU UNITS by vendor (mn units) → unit shares</t>
  </si>
  <si>
    <t>Intel (excl. Atom)</t>
  </si>
  <si>
    <t>mn</t>
  </si>
  <si>
    <t>Bernstein · Qingyuan Lin, ‘Global memory interface chips’ model (P:\Felipe Monteiro\Memória\Bernstein on CPU.xlsx → PPT output rows 5-9; server CPU excl. IoT)</t>
  </si>
  <si>
    <t>AMD</t>
  </si>
  <si>
    <t>same source (Bernstein PPT output)</t>
  </si>
  <si>
    <t>Hygon (China x86)</t>
  </si>
  <si>
    <t>Arm — non-NVIDIA (Graviton / Axion / Cobalt / Ampere etc.)</t>
  </si>
  <si>
    <t>Arm — NVIDIA (Grace / Vera)</t>
  </si>
  <si>
    <t>same source — note Bernstein has NVIDIA units FLAT 2027-30</t>
  </si>
  <si>
    <t>Total server CPU units</t>
  </si>
  <si>
    <t>Bernstein prints 31.8 / 40.0 / 51.6 mn for 2025-27; JPM proprietary model 26M (2025) → 68M (2028) for comparison</t>
  </si>
  <si>
    <t>Intel — UNIT share</t>
  </si>
  <si>
    <t>→ units / total units (Bernstein). UBS 2026-05-21 unit shares for reference: Intel 60% → 29%, Arm 16% → 42%, AMD 24% → 29% (2025 → 2030)</t>
  </si>
  <si>
    <t>AMD — UNIT share</t>
  </si>
  <si>
    <t>→ units / total units</t>
  </si>
  <si>
    <t>Hygon — UNIT share</t>
  </si>
  <si>
    <t>Arm non-NVIDIA — UNIT share</t>
  </si>
  <si>
    <t>Arm NVIDIA — UNIT share</t>
  </si>
  <si>
    <t>D. Lens 3 — street-anchored SILICON value build ($bn of server-CPU revenue by vendor)</t>
  </si>
  <si>
    <t>Intel server CPU revenue — BofA printed path</t>
  </si>
  <si>
    <t>BofA (2026-08-12, INTC.md ~row 553): $14.1bn CY25 → $20.8bn CY26E → $27.8bn CY27E → $33.6bn CY28E → $46.3bn CY30E (value share 40.4% → 22.0% of a $210.6bn TAM). CY29 = midpoint EST. Cross-check: DCAI prints 1Q26 $5.1bn, 2Q26 $6.26bn (+59% y/y) → CY26 DCAI ≈ $24-25bn incl. ~$2bn custom ASIC</t>
  </si>
  <si>
    <t>AMD server CPU (EPYC) revenue</t>
  </si>
  <si>
    <t>PARTIAL</t>
  </si>
  <si>
    <t>CY26 from segment prints: 2Q26 server CPU $3.63bn, 3Q26 guide $4.53bn (GS model, AMD.md ~row 465) → ≈ $16bn; CY25 ≈ $10bn (35-40% growth). CY30 = UBS 05-21 on ITS OWN TAM: 29% × $173bn ≈ $50bn (skeptic fix — the earlier $75bn crossed UBS's ‘~40% value share’ from a $60bn-TAM vintage onto a $190bn pool). 2027-29 EST path</t>
  </si>
  <si>
    <t>NVIDIA CPU chip ASP (Grace / Vera)</t>
  </si>
  <si>
    <t>$k</t>
  </si>
  <si>
    <t>Jefferies bottom-up: standalone Vera ‘at a $4k ASP’ (NVDA.md ~row 1211); BofA Core Wars: Vera $4-5k (assumptions.md server-cpu-tam). Cross-check: 1.2mn units × $4k = $4.8bn ≈ Grace TTM revenue ‘&gt;$5bn’ (NVDA mgmt)</t>
  </si>
  <si>
    <t>NVIDIA CPU revenue — CHIP basis (Bernstein units × ASP)</t>
  </si>
  <si>
    <t>→ Arm-NVIDIA units × chip ASP. This is the SILICON figure comparable to NSR's CPU pool</t>
  </si>
  <si>
    <t>NVIDIA CPU — SYSTEMS-basis reading (scenario, not used in the build)</t>
  </si>
  <si>
    <t>SCENARIO</t>
  </si>
  <si>
    <t>NVDA mgmt (Q2 FY27 call, AMD.md ~row 106): Grace TTM revenue ‘&gt;$5bn’; ‘demand for approximately $20 billion in total server CPUs’ (DEMAND SEEN, not a revenue guide); ‘CPU revenue to more than double in fiscal 28’. Reading the doubling off $20bn gives ~$40bn FY28 (Jefferies/relayed ‘$40bn target’, NVDA.md ~row 1075); off the &gt;$5bn Grace base it gives ~$10bn+ (AMD.md ~row 108). UBS Arcuri: the $20bn is systems + DRAM, ~$5bn / ~1mn units of Vera chip at $3-4k (ARM.md). Skeptic: the earlier build carried NVIDIA at ~2x the $4k chip ASP</t>
  </si>
  <si>
    <t>Captive Arm + Hygon + others — units (Bernstein, mn)</t>
  </si>
  <si>
    <t>→ Arm non-NVIDIA + Hygon units</t>
  </si>
  <si>
    <t>Captive Arm + Hygon — blended value per unit</t>
  </si>
  <si>
    <t>Cost-based captive silicon (Graviton/Axion) blended with merchant Hygon (likely $2-3k); no disclosed ASP. Sensitivity: ±$0.5k moves this line ±42%, the 2030 anchor sum ±8%</t>
  </si>
  <si>
    <t>Captive Arm + Hygon + others — implied revenue</t>
  </si>
  <si>
    <t>units × value per unit (EST)</t>
  </si>
  <si>
    <t>Sum of vendor anchors = bottom-up server-CPU SILICON market (chip-basis NVIDIA)</t>
  </si>
  <si>
    <t>Compare with block A: BofA ~$35bn CY25 level and Bernstein $37bn corroborate the 2025 sum independently of the NVIDIA basis</t>
  </si>
  <si>
    <t>Alt sum with the SYSTEMS-basis NVIDIA scenario (2025-27 only)</t>
  </si>
  <si>
    <t>→ swaps the NVIDIA line; shows how much of the 2026-27 verdict depends on the basis</t>
  </si>
  <si>
    <t>Intel — VALUE share of the silicon anchor build</t>
  </si>
  <si>
    <t>→ vendor $ / sum of anchors (chip basis)</t>
  </si>
  <si>
    <t>AMD — VALUE share of the silicon anchor build</t>
  </si>
  <si>
    <t>NVIDIA — VALUE share of the silicon anchor build</t>
  </si>
  <si>
    <t>Captive Arm + Hygon + others — VALUE share of the silicon anchor build</t>
  </si>
  <si>
    <t>E. Implied vendor revenue on the NSR pools ($bn)</t>
  </si>
  <si>
    <t>Intel — NSR TOTAL pool × anchor-build value share</t>
  </si>
  <si>
    <t>what each vendor would book if NSR's total CPU pool is right and the silicon anchor mix holds</t>
  </si>
  <si>
    <t>AMD — NSR TOTAL pool × anchor-build value share</t>
  </si>
  <si>
    <t>NVIDIA — NSR TOTAL pool × anchor-build value share</t>
  </si>
  <si>
    <t>Captive Arm + Hygon + others — NSR TOTAL pool × anchor-build value share</t>
  </si>
  <si>
    <t>Intel — NSR AI-slice pool × Capstone head-node share (lens 1)</t>
  </si>
  <si>
    <t>AI head-node only, systems-value basis</t>
  </si>
  <si>
    <t>AMD — NSR AI-slice pool × Capstone head-node share (lens 1)</t>
  </si>
  <si>
    <t>NVIDIA — NSR AI-slice pool × Capstone head-node share (lens 1)</t>
  </si>
  <si>
    <t>Captive Arm + others — NSR AI-slice pool × Capstone head-node share (lens 1)</t>
  </si>
  <si>
    <t>F. Guardrails</t>
  </si>
  <si>
    <t>NSR total CPU pool ÷ silicon anchor sum (chip-basis NVIDIA)</t>
  </si>
  <si>
    <t>Below 1.0 = NSR's pool is smaller than what vendors already report; above 1.25 = NSR's pool needs more than the vendor anchors deliver (captive Arm ASP / NVIDIA basis / a 2029-30 AMD path above UBS)</t>
  </si>
  <si>
    <t>NSR total CPU pool ÷ alt sum (systems-basis NVIDIA scenario)</t>
  </si>
  <si>
    <t>2026 turns OFF on the systems reading and OK on the chip reading — the 2026 verdict is a basis call; 2025 is OFF on both</t>
  </si>
  <si>
    <t>Capstone total CPU pool ÷ silicon anchor sum</t>
  </si>
  <si>
    <t>House ledger $55bn / $96bn / $137bn vs anchors</t>
  </si>
  <si>
    <t>Consistency: lens-1 head-node implied ÷ lens-3 total implied — Intel</t>
  </si>
  <si>
    <t>A subset (AI head-node) cannot exceed the whole market; &gt;1.0 means the Semis MAP systems-value share is inconsistent with the silicon build for that vendor</t>
  </si>
  <si>
    <t>Flag (directional)</t>
  </si>
  <si>
    <t>Consistency: lens-1 head-node implied ÷ lens-3 total implied — AMD</t>
  </si>
  <si>
    <t>Consistency: lens-1 head-node implied ÷ lens-3 total implied — NVIDIA</t>
  </si>
  <si>
    <t>Consistency: lens-1 head-node implied ÷ lens-3 total implied — Captive Arm + others</t>
  </si>
  <si>
    <t>Intel total revenue — BBG consensus</t>
  </si>
  <si>
    <t>Implied Intel (NSR total pool) ÷ BBG Intel total revenue</t>
  </si>
  <si>
    <t>DCAI is ~35-40% of Intel revenue in 2026-27 consensus</t>
  </si>
  <si>
    <t>Implied AMD (NSR total pool) ÷ BBG AMD total revenue</t>
  </si>
  <si>
    <t>Server CPU ≈ 30-35% of AMD revenue in the 2Q26 segment print</t>
  </si>
  <si>
    <t>Reading (post-skeptic): 2025 is the robust finding — Intel + AMD + NVIDIA chips + captive Arm already add to ~$34bn (BofA's own ‘~$35bn CY25 level’ and Bernstein's $37bn agree) against NSR's $25bn, so NSR's 2025 CPU pool is ~25% light on any basis. 2026 is a basis call: on the silicon reading the anchors give ~$55bn (NSR $49bn, OK); on management's systems reading ~$65bn (OFF). From 2028 the silicon build runs BELOW NSR's pool (2030: ~$150bn vs $202bn) while BofA's $210.6bn and AMD's $220bn sit above it and UBS's $173bn / Bernstein's $137bn below — the 2030 pool is a live debate, the shares are what this sheet can say: on the silicon build Intel ~31%, AMD ~33%, NVIDIA ~16%, captive Arm + Hygon ~20% in 2030; on NSR's own $202bn each vendor scales up ~35%. The Capstone head-node lens (NVIDIA 38%) is a systems-value share and exceeds the silicon build for NVIDIA — flagged in block F, not netted.</t>
  </si>
  <si>
    <t>Memory — vendor market share and implied revenue by pool (HBM / server DRAM / server NAND), 2025-2030 ($bn)</t>
  </si>
  <si>
    <t>Pools = NSR p.5 lines (HBM inside the XPU; DRAM and NAND as server content) with the Capstone equivalents. HBM shares: Capstone Semis MAP (EST) vs JPM SALES-share path (HARD end-points, interpolated/held EST, plus a slope-continued scenario) vs UBS BIT share (HARD, 2025-27). Server-DRAM shares: total-DRAM bit-supply mix from the Capstone memory bible (PARTIAL proxy). Server-NAND shares: TrendForce 2Q26 enterprise-SSD revenue share (HARD), held flat. NOT ADDITIVE with Share_XPU: HBM dollars sit inside the XPU pool too. Skeptic-revised 2026-09-18.</t>
  </si>
  <si>
    <t>HBM — NSR</t>
  </si>
  <si>
    <t>NSR p.5</t>
  </si>
  <si>
    <t>HBM — Capstone Semis MAP repriced (bits × $/GB)</t>
  </si>
  <si>
    <t>House!sm_hbm_rep</t>
  </si>
  <si>
    <t>HBM — Capstone AI Model HBM Model</t>
  </si>
  <si>
    <t>House!am_hbm (CY25-28)</t>
  </si>
  <si>
    <t>Server DRAM (ex-HBM) — NSR</t>
  </si>
  <si>
    <t>Fleet DDR5 — Capstone Semis MAP</t>
  </si>
  <si>
    <t>House!sm_ddr</t>
  </si>
  <si>
    <t>Server NAND — NSR</t>
  </si>
  <si>
    <t>DC NAND — Capstone Semis MAP</t>
  </si>
  <si>
    <t>House!sm_nand</t>
  </si>
  <si>
    <t>B. HBM share — three lenses (value unless stated) + slope scenario</t>
  </si>
  <si>
    <t>SK Hynix — Capstone Semis MAP</t>
  </si>
  <si>
    <t>AI_Chip_Designers_TAM_v11.xlsx → Build | HBM rows 7-9 (2026-07-16). CALIBRATION (corrected): the map is calibrated to the canonical $35bn CY25 HBM TAM (capture 0.621), NOT to SK Hynix's revenue — its implied SK Hynix CY25 is ~$21bn vs an unverified street ~$28bn, an open tension the map flags in its own row 31. CY29-30 held. No ‘others’ plug (CXMT HBM3E not modelled)</t>
  </si>
  <si>
    <t>Samsung — Capstone Semis MAP</t>
  </si>
  <si>
    <t>Micron — Capstone Semis MAP</t>
  </si>
  <si>
    <t>SK Hynix — JPM sales-share path (2028 held)</t>
  </si>
  <si>
    <t>HARD+EST</t>
  </si>
  <si>
    <t>JPM · Kwon ‘Global Memory TAM and S&amp;D update’ 2026-08-09/10 (MU.md ~row 615): HBM share BY SALES SK Hynix 60% → 42%, Samsung 20% → 38% (2025 and 2028 printed = HARD), Micron 20/20/21/20 (all four years printed). 2026-27 for SK Hynix/Samsung are straight-line EST (Samsung 2027 back-solved to 31% so the set sums to 100%); CY29-30 HELD at 2028 = EST choice (see slope scenario below)</t>
  </si>
  <si>
    <t>Samsung — JPM sales-share path (2028 held)</t>
  </si>
  <si>
    <t>Micron — JPM sales-share path (2028 held)</t>
  </si>
  <si>
    <t>same source (2025-28 all printed)</t>
  </si>
  <si>
    <t>SK Hynix — JPM slope CONTINUED (−6pp/yr into 2029-30)</t>
  </si>
  <si>
    <t>Skeptic: freezing at 2028 stops JPM's −6pp/yr trend exactly at the last printed point; continuing it two more years is an equally defensible reading</t>
  </si>
  <si>
    <t>Samsung — JPM slope CONTINUED (+6pp/yr into 2029-30)</t>
  </si>
  <si>
    <t>as above; Micron held at 20%</t>
  </si>
  <si>
    <t>SK Hynix — UBS (BIT share, not sales share)</t>
  </si>
  <si>
    <t>UBS Gaudois memory model 2026-07-03 via Memória Capstone dashboard (hbm_ubs = UBS Fig 3 bit supply × Fig 8 share, bn Gb). BIT/volume share: Samsung bins below SK Hynix, so its sales share is lower than its bit share. SKHYNIX.md ‘UBS 2026 HBM share 56/22/22’ is UBS's Dec-2025 overview — an older vintage of the same house, not a conflict</t>
  </si>
  <si>
    <t>Samsung — UBS (BIT share)</t>
  </si>
  <si>
    <t>same source. Samsung mgmt: ‘30-40% in 2H26 on HBM4, mid-to-high 30s in 2027’ (hbm-memory theme ~row 915) — a company target, share basis unstated</t>
  </si>
  <si>
    <t>Micron — UBS (BIT share)</t>
  </si>
  <si>
    <t>same source; Micron target ‘HBM share = DRAM share’ (~20-25%)</t>
  </si>
  <si>
    <t>C. Server-DRAM share — total-DRAM bit-supply mix (incl. HBM, all end-markets; server tilt not applied)</t>
  </si>
  <si>
    <t>Samsung — DRAM bit supply</t>
  </si>
  <si>
    <t>bn Gb</t>
  </si>
  <si>
    <t>Memória Capstone dashboard_data.json seg.sup_dram (bn Gb; sources TrendForce/Bernstein), 2025-28; CY29-30 held (CXMT's bit share is RISING ~1.3pp/yr, so the hold understates CXMT bits and overstates the big three). Wells Fargo (MU.md ~row 702): CXMT ~8% DRAM REVENUE share, ~10% capacity share 1Q26, DDR4/LPDDR4-heavy — bit share overstates CXMT's SERVER relevance</t>
  </si>
  <si>
    <t>SK Hynix — DRAM bit supply</t>
  </si>
  <si>
    <t>same source (memory bible seg.sup_dram)</t>
  </si>
  <si>
    <t>Micron — DRAM bit supply</t>
  </si>
  <si>
    <t>CXMT — DRAM bit supply</t>
  </si>
  <si>
    <t>Nanya + others — DRAM bit supply</t>
  </si>
  <si>
    <t>same source; residual to the printed total 314.6 / 389.2 / 464.3 / 593.5</t>
  </si>
  <si>
    <t>Total DRAM bits</t>
  </si>
  <si>
    <t>Samsung — DRAM bit share (2029-30 held)</t>
  </si>
  <si>
    <t>bit share as proxy for server-DRAM value share</t>
  </si>
  <si>
    <t>SK Hynix — DRAM bit share (2029-30 held)</t>
  </si>
  <si>
    <t>Micron — DRAM bit share (2029-30 held)</t>
  </si>
  <si>
    <t>CXMT — DRAM bit share (2029-30 held)</t>
  </si>
  <si>
    <t>Nanya + others — DRAM bit share (2029-30 held)</t>
  </si>
  <si>
    <t>CXMT — plausible SERVER-DRAM share (alternative)</t>
  </si>
  <si>
    <t>Skeptic alternative: CXMT is DDR4/LPDDR4-heavy with little server DDR5; ~3% of the server pool would move ~$20bn of 2028 implied revenue from CXMT to the big three</t>
  </si>
  <si>
    <t>D. Server-NAND share — enterprise-SSD revenue share, TrendForce 2Q26 (single vintage, held flat)</t>
  </si>
  <si>
    <t>Samsung</t>
  </si>
  <si>
    <t>TrendForce 2Q26 global enterprise-SSD revenue share via Jefferies (SAMSUNG.md ~row 129) and Yonhap/DealSite (SAMSUNG.md ~row 550): Samsung 35% (~$14.35bn), SK hynix group incl. Solidigm 21% (~$8.63bn; 23.1% in 1Q26), Micron 17% (~$6.98bn; 15.4% in 1Q26), Kioxia 11% (~$4.64bn), SanDisk 7% (~$2.98bn). eSSD REVENUE basis, NOT NAND bits. Applied to every year (EST hold); YMTC/others = residual</t>
  </si>
  <si>
    <t>SK Hynix + Solidigm</t>
  </si>
  <si>
    <t>Micron</t>
  </si>
  <si>
    <t>Kioxia</t>
  </si>
  <si>
    <t>same source (skeptic fix: was EST 15%)</t>
  </si>
  <si>
    <t>SanDisk</t>
  </si>
  <si>
    <t>same source (skeptic fix: was EST 5%)</t>
  </si>
  <si>
    <t>YMTC + others (residual)</t>
  </si>
  <si>
    <t>residual to 100%; YMTC reportedly passed Micron and SanDisk in TOTAL NAND share (07-23) — not yet in eSSD</t>
  </si>
  <si>
    <t>HBM — SK Hynix at JPM sales shares (2028 held)</t>
  </si>
  <si>
    <t>NSR HBM pool × JPM share</t>
  </si>
  <si>
    <t>HBM — Samsung at JPM sales shares (2028 held)</t>
  </si>
  <si>
    <t>HBM — Micron at JPM sales shares (2028 held)</t>
  </si>
  <si>
    <t>HBM — SK Hynix at JPM slope CONTINUED (2029-30)</t>
  </si>
  <si>
    <t>scenario: $67bn lower than the held case in 2030</t>
  </si>
  <si>
    <t>HBM — Samsung at JPM slope CONTINUED (2029-30)</t>
  </si>
  <si>
    <t>scenario: $67bn higher than the held case in 2030</t>
  </si>
  <si>
    <t>HBM — SK Hynix at Capstone Semis MAP shares</t>
  </si>
  <si>
    <t>NSR HBM pool × house share</t>
  </si>
  <si>
    <t>HBM — Samsung at Capstone Semis MAP shares</t>
  </si>
  <si>
    <t>HBM — Micron at Capstone Semis MAP shares</t>
  </si>
  <si>
    <t>Server DRAM — Samsung at bit share</t>
  </si>
  <si>
    <t>NSR DRAM pool × bit share</t>
  </si>
  <si>
    <t>Server DRAM — SK Hynix at bit share</t>
  </si>
  <si>
    <t>Server DRAM — Micron at bit share</t>
  </si>
  <si>
    <t>Server DRAM — CXMT at bit share</t>
  </si>
  <si>
    <t>Server DRAM — Nanya + others at bit share</t>
  </si>
  <si>
    <t>Server DRAM — CXMT at ~3% server share (alternative)</t>
  </si>
  <si>
    <t>the bit-share row above minus this row is the amount redistributed to Samsung / SK Hynix / Micron</t>
  </si>
  <si>
    <t>Server NAND — Samsung at eSSD share</t>
  </si>
  <si>
    <t>NSR NAND pool × eSSD share</t>
  </si>
  <si>
    <t>Server NAND — SK Hynix + Solidigm at eSSD share</t>
  </si>
  <si>
    <t>Server NAND — Micron at eSSD share</t>
  </si>
  <si>
    <t>Server NAND — Kioxia at eSSD share</t>
  </si>
  <si>
    <t>Server NAND — SanDisk at eSSD share</t>
  </si>
  <si>
    <t>Server NAND — YMTC + others at eSSD share</t>
  </si>
  <si>
    <t>F. Vendor totals on the NSR memory pools (HBM at JPM shares + DRAM + NAND) and guardrails</t>
  </si>
  <si>
    <t>SK Hynix (+Solidigm) — total server memory revenue implied by NSR</t>
  </si>
  <si>
    <t>HBM + server DRAM + server NAND (memory-vendor view; the HBM part is the same dollars as inside Share_XPU)</t>
  </si>
  <si>
    <t>Samsung — total server memory revenue implied by NSR</t>
  </si>
  <si>
    <t>Micron — total server memory revenue implied by NSR</t>
  </si>
  <si>
    <t>Kioxia — server NAND only</t>
  </si>
  <si>
    <t>CXMT — server DRAM only (bit-share basis)</t>
  </si>
  <si>
    <t>SK Hynix HBM revenue 2025 — street (unverified)</t>
  </si>
  <si>
    <t>Semis MAP Build | HBM row 20 — the map itself labels it ‘yellow = verify’ / ‘unverified street ~$28bn’</t>
  </si>
  <si>
    <t>Micron HBM revenue 2025 — street</t>
  </si>
  <si>
    <t>Semis MAP Build | HBM row 21 (FY25 ≈ CY25)</t>
  </si>
  <si>
    <t>Samsung HBM revenue 2025 — reported range midpoint</t>
  </si>
  <si>
    <t>~$4.5-6.0bn range for Samsung's 2025 HBM revenue (wiki Samsung/HBM commentary; Samsung's own 2025 HBM share ‘~20%’ per Jefferies/Inspectrum 2025-12-17 in MU.md ~row 338); midpoint used, PARTIAL</t>
  </si>
  <si>
    <t>Sum of vendor-reported 2025 HBM (SK Hynix + Micron + Samsung)</t>
  </si>
  <si>
    <t>≈ $39bn vs NSR's $34bn pool (−13%) and the Semis MAP's $35bn (−10%) — the POOL leg of the 2025 gap</t>
  </si>
  <si>
    <t>Implied SK Hynix HBM 2025 (NSR pool × JPM 60%) ÷ street $28bn</t>
  </si>
  <si>
    <t>Two legs, not one: (a) POOL — vendors reported ~$39bn vs NSR $34bn (~13% light); (b) SHARE — on a $39bn total, SK Hynix's actual 2025 share is ~72%, not JPM's 60%, so JPM's whole path may start ~12pp low. implied = pool × share cannot separate the two</t>
  </si>
  <si>
    <t>Flag (±25%) — SK Hynix</t>
  </si>
  <si>
    <t>Implied Micron HBM 2025 (NSR pool × JPM 20%) ÷ street $6bn</t>
  </si>
  <si>
    <t>+13%: Micron is NOT short on NSR's pool — only SK Hynix is, which is the share-leg evidence</t>
  </si>
  <si>
    <t>Flag (±25%) — Micron</t>
  </si>
  <si>
    <t>Implied Samsung HBM 2025 (NSR pool × JPM 20%) ÷ reported ~$5bn</t>
  </si>
  <si>
    <t>+36% on the midpoint (+13% to +50% across the $4.5-6bn range): JPM's 20% Samsung 2025 share looks high against Samsung's own prints</t>
  </si>
  <si>
    <t>Flag (±25%) — Samsung</t>
  </si>
  <si>
    <t>Micron total revenue — BBG consensus</t>
  </si>
  <si>
    <t>Implied Micron server memory (NSR) ÷ BBG Micron total revenue</t>
  </si>
  <si>
    <t>Micron says data centre is &gt;50% of revenue; 0.3-0.6 is consistent, &gt;0.8 is not</t>
  </si>
  <si>
    <t>SK Hynix total revenue — BBG consensus (KRW ÷ 1,380)</t>
  </si>
  <si>
    <t>estimates.json asof 2026-09-18: KRW 349.5tn / 540.8tn; FX 1,380 as in Semis MAP rollup</t>
  </si>
  <si>
    <t>Implied SK Hynix server memory (NSR) ÷ BBG SK Hynix total revenue</t>
  </si>
  <si>
    <t>HBM + eSSD were ~20% of consensus in the Semis MAP rollup; server DRAM adds the rest — 0.35-0.5 plausible</t>
  </si>
  <si>
    <t>Samsung Electronics total revenue — BBG consensus (KRW ÷ 1,380)</t>
  </si>
  <si>
    <t>estimates.json asof 2026-09-18: KRW 714.0tn / 982.3tn — WHOLE company (DS memory is ~40-50%)</t>
  </si>
  <si>
    <t>Implied Samsung server memory (NSR) ÷ BBG Samsung total revenue</t>
  </si>
  <si>
    <t>Ceiling only — Samsung's memory division is roughly half of group revenue</t>
  </si>
  <si>
    <t>Reading (post-skeptic): on NSR's HBM pool SK Hynix stays the largest vendor through 2028 on the JPM sales-share path held at 2028 (42% vs Samsung 38%); if JPM's −6pp/yr slope simply continues, Samsung passes SK Hynix in 2029 and the 2030 split is 50/30 — a $67bn swing per name, so the 2029-30 HBM ranking is a share CHOICE, not a result. UBS's Samsung-ahead-in-2027 is a BIT share and is not comparable to the sales shares. Micron is 20-25% on every lens. The 2025 guardrail has two legs: vendors reported ~$39bn of HBM vs NSR's $34bn pool (pool ~13% light), and SK Hynix's actual ~72% 2025 share is well above JPM's 60% start point (share leg) — only SK Hynix is short on NSR's pool; Micron and Samsung are not. Server-DRAM shares are a total-DRAM bit proxy (CXMT overstated for servers); server-NAND shares are 2Q26 enterprise-SSD revenue shares held flat.</t>
  </si>
  <si>
    <t>NSR p.4 — Annual AI infrastructure capex by component, 2025-2030 ($bn)</t>
  </si>
  <si>
    <t>Source: New Street Research (Ferragu et al.), 18 Sep 2026, p.4 ‘Our updated AI infrastructure capex forecast: $4.1tn overall spending in 2030’. Blue = as printed; black = recomputed; yellow = check.</t>
  </si>
  <si>
    <t>Component</t>
  </si>
  <si>
    <t>CAGR 25-30 (calc)</t>
  </si>
  <si>
    <t>CAGR printed</t>
  </si>
  <si>
    <t>NSR comment</t>
  </si>
  <si>
    <t>XPUs</t>
  </si>
  <si>
    <t>Up ~5pts as a % of technology spend</t>
  </si>
  <si>
    <t>CPUs</t>
  </si>
  <si>
    <t>Share of spending up 4x off a low base</t>
  </si>
  <si>
    <t>DRAM &amp; NAND</t>
  </si>
  <si>
    <t>Price normalizing, but share of spending still &gt;2x from 2025 to 2030</t>
  </si>
  <si>
    <t>Other server content</t>
  </si>
  <si>
    <t>About stable as a % of technology spend</t>
  </si>
  <si>
    <t>Increasing as a percentage of spending, faster than compute</t>
  </si>
  <si>
    <t>Other equipment &amp; buildings</t>
  </si>
  <si>
    <t>Coming down over time as growth slows (frontloaded spending)</t>
  </si>
  <si>
    <t>Total AI capex (formula = sum of components)</t>
  </si>
  <si>
    <t>NSR printed CAGR 48%</t>
  </si>
  <si>
    <t>Total AI capex — NSR printed</t>
  </si>
  <si>
    <t>Check: formula − printed (rounding)</t>
  </si>
  <si>
    <t>YoY growth — 2025 as printed by NSR (2024 base not in the table); 2026-30 recomputed</t>
  </si>
  <si>
    <t>XPUs — y/y</t>
  </si>
  <si>
    <t>% y/y</t>
  </si>
  <si>
    <t>CPUs — y/y</t>
  </si>
  <si>
    <t>DRAM &amp; NAND — y/y</t>
  </si>
  <si>
    <t>Other server content — y/y</t>
  </si>
  <si>
    <t>Networking — y/y</t>
  </si>
  <si>
    <t>Other equipment &amp; buildings — y/y</t>
  </si>
  <si>
    <t>Total AI capex — y/y</t>
  </si>
  <si>
    <t>Mix — % of total AI capex (recomputed; NSR prints XPU 35/36/36/38/40/41%, other equipment 44/29/28/27/26/24%)</t>
  </si>
  <si>
    <t>XPUs — % of AI capex</t>
  </si>
  <si>
    <t>% of total</t>
  </si>
  <si>
    <t>CPUs — % of AI capex</t>
  </si>
  <si>
    <t>DRAM &amp; NAND — % of AI capex</t>
  </si>
  <si>
    <t>Other server content — % of AI capex</t>
  </si>
  <si>
    <t>Networking — % of AI capex</t>
  </si>
  <si>
    <t>Other equipment &amp; buildings — % of AI capex</t>
  </si>
  <si>
    <t>Technology spend (= total − other equipment &amp; buildings)</t>
  </si>
  <si>
    <t>XPUs — % of technology spend</t>
  </si>
  <si>
    <t>% of tech</t>
  </si>
  <si>
    <t>DRAM &amp; NAND — % of technology spend</t>
  </si>
  <si>
    <t>Derived — cumulative spend and the non-AI residual</t>
  </si>
  <si>
    <t>Cumulative AI capex 2026-30 (formula, in 2030 column)</t>
  </si>
  <si>
    <t>Total DC capex 2026-30 — NSR waterfall (p.6)</t>
  </si>
  <si>
    <t>Implied non-AI DC capex 2026-30 (= total DC − cumulative AI)</t>
  </si>
  <si>
    <t>p.7 hyperscaler non-AI alone (~$125bn 2025 +13% p.a.) sums to ~$0.9tn over 2026-30; the residual here also holds enterprise/government non-AI.</t>
  </si>
  <si>
    <t>Forecast history — 2030 AI capex (p.1 / p.3)</t>
  </si>
  <si>
    <t>Entering 2Q26 earnings season</t>
  </si>
  <si>
    <t>After TSMC / ASML prints</t>
  </si>
  <si>
    <t>p.1 says $3tn, p.3 says ~$3.1tn</t>
  </si>
  <si>
    <t>This note (18 Sep 2026)</t>
  </si>
  <si>
    <t>Uplift vs prior</t>
  </si>
  <si>
    <t>NSR p.5 — Memory economics within AI infrastructure deployments, 2025-2030 ($bn)</t>
  </si>
  <si>
    <t>Source: New Street Research (Ferragu et al.), 18 Sep 2026, p.5. Blue = as printed; black = recomputed; green = linked from NSR_Capex; salmon = inconsistency inside the NSR exhibit.</t>
  </si>
  <si>
    <t>CAGR 25-30</t>
  </si>
  <si>
    <t>Notes</t>
  </si>
  <si>
    <t>Total server content (formula = XPUs + CPUs + DRAM&amp;NAND + other server content, p.4 lines)</t>
  </si>
  <si>
    <t>Reproduces the printed row within rounding — so p.5 ‘total server content’ = p.4 technology spend ex-networking.</t>
  </si>
  <si>
    <t>Total server content — NSR printed</t>
  </si>
  <si>
    <t>Check: formula − printed</t>
  </si>
  <si>
    <t>XPUs and HBM</t>
  </si>
  <si>
    <t>XPUs spending (link p.4)</t>
  </si>
  <si>
    <t>XPUs / total server content</t>
  </si>
  <si>
    <t>HBM</t>
  </si>
  <si>
    <t>NSR: HBM rises from 15/16% to 33% of XPU spending in 5 years despite pricing normalizing</t>
  </si>
  <si>
    <t>HBM — y/y</t>
  </si>
  <si>
    <t>HBM / XPU spending</t>
  </si>
  <si>
    <t>HBM COGS growth — NSR printed</t>
  </si>
  <si>
    <t>HBM gross margin — NSR printed</t>
  </si>
  <si>
    <t>HBM COGS implied (= HBM × (1 − GM))</t>
  </si>
  <si>
    <t>HBM COGS growth implied (check vs printed row)</t>
  </si>
  <si>
    <t>Other XPU spending (formula = XPU − HBM)</t>
  </si>
  <si>
    <t>Other XPU spending — NSR printed</t>
  </si>
  <si>
    <t>CPUs spending (p.5 — TOTAL server-CPU market, not the p.4 AI slice)</t>
  </si>
  <si>
    <t>p.3: ~$200bn CPU market 2030, ~$170bn for AI; p.4 AI-capex CPU line = $168bn 2030</t>
  </si>
  <si>
    <t>CPUs spending — y/y</t>
  </si>
  <si>
    <t>AI share of CPU spending (= p.4 CPUs / p.5 CPUs)</t>
  </si>
  <si>
    <t>DRAM and NAND</t>
  </si>
  <si>
    <t>DRAM</t>
  </si>
  <si>
    <t>NSR: DRAM value content tripling 2025-27 (6% → 15% of server content) before prices normalize to just below 10% in 2030</t>
  </si>
  <si>
    <t>DRAM — y/y</t>
  </si>
  <si>
    <t>DRAM / total server content</t>
  </si>
  <si>
    <t>DRAM COGS growth — NSR printed</t>
  </si>
  <si>
    <t>DRAM gross margin — NSR printed</t>
  </si>
  <si>
    <t>NAND</t>
  </si>
  <si>
    <t>NSR: NAND follows a pattern similar to DRAM</t>
  </si>
  <si>
    <t>NAND — y/y</t>
  </si>
  <si>
    <t>NAND / total server content</t>
  </si>
  <si>
    <t>NAND COGS growth — NSR printed (identical to DRAM row in the note)</t>
  </si>
  <si>
    <t>NSR prints the SAME COGS-growth row for DRAM and NAND — likely a copy-down in their exhibit.</t>
  </si>
  <si>
    <t>NAND gross margin — NSR printed</t>
  </si>
  <si>
    <t>Other server content (p.5 definition)</t>
  </si>
  <si>
    <t>Other server content (p.5 row) — NSR printed</t>
  </si>
  <si>
    <t>Other server content (p.5) — y/y recomputed</t>
  </si>
  <si>
    <t>Other server content (p.5) — y/y as printed</t>
  </si>
  <si>
    <t>Printed +191% for 2026 implies a 2025 base of ~$62bn, not the $29bn printed — internal inconsistency in the NSR exhibit (2025 only).</t>
  </si>
  <si>
    <t>Reconciliation — how the p.5 lines map onto the p.4 components</t>
  </si>
  <si>
    <t>DRAM + NAND (p.5)</t>
  </si>
  <si>
    <t>DRAM &amp; NAND (p.4 line, link)</t>
  </si>
  <si>
    <t>Check: p.5 − p.4</t>
  </si>
  <si>
    <t>p.4 other server content + p.5 CPUs + p.4 CPUs</t>
  </si>
  <si>
    <t>Check: p.5 other server content − that sum (0 from 2026 → p.5 ‘other’ double-counts the CPU lines; 2025 off by ~$50bn)</t>
  </si>
  <si>
    <t>TOTAL MEMORY in AI infrastructure (HBM + DRAM + NAND)</t>
  </si>
  <si>
    <t>Total memory / total server content</t>
  </si>
  <si>
    <t>Total memory / total AI capex (p.4 total)</t>
  </si>
  <si>
    <t>NSR p.7 — Hyperscalers P&amp;L and cash flow, 2025-2030 (US$bn)</t>
  </si>
  <si>
    <t>Source: New Street Research (Ferragu et al.), 18 Sep 2026, p.7 ‘We expect hyperscaler FCF to turn negative and recover only in 2030’. Basket not enumerated in the note. Blue = printed; black = recomputed.</t>
  </si>
  <si>
    <t>Cum. 2026-30 (calc)</t>
  </si>
  <si>
    <t>Cum. printed</t>
  </si>
  <si>
    <t>Core (non-cloud) business</t>
  </si>
  <si>
    <t>Core revenues</t>
  </si>
  <si>
    <t>Re-platforming: capital intensity rises, cash-cost efficiency drives revenue growth well above cash-cost growth → fast-expanding EBITDA margin, slowly expanding EBIT margin</t>
  </si>
  <si>
    <t>Core EBITDA margin — printed</t>
  </si>
  <si>
    <t>Core EBIT margin — printed</t>
  </si>
  <si>
    <t>Cloud</t>
  </si>
  <si>
    <t>Cloud — AI revenues</t>
  </si>
  <si>
    <t>&gt;100GW deployed by the end of the decade. ~$13bn revenues / GW</t>
  </si>
  <si>
    <t>Cloud — Non-AI revenues</t>
  </si>
  <si>
    <t>Stabilizes at ~10% growth, below historic long-term trend</t>
  </si>
  <si>
    <t>Cloud revenues (formula = AI + non-AI)</t>
  </si>
  <si>
    <t>printed 279 / 416 / 634 / 957 / 1,382 / 1,881</t>
  </si>
  <si>
    <t>Cloud revenues — y/y (printed 28/49/52/51/44/36%)</t>
  </si>
  <si>
    <t>AI revenues — y/y</t>
  </si>
  <si>
    <t>Cloud EBITDA margin — printed</t>
  </si>
  <si>
    <t>Higher capital intensity of AI cloud vs traditional cloud</t>
  </si>
  <si>
    <t>Cloud EBIT margin — printed</t>
  </si>
  <si>
    <t>EBIT margin declines as lower-margin AI cloud rises in the mix</t>
  </si>
  <si>
    <t>Group</t>
  </si>
  <si>
    <t>Group revenues (formula = core + cloud)</t>
  </si>
  <si>
    <t>printed 1,628 / 1,965 / 2,414 / 2,998 / 3,719 / 4,554</t>
  </si>
  <si>
    <t>Group revenues — y/y (printed 15/21/23/24/24/22%)</t>
  </si>
  <si>
    <t>EBITDA — printed</t>
  </si>
  <si>
    <t>EBITDA rebuilt from segment margins (core×margin + cloud×margin)</t>
  </si>
  <si>
    <t>Check: rebuilt − printed (margin rounding)</t>
  </si>
  <si>
    <t>EBITDA margin (printed 40/43/49/54/58/62%)</t>
  </si>
  <si>
    <t>D&amp;A — printed (negative)</t>
  </si>
  <si>
    <t>EBIT (formula = EBITDA + D&amp;A)</t>
  </si>
  <si>
    <t>printed 501 / 631 / 789 / 979 / 1,209 / 1,490</t>
  </si>
  <si>
    <t>EBIT margin (printed 31/32/33/33/33/33%)</t>
  </si>
  <si>
    <t>Cash flow</t>
  </si>
  <si>
    <t>OCF — printed</t>
  </si>
  <si>
    <t>OCF / EBITDA (cash conversion)</t>
  </si>
  <si>
    <t>Group capex — printed</t>
  </si>
  <si>
    <t>Mainly AI at ~$40-45bn/GW. Also ~$125bn of non-AI in 2025 growing ~13% p.a.</t>
  </si>
  <si>
    <t>Group capex — y/y</t>
  </si>
  <si>
    <t>Capex / group revenues</t>
  </si>
  <si>
    <t>FCF (formula = OCF − capex)</t>
  </si>
  <si>
    <t>printed 164 / (22) / (310) / (486) / (162) / 263 — negative through 2029, positive 2030; ~$700bn burn through 2029; &lt;$1tn peak financing &lt; 1 year of EBITDA</t>
  </si>
  <si>
    <t>FCF — printed</t>
  </si>
  <si>
    <t>Derived from NSR's own stated assumptions (p.7 comments) — AI capex, GW and revenue per GW</t>
  </si>
  <si>
    <t>Non-AI capex (= $125bn 2025 growing 13% p.a.; inputs on NSR_Datapoints)</t>
  </si>
  <si>
    <t>Implied hyperscaler AI capex (= group capex − non-AI)</t>
  </si>
  <si>
    <t>Implied GW added per year (= AI capex / $42.5bn per GW midpoint)</t>
  </si>
  <si>
    <t>Cumulative GW added 2026-30 (in 2030 column)</t>
  </si>
  <si>
    <t>NSR states ‘&gt;100GW deployed by end of decade’ for hyperscalers; $8.7tn of capex at $40-45bn/GW implies ~180-190 GW unless a large part of ‘group capex’ is shell/non-IT on a different $/GW</t>
  </si>
  <si>
    <t>AI cloud revenue per cumulative GW (memo, 2030 column)</t>
  </si>
  <si>
    <t>vs NSR's own ~$13bn/GW on p.7 — the two statements only reconcile on ~110-120 GW installed, i.e. NSR's $40-45bn/GW must be all-in facility capex</t>
  </si>
  <si>
    <t>NSR p.6 / p.8 — Funding the buildout: $16.5tn of cumulative datacenter capex 2026-2030 ($tn)</t>
  </si>
  <si>
    <t>Source: New Street Research (Ferragu et al.), 18 Sep 2026, p.6 waterfall ‘Running the numbers’ and p.8 ‘Neoclouds to finance $3-4tn’. Blue = printed; black = recomputed.</t>
  </si>
  <si>
    <t>USES — cumulative 2026-30 datacenter capex</t>
  </si>
  <si>
    <t>Use</t>
  </si>
  <si>
    <t>$tn (printed)</t>
  </si>
  <si>
    <t>% of total (calc)</t>
  </si>
  <si>
    <t>% printed</t>
  </si>
  <si>
    <t>Note</t>
  </si>
  <si>
    <t>Hyperscaler capex</t>
  </si>
  <si>
    <t>p.6 waterfall; p.7 group capex cumulative 2026-30 prints $8.72tn (incl. ~$0.9tn non-AI)</t>
  </si>
  <si>
    <t>Neocloud (tier-2 &amp; neocloud) capex</t>
  </si>
  <si>
    <t>p.6 waterfall; p.8 prints ~$6.6tn cumulative group capex for tier-2 &amp; neoclouds</t>
  </si>
  <si>
    <t>Enterprise &amp; government capex</t>
  </si>
  <si>
    <t>“will invest in their own infrastructure ($1.4tn, or &lt;10%)”</t>
  </si>
  <si>
    <t>Total DC capex 2026-30 (formula = sum of uses)</t>
  </si>
  <si>
    <t>NSR prints $16.5tn (sum of printed components = 16.4; rounding)</t>
  </si>
  <si>
    <t>Total DC capex 2026-30 — NSR printed</t>
  </si>
  <si>
    <t>SOURCES — how the $16.5tn is covered</t>
  </si>
  <si>
    <t>Source of funds</t>
  </si>
  <si>
    <t>Enterprise &amp; government own capex</t>
  </si>
  <si>
    <t>“&lt;10%”</t>
  </si>
  <si>
    <t>Accumulated hyperscaler OCF — consensus</t>
  </si>
  <si>
    <t>“Consensus models $6tn”</t>
  </si>
  <si>
    <t>NSR adjustments to hyperscaler OCF</t>
  </si>
  <si>
    <t>“we expect ~$2tn more, as hyperscalers grow faster (24% ’25-’30 CAGR vs 17% consensus), with higher flow-through incremental OCF margins (77% in 2030 vs consensus 60%)”</t>
  </si>
  <si>
    <t>Tier-2 &amp; neocloud OCF</t>
  </si>
  <si>
    <t>“Tier 2 and Neoclouds growing to $2.3tn of revenue in 2030, generated on 91GW deployed, at 77% AI OCF margin”</t>
  </si>
  <si>
    <t>Financing required (formula = total DC capex − sources)</t>
  </si>
  <si>
    <t>NSR prints ~$3.7tn (~23%) — “Most of it will be carried by Neoclouds, with the support of hyperscalers (guarantees and backstops)”</t>
  </si>
  <si>
    <t>Financing required — NSR printed</t>
  </si>
  <si>
    <t>Hyperscaler OCF total (consensus + NSR adj.)</t>
  </si>
  <si>
    <t>NSR: “Hyperscaler OCF ($8tn, or ~50%)”; p.7 cumulative OCF 2026-30 prints $8.0tn</t>
  </si>
  <si>
    <t>p.8 — Tier-2 and neocloud financing structure (cumulative 2026-30, $tn)</t>
  </si>
  <si>
    <t>% of neo capex (calc)</t>
  </si>
  <si>
    <t>Tier-2 &amp; neocloud cumulative group capex 2026-30</t>
  </si>
  <si>
    <t>denominator</t>
  </si>
  <si>
    <t>Cumulative operating cash flow 2026-30</t>
  </si>
  <si>
    <t>“Operating cash flow of tier-2 and neoclouds likely to finance 40% of capex” (prints as 50% of 6.6 — NSR's 40% is a rounded statement)</t>
  </si>
  <si>
    <t>Loans 2026-30 (50% of buildings; 40% of hardware)</t>
  </si>
  <si>
    <t>“debt 40 to 50%”</t>
  </si>
  <si>
    <t>Prepayments and equity</t>
  </si>
  <si>
    <t>Check: OCF + loans + prepayments/equity − capex</t>
  </si>
  <si>
    <t>p.8 — Financing requirements vs key-player EBITDA</t>
  </si>
  <si>
    <t>2027 EBITDA — hyperscalers + Nvidia + Broadcom</t>
  </si>
  <si>
    <t>Total required financing 2026-30 — hyperscalers</t>
  </si>
  <si>
    <t>Equals the p.7 cumulative FCF 2026-30 of −$716bn</t>
  </si>
  <si>
    <t>Total required financing 2026-30 — tier-2 &amp; neoclouds</t>
  </si>
  <si>
    <t>Equals loans 2.6 + prepayments/equity 0.7</t>
  </si>
  <si>
    <t>Total required financing (formula)</t>
  </si>
  <si>
    <t>Gives $4.0tn, vs the $3.7tn on the p.6 waterfall — a $0.3tn internal gap in the note (p.6 nets hyperscaler OCF against total, p.8 counts the hyperscaler shortfall gross)</t>
  </si>
  <si>
    <t>Debt / EBITDA (formula = required financing / 2027 EBITDA)</t>
  </si>
  <si>
    <t>NSR prints ~2.2x; “Industry-wide leverage not to exceed low-single-digit multiple of EBITDA”</t>
  </si>
  <si>
    <t>NSR p.2 — “Multiple datapoints over the earnings season lead us to materially increase our forecast”</t>
  </si>
  <si>
    <t>Source: New Street Research (Ferragu et al.), 18 Sep 2026, p.2 (datapoints table) and p.3 (forecast bridge). Transcribed verbatim (condensed). The p.3 values feed formulas on the other sheets.</t>
  </si>
  <si>
    <t>p.2 — supply-chain datapoints</t>
  </si>
  <si>
    <t>Company</t>
  </si>
  <si>
    <t>What indicates an acceleration? (NSR wording)</t>
  </si>
  <si>
    <t>Nvidia</t>
  </si>
  <si>
    <t>Expects ~70% revenue growth in FY28; unconstrained demand growth is &gt;100% and supply should remain a bottleneck through FY28.</t>
  </si>
  <si>
    <t>Broadcom</t>
  </si>
  <si>
    <t>AI semiconductor revenue of $58bn in FY26, $115bn in FY27 and $230bn in FY28. Management sees demand for 30GW across six XPU customers; its financing platform is designed to enable &gt;20GW through 2028.</t>
  </si>
  <si>
    <t>TSMC</t>
  </si>
  <si>
    <t>Abandoned its prior mid-to-high 50s% CAGR guide for 2024-29, expecting “stronger and stronger” growth.</t>
  </si>
  <si>
    <t>ASML</t>
  </si>
  <si>
    <t>Will increase capacity by 30% in both 2027 and 2028, after 40% in 2026 — implies growth extending strongly in 2028 and 2029 (semicap capacity is a ~1-year leading indicator).</t>
  </si>
  <si>
    <t>CPU vendors</t>
  </si>
  <si>
    <t>AMD raised the CPU TAM again to ~$220bn by 2030. Qualcomm and Nvidia are at $200bn.</t>
  </si>
  <si>
    <t>Hyperscalers</t>
  </si>
  <si>
    <t>Strong guides lift capex expectations for 2027/28 by 27%/32%. Compute demand continues to exceed available capacity into 2027, with AWS/Azure growth accelerating to 37%/43%. AWS sees “striking” demand for 2028 and $600bn revenue by 2036 (&gt;15% p.a. from 2025).</t>
  </si>
  <si>
    <t>NSR read</t>
  </si>
  <si>
    <t>“Across compute, foundry and semicap, the supply chain is now planning capacity through 2030 with increasing confidence that demand will exceed how quickly supply can be added. Demand expectations continue to move higher even as capacity plans are raised, supporting a materially steeper spending trajectory through the end of the decade.”</t>
  </si>
  <si>
    <t>p.3 — forecast bridge and the marks behind the $4tn (these cells feed formulas on the other sheets)</t>
  </si>
  <si>
    <t>Mark</t>
  </si>
  <si>
    <t>Value</t>
  </si>
  <si>
    <t>NSR wording / basis</t>
  </si>
  <si>
    <t>2030 AI capex — entering 2Q26 season</t>
  </si>
  <si>
    <t>$bn. “We entered the 2Q earnings season with a $2.4tn forecast for AI capex in 2030” (p.1).</t>
  </si>
  <si>
    <t>2030 AI capex — after TSMC/ASML prints</t>
  </si>
  <si>
    <t>$bn. “before raising it to $3tn following TSMC and ASML’s earnings” (p.1); p.3 gives the prior as “~$3.1tn”.</t>
  </si>
  <si>
    <t>2030 AI capex — this note</t>
  </si>
  <si>
    <t>$bn. p.4 total; “&gt;$4tn … &gt;30% above our previous ~$3.1tn estimate” (p.3).</t>
  </si>
  <si>
    <t>Uplift vs prior (formula)</t>
  </si>
  <si>
    <t>Recomputed; NSR says &gt;30%.</t>
  </si>
  <si>
    <t>2030 XPU spending</t>
  </si>
  <si>
    <t>$bn. “Nvidia at close to 60% of XPU value in 2030, implying ~$1.7tn of total XPU spending” (p.3).</t>
  </si>
  <si>
    <t>NVDA share of XPU value 2030</t>
  </si>
  <si>
    <t>“close to 60%” (p.3) — implied NVDA DC revenue ~$1.0tn 2030; NVDA “points to &gt;$1tn of datacenter revenue run rate by 2028”.</t>
  </si>
  <si>
    <t>Implied NVDA XPU revenue 2030 (formula)</t>
  </si>
  <si>
    <t>$bn = XPU spending × NVDA share.</t>
  </si>
  <si>
    <t>HBM gross margin 2030</t>
  </si>
  <si>
    <t>“we still expect HBM gross margins to normalize to ~76% by 2030” (p.3, p.5).</t>
  </si>
  <si>
    <t>2030 CPU market (total)</t>
  </si>
  <si>
    <t>$bn. “We increase our 2030 CPU forecast to ~$200bn” (p.3) — industry expectations moved from ~$60bn &lt;1yr ago to $200bn+.</t>
  </si>
  <si>
    <t>2030 CPU market (AI applications)</t>
  </si>
  <si>
    <t>$bn. “implying close to $170bn for AI applications” (p.3). Note p.4 AI-capex CPU line prints $168bn; p.5 total CPU spending prints $202bn.</t>
  </si>
  <si>
    <t>Installed AI capacity 2030</t>
  </si>
  <si>
    <t>GW. “We now expect ~275GW of installed AI capacity in 2030, up from ~225GW previously” (p.3). BASIS NOT STATED (facility vs IT-load).</t>
  </si>
  <si>
    <t>Installed AI capacity 2030 — prior</t>
  </si>
  <si>
    <t>GW (p.3).</t>
  </si>
  <si>
    <t>Hyperscaler deployed GW by end-decade</t>
  </si>
  <si>
    <t>GW. “&gt;100GW deployed by the end of the decade. ~$13bn revenues / GW” (p.7, AI cloud line) — a hyperscaler-only subset of the 275GW.</t>
  </si>
  <si>
    <t>AI cloud revenue per GW</t>
  </si>
  <si>
    <t>$bn/GW/yr (p.7).</t>
  </si>
  <si>
    <t>Hyperscaler AI capex per GW</t>
  </si>
  <si>
    <t>$bn/GW. “Mainly AI at ~$40-45bn/GW” (p.7); midpoint used here.</t>
  </si>
  <si>
    <t>Hyperscaler non-AI capex 2025</t>
  </si>
  <si>
    <t>$bn. “~$125bn of non-AI in 2025 growing ~13% p.a.” (p.7).</t>
  </si>
  <si>
    <t>Non-AI capex growth</t>
  </si>
  <si>
    <t>p.a. (p.7).</t>
  </si>
  <si>
    <t>Tier-2 &amp; neocloud revenue 2030</t>
  </si>
  <si>
    <t>$bn. “growing to $2.3tn of revenue in 2030, generated on 91GW deployed, at 77% AI OCF margin” (p.6).</t>
  </si>
  <si>
    <t>Tier-2 &amp; neocloud deployed GW 2030</t>
  </si>
  <si>
    <t>GW (p.6).</t>
  </si>
  <si>
    <t>Implied tier-2/neocloud revenue per GW (formula)</t>
  </si>
  <si>
    <t>$bn/GW/yr — ~2x the $13bn/GW NSR uses for hyperscaler AI cloud on p.7. Basis fork inside the note; not reconciled by NSR.</t>
  </si>
  <si>
    <t>Hyperscaler revenue CAGR 2025-30 (NSR vs consensus)</t>
  </si>
  <si>
    <t>NSR 24% vs consensus 17% (p.6).</t>
  </si>
  <si>
    <t>Hyperscaler incremental OCF margin 2030 (NSR vs consensus)</t>
  </si>
  <si>
    <t>NSR 77% vs consensus 60% (p.6).</t>
  </si>
  <si>
    <t>Capstone house series — what our models say on the same lines (US$bn unless stated)</t>
  </si>
  <si>
    <t>All values pasted from the named Capstone file/sheet (blue). Vintage column = file save date and base. CY29-30 rows come from July-2026 workbooks built on the July AI Model (CY28 $2,588bn), NOT the current 31-Aug AI Model (CY28 $2,913bn).</t>
  </si>
  <si>
    <t>2023</t>
  </si>
  <si>
    <t>2024</t>
  </si>
  <si>
    <t>Source (file → sheet → row)</t>
  </si>
  <si>
    <t>Vintage / basis</t>
  </si>
  <si>
    <t>A. AI capex — all players (AI Model ‘Resumo |  Total’, $mn → $bn)</t>
  </si>
  <si>
    <t>Capex Total — all players (hyperscalers + ORCL/CRWV/SpaceX/labs/others)</t>
  </si>
  <si>
    <t>AI Model.xlsx (Modelos oficiais, saved 2026-08-31) → Resumo |  Total → ‘Capex Total’</t>
  </si>
  <si>
    <t>2026-08-31 — CURRENT official model; CY23-28 only</t>
  </si>
  <si>
    <t xml:space="preserve">  o/w Chips (GPU/XPU incl. HBM inside) = designers’ chip revenue</t>
  </si>
  <si>
    <t>AI Model.xlsx (Modelos oficiais, saved 2026-08-31) → ‘Capex | Chips’</t>
  </si>
  <si>
    <t xml:space="preserve">  o/w Networking + CPU + server memory/storage</t>
  </si>
  <si>
    <t>AI Model.xlsx (Modelos oficiais, saved 2026-08-31) → ‘Capex | Networking + CPU +..’</t>
  </si>
  <si>
    <t xml:space="preserve">  o/w Other (shell, power, land, site)</t>
  </si>
  <si>
    <t>AI Model.xlsx (Modelos oficiais, saved 2026-08-31) → ‘Capex | Other’</t>
  </si>
  <si>
    <t xml:space="preserve">  Check: components − total</t>
  </si>
  <si>
    <t>Capex Total — y/y</t>
  </si>
  <si>
    <t>Chips — % of capex</t>
  </si>
  <si>
    <t>Networking+CPU+memory/storage — % of capex</t>
  </si>
  <si>
    <t>Other (shell/power/site) — % of capex</t>
  </si>
  <si>
    <t>Capex Hyperscalers AI — bottom-up (MSFT+AMZN+GOOG+META)</t>
  </si>
  <si>
    <t>AI Model.xlsx (Modelos oficiais, saved 2026-08-31) → ‘Capex Hyperscalers AI | Bottom-Up’</t>
  </si>
  <si>
    <t xml:space="preserve">  MSFT (AI, bottom-up)</t>
  </si>
  <si>
    <t>AI Model.xlsx (Modelos oficiais, saved 2026-08-31)</t>
  </si>
  <si>
    <t xml:space="preserve">  AMZN / AWS (AI, bottom-up)</t>
  </si>
  <si>
    <t xml:space="preserve">  GOOG (AI, bottom-up)</t>
  </si>
  <si>
    <t xml:space="preserve">  META (AI, bottom-up)</t>
  </si>
  <si>
    <t>Capex Hyperscalers TOTAL — official company models (AI + non-AI)</t>
  </si>
  <si>
    <t>AI Model.xlsx (Modelos oficiais, saved 2026-08-31) → ‘Capex Hyperscalers | Modelos Capstone’ (MSFT 117/191/258/322; AMZN 132/214/330/379; GOOG 91/183/310/463; META 70/151/200/261 for CY25-28)</t>
  </si>
  <si>
    <t>2026-08-31 — CURRENT official model; CY23-28 only; CY28 AI = total by construction</t>
  </si>
  <si>
    <t>Capex Other Players — bottom-up (ORCL, CRWV, SpaceX, OpenAI, Anthropic, others)</t>
  </si>
  <si>
    <t>AI Model.xlsx (Modelos oficiais, saved 2026-08-31) → ‘Capex Outros Players | Bottom-Up’ (ORCL 31.7/65.3/119.5/198.0; CRWV 26.0/44.3/111.9/198.0; SpaceX 13.7/59.7/260.6/253.8; OpenAI 0/0/56.7/94.9; Anthropic 0/0/97.4/410.3; others -11.5/50.5/113.9/333.0 for CY25-28)</t>
  </si>
  <si>
    <t>Other players — % of all-player AI capex</t>
  </si>
  <si>
    <t>Cumulative all-player capex 2026-28 (in 2028 column)</t>
  </si>
  <si>
    <t>Memo: AI Model ‘Implicito’ CY29-30 cumulative against an $11tn 2024-30 anchor (in 2030 column)</t>
  </si>
  <si>
    <t>AI Model.xlsx (Modelos oficiais, saved 2026-08-31) → Resumo |  Total row 8: ‘CAPEX 24-28 Acumulado 6,330 | CAPEX 29-30 Implicito 4,670 | CAPEX 24-30 SA 11,000’</t>
  </si>
  <si>
    <t>Scratch cell in the model — implies CY29-30 average ~$2.3tn/yr, BELOW CY28; the cell header reads ‘uma coisa me incomoda: cagr de capacidade’. Not a forecast.</t>
  </si>
  <si>
    <t>Memo: AI Model scratch CY29E (= CY28 × 1.70) — NOT a modeled year</t>
  </si>
  <si>
    <t>AI Model.xlsx (Modelos oficiais, saved 2026-08-31) → Resumo |  Total ‘Capstone Est’ block (row ~282)</t>
  </si>
  <si>
    <t>placeholder growth 70%; excluded from Comparison</t>
  </si>
  <si>
    <t>B. Semis MAP v11 — scenario capex path and component TAMs (July-2026 vintage; CY29-30 = extension)</t>
  </si>
  <si>
    <t>Capstone base capex (= July AI Model Capex Total) — scenario driver</t>
  </si>
  <si>
    <t>AI_Chip_Designers_TAM_v11.xlsx (Semis MAP, 2026-07-16) → Scenario | Drivers row 3</t>
  </si>
  <si>
    <t>2026-07-16 — on July AI Model base (CY28 2,588); CY29-35 are scenario extensions; extension growth CY29 +18% / CY30 +14%</t>
  </si>
  <si>
    <t xml:space="preserve">  Alt path: JPM ‘AI Capex 2.0’</t>
  </si>
  <si>
    <t>AI_Chip_Designers_TAM_v11.xlsx (Semis MAP, 2026-07-16) → Scenario | Drivers row 4</t>
  </si>
  <si>
    <t>JPM Sur 2026-06-16; CY29+ extended by the map</t>
  </si>
  <si>
    <t xml:space="preserve">  Alt path: Street five-name consensus</t>
  </si>
  <si>
    <t>AI_Chip_Designers_TAM_v11.xlsx (Semis MAP, 2026-07-16) → Scenario | Drivers row 5</t>
  </si>
  <si>
    <t>BBG five-name (MSFT/AMZN/GOOGL/META/ORCL), June-2026 vintage</t>
  </si>
  <si>
    <t>AI chip revenue — designers (= accelerators, HBM inside)</t>
  </si>
  <si>
    <t>AI_Chip_Designers_TAM_v11.xlsx (Semis MAP, 2026-07-16) → Designers TAM row 2</t>
  </si>
  <si>
    <t>2026-07-16 — on July AI Model base (CY28 2,588); CY29-35 are scenario extensions</t>
  </si>
  <si>
    <t xml:space="preserve">  NVDA</t>
  </si>
  <si>
    <t>AI_Chip_Designers_TAM_v11.xlsx (Semis MAP, 2026-07-16) → Designers TAM</t>
  </si>
  <si>
    <t xml:space="preserve">  AMD</t>
  </si>
  <si>
    <t>AI_Chip_Designers_TAM_v11.xlsx (Semis MAP, 2026-07-16)</t>
  </si>
  <si>
    <t xml:space="preserve">  Custom ASICs (AVGO + MRVL + MediaTek + Alchip)</t>
  </si>
  <si>
    <t>Custom ASIC share of accelerator value</t>
  </si>
  <si>
    <t>AI DC systems TAM — BofA mix applied to Capstone capex</t>
  </si>
  <si>
    <t>AI_Chip_Designers_TAM_v11.xlsx (Semis MAP, 2026-07-16) → AI DC TAM (BofA mix) row 5</t>
  </si>
  <si>
    <t>2026-07-16 — on July AI Model base (CY28 2,588); CY29-35 are scenario extensions; systems only (ex-shell/power)</t>
  </si>
  <si>
    <t>AI CPUs (BofA-mix line; Build | CPU calibrated TAM = 9.3/24.6/48.4/77.8/91.8/104.7 CY25-30)</t>
  </si>
  <si>
    <t>AI_Chip_Designers_TAM_v11.xlsx (Semis MAP, 2026-07-16) → AI DC TAM (BofA mix) ‘AI CPUs’; Build | CPU row 3 is the capture-calibrated version</t>
  </si>
  <si>
    <t>2026-07-16 — on July AI Model base (CY28 2,588); CY29-35 are scenario extensions; head-node CPUs inside AI servers</t>
  </si>
  <si>
    <t>HBM — BofA-mix line (uncalibrated; memo inside accelerators)</t>
  </si>
  <si>
    <t>AI_Chip_Designers_TAM_v11.xlsx (Semis MAP, 2026-07-16) → AI DC TAM (BofA mix) ‘HBM (memo)’</t>
  </si>
  <si>
    <t>HBM — Build | HBM calibrated TAM (capture 0.621 to canonical $35bn CY25)</t>
  </si>
  <si>
    <t>AI_Chip_Designers_TAM_v11.xlsx (Semis MAP, 2026-07-16) → Build | HBM row 3</t>
  </si>
  <si>
    <t>2026-07-16 — on July AI Model base (CY28 2,588); CY29-35 are scenario extensions; SK Hynix 47% / Samsung 28% / Micron 25% by CY28</t>
  </si>
  <si>
    <t>HBM — repriced (industry bits 2/4.3/6.25/8/9.6/11.2 EB × $17.5/18/31/28/26.6/25.3 per GB)</t>
  </si>
  <si>
    <t>AI_Chip_Designers_TAM_v11.xlsx (Semis MAP, 2026-07-16) → Build | Memory (total) row 15</t>
  </si>
  <si>
    <t>2026-07-16 — on July AI Model base (CY28 2,588); CY29-35 are scenario extensions; $31/GB CY27 kept vs wiki $22.75 fork (F14 comment)</t>
  </si>
  <si>
    <t>Fleet DDR5 (hyperscaler general + DB servers) = bits × realized $/GB</t>
  </si>
  <si>
    <t>AI_Chip_Designers_TAM_v11.xlsx (Semis MAP, 2026-07-16) → Build | Memory (total) row 61</t>
  </si>
  <si>
    <t>2026-07-16 — on July AI Model base (CY28 2,588); CY29-35 are scenario extensions; $/GB 3.2 → 11 → 14 → 13.5 CY25-28</t>
  </si>
  <si>
    <t>DC NAND total (BofA chain)</t>
  </si>
  <si>
    <t>AI_Chip_Designers_TAM_v11.xlsx (Semis MAP, 2026-07-16) → Build | Memory (total) row 62</t>
  </si>
  <si>
    <t>Nearline HDD (CSP share)</t>
  </si>
  <si>
    <t>AI_Chip_Designers_TAM_v11.xlsx (Semis MAP, 2026-07-16) → Build | Memory (total) row 65</t>
  </si>
  <si>
    <t>DRAM ex-HBM + NAND (formula = fleet DDR5 + DC NAND) — closest to NSR ‘DRAM &amp; NAND’</t>
  </si>
  <si>
    <t>formula on the two rows above</t>
  </si>
  <si>
    <t>excludes head-node DRAM (26-34) and the memory slice of ‘other’ (10-35); excludes HDD</t>
  </si>
  <si>
    <t>TOTAL CSP memory bill (mapped + repricing + fleet DDR5/NAND/HDD)</t>
  </si>
  <si>
    <t>AI_Chip_Designers_TAM_v11.xlsx (Semis MAP, 2026-07-16) → Build | Memory (total) row 24</t>
  </si>
  <si>
    <t>2026-07-16 — on July AI Model base (CY28 2,588); CY29-35 are scenario extensions; = 39% / 55% of STREET capex CY26/27</t>
  </si>
  <si>
    <t>AI Networking (switching + SmartNIC + optical + copper)</t>
  </si>
  <si>
    <t>AI_Chip_Designers_TAM_v11.xlsx (Semis MAP, 2026-07-16) → AI DC TAM (BofA mix) ‘AI Networking’</t>
  </si>
  <si>
    <t>2026-07-16 — on July AI Model base (CY28 2,588); CY29-35 are scenario extensions; BofA ratio × house accelerators</t>
  </si>
  <si>
    <t xml:space="preserve">  o/w Optical</t>
  </si>
  <si>
    <t>AI Storage</t>
  </si>
  <si>
    <t>Implied compute GW added per year (chip $ / $-per-GW capture)</t>
  </si>
  <si>
    <t>AI_Chip_Designers_TAM_v11.xlsx (Semis MAP, 2026-07-16) → AI DC TAM (BofA mix) row 28</t>
  </si>
  <si>
    <t>2026-07-16 — on July AI Model base (CY28 2,588); CY29-35 are scenario extensions; CHIP-CONTENT GW (NVDA $19.5-23.5bn/GW, ASIC $11.5bn/GW), gross of retirements</t>
  </si>
  <si>
    <t>Cumulative compute GW since CY23 (gross, no retirements)</t>
  </si>
  <si>
    <t>AI_Chip_Designers_TAM_v11.xlsx (Semis MAP, 2026-07-16) → AI DC TAM (BofA mix) row 37</t>
  </si>
  <si>
    <t>2026-07-16 — on July AI Model base (CY28 2,588); CY29-35 are scenario extensions; chip-content basis — NOT facility, NOT IT-load</t>
  </si>
  <si>
    <t>C. Bottom_Up_Capex_v3 — physical bottom-up (units × ASP; all-buyer; July-2026 vintage)</t>
  </si>
  <si>
    <t>Capex implied bottom-up (sum of physical lines)</t>
  </si>
  <si>
    <t>Bottom_Up_Capex_v3.xlsx (Semis MAP, 2026-07-24) → Resumo | Bottom-up Capex row 10</t>
  </si>
  <si>
    <t>2026-07-24 — physical bottom-up; CY29-30 extension; skeptic-audited PARTIAL; runs 1.2-1.3x the AI Model — the sheet's own note: ‘CY27 $1.9T = bull assumptions stacked’</t>
  </si>
  <si>
    <t xml:space="preserve">  Accelerators (units × ASP; HBM + LPDDR inside)</t>
  </si>
  <si>
    <t>Bottom_Up_Capex_v3.xlsx (Semis MAP, 2026-07-24) row 3</t>
  </si>
  <si>
    <t>2026-07-24 — physical bottom-up; CY29-30 extension; skeptic-audited PARTIAL</t>
  </si>
  <si>
    <t xml:space="preserve">  CPUs + general-purpose servers (ex-memory)</t>
  </si>
  <si>
    <t>Bottom_Up_Capex_v3.xlsx (Semis MAP, 2026-07-24) row 4</t>
  </si>
  <si>
    <t>2026-07-24 — physical bottom-up; CY29-30 extension; skeptic-audited PARTIAL; broader than head-node AI CPUs</t>
  </si>
  <si>
    <t xml:space="preserve">  Memory bought direct (DDR5 + DC NAND + …)</t>
  </si>
  <si>
    <t>Bottom_Up_Capex_v3.xlsx (Semis MAP, 2026-07-24) row 5</t>
  </si>
  <si>
    <t xml:space="preserve">  Networking (optical + switching + SmartNIC + copper)</t>
  </si>
  <si>
    <t>Bottom_Up_Capex_v3.xlsx (Semis MAP, 2026-07-24) row 6</t>
  </si>
  <si>
    <t xml:space="preserve">  Infra: P&amp;C equipment + storage</t>
  </si>
  <si>
    <t>Bottom_Up_Capex_v3.xlsx (Semis MAP, 2026-07-24) row 7</t>
  </si>
  <si>
    <t xml:space="preserve">  Non-IT: shell + energy + E&amp;C (physical GW × $/GW)</t>
  </si>
  <si>
    <t>Bottom_Up_Capex_v3.xlsx (Semis MAP, 2026-07-24) row 8</t>
  </si>
  <si>
    <t>Memo: memory TOTAL supplier-side (incl. HBM + LPDDR inside accelerators)</t>
  </si>
  <si>
    <t>Bottom_Up_Capex_v3.xlsx (Semis MAP, 2026-07-24) row 23</t>
  </si>
  <si>
    <t>2026-07-24 — physical bottom-up; CY29-30 extension; skeptic-audited PARTIAL; = 22% → 39% → 35% of implied capex CY25-27</t>
  </si>
  <si>
    <t>Facility GW added per year (physical: units × kW × PUE)</t>
  </si>
  <si>
    <t>Bottom_Up_Capex_v3.xlsx (Semis MAP, 2026-07-24) row 26/40</t>
  </si>
  <si>
    <t>2026-07-24 — physical bottom-up; CY29-30 extension; skeptic-audited PARTIAL; FACILITY basis</t>
  </si>
  <si>
    <t>Cumulative facility GW since CY23</t>
  </si>
  <si>
    <t>Bottom_Up_Capex_v3.xlsx (Semis MAP, 2026-07-24) row 43</t>
  </si>
  <si>
    <t>2026-07-24 — physical bottom-up; CY29-30 extension; skeptic-audited PARTIAL; FACILITY basis; check vs BofA 233 GW CY30 = 1.04x</t>
  </si>
  <si>
    <t>Effective $/GW of the system (= implied capex / facility GW added)</t>
  </si>
  <si>
    <t>Bottom_Up_Capex_v3.xlsx (Semis MAP, 2026-07-24) row 29</t>
  </si>
  <si>
    <t>D. AI Model — designers, GW stocks and unit economics (31-Aug-2026)</t>
  </si>
  <si>
    <t>NVDA chip revenue (AI Model designers)</t>
  </si>
  <si>
    <t>AI Model.xlsx (Modelos oficiais, saved 2026-08-31) → Resumo |  Designers ‘Receita’</t>
  </si>
  <si>
    <t>AVGO chip revenue (Google TPU + Meta MTIA + OpenAI)</t>
  </si>
  <si>
    <t>Custom ASICs total (AVGO + MRVL + MSFT + MTK + Alchip)</t>
  </si>
  <si>
    <t>AI Model.xlsx (Modelos oficiais, saved 2026-08-31) → ‘By client | ASICs’</t>
  </si>
  <si>
    <t>NVDA share of chip capex</t>
  </si>
  <si>
    <t>Accelerator units sold</t>
  </si>
  <si>
    <t>k units</t>
  </si>
  <si>
    <t>AI Model.xlsx (Modelos oficiais, saved 2026-08-31) → Resumo |  Total ‘# Chips’</t>
  </si>
  <si>
    <t>2026-08-31 — CURRENT official model; CY23-28 only; NVDA 5.2M/7.6M/8.7M/5.25M CY25-28</t>
  </si>
  <si>
    <t>AI GW sold per year (designers)</t>
  </si>
  <si>
    <t>AI Model.xlsx (Modelos oficiais, saved 2026-08-31) → Resumo |  Designers ‘GW de AI vendidos’ (NVDA 8.7/16.6/27.0/30.8; AVGO 2.3/6.7/13.1/20.7 CY25-28)</t>
  </si>
  <si>
    <t>2026-08-31 — CURRENT official model; CY23-28 only; chip-content GW shipped</t>
  </si>
  <si>
    <t>AI GW stock, end of period — PURCHASE basis (cumulative chips bought)</t>
  </si>
  <si>
    <t>AI Model.xlsx (Modelos oficiais, saved 2026-08-31) → Resumo |  Total ‘Estoque GW AI, EOP’ (ótica da compra)</t>
  </si>
  <si>
    <t>2026-08-31 — CURRENT official model; CY23-28 only; MSFT 24.5 / AMZN 28.6 / GOOG 34.0 / META 20.6 / ORCL 10.2 / CRWV 9.2 / SpaceX 13 / Anthropic 14 / OpenAI 4.7 / others 12.9 in CY28</t>
  </si>
  <si>
    <t>AI GW stock, end of period — ONLINE-capacity basis</t>
  </si>
  <si>
    <t>AI Model.xlsx (Modelos oficiais, saved 2026-08-31) → Resumo |  Total ‘Estoque GW AI, EOP’ (ótica da capacidade online)</t>
  </si>
  <si>
    <t>2026-08-31 — CURRENT official model; CY23-28 only; lags purchase by ~1 year of deliveries</t>
  </si>
  <si>
    <t>AI GW stock, average online (drives implied AI revenue)</t>
  </si>
  <si>
    <t>AI Model.xlsx (Modelos oficiais, saved 2026-08-31) → ‘Estoque GW AI, AVG’</t>
  </si>
  <si>
    <t>Implied AI revenue (avg online GW × revenue/GW; big-4 + others, incl. internal use)</t>
  </si>
  <si>
    <t>AI Model.xlsx (Modelos oficiais, saved 2026-08-31) → Resumo |  Total ‘Receita AI Implícita’</t>
  </si>
  <si>
    <t>2026-08-31 — CURRENT official model; CY23-28 only; NOT cloud revenue — includes META internal and ads/copilot value; do not compare to NSR AI cloud</t>
  </si>
  <si>
    <t>Payback (years) — big-4 blended</t>
  </si>
  <si>
    <t>yrs</t>
  </si>
  <si>
    <t>AI Model.xlsx (Modelos oficiais, saved 2026-08-31) → ‘Payback’</t>
  </si>
  <si>
    <t>Capex per GW — NVDA-based build (chip 25.5 + networking/ST 10.3 + other 15.0), CY28E</t>
  </si>
  <si>
    <t>AI Model.xlsx (Modelos oficiais, saved 2026-08-31) → Resumo |  Economics GW (Ano = CY28E)</t>
  </si>
  <si>
    <t>2026-08-31 — CURRENT official model; CY23-28 only; Google 40.1 / Meta 38.8 / OpenAI 33.2 / MSFT 30.3 / Trainium 27.9 $bn/GW</t>
  </si>
  <si>
    <t>Capex per GW — blended house build cost per GW added</t>
  </si>
  <si>
    <t>ai-capex-funding.html / ai-capex-sankey.html PGW array (from AI Model economics_1gw, 2026-08-17)</t>
  </si>
  <si>
    <t>2026-08-17; blended across designers</t>
  </si>
  <si>
    <t>Revenue per GW — NVDA-based deployment</t>
  </si>
  <si>
    <t>$bn/GW/yr</t>
  </si>
  <si>
    <t>AI Model.xlsx (Modelos oficiais, saved 2026-08-31) → Economics GW ‘Receita/GW’ (NVDA 20; Google/MTK 14; Meta/OpenAI/MSFT/AMD 10.5; Trainium/Alchip 7)</t>
  </si>
  <si>
    <t>2026-08-31 — CURRENT official model; CY23-28 only; MS 1GW block: GB300 $20bn, GB200 $17.5bn, H100 $16bn, TPU $15bn, Trainium $6bn</t>
  </si>
  <si>
    <t>Revenue per GW — implied blended (= implied AI revenue / avg online GW)</t>
  </si>
  <si>
    <t>blend of designers at model utilisation</t>
  </si>
  <si>
    <t>E. AI Model — HBM Model (bottom-up: units × GB/chip × $/GB; $17 HBM3E / $26 HBM4 / $29 HBM4E)</t>
  </si>
  <si>
    <t>HBM shipped</t>
  </si>
  <si>
    <t>mn GB</t>
  </si>
  <si>
    <t>AI Model.xlsx (Modelos oficiais, saved 2026-08-31) → HBM Model Section 2 ‘Total’ (CY cols)</t>
  </si>
  <si>
    <t>HBM revenue implied by the accelerator unit plan</t>
  </si>
  <si>
    <t>AI Model.xlsx (Modelos oficiais, saved 2026-08-31) → HBM Model Section 3 ‘Total’ ($mn → $bn)</t>
  </si>
  <si>
    <t>2026-08-31 — CURRENT official model; CY23-28 only; CY28 jump = HBM4E 1TB parts (VR300/MI500X) at $29/GB</t>
  </si>
  <si>
    <t>Implied blended HBM $/GB (formula)</t>
  </si>
  <si>
    <t>$/GB</t>
  </si>
  <si>
    <t>formula</t>
  </si>
  <si>
    <t>static spec-sheet $/GB, no 2027 repricing — hence below the Semis MAP repriced line in CY27</t>
  </si>
  <si>
    <t>HBM as % of chip capex (AI Model, both bottom-up)</t>
  </si>
  <si>
    <t>F. Hyperscaler cash — big-4 (MSFT/AMZN/GOOG/META), CALENDAR year, from the AI Model (official company models feed it)</t>
  </si>
  <si>
    <t>OCF big-4 (CY)</t>
  </si>
  <si>
    <t>AI Model.xlsx (Modelos oficiais, saved 2026-08-31) → Resumo |  Total ‘OCF big 4’ (MSFT 160.9/203.4/266.5/341.8; AMZN 139.5/188.7/251.1/330.4; GOOG 124.0/182.2/262.1/347.3; META 90.4/113.3/143.6/182.4)</t>
  </si>
  <si>
    <t>2026-08-31 — CURRENT official model; CY23-28 only; GOOG/META house OCF = LL + D&amp;A (ex-SBC, ex-WC), conservative vs GAAP</t>
  </si>
  <si>
    <t>Capex big-4 (CY, total incl. non-AI)</t>
  </si>
  <si>
    <t>AI Model.xlsx (Modelos oficiais, saved 2026-08-31) → ‘Capex big4’</t>
  </si>
  <si>
    <t>2026-08-31 — CURRENT official model; CY23-28 only; MSFT incl. finance leases</t>
  </si>
  <si>
    <t>FCF big-4 (formula = OCF − capex)</t>
  </si>
  <si>
    <t>formula; model prints 105.1 / (62.3) / (239.7) / (261.4)</t>
  </si>
  <si>
    <t>MSFT 44.2/18.9/17.9/44.2; AMZN 7.7/(25.3)/(79.0)/(96.0); GOOG 32.5/(27.8)/(116.1)/(130.4); META 20.7/(28.1)/(62.5)/(79.1)</t>
  </si>
  <si>
    <t>Capex / OCF big-4</t>
  </si>
  <si>
    <t>‘Capex faltante’ = all-player AI capex not covered by big-4 capex (others’ spend)</t>
  </si>
  <si>
    <t>AI Model.xlsx (Modelos oficiais, saved 2026-08-31) → ‘Capex faltante’</t>
  </si>
  <si>
    <t>Cumulative big-4 FCF 2026-28 (in 2028 column)</t>
  </si>
  <si>
    <t>OCF 5-name (GOOG+MSFT+META+ORCL+AMZN), FISCAL years, house-on-consensus base</t>
  </si>
  <si>
    <t>ai-capex-funding.html section III (Felipe’s Aug-26 exhibit ‘modelos oficiais sobre base de consenso’)</t>
  </si>
  <si>
    <t>FY basis (MSFT Jun, ORCL May); FY2025-27 only</t>
  </si>
  <si>
    <t>Capex 5-name, FISCAL years</t>
  </si>
  <si>
    <t>same exhibit (GOOG 91.4/200.6/360.0; MSFT 88.2/145.3/251.9 incl. leases; META 69.7/150.7/200.0; ORCL 21.2/55.7/91.5; AMZN 131.8/220.6/276.8)</t>
  </si>
  <si>
    <t>FY basis</t>
  </si>
  <si>
    <t>OCF − capex, 5-name FY (formula)</t>
  </si>
  <si>
    <t>Memo: BBG consensus hyperscaler FCF basket (AMZN/GOOGL/META/MSFT/ORCL), total-company FCF</t>
  </si>
  <si>
    <t>fetch_fcf_transfer.py asof 2026-07-28 (fcf-transfer-chart); top-4 ex-ORCL asof 2026-08-18: +5.4 / (58.5) / +76.1</t>
  </si>
  <si>
    <t>consensus, not house; vintage-sensitive</t>
  </si>
  <si>
    <t>G. AI Model — Cloud revenue, scenario 1 (ótica da demanda), CY24-30 ($bn)</t>
  </si>
  <si>
    <t>Cloud revenues — MSFT (Azure, API gross) + AWS + GCP + Others</t>
  </si>
  <si>
    <t>AI Model.xlsx (Modelos oficiais, saved 2026-08-31) → Resumo | Clouds row 111 ‘Receita das Clouds (Cen 1)’ annual block AG:AN</t>
  </si>
  <si>
    <t>2026-08-31 — CURRENT official model; CY23-28 only; the ONLY house series that reaches CY30 on the current model</t>
  </si>
  <si>
    <t xml:space="preserve">  Non-AI cloud revenue</t>
  </si>
  <si>
    <t>AI Model.xlsx (Modelos oficiais, saved 2026-08-31) → row 119</t>
  </si>
  <si>
    <t xml:space="preserve">  AI cloud revenue</t>
  </si>
  <si>
    <t>AI Model.xlsx (Modelos oficiais, saved 2026-08-31) → row 125</t>
  </si>
  <si>
    <t xml:space="preserve">    o/w generated by AI labs (OpenAI, Anthropic, others)</t>
  </si>
  <si>
    <t>AI Model.xlsx (Modelos oficiais, saved 2026-08-31) → row 131</t>
  </si>
  <si>
    <t xml:space="preserve">    o/w other AI</t>
  </si>
  <si>
    <t>AI Model.xlsx (Modelos oficiais, saved 2026-08-31) → row 137</t>
  </si>
  <si>
    <t>Cloud revenues — y/y</t>
  </si>
  <si>
    <t>AI cloud revenue — y/y</t>
  </si>
  <si>
    <t>Memo: cloud revenue ‘projetado’ (top-down check line)</t>
  </si>
  <si>
    <t>AI Model.xlsx (Modelos oficiais, saved 2026-08-31) → row 116</t>
  </si>
  <si>
    <t>H. Ledger canon (assumptions.md asof 2026-09-14) and external GW marks — context, not house-built</t>
  </si>
  <si>
    <t>Hyperscaler capex canon: top-4 ~$410B 2025A → $700-725B 2026E → ~$1.1T 2027E (JPM AI Capex 2.0)</t>
  </si>
  <si>
    <t>assumptions.md ‘hyperscaler-capex’; JPM Sur 2026-06-16 (midpoint 2026)</t>
  </si>
  <si>
    <t>top-4 basket; NVDA mgmt (Q2 FY27 call): top-5 ~$800bn 2026 → $1.3tn 2027; JPM APAC 08-31: CSP $950bn/1.40tn/1.55tn 2026-28</t>
  </si>
  <si>
    <t>AI TAM canon: BofA AI-DC systems TAM CY30 ~$1.7T (accelerators $1.17T, HBM $168B, networking $316B)</t>
  </si>
  <si>
    <t>assumptions.md ‘ai-tam-2030’; BofA Arya 2026-05-13 (themes/ai-tam-bofa.md §1)</t>
  </si>
  <si>
    <t>systems TAM (ex-shell/power); house build CY30 ~$1.41T accelerators = 1.01x AMD $1.4T, 1.21x BofA</t>
  </si>
  <si>
    <t>HBM TAM canon: $35B 2025 → $100B 2028 (Micron/JPM); $168B CY30 (BofA)</t>
  </si>
  <si>
    <t>assumptions.md ‘hbm-cycle’ (BofA path 34.5/76.8/105.5/120.5/139.9/168.3; 2028 shows Micron/JPM $100B)</t>
  </si>
  <si>
    <t>TAM frames to 2028 vs 2030 are both valid; UBS HBM bit demand 33.1/58.7 B Gb 2026/27</t>
  </si>
  <si>
    <t>Server-CPU TAM canon: house ~$55bn CY26 / ~$96bn CY27 / ~$137bn CY28 (Bottom_Up v2); house 2030 ~$180-200bn</t>
  </si>
  <si>
    <t>assumptions.md ‘server-cpu-tam’ (CY30 = midpoint of the $180-200bn house range)</t>
  </si>
  <si>
    <t>CPU-silicon TOTAL market incl. Vera + enterprise; Bernstein $137bn base / $223bn bull 2030; UBS ~$175bn; AMD $220bn</t>
  </si>
  <si>
    <t>External GW: IT-load ~300 GW by 2030 (JPM/Omdia) / 240-280 GW global (JPM First Principles)</t>
  </si>
  <si>
    <t>assumptions.md ‘ai-dc-power-gw’</t>
  </si>
  <si>
    <t>IT-LOAD basis, 800V debate — keep separate; facility: JPM 138 GW US DC capacity through 2030</t>
  </si>
  <si>
    <t>Tokenomics bridge: 2030 installed accelerator base 224 GW IT (36 mid-26 + BofA 208 adds − 8 overlap − 12 retirements); LLM tokens justify ~116 GW</t>
  </si>
  <si>
    <t>GW IT</t>
  </si>
  <si>
    <t>Tokenomics_GW_Bridge_v1.xlsx → Anchors ‘Supply plan: base instalada 2030’ (2026-07-20)</t>
  </si>
  <si>
    <t>DERIVED from BofA adds, not house-built; facility ≈ ×1.4 = ~314 GW</t>
  </si>
  <si>
    <t>Rev/GW canon: merchant GPU rental ~$12-13bn/GW; MS 1P TPU ~$20bn/GW; AVGO lab monetisation ~$30bn/GW</t>
  </si>
  <si>
    <t>assumptions.md ‘rev-per-gw’ (SemiAnalysis/Patel 2026-06-30; MS Nowak 06-29; Hock Tan Q3 FY26 call 2026-09-02)</t>
  </si>
  <si>
    <t>SIX bases circulate — never chain them</t>
  </si>
  <si>
    <t>NSR — “Here we are – $4tn AI capex in 2030?” — transcription + Capstone comparison</t>
  </si>
  <si>
    <t>Built 2026-09-18 for Felipe Monteiro (Capstone). Workbook generated by script; every number carries its source in the row.</t>
  </si>
  <si>
    <t>SOURCE NOTE</t>
  </si>
  <si>
    <t>New Street Research LLP — Industry Report, 18 September 2026 — “Here we are – $4tn AI capex in 2030?”. Analysts: Pierre Ferragu, Antoine Chkaiban, Benjamin Harwood, Peter Vogel (Global Technology Research). 10 pages, 6 exhibits.</t>
  </si>
  <si>
    <t>PDF: C:\Users\Felipe.monteiro\Downloads\20260918-INDUSTRY-model-update-note-1_260918_112522.pdf (copy filed in _inbox as 20260918-NSR-Ferragu-AI-capex-4tn-2030-industry-report.pdf).</t>
  </si>
  <si>
    <t>PDF footer watermark: “rendered exclusively for acastro@absoluteinvest.com.br” — a client-rendered copy forwarded to Capstone; treat redistribution accordingly.</t>
  </si>
  <si>
    <t>Every NSR figure is transcribed as printed (blue). Totals, growth, shares, margins and cumulatives are recomputed by formula (black) and checked against the printed values (yellow check cells should read ~0).</t>
  </si>
  <si>
    <t>SHEETS</t>
  </si>
  <si>
    <t>Summary — the front page: what NSR says, nine key reads, and a compact headline table (2028 / 2030) linked to the Comparison sheet.</t>
  </si>
  <si>
    <t>Comparison — NSR vs Capstone side by side, 2025-2030, in rows of three (NSR / Capstone / Δ = Capstone ÷ NSR − 1) with a basis note per metric. Read the basis note before quoting any delta.</t>
  </si>
  <si>
    <t>Share_XPU / Share_CPU / Share_Memory — vendor market shares applied to the NSR pools: XPU (Capstone designer mix vs NSR 60% / BofA 68% NVIDIA), server CPU (Capstone head-node shares, Bernstein unit shares, a street-anchored value build from Intel/AMD/NVIDIA prints and guides), memory (HBM on Capstone / JPM / UBS paths; server DRAM on bit-supply mix; server NAND on TrendForce eSSD share). Every share input is tagged HARD / PARTIAL / EST with its source; implied revenue = pool × share; guardrails flag OFF when implied revenue is &gt;25% away from a reported or consensus figure.</t>
  </si>
  <si>
    <t>NSR_Capex — p.4 “Annual AI infrastructure capex by component, 2025-2030” ($bn) with recomputed total, YoY, mix and CAGR + reconciliation to the printed total.</t>
  </si>
  <si>
    <t>NSR_Memory — p.5 “Memory economics within AI infrastructure deployments” ($bn): HBM / DRAM / NAND / CPU / other, with the additive-structure checks.</t>
  </si>
  <si>
    <t>NSR_HyperPL — p.7 hyperscaler P&amp;L and cash flow 2025-2030 (core vs cloud, EBITDA, D&amp;A, OCF, capex, FCF) with recomputed EBIT / FCF / margins and cumulatives.</t>
  </si>
  <si>
    <t>NSR_Funding — p.6 funding waterfall ($16.5tn cumulative DC capex 2026-30) + p.8 tier-2/neocloud financing structure and Debt/EBITDA.</t>
  </si>
  <si>
    <t>NSR_Datapoints — p.2 supply-chain datapoints table + p.3 forecast bridge ($2.4tn → ~$3.1tn → $4.1tn) and the 2030 GW / NVDA-share / CPU marks used by the formulas.</t>
  </si>
  <si>
    <t>House — Capstone series: AI Model (31-Aug-2026 save), Semis MAP v11 (16-Jul-2026), Bottom_Up_Capex_v3 (24-Jul-2026), Tokenomics bridge, funding dashboard, assumptions ledger canon.</t>
  </si>
  <si>
    <t>COLOUR LEGEND</t>
  </si>
  <si>
    <t>Blue = hardcoded input (NSR as printed, or a Capstone value pasted from the named file). Black = formula. Green = link to another sheet in this workbook. In the Comparison sheet, deltas print blue when Capstone is above NSR and red when below.</t>
  </si>
  <si>
    <t>Yellow fill = reconciliation / check cells (should read ~0). Salmon fill = an internal inconsistency in the NSR note itself, flagged rather than fixed.</t>
  </si>
  <si>
    <t>BASIS WARNINGS (wiki rules — never mix)</t>
  </si>
  <si>
    <t>1. AI capex perimeter: NSR “AI capex” = all buyers (hyperscalers + tier-2/neoclouds + enterprise/government). Capstone AI Model “Capex Total” = all players (hyperscalers + ORCL/CRWV/SpaceX/labs/others). Same spirit, different enumeration.</t>
  </si>
  <si>
    <t>2. Hyperscaler basket: NSR p.7 “Hyperscalers” is not enumerated in the note. Capstone big-4 = MSFT/AMZN/GOOG/META (AI Model); the 5-name FY table adds ORCL. Capstone big-4 OCF/capex/FCF are CALENDAR-year model figures; the FY table is fiscal-year.</t>
  </si>
  <si>
    <t>3. GW: NSR “~275GW of installed AI capacity in 2030” does not state facility vs IT-load. Capstone carries THREE GW stocks (purchase-basis chip GW, online-capacity GW, facility GW) — each is labelled in House and Comparison. Do not net them.</t>
  </si>
  <si>
    <t>4. Memory: NSR splits HBM (inside XPU) from DRAM &amp; NAND (server). Capstone has three HBM lines (AI Model bottom-up units×GB×$/GB; Semis MAP calibrated to $35bn CY25; Semis MAP repriced bits×$/GB) and two ex-HBM memory builds. All are shown; none is netted against another.</t>
  </si>
  <si>
    <t>5. CPU: NSR p.4 “CPUs” (6→168) is the AI slice; p.5 “CPUs spending” (25→202) is the total server-CPU market. Capstone Semis MAP “AI CPUs” = head-node CPUs inside AI servers; Bottom_Up “CPUs + servidores” is broader (general-purpose servers ex-memory).</t>
  </si>
  <si>
    <t>6. Vintage: Capstone CY29-30 values exist only in the July-2026 Semis MAP / Bottom_Up workbooks, built on the July AI Model (CY28 capex $2,588bn). The current AI Model (31-Aug) has CY28 at $2,913bn (+13%) and stops at CY28. CY29-30 house rows are therefore STALE-BASE extensions, flagged in the House vintage column.</t>
  </si>
  <si>
    <t>7. Revenue per GW: NSR ~$13bn/GW is AI-cloud revenue per deployed GW. Capstone Economics-GW revenue/GW is by designer/client (NVDA $20bn, Google $14bn, Trainium $7bn, others $10.5bn). The ledger rental marks ($12-13bn merchant GPU) are a third basis.</t>
  </si>
  <si>
    <t>HOUSE FILES USED (read-only; nothing in them was modified)</t>
  </si>
  <si>
    <t>E:\Wiki Felipe empresas\Modelos oficiais\AI Model.xlsx (saved 2026-08-31) — sheets ‘Resumo |  Total’, ‘Resumo |  Designers’, ‘Resumo |  Economics GW’, ‘Resumo | Clouds’, ‘HBM Model’. $mn in file, shown here in $bn.</t>
  </si>
  <si>
    <t>P:\Felipe Monteiro\Semis MAP\AI_Chip_Designers_TAM_v11.xlsx (2026-07-16) — ‘Scenario | Drivers’, ‘Designers TAM’, ‘AI DC TAM (BofA mix)’, ‘Build | HBM’, ‘Build | Memory (total)’, ‘Build | CPU’.</t>
  </si>
  <si>
    <t>P:\Felipe Monteiro\Semis MAP\Bottom_Up_Capex_v3.xlsx (2026-07-24) — ‘Resumo | Bottom-up Capex’.</t>
  </si>
  <si>
    <t>P:\Felipe Monteiro\Semis MAP\Tokenomics_GW_Bridge_v1.xlsx (2026-07-20) — ‘Anchors’ (2030 installed base 224 GW IT, BofA-derived).</t>
  </si>
  <si>
    <t>_wiki/_dashboards/ai-capex-funding.html (2026-08-17) — 5-name FY OCF/capex table transcribed from Felipe’s Aug-26 exhibit; big-4 OCF (CY) bridge array.</t>
  </si>
  <si>
    <t>_wiki/_meta/assumptions.md (asof 2026-09-14) — canonical ledger: hyperscaler-capex, ai-tam-2030, hbm-cycle, server-cpu-tam, ai-dc-power-gw, rev-per-gw.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</si>
</sst>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quot;-&quot;"/>
    <numFmt numFmtId="165" formatCode="0.0%;\(0.0%\);&quot;-&quot;"/>
    <numFmt numFmtId="166" formatCode="#,##0.0;\(#,##0.0\);&quot;-&quot;"/>
    <numFmt numFmtId="167" formatCode="0.00&quot;x&quot;"/>
    <numFmt numFmtId="168" formatCode="[Blue]\+0.0%;[Red]\(0.0%\);&quot;-&quot;"/>
  </numFmts>
  <fonts count="16" x14ac:knownFonts="1">
    <font>
      <sz val="11"/>
      <color theme="1"/>
      <name val="Calibri"/>
      <family val="2"/>
      <scheme val="minor"/>
    </font>
    <font>
      <b/>
      <sz val="14"/>
      <color rgb="FF1F3864"/>
      <name val="Arial"/>
    </font>
    <font>
      <i/>
      <sz val="9"/>
      <color rgb="FF595959"/>
      <name val="Arial"/>
    </font>
    <font>
      <b/>
      <sz val="10"/>
      <color rgb="FF1F3864"/>
      <name val="Arial"/>
    </font>
    <font>
      <sz val="10"/>
      <color rgb="FF000000"/>
      <name val="Arial"/>
    </font>
    <font>
      <b/>
      <sz val="10"/>
      <color rgb="FFFFFFFF"/>
      <name val="Arial"/>
    </font>
    <font>
      <b/>
      <sz val="10"/>
      <name val="Arial"/>
    </font>
    <font>
      <sz val="10"/>
      <color rgb="FF0000FF"/>
      <name val="Arial"/>
    </font>
    <font>
      <sz val="9"/>
      <color rgb="FF595959"/>
      <name val="Arial"/>
    </font>
    <font>
      <i/>
      <sz val="8"/>
      <color rgb="FF7F7F7F"/>
      <name val="Arial"/>
    </font>
    <font>
      <b/>
      <sz val="10"/>
      <color rgb="FF0000FF"/>
      <name val="Arial"/>
    </font>
    <font>
      <sz val="10"/>
      <color rgb="FF008000"/>
      <name val="Arial"/>
    </font>
    <font>
      <i/>
      <sz val="10"/>
      <name val="Arial"/>
    </font>
    <font>
      <b/>
      <sz val="9"/>
      <color rgb="FFB36B00"/>
      <name val="Arial"/>
    </font>
    <font>
      <b/>
      <sz val="9"/>
      <color rgb="FF008000"/>
      <name val="Arial"/>
    </font>
    <font>
      <b/>
      <sz val="9"/>
      <color rgb="FF1F4E79"/>
      <name val="Arial"/>
    </font>
  </fonts>
  <fills count="7">
    <fill>
      <patternFill patternType="none"/>
    </fill>
    <fill>
      <patternFill patternType="gray125"/>
    </fill>
    <fill>
      <patternFill patternType="solid">
        <fgColor rgb="FFD9E1F2"/>
      </patternFill>
    </fill>
    <fill>
      <patternFill patternType="solid">
        <fgColor rgb="FF1F3864"/>
      </patternFill>
    </fill>
    <fill>
      <patternFill patternType="solid">
        <fgColor rgb="FFF2F2F2"/>
      </patternFill>
    </fill>
    <fill>
      <patternFill patternType="solid">
        <fgColor rgb="FFFFF2CC"/>
      </patternFill>
    </fill>
    <fill>
      <patternFill patternType="solid">
        <fgColor rgb="FFFCE4D6"/>
      </patternFill>
    </fill>
  </fills>
  <borders count="4">
    <border>
      <left/>
      <right/>
      <top/>
      <bottom/>
      <diagonal/>
    </border>
    <border>
      <left/>
      <right/>
      <top/>
      <bottom style="thin">
        <color rgb="FFBFBFBF"/>
      </bottom>
      <diagonal/>
    </border>
    <border>
      <left/>
      <right/>
      <top/>
      <bottom style="thin">
        <color rgb="FFE4E4E4"/>
      </bottom>
      <diagonal/>
    </border>
    <border>
      <left/>
      <right/>
      <top style="thin">
        <color rgb="FFBFBFBF"/>
      </top>
      <bottom style="thin">
        <color rgb="FFBFBFBF"/>
      </bottom>
      <diagonal/>
    </border>
  </borders>
  <cellStyleXfs count="1">
    <xf numFmtId="0" fontId="0" fillId="0" borderId="0"/>
  </cellStyleXfs>
  <cellXfs count="74">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0" fontId="6" fillId="0" borderId="2" xfId="0" applyFont="1" applyBorder="1" applyAlignment="1">
      <alignment vertical="center" wrapText="1"/>
    </xf>
    <xf numFmtId="0" fontId="9" fillId="0" borderId="2" xfId="0" applyFont="1" applyBorder="1" applyAlignment="1">
      <alignment horizontal="center" vertical="center"/>
    </xf>
    <xf numFmtId="166" fontId="11" fillId="0" borderId="2" xfId="0" applyNumberFormat="1" applyFont="1" applyBorder="1" applyAlignment="1">
      <alignment horizontal="right" vertical="center"/>
    </xf>
    <xf numFmtId="168" fontId="12" fillId="0" borderId="2" xfId="0" applyNumberFormat="1" applyFont="1" applyBorder="1" applyAlignment="1">
      <alignment horizontal="right" vertical="center"/>
    </xf>
    <xf numFmtId="0" fontId="8" fillId="0" borderId="2" xfId="0" applyFont="1" applyBorder="1" applyAlignment="1">
      <alignment vertical="center" wrapText="1"/>
    </xf>
    <xf numFmtId="0" fontId="0" fillId="0" borderId="2" xfId="0" applyBorder="1"/>
    <xf numFmtId="165" fontId="11" fillId="0" borderId="2" xfId="0" applyNumberFormat="1" applyFont="1" applyBorder="1" applyAlignment="1">
      <alignment horizontal="right" vertical="center"/>
    </xf>
    <xf numFmtId="0" fontId="4" fillId="0" borderId="2" xfId="0" applyFont="1" applyBorder="1" applyAlignment="1">
      <alignment vertical="center" wrapText="1"/>
    </xf>
    <xf numFmtId="0" fontId="3" fillId="2" borderId="1" xfId="0" applyFont="1" applyFill="1" applyBorder="1" applyAlignment="1">
      <alignment vertical="center"/>
    </xf>
    <xf numFmtId="0" fontId="0" fillId="2" borderId="1" xfId="0" applyFill="1" applyBorder="1"/>
    <xf numFmtId="0" fontId="6" fillId="0" borderId="2" xfId="0" applyFont="1" applyBorder="1" applyAlignment="1">
      <alignment horizontal="left" vertical="center"/>
    </xf>
    <xf numFmtId="0" fontId="2" fillId="0" borderId="1" xfId="0" applyFont="1" applyBorder="1" applyAlignment="1">
      <alignment horizontal="left" vertical="center"/>
    </xf>
    <xf numFmtId="168" fontId="12" fillId="0" borderId="1" xfId="0" applyNumberFormat="1" applyFont="1" applyBorder="1" applyAlignment="1">
      <alignment horizontal="right" vertical="center"/>
    </xf>
    <xf numFmtId="167" fontId="11" fillId="0" borderId="2" xfId="0" applyNumberFormat="1" applyFont="1" applyBorder="1" applyAlignment="1">
      <alignment horizontal="right" vertical="center"/>
    </xf>
    <xf numFmtId="0" fontId="6" fillId="4" borderId="3" xfId="0" applyFont="1" applyFill="1" applyBorder="1" applyAlignment="1">
      <alignment vertical="center" wrapText="1"/>
    </xf>
    <xf numFmtId="0" fontId="9" fillId="4" borderId="3" xfId="0" applyFont="1" applyFill="1" applyBorder="1" applyAlignment="1">
      <alignment horizontal="center" vertical="center"/>
    </xf>
    <xf numFmtId="166" fontId="11" fillId="4" borderId="3" xfId="0" applyNumberFormat="1" applyFont="1" applyFill="1" applyBorder="1" applyAlignment="1">
      <alignment horizontal="right" vertical="center"/>
    </xf>
    <xf numFmtId="0" fontId="8" fillId="0" borderId="3" xfId="0" applyFont="1" applyBorder="1" applyAlignment="1">
      <alignment horizontal="center" vertical="center"/>
    </xf>
    <xf numFmtId="0" fontId="8" fillId="0" borderId="3" xfId="0" applyFont="1" applyBorder="1" applyAlignment="1">
      <alignment vertical="center" wrapText="1"/>
    </xf>
    <xf numFmtId="166" fontId="7" fillId="0" borderId="2" xfId="0" applyNumberFormat="1" applyFont="1" applyBorder="1" applyAlignment="1">
      <alignment horizontal="right" vertical="center"/>
    </xf>
    <xf numFmtId="0" fontId="13" fillId="0" borderId="2" xfId="0" applyFont="1" applyBorder="1" applyAlignment="1">
      <alignment horizontal="center" vertical="center"/>
    </xf>
    <xf numFmtId="166" fontId="6" fillId="4" borderId="3" xfId="0" applyNumberFormat="1" applyFont="1" applyFill="1" applyBorder="1" applyAlignment="1">
      <alignment horizontal="right" vertical="center"/>
    </xf>
    <xf numFmtId="166" fontId="4" fillId="5" borderId="2" xfId="0" applyNumberFormat="1" applyFont="1" applyFill="1" applyBorder="1" applyAlignment="1">
      <alignment horizontal="right" vertical="center"/>
    </xf>
    <xf numFmtId="0" fontId="8" fillId="0" borderId="2" xfId="0" applyFont="1" applyBorder="1" applyAlignment="1">
      <alignment horizontal="center" vertical="center"/>
    </xf>
    <xf numFmtId="165" fontId="4" fillId="0" borderId="2" xfId="0" applyNumberFormat="1" applyFont="1" applyBorder="1" applyAlignment="1">
      <alignment horizontal="right" vertical="center"/>
    </xf>
    <xf numFmtId="165" fontId="6" fillId="4" borderId="3" xfId="0" applyNumberFormat="1" applyFont="1" applyFill="1" applyBorder="1" applyAlignment="1">
      <alignment horizontal="right" vertical="center"/>
    </xf>
    <xf numFmtId="165" fontId="7" fillId="0" borderId="2" xfId="0" applyNumberFormat="1" applyFont="1" applyBorder="1" applyAlignment="1">
      <alignment horizontal="right" vertical="center"/>
    </xf>
    <xf numFmtId="0" fontId="14" fillId="0" borderId="2" xfId="0" applyFont="1" applyBorder="1" applyAlignment="1">
      <alignment horizontal="center" vertical="center"/>
    </xf>
    <xf numFmtId="166" fontId="4" fillId="0" borderId="2" xfId="0" applyNumberFormat="1" applyFont="1" applyBorder="1" applyAlignment="1">
      <alignment horizontal="right" vertical="center"/>
    </xf>
    <xf numFmtId="167" fontId="4" fillId="0" borderId="2" xfId="0" applyNumberFormat="1" applyFont="1" applyBorder="1" applyAlignment="1">
      <alignment horizontal="right" vertical="center"/>
    </xf>
    <xf numFmtId="49" fontId="4" fillId="0" borderId="2" xfId="0" applyNumberFormat="1" applyFont="1" applyBorder="1" applyAlignment="1">
      <alignment horizontal="center" vertical="center"/>
    </xf>
    <xf numFmtId="165" fontId="4" fillId="5" borderId="2" xfId="0" applyNumberFormat="1" applyFont="1" applyFill="1" applyBorder="1" applyAlignment="1">
      <alignment horizontal="right" vertical="center"/>
    </xf>
    <xf numFmtId="0" fontId="15" fillId="0" borderId="2" xfId="0" applyFont="1" applyBorder="1" applyAlignment="1">
      <alignment horizontal="center" vertical="center"/>
    </xf>
    <xf numFmtId="167" fontId="6" fillId="4" borderId="3" xfId="0" applyNumberFormat="1" applyFont="1" applyFill="1" applyBorder="1" applyAlignment="1">
      <alignment horizontal="right" vertical="center"/>
    </xf>
    <xf numFmtId="0" fontId="0" fillId="4" borderId="3" xfId="0" applyFill="1" applyBorder="1"/>
    <xf numFmtId="164" fontId="7" fillId="0" borderId="2" xfId="0" applyNumberFormat="1" applyFont="1" applyBorder="1" applyAlignment="1">
      <alignment horizontal="right" vertical="center"/>
    </xf>
    <xf numFmtId="165" fontId="0" fillId="0" borderId="2" xfId="0" applyNumberFormat="1" applyBorder="1"/>
    <xf numFmtId="164" fontId="6" fillId="4" borderId="3" xfId="0" applyNumberFormat="1" applyFont="1" applyFill="1" applyBorder="1" applyAlignment="1">
      <alignment horizontal="right" vertical="center"/>
    </xf>
    <xf numFmtId="165" fontId="4" fillId="0" borderId="3" xfId="0" applyNumberFormat="1" applyFont="1" applyBorder="1" applyAlignment="1">
      <alignment horizontal="right" vertical="center"/>
    </xf>
    <xf numFmtId="165" fontId="7" fillId="0" borderId="3" xfId="0" applyNumberFormat="1" applyFont="1" applyBorder="1" applyAlignment="1">
      <alignment horizontal="right" vertical="center"/>
    </xf>
    <xf numFmtId="164" fontId="10" fillId="4" borderId="3" xfId="0" applyNumberFormat="1" applyFont="1" applyFill="1" applyBorder="1" applyAlignment="1">
      <alignment horizontal="right" vertical="center"/>
    </xf>
    <xf numFmtId="0" fontId="0" fillId="0" borderId="3" xfId="0" applyBorder="1"/>
    <xf numFmtId="164" fontId="4" fillId="5" borderId="2" xfId="0" applyNumberFormat="1" applyFont="1" applyFill="1" applyBorder="1" applyAlignment="1">
      <alignment horizontal="right" vertical="center"/>
    </xf>
    <xf numFmtId="164" fontId="4" fillId="0" borderId="2" xfId="0" applyNumberFormat="1" applyFont="1" applyBorder="1" applyAlignment="1">
      <alignment horizontal="right" vertical="center"/>
    </xf>
    <xf numFmtId="164" fontId="11" fillId="4" borderId="3" xfId="0" applyNumberFormat="1" applyFont="1" applyFill="1" applyBorder="1" applyAlignment="1">
      <alignment horizontal="right" vertical="center"/>
    </xf>
    <xf numFmtId="164" fontId="11" fillId="0" borderId="2" xfId="0" applyNumberFormat="1" applyFont="1" applyBorder="1" applyAlignment="1">
      <alignment horizontal="right" vertical="center"/>
    </xf>
    <xf numFmtId="165" fontId="7" fillId="6" borderId="2" xfId="0" applyNumberFormat="1" applyFont="1" applyFill="1" applyBorder="1" applyAlignment="1">
      <alignment horizontal="right" vertical="center"/>
    </xf>
    <xf numFmtId="164" fontId="4" fillId="6" borderId="2" xfId="0" applyNumberFormat="1" applyFont="1" applyFill="1" applyBorder="1" applyAlignment="1">
      <alignment horizontal="right" vertical="center"/>
    </xf>
    <xf numFmtId="164" fontId="4" fillId="0" borderId="3" xfId="0" applyNumberFormat="1" applyFont="1" applyBorder="1" applyAlignment="1">
      <alignment horizontal="right" vertical="center"/>
    </xf>
    <xf numFmtId="164" fontId="7" fillId="0" borderId="3" xfId="0" applyNumberFormat="1" applyFont="1" applyBorder="1" applyAlignment="1">
      <alignment horizontal="right" vertical="center"/>
    </xf>
    <xf numFmtId="165" fontId="0" fillId="0" borderId="2" xfId="0" applyNumberFormat="1" applyBorder="1" applyAlignment="1">
      <alignment horizontal="right" vertical="center"/>
    </xf>
    <xf numFmtId="166" fontId="10" fillId="4" borderId="3" xfId="0" applyNumberFormat="1" applyFont="1" applyFill="1" applyBorder="1" applyAlignment="1">
      <alignment horizontal="right" vertical="center"/>
    </xf>
    <xf numFmtId="165" fontId="0" fillId="4" borderId="3" xfId="0" applyNumberFormat="1" applyFill="1" applyBorder="1" applyAlignment="1">
      <alignment horizontal="right" vertical="center"/>
    </xf>
    <xf numFmtId="165" fontId="7" fillId="4" borderId="3" xfId="0" applyNumberFormat="1" applyFont="1" applyFill="1" applyBorder="1" applyAlignment="1">
      <alignment horizontal="right" vertical="center"/>
    </xf>
    <xf numFmtId="0" fontId="8" fillId="6" borderId="3" xfId="0" applyFont="1" applyFill="1" applyBorder="1" applyAlignment="1">
      <alignment vertical="center" wrapText="1"/>
    </xf>
    <xf numFmtId="0" fontId="4" fillId="0" borderId="2" xfId="0" applyFont="1" applyBorder="1" applyAlignment="1">
      <alignment vertical="center" wrapText="1" indent="1"/>
    </xf>
    <xf numFmtId="0" fontId="8" fillId="0" borderId="2" xfId="0" applyFont="1" applyBorder="1" applyAlignment="1">
      <alignment vertical="center" wrapText="1" indent="1"/>
    </xf>
    <xf numFmtId="0" fontId="6" fillId="4" borderId="3" xfId="0" applyFont="1" applyFill="1" applyBorder="1" applyAlignment="1">
      <alignment vertical="center" wrapText="1" indent="1"/>
    </xf>
    <xf numFmtId="0" fontId="4" fillId="0" borderId="0" xfId="0" applyFont="1" applyAlignment="1">
      <alignment vertical="top" wrapText="1"/>
    </xf>
    <xf numFmtId="0" fontId="0" fillId="0" borderId="0" xfId="0"/>
    <xf numFmtId="0" fontId="2" fillId="0" borderId="0" xfId="0" applyFont="1" applyAlignment="1">
      <alignment vertical="top" wrapText="1"/>
    </xf>
    <xf numFmtId="0" fontId="3" fillId="2" borderId="0" xfId="0" applyFont="1" applyFill="1" applyAlignment="1">
      <alignment vertical="top" wrapText="1"/>
    </xf>
    <xf numFmtId="0" fontId="0" fillId="2" borderId="0" xfId="0" applyFill="1"/>
    <xf numFmtId="0" fontId="8" fillId="0" borderId="2" xfId="0" applyFont="1" applyBorder="1" applyAlignment="1">
      <alignment vertical="top" wrapText="1"/>
    </xf>
    <xf numFmtId="0" fontId="0" fillId="0" borderId="2" xfId="0" applyBorder="1"/>
    <xf numFmtId="0" fontId="0" fillId="0" borderId="1" xfId="0" applyBorder="1"/>
    <xf numFmtId="0" fontId="6" fillId="0" borderId="2" xfId="0" applyFont="1" applyBorder="1" applyAlignment="1">
      <alignment vertical="center" wrapText="1"/>
    </xf>
  </cellXfs>
  <cellStyles count="1">
    <cellStyle name="Normal" xfId="0" builtinId="0"/>
  </cellStyles>
  <dxfs count="26">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
      <fill>
        <patternFill patternType="solid">
          <fgColor rgb="FFF8CBAD"/>
        </patternFill>
      </fill>
    </dxf>
    <dxf>
      <fill>
        <patternFill patternType="solid">
          <f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9"/>
  <sheetViews>
    <sheetView showGridLines="0" tabSelected="1" zoomScale="90" zoomScaleNormal="90" workbookViewId="0"/>
  </sheetViews>
  <sheetFormatPr defaultRowHeight="15" x14ac:dyDescent="0.25"/>
  <cols>
    <col min="1" max="1" width="46" customWidth="1"/>
    <col min="2" max="2" width="8" customWidth="1"/>
    <col min="3" max="4" width="11" customWidth="1"/>
    <col min="5" max="5" width="10" customWidth="1"/>
    <col min="6" max="7" width="11" customWidth="1"/>
    <col min="8" max="8" width="10" customWidth="1"/>
    <col min="9" max="9" width="62" customWidth="1"/>
  </cols>
  <sheetData>
    <row r="1" spans="1:9" ht="24" customHeight="1" x14ac:dyDescent="0.25">
      <c r="A1" s="1" t="s">
        <v>0</v>
      </c>
    </row>
    <row r="2" spans="1:9" ht="26.1" customHeight="1" x14ac:dyDescent="0.25">
      <c r="A2" s="67" t="s">
        <v>1</v>
      </c>
      <c r="B2" s="66"/>
      <c r="C2" s="66"/>
      <c r="D2" s="66"/>
      <c r="E2" s="66"/>
      <c r="F2" s="66"/>
      <c r="G2" s="66"/>
      <c r="H2" s="66"/>
      <c r="I2" s="66"/>
    </row>
    <row r="3" spans="1:9" ht="8.1" customHeight="1" x14ac:dyDescent="0.25"/>
    <row r="4" spans="1:9" ht="18" customHeight="1" x14ac:dyDescent="0.25">
      <c r="A4" s="68" t="s">
        <v>2</v>
      </c>
      <c r="B4" s="69"/>
      <c r="C4" s="69"/>
      <c r="D4" s="69"/>
      <c r="E4" s="69"/>
      <c r="F4" s="69"/>
      <c r="G4" s="69"/>
      <c r="H4" s="69"/>
      <c r="I4" s="69"/>
    </row>
    <row r="5" spans="1:9" ht="24.95" customHeight="1" x14ac:dyDescent="0.25">
      <c r="A5" s="65" t="s">
        <v>3</v>
      </c>
      <c r="B5" s="66"/>
      <c r="C5" s="66"/>
      <c r="D5" s="66"/>
      <c r="E5" s="66"/>
      <c r="F5" s="66"/>
      <c r="G5" s="66"/>
      <c r="H5" s="66"/>
      <c r="I5" s="66"/>
    </row>
    <row r="6" spans="1:9" ht="14.1" customHeight="1" x14ac:dyDescent="0.25">
      <c r="A6" s="65" t="s">
        <v>4</v>
      </c>
      <c r="B6" s="66"/>
      <c r="C6" s="66"/>
      <c r="D6" s="66"/>
      <c r="E6" s="66"/>
      <c r="F6" s="66"/>
      <c r="G6" s="66"/>
      <c r="H6" s="66"/>
      <c r="I6" s="66"/>
    </row>
    <row r="7" spans="1:9" ht="14.1" customHeight="1" x14ac:dyDescent="0.25">
      <c r="A7" s="65" t="s">
        <v>5</v>
      </c>
      <c r="B7" s="66"/>
      <c r="C7" s="66"/>
      <c r="D7" s="66"/>
      <c r="E7" s="66"/>
      <c r="F7" s="66"/>
      <c r="G7" s="66"/>
      <c r="H7" s="66"/>
      <c r="I7" s="66"/>
    </row>
    <row r="8" spans="1:9" ht="24.95" customHeight="1" x14ac:dyDescent="0.25">
      <c r="A8" s="65" t="s">
        <v>6</v>
      </c>
      <c r="B8" s="66"/>
      <c r="C8" s="66"/>
      <c r="D8" s="66"/>
      <c r="E8" s="66"/>
      <c r="F8" s="66"/>
      <c r="G8" s="66"/>
      <c r="H8" s="66"/>
      <c r="I8" s="66"/>
    </row>
    <row r="9" spans="1:9" ht="6" customHeight="1" x14ac:dyDescent="0.25"/>
    <row r="10" spans="1:9" ht="18" customHeight="1" x14ac:dyDescent="0.25">
      <c r="A10" s="68" t="s">
        <v>7</v>
      </c>
      <c r="B10" s="69"/>
      <c r="C10" s="69"/>
      <c r="D10" s="69"/>
      <c r="E10" s="69"/>
      <c r="F10" s="69"/>
      <c r="G10" s="69"/>
      <c r="H10" s="69"/>
      <c r="I10" s="69"/>
    </row>
    <row r="11" spans="1:9" ht="24.95" customHeight="1" x14ac:dyDescent="0.25">
      <c r="A11" s="65" t="s">
        <v>8</v>
      </c>
      <c r="B11" s="66"/>
      <c r="C11" s="66"/>
      <c r="D11" s="66"/>
      <c r="E11" s="66"/>
      <c r="F11" s="66"/>
      <c r="G11" s="66"/>
      <c r="H11" s="66"/>
      <c r="I11" s="66"/>
    </row>
    <row r="12" spans="1:9" ht="24.95" customHeight="1" x14ac:dyDescent="0.25">
      <c r="A12" s="65" t="s">
        <v>9</v>
      </c>
      <c r="B12" s="66"/>
      <c r="C12" s="66"/>
      <c r="D12" s="66"/>
      <c r="E12" s="66"/>
      <c r="F12" s="66"/>
      <c r="G12" s="66"/>
      <c r="H12" s="66"/>
      <c r="I12" s="66"/>
    </row>
    <row r="13" spans="1:9" ht="24.95" customHeight="1" x14ac:dyDescent="0.25">
      <c r="A13" s="65" t="s">
        <v>10</v>
      </c>
      <c r="B13" s="66"/>
      <c r="C13" s="66"/>
      <c r="D13" s="66"/>
      <c r="E13" s="66"/>
      <c r="F13" s="66"/>
      <c r="G13" s="66"/>
      <c r="H13" s="66"/>
      <c r="I13" s="66"/>
    </row>
    <row r="14" spans="1:9" ht="24.95" customHeight="1" x14ac:dyDescent="0.25">
      <c r="A14" s="65" t="s">
        <v>11</v>
      </c>
      <c r="B14" s="66"/>
      <c r="C14" s="66"/>
      <c r="D14" s="66"/>
      <c r="E14" s="66"/>
      <c r="F14" s="66"/>
      <c r="G14" s="66"/>
      <c r="H14" s="66"/>
      <c r="I14" s="66"/>
    </row>
    <row r="15" spans="1:9" ht="14.1" customHeight="1" x14ac:dyDescent="0.25">
      <c r="A15" s="65" t="s">
        <v>12</v>
      </c>
      <c r="B15" s="66"/>
      <c r="C15" s="66"/>
      <c r="D15" s="66"/>
      <c r="E15" s="66"/>
      <c r="F15" s="66"/>
      <c r="G15" s="66"/>
      <c r="H15" s="66"/>
      <c r="I15" s="66"/>
    </row>
    <row r="16" spans="1:9" ht="24.95" customHeight="1" x14ac:dyDescent="0.25">
      <c r="A16" s="65" t="s">
        <v>13</v>
      </c>
      <c r="B16" s="66"/>
      <c r="C16" s="66"/>
      <c r="D16" s="66"/>
      <c r="E16" s="66"/>
      <c r="F16" s="66"/>
      <c r="G16" s="66"/>
      <c r="H16" s="66"/>
      <c r="I16" s="66"/>
    </row>
    <row r="17" spans="1:9" ht="14.1" customHeight="1" x14ac:dyDescent="0.25">
      <c r="A17" s="65" t="s">
        <v>14</v>
      </c>
      <c r="B17" s="66"/>
      <c r="C17" s="66"/>
      <c r="D17" s="66"/>
      <c r="E17" s="66"/>
      <c r="F17" s="66"/>
      <c r="G17" s="66"/>
      <c r="H17" s="66"/>
      <c r="I17" s="66"/>
    </row>
    <row r="18" spans="1:9" ht="24.95" customHeight="1" x14ac:dyDescent="0.25">
      <c r="A18" s="65" t="s">
        <v>15</v>
      </c>
      <c r="B18" s="66"/>
      <c r="C18" s="66"/>
      <c r="D18" s="66"/>
      <c r="E18" s="66"/>
      <c r="F18" s="66"/>
      <c r="G18" s="66"/>
      <c r="H18" s="66"/>
      <c r="I18" s="66"/>
    </row>
    <row r="19" spans="1:9" ht="24.95" customHeight="1" x14ac:dyDescent="0.25">
      <c r="A19" s="65" t="s">
        <v>16</v>
      </c>
      <c r="B19" s="66"/>
      <c r="C19" s="66"/>
      <c r="D19" s="66"/>
      <c r="E19" s="66"/>
      <c r="F19" s="66"/>
      <c r="G19" s="66"/>
      <c r="H19" s="66"/>
      <c r="I19" s="66"/>
    </row>
    <row r="20" spans="1:9" ht="6" customHeight="1" x14ac:dyDescent="0.25"/>
    <row r="21" spans="1:9" ht="18" customHeight="1" x14ac:dyDescent="0.25">
      <c r="A21" s="68" t="s">
        <v>17</v>
      </c>
      <c r="B21" s="69"/>
      <c r="C21" s="69"/>
      <c r="D21" s="69"/>
      <c r="E21" s="69"/>
      <c r="F21" s="69"/>
      <c r="G21" s="69"/>
      <c r="H21" s="69"/>
      <c r="I21" s="69"/>
    </row>
    <row r="22" spans="1:9" ht="30" customHeight="1" x14ac:dyDescent="0.25">
      <c r="A22" s="5" t="s">
        <v>18</v>
      </c>
      <c r="B22" s="6" t="s">
        <v>19</v>
      </c>
      <c r="C22" s="6" t="s">
        <v>20</v>
      </c>
      <c r="D22" s="6" t="s">
        <v>21</v>
      </c>
      <c r="E22" s="6" t="s">
        <v>22</v>
      </c>
      <c r="F22" s="6" t="s">
        <v>23</v>
      </c>
      <c r="G22" s="6" t="s">
        <v>24</v>
      </c>
      <c r="H22" s="6" t="s">
        <v>25</v>
      </c>
      <c r="I22" s="5" t="s">
        <v>26</v>
      </c>
    </row>
    <row r="23" spans="1:9" ht="15.95" customHeight="1" x14ac:dyDescent="0.25">
      <c r="A23" s="7" t="s">
        <v>27</v>
      </c>
      <c r="B23" s="8" t="s">
        <v>28</v>
      </c>
      <c r="C23" s="9">
        <f>IF(Comparison!F6="","",Comparison!F6)</f>
        <v>3330</v>
      </c>
      <c r="D23" s="9">
        <f>IF(Comparison!F7="","",Comparison!F7)</f>
        <v>2913.1</v>
      </c>
      <c r="E23" s="10">
        <f>IF(Comparison!F8="","",Comparison!F8)</f>
        <v>-0.12519519519519517</v>
      </c>
      <c r="F23" s="9">
        <f>IF(Comparison!H6="","",Comparison!H6)</f>
        <v>4150</v>
      </c>
      <c r="G23" s="9">
        <f>IF(Comparison!H7="","",Comparison!H7)</f>
        <v>3481.9</v>
      </c>
      <c r="H23" s="10">
        <f>IF(Comparison!H8="","",Comparison!H8)</f>
        <v>-0.16098795180722891</v>
      </c>
      <c r="I23" s="11" t="s">
        <v>29</v>
      </c>
    </row>
    <row r="24" spans="1:9" ht="15.95" customHeight="1" x14ac:dyDescent="0.25">
      <c r="A24" s="7" t="s">
        <v>30</v>
      </c>
      <c r="B24" s="8" t="s">
        <v>28</v>
      </c>
      <c r="C24" s="9">
        <f>IF(Comparison!F32="","",Comparison!F32)</f>
        <v>1252</v>
      </c>
      <c r="D24" s="9">
        <f>IF(Comparison!F33="","",Comparison!F33)</f>
        <v>1157.4000000000001</v>
      </c>
      <c r="E24" s="10">
        <f>IF(Comparison!F34="","",Comparison!F34)</f>
        <v>-7.5559105431309836E-2</v>
      </c>
      <c r="F24" s="9">
        <f>IF(Comparison!H32="","",Comparison!H32)</f>
        <v>1702</v>
      </c>
      <c r="G24" s="9">
        <f>IF(Comparison!H33="","",Comparison!H33)</f>
        <v>1414.2</v>
      </c>
      <c r="H24" s="10">
        <f>IF(Comparison!H34="","",Comparison!H34)</f>
        <v>-0.16909518213866037</v>
      </c>
      <c r="I24" s="11" t="s">
        <v>31</v>
      </c>
    </row>
    <row r="25" spans="1:9" ht="15.95" customHeight="1" x14ac:dyDescent="0.25">
      <c r="A25" s="7" t="s">
        <v>32</v>
      </c>
      <c r="B25" s="8" t="s">
        <v>28</v>
      </c>
      <c r="C25" s="9">
        <f>IF(Comparison!F73="","",Comparison!F73)</f>
        <v>332</v>
      </c>
      <c r="D25" s="9">
        <f>IF(Comparison!F74="","",Comparison!F74)</f>
        <v>224</v>
      </c>
      <c r="E25" s="10">
        <f>IF(Comparison!F75="","",Comparison!F75)</f>
        <v>-0.32530120481927716</v>
      </c>
      <c r="F25" s="9">
        <f>IF(Comparison!H73="","",Comparison!H73)</f>
        <v>560</v>
      </c>
      <c r="G25" s="9">
        <f>IF(Comparison!H74="","",Comparison!H74)</f>
        <v>283.39999999999998</v>
      </c>
      <c r="H25" s="10">
        <f>IF(Comparison!H75="","",Comparison!H75)</f>
        <v>-0.49392857142857149</v>
      </c>
      <c r="I25" s="11" t="s">
        <v>33</v>
      </c>
    </row>
    <row r="26" spans="1:9" ht="15.95" customHeight="1" x14ac:dyDescent="0.25">
      <c r="A26" s="7" t="s">
        <v>34</v>
      </c>
      <c r="B26" s="8" t="s">
        <v>28</v>
      </c>
      <c r="C26" s="9">
        <f>IF(Comparison!F81="","",Comparison!F81)</f>
        <v>459</v>
      </c>
      <c r="D26" s="9">
        <f>IF(Comparison!F82="","",Comparison!F82)</f>
        <v>345.8</v>
      </c>
      <c r="E26" s="10">
        <f>IF(Comparison!F83="","",Comparison!F83)</f>
        <v>-0.24662309368191715</v>
      </c>
      <c r="F26" s="9">
        <f>IF(Comparison!H81="","",Comparison!H81)</f>
        <v>423</v>
      </c>
      <c r="G26" s="9">
        <f>IF(Comparison!H82="","",Comparison!H82)</f>
        <v>404.9</v>
      </c>
      <c r="H26" s="10">
        <f>IF(Comparison!H83="","",Comparison!H83)</f>
        <v>-4.2789598108747051E-2</v>
      </c>
      <c r="I26" s="11" t="s">
        <v>35</v>
      </c>
    </row>
    <row r="27" spans="1:9" ht="15.95" customHeight="1" x14ac:dyDescent="0.25">
      <c r="A27" s="7" t="s">
        <v>36</v>
      </c>
      <c r="B27" s="8" t="s">
        <v>28</v>
      </c>
      <c r="C27" s="9">
        <f>IF(Comparison!F89="","",Comparison!F89)</f>
        <v>791</v>
      </c>
      <c r="D27" s="9">
        <f>IF(Comparison!F90="","",Comparison!F90)</f>
        <v>596.5</v>
      </c>
      <c r="E27" s="10">
        <f>IF(Comparison!F91="","",Comparison!F91)</f>
        <v>-0.24589127686472823</v>
      </c>
      <c r="F27" s="9">
        <f>IF(Comparison!H89="","",Comparison!H89)</f>
        <v>983</v>
      </c>
      <c r="G27" s="9">
        <f>IF(Comparison!H90="","",Comparison!H90)</f>
        <v>737</v>
      </c>
      <c r="H27" s="10">
        <f>IF(Comparison!H91="","",Comparison!H91)</f>
        <v>-0.25025432349949139</v>
      </c>
      <c r="I27" s="11" t="s">
        <v>37</v>
      </c>
    </row>
    <row r="28" spans="1:9" ht="15.95" customHeight="1" x14ac:dyDescent="0.25">
      <c r="A28" s="7" t="s">
        <v>38</v>
      </c>
      <c r="B28" s="8" t="s">
        <v>28</v>
      </c>
      <c r="C28" s="9">
        <f>IF(Comparison!F52="","",Comparison!F52)</f>
        <v>336</v>
      </c>
      <c r="D28" s="9">
        <f>IF(Comparison!F53="","",Comparison!F53)</f>
        <v>450.7</v>
      </c>
      <c r="E28" s="10">
        <f>IF(Comparison!F54="","",Comparison!F54)</f>
        <v>0.34136904761904763</v>
      </c>
      <c r="F28" s="9">
        <f>IF(Comparison!H52="","",Comparison!H52)</f>
        <v>465</v>
      </c>
      <c r="G28" s="9">
        <f>IF(Comparison!H53="","",Comparison!H53)</f>
        <v>606.29999999999995</v>
      </c>
      <c r="H28" s="10">
        <f>IF(Comparison!H54="","",Comparison!H54)</f>
        <v>0.30387096774193534</v>
      </c>
      <c r="I28" s="11" t="s">
        <v>39</v>
      </c>
    </row>
    <row r="29" spans="1:9" ht="15.95" customHeight="1" x14ac:dyDescent="0.25">
      <c r="A29" s="7" t="s">
        <v>40</v>
      </c>
      <c r="B29" s="8" t="s">
        <v>28</v>
      </c>
      <c r="C29" s="9">
        <f>IF(Comparison!F123="","",Comparison!F123)</f>
        <v>1975</v>
      </c>
      <c r="D29" s="9">
        <f>IF(Comparison!F124="","",Comparison!F124)</f>
        <v>1463.3</v>
      </c>
      <c r="E29" s="10">
        <f>IF(Comparison!F125="","",Comparison!F125)</f>
        <v>-0.25908860759493668</v>
      </c>
      <c r="F29" s="12"/>
      <c r="G29" s="12"/>
      <c r="H29" s="12"/>
      <c r="I29" s="11" t="s">
        <v>41</v>
      </c>
    </row>
    <row r="30" spans="1:9" ht="15.95" customHeight="1" x14ac:dyDescent="0.25">
      <c r="A30" s="7" t="s">
        <v>42</v>
      </c>
      <c r="B30" s="8" t="s">
        <v>28</v>
      </c>
      <c r="C30" s="9">
        <f>IF(Comparison!F127="","",Comparison!F127)</f>
        <v>-486</v>
      </c>
      <c r="D30" s="9">
        <f>IF(Comparison!F128="","",Comparison!F128)</f>
        <v>-261.39999999999986</v>
      </c>
      <c r="E30" s="10">
        <f>IF(Comparison!F129="","",Comparison!F129)</f>
        <v>-0.46213991769547358</v>
      </c>
      <c r="F30" s="12"/>
      <c r="G30" s="12"/>
      <c r="H30" s="12"/>
      <c r="I30" s="11" t="s">
        <v>43</v>
      </c>
    </row>
    <row r="31" spans="1:9" ht="15.95" customHeight="1" x14ac:dyDescent="0.25">
      <c r="A31" s="7" t="s">
        <v>44</v>
      </c>
      <c r="B31" s="8" t="s">
        <v>28</v>
      </c>
      <c r="C31" s="9">
        <f>IF(Comparison!F136="","",Comparison!F136)</f>
        <v>651</v>
      </c>
      <c r="D31" s="9">
        <f>IF(Comparison!F137="","",Comparison!F137)</f>
        <v>627.1</v>
      </c>
      <c r="E31" s="10">
        <f>IF(Comparison!F138="","",Comparison!F138)</f>
        <v>-3.6712749615975371E-2</v>
      </c>
      <c r="F31" s="9">
        <f>IF(Comparison!H136="","",Comparison!H136)</f>
        <v>1511</v>
      </c>
      <c r="G31" s="9">
        <f>IF(Comparison!H137="","",Comparison!H137)</f>
        <v>1492</v>
      </c>
      <c r="H31" s="10">
        <f>IF(Comparison!H138="","",Comparison!H138)</f>
        <v>-1.2574454003970836E-2</v>
      </c>
      <c r="I31" s="11" t="s">
        <v>45</v>
      </c>
    </row>
    <row r="32" spans="1:9" ht="15.95" customHeight="1" x14ac:dyDescent="0.25">
      <c r="A32" s="7" t="s">
        <v>46</v>
      </c>
      <c r="B32" s="8" t="s">
        <v>47</v>
      </c>
      <c r="C32" s="12"/>
      <c r="D32" s="12"/>
      <c r="E32" s="12"/>
      <c r="F32" s="9">
        <f>IF(Comparison!H98="","",Comparison!H98)</f>
        <v>275</v>
      </c>
      <c r="G32" s="9">
        <f>IF(Comparison!H99="","",Comparison!H99)</f>
        <v>298.7</v>
      </c>
      <c r="H32" s="10">
        <f>IF(Comparison!H100="","",Comparison!H100)</f>
        <v>8.6181818181818137E-2</v>
      </c>
      <c r="I32" s="11" t="s">
        <v>48</v>
      </c>
    </row>
    <row r="33" spans="1:9" ht="15.95" customHeight="1" x14ac:dyDescent="0.25">
      <c r="A33" s="7" t="s">
        <v>49</v>
      </c>
      <c r="B33" s="8" t="s">
        <v>47</v>
      </c>
      <c r="C33" s="12"/>
      <c r="D33" s="12"/>
      <c r="E33" s="12"/>
      <c r="F33" s="9">
        <f>IF(Comparison!H102="","",Comparison!H102)</f>
        <v>275</v>
      </c>
      <c r="G33" s="9">
        <f>IF(Comparison!H103="","",Comparison!H103)</f>
        <v>241.7</v>
      </c>
      <c r="H33" s="10">
        <f>IF(Comparison!H104="","",Comparison!H104)</f>
        <v>-0.12109090909090914</v>
      </c>
      <c r="I33" s="11" t="s">
        <v>50</v>
      </c>
    </row>
    <row r="34" spans="1:9" ht="15.95" customHeight="1" x14ac:dyDescent="0.25">
      <c r="A34" s="7" t="s">
        <v>51</v>
      </c>
      <c r="B34" s="8" t="s">
        <v>52</v>
      </c>
      <c r="C34" s="9">
        <f>IF(Comparison!F110="","",Comparison!F110)</f>
        <v>42.5</v>
      </c>
      <c r="D34" s="9">
        <f>IF(Comparison!F111="","",Comparison!F111)</f>
        <v>41.9</v>
      </c>
      <c r="E34" s="10">
        <f>IF(Comparison!F112="","",Comparison!F112)</f>
        <v>-1.4117647058823568E-2</v>
      </c>
      <c r="F34" s="12"/>
      <c r="G34" s="12"/>
      <c r="H34" s="12"/>
      <c r="I34" s="11" t="s">
        <v>53</v>
      </c>
    </row>
    <row r="35" spans="1:9" ht="6" customHeight="1" x14ac:dyDescent="0.25"/>
    <row r="36" spans="1:9" ht="18" customHeight="1" x14ac:dyDescent="0.25">
      <c r="A36" s="68" t="s">
        <v>54</v>
      </c>
      <c r="B36" s="69"/>
      <c r="C36" s="69"/>
      <c r="D36" s="69"/>
      <c r="E36" s="69"/>
      <c r="F36" s="69"/>
      <c r="G36" s="69"/>
      <c r="H36" s="69"/>
      <c r="I36" s="69"/>
    </row>
    <row r="37" spans="1:9" ht="24.95" customHeight="1" x14ac:dyDescent="0.25">
      <c r="A37" s="67" t="s">
        <v>55</v>
      </c>
      <c r="B37" s="66"/>
      <c r="C37" s="66"/>
      <c r="D37" s="66"/>
      <c r="E37" s="66"/>
      <c r="F37" s="66"/>
      <c r="G37" s="66"/>
      <c r="H37" s="66"/>
      <c r="I37" s="66"/>
    </row>
    <row r="38" spans="1:9" ht="21.95" customHeight="1" x14ac:dyDescent="0.25">
      <c r="A38" s="5" t="s">
        <v>56</v>
      </c>
      <c r="B38" s="6"/>
      <c r="C38" s="6" t="s">
        <v>57</v>
      </c>
      <c r="D38" s="6" t="s">
        <v>58</v>
      </c>
      <c r="E38" s="6"/>
      <c r="F38" s="6" t="s">
        <v>59</v>
      </c>
      <c r="G38" s="6" t="s">
        <v>60</v>
      </c>
      <c r="H38" s="6"/>
      <c r="I38" s="5" t="s">
        <v>61</v>
      </c>
    </row>
    <row r="39" spans="1:9" ht="27.4" customHeight="1" x14ac:dyDescent="0.25">
      <c r="A39" s="7" t="s">
        <v>62</v>
      </c>
      <c r="B39" s="12"/>
      <c r="C39" s="13">
        <f>IF(Share_XPU!F20="","",Share_XPU!F20)</f>
        <v>0.67732181425485971</v>
      </c>
      <c r="D39" s="9">
        <f>IF(Share_XPU!F36="","",Share_XPU!F36)</f>
        <v>848.00691144708435</v>
      </c>
      <c r="E39" s="12"/>
      <c r="F39" s="13">
        <f>IF(Share_XPU!H20="","",Share_XPU!H20)</f>
        <v>0.63635720851304522</v>
      </c>
      <c r="G39" s="9">
        <f>IF(Share_XPU!H36="","",Share_XPU!H36)</f>
        <v>1083.079968889203</v>
      </c>
      <c r="H39" s="12"/>
      <c r="I39" s="11" t="s">
        <v>63</v>
      </c>
    </row>
    <row r="40" spans="1:9" ht="39.6" customHeight="1" x14ac:dyDescent="0.25">
      <c r="A40" s="14" t="s">
        <v>64</v>
      </c>
      <c r="B40" s="12"/>
      <c r="C40" s="13">
        <f>IF(Share_XPU!F21="","",Share_XPU!F21)</f>
        <v>0.24587473002159835</v>
      </c>
      <c r="D40" s="9">
        <f>IF(Share_XPU!F37="","",Share_XPU!F37)</f>
        <v>307.83516198704115</v>
      </c>
      <c r="E40" s="12"/>
      <c r="F40" s="13">
        <f>IF(Share_XPU!H21="","",Share_XPU!H21)</f>
        <v>0.27872445732871381</v>
      </c>
      <c r="G40" s="9">
        <f>IF(Share_XPU!H37="","",Share_XPU!H37)</f>
        <v>474.38902637347093</v>
      </c>
      <c r="H40" s="12"/>
      <c r="I40" s="11" t="s">
        <v>65</v>
      </c>
    </row>
    <row r="41" spans="1:9" ht="15.95" customHeight="1" x14ac:dyDescent="0.25">
      <c r="A41" s="14" t="s">
        <v>66</v>
      </c>
      <c r="B41" s="12"/>
      <c r="C41" s="13">
        <f>IF(Share_XPU!F22="","",Share_XPU!F22)</f>
        <v>4.4751619870410375E-2</v>
      </c>
      <c r="D41" s="9">
        <f>IF(Share_XPU!F38="","",Share_XPU!F38)</f>
        <v>56.029028077753793</v>
      </c>
      <c r="E41" s="12"/>
      <c r="F41" s="13">
        <f>IF(Share_XPU!H22="","",Share_XPU!H22)</f>
        <v>4.8575266916495788E-2</v>
      </c>
      <c r="G41" s="9">
        <f>IF(Share_XPU!H38="","",Share_XPU!H38)</f>
        <v>82.675104291875826</v>
      </c>
      <c r="H41" s="12"/>
      <c r="I41" s="11" t="s">
        <v>67</v>
      </c>
    </row>
    <row r="42" spans="1:9" ht="15.95" customHeight="1" x14ac:dyDescent="0.25">
      <c r="A42" s="14" t="s">
        <v>68</v>
      </c>
      <c r="B42" s="12"/>
      <c r="C42" s="13" t="str">
        <f>IF(Share_XPU!F29="","",Share_XPU!F29)</f>
        <v/>
      </c>
      <c r="D42" s="9" t="str">
        <f>IF(Share_XPU!F42="","",Share_XPU!F42)</f>
        <v/>
      </c>
      <c r="E42" s="12"/>
      <c r="F42" s="13">
        <f>IF(Share_XPU!H29="","",Share_XPU!H29)</f>
        <v>0.6</v>
      </c>
      <c r="G42" s="9">
        <f>IF(Share_XPU!H42="","",Share_XPU!H42)</f>
        <v>1021.1999999999999</v>
      </c>
      <c r="H42" s="12"/>
      <c r="I42" s="11" t="s">
        <v>69</v>
      </c>
    </row>
    <row r="43" spans="1:9" ht="27.4" customHeight="1" x14ac:dyDescent="0.25">
      <c r="A43" s="7" t="s">
        <v>70</v>
      </c>
      <c r="B43" s="12"/>
      <c r="C43" s="13">
        <f>IF(Share_CPU!F47="","",Share_CPU!F47)</f>
        <v>0.32902467685076381</v>
      </c>
      <c r="D43" s="9">
        <f>IF(Share_CPU!F53="","",Share_CPU!F53)</f>
        <v>38.495887191539367</v>
      </c>
      <c r="E43" s="12"/>
      <c r="F43" s="13">
        <f>IF(Share_CPU!H47="","",Share_CPU!H47)</f>
        <v>0.30936790057463581</v>
      </c>
      <c r="G43" s="9">
        <f>IF(Share_CPU!H53="","",Share_CPU!H53)</f>
        <v>62.492315916076436</v>
      </c>
      <c r="H43" s="12"/>
      <c r="I43" s="11" t="s">
        <v>71</v>
      </c>
    </row>
    <row r="44" spans="1:9" ht="27.4" customHeight="1" x14ac:dyDescent="0.25">
      <c r="A44" s="14" t="s">
        <v>72</v>
      </c>
      <c r="B44" s="12"/>
      <c r="C44" s="13">
        <f>IF(Share_CPU!F48="","",Share_CPU!F48)</f>
        <v>0.28397963180571872</v>
      </c>
      <c r="D44" s="9">
        <f>IF(Share_CPU!F54="","",Share_CPU!F54)</f>
        <v>33.225616921269093</v>
      </c>
      <c r="E44" s="12"/>
      <c r="F44" s="13">
        <f>IF(Share_CPU!H48="","",Share_CPU!H48)</f>
        <v>0.33409060537217694</v>
      </c>
      <c r="G44" s="9">
        <f>IF(Share_CPU!H54="","",Share_CPU!H54)</f>
        <v>67.486302285179747</v>
      </c>
      <c r="H44" s="12"/>
      <c r="I44" s="11" t="s">
        <v>73</v>
      </c>
    </row>
    <row r="45" spans="1:9" ht="39.6" customHeight="1" x14ac:dyDescent="0.25">
      <c r="A45" s="14" t="s">
        <v>74</v>
      </c>
      <c r="B45" s="12"/>
      <c r="C45" s="13">
        <f>IF(Share_CPU!F49="","",Share_CPU!F49)</f>
        <v>0.2389345867606737</v>
      </c>
      <c r="D45" s="9">
        <f>IF(Share_CPU!F55="","",Share_CPU!F55)</f>
        <v>27.955346650998823</v>
      </c>
      <c r="E45" s="12"/>
      <c r="F45" s="13">
        <f>IF(Share_CPU!H49="","",Share_CPU!H49)</f>
        <v>0.15769076573566754</v>
      </c>
      <c r="G45" s="9">
        <f>IF(Share_CPU!H55="","",Share_CPU!H55)</f>
        <v>31.853534678604841</v>
      </c>
      <c r="H45" s="12"/>
      <c r="I45" s="11" t="s">
        <v>75</v>
      </c>
    </row>
    <row r="46" spans="1:9" ht="15.95" customHeight="1" x14ac:dyDescent="0.25">
      <c r="A46" s="14" t="s">
        <v>76</v>
      </c>
      <c r="B46" s="12"/>
      <c r="C46" s="13">
        <f>IF(Share_CPU!F50="","",Share_CPU!F50)</f>
        <v>0.14806110458284372</v>
      </c>
      <c r="D46" s="9">
        <f>IF(Share_CPU!F56="","",Share_CPU!F56)</f>
        <v>17.323149236192716</v>
      </c>
      <c r="E46" s="12"/>
      <c r="F46" s="13">
        <f>IF(Share_CPU!H50="","",Share_CPU!H50)</f>
        <v>0.19885072831751971</v>
      </c>
      <c r="G46" s="9">
        <f>IF(Share_CPU!H56="","",Share_CPU!H56)</f>
        <v>40.16784712013898</v>
      </c>
      <c r="H46" s="12"/>
      <c r="I46" s="11" t="s">
        <v>77</v>
      </c>
    </row>
    <row r="47" spans="1:9" ht="39.6" customHeight="1" x14ac:dyDescent="0.25">
      <c r="A47" s="7" t="s">
        <v>78</v>
      </c>
      <c r="B47" s="12"/>
      <c r="C47" s="13">
        <f>IF(Share_Memory!F18="","",Share_Memory!F18)</f>
        <v>0.42</v>
      </c>
      <c r="D47" s="9">
        <f>IF(Share_Memory!F50="","",Share_Memory!F50)</f>
        <v>139.44</v>
      </c>
      <c r="E47" s="12"/>
      <c r="F47" s="13">
        <f>IF(Share_Memory!H18="","",Share_Memory!H18)</f>
        <v>0.42</v>
      </c>
      <c r="G47" s="9">
        <f>IF(Share_Memory!H50="","",Share_Memory!H50)</f>
        <v>235.2</v>
      </c>
      <c r="H47" s="12"/>
      <c r="I47" s="11" t="s">
        <v>79</v>
      </c>
    </row>
    <row r="48" spans="1:9" ht="27.4" customHeight="1" x14ac:dyDescent="0.25">
      <c r="A48" s="14" t="s">
        <v>80</v>
      </c>
      <c r="B48" s="12"/>
      <c r="C48" s="13">
        <f>IF(Share_Memory!F19="","",Share_Memory!F19)</f>
        <v>0.38</v>
      </c>
      <c r="D48" s="9">
        <f>IF(Share_Memory!F51="","",Share_Memory!F51)</f>
        <v>126.16</v>
      </c>
      <c r="E48" s="12"/>
      <c r="F48" s="13">
        <f>IF(Share_Memory!H19="","",Share_Memory!H19)</f>
        <v>0.38</v>
      </c>
      <c r="G48" s="9">
        <f>IF(Share_Memory!H51="","",Share_Memory!H51)</f>
        <v>212.8</v>
      </c>
      <c r="H48" s="12"/>
      <c r="I48" s="11" t="s">
        <v>81</v>
      </c>
    </row>
    <row r="49" spans="1:9" ht="15.95" customHeight="1" x14ac:dyDescent="0.25">
      <c r="A49" s="14" t="s">
        <v>82</v>
      </c>
      <c r="B49" s="12"/>
      <c r="C49" s="13">
        <f>IF(Share_Memory!F20="","",Share_Memory!F20)</f>
        <v>0.2</v>
      </c>
      <c r="D49" s="9">
        <f>IF(Share_Memory!F52="","",Share_Memory!F52)</f>
        <v>66.400000000000006</v>
      </c>
      <c r="E49" s="12"/>
      <c r="F49" s="13">
        <f>IF(Share_Memory!H20="","",Share_Memory!H20)</f>
        <v>0.2</v>
      </c>
      <c r="G49" s="9">
        <f>IF(Share_Memory!H52="","",Share_Memory!H52)</f>
        <v>112</v>
      </c>
      <c r="H49" s="12"/>
      <c r="I49" s="11" t="s">
        <v>83</v>
      </c>
    </row>
    <row r="50" spans="1:9" ht="27.4" customHeight="1" x14ac:dyDescent="0.25">
      <c r="A50" s="7" t="s">
        <v>84</v>
      </c>
      <c r="B50" s="12"/>
      <c r="C50" s="13">
        <f>IF(Share_Memory!F34="","",Share_Memory!F34)</f>
        <v>0.35939342881213143</v>
      </c>
      <c r="D50" s="9">
        <f>IF(Share_Memory!F58="","",Share_Memory!F58)</f>
        <v>98.114406065711876</v>
      </c>
      <c r="E50" s="12"/>
      <c r="F50" s="13">
        <f>IF(Share_Memory!H34="","",Share_Memory!H34)</f>
        <v>0.35939342881213143</v>
      </c>
      <c r="G50" s="9">
        <f>IF(Share_Memory!H58="","",Share_Memory!H58)</f>
        <v>86.61381634372367</v>
      </c>
      <c r="H50" s="12"/>
      <c r="I50" s="11" t="s">
        <v>85</v>
      </c>
    </row>
    <row r="51" spans="1:9" ht="15.95" customHeight="1" x14ac:dyDescent="0.25">
      <c r="A51" s="14" t="s">
        <v>86</v>
      </c>
      <c r="B51" s="12"/>
      <c r="C51" s="13">
        <f>IF(Share_Memory!F35="","",Share_Memory!F35)</f>
        <v>0.28828980623420386</v>
      </c>
      <c r="D51" s="9">
        <f>IF(Share_Memory!F59="","",Share_Memory!F59)</f>
        <v>78.70311710193765</v>
      </c>
      <c r="E51" s="12"/>
      <c r="F51" s="13">
        <f>IF(Share_Memory!H35="","",Share_Memory!H35)</f>
        <v>0.28828980623420386</v>
      </c>
      <c r="G51" s="9">
        <f>IF(Share_Memory!H59="","",Share_Memory!H59)</f>
        <v>69.477843302443134</v>
      </c>
      <c r="H51" s="12"/>
      <c r="I51" s="11" t="s">
        <v>87</v>
      </c>
    </row>
    <row r="52" spans="1:9" ht="15.95" customHeight="1" x14ac:dyDescent="0.25">
      <c r="A52" s="14" t="s">
        <v>88</v>
      </c>
      <c r="B52" s="12"/>
      <c r="C52" s="13">
        <f>IF(Share_Memory!F36="","",Share_Memory!F36)</f>
        <v>0.22847514743049704</v>
      </c>
      <c r="D52" s="9">
        <f>IF(Share_Memory!F60="","",Share_Memory!F60)</f>
        <v>62.373715248525691</v>
      </c>
      <c r="E52" s="12"/>
      <c r="F52" s="13">
        <f>IF(Share_Memory!H36="","",Share_Memory!H36)</f>
        <v>0.22847514743049704</v>
      </c>
      <c r="G52" s="9">
        <f>IF(Share_Memory!H60="","",Share_Memory!H60)</f>
        <v>55.06251053074979</v>
      </c>
      <c r="H52" s="12"/>
      <c r="I52" s="11" t="s">
        <v>87</v>
      </c>
    </row>
    <row r="53" spans="1:9" ht="39.6" customHeight="1" x14ac:dyDescent="0.25">
      <c r="A53" s="14" t="s">
        <v>89</v>
      </c>
      <c r="B53" s="12"/>
      <c r="C53" s="13">
        <f>IF(Share_Memory!F37="","",Share_Memory!F37)</f>
        <v>0.10783487784330244</v>
      </c>
      <c r="D53" s="9">
        <f>IF(Share_Memory!F61="","",Share_Memory!F61)</f>
        <v>29.438921651221566</v>
      </c>
      <c r="E53" s="12"/>
      <c r="F53" s="13">
        <f>IF(Share_Memory!H37="","",Share_Memory!H37)</f>
        <v>0.10783487784330244</v>
      </c>
      <c r="G53" s="9">
        <f>IF(Share_Memory!H61="","",Share_Memory!H61)</f>
        <v>25.988205560235887</v>
      </c>
      <c r="H53" s="12"/>
      <c r="I53" s="11" t="s">
        <v>90</v>
      </c>
    </row>
    <row r="54" spans="1:9" ht="15.95" customHeight="1" x14ac:dyDescent="0.25">
      <c r="A54" s="7" t="s">
        <v>91</v>
      </c>
      <c r="B54" s="12"/>
      <c r="C54" s="13">
        <f>IF(Share_Memory!F42="","",Share_Memory!F42)</f>
        <v>0.35099999999999998</v>
      </c>
      <c r="D54" s="9">
        <f>IF(Share_Memory!F64="","",Share_Memory!F64)</f>
        <v>65.286000000000001</v>
      </c>
      <c r="E54" s="12"/>
      <c r="F54" s="13">
        <f>IF(Share_Memory!H42="","",Share_Memory!H42)</f>
        <v>0.35099999999999998</v>
      </c>
      <c r="G54" s="9">
        <f>IF(Share_Memory!H64="","",Share_Memory!H64)</f>
        <v>63.881999999999998</v>
      </c>
      <c r="H54" s="12"/>
      <c r="I54" s="11" t="s">
        <v>92</v>
      </c>
    </row>
    <row r="55" spans="1:9" ht="15.95" customHeight="1" x14ac:dyDescent="0.25">
      <c r="A55" s="14" t="s">
        <v>93</v>
      </c>
      <c r="B55" s="12"/>
      <c r="C55" s="13">
        <f>IF(Share_Memory!F43="","",Share_Memory!F43)</f>
        <v>0.21099999999999999</v>
      </c>
      <c r="D55" s="9">
        <f>IF(Share_Memory!F65="","",Share_Memory!F65)</f>
        <v>39.246000000000002</v>
      </c>
      <c r="E55" s="12"/>
      <c r="F55" s="13">
        <f>IF(Share_Memory!H43="","",Share_Memory!H43)</f>
        <v>0.21099999999999999</v>
      </c>
      <c r="G55" s="9">
        <f>IF(Share_Memory!H65="","",Share_Memory!H65)</f>
        <v>38.402000000000001</v>
      </c>
      <c r="H55" s="12"/>
      <c r="I55" s="11" t="s">
        <v>94</v>
      </c>
    </row>
    <row r="56" spans="1:9" ht="15.95" customHeight="1" x14ac:dyDescent="0.25">
      <c r="A56" s="14" t="s">
        <v>95</v>
      </c>
      <c r="B56" s="12"/>
      <c r="C56" s="13">
        <f>IF(Share_Memory!F44="","",Share_Memory!F44)</f>
        <v>0.17100000000000001</v>
      </c>
      <c r="D56" s="9">
        <f>IF(Share_Memory!F66="","",Share_Memory!F66)</f>
        <v>31.806000000000001</v>
      </c>
      <c r="E56" s="12"/>
      <c r="F56" s="13">
        <f>IF(Share_Memory!H44="","",Share_Memory!H44)</f>
        <v>0.17100000000000001</v>
      </c>
      <c r="G56" s="9">
        <f>IF(Share_Memory!H66="","",Share_Memory!H66)</f>
        <v>31.122000000000003</v>
      </c>
      <c r="H56" s="12"/>
      <c r="I56" s="11" t="s">
        <v>96</v>
      </c>
    </row>
    <row r="57" spans="1:9" ht="15.95" customHeight="1" x14ac:dyDescent="0.25">
      <c r="A57" s="14" t="s">
        <v>97</v>
      </c>
      <c r="B57" s="12"/>
      <c r="C57" s="13">
        <f>IF(Share_Memory!F45="","",Share_Memory!F45)</f>
        <v>0.11</v>
      </c>
      <c r="D57" s="9">
        <f>IF(Share_Memory!F67="","",Share_Memory!F67)</f>
        <v>20.46</v>
      </c>
      <c r="E57" s="12"/>
      <c r="F57" s="13">
        <f>IF(Share_Memory!H45="","",Share_Memory!H45)</f>
        <v>0.11</v>
      </c>
      <c r="G57" s="9">
        <f>IF(Share_Memory!H67="","",Share_Memory!H67)</f>
        <v>20.02</v>
      </c>
      <c r="H57" s="12"/>
      <c r="I57" s="11" t="s">
        <v>98</v>
      </c>
    </row>
    <row r="58" spans="1:9" ht="6" customHeight="1" x14ac:dyDescent="0.25"/>
    <row r="59" spans="1:9" ht="24.95" customHeight="1" x14ac:dyDescent="0.25">
      <c r="A59" s="67" t="s">
        <v>99</v>
      </c>
      <c r="B59" s="66"/>
      <c r="C59" s="66"/>
      <c r="D59" s="66"/>
      <c r="E59" s="66"/>
      <c r="F59" s="66"/>
      <c r="G59" s="66"/>
      <c r="H59" s="66"/>
      <c r="I59" s="66"/>
    </row>
  </sheetData>
  <mergeCells count="20">
    <mergeCell ref="A59:I59"/>
    <mergeCell ref="A11:I11"/>
    <mergeCell ref="A36:I36"/>
    <mergeCell ref="A6:I6"/>
    <mergeCell ref="A16:I16"/>
    <mergeCell ref="A2:I2"/>
    <mergeCell ref="A5:I5"/>
    <mergeCell ref="A14:I14"/>
    <mergeCell ref="A17:I17"/>
    <mergeCell ref="A8:I8"/>
    <mergeCell ref="A4:I4"/>
    <mergeCell ref="A10:I10"/>
    <mergeCell ref="A13:I13"/>
    <mergeCell ref="A15:I15"/>
    <mergeCell ref="A7:I7"/>
    <mergeCell ref="A37:I37"/>
    <mergeCell ref="A18:I18"/>
    <mergeCell ref="A12:I12"/>
    <mergeCell ref="A21:I21"/>
    <mergeCell ref="A19:I19"/>
  </mergeCells>
  <pageMargins left="0.4" right="0.4" top="0.5" bottom="0.5" header="0.5" footer="0.5"/>
  <pageSetup paperSize="9" scale="77" fitToHeight="0" orientation="landscape" r:id="rId1"/>
  <headerFooter>
    <oddFooter>&amp;C&amp;8NSR (18-Sep-2026) vs Capstone — &amp;A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58"/>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44" customWidth="1"/>
    <col min="2" max="2" width="18" customWidth="1"/>
    <col min="3" max="8" width="11" customWidth="1"/>
    <col min="9" max="9" width="82" customWidth="1"/>
  </cols>
  <sheetData>
    <row r="1" spans="1:9" ht="24" customHeight="1" x14ac:dyDescent="0.25">
      <c r="A1" s="1" t="s">
        <v>100</v>
      </c>
    </row>
    <row r="2" spans="1:9" ht="26.1" customHeight="1" x14ac:dyDescent="0.25">
      <c r="A2" s="67" t="s">
        <v>101</v>
      </c>
      <c r="B2" s="66"/>
      <c r="C2" s="66"/>
      <c r="D2" s="66"/>
      <c r="E2" s="66"/>
      <c r="F2" s="66"/>
      <c r="G2" s="66"/>
      <c r="H2" s="66"/>
      <c r="I2" s="66"/>
    </row>
    <row r="3" spans="1:9" ht="8.1" customHeight="1" x14ac:dyDescent="0.25"/>
    <row r="4" spans="1:9" ht="30" customHeight="1" x14ac:dyDescent="0.25">
      <c r="A4" s="5" t="s">
        <v>18</v>
      </c>
      <c r="B4" s="5" t="s">
        <v>102</v>
      </c>
      <c r="C4" s="6" t="s">
        <v>103</v>
      </c>
      <c r="D4" s="6" t="s">
        <v>104</v>
      </c>
      <c r="E4" s="6" t="s">
        <v>105</v>
      </c>
      <c r="F4" s="6" t="s">
        <v>106</v>
      </c>
      <c r="G4" s="6" t="s">
        <v>107</v>
      </c>
      <c r="H4" s="6" t="s">
        <v>108</v>
      </c>
      <c r="I4" s="5" t="s">
        <v>109</v>
      </c>
    </row>
    <row r="5" spans="1:9" ht="18" customHeight="1" x14ac:dyDescent="0.25">
      <c r="A5" s="15" t="s">
        <v>110</v>
      </c>
      <c r="B5" s="16"/>
      <c r="C5" s="16"/>
      <c r="D5" s="16"/>
      <c r="E5" s="16"/>
      <c r="F5" s="16"/>
      <c r="G5" s="16"/>
      <c r="H5" s="16"/>
      <c r="I5" s="16"/>
    </row>
    <row r="6" spans="1:9" ht="25.7" customHeight="1" x14ac:dyDescent="0.25">
      <c r="A6" s="73" t="s">
        <v>111</v>
      </c>
      <c r="B6" s="17" t="s">
        <v>112</v>
      </c>
      <c r="C6" s="9">
        <f>IF(NSR_Capex!C12="","",NSR_Capex!C12)</f>
        <v>584</v>
      </c>
      <c r="D6" s="9">
        <f>IF(NSR_Capex!D12="","",NSR_Capex!D12)</f>
        <v>1132</v>
      </c>
      <c r="E6" s="9">
        <f>IF(NSR_Capex!E12="","",NSR_Capex!E12)</f>
        <v>2190</v>
      </c>
      <c r="F6" s="9">
        <f>IF(NSR_Capex!F12="","",NSR_Capex!F12)</f>
        <v>3330</v>
      </c>
      <c r="G6" s="9">
        <f>IF(NSR_Capex!G12="","",NSR_Capex!G12)</f>
        <v>3810</v>
      </c>
      <c r="H6" s="9">
        <f>IF(NSR_Capex!H12="","",NSR_Capex!H12)</f>
        <v>4150</v>
      </c>
      <c r="I6" s="70" t="s">
        <v>113</v>
      </c>
    </row>
    <row r="7" spans="1:9" ht="25.7" customHeight="1" x14ac:dyDescent="0.25">
      <c r="A7" s="71"/>
      <c r="B7" s="17" t="s">
        <v>114</v>
      </c>
      <c r="C7" s="9">
        <f>IF(House!E6="","",House!E6)</f>
        <v>396.3</v>
      </c>
      <c r="D7" s="9">
        <f>IF(House!F6="","",House!F6)</f>
        <v>901.6</v>
      </c>
      <c r="E7" s="9">
        <f>IF(House!G6="","",House!G6)</f>
        <v>1885.4</v>
      </c>
      <c r="F7" s="9">
        <f>IF(House!H6="","",House!H6)</f>
        <v>2913.1</v>
      </c>
      <c r="G7" s="9">
        <f>IF(House!I28="","",House!I28)</f>
        <v>3054.3</v>
      </c>
      <c r="H7" s="9">
        <f>IF(House!J28="","",House!J28)</f>
        <v>3481.9</v>
      </c>
      <c r="I7" s="71"/>
    </row>
    <row r="8" spans="1:9" ht="25.7" customHeight="1" x14ac:dyDescent="0.25">
      <c r="A8" s="72"/>
      <c r="B8" s="18" t="s">
        <v>115</v>
      </c>
      <c r="C8" s="19">
        <f t="shared" ref="C8:H8" si="0">IF(OR(C6="",C7=""),"",IFERROR(C7/C6-1,""))</f>
        <v>-0.32140410958904109</v>
      </c>
      <c r="D8" s="19">
        <f t="shared" si="0"/>
        <v>-0.20353356890459362</v>
      </c>
      <c r="E8" s="19">
        <f t="shared" si="0"/>
        <v>-0.13908675799086756</v>
      </c>
      <c r="F8" s="19">
        <f t="shared" si="0"/>
        <v>-0.12519519519519517</v>
      </c>
      <c r="G8" s="19">
        <f t="shared" si="0"/>
        <v>-0.19834645669291329</v>
      </c>
      <c r="H8" s="19">
        <f t="shared" si="0"/>
        <v>-0.16098795180722891</v>
      </c>
      <c r="I8" s="72"/>
    </row>
    <row r="9" spans="1:9" ht="5.0999999999999996" customHeight="1" x14ac:dyDescent="0.25"/>
    <row r="10" spans="1:9" ht="15.6" customHeight="1" x14ac:dyDescent="0.25">
      <c r="A10" s="73" t="s">
        <v>116</v>
      </c>
      <c r="B10" s="17" t="s">
        <v>112</v>
      </c>
      <c r="C10" s="13" t="str">
        <f>IF(NSR_Capex!C22="","",NSR_Capex!C22)</f>
        <v/>
      </c>
      <c r="D10" s="13">
        <f>IF(NSR_Capex!D22="","",NSR_Capex!D22)</f>
        <v>0.93996569468267577</v>
      </c>
      <c r="E10" s="13">
        <f>IF(NSR_Capex!E22="","",NSR_Capex!E22)</f>
        <v>0.9389920424403182</v>
      </c>
      <c r="F10" s="13">
        <f>IF(NSR_Capex!F22="","",NSR_Capex!F22)</f>
        <v>0.51801185590515275</v>
      </c>
      <c r="G10" s="13">
        <f>IF(NSR_Capex!G22="","",NSR_Capex!G22)</f>
        <v>0.14328627215379997</v>
      </c>
      <c r="H10" s="13">
        <f>IF(NSR_Capex!H22="","",NSR_Capex!H22)</f>
        <v>8.9595375722543391E-2</v>
      </c>
      <c r="I10" s="70" t="s">
        <v>117</v>
      </c>
    </row>
    <row r="11" spans="1:9" ht="15.6" customHeight="1" x14ac:dyDescent="0.25">
      <c r="A11" s="71"/>
      <c r="B11" s="17" t="s">
        <v>114</v>
      </c>
      <c r="C11" s="13">
        <f>IF(House!E11="","",House!E11)</f>
        <v>0.69431380932022235</v>
      </c>
      <c r="D11" s="13">
        <f>IF(House!F11="","",House!F11)</f>
        <v>1.2750441584658088</v>
      </c>
      <c r="E11" s="13">
        <f>IF(House!G11="","",House!G11)</f>
        <v>1.0911712511091394</v>
      </c>
      <c r="F11" s="13">
        <f>IF(House!H11="","",House!H11)</f>
        <v>0.54508327145433322</v>
      </c>
      <c r="G11" s="12"/>
      <c r="H11" s="12"/>
      <c r="I11" s="71"/>
    </row>
    <row r="12" spans="1:9" ht="15.6" customHeight="1" x14ac:dyDescent="0.25">
      <c r="A12" s="72"/>
      <c r="B12" s="18" t="s">
        <v>115</v>
      </c>
      <c r="C12" s="19" t="str">
        <f t="shared" ref="C12:H12" si="1">IF(OR(C10="",C11=""),"",IFERROR(C11/C10-1,""))</f>
        <v/>
      </c>
      <c r="D12" s="19">
        <f t="shared" si="1"/>
        <v>0.35647946055760316</v>
      </c>
      <c r="E12" s="19">
        <f t="shared" si="1"/>
        <v>0.16206655838459216</v>
      </c>
      <c r="F12" s="19">
        <f t="shared" si="1"/>
        <v>5.2260223855064014E-2</v>
      </c>
      <c r="G12" s="19" t="str">
        <f t="shared" si="1"/>
        <v/>
      </c>
      <c r="H12" s="19" t="str">
        <f t="shared" si="1"/>
        <v/>
      </c>
      <c r="I12" s="72"/>
    </row>
    <row r="13" spans="1:9" ht="5.0999999999999996" customHeight="1" x14ac:dyDescent="0.25"/>
    <row r="14" spans="1:9" ht="15.6" customHeight="1" x14ac:dyDescent="0.25">
      <c r="A14" s="73" t="s">
        <v>118</v>
      </c>
      <c r="B14" s="17" t="s">
        <v>112</v>
      </c>
      <c r="C14" s="12"/>
      <c r="D14" s="12"/>
      <c r="E14" s="12"/>
      <c r="F14" s="12"/>
      <c r="G14" s="12"/>
      <c r="H14" s="9">
        <f>IF(NSR_Capex!H36="","",NSR_Capex!H36)</f>
        <v>14606</v>
      </c>
      <c r="I14" s="70" t="s">
        <v>119</v>
      </c>
    </row>
    <row r="15" spans="1:9" ht="15.6" customHeight="1" x14ac:dyDescent="0.25">
      <c r="A15" s="71"/>
      <c r="B15" s="17" t="s">
        <v>114</v>
      </c>
      <c r="C15" s="12"/>
      <c r="D15" s="12"/>
      <c r="E15" s="12"/>
      <c r="F15" s="9">
        <f>IF(House!H23="","",House!H23)</f>
        <v>5700.1</v>
      </c>
      <c r="G15" s="12"/>
      <c r="H15" s="12"/>
      <c r="I15" s="71"/>
    </row>
    <row r="16" spans="1:9" ht="15.6" customHeight="1" x14ac:dyDescent="0.25">
      <c r="A16" s="72"/>
      <c r="B16" s="18" t="s">
        <v>115</v>
      </c>
      <c r="C16" s="19" t="str">
        <f t="shared" ref="C16:H16" si="2">IF(OR(C14="",C15=""),"",IFERROR(C15/C14-1,""))</f>
        <v/>
      </c>
      <c r="D16" s="19" t="str">
        <f t="shared" si="2"/>
        <v/>
      </c>
      <c r="E16" s="19" t="str">
        <f t="shared" si="2"/>
        <v/>
      </c>
      <c r="F16" s="19" t="str">
        <f t="shared" si="2"/>
        <v/>
      </c>
      <c r="G16" s="19" t="str">
        <f t="shared" si="2"/>
        <v/>
      </c>
      <c r="H16" s="19" t="str">
        <f t="shared" si="2"/>
        <v/>
      </c>
      <c r="I16" s="72"/>
    </row>
    <row r="17" spans="1:9" ht="5.0999999999999996" customHeight="1" x14ac:dyDescent="0.25"/>
    <row r="18" spans="1:9" ht="18" customHeight="1" x14ac:dyDescent="0.25">
      <c r="A18" s="15" t="s">
        <v>120</v>
      </c>
      <c r="B18" s="16"/>
      <c r="C18" s="16"/>
      <c r="D18" s="16"/>
      <c r="E18" s="16"/>
      <c r="F18" s="16"/>
      <c r="G18" s="16"/>
      <c r="H18" s="16"/>
      <c r="I18" s="16"/>
    </row>
    <row r="19" spans="1:9" ht="15.6" customHeight="1" x14ac:dyDescent="0.25">
      <c r="A19" s="73" t="s">
        <v>121</v>
      </c>
      <c r="B19" s="17" t="s">
        <v>112</v>
      </c>
      <c r="C19" s="9">
        <f>IF(NSR_HyperPL!C33="","",NSR_HyperPL!C33)</f>
        <v>415</v>
      </c>
      <c r="D19" s="9">
        <f>IF(NSR_HyperPL!D33="","",NSR_HyperPL!D33)</f>
        <v>795</v>
      </c>
      <c r="E19" s="9">
        <f>IF(NSR_HyperPL!E33="","",NSR_HyperPL!E33)</f>
        <v>1384</v>
      </c>
      <c r="F19" s="9">
        <f>IF(NSR_HyperPL!F33="","",NSR_HyperPL!F33)</f>
        <v>1975</v>
      </c>
      <c r="G19" s="9">
        <f>IF(NSR_HyperPL!G33="","",NSR_HyperPL!G33)</f>
        <v>2181</v>
      </c>
      <c r="H19" s="9">
        <f>IF(NSR_HyperPL!H33="","",NSR_HyperPL!H33)</f>
        <v>2387</v>
      </c>
      <c r="I19" s="70" t="s">
        <v>122</v>
      </c>
    </row>
    <row r="20" spans="1:9" ht="15.6" customHeight="1" x14ac:dyDescent="0.25">
      <c r="A20" s="71"/>
      <c r="B20" s="17" t="s">
        <v>114</v>
      </c>
      <c r="C20" s="9">
        <f>IF(House!E20="","",House!E20)</f>
        <v>410.1</v>
      </c>
      <c r="D20" s="9">
        <f>IF(House!F20="","",House!F20)</f>
        <v>738.9</v>
      </c>
      <c r="E20" s="9">
        <f>IF(House!G20="","",House!G20)</f>
        <v>1097.8</v>
      </c>
      <c r="F20" s="9">
        <f>IF(House!H20="","",House!H20)</f>
        <v>1425.1</v>
      </c>
      <c r="G20" s="12"/>
      <c r="H20" s="12"/>
      <c r="I20" s="71"/>
    </row>
    <row r="21" spans="1:9" ht="15.6" customHeight="1" x14ac:dyDescent="0.25">
      <c r="A21" s="72"/>
      <c r="B21" s="18" t="s">
        <v>115</v>
      </c>
      <c r="C21" s="19">
        <f t="shared" ref="C21:H21" si="3">IF(OR(C19="",C20=""),"",IFERROR(C20/C19-1,""))</f>
        <v>-1.1807228915662549E-2</v>
      </c>
      <c r="D21" s="19">
        <f t="shared" si="3"/>
        <v>-7.056603773584913E-2</v>
      </c>
      <c r="E21" s="19">
        <f t="shared" si="3"/>
        <v>-0.20679190751445087</v>
      </c>
      <c r="F21" s="19">
        <f t="shared" si="3"/>
        <v>-0.27843037974683549</v>
      </c>
      <c r="G21" s="19" t="str">
        <f t="shared" si="3"/>
        <v/>
      </c>
      <c r="H21" s="19" t="str">
        <f t="shared" si="3"/>
        <v/>
      </c>
      <c r="I21" s="72"/>
    </row>
    <row r="22" spans="1:9" ht="5.0999999999999996" customHeight="1" x14ac:dyDescent="0.25"/>
    <row r="23" spans="1:9" ht="15.6" customHeight="1" x14ac:dyDescent="0.25">
      <c r="A23" s="73" t="s">
        <v>123</v>
      </c>
      <c r="B23" s="17" t="s">
        <v>112</v>
      </c>
      <c r="C23" s="9">
        <f>IF(NSR_HyperPL!C42="","",NSR_HyperPL!C42)</f>
        <v>290</v>
      </c>
      <c r="D23" s="9">
        <f>IF(NSR_HyperPL!D42="","",NSR_HyperPL!D42)</f>
        <v>653.75</v>
      </c>
      <c r="E23" s="9">
        <f>IF(NSR_HyperPL!E42="","",NSR_HyperPL!E42)</f>
        <v>1224.3875</v>
      </c>
      <c r="F23" s="9">
        <f>IF(NSR_HyperPL!F42="","",NSR_HyperPL!F42)</f>
        <v>1794.6378750000001</v>
      </c>
      <c r="G23" s="9">
        <f>IF(NSR_HyperPL!G42="","",NSR_HyperPL!G42)</f>
        <v>1977.1907987500001</v>
      </c>
      <c r="H23" s="9">
        <f>IF(NSR_HyperPL!H42="","",NSR_HyperPL!H42)</f>
        <v>2156.6956025875002</v>
      </c>
      <c r="I23" s="70" t="s">
        <v>124</v>
      </c>
    </row>
    <row r="24" spans="1:9" ht="15.6" customHeight="1" x14ac:dyDescent="0.25">
      <c r="A24" s="71"/>
      <c r="B24" s="17" t="s">
        <v>114</v>
      </c>
      <c r="C24" s="9">
        <f>IF(House!E15="","",House!E15)</f>
        <v>336.4</v>
      </c>
      <c r="D24" s="9">
        <f>IF(House!F15="","",House!F15)</f>
        <v>681.9</v>
      </c>
      <c r="E24" s="9">
        <f>IF(House!G15="","",House!G15)</f>
        <v>1125.5</v>
      </c>
      <c r="F24" s="9">
        <f>IF(House!H15="","",House!H15)</f>
        <v>1425.1</v>
      </c>
      <c r="G24" s="12"/>
      <c r="H24" s="12"/>
      <c r="I24" s="71"/>
    </row>
    <row r="25" spans="1:9" ht="15.6" customHeight="1" x14ac:dyDescent="0.25">
      <c r="A25" s="72"/>
      <c r="B25" s="18" t="s">
        <v>115</v>
      </c>
      <c r="C25" s="19">
        <f t="shared" ref="C25:H25" si="4">IF(OR(C23="",C24=""),"",IFERROR(C24/C23-1,""))</f>
        <v>0.15999999999999992</v>
      </c>
      <c r="D25" s="19">
        <f t="shared" si="4"/>
        <v>4.3059273422562105E-2</v>
      </c>
      <c r="E25" s="19">
        <f t="shared" si="4"/>
        <v>-8.0764872232034435E-2</v>
      </c>
      <c r="F25" s="19">
        <f t="shared" si="4"/>
        <v>-0.20591222337821224</v>
      </c>
      <c r="G25" s="19" t="str">
        <f t="shared" si="4"/>
        <v/>
      </c>
      <c r="H25" s="19" t="str">
        <f t="shared" si="4"/>
        <v/>
      </c>
      <c r="I25" s="72"/>
    </row>
    <row r="26" spans="1:9" ht="5.0999999999999996" customHeight="1" x14ac:dyDescent="0.25"/>
    <row r="27" spans="1:9" ht="17.649999999999999" customHeight="1" x14ac:dyDescent="0.25">
      <c r="A27" s="73" t="s">
        <v>125</v>
      </c>
      <c r="B27" s="17" t="s">
        <v>112</v>
      </c>
      <c r="C27" s="12"/>
      <c r="D27" s="12"/>
      <c r="E27" s="12"/>
      <c r="F27" s="12"/>
      <c r="G27" s="12"/>
      <c r="H27" s="13">
        <f>IFERROR((NSR_Funding!B7+NSR_Funding!B8)/NSR_Funding!B10,"")</f>
        <v>0.47878787878787882</v>
      </c>
      <c r="I27" s="70" t="s">
        <v>126</v>
      </c>
    </row>
    <row r="28" spans="1:9" ht="17.649999999999999" customHeight="1" x14ac:dyDescent="0.25">
      <c r="A28" s="71"/>
      <c r="B28" s="17" t="s">
        <v>114</v>
      </c>
      <c r="C28" s="13">
        <f>IF(House!E22="","",House!E22)</f>
        <v>0.1508957860206914</v>
      </c>
      <c r="D28" s="13">
        <f>IF(House!F22="","",House!F22)</f>
        <v>0.24367790594498667</v>
      </c>
      <c r="E28" s="13">
        <f>IF(House!G22="","",House!G22)</f>
        <v>0.40304444680173968</v>
      </c>
      <c r="F28" s="13">
        <f>IF(House!H22="","",House!H22)</f>
        <v>0.51079605918094129</v>
      </c>
      <c r="G28" s="12"/>
      <c r="H28" s="12"/>
      <c r="I28" s="71"/>
    </row>
    <row r="29" spans="1:9" ht="17.649999999999999" customHeight="1" x14ac:dyDescent="0.25">
      <c r="A29" s="72"/>
      <c r="B29" s="18" t="s">
        <v>115</v>
      </c>
      <c r="C29" s="19" t="str">
        <f t="shared" ref="C29:H29" si="5">IF(OR(C27="",C28=""),"",IFERROR(C28/C27-1,""))</f>
        <v/>
      </c>
      <c r="D29" s="19" t="str">
        <f t="shared" si="5"/>
        <v/>
      </c>
      <c r="E29" s="19" t="str">
        <f t="shared" si="5"/>
        <v/>
      </c>
      <c r="F29" s="19" t="str">
        <f t="shared" si="5"/>
        <v/>
      </c>
      <c r="G29" s="19" t="str">
        <f t="shared" si="5"/>
        <v/>
      </c>
      <c r="H29" s="19" t="str">
        <f t="shared" si="5"/>
        <v/>
      </c>
      <c r="I29" s="72"/>
    </row>
    <row r="30" spans="1:9" ht="5.0999999999999996" customHeight="1" x14ac:dyDescent="0.25"/>
    <row r="31" spans="1:9" ht="18" customHeight="1" x14ac:dyDescent="0.25">
      <c r="A31" s="15" t="s">
        <v>127</v>
      </c>
      <c r="B31" s="16"/>
      <c r="C31" s="16"/>
      <c r="D31" s="16"/>
      <c r="E31" s="16"/>
      <c r="F31" s="16"/>
      <c r="G31" s="16"/>
      <c r="H31" s="16"/>
      <c r="I31" s="16"/>
    </row>
    <row r="32" spans="1:9" ht="17.649999999999999" customHeight="1" x14ac:dyDescent="0.25">
      <c r="A32" s="73" t="s">
        <v>128</v>
      </c>
      <c r="B32" s="17" t="s">
        <v>112</v>
      </c>
      <c r="C32" s="9">
        <f>IF(NSR_Capex!C5="","",NSR_Capex!C5)</f>
        <v>205</v>
      </c>
      <c r="D32" s="9">
        <f>IF(NSR_Capex!D5="","",NSR_Capex!D5)</f>
        <v>408</v>
      </c>
      <c r="E32" s="9">
        <f>IF(NSR_Capex!E5="","",NSR_Capex!E5)</f>
        <v>782</v>
      </c>
      <c r="F32" s="9">
        <f>IF(NSR_Capex!F5="","",NSR_Capex!F5)</f>
        <v>1252</v>
      </c>
      <c r="G32" s="9">
        <f>IF(NSR_Capex!G5="","",NSR_Capex!G5)</f>
        <v>1517</v>
      </c>
      <c r="H32" s="9">
        <f>IF(NSR_Capex!H5="","",NSR_Capex!H5)</f>
        <v>1702</v>
      </c>
      <c r="I32" s="70" t="s">
        <v>129</v>
      </c>
    </row>
    <row r="33" spans="1:9" ht="17.649999999999999" customHeight="1" x14ac:dyDescent="0.25">
      <c r="A33" s="71"/>
      <c r="B33" s="17" t="s">
        <v>114</v>
      </c>
      <c r="C33" s="9">
        <f>IF(House!E7="","",House!E7)</f>
        <v>190.2</v>
      </c>
      <c r="D33" s="9">
        <f>IF(House!F7="","",House!F7)</f>
        <v>399.9</v>
      </c>
      <c r="E33" s="9">
        <f>IF(House!G7="","",House!G7)</f>
        <v>767</v>
      </c>
      <c r="F33" s="9">
        <f>IF(House!H7="","",House!H7)</f>
        <v>1157.4000000000001</v>
      </c>
      <c r="G33" s="9">
        <f>IF(House!I31="","",House!I31)</f>
        <v>1240.5999999999999</v>
      </c>
      <c r="H33" s="9">
        <f>IF(House!J31="","",House!J31)</f>
        <v>1414.2</v>
      </c>
      <c r="I33" s="71"/>
    </row>
    <row r="34" spans="1:9" ht="17.649999999999999" customHeight="1" x14ac:dyDescent="0.25">
      <c r="A34" s="72"/>
      <c r="B34" s="18" t="s">
        <v>115</v>
      </c>
      <c r="C34" s="19">
        <f t="shared" ref="C34:H34" si="6">IF(OR(C32="",C33=""),"",IFERROR(C33/C32-1,""))</f>
        <v>-7.2195121951219576E-2</v>
      </c>
      <c r="D34" s="19">
        <f t="shared" si="6"/>
        <v>-1.9852941176470629E-2</v>
      </c>
      <c r="E34" s="19">
        <f t="shared" si="6"/>
        <v>-1.9181585677749413E-2</v>
      </c>
      <c r="F34" s="19">
        <f t="shared" si="6"/>
        <v>-7.5559105431309836E-2</v>
      </c>
      <c r="G34" s="19">
        <f t="shared" si="6"/>
        <v>-0.18220171390903106</v>
      </c>
      <c r="H34" s="19">
        <f t="shared" si="6"/>
        <v>-0.16909518213866037</v>
      </c>
      <c r="I34" s="72"/>
    </row>
    <row r="35" spans="1:9" ht="5.0999999999999996" customHeight="1" x14ac:dyDescent="0.25"/>
    <row r="36" spans="1:9" ht="15.6" customHeight="1" x14ac:dyDescent="0.25">
      <c r="A36" s="73" t="s">
        <v>130</v>
      </c>
      <c r="B36" s="17" t="s">
        <v>112</v>
      </c>
      <c r="C36" s="13">
        <f>IF(NSR_Capex!C25="","",NSR_Capex!C25)</f>
        <v>0.35162950257289882</v>
      </c>
      <c r="D36" s="13">
        <f>IF(NSR_Capex!D25="","",NSR_Capex!D25)</f>
        <v>0.36074270557029176</v>
      </c>
      <c r="E36" s="13">
        <f>IF(NSR_Capex!E25="","",NSR_Capex!E25)</f>
        <v>0.35658914728682173</v>
      </c>
      <c r="F36" s="13">
        <f>IF(NSR_Capex!F25="","",NSR_Capex!F25)</f>
        <v>0.37608891559026736</v>
      </c>
      <c r="G36" s="13">
        <f>IF(NSR_Capex!G25="","",NSR_Capex!G25)</f>
        <v>0.39858118759852862</v>
      </c>
      <c r="H36" s="13">
        <f>IF(NSR_Capex!H25="","",NSR_Capex!H25)</f>
        <v>0.41041716903785869</v>
      </c>
      <c r="I36" s="70" t="s">
        <v>131</v>
      </c>
    </row>
    <row r="37" spans="1:9" ht="15.6" customHeight="1" x14ac:dyDescent="0.25">
      <c r="A37" s="71"/>
      <c r="B37" s="17" t="s">
        <v>114</v>
      </c>
      <c r="C37" s="13">
        <f>IF(House!E12="","",House!E12)</f>
        <v>0.47993943981831944</v>
      </c>
      <c r="D37" s="13">
        <f>IF(House!F12="","",House!F12)</f>
        <v>0.44354480922803902</v>
      </c>
      <c r="E37" s="13">
        <f>IF(House!G12="","",House!G12)</f>
        <v>0.4068102259467487</v>
      </c>
      <c r="F37" s="13">
        <f>IF(House!H12="","",House!H12)</f>
        <v>0.3973087089354983</v>
      </c>
      <c r="G37" s="12"/>
      <c r="H37" s="12"/>
      <c r="I37" s="71"/>
    </row>
    <row r="38" spans="1:9" ht="15.6" customHeight="1" x14ac:dyDescent="0.25">
      <c r="A38" s="72"/>
      <c r="B38" s="18" t="s">
        <v>115</v>
      </c>
      <c r="C38" s="19">
        <f t="shared" ref="C38:H38" si="7">IF(OR(C36="",C37=""),"",IFERROR(C37/C36-1,""))</f>
        <v>0.36490094348331814</v>
      </c>
      <c r="D38" s="19">
        <f t="shared" si="7"/>
        <v>0.22953230205125519</v>
      </c>
      <c r="E38" s="19">
        <f t="shared" si="7"/>
        <v>0.14083737276370822</v>
      </c>
      <c r="F38" s="19">
        <f t="shared" si="7"/>
        <v>5.6422277992231429E-2</v>
      </c>
      <c r="G38" s="19" t="str">
        <f t="shared" si="7"/>
        <v/>
      </c>
      <c r="H38" s="19" t="str">
        <f t="shared" si="7"/>
        <v/>
      </c>
      <c r="I38" s="72"/>
    </row>
    <row r="39" spans="1:9" ht="5.0999999999999996" customHeight="1" x14ac:dyDescent="0.25"/>
    <row r="40" spans="1:9" ht="15.6" customHeight="1" x14ac:dyDescent="0.25">
      <c r="A40" s="73" t="s">
        <v>132</v>
      </c>
      <c r="B40" s="17" t="s">
        <v>112</v>
      </c>
      <c r="C40" s="12"/>
      <c r="D40" s="12"/>
      <c r="E40" s="12"/>
      <c r="F40" s="12"/>
      <c r="G40" s="12"/>
      <c r="H40" s="13">
        <f>NSR_Datapoints!B21</f>
        <v>0.6</v>
      </c>
      <c r="I40" s="70" t="s">
        <v>133</v>
      </c>
    </row>
    <row r="41" spans="1:9" ht="15.6" customHeight="1" x14ac:dyDescent="0.25">
      <c r="A41" s="71"/>
      <c r="B41" s="17" t="s">
        <v>114</v>
      </c>
      <c r="C41" s="13">
        <f>IF(House!E70="","",House!E70)</f>
        <v>0.83491062039957953</v>
      </c>
      <c r="D41" s="13">
        <f>IF(House!F70="","",House!F70)</f>
        <v>0.77969492373093285</v>
      </c>
      <c r="E41" s="13">
        <f>IF(House!G70="","",House!G70)</f>
        <v>0.75436766623207308</v>
      </c>
      <c r="F41" s="13">
        <f>IF(House!H70="","",House!H70)</f>
        <v>0.67738033523414543</v>
      </c>
      <c r="G41" s="13">
        <f>IF(House!I35="","",House!I35)</f>
        <v>0.64106077704336617</v>
      </c>
      <c r="H41" s="13">
        <f>IF(House!J35="","",House!J35)</f>
        <v>0.63640220619431476</v>
      </c>
      <c r="I41" s="71"/>
    </row>
    <row r="42" spans="1:9" ht="15.6" customHeight="1" x14ac:dyDescent="0.25">
      <c r="A42" s="72"/>
      <c r="B42" s="18" t="s">
        <v>115</v>
      </c>
      <c r="C42" s="19" t="str">
        <f t="shared" ref="C42:H42" si="8">IF(OR(C40="",C41=""),"",IFERROR(C41/C40-1,""))</f>
        <v/>
      </c>
      <c r="D42" s="19" t="str">
        <f t="shared" si="8"/>
        <v/>
      </c>
      <c r="E42" s="19" t="str">
        <f t="shared" si="8"/>
        <v/>
      </c>
      <c r="F42" s="19" t="str">
        <f t="shared" si="8"/>
        <v/>
      </c>
      <c r="G42" s="19" t="str">
        <f t="shared" si="8"/>
        <v/>
      </c>
      <c r="H42" s="19">
        <f t="shared" si="8"/>
        <v>6.0670343657191372E-2</v>
      </c>
      <c r="I42" s="72"/>
    </row>
    <row r="43" spans="1:9" ht="5.0999999999999996" customHeight="1" x14ac:dyDescent="0.25"/>
    <row r="44" spans="1:9" ht="15.6" customHeight="1" x14ac:dyDescent="0.25">
      <c r="A44" s="73" t="s">
        <v>134</v>
      </c>
      <c r="B44" s="17" t="s">
        <v>112</v>
      </c>
      <c r="C44" s="9">
        <f>IF(NSR_Capex!C6="","",NSR_Capex!C6)</f>
        <v>6</v>
      </c>
      <c r="D44" s="9">
        <f>IF(NSR_Capex!D6="","",NSR_Capex!D6)</f>
        <v>27</v>
      </c>
      <c r="E44" s="9">
        <f>IF(NSR_Capex!E6="","",NSR_Capex!E6)</f>
        <v>56</v>
      </c>
      <c r="F44" s="9">
        <f>IF(NSR_Capex!F6="","",NSR_Capex!F6)</f>
        <v>90</v>
      </c>
      <c r="G44" s="9">
        <f>IF(NSR_Capex!G6="","",NSR_Capex!G6)</f>
        <v>129</v>
      </c>
      <c r="H44" s="9">
        <f>IF(NSR_Capex!H6="","",NSR_Capex!H6)</f>
        <v>168</v>
      </c>
      <c r="I44" s="70" t="s">
        <v>135</v>
      </c>
    </row>
    <row r="45" spans="1:9" ht="15.6" customHeight="1" x14ac:dyDescent="0.25">
      <c r="A45" s="71"/>
      <c r="B45" s="17" t="s">
        <v>114</v>
      </c>
      <c r="C45" s="9">
        <f>IF(House!E38="","",House!E38)</f>
        <v>15.2</v>
      </c>
      <c r="D45" s="9">
        <f>IF(House!F38="","",House!F38)</f>
        <v>40.200000000000003</v>
      </c>
      <c r="E45" s="9">
        <f>IF(House!G38="","",House!G38)</f>
        <v>79.2</v>
      </c>
      <c r="F45" s="9">
        <f>IF(House!H38="","",House!H38)</f>
        <v>127.2</v>
      </c>
      <c r="G45" s="9">
        <f>IF(House!I38="","",House!I38)</f>
        <v>150.1</v>
      </c>
      <c r="H45" s="9">
        <f>IF(House!J38="","",House!J38)</f>
        <v>171.1</v>
      </c>
      <c r="I45" s="71"/>
    </row>
    <row r="46" spans="1:9" ht="15.6" customHeight="1" x14ac:dyDescent="0.25">
      <c r="A46" s="72"/>
      <c r="B46" s="18" t="s">
        <v>115</v>
      </c>
      <c r="C46" s="19">
        <f t="shared" ref="C46:H46" si="9">IF(OR(C44="",C45=""),"",IFERROR(C45/C44-1,""))</f>
        <v>1.5333333333333332</v>
      </c>
      <c r="D46" s="19">
        <f t="shared" si="9"/>
        <v>0.48888888888888893</v>
      </c>
      <c r="E46" s="19">
        <f t="shared" si="9"/>
        <v>0.41428571428571437</v>
      </c>
      <c r="F46" s="19">
        <f t="shared" si="9"/>
        <v>0.41333333333333333</v>
      </c>
      <c r="G46" s="19">
        <f t="shared" si="9"/>
        <v>0.16356589147286815</v>
      </c>
      <c r="H46" s="19">
        <f t="shared" si="9"/>
        <v>1.8452380952380887E-2</v>
      </c>
      <c r="I46" s="72"/>
    </row>
    <row r="47" spans="1:9" ht="5.0999999999999996" customHeight="1" x14ac:dyDescent="0.25"/>
    <row r="48" spans="1:9" ht="15.6" customHeight="1" x14ac:dyDescent="0.25">
      <c r="A48" s="73" t="s">
        <v>136</v>
      </c>
      <c r="B48" s="17" t="s">
        <v>112</v>
      </c>
      <c r="C48" s="9">
        <f>IF(NSR_Memory!C25="","",NSR_Memory!C25)</f>
        <v>25</v>
      </c>
      <c r="D48" s="9">
        <f>IF(NSR_Memory!D25="","",NSR_Memory!D25)</f>
        <v>49</v>
      </c>
      <c r="E48" s="9">
        <f>IF(NSR_Memory!E25="","",NSR_Memory!E25)</f>
        <v>80</v>
      </c>
      <c r="F48" s="9">
        <f>IF(NSR_Memory!F25="","",NSR_Memory!F25)</f>
        <v>117</v>
      </c>
      <c r="G48" s="9">
        <f>IF(NSR_Memory!G25="","",NSR_Memory!G25)</f>
        <v>159</v>
      </c>
      <c r="H48" s="9">
        <f>IF(NSR_Memory!H25="","",NSR_Memory!H25)</f>
        <v>202</v>
      </c>
      <c r="I48" s="70" t="s">
        <v>137</v>
      </c>
    </row>
    <row r="49" spans="1:9" ht="15.6" customHeight="1" x14ac:dyDescent="0.25">
      <c r="A49" s="71"/>
      <c r="B49" s="17" t="s">
        <v>114</v>
      </c>
      <c r="C49" s="12"/>
      <c r="D49" s="9">
        <f>IF(House!F116="","",House!F116)</f>
        <v>55</v>
      </c>
      <c r="E49" s="9">
        <f>IF(House!G116="","",House!G116)</f>
        <v>96</v>
      </c>
      <c r="F49" s="9">
        <f>IF(House!H116="","",House!H116)</f>
        <v>137</v>
      </c>
      <c r="G49" s="12"/>
      <c r="H49" s="9">
        <f>IF(House!J116="","",House!J116)</f>
        <v>190</v>
      </c>
      <c r="I49" s="71"/>
    </row>
    <row r="50" spans="1:9" ht="15.6" customHeight="1" x14ac:dyDescent="0.25">
      <c r="A50" s="72"/>
      <c r="B50" s="18" t="s">
        <v>115</v>
      </c>
      <c r="C50" s="19" t="str">
        <f t="shared" ref="C50:H50" si="10">IF(OR(C48="",C49=""),"",IFERROR(C49/C48-1,""))</f>
        <v/>
      </c>
      <c r="D50" s="19">
        <f t="shared" si="10"/>
        <v>0.12244897959183665</v>
      </c>
      <c r="E50" s="19">
        <f t="shared" si="10"/>
        <v>0.19999999999999996</v>
      </c>
      <c r="F50" s="19">
        <f t="shared" si="10"/>
        <v>0.170940170940171</v>
      </c>
      <c r="G50" s="19" t="str">
        <f t="shared" si="10"/>
        <v/>
      </c>
      <c r="H50" s="19">
        <f t="shared" si="10"/>
        <v>-5.9405940594059459E-2</v>
      </c>
      <c r="I50" s="72"/>
    </row>
    <row r="51" spans="1:9" ht="5.0999999999999996" customHeight="1" x14ac:dyDescent="0.25"/>
    <row r="52" spans="1:9" ht="15.6" customHeight="1" x14ac:dyDescent="0.25">
      <c r="A52" s="73" t="s">
        <v>138</v>
      </c>
      <c r="B52" s="17" t="s">
        <v>112</v>
      </c>
      <c r="C52" s="9">
        <f>IF(NSR_Capex!C9="","",NSR_Capex!C9)</f>
        <v>40</v>
      </c>
      <c r="D52" s="9">
        <f>IF(NSR_Capex!D9="","",NSR_Capex!D9)</f>
        <v>103</v>
      </c>
      <c r="E52" s="9">
        <f>IF(NSR_Capex!E9="","",NSR_Capex!E9)</f>
        <v>211</v>
      </c>
      <c r="F52" s="9">
        <f>IF(NSR_Capex!F9="","",NSR_Capex!F9)</f>
        <v>336</v>
      </c>
      <c r="G52" s="9">
        <f>IF(NSR_Capex!G9="","",NSR_Capex!G9)</f>
        <v>405</v>
      </c>
      <c r="H52" s="9">
        <f>IF(NSR_Capex!H9="","",NSR_Capex!H9)</f>
        <v>465</v>
      </c>
      <c r="I52" s="70" t="s">
        <v>139</v>
      </c>
    </row>
    <row r="53" spans="1:9" ht="15.6" customHeight="1" x14ac:dyDescent="0.25">
      <c r="A53" s="71"/>
      <c r="B53" s="17" t="s">
        <v>114</v>
      </c>
      <c r="C53" s="9">
        <f>IF(House!E47="","",House!E47)</f>
        <v>56.6</v>
      </c>
      <c r="D53" s="9">
        <f>IF(House!F47="","",House!F47)</f>
        <v>156.5</v>
      </c>
      <c r="E53" s="9">
        <f>IF(House!G47="","",House!G47)</f>
        <v>292.60000000000002</v>
      </c>
      <c r="F53" s="9">
        <f>IF(House!H47="","",House!H47)</f>
        <v>450.7</v>
      </c>
      <c r="G53" s="9">
        <f>IF(House!I47="","",House!I47)</f>
        <v>531.9</v>
      </c>
      <c r="H53" s="9">
        <f>IF(House!J47="","",House!J47)</f>
        <v>606.29999999999995</v>
      </c>
      <c r="I53" s="71"/>
    </row>
    <row r="54" spans="1:9" ht="15.6" customHeight="1" x14ac:dyDescent="0.25">
      <c r="A54" s="72"/>
      <c r="B54" s="18" t="s">
        <v>115</v>
      </c>
      <c r="C54" s="19">
        <f t="shared" ref="C54:H54" si="11">IF(OR(C52="",C53=""),"",IFERROR(C53/C52-1,""))</f>
        <v>0.41500000000000004</v>
      </c>
      <c r="D54" s="19">
        <f t="shared" si="11"/>
        <v>0.51941747572815533</v>
      </c>
      <c r="E54" s="19">
        <f t="shared" si="11"/>
        <v>0.38672985781990543</v>
      </c>
      <c r="F54" s="19">
        <f t="shared" si="11"/>
        <v>0.34136904761904763</v>
      </c>
      <c r="G54" s="19">
        <f t="shared" si="11"/>
        <v>0.31333333333333324</v>
      </c>
      <c r="H54" s="19">
        <f t="shared" si="11"/>
        <v>0.30387096774193534</v>
      </c>
      <c r="I54" s="72"/>
    </row>
    <row r="55" spans="1:9" ht="5.0999999999999996" customHeight="1" x14ac:dyDescent="0.25"/>
    <row r="56" spans="1:9" ht="15.6" customHeight="1" x14ac:dyDescent="0.25">
      <c r="A56" s="73" t="s">
        <v>140</v>
      </c>
      <c r="B56" s="17" t="s">
        <v>112</v>
      </c>
      <c r="C56" s="9">
        <f>IF(NSR_Capex!C9="","",NSR_Capex!C9)</f>
        <v>40</v>
      </c>
      <c r="D56" s="9">
        <f>IF(NSR_Capex!D9="","",NSR_Capex!D9)</f>
        <v>103</v>
      </c>
      <c r="E56" s="9">
        <f>IF(NSR_Capex!E9="","",NSR_Capex!E9)</f>
        <v>211</v>
      </c>
      <c r="F56" s="9">
        <f>IF(NSR_Capex!F9="","",NSR_Capex!F9)</f>
        <v>336</v>
      </c>
      <c r="G56" s="9">
        <f>IF(NSR_Capex!G9="","",NSR_Capex!G9)</f>
        <v>405</v>
      </c>
      <c r="H56" s="9">
        <f>IF(NSR_Capex!H9="","",NSR_Capex!H9)</f>
        <v>465</v>
      </c>
      <c r="I56" s="70" t="s">
        <v>141</v>
      </c>
    </row>
    <row r="57" spans="1:9" ht="15.6" customHeight="1" x14ac:dyDescent="0.25">
      <c r="A57" s="71"/>
      <c r="B57" s="17" t="s">
        <v>114</v>
      </c>
      <c r="C57" s="9">
        <f>IF(House!E58="","",House!E58)</f>
        <v>55.8</v>
      </c>
      <c r="D57" s="9">
        <f>IF(House!F58="","",House!F58)</f>
        <v>101.4</v>
      </c>
      <c r="E57" s="9">
        <f>IF(House!G58="","",House!G58)</f>
        <v>158</v>
      </c>
      <c r="F57" s="9">
        <f>IF(House!H58="","",House!H58)</f>
        <v>217.1</v>
      </c>
      <c r="G57" s="9">
        <f>IF(House!I58="","",House!I58)</f>
        <v>266.5</v>
      </c>
      <c r="H57" s="9">
        <f>IF(House!J58="","",House!J58)</f>
        <v>305.8</v>
      </c>
      <c r="I57" s="71"/>
    </row>
    <row r="58" spans="1:9" ht="15.6" customHeight="1" x14ac:dyDescent="0.25">
      <c r="A58" s="72"/>
      <c r="B58" s="18" t="s">
        <v>115</v>
      </c>
      <c r="C58" s="19">
        <f t="shared" ref="C58:H58" si="12">IF(OR(C56="",C57=""),"",IFERROR(C57/C56-1,""))</f>
        <v>0.39500000000000002</v>
      </c>
      <c r="D58" s="19">
        <f t="shared" si="12"/>
        <v>-1.5533980582524198E-2</v>
      </c>
      <c r="E58" s="19">
        <f t="shared" si="12"/>
        <v>-0.25118483412322279</v>
      </c>
      <c r="F58" s="19">
        <f t="shared" si="12"/>
        <v>-0.35386904761904758</v>
      </c>
      <c r="G58" s="19">
        <f t="shared" si="12"/>
        <v>-0.34197530864197534</v>
      </c>
      <c r="H58" s="19">
        <f t="shared" si="12"/>
        <v>-0.34236559139784939</v>
      </c>
      <c r="I58" s="72"/>
    </row>
    <row r="59" spans="1:9" ht="5.0999999999999996" customHeight="1" x14ac:dyDescent="0.25"/>
    <row r="60" spans="1:9" ht="15.6" customHeight="1" x14ac:dyDescent="0.25">
      <c r="A60" s="73" t="s">
        <v>142</v>
      </c>
      <c r="B60" s="17" t="s">
        <v>112</v>
      </c>
      <c r="C60" s="9">
        <f>IF(NSR_Capex!C10="","",NSR_Capex!C10)</f>
        <v>258</v>
      </c>
      <c r="D60" s="9">
        <f>IF(NSR_Capex!D10="","",NSR_Capex!D10)</f>
        <v>328</v>
      </c>
      <c r="E60" s="9">
        <f>IF(NSR_Capex!E10="","",NSR_Capex!E10)</f>
        <v>614</v>
      </c>
      <c r="F60" s="9">
        <f>IF(NSR_Capex!F10="","",NSR_Capex!F10)</f>
        <v>899</v>
      </c>
      <c r="G60" s="9">
        <f>IF(NSR_Capex!G10="","",NSR_Capex!G10)</f>
        <v>986</v>
      </c>
      <c r="H60" s="9">
        <f>IF(NSR_Capex!H10="","",NSR_Capex!H10)</f>
        <v>1016</v>
      </c>
      <c r="I60" s="70" t="s">
        <v>143</v>
      </c>
    </row>
    <row r="61" spans="1:9" ht="15.6" customHeight="1" x14ac:dyDescent="0.25">
      <c r="A61" s="71"/>
      <c r="B61" s="17" t="s">
        <v>114</v>
      </c>
      <c r="C61" s="9">
        <f>IF(House!E9="","",House!E9)</f>
        <v>140.80000000000001</v>
      </c>
      <c r="D61" s="9">
        <f>IF(House!F9="","",House!F9)</f>
        <v>323.10000000000002</v>
      </c>
      <c r="E61" s="9">
        <f>IF(House!G9="","",House!G9)</f>
        <v>683.3</v>
      </c>
      <c r="F61" s="9">
        <f>IF(House!H9="","",House!H9)</f>
        <v>1040.5999999999999</v>
      </c>
      <c r="G61" s="12"/>
      <c r="H61" s="12"/>
      <c r="I61" s="71"/>
    </row>
    <row r="62" spans="1:9" ht="15.6" customHeight="1" x14ac:dyDescent="0.25">
      <c r="A62" s="72"/>
      <c r="B62" s="18" t="s">
        <v>115</v>
      </c>
      <c r="C62" s="19">
        <f t="shared" ref="C62:H62" si="13">IF(OR(C60="",C61=""),"",IFERROR(C61/C60-1,""))</f>
        <v>-0.45426356589147288</v>
      </c>
      <c r="D62" s="19">
        <f t="shared" si="13"/>
        <v>-1.493902439024386E-2</v>
      </c>
      <c r="E62" s="19">
        <f t="shared" si="13"/>
        <v>0.11286644951140068</v>
      </c>
      <c r="F62" s="19">
        <f t="shared" si="13"/>
        <v>0.15750834260289204</v>
      </c>
      <c r="G62" s="19" t="str">
        <f t="shared" si="13"/>
        <v/>
      </c>
      <c r="H62" s="19" t="str">
        <f t="shared" si="13"/>
        <v/>
      </c>
      <c r="I62" s="72"/>
    </row>
    <row r="63" spans="1:9" ht="5.0999999999999996" customHeight="1" x14ac:dyDescent="0.25"/>
    <row r="64" spans="1:9" ht="15.6" customHeight="1" x14ac:dyDescent="0.25">
      <c r="A64" s="73" t="s">
        <v>144</v>
      </c>
      <c r="B64" s="17" t="s">
        <v>112</v>
      </c>
      <c r="C64" s="13">
        <f>IF(NSR_Capex!C30="","",NSR_Capex!C30)</f>
        <v>0.44253859348198971</v>
      </c>
      <c r="D64" s="13">
        <f>IF(NSR_Capex!D30="","",NSR_Capex!D30)</f>
        <v>0.29000884173297964</v>
      </c>
      <c r="E64" s="13">
        <f>IF(NSR_Capex!E30="","",NSR_Capex!E30)</f>
        <v>0.27998176014591886</v>
      </c>
      <c r="F64" s="13">
        <f>IF(NSR_Capex!F30="","",NSR_Capex!F30)</f>
        <v>0.27005106638630222</v>
      </c>
      <c r="G64" s="13">
        <f>IF(NSR_Capex!G30="","",NSR_Capex!G30)</f>
        <v>0.25906463478717812</v>
      </c>
      <c r="H64" s="13">
        <f>IF(NSR_Capex!H30="","",NSR_Capex!H30)</f>
        <v>0.24499638292741741</v>
      </c>
      <c r="I64" s="70" t="s">
        <v>145</v>
      </c>
    </row>
    <row r="65" spans="1:9" ht="15.6" customHeight="1" x14ac:dyDescent="0.25">
      <c r="A65" s="71"/>
      <c r="B65" s="17" t="s">
        <v>114</v>
      </c>
      <c r="C65" s="13">
        <f>IF(House!E14="","",House!E14)</f>
        <v>0.35528639919253091</v>
      </c>
      <c r="D65" s="13">
        <f>IF(House!F14="","",House!F14)</f>
        <v>0.35836291038154394</v>
      </c>
      <c r="E65" s="13">
        <f>IF(House!G14="","",House!G14)</f>
        <v>0.3624164633499522</v>
      </c>
      <c r="F65" s="13">
        <f>IF(House!H14="","",House!H14)</f>
        <v>0.35721396450516629</v>
      </c>
      <c r="G65" s="12"/>
      <c r="H65" s="12"/>
      <c r="I65" s="71"/>
    </row>
    <row r="66" spans="1:9" ht="15.6" customHeight="1" x14ac:dyDescent="0.25">
      <c r="A66" s="72"/>
      <c r="B66" s="18" t="s">
        <v>115</v>
      </c>
      <c r="C66" s="19">
        <f t="shared" ref="C66:H66" si="14">IF(OR(C64="",C65=""),"",IFERROR(C65/C64-1,""))</f>
        <v>-0.1971629041502112</v>
      </c>
      <c r="D66" s="19">
        <f t="shared" si="14"/>
        <v>0.23569649890709221</v>
      </c>
      <c r="E66" s="19">
        <f t="shared" si="14"/>
        <v>0.29442883408215814</v>
      </c>
      <c r="F66" s="19">
        <f t="shared" si="14"/>
        <v>0.32276450260033207</v>
      </c>
      <c r="G66" s="19" t="str">
        <f t="shared" si="14"/>
        <v/>
      </c>
      <c r="H66" s="19" t="str">
        <f t="shared" si="14"/>
        <v/>
      </c>
      <c r="I66" s="72"/>
    </row>
    <row r="67" spans="1:9" ht="5.0999999999999996" customHeight="1" x14ac:dyDescent="0.25"/>
    <row r="68" spans="1:9" ht="18" customHeight="1" x14ac:dyDescent="0.25">
      <c r="A68" s="15" t="s">
        <v>146</v>
      </c>
      <c r="B68" s="16"/>
      <c r="C68" s="16"/>
      <c r="D68" s="16"/>
      <c r="E68" s="16"/>
      <c r="F68" s="16"/>
      <c r="G68" s="16"/>
      <c r="H68" s="16"/>
      <c r="I68" s="16"/>
    </row>
    <row r="69" spans="1:9" ht="15.6" customHeight="1" x14ac:dyDescent="0.25">
      <c r="A69" s="73" t="s">
        <v>147</v>
      </c>
      <c r="B69" s="17" t="s">
        <v>112</v>
      </c>
      <c r="C69" s="9">
        <f>IF(NSR_Memory!C13="","",NSR_Memory!C13)</f>
        <v>34</v>
      </c>
      <c r="D69" s="9">
        <f>IF(NSR_Memory!D13="","",NSR_Memory!D13)</f>
        <v>82</v>
      </c>
      <c r="E69" s="9">
        <f>IF(NSR_Memory!E13="","",NSR_Memory!E13)</f>
        <v>189</v>
      </c>
      <c r="F69" s="9">
        <f>IF(NSR_Memory!F13="","",NSR_Memory!F13)</f>
        <v>332</v>
      </c>
      <c r="G69" s="9">
        <f>IF(NSR_Memory!G13="","",NSR_Memory!G13)</f>
        <v>457</v>
      </c>
      <c r="H69" s="9">
        <f>IF(NSR_Memory!H13="","",NSR_Memory!H13)</f>
        <v>560</v>
      </c>
      <c r="I69" s="70" t="s">
        <v>148</v>
      </c>
    </row>
    <row r="70" spans="1:9" ht="15.6" customHeight="1" x14ac:dyDescent="0.25">
      <c r="A70" s="71"/>
      <c r="B70" s="17" t="s">
        <v>114</v>
      </c>
      <c r="C70" s="9">
        <f>IF(House!E85="","",House!E85)</f>
        <v>27</v>
      </c>
      <c r="D70" s="9">
        <f>IF(House!F85="","",House!F85)</f>
        <v>63.7</v>
      </c>
      <c r="E70" s="9">
        <f>IF(House!G85="","",House!G85)</f>
        <v>127.8</v>
      </c>
      <c r="F70" s="9">
        <f>IF(House!H85="","",House!H85)</f>
        <v>281.5</v>
      </c>
      <c r="G70" s="12"/>
      <c r="H70" s="12"/>
      <c r="I70" s="71"/>
    </row>
    <row r="71" spans="1:9" ht="15.6" customHeight="1" x14ac:dyDescent="0.25">
      <c r="A71" s="72"/>
      <c r="B71" s="18" t="s">
        <v>115</v>
      </c>
      <c r="C71" s="19">
        <f t="shared" ref="C71:H71" si="15">IF(OR(C69="",C70=""),"",IFERROR(C70/C69-1,""))</f>
        <v>-0.20588235294117652</v>
      </c>
      <c r="D71" s="19">
        <f t="shared" si="15"/>
        <v>-0.22317073170731705</v>
      </c>
      <c r="E71" s="19">
        <f t="shared" si="15"/>
        <v>-0.32380952380952377</v>
      </c>
      <c r="F71" s="19">
        <f t="shared" si="15"/>
        <v>-0.15210843373493976</v>
      </c>
      <c r="G71" s="19" t="str">
        <f t="shared" si="15"/>
        <v/>
      </c>
      <c r="H71" s="19" t="str">
        <f t="shared" si="15"/>
        <v/>
      </c>
      <c r="I71" s="72"/>
    </row>
    <row r="72" spans="1:9" ht="5.0999999999999996" customHeight="1" x14ac:dyDescent="0.25"/>
    <row r="73" spans="1:9" ht="17.649999999999999" customHeight="1" x14ac:dyDescent="0.25">
      <c r="A73" s="73" t="s">
        <v>149</v>
      </c>
      <c r="B73" s="17" t="s">
        <v>112</v>
      </c>
      <c r="C73" s="9">
        <f>IF(NSR_Memory!C13="","",NSR_Memory!C13)</f>
        <v>34</v>
      </c>
      <c r="D73" s="9">
        <f>IF(NSR_Memory!D13="","",NSR_Memory!D13)</f>
        <v>82</v>
      </c>
      <c r="E73" s="9">
        <f>IF(NSR_Memory!E13="","",NSR_Memory!E13)</f>
        <v>189</v>
      </c>
      <c r="F73" s="9">
        <f>IF(NSR_Memory!F13="","",NSR_Memory!F13)</f>
        <v>332</v>
      </c>
      <c r="G73" s="9">
        <f>IF(NSR_Memory!G13="","",NSR_Memory!G13)</f>
        <v>457</v>
      </c>
      <c r="H73" s="9">
        <f>IF(NSR_Memory!H13="","",NSR_Memory!H13)</f>
        <v>560</v>
      </c>
      <c r="I73" s="70" t="s">
        <v>150</v>
      </c>
    </row>
    <row r="74" spans="1:9" ht="17.649999999999999" customHeight="1" x14ac:dyDescent="0.25">
      <c r="A74" s="71"/>
      <c r="B74" s="17" t="s">
        <v>114</v>
      </c>
      <c r="C74" s="9">
        <f>IF(House!E41="","",House!E41)</f>
        <v>35</v>
      </c>
      <c r="D74" s="9">
        <f>IF(House!F41="","",House!F41)</f>
        <v>77.400000000000006</v>
      </c>
      <c r="E74" s="9">
        <f>IF(House!G41="","",House!G41)</f>
        <v>193.8</v>
      </c>
      <c r="F74" s="9">
        <f>IF(House!H41="","",House!H41)</f>
        <v>224</v>
      </c>
      <c r="G74" s="9">
        <f>IF(House!I41="","",House!I41)</f>
        <v>255.4</v>
      </c>
      <c r="H74" s="9">
        <f>IF(House!J41="","",House!J41)</f>
        <v>283.39999999999998</v>
      </c>
      <c r="I74" s="71"/>
    </row>
    <row r="75" spans="1:9" ht="17.649999999999999" customHeight="1" x14ac:dyDescent="0.25">
      <c r="A75" s="72"/>
      <c r="B75" s="18" t="s">
        <v>115</v>
      </c>
      <c r="C75" s="19">
        <f t="shared" ref="C75:H75" si="16">IF(OR(C73="",C74=""),"",IFERROR(C74/C73-1,""))</f>
        <v>2.9411764705882248E-2</v>
      </c>
      <c r="D75" s="19">
        <f t="shared" si="16"/>
        <v>-5.6097560975609695E-2</v>
      </c>
      <c r="E75" s="19">
        <f t="shared" si="16"/>
        <v>2.5396825396825529E-2</v>
      </c>
      <c r="F75" s="19">
        <f t="shared" si="16"/>
        <v>-0.32530120481927716</v>
      </c>
      <c r="G75" s="19">
        <f t="shared" si="16"/>
        <v>-0.44113785557986873</v>
      </c>
      <c r="H75" s="19">
        <f t="shared" si="16"/>
        <v>-0.49392857142857149</v>
      </c>
      <c r="I75" s="72"/>
    </row>
    <row r="76" spans="1:9" ht="5.0999999999999996" customHeight="1" x14ac:dyDescent="0.25"/>
    <row r="77" spans="1:9" ht="15.6" customHeight="1" x14ac:dyDescent="0.25">
      <c r="A77" s="73" t="s">
        <v>151</v>
      </c>
      <c r="B77" s="17" t="s">
        <v>112</v>
      </c>
      <c r="C77" s="13">
        <f>IF(NSR_Memory!C15="","",NSR_Memory!C15)</f>
        <v>0.16585365853658537</v>
      </c>
      <c r="D77" s="13">
        <f>IF(NSR_Memory!D15="","",NSR_Memory!D15)</f>
        <v>0.20098039215686275</v>
      </c>
      <c r="E77" s="13">
        <f>IF(NSR_Memory!E15="","",NSR_Memory!E15)</f>
        <v>0.24168797953964194</v>
      </c>
      <c r="F77" s="13">
        <f>IF(NSR_Memory!F15="","",NSR_Memory!F15)</f>
        <v>0.26517571884984026</v>
      </c>
      <c r="G77" s="13">
        <f>IF(NSR_Memory!G15="","",NSR_Memory!G15)</f>
        <v>0.30125247198417932</v>
      </c>
      <c r="H77" s="13">
        <f>IF(NSR_Memory!H15="","",NSR_Memory!H15)</f>
        <v>0.32902467685076381</v>
      </c>
      <c r="I77" s="70" t="s">
        <v>152</v>
      </c>
    </row>
    <row r="78" spans="1:9" ht="15.6" customHeight="1" x14ac:dyDescent="0.25">
      <c r="A78" s="71"/>
      <c r="B78" s="17" t="s">
        <v>114</v>
      </c>
      <c r="C78" s="13">
        <f>IF(House!E87="","",House!E87)</f>
        <v>0.14195583596214512</v>
      </c>
      <c r="D78" s="13">
        <f>IF(House!F87="","",House!F87)</f>
        <v>0.15928982245561393</v>
      </c>
      <c r="E78" s="13">
        <f>IF(House!G87="","",House!G87)</f>
        <v>0.16662320730117339</v>
      </c>
      <c r="F78" s="13">
        <f>IF(House!H87="","",House!H87)</f>
        <v>0.24321755659236216</v>
      </c>
      <c r="G78" s="12"/>
      <c r="H78" s="12"/>
      <c r="I78" s="71"/>
    </row>
    <row r="79" spans="1:9" ht="15.6" customHeight="1" x14ac:dyDescent="0.25">
      <c r="A79" s="72"/>
      <c r="B79" s="18" t="s">
        <v>115</v>
      </c>
      <c r="C79" s="19">
        <f t="shared" ref="C79:H79" si="17">IF(OR(C77="",C78=""),"",IFERROR(C78/C77-1,""))</f>
        <v>-0.14408981258118392</v>
      </c>
      <c r="D79" s="19">
        <f t="shared" si="17"/>
        <v>-0.20743600534279905</v>
      </c>
      <c r="E79" s="19">
        <f t="shared" si="17"/>
        <v>-0.31058545973800211</v>
      </c>
      <c r="F79" s="19">
        <f t="shared" si="17"/>
        <v>-8.280608176615234E-2</v>
      </c>
      <c r="G79" s="19" t="str">
        <f t="shared" si="17"/>
        <v/>
      </c>
      <c r="H79" s="19" t="str">
        <f t="shared" si="17"/>
        <v/>
      </c>
      <c r="I79" s="72"/>
    </row>
    <row r="80" spans="1:9" ht="5.0999999999999996" customHeight="1" x14ac:dyDescent="0.25"/>
    <row r="81" spans="1:9" ht="17.649999999999999" customHeight="1" x14ac:dyDescent="0.25">
      <c r="A81" s="73" t="s">
        <v>153</v>
      </c>
      <c r="B81" s="17" t="s">
        <v>112</v>
      </c>
      <c r="C81" s="9">
        <f>IF(NSR_Capex!C7="","",NSR_Capex!C7)</f>
        <v>26</v>
      </c>
      <c r="D81" s="9">
        <f>IF(NSR_Capex!D7="","",NSR_Capex!D7)</f>
        <v>160</v>
      </c>
      <c r="E81" s="9">
        <f>IF(NSR_Capex!E7="","",NSR_Capex!E7)</f>
        <v>338</v>
      </c>
      <c r="F81" s="9">
        <f>IF(NSR_Capex!F7="","",NSR_Capex!F7)</f>
        <v>459</v>
      </c>
      <c r="G81" s="9">
        <f>IF(NSR_Capex!G7="","",NSR_Capex!G7)</f>
        <v>431</v>
      </c>
      <c r="H81" s="9">
        <f>IF(NSR_Capex!H7="","",NSR_Capex!H7)</f>
        <v>423</v>
      </c>
      <c r="I81" s="70" t="s">
        <v>154</v>
      </c>
    </row>
    <row r="82" spans="1:9" ht="17.649999999999999" customHeight="1" x14ac:dyDescent="0.25">
      <c r="A82" s="71"/>
      <c r="B82" s="17" t="s">
        <v>114</v>
      </c>
      <c r="C82" s="9">
        <f>IF(House!E45="","",House!E45)</f>
        <v>42.3</v>
      </c>
      <c r="D82" s="9">
        <f>IF(House!F45="","",House!F45)</f>
        <v>211</v>
      </c>
      <c r="E82" s="9">
        <f>IF(House!G45="","",House!G45)</f>
        <v>316.8</v>
      </c>
      <c r="F82" s="9">
        <f>IF(House!H45="","",House!H45)</f>
        <v>345.8</v>
      </c>
      <c r="G82" s="9">
        <f>IF(House!I45="","",House!I45)</f>
        <v>370.2</v>
      </c>
      <c r="H82" s="9">
        <f>IF(House!J45="","",House!J45)</f>
        <v>404.9</v>
      </c>
      <c r="I82" s="71"/>
    </row>
    <row r="83" spans="1:9" ht="17.649999999999999" customHeight="1" x14ac:dyDescent="0.25">
      <c r="A83" s="72"/>
      <c r="B83" s="18" t="s">
        <v>115</v>
      </c>
      <c r="C83" s="19">
        <f t="shared" ref="C83:H83" si="18">IF(OR(C81="",C82=""),"",IFERROR(C82/C81-1,""))</f>
        <v>0.62692307692307692</v>
      </c>
      <c r="D83" s="19">
        <f t="shared" si="18"/>
        <v>0.31875000000000009</v>
      </c>
      <c r="E83" s="19">
        <f t="shared" si="18"/>
        <v>-6.2721893491124225E-2</v>
      </c>
      <c r="F83" s="19">
        <f t="shared" si="18"/>
        <v>-0.24662309368191715</v>
      </c>
      <c r="G83" s="19">
        <f t="shared" si="18"/>
        <v>-0.14106728538283064</v>
      </c>
      <c r="H83" s="19">
        <f t="shared" si="18"/>
        <v>-4.2789598108747051E-2</v>
      </c>
      <c r="I83" s="72"/>
    </row>
    <row r="84" spans="1:9" ht="5.0999999999999996" customHeight="1" x14ac:dyDescent="0.25"/>
    <row r="85" spans="1:9" ht="15.6" customHeight="1" x14ac:dyDescent="0.25">
      <c r="A85" s="73" t="s">
        <v>155</v>
      </c>
      <c r="B85" s="17" t="s">
        <v>112</v>
      </c>
      <c r="C85" s="9">
        <f>IF(NSR_Capex!C7="","",NSR_Capex!C7)</f>
        <v>26</v>
      </c>
      <c r="D85" s="9">
        <f>IF(NSR_Capex!D7="","",NSR_Capex!D7)</f>
        <v>160</v>
      </c>
      <c r="E85" s="9">
        <f>IF(NSR_Capex!E7="","",NSR_Capex!E7)</f>
        <v>338</v>
      </c>
      <c r="F85" s="9">
        <f>IF(NSR_Capex!F7="","",NSR_Capex!F7)</f>
        <v>459</v>
      </c>
      <c r="G85" s="9">
        <f>IF(NSR_Capex!G7="","",NSR_Capex!G7)</f>
        <v>431</v>
      </c>
      <c r="H85" s="9">
        <f>IF(NSR_Capex!H7="","",NSR_Capex!H7)</f>
        <v>423</v>
      </c>
      <c r="I85" s="70" t="s">
        <v>156</v>
      </c>
    </row>
    <row r="86" spans="1:9" ht="15.6" customHeight="1" x14ac:dyDescent="0.25">
      <c r="A86" s="71"/>
      <c r="B86" s="17" t="s">
        <v>114</v>
      </c>
      <c r="C86" s="9">
        <f>IF(House!E57="","",House!E57)</f>
        <v>75.7</v>
      </c>
      <c r="D86" s="9">
        <f>IF(House!F57="","",House!F57)</f>
        <v>301.3</v>
      </c>
      <c r="E86" s="9">
        <f>IF(House!G57="","",House!G57)</f>
        <v>495.7</v>
      </c>
      <c r="F86" s="9">
        <f>IF(House!H57="","",House!H57)</f>
        <v>628.1</v>
      </c>
      <c r="G86" s="9">
        <f>IF(House!I57="","",House!I57)</f>
        <v>751.8</v>
      </c>
      <c r="H86" s="9">
        <f>IF(House!J57="","",House!J57)</f>
        <v>892.2</v>
      </c>
      <c r="I86" s="71"/>
    </row>
    <row r="87" spans="1:9" ht="15.6" customHeight="1" x14ac:dyDescent="0.25">
      <c r="A87" s="72"/>
      <c r="B87" s="18" t="s">
        <v>115</v>
      </c>
      <c r="C87" s="19">
        <f t="shared" ref="C87:H87" si="19">IF(OR(C85="",C86=""),"",IFERROR(C86/C85-1,""))</f>
        <v>1.9115384615384619</v>
      </c>
      <c r="D87" s="19">
        <f t="shared" si="19"/>
        <v>0.88312500000000016</v>
      </c>
      <c r="E87" s="19">
        <f t="shared" si="19"/>
        <v>0.46656804733727797</v>
      </c>
      <c r="F87" s="19">
        <f t="shared" si="19"/>
        <v>0.36840958605664498</v>
      </c>
      <c r="G87" s="19">
        <f t="shared" si="19"/>
        <v>0.74431554524361943</v>
      </c>
      <c r="H87" s="19">
        <f t="shared" si="19"/>
        <v>1.1092198581560284</v>
      </c>
      <c r="I87" s="72"/>
    </row>
    <row r="88" spans="1:9" ht="5.0999999999999996" customHeight="1" x14ac:dyDescent="0.25"/>
    <row r="89" spans="1:9" ht="15.6" customHeight="1" x14ac:dyDescent="0.25">
      <c r="A89" s="73" t="s">
        <v>157</v>
      </c>
      <c r="B89" s="17" t="s">
        <v>112</v>
      </c>
      <c r="C89" s="9">
        <f>IF(NSR_Memory!C52="","",NSR_Memory!C52)</f>
        <v>60</v>
      </c>
      <c r="D89" s="9">
        <f>IF(NSR_Memory!D52="","",NSR_Memory!D52)</f>
        <v>242</v>
      </c>
      <c r="E89" s="9">
        <f>IF(NSR_Memory!E52="","",NSR_Memory!E52)</f>
        <v>527</v>
      </c>
      <c r="F89" s="9">
        <f>IF(NSR_Memory!F52="","",NSR_Memory!F52)</f>
        <v>791</v>
      </c>
      <c r="G89" s="9">
        <f>IF(NSR_Memory!G52="","",NSR_Memory!G52)</f>
        <v>888</v>
      </c>
      <c r="H89" s="9">
        <f>IF(NSR_Memory!H52="","",NSR_Memory!H52)</f>
        <v>983</v>
      </c>
      <c r="I89" s="70" t="s">
        <v>158</v>
      </c>
    </row>
    <row r="90" spans="1:9" ht="15.6" customHeight="1" x14ac:dyDescent="0.25">
      <c r="A90" s="71"/>
      <c r="B90" s="17" t="s">
        <v>114</v>
      </c>
      <c r="C90" s="9">
        <f>IF(House!E46="","",House!E46)</f>
        <v>90.4</v>
      </c>
      <c r="D90" s="9">
        <f>IF(House!F46="","",House!F46)</f>
        <v>272.39999999999998</v>
      </c>
      <c r="E90" s="9">
        <f>IF(House!G46="","",House!G46)</f>
        <v>496</v>
      </c>
      <c r="F90" s="9">
        <f>IF(House!H46="","",House!H46)</f>
        <v>596.5</v>
      </c>
      <c r="G90" s="9">
        <f>IF(House!I46="","",House!I46)</f>
        <v>667</v>
      </c>
      <c r="H90" s="9">
        <f>IF(House!J46="","",House!J46)</f>
        <v>737</v>
      </c>
      <c r="I90" s="71"/>
    </row>
    <row r="91" spans="1:9" ht="15.6" customHeight="1" x14ac:dyDescent="0.25">
      <c r="A91" s="72"/>
      <c r="B91" s="18" t="s">
        <v>115</v>
      </c>
      <c r="C91" s="19">
        <f t="shared" ref="C91:H91" si="20">IF(OR(C89="",C90=""),"",IFERROR(C90/C89-1,""))</f>
        <v>0.50666666666666682</v>
      </c>
      <c r="D91" s="19">
        <f t="shared" si="20"/>
        <v>0.12561983471074378</v>
      </c>
      <c r="E91" s="19">
        <f t="shared" si="20"/>
        <v>-5.8823529411764719E-2</v>
      </c>
      <c r="F91" s="19">
        <f t="shared" si="20"/>
        <v>-0.24589127686472823</v>
      </c>
      <c r="G91" s="19">
        <f t="shared" si="20"/>
        <v>-0.24887387387387383</v>
      </c>
      <c r="H91" s="19">
        <f t="shared" si="20"/>
        <v>-0.25025432349949139</v>
      </c>
      <c r="I91" s="72"/>
    </row>
    <row r="92" spans="1:9" ht="5.0999999999999996" customHeight="1" x14ac:dyDescent="0.25"/>
    <row r="93" spans="1:9" ht="15.6" customHeight="1" x14ac:dyDescent="0.25">
      <c r="A93" s="73" t="s">
        <v>159</v>
      </c>
      <c r="B93" s="17" t="s">
        <v>112</v>
      </c>
      <c r="C93" s="13">
        <f>IF(NSR_Memory!C54="","",NSR_Memory!C54)</f>
        <v>0.10291595197255575</v>
      </c>
      <c r="D93" s="13">
        <f>IF(NSR_Memory!D54="","",NSR_Memory!D54)</f>
        <v>0.21396993810786913</v>
      </c>
      <c r="E93" s="13">
        <f>IF(NSR_Memory!E54="","",NSR_Memory!E54)</f>
        <v>0.24031007751937986</v>
      </c>
      <c r="F93" s="13">
        <f>IF(NSR_Memory!F54="","",NSR_Memory!F54)</f>
        <v>0.23760889155902673</v>
      </c>
      <c r="G93" s="13">
        <f>IF(NSR_Memory!G54="","",NSR_Memory!G54)</f>
        <v>0.23331581713084604</v>
      </c>
      <c r="H93" s="13">
        <f>IF(NSR_Memory!H54="","",NSR_Memory!H54)</f>
        <v>0.23703882324571979</v>
      </c>
      <c r="I93" s="70" t="s">
        <v>160</v>
      </c>
    </row>
    <row r="94" spans="1:9" ht="15.6" customHeight="1" x14ac:dyDescent="0.25">
      <c r="A94" s="71"/>
      <c r="B94" s="17" t="s">
        <v>114</v>
      </c>
      <c r="C94" s="13">
        <f>IFERROR(House!E46/House!E28,"")</f>
        <v>0.20940467917535327</v>
      </c>
      <c r="D94" s="13">
        <f>IFERROR(House!F46/House!F28,"")</f>
        <v>0.30280124499777678</v>
      </c>
      <c r="E94" s="13">
        <f>IFERROR(House!G46/House!G28,"")</f>
        <v>0.29527324681509703</v>
      </c>
      <c r="F94" s="13">
        <f>IFERROR(House!H46/House!H28,"")</f>
        <v>0.23045124401174469</v>
      </c>
      <c r="G94" s="13">
        <f>IFERROR(House!I46/House!I28,"")</f>
        <v>0.21838064368267687</v>
      </c>
      <c r="H94" s="13">
        <f>IFERROR(House!J46/House!J28,"")</f>
        <v>0.21166604440104539</v>
      </c>
      <c r="I94" s="71"/>
    </row>
    <row r="95" spans="1:9" ht="15.6" customHeight="1" x14ac:dyDescent="0.25">
      <c r="A95" s="72"/>
      <c r="B95" s="18" t="s">
        <v>115</v>
      </c>
      <c r="C95" s="19">
        <f t="shared" ref="C95:H95" si="21">IF(OR(C93="",C94=""),"",IFERROR(C94/C93-1,""))</f>
        <v>1.0347154659871824</v>
      </c>
      <c r="D95" s="19">
        <f t="shared" si="21"/>
        <v>0.41515788467969239</v>
      </c>
      <c r="E95" s="19">
        <f t="shared" si="21"/>
        <v>0.22871770448862949</v>
      </c>
      <c r="F95" s="19">
        <f t="shared" si="21"/>
        <v>-3.0123651940457519E-2</v>
      </c>
      <c r="G95" s="19">
        <f t="shared" si="21"/>
        <v>-6.4012691603301586E-2</v>
      </c>
      <c r="H95" s="19">
        <f t="shared" si="21"/>
        <v>-0.10704060413923167</v>
      </c>
      <c r="I95" s="72"/>
    </row>
    <row r="96" spans="1:9" ht="5.0999999999999996" customHeight="1" x14ac:dyDescent="0.25"/>
    <row r="97" spans="1:9" ht="18" customHeight="1" x14ac:dyDescent="0.25">
      <c r="A97" s="15" t="s">
        <v>161</v>
      </c>
      <c r="B97" s="16"/>
      <c r="C97" s="16"/>
      <c r="D97" s="16"/>
      <c r="E97" s="16"/>
      <c r="F97" s="16"/>
      <c r="G97" s="16"/>
      <c r="H97" s="16"/>
      <c r="I97" s="16"/>
    </row>
    <row r="98" spans="1:9" ht="17.649999999999999" customHeight="1" x14ac:dyDescent="0.25">
      <c r="A98" s="73" t="s">
        <v>162</v>
      </c>
      <c r="B98" s="17" t="s">
        <v>112</v>
      </c>
      <c r="C98" s="12"/>
      <c r="D98" s="12"/>
      <c r="E98" s="12"/>
      <c r="F98" s="12"/>
      <c r="G98" s="12"/>
      <c r="H98" s="9">
        <f>NSR_Datapoints!B26</f>
        <v>275</v>
      </c>
      <c r="I98" s="70" t="s">
        <v>163</v>
      </c>
    </row>
    <row r="99" spans="1:9" ht="17.649999999999999" customHeight="1" x14ac:dyDescent="0.25">
      <c r="A99" s="71"/>
      <c r="B99" s="17" t="s">
        <v>114</v>
      </c>
      <c r="C99" s="9">
        <f>IF(House!E73="","",House!E73)</f>
        <v>24.1</v>
      </c>
      <c r="D99" s="9">
        <f>IF(House!F73="","",House!F73)</f>
        <v>51.2</v>
      </c>
      <c r="E99" s="9">
        <f>IF(House!G73="","",House!G73)</f>
        <v>101.9</v>
      </c>
      <c r="F99" s="9">
        <f>IF(House!H73="","",House!H73)</f>
        <v>171.4</v>
      </c>
      <c r="G99" s="9">
        <f>IF(House!I51="","",House!I51)</f>
        <v>217.4</v>
      </c>
      <c r="H99" s="9">
        <f>IF(House!J51="","",House!J51)</f>
        <v>298.7</v>
      </c>
      <c r="I99" s="71"/>
    </row>
    <row r="100" spans="1:9" ht="17.649999999999999" customHeight="1" x14ac:dyDescent="0.25">
      <c r="A100" s="72"/>
      <c r="B100" s="18" t="s">
        <v>115</v>
      </c>
      <c r="C100" s="19" t="str">
        <f t="shared" ref="C100:H100" si="22">IF(OR(C98="",C99=""),"",IFERROR(C99/C98-1,""))</f>
        <v/>
      </c>
      <c r="D100" s="19" t="str">
        <f t="shared" si="22"/>
        <v/>
      </c>
      <c r="E100" s="19" t="str">
        <f t="shared" si="22"/>
        <v/>
      </c>
      <c r="F100" s="19" t="str">
        <f t="shared" si="22"/>
        <v/>
      </c>
      <c r="G100" s="19" t="str">
        <f t="shared" si="22"/>
        <v/>
      </c>
      <c r="H100" s="19">
        <f t="shared" si="22"/>
        <v>8.6181818181818137E-2</v>
      </c>
      <c r="I100" s="72"/>
    </row>
    <row r="101" spans="1:9" ht="5.0999999999999996" customHeight="1" x14ac:dyDescent="0.25"/>
    <row r="102" spans="1:9" ht="15.6" customHeight="1" x14ac:dyDescent="0.25">
      <c r="A102" s="73" t="s">
        <v>164</v>
      </c>
      <c r="B102" s="17" t="s">
        <v>112</v>
      </c>
      <c r="C102" s="12"/>
      <c r="D102" s="12"/>
      <c r="E102" s="12"/>
      <c r="F102" s="12"/>
      <c r="G102" s="12"/>
      <c r="H102" s="9">
        <f>NSR_Datapoints!B26</f>
        <v>275</v>
      </c>
      <c r="I102" s="70" t="s">
        <v>165</v>
      </c>
    </row>
    <row r="103" spans="1:9" ht="15.6" customHeight="1" x14ac:dyDescent="0.25">
      <c r="A103" s="71"/>
      <c r="B103" s="17" t="s">
        <v>114</v>
      </c>
      <c r="C103" s="9">
        <f>IF(House!E63="","",House!E63)</f>
        <v>23.6</v>
      </c>
      <c r="D103" s="9">
        <f>IF(House!F63="","",House!F63)</f>
        <v>44.4</v>
      </c>
      <c r="E103" s="9">
        <f>IF(House!G63="","",House!G63)</f>
        <v>79.900000000000006</v>
      </c>
      <c r="F103" s="9">
        <f>IF(House!H63="","",House!H63)</f>
        <v>125.3</v>
      </c>
      <c r="G103" s="9">
        <f>IF(House!I63="","",House!I63)</f>
        <v>179.1</v>
      </c>
      <c r="H103" s="9">
        <f>IF(House!J63="","",House!J63)</f>
        <v>241.7</v>
      </c>
      <c r="I103" s="71"/>
    </row>
    <row r="104" spans="1:9" ht="15.6" customHeight="1" x14ac:dyDescent="0.25">
      <c r="A104" s="72"/>
      <c r="B104" s="18" t="s">
        <v>115</v>
      </c>
      <c r="C104" s="19" t="str">
        <f t="shared" ref="C104:H104" si="23">IF(OR(C102="",C103=""),"",IFERROR(C103/C102-1,""))</f>
        <v/>
      </c>
      <c r="D104" s="19" t="str">
        <f t="shared" si="23"/>
        <v/>
      </c>
      <c r="E104" s="19" t="str">
        <f t="shared" si="23"/>
        <v/>
      </c>
      <c r="F104" s="19" t="str">
        <f t="shared" si="23"/>
        <v/>
      </c>
      <c r="G104" s="19" t="str">
        <f t="shared" si="23"/>
        <v/>
      </c>
      <c r="H104" s="19">
        <f t="shared" si="23"/>
        <v>-0.12109090909090914</v>
      </c>
      <c r="I104" s="72"/>
    </row>
    <row r="105" spans="1:9" ht="5.0999999999999996" customHeight="1" x14ac:dyDescent="0.25"/>
    <row r="106" spans="1:9" ht="15.6" customHeight="1" x14ac:dyDescent="0.25">
      <c r="A106" s="73" t="s">
        <v>166</v>
      </c>
      <c r="B106" s="17" t="s">
        <v>112</v>
      </c>
      <c r="C106" s="12"/>
      <c r="D106" s="12"/>
      <c r="E106" s="12"/>
      <c r="F106" s="12"/>
      <c r="G106" s="12"/>
      <c r="H106" s="9">
        <f>NSR_Datapoints!B26</f>
        <v>275</v>
      </c>
      <c r="I106" s="70" t="s">
        <v>167</v>
      </c>
    </row>
    <row r="107" spans="1:9" ht="15.6" customHeight="1" x14ac:dyDescent="0.25">
      <c r="A107" s="71"/>
      <c r="B107" s="17" t="s">
        <v>114</v>
      </c>
      <c r="C107" s="9">
        <f>IF(House!E74="","",House!E74)</f>
        <v>14.3</v>
      </c>
      <c r="D107" s="9">
        <f>IF(House!F74="","",House!F74)</f>
        <v>30.7</v>
      </c>
      <c r="E107" s="9">
        <f>IF(House!G74="","",House!G74)</f>
        <v>63.7</v>
      </c>
      <c r="F107" s="9">
        <f>IF(House!H74="","",House!H74)</f>
        <v>119.1</v>
      </c>
      <c r="G107" s="12"/>
      <c r="H107" s="12"/>
      <c r="I107" s="71"/>
    </row>
    <row r="108" spans="1:9" ht="15.6" customHeight="1" x14ac:dyDescent="0.25">
      <c r="A108" s="72"/>
      <c r="B108" s="18" t="s">
        <v>115</v>
      </c>
      <c r="C108" s="19" t="str">
        <f t="shared" ref="C108:H108" si="24">IF(OR(C106="",C107=""),"",IFERROR(C107/C106-1,""))</f>
        <v/>
      </c>
      <c r="D108" s="19" t="str">
        <f t="shared" si="24"/>
        <v/>
      </c>
      <c r="E108" s="19" t="str">
        <f t="shared" si="24"/>
        <v/>
      </c>
      <c r="F108" s="19" t="str">
        <f t="shared" si="24"/>
        <v/>
      </c>
      <c r="G108" s="19" t="str">
        <f t="shared" si="24"/>
        <v/>
      </c>
      <c r="H108" s="19" t="str">
        <f t="shared" si="24"/>
        <v/>
      </c>
      <c r="I108" s="72"/>
    </row>
    <row r="109" spans="1:9" ht="5.0999999999999996" customHeight="1" x14ac:dyDescent="0.25"/>
    <row r="110" spans="1:9" ht="15.6" customHeight="1" x14ac:dyDescent="0.25">
      <c r="A110" s="73" t="s">
        <v>168</v>
      </c>
      <c r="B110" s="17" t="s">
        <v>112</v>
      </c>
      <c r="C110" s="12"/>
      <c r="D110" s="9">
        <f>NSR_Datapoints!B30</f>
        <v>42.5</v>
      </c>
      <c r="E110" s="9">
        <f>NSR_Datapoints!B30</f>
        <v>42.5</v>
      </c>
      <c r="F110" s="9">
        <f>NSR_Datapoints!B30</f>
        <v>42.5</v>
      </c>
      <c r="G110" s="12"/>
      <c r="H110" s="12"/>
      <c r="I110" s="70" t="s">
        <v>169</v>
      </c>
    </row>
    <row r="111" spans="1:9" ht="15.6" customHeight="1" x14ac:dyDescent="0.25">
      <c r="A111" s="71"/>
      <c r="B111" s="17" t="s">
        <v>114</v>
      </c>
      <c r="C111" s="9">
        <f>IF(House!E79="","",House!E79)</f>
        <v>30.5</v>
      </c>
      <c r="D111" s="9">
        <f>IF(House!F79="","",House!F79)</f>
        <v>34</v>
      </c>
      <c r="E111" s="9">
        <f>IF(House!G79="","",House!G79)</f>
        <v>38</v>
      </c>
      <c r="F111" s="9">
        <f>IF(House!H79="","",House!H79)</f>
        <v>41.9</v>
      </c>
      <c r="G111" s="12"/>
      <c r="H111" s="12"/>
      <c r="I111" s="71"/>
    </row>
    <row r="112" spans="1:9" ht="15.6" customHeight="1" x14ac:dyDescent="0.25">
      <c r="A112" s="72"/>
      <c r="B112" s="18" t="s">
        <v>115</v>
      </c>
      <c r="C112" s="19" t="str">
        <f t="shared" ref="C112:H112" si="25">IF(OR(C110="",C111=""),"",IFERROR(C111/C110-1,""))</f>
        <v/>
      </c>
      <c r="D112" s="19">
        <f t="shared" si="25"/>
        <v>-0.19999999999999996</v>
      </c>
      <c r="E112" s="19">
        <f t="shared" si="25"/>
        <v>-0.10588235294117643</v>
      </c>
      <c r="F112" s="19">
        <f t="shared" si="25"/>
        <v>-1.4117647058823568E-2</v>
      </c>
      <c r="G112" s="19" t="str">
        <f t="shared" si="25"/>
        <v/>
      </c>
      <c r="H112" s="19" t="str">
        <f t="shared" si="25"/>
        <v/>
      </c>
      <c r="I112" s="72"/>
    </row>
    <row r="113" spans="1:9" ht="5.0999999999999996" customHeight="1" x14ac:dyDescent="0.25"/>
    <row r="114" spans="1:9" ht="17.649999999999999" customHeight="1" x14ac:dyDescent="0.25">
      <c r="A114" s="73" t="s">
        <v>170</v>
      </c>
      <c r="B114" s="17" t="s">
        <v>112</v>
      </c>
      <c r="C114" s="12"/>
      <c r="D114" s="12"/>
      <c r="E114" s="12"/>
      <c r="F114" s="9">
        <f>NSR_Datapoints!B29</f>
        <v>13</v>
      </c>
      <c r="G114" s="12"/>
      <c r="H114" s="9">
        <f>NSR_Datapoints!B29</f>
        <v>13</v>
      </c>
      <c r="I114" s="70" t="s">
        <v>171</v>
      </c>
    </row>
    <row r="115" spans="1:9" ht="17.649999999999999" customHeight="1" x14ac:dyDescent="0.25">
      <c r="A115" s="71"/>
      <c r="B115" s="17" t="s">
        <v>114</v>
      </c>
      <c r="C115" s="12"/>
      <c r="D115" s="9">
        <f>IF(House!F81="","",House!F81)</f>
        <v>13.586666666666666</v>
      </c>
      <c r="E115" s="9">
        <f>IF(House!G81="","",House!G81)</f>
        <v>14.506355932203389</v>
      </c>
      <c r="F115" s="9">
        <f>IF(House!H81="","",House!H81)</f>
        <v>12.943107221006564</v>
      </c>
      <c r="G115" s="12"/>
      <c r="H115" s="12"/>
      <c r="I115" s="71"/>
    </row>
    <row r="116" spans="1:9" ht="17.649999999999999" customHeight="1" x14ac:dyDescent="0.25">
      <c r="A116" s="72"/>
      <c r="B116" s="18" t="s">
        <v>115</v>
      </c>
      <c r="C116" s="19" t="str">
        <f t="shared" ref="C116:H116" si="26">IF(OR(C114="",C115=""),"",IFERROR(C115/C114-1,""))</f>
        <v/>
      </c>
      <c r="D116" s="19" t="str">
        <f t="shared" si="26"/>
        <v/>
      </c>
      <c r="E116" s="19" t="str">
        <f t="shared" si="26"/>
        <v/>
      </c>
      <c r="F116" s="19">
        <f t="shared" si="26"/>
        <v>-4.3763676148796948E-3</v>
      </c>
      <c r="G116" s="19" t="str">
        <f t="shared" si="26"/>
        <v/>
      </c>
      <c r="H116" s="19" t="str">
        <f t="shared" si="26"/>
        <v/>
      </c>
      <c r="I116" s="72"/>
    </row>
    <row r="117" spans="1:9" ht="5.0999999999999996" customHeight="1" x14ac:dyDescent="0.25"/>
    <row r="118" spans="1:9" ht="18" customHeight="1" x14ac:dyDescent="0.25">
      <c r="A118" s="15" t="s">
        <v>172</v>
      </c>
      <c r="B118" s="16"/>
      <c r="C118" s="16"/>
      <c r="D118" s="16"/>
      <c r="E118" s="16"/>
      <c r="F118" s="16"/>
      <c r="G118" s="16"/>
      <c r="H118" s="16"/>
      <c r="I118" s="16"/>
    </row>
    <row r="119" spans="1:9" ht="15.6" customHeight="1" x14ac:dyDescent="0.25">
      <c r="A119" s="73" t="s">
        <v>173</v>
      </c>
      <c r="B119" s="17" t="s">
        <v>112</v>
      </c>
      <c r="C119" s="9">
        <f>IF(NSR_HyperPL!C31="","",NSR_HyperPL!C31)</f>
        <v>580</v>
      </c>
      <c r="D119" s="9">
        <f>IF(NSR_HyperPL!D31="","",NSR_HyperPL!D31)</f>
        <v>774</v>
      </c>
      <c r="E119" s="9">
        <f>IF(NSR_HyperPL!E31="","",NSR_HyperPL!E31)</f>
        <v>1074</v>
      </c>
      <c r="F119" s="9">
        <f>IF(NSR_HyperPL!F31="","",NSR_HyperPL!F31)</f>
        <v>1489</v>
      </c>
      <c r="G119" s="9">
        <f>IF(NSR_HyperPL!G31="","",NSR_HyperPL!G31)</f>
        <v>2019</v>
      </c>
      <c r="H119" s="9">
        <f>IF(NSR_HyperPL!H31="","",NSR_HyperPL!H31)</f>
        <v>2650</v>
      </c>
      <c r="I119" s="70" t="s">
        <v>174</v>
      </c>
    </row>
    <row r="120" spans="1:9" ht="15.6" customHeight="1" x14ac:dyDescent="0.25">
      <c r="A120" s="71"/>
      <c r="B120" s="17" t="s">
        <v>114</v>
      </c>
      <c r="C120" s="9">
        <f>IF(House!E90="","",House!E90)</f>
        <v>514.79999999999995</v>
      </c>
      <c r="D120" s="9">
        <f>IF(House!F90="","",House!F90)</f>
        <v>687.6</v>
      </c>
      <c r="E120" s="9">
        <f>IF(House!G90="","",House!G90)</f>
        <v>923.3</v>
      </c>
      <c r="F120" s="9">
        <f>IF(House!H90="","",House!H90)</f>
        <v>1201.9000000000001</v>
      </c>
      <c r="G120" s="12"/>
      <c r="H120" s="12"/>
      <c r="I120" s="71"/>
    </row>
    <row r="121" spans="1:9" ht="15.6" customHeight="1" x14ac:dyDescent="0.25">
      <c r="A121" s="72"/>
      <c r="B121" s="18" t="s">
        <v>115</v>
      </c>
      <c r="C121" s="19">
        <f t="shared" ref="C121:H121" si="27">IF(OR(C119="",C120=""),"",IFERROR(C120/C119-1,""))</f>
        <v>-0.11241379310344835</v>
      </c>
      <c r="D121" s="19">
        <f t="shared" si="27"/>
        <v>-0.11162790697674418</v>
      </c>
      <c r="E121" s="19">
        <f t="shared" si="27"/>
        <v>-0.14031657355679705</v>
      </c>
      <c r="F121" s="19">
        <f t="shared" si="27"/>
        <v>-0.19281396910678306</v>
      </c>
      <c r="G121" s="19" t="str">
        <f t="shared" si="27"/>
        <v/>
      </c>
      <c r="H121" s="19" t="str">
        <f t="shared" si="27"/>
        <v/>
      </c>
      <c r="I121" s="72"/>
    </row>
    <row r="122" spans="1:9" ht="5.0999999999999996" customHeight="1" x14ac:dyDescent="0.25"/>
    <row r="123" spans="1:9" ht="15.6" customHeight="1" x14ac:dyDescent="0.25">
      <c r="A123" s="73" t="s">
        <v>175</v>
      </c>
      <c r="B123" s="17" t="s">
        <v>112</v>
      </c>
      <c r="C123" s="9">
        <f>IF(NSR_HyperPL!C33="","",NSR_HyperPL!C33)</f>
        <v>415</v>
      </c>
      <c r="D123" s="9">
        <f>IF(NSR_HyperPL!D33="","",NSR_HyperPL!D33)</f>
        <v>795</v>
      </c>
      <c r="E123" s="9">
        <f>IF(NSR_HyperPL!E33="","",NSR_HyperPL!E33)</f>
        <v>1384</v>
      </c>
      <c r="F123" s="9">
        <f>IF(NSR_HyperPL!F33="","",NSR_HyperPL!F33)</f>
        <v>1975</v>
      </c>
      <c r="G123" s="9">
        <f>IF(NSR_HyperPL!G33="","",NSR_HyperPL!G33)</f>
        <v>2181</v>
      </c>
      <c r="H123" s="9">
        <f>IF(NSR_HyperPL!H33="","",NSR_HyperPL!H33)</f>
        <v>2387</v>
      </c>
      <c r="I123" s="70" t="s">
        <v>176</v>
      </c>
    </row>
    <row r="124" spans="1:9" ht="15.6" customHeight="1" x14ac:dyDescent="0.25">
      <c r="A124" s="71"/>
      <c r="B124" s="17" t="s">
        <v>114</v>
      </c>
      <c r="C124" s="9">
        <f>IF(House!E91="","",House!E91)</f>
        <v>409.7</v>
      </c>
      <c r="D124" s="9">
        <f>IF(House!F91="","",House!F91)</f>
        <v>749.9</v>
      </c>
      <c r="E124" s="9">
        <f>IF(House!G91="","",House!G91)</f>
        <v>1163</v>
      </c>
      <c r="F124" s="9">
        <f>IF(House!H91="","",House!H91)</f>
        <v>1463.3</v>
      </c>
      <c r="G124" s="12"/>
      <c r="H124" s="12"/>
      <c r="I124" s="71"/>
    </row>
    <row r="125" spans="1:9" ht="15.6" customHeight="1" x14ac:dyDescent="0.25">
      <c r="A125" s="72"/>
      <c r="B125" s="18" t="s">
        <v>115</v>
      </c>
      <c r="C125" s="19">
        <f t="shared" ref="C125:H125" si="28">IF(OR(C123="",C124=""),"",IFERROR(C124/C123-1,""))</f>
        <v>-1.2771084337349414E-2</v>
      </c>
      <c r="D125" s="19">
        <f t="shared" si="28"/>
        <v>-5.6729559748427749E-2</v>
      </c>
      <c r="E125" s="19">
        <f t="shared" si="28"/>
        <v>-0.15968208092485547</v>
      </c>
      <c r="F125" s="19">
        <f t="shared" si="28"/>
        <v>-0.25908860759493668</v>
      </c>
      <c r="G125" s="19" t="str">
        <f t="shared" si="28"/>
        <v/>
      </c>
      <c r="H125" s="19" t="str">
        <f t="shared" si="28"/>
        <v/>
      </c>
      <c r="I125" s="72"/>
    </row>
    <row r="126" spans="1:9" ht="5.0999999999999996" customHeight="1" x14ac:dyDescent="0.25"/>
    <row r="127" spans="1:9" ht="17.649999999999999" customHeight="1" x14ac:dyDescent="0.25">
      <c r="A127" s="73" t="s">
        <v>177</v>
      </c>
      <c r="B127" s="17" t="s">
        <v>112</v>
      </c>
      <c r="C127" s="9">
        <f>IF(NSR_HyperPL!C36="","",NSR_HyperPL!C36)</f>
        <v>165</v>
      </c>
      <c r="D127" s="9">
        <f>IF(NSR_HyperPL!D36="","",NSR_HyperPL!D36)</f>
        <v>-21</v>
      </c>
      <c r="E127" s="9">
        <f>IF(NSR_HyperPL!E36="","",NSR_HyperPL!E36)</f>
        <v>-310</v>
      </c>
      <c r="F127" s="9">
        <f>IF(NSR_HyperPL!F36="","",NSR_HyperPL!F36)</f>
        <v>-486</v>
      </c>
      <c r="G127" s="9">
        <f>IF(NSR_HyperPL!G36="","",NSR_HyperPL!G36)</f>
        <v>-162</v>
      </c>
      <c r="H127" s="9">
        <f>IF(NSR_HyperPL!H36="","",NSR_HyperPL!H36)</f>
        <v>263</v>
      </c>
      <c r="I127" s="70" t="s">
        <v>178</v>
      </c>
    </row>
    <row r="128" spans="1:9" ht="17.649999999999999" customHeight="1" x14ac:dyDescent="0.25">
      <c r="A128" s="71"/>
      <c r="B128" s="17" t="s">
        <v>114</v>
      </c>
      <c r="C128" s="9">
        <f>IF(House!E92="","",House!E92)</f>
        <v>105.09999999999997</v>
      </c>
      <c r="D128" s="9">
        <f>IF(House!F92="","",House!F92)</f>
        <v>-62.299999999999955</v>
      </c>
      <c r="E128" s="9">
        <f>IF(House!G92="","",House!G92)</f>
        <v>-239.70000000000005</v>
      </c>
      <c r="F128" s="9">
        <f>IF(House!H92="","",House!H92)</f>
        <v>-261.39999999999986</v>
      </c>
      <c r="G128" s="12"/>
      <c r="H128" s="12"/>
      <c r="I128" s="71"/>
    </row>
    <row r="129" spans="1:9" ht="17.649999999999999" customHeight="1" x14ac:dyDescent="0.25">
      <c r="A129" s="72"/>
      <c r="B129" s="18" t="s">
        <v>115</v>
      </c>
      <c r="C129" s="19">
        <f t="shared" ref="C129:H129" si="29">IF(OR(C127="",C128=""),"",IFERROR(C128/C127-1,""))</f>
        <v>-0.36303030303030326</v>
      </c>
      <c r="D129" s="19">
        <f t="shared" si="29"/>
        <v>1.9666666666666646</v>
      </c>
      <c r="E129" s="19">
        <f t="shared" si="29"/>
        <v>-0.2267741935483869</v>
      </c>
      <c r="F129" s="19">
        <f t="shared" si="29"/>
        <v>-0.46213991769547358</v>
      </c>
      <c r="G129" s="19" t="str">
        <f t="shared" si="29"/>
        <v/>
      </c>
      <c r="H129" s="19" t="str">
        <f t="shared" si="29"/>
        <v/>
      </c>
      <c r="I129" s="72"/>
    </row>
    <row r="130" spans="1:9" ht="5.0999999999999996" customHeight="1" x14ac:dyDescent="0.25"/>
    <row r="131" spans="1:9" ht="15.6" customHeight="1" x14ac:dyDescent="0.25">
      <c r="A131" s="73" t="s">
        <v>179</v>
      </c>
      <c r="B131" s="17" t="s">
        <v>112</v>
      </c>
      <c r="C131" s="20">
        <f>IFERROR(NSR_HyperPL!C33/NSR_HyperPL!C31,"")</f>
        <v>0.71551724137931039</v>
      </c>
      <c r="D131" s="20">
        <f>IFERROR(NSR_HyperPL!D33/NSR_HyperPL!D31,"")</f>
        <v>1.0271317829457365</v>
      </c>
      <c r="E131" s="20">
        <f>IFERROR(NSR_HyperPL!E33/NSR_HyperPL!E31,"")</f>
        <v>1.2886405959031657</v>
      </c>
      <c r="F131" s="20">
        <f>IFERROR(NSR_HyperPL!F33/NSR_HyperPL!F31,"")</f>
        <v>1.3263935527199462</v>
      </c>
      <c r="G131" s="20">
        <f>IFERROR(NSR_HyperPL!G33/NSR_HyperPL!G31,"")</f>
        <v>1.0802377414561664</v>
      </c>
      <c r="H131" s="20">
        <f>IFERROR(NSR_HyperPL!H33/NSR_HyperPL!H31,"")</f>
        <v>0.90075471698113208</v>
      </c>
      <c r="I131" s="70" t="s">
        <v>180</v>
      </c>
    </row>
    <row r="132" spans="1:9" ht="15.6" customHeight="1" x14ac:dyDescent="0.25">
      <c r="A132" s="71"/>
      <c r="B132" s="17" t="s">
        <v>114</v>
      </c>
      <c r="C132" s="20">
        <f>IF(House!E93="","",House!E93)</f>
        <v>0.79584304584304588</v>
      </c>
      <c r="D132" s="20">
        <f>IF(House!F93="","",House!F93)</f>
        <v>1.0906050029086678</v>
      </c>
      <c r="E132" s="20">
        <f>IF(House!G93="","",House!G93)</f>
        <v>1.2596122603704105</v>
      </c>
      <c r="F132" s="20">
        <f>IF(House!H93="","",House!H93)</f>
        <v>1.2174889757883349</v>
      </c>
      <c r="G132" s="12"/>
      <c r="H132" s="12"/>
      <c r="I132" s="71"/>
    </row>
    <row r="133" spans="1:9" ht="15.6" customHeight="1" x14ac:dyDescent="0.25">
      <c r="A133" s="72"/>
      <c r="B133" s="18" t="s">
        <v>115</v>
      </c>
      <c r="C133" s="19">
        <f t="shared" ref="C133:H133" si="30">IF(OR(C131="",C132=""),"",IFERROR(C132/C131-1,""))</f>
        <v>0.11226257009389529</v>
      </c>
      <c r="D133" s="19">
        <f t="shared" si="30"/>
        <v>6.1796568869570967E-2</v>
      </c>
      <c r="E133" s="19">
        <f t="shared" si="30"/>
        <v>-2.2526323961112094E-2</v>
      </c>
      <c r="F133" s="19">
        <f t="shared" si="30"/>
        <v>-8.2105779772743914E-2</v>
      </c>
      <c r="G133" s="19" t="str">
        <f t="shared" si="30"/>
        <v/>
      </c>
      <c r="H133" s="19" t="str">
        <f t="shared" si="30"/>
        <v/>
      </c>
      <c r="I133" s="72"/>
    </row>
    <row r="134" spans="1:9" ht="5.0999999999999996" customHeight="1" x14ac:dyDescent="0.25"/>
    <row r="135" spans="1:9" ht="18" customHeight="1" x14ac:dyDescent="0.25">
      <c r="A135" s="15" t="s">
        <v>181</v>
      </c>
      <c r="B135" s="16"/>
      <c r="C135" s="16"/>
      <c r="D135" s="16"/>
      <c r="E135" s="16"/>
      <c r="F135" s="16"/>
      <c r="G135" s="16"/>
      <c r="H135" s="16"/>
      <c r="I135" s="16"/>
    </row>
    <row r="136" spans="1:9" ht="15.6" customHeight="1" x14ac:dyDescent="0.25">
      <c r="A136" s="73" t="s">
        <v>182</v>
      </c>
      <c r="B136" s="17" t="s">
        <v>112</v>
      </c>
      <c r="C136" s="9">
        <f>IF(NSR_HyperPL!C11="","",NSR_HyperPL!C11)</f>
        <v>55</v>
      </c>
      <c r="D136" s="9">
        <f>IF(NSR_HyperPL!D11="","",NSR_HyperPL!D11)</f>
        <v>163</v>
      </c>
      <c r="E136" s="9">
        <f>IF(NSR_HyperPL!E11="","",NSR_HyperPL!E11)</f>
        <v>356</v>
      </c>
      <c r="F136" s="9">
        <f>IF(NSR_HyperPL!F11="","",NSR_HyperPL!F11)</f>
        <v>651</v>
      </c>
      <c r="G136" s="9">
        <f>IF(NSR_HyperPL!G11="","",NSR_HyperPL!G11)</f>
        <v>1046</v>
      </c>
      <c r="H136" s="9">
        <f>IF(NSR_HyperPL!H11="","",NSR_HyperPL!H11)</f>
        <v>1511</v>
      </c>
      <c r="I136" s="70" t="s">
        <v>183</v>
      </c>
    </row>
    <row r="137" spans="1:9" ht="15.6" customHeight="1" x14ac:dyDescent="0.25">
      <c r="A137" s="71"/>
      <c r="B137" s="17" t="s">
        <v>114</v>
      </c>
      <c r="C137" s="9">
        <f>IF(House!E104="","",House!E104)</f>
        <v>49.9</v>
      </c>
      <c r="D137" s="9">
        <f>IF(House!F104="","",House!F104)</f>
        <v>146.9</v>
      </c>
      <c r="E137" s="9">
        <f>IF(House!G104="","",House!G104)</f>
        <v>332.4</v>
      </c>
      <c r="F137" s="9">
        <f>IF(House!H104="","",House!H104)</f>
        <v>627.1</v>
      </c>
      <c r="G137" s="9">
        <f>IF(House!I104="","",House!I104)</f>
        <v>914</v>
      </c>
      <c r="H137" s="9">
        <f>IF(House!J104="","",House!J104)</f>
        <v>1492</v>
      </c>
      <c r="I137" s="71"/>
    </row>
    <row r="138" spans="1:9" ht="15.6" customHeight="1" x14ac:dyDescent="0.25">
      <c r="A138" s="72"/>
      <c r="B138" s="18" t="s">
        <v>115</v>
      </c>
      <c r="C138" s="19">
        <f t="shared" ref="C138:H138" si="31">IF(OR(C136="",C137=""),"",IFERROR(C137/C136-1,""))</f>
        <v>-9.2727272727272769E-2</v>
      </c>
      <c r="D138" s="19">
        <f t="shared" si="31"/>
        <v>-9.877300613496931E-2</v>
      </c>
      <c r="E138" s="19">
        <f t="shared" si="31"/>
        <v>-6.6292134831460792E-2</v>
      </c>
      <c r="F138" s="19">
        <f t="shared" si="31"/>
        <v>-3.6712749615975371E-2</v>
      </c>
      <c r="G138" s="19">
        <f t="shared" si="31"/>
        <v>-0.12619502868068833</v>
      </c>
      <c r="H138" s="19">
        <f t="shared" si="31"/>
        <v>-1.2574454003970836E-2</v>
      </c>
      <c r="I138" s="72"/>
    </row>
    <row r="139" spans="1:9" ht="5.0999999999999996" customHeight="1" x14ac:dyDescent="0.25"/>
    <row r="140" spans="1:9" ht="15.6" customHeight="1" x14ac:dyDescent="0.25">
      <c r="A140" s="73" t="s">
        <v>184</v>
      </c>
      <c r="B140" s="17" t="s">
        <v>112</v>
      </c>
      <c r="C140" s="9">
        <f>IF(NSR_HyperPL!C13="","",NSR_HyperPL!C13)</f>
        <v>279</v>
      </c>
      <c r="D140" s="9">
        <f>IF(NSR_HyperPL!D13="","",NSR_HyperPL!D13)</f>
        <v>416</v>
      </c>
      <c r="E140" s="9">
        <f>IF(NSR_HyperPL!E13="","",NSR_HyperPL!E13)</f>
        <v>634</v>
      </c>
      <c r="F140" s="9">
        <f>IF(NSR_HyperPL!F13="","",NSR_HyperPL!F13)</f>
        <v>957</v>
      </c>
      <c r="G140" s="9">
        <f>IF(NSR_HyperPL!G13="","",NSR_HyperPL!G13)</f>
        <v>1382</v>
      </c>
      <c r="H140" s="9">
        <f>IF(NSR_HyperPL!H13="","",NSR_HyperPL!H13)</f>
        <v>1881</v>
      </c>
      <c r="I140" s="70" t="s">
        <v>185</v>
      </c>
    </row>
    <row r="141" spans="1:9" ht="15.6" customHeight="1" x14ac:dyDescent="0.25">
      <c r="A141" s="71"/>
      <c r="B141" s="17" t="s">
        <v>114</v>
      </c>
      <c r="C141" s="9">
        <f>IF(House!E102="","",House!E102)</f>
        <v>283.10000000000002</v>
      </c>
      <c r="D141" s="9">
        <f>IF(House!F102="","",House!F102)</f>
        <v>432.2</v>
      </c>
      <c r="E141" s="9">
        <f>IF(House!G102="","",House!G102)</f>
        <v>684.7</v>
      </c>
      <c r="F141" s="9">
        <f>IF(House!H102="","",House!H102)</f>
        <v>1055.3</v>
      </c>
      <c r="G141" s="9">
        <f>IF(House!I102="","",House!I102)</f>
        <v>1435</v>
      </c>
      <c r="H141" s="9">
        <f>IF(House!J102="","",House!J102)</f>
        <v>2121.9</v>
      </c>
      <c r="I141" s="71"/>
    </row>
    <row r="142" spans="1:9" ht="15.6" customHeight="1" x14ac:dyDescent="0.25">
      <c r="A142" s="72"/>
      <c r="B142" s="18" t="s">
        <v>115</v>
      </c>
      <c r="C142" s="19">
        <f t="shared" ref="C142:H142" si="32">IF(OR(C140="",C141=""),"",IFERROR(C141/C140-1,""))</f>
        <v>1.469534050179222E-2</v>
      </c>
      <c r="D142" s="19">
        <f t="shared" si="32"/>
        <v>3.8942307692307665E-2</v>
      </c>
      <c r="E142" s="19">
        <f t="shared" si="32"/>
        <v>7.9968454258675159E-2</v>
      </c>
      <c r="F142" s="19">
        <f t="shared" si="32"/>
        <v>0.10271682340647859</v>
      </c>
      <c r="G142" s="19">
        <f t="shared" si="32"/>
        <v>3.8350217076700499E-2</v>
      </c>
      <c r="H142" s="19">
        <f t="shared" si="32"/>
        <v>0.12807017543859645</v>
      </c>
      <c r="I142" s="72"/>
    </row>
    <row r="143" spans="1:9" ht="5.0999999999999996" customHeight="1" x14ac:dyDescent="0.25"/>
    <row r="144" spans="1:9" ht="15.6" customHeight="1" x14ac:dyDescent="0.25">
      <c r="A144" s="73" t="s">
        <v>186</v>
      </c>
      <c r="B144" s="17" t="s">
        <v>112</v>
      </c>
      <c r="C144" s="9">
        <f>IF(NSR_HyperPL!C12="","",NSR_HyperPL!C12)</f>
        <v>224</v>
      </c>
      <c r="D144" s="9">
        <f>IF(NSR_HyperPL!D12="","",NSR_HyperPL!D12)</f>
        <v>253</v>
      </c>
      <c r="E144" s="9">
        <f>IF(NSR_HyperPL!E12="","",NSR_HyperPL!E12)</f>
        <v>278</v>
      </c>
      <c r="F144" s="9">
        <f>IF(NSR_HyperPL!F12="","",NSR_HyperPL!F12)</f>
        <v>306</v>
      </c>
      <c r="G144" s="9">
        <f>IF(NSR_HyperPL!G12="","",NSR_HyperPL!G12)</f>
        <v>336</v>
      </c>
      <c r="H144" s="9">
        <f>IF(NSR_HyperPL!H12="","",NSR_HyperPL!H12)</f>
        <v>370</v>
      </c>
      <c r="I144" s="70" t="s">
        <v>187</v>
      </c>
    </row>
    <row r="145" spans="1:9" ht="15.6" customHeight="1" x14ac:dyDescent="0.25">
      <c r="A145" s="71"/>
      <c r="B145" s="17" t="s">
        <v>114</v>
      </c>
      <c r="C145" s="9">
        <f>IF(House!E103="","",House!E103)</f>
        <v>233.2</v>
      </c>
      <c r="D145" s="9">
        <f>IF(House!F103="","",House!F103)</f>
        <v>285.3</v>
      </c>
      <c r="E145" s="9">
        <f>IF(House!G103="","",House!G103)</f>
        <v>352.3</v>
      </c>
      <c r="F145" s="9">
        <f>IF(House!H103="","",House!H103)</f>
        <v>428.1</v>
      </c>
      <c r="G145" s="9">
        <f>IF(House!I103="","",House!I103)</f>
        <v>521</v>
      </c>
      <c r="H145" s="9">
        <f>IF(House!J103="","",House!J103)</f>
        <v>629.9</v>
      </c>
      <c r="I145" s="71"/>
    </row>
    <row r="146" spans="1:9" ht="15.6" customHeight="1" x14ac:dyDescent="0.25">
      <c r="A146" s="72"/>
      <c r="B146" s="18" t="s">
        <v>115</v>
      </c>
      <c r="C146" s="19">
        <f t="shared" ref="C146:H146" si="33">IF(OR(C144="",C145=""),"",IFERROR(C145/C144-1,""))</f>
        <v>4.1071428571428426E-2</v>
      </c>
      <c r="D146" s="19">
        <f t="shared" si="33"/>
        <v>0.12766798418972347</v>
      </c>
      <c r="E146" s="19">
        <f t="shared" si="33"/>
        <v>0.26726618705035965</v>
      </c>
      <c r="F146" s="19">
        <f t="shared" si="33"/>
        <v>0.39901960784313739</v>
      </c>
      <c r="G146" s="19">
        <f t="shared" si="33"/>
        <v>0.55059523809523814</v>
      </c>
      <c r="H146" s="19">
        <f t="shared" si="33"/>
        <v>0.70243243243243247</v>
      </c>
      <c r="I146" s="72"/>
    </row>
    <row r="147" spans="1:9" ht="5.0999999999999996" customHeight="1" x14ac:dyDescent="0.25"/>
    <row r="148" spans="1:9" ht="15.6" customHeight="1" x14ac:dyDescent="0.25">
      <c r="A148" s="73" t="s">
        <v>188</v>
      </c>
      <c r="B148" s="17" t="s">
        <v>112</v>
      </c>
      <c r="C148" s="13">
        <f>IFERROR(NSR_HyperPL!C11/NSR_HyperPL!C13,"")</f>
        <v>0.1971326164874552</v>
      </c>
      <c r="D148" s="13">
        <f>IFERROR(NSR_HyperPL!D11/NSR_HyperPL!D13,"")</f>
        <v>0.39182692307692307</v>
      </c>
      <c r="E148" s="13">
        <f>IFERROR(NSR_HyperPL!E11/NSR_HyperPL!E13,"")</f>
        <v>0.56151419558359617</v>
      </c>
      <c r="F148" s="13">
        <f>IFERROR(NSR_HyperPL!F11/NSR_HyperPL!F13,"")</f>
        <v>0.68025078369905956</v>
      </c>
      <c r="G148" s="13">
        <f>IFERROR(NSR_HyperPL!G11/NSR_HyperPL!G13,"")</f>
        <v>0.75687409551374818</v>
      </c>
      <c r="H148" s="13">
        <f>IFERROR(NSR_HyperPL!H11/NSR_HyperPL!H13,"")</f>
        <v>0.80329611908559273</v>
      </c>
      <c r="I148" s="70" t="s">
        <v>189</v>
      </c>
    </row>
    <row r="149" spans="1:9" ht="15.6" customHeight="1" x14ac:dyDescent="0.25">
      <c r="A149" s="71"/>
      <c r="B149" s="17" t="s">
        <v>114</v>
      </c>
      <c r="C149" s="13">
        <f>IF(House!E109="","",House!E109)</f>
        <v>0.17626280466266336</v>
      </c>
      <c r="D149" s="13">
        <f>IF(House!F109="","",House!F109)</f>
        <v>0.33988894030541417</v>
      </c>
      <c r="E149" s="13">
        <f>IF(House!G109="","",House!G109)</f>
        <v>0.48546808821381621</v>
      </c>
      <c r="F149" s="13">
        <f>IF(House!H109="","",House!H109)</f>
        <v>0.59423860513598037</v>
      </c>
      <c r="G149" s="13">
        <f>IF(House!I109="","",House!I109)</f>
        <v>0.63693379790940763</v>
      </c>
      <c r="H149" s="13">
        <f>IF(House!J109="","",House!J109)</f>
        <v>0.70314340920872798</v>
      </c>
      <c r="I149" s="71"/>
    </row>
    <row r="150" spans="1:9" ht="15.6" customHeight="1" x14ac:dyDescent="0.25">
      <c r="A150" s="72"/>
      <c r="B150" s="18" t="s">
        <v>115</v>
      </c>
      <c r="C150" s="19">
        <f t="shared" ref="C150:H150" si="34">IF(OR(C148="",C149=""),"",IFERROR(C149/C148-1,""))</f>
        <v>-0.10586686362030762</v>
      </c>
      <c r="D150" s="19">
        <f t="shared" si="34"/>
        <v>-0.13255337934323741</v>
      </c>
      <c r="E150" s="19">
        <f t="shared" si="34"/>
        <v>-0.13543042716977671</v>
      </c>
      <c r="F150" s="19">
        <f t="shared" si="34"/>
        <v>-0.12644186618259101</v>
      </c>
      <c r="G150" s="19">
        <f t="shared" si="34"/>
        <v>-0.15846796490363158</v>
      </c>
      <c r="H150" s="19">
        <f t="shared" si="34"/>
        <v>-0.1246771987282479</v>
      </c>
      <c r="I150" s="72"/>
    </row>
    <row r="151" spans="1:9" ht="5.0999999999999996" customHeight="1" x14ac:dyDescent="0.25"/>
    <row r="152" spans="1:9" ht="18" customHeight="1" x14ac:dyDescent="0.25">
      <c r="A152" s="15" t="s">
        <v>190</v>
      </c>
      <c r="B152" s="16"/>
      <c r="C152" s="16"/>
      <c r="D152" s="16"/>
      <c r="E152" s="16"/>
      <c r="F152" s="16"/>
      <c r="G152" s="16"/>
      <c r="H152" s="16"/>
      <c r="I152" s="16"/>
    </row>
    <row r="153" spans="1:9" ht="25.7" customHeight="1" x14ac:dyDescent="0.25">
      <c r="A153" s="73" t="s">
        <v>191</v>
      </c>
      <c r="B153" s="17" t="s">
        <v>112</v>
      </c>
      <c r="C153" s="12"/>
      <c r="D153" s="12"/>
      <c r="E153" s="12"/>
      <c r="F153" s="12"/>
      <c r="G153" s="12"/>
      <c r="H153" s="9">
        <f>NSR_Funding!B20</f>
        <v>3.7</v>
      </c>
      <c r="I153" s="70" t="s">
        <v>192</v>
      </c>
    </row>
    <row r="154" spans="1:9" ht="25.7" customHeight="1" x14ac:dyDescent="0.25">
      <c r="A154" s="71"/>
      <c r="B154" s="17" t="s">
        <v>114</v>
      </c>
      <c r="C154" s="12"/>
      <c r="D154" s="12"/>
      <c r="E154" s="12"/>
      <c r="F154" s="9">
        <f>-House!H95/1000</f>
        <v>0.5633999999999999</v>
      </c>
      <c r="G154" s="12"/>
      <c r="H154" s="12"/>
      <c r="I154" s="71"/>
    </row>
    <row r="155" spans="1:9" ht="25.7" customHeight="1" x14ac:dyDescent="0.25">
      <c r="A155" s="72"/>
      <c r="B155" s="18" t="s">
        <v>115</v>
      </c>
      <c r="C155" s="19" t="str">
        <f t="shared" ref="C155:H155" si="35">IF(OR(C153="",C154=""),"",IFERROR(C154/C153-1,""))</f>
        <v/>
      </c>
      <c r="D155" s="19" t="str">
        <f t="shared" si="35"/>
        <v/>
      </c>
      <c r="E155" s="19" t="str">
        <f t="shared" si="35"/>
        <v/>
      </c>
      <c r="F155" s="19" t="str">
        <f t="shared" si="35"/>
        <v/>
      </c>
      <c r="G155" s="19" t="str">
        <f t="shared" si="35"/>
        <v/>
      </c>
      <c r="H155" s="19" t="str">
        <f t="shared" si="35"/>
        <v/>
      </c>
      <c r="I155" s="72"/>
    </row>
    <row r="156" spans="1:9" ht="5.0999999999999996" customHeight="1" x14ac:dyDescent="0.25"/>
    <row r="157" spans="1:9" ht="8.1" customHeight="1" x14ac:dyDescent="0.25"/>
    <row r="158" spans="1:9" ht="14.1" customHeight="1" x14ac:dyDescent="0.25">
      <c r="A158" s="67" t="s">
        <v>193</v>
      </c>
      <c r="B158" s="66"/>
      <c r="C158" s="66"/>
      <c r="D158" s="66"/>
      <c r="E158" s="66"/>
      <c r="F158" s="66"/>
      <c r="G158" s="66"/>
      <c r="H158" s="66"/>
      <c r="I158" s="66"/>
    </row>
  </sheetData>
  <mergeCells count="74">
    <mergeCell ref="A153:A155"/>
    <mergeCell ref="A69:A71"/>
    <mergeCell ref="I85:I87"/>
    <mergeCell ref="I136:I138"/>
    <mergeCell ref="A6:A8"/>
    <mergeCell ref="I32:I34"/>
    <mergeCell ref="I106:I108"/>
    <mergeCell ref="I144:I146"/>
    <mergeCell ref="I131:I133"/>
    <mergeCell ref="I56:I58"/>
    <mergeCell ref="A136:A138"/>
    <mergeCell ref="I52:I54"/>
    <mergeCell ref="I102:I104"/>
    <mergeCell ref="A89:A91"/>
    <mergeCell ref="I93:I95"/>
    <mergeCell ref="I64:I66"/>
    <mergeCell ref="A40:A42"/>
    <mergeCell ref="A98:A100"/>
    <mergeCell ref="I27:I29"/>
    <mergeCell ref="A36:A38"/>
    <mergeCell ref="I89:I91"/>
    <mergeCell ref="I36:I38"/>
    <mergeCell ref="A48:A50"/>
    <mergeCell ref="A73:A75"/>
    <mergeCell ref="I77:I79"/>
    <mergeCell ref="A60:A62"/>
    <mergeCell ref="A56:A58"/>
    <mergeCell ref="A27:A29"/>
    <mergeCell ref="I6:I8"/>
    <mergeCell ref="A44:A46"/>
    <mergeCell ref="A102:A104"/>
    <mergeCell ref="I119:I121"/>
    <mergeCell ref="A2:I2"/>
    <mergeCell ref="I44:I46"/>
    <mergeCell ref="I40:I42"/>
    <mergeCell ref="I69:I71"/>
    <mergeCell ref="A52:A54"/>
    <mergeCell ref="A10:A12"/>
    <mergeCell ref="I10:I12"/>
    <mergeCell ref="A19:A21"/>
    <mergeCell ref="A77:A79"/>
    <mergeCell ref="A64:A66"/>
    <mergeCell ref="I81:I83"/>
    <mergeCell ref="A114:A116"/>
    <mergeCell ref="A158:I158"/>
    <mergeCell ref="I14:I16"/>
    <mergeCell ref="A23:A25"/>
    <mergeCell ref="A32:A34"/>
    <mergeCell ref="A14:A16"/>
    <mergeCell ref="I23:I25"/>
    <mergeCell ref="I60:I62"/>
    <mergeCell ref="I19:I21"/>
    <mergeCell ref="A81:A83"/>
    <mergeCell ref="A93:A95"/>
    <mergeCell ref="I98:I100"/>
    <mergeCell ref="A106:A108"/>
    <mergeCell ref="I110:I112"/>
    <mergeCell ref="A140:A142"/>
    <mergeCell ref="I153:I155"/>
    <mergeCell ref="A123:A125"/>
    <mergeCell ref="I127:I129"/>
    <mergeCell ref="I48:I50"/>
    <mergeCell ref="A144:A146"/>
    <mergeCell ref="I114:I116"/>
    <mergeCell ref="I148:I150"/>
    <mergeCell ref="I73:I75"/>
    <mergeCell ref="A85:A87"/>
    <mergeCell ref="A127:A129"/>
    <mergeCell ref="I140:I142"/>
    <mergeCell ref="A110:A112"/>
    <mergeCell ref="A148:A150"/>
    <mergeCell ref="A119:A121"/>
    <mergeCell ref="I123:I125"/>
    <mergeCell ref="A131:A133"/>
  </mergeCells>
  <pageMargins left="0.4" right="0.4" top="0.5" bottom="0.5" header="0.5" footer="0.5"/>
  <pageSetup paperSize="9" scale="66" fitToHeight="0" orientation="landscape" r:id="rId1"/>
  <headerFooter>
    <oddFooter>&amp;C&amp;8NSR (18-Sep-2026) vs Capstone — &amp;A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61"/>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50" customWidth="1"/>
    <col min="2" max="2" width="9" customWidth="1"/>
    <col min="3" max="8" width="11" customWidth="1"/>
    <col min="9" max="9" width="10" customWidth="1"/>
    <col min="10" max="10" width="72" customWidth="1"/>
  </cols>
  <sheetData>
    <row r="1" spans="1:10" ht="24" customHeight="1" x14ac:dyDescent="0.25">
      <c r="A1" s="1" t="s">
        <v>194</v>
      </c>
    </row>
    <row r="2" spans="1:10" ht="39" customHeight="1" x14ac:dyDescent="0.25">
      <c r="A2" s="67" t="s">
        <v>195</v>
      </c>
      <c r="B2" s="66"/>
      <c r="C2" s="66"/>
      <c r="D2" s="66"/>
      <c r="E2" s="66"/>
      <c r="F2" s="66"/>
      <c r="G2" s="66"/>
      <c r="H2" s="66"/>
      <c r="I2" s="66"/>
      <c r="J2" s="66"/>
    </row>
    <row r="3" spans="1:10" ht="8.1" customHeight="1" x14ac:dyDescent="0.25"/>
    <row r="4" spans="1:10" ht="30" customHeight="1" x14ac:dyDescent="0.25">
      <c r="A4" s="5" t="s">
        <v>196</v>
      </c>
      <c r="B4" s="5" t="s">
        <v>19</v>
      </c>
      <c r="C4" s="6" t="s">
        <v>103</v>
      </c>
      <c r="D4" s="6" t="s">
        <v>104</v>
      </c>
      <c r="E4" s="6" t="s">
        <v>105</v>
      </c>
      <c r="F4" s="6" t="s">
        <v>106</v>
      </c>
      <c r="G4" s="6" t="s">
        <v>107</v>
      </c>
      <c r="H4" s="6" t="s">
        <v>108</v>
      </c>
      <c r="I4" s="5" t="s">
        <v>197</v>
      </c>
      <c r="J4" s="5" t="s">
        <v>198</v>
      </c>
    </row>
    <row r="5" spans="1:10" x14ac:dyDescent="0.25">
      <c r="A5" s="15" t="s">
        <v>199</v>
      </c>
      <c r="B5" s="16"/>
      <c r="C5" s="16"/>
      <c r="D5" s="16"/>
      <c r="E5" s="16"/>
      <c r="F5" s="16"/>
      <c r="G5" s="16"/>
      <c r="H5" s="16"/>
      <c r="I5" s="16"/>
      <c r="J5" s="16"/>
    </row>
    <row r="6" spans="1:10" x14ac:dyDescent="0.25">
      <c r="A6" s="21" t="s">
        <v>200</v>
      </c>
      <c r="B6" s="22" t="s">
        <v>28</v>
      </c>
      <c r="C6" s="23">
        <f>IF(NSR_Capex!C5="","",NSR_Capex!C5)</f>
        <v>205</v>
      </c>
      <c r="D6" s="23">
        <f>IF(NSR_Capex!D5="","",NSR_Capex!D5)</f>
        <v>408</v>
      </c>
      <c r="E6" s="23">
        <f>IF(NSR_Capex!E5="","",NSR_Capex!E5)</f>
        <v>782</v>
      </c>
      <c r="F6" s="23">
        <f>IF(NSR_Capex!F5="","",NSR_Capex!F5)</f>
        <v>1252</v>
      </c>
      <c r="G6" s="23">
        <f>IF(NSR_Capex!G5="","",NSR_Capex!G5)</f>
        <v>1517</v>
      </c>
      <c r="H6" s="23">
        <f>IF(NSR_Capex!H5="","",NSR_Capex!H5)</f>
        <v>1702</v>
      </c>
      <c r="I6" s="24" t="s">
        <v>201</v>
      </c>
      <c r="J6" s="25" t="s">
        <v>202</v>
      </c>
    </row>
    <row r="7" spans="1:10" ht="48" x14ac:dyDescent="0.25">
      <c r="A7" s="21" t="s">
        <v>203</v>
      </c>
      <c r="B7" s="22" t="s">
        <v>28</v>
      </c>
      <c r="C7" s="23">
        <f>IF(House!E7="","",House!E7)</f>
        <v>190.2</v>
      </c>
      <c r="D7" s="23">
        <f>IF(House!F7="","",House!F7)</f>
        <v>399.9</v>
      </c>
      <c r="E7" s="23">
        <f>IF(House!G7="","",House!G7)</f>
        <v>767</v>
      </c>
      <c r="F7" s="23">
        <f>IF(House!H7="","",House!H7)</f>
        <v>1157.4000000000001</v>
      </c>
      <c r="G7" s="23">
        <f>IF(House!I31="","",House!I31)</f>
        <v>1240.5999999999999</v>
      </c>
      <c r="H7" s="23">
        <f>IF(House!J31="","",House!J31)</f>
        <v>1414.2</v>
      </c>
      <c r="I7" s="24" t="s">
        <v>201</v>
      </c>
      <c r="J7" s="25" t="s">
        <v>204</v>
      </c>
    </row>
    <row r="9" spans="1:10" x14ac:dyDescent="0.25">
      <c r="A9" s="15" t="s">
        <v>205</v>
      </c>
      <c r="B9" s="16"/>
      <c r="C9" s="16"/>
      <c r="D9" s="16"/>
      <c r="E9" s="16"/>
      <c r="F9" s="16"/>
      <c r="G9" s="16"/>
      <c r="H9" s="16"/>
      <c r="I9" s="16"/>
      <c r="J9" s="16"/>
    </row>
    <row r="10" spans="1:10" ht="36" x14ac:dyDescent="0.25">
      <c r="A10" s="14" t="s">
        <v>206</v>
      </c>
      <c r="B10" s="8" t="s">
        <v>28</v>
      </c>
      <c r="C10" s="26">
        <v>158.80000000000001</v>
      </c>
      <c r="D10" s="26">
        <v>311.8</v>
      </c>
      <c r="E10" s="26">
        <v>578.6</v>
      </c>
      <c r="F10" s="26">
        <v>784</v>
      </c>
      <c r="G10" s="26">
        <v>795.3</v>
      </c>
      <c r="H10" s="26">
        <v>900</v>
      </c>
      <c r="I10" s="27" t="s">
        <v>207</v>
      </c>
      <c r="J10" s="11" t="s">
        <v>208</v>
      </c>
    </row>
    <row r="11" spans="1:10" ht="25.5" x14ac:dyDescent="0.25">
      <c r="A11" s="14" t="s">
        <v>209</v>
      </c>
      <c r="B11" s="8" t="s">
        <v>28</v>
      </c>
      <c r="C11" s="26">
        <v>20.100000000000001</v>
      </c>
      <c r="D11" s="26">
        <v>60.4</v>
      </c>
      <c r="E11" s="26">
        <v>125.5</v>
      </c>
      <c r="F11" s="26">
        <v>284.60000000000002</v>
      </c>
      <c r="G11" s="26">
        <v>340.3</v>
      </c>
      <c r="H11" s="26">
        <v>394.2</v>
      </c>
      <c r="I11" s="27" t="s">
        <v>207</v>
      </c>
      <c r="J11" s="11" t="s">
        <v>210</v>
      </c>
    </row>
    <row r="12" spans="1:10" x14ac:dyDescent="0.25">
      <c r="A12" s="14" t="s">
        <v>211</v>
      </c>
      <c r="B12" s="8" t="s">
        <v>28</v>
      </c>
      <c r="C12" s="26">
        <v>8</v>
      </c>
      <c r="D12" s="26">
        <v>20.7</v>
      </c>
      <c r="E12" s="26">
        <v>38.4</v>
      </c>
      <c r="F12" s="26">
        <v>51.8</v>
      </c>
      <c r="G12" s="26">
        <v>60.7</v>
      </c>
      <c r="H12" s="26">
        <v>68.7</v>
      </c>
      <c r="I12" s="27" t="s">
        <v>207</v>
      </c>
      <c r="J12" s="11" t="s">
        <v>212</v>
      </c>
    </row>
    <row r="13" spans="1:10" x14ac:dyDescent="0.25">
      <c r="A13" s="14" t="s">
        <v>213</v>
      </c>
      <c r="B13" s="8" t="s">
        <v>28</v>
      </c>
      <c r="C13" s="26">
        <v>2.9</v>
      </c>
      <c r="D13" s="26">
        <v>6.9</v>
      </c>
      <c r="E13" s="26">
        <v>9.3000000000000007</v>
      </c>
      <c r="F13" s="26">
        <v>13.3</v>
      </c>
      <c r="G13" s="26">
        <v>15.9</v>
      </c>
      <c r="H13" s="26">
        <v>18.399999999999999</v>
      </c>
      <c r="I13" s="27" t="s">
        <v>207</v>
      </c>
      <c r="J13" s="11" t="s">
        <v>212</v>
      </c>
    </row>
    <row r="14" spans="1:10" x14ac:dyDescent="0.25">
      <c r="A14" s="14" t="s">
        <v>214</v>
      </c>
      <c r="B14" s="8" t="s">
        <v>28</v>
      </c>
      <c r="C14" s="26">
        <v>0</v>
      </c>
      <c r="D14" s="26">
        <v>0.2</v>
      </c>
      <c r="E14" s="26">
        <v>12.3</v>
      </c>
      <c r="F14" s="26">
        <v>20.3</v>
      </c>
      <c r="G14" s="26">
        <v>24.2</v>
      </c>
      <c r="H14" s="26">
        <v>28.1</v>
      </c>
      <c r="I14" s="27" t="s">
        <v>207</v>
      </c>
      <c r="J14" s="11" t="s">
        <v>212</v>
      </c>
    </row>
    <row r="15" spans="1:10" ht="24" x14ac:dyDescent="0.25">
      <c r="A15" s="14" t="s">
        <v>215</v>
      </c>
      <c r="B15" s="8" t="s">
        <v>28</v>
      </c>
      <c r="C15" s="26">
        <v>0.4</v>
      </c>
      <c r="D15" s="26">
        <v>0</v>
      </c>
      <c r="E15" s="26">
        <v>3</v>
      </c>
      <c r="F15" s="26">
        <v>3.5</v>
      </c>
      <c r="G15" s="26">
        <v>4.2</v>
      </c>
      <c r="H15" s="26">
        <v>4.9000000000000004</v>
      </c>
      <c r="I15" s="27" t="s">
        <v>207</v>
      </c>
      <c r="J15" s="11" t="s">
        <v>216</v>
      </c>
    </row>
    <row r="16" spans="1:10" x14ac:dyDescent="0.25">
      <c r="A16" s="21" t="s">
        <v>217</v>
      </c>
      <c r="B16" s="22" t="s">
        <v>28</v>
      </c>
      <c r="C16" s="28">
        <f t="shared" ref="C16:H16" si="0">SUM(C10:C15)</f>
        <v>190.20000000000002</v>
      </c>
      <c r="D16" s="28">
        <f t="shared" si="0"/>
        <v>399.99999999999994</v>
      </c>
      <c r="E16" s="28">
        <f t="shared" si="0"/>
        <v>767.09999999999991</v>
      </c>
      <c r="F16" s="28">
        <f t="shared" si="0"/>
        <v>1157.4999999999998</v>
      </c>
      <c r="G16" s="28">
        <f t="shared" si="0"/>
        <v>1240.6000000000001</v>
      </c>
      <c r="H16" s="28">
        <f t="shared" si="0"/>
        <v>1414.3000000000002</v>
      </c>
      <c r="I16" s="24" t="s">
        <v>218</v>
      </c>
      <c r="J16" s="25"/>
    </row>
    <row r="17" spans="1:10" x14ac:dyDescent="0.25">
      <c r="A17" s="11" t="s">
        <v>219</v>
      </c>
      <c r="B17" s="8" t="s">
        <v>28</v>
      </c>
      <c r="C17" s="29">
        <f t="shared" ref="C17:H17" si="1">IF(C7="","",C16-C7)</f>
        <v>2.8421709430404007E-14</v>
      </c>
      <c r="D17" s="29">
        <f t="shared" si="1"/>
        <v>9.9999999999965894E-2</v>
      </c>
      <c r="E17" s="29">
        <f t="shared" si="1"/>
        <v>9.9999999999909051E-2</v>
      </c>
      <c r="F17" s="29">
        <f t="shared" si="1"/>
        <v>9.9999999999681677E-2</v>
      </c>
      <c r="G17" s="29">
        <f t="shared" si="1"/>
        <v>2.2737367544323206E-13</v>
      </c>
      <c r="H17" s="29">
        <f t="shared" si="1"/>
        <v>0.10000000000013642</v>
      </c>
      <c r="I17" s="30" t="s">
        <v>218</v>
      </c>
      <c r="J17" s="11" t="s">
        <v>220</v>
      </c>
    </row>
    <row r="19" spans="1:10" x14ac:dyDescent="0.25">
      <c r="A19" s="15" t="s">
        <v>221</v>
      </c>
      <c r="B19" s="16"/>
      <c r="C19" s="16"/>
      <c r="D19" s="16"/>
      <c r="E19" s="16"/>
      <c r="F19" s="16"/>
      <c r="G19" s="16"/>
      <c r="H19" s="16"/>
      <c r="I19" s="16"/>
      <c r="J19" s="16"/>
    </row>
    <row r="20" spans="1:10" x14ac:dyDescent="0.25">
      <c r="A20" s="14" t="s">
        <v>222</v>
      </c>
      <c r="B20" s="8" t="s">
        <v>223</v>
      </c>
      <c r="C20" s="31">
        <f t="shared" ref="C20:H20" si="2">IF(OR(C10="",C16=""),"",IFERROR(C10/C16,""))</f>
        <v>0.83491062039957942</v>
      </c>
      <c r="D20" s="31">
        <f t="shared" si="2"/>
        <v>0.77950000000000019</v>
      </c>
      <c r="E20" s="31">
        <f t="shared" si="2"/>
        <v>0.75426932603311181</v>
      </c>
      <c r="F20" s="31">
        <f t="shared" si="2"/>
        <v>0.67732181425485971</v>
      </c>
      <c r="G20" s="31">
        <f t="shared" si="2"/>
        <v>0.64106077704336606</v>
      </c>
      <c r="H20" s="31">
        <f t="shared" si="2"/>
        <v>0.63635720851304522</v>
      </c>
      <c r="I20" s="27" t="s">
        <v>207</v>
      </c>
      <c r="J20" s="11" t="s">
        <v>224</v>
      </c>
    </row>
    <row r="21" spans="1:10" x14ac:dyDescent="0.25">
      <c r="A21" s="14" t="s">
        <v>225</v>
      </c>
      <c r="B21" s="8" t="s">
        <v>223</v>
      </c>
      <c r="C21" s="31">
        <f t="shared" ref="C21:H21" si="3">IF(OR(C11="",C16=""),"",IFERROR(C11/C16,""))</f>
        <v>0.1056782334384858</v>
      </c>
      <c r="D21" s="31">
        <f t="shared" si="3"/>
        <v>0.15100000000000002</v>
      </c>
      <c r="E21" s="31">
        <f t="shared" si="3"/>
        <v>0.16360318081084607</v>
      </c>
      <c r="F21" s="31">
        <f t="shared" si="3"/>
        <v>0.24587473002159835</v>
      </c>
      <c r="G21" s="31">
        <f t="shared" si="3"/>
        <v>0.27430275673061422</v>
      </c>
      <c r="H21" s="31">
        <f t="shared" si="3"/>
        <v>0.27872445732871381</v>
      </c>
      <c r="I21" s="27" t="s">
        <v>207</v>
      </c>
      <c r="J21" s="11" t="s">
        <v>224</v>
      </c>
    </row>
    <row r="22" spans="1:10" x14ac:dyDescent="0.25">
      <c r="A22" s="14" t="s">
        <v>226</v>
      </c>
      <c r="B22" s="8" t="s">
        <v>223</v>
      </c>
      <c r="C22" s="31">
        <f t="shared" ref="C22:H22" si="4">IF(OR(C12="",C16=""),"",IFERROR(C12/C16,""))</f>
        <v>4.2060988433228176E-2</v>
      </c>
      <c r="D22" s="31">
        <f t="shared" si="4"/>
        <v>5.1750000000000004E-2</v>
      </c>
      <c r="E22" s="31">
        <f t="shared" si="4"/>
        <v>5.0058662495111463E-2</v>
      </c>
      <c r="F22" s="31">
        <f t="shared" si="4"/>
        <v>4.4751619870410375E-2</v>
      </c>
      <c r="G22" s="31">
        <f t="shared" si="4"/>
        <v>4.8927938094470415E-2</v>
      </c>
      <c r="H22" s="31">
        <f t="shared" si="4"/>
        <v>4.8575266916495788E-2</v>
      </c>
      <c r="I22" s="27" t="s">
        <v>207</v>
      </c>
      <c r="J22" s="11" t="s">
        <v>224</v>
      </c>
    </row>
    <row r="23" spans="1:10" x14ac:dyDescent="0.25">
      <c r="A23" s="14" t="s">
        <v>227</v>
      </c>
      <c r="B23" s="8" t="s">
        <v>223</v>
      </c>
      <c r="C23" s="31">
        <f t="shared" ref="C23:H23" si="5">IF(OR(C13="",C16=""),"",IFERROR(C13/C16,""))</f>
        <v>1.5247108307045214E-2</v>
      </c>
      <c r="D23" s="31">
        <f t="shared" si="5"/>
        <v>1.7250000000000005E-2</v>
      </c>
      <c r="E23" s="31">
        <f t="shared" si="5"/>
        <v>1.2123582323034808E-2</v>
      </c>
      <c r="F23" s="31">
        <f t="shared" si="5"/>
        <v>1.14902807775378E-2</v>
      </c>
      <c r="G23" s="31">
        <f t="shared" si="5"/>
        <v>1.2816379171368691E-2</v>
      </c>
      <c r="H23" s="31">
        <f t="shared" si="5"/>
        <v>1.3009969596266702E-2</v>
      </c>
      <c r="I23" s="27" t="s">
        <v>207</v>
      </c>
      <c r="J23" s="11" t="s">
        <v>224</v>
      </c>
    </row>
    <row r="24" spans="1:10" x14ac:dyDescent="0.25">
      <c r="A24" s="14" t="s">
        <v>228</v>
      </c>
      <c r="B24" s="8" t="s">
        <v>223</v>
      </c>
      <c r="C24" s="31">
        <f t="shared" ref="C24:H24" si="6">IF(OR(C14="",C16=""),"",IFERROR(C14/C16,""))</f>
        <v>0</v>
      </c>
      <c r="D24" s="31">
        <f t="shared" si="6"/>
        <v>5.0000000000000012E-4</v>
      </c>
      <c r="E24" s="31">
        <f t="shared" si="6"/>
        <v>1.6034415330465391E-2</v>
      </c>
      <c r="F24" s="31">
        <f t="shared" si="6"/>
        <v>1.7537796976241905E-2</v>
      </c>
      <c r="G24" s="31">
        <f t="shared" si="6"/>
        <v>1.9506690311139767E-2</v>
      </c>
      <c r="H24" s="31">
        <f t="shared" si="6"/>
        <v>1.9868486176907302E-2</v>
      </c>
      <c r="I24" s="27" t="s">
        <v>207</v>
      </c>
      <c r="J24" s="11" t="s">
        <v>224</v>
      </c>
    </row>
    <row r="25" spans="1:10" x14ac:dyDescent="0.25">
      <c r="A25" s="14" t="s">
        <v>229</v>
      </c>
      <c r="B25" s="8" t="s">
        <v>223</v>
      </c>
      <c r="C25" s="31">
        <f t="shared" ref="C25:H25" si="7">IF(OR(C15="",C16=""),"",IFERROR(C15/C16,""))</f>
        <v>2.103049421661409E-3</v>
      </c>
      <c r="D25" s="31">
        <f t="shared" si="7"/>
        <v>0</v>
      </c>
      <c r="E25" s="31">
        <f t="shared" si="7"/>
        <v>3.9108330074305829E-3</v>
      </c>
      <c r="F25" s="31">
        <f t="shared" si="7"/>
        <v>3.0237580993520523E-3</v>
      </c>
      <c r="G25" s="31">
        <f t="shared" si="7"/>
        <v>3.3854586490407864E-3</v>
      </c>
      <c r="H25" s="31">
        <f t="shared" si="7"/>
        <v>3.4646114685710242E-3</v>
      </c>
      <c r="I25" s="27" t="s">
        <v>207</v>
      </c>
      <c r="J25" s="11" t="s">
        <v>224</v>
      </c>
    </row>
    <row r="26" spans="1:10" ht="25.5" x14ac:dyDescent="0.25">
      <c r="A26" s="21" t="s">
        <v>230</v>
      </c>
      <c r="B26" s="22" t="s">
        <v>223</v>
      </c>
      <c r="C26" s="32">
        <f t="shared" ref="C26:H26" si="8">IF(C20="","",1-C20-C22)</f>
        <v>0.12302839116719241</v>
      </c>
      <c r="D26" s="32">
        <f t="shared" si="8"/>
        <v>0.16874999999999979</v>
      </c>
      <c r="E26" s="32">
        <f t="shared" si="8"/>
        <v>0.19567201147177674</v>
      </c>
      <c r="F26" s="32">
        <f t="shared" si="8"/>
        <v>0.27792656587472991</v>
      </c>
      <c r="G26" s="32">
        <f t="shared" si="8"/>
        <v>0.31001128486216351</v>
      </c>
      <c r="H26" s="32">
        <f t="shared" si="8"/>
        <v>0.315067524570459</v>
      </c>
      <c r="I26" s="24" t="s">
        <v>218</v>
      </c>
      <c r="J26" s="25" t="s">
        <v>231</v>
      </c>
    </row>
    <row r="28" spans="1:10" x14ac:dyDescent="0.25">
      <c r="A28" s="15" t="s">
        <v>232</v>
      </c>
      <c r="B28" s="16"/>
      <c r="C28" s="16"/>
      <c r="D28" s="16"/>
      <c r="E28" s="16"/>
      <c r="F28" s="16"/>
      <c r="G28" s="16"/>
      <c r="H28" s="16"/>
      <c r="I28" s="16"/>
      <c r="J28" s="16"/>
    </row>
    <row r="29" spans="1:10" ht="24" x14ac:dyDescent="0.25">
      <c r="A29" s="14" t="s">
        <v>233</v>
      </c>
      <c r="B29" s="8" t="s">
        <v>223</v>
      </c>
      <c r="C29" s="12"/>
      <c r="D29" s="12"/>
      <c r="E29" s="12"/>
      <c r="F29" s="12"/>
      <c r="G29" s="12"/>
      <c r="H29" s="33">
        <v>0.6</v>
      </c>
      <c r="I29" s="34" t="s">
        <v>234</v>
      </c>
      <c r="J29" s="11" t="s">
        <v>235</v>
      </c>
    </row>
    <row r="30" spans="1:10" ht="24" x14ac:dyDescent="0.25">
      <c r="A30" s="14" t="s">
        <v>236</v>
      </c>
      <c r="B30" s="8" t="s">
        <v>223</v>
      </c>
      <c r="C30" s="12"/>
      <c r="D30" s="12"/>
      <c r="E30" s="12"/>
      <c r="F30" s="12"/>
      <c r="G30" s="12"/>
      <c r="H30" s="33">
        <v>0.68</v>
      </c>
      <c r="I30" s="34" t="s">
        <v>234</v>
      </c>
      <c r="J30" s="11" t="s">
        <v>237</v>
      </c>
    </row>
    <row r="31" spans="1:10" x14ac:dyDescent="0.25">
      <c r="A31" s="14" t="s">
        <v>238</v>
      </c>
      <c r="B31" s="8" t="s">
        <v>223</v>
      </c>
      <c r="C31" s="12"/>
      <c r="D31" s="12"/>
      <c r="E31" s="12"/>
      <c r="F31" s="12"/>
      <c r="G31" s="12"/>
      <c r="H31" s="33">
        <v>0.16</v>
      </c>
      <c r="I31" s="34" t="s">
        <v>234</v>
      </c>
      <c r="J31" s="11" t="s">
        <v>239</v>
      </c>
    </row>
    <row r="32" spans="1:10" x14ac:dyDescent="0.25">
      <c r="A32" s="14" t="s">
        <v>240</v>
      </c>
      <c r="B32" s="8" t="s">
        <v>223</v>
      </c>
      <c r="C32" s="12"/>
      <c r="D32" s="12"/>
      <c r="E32" s="12"/>
      <c r="F32" s="12"/>
      <c r="G32" s="12"/>
      <c r="H32" s="33">
        <v>7.0000000000000007E-2</v>
      </c>
      <c r="I32" s="34" t="s">
        <v>234</v>
      </c>
      <c r="J32" s="11" t="s">
        <v>241</v>
      </c>
    </row>
    <row r="33" spans="1:10" ht="36" x14ac:dyDescent="0.25">
      <c r="A33" s="14" t="s">
        <v>242</v>
      </c>
      <c r="B33" s="8" t="s">
        <v>223</v>
      </c>
      <c r="C33" s="12"/>
      <c r="D33" s="33">
        <v>0.42</v>
      </c>
      <c r="E33" s="33">
        <v>0.53</v>
      </c>
      <c r="F33" s="12"/>
      <c r="G33" s="12"/>
      <c r="H33" s="12"/>
      <c r="I33" s="34" t="s">
        <v>234</v>
      </c>
      <c r="J33" s="11" t="s">
        <v>243</v>
      </c>
    </row>
    <row r="35" spans="1:10" x14ac:dyDescent="0.25">
      <c r="A35" s="15" t="s">
        <v>244</v>
      </c>
      <c r="B35" s="16"/>
      <c r="C35" s="16"/>
      <c r="D35" s="16"/>
      <c r="E35" s="16"/>
      <c r="F35" s="16"/>
      <c r="G35" s="16"/>
      <c r="H35" s="16"/>
      <c r="I35" s="16"/>
      <c r="J35" s="16"/>
    </row>
    <row r="36" spans="1:10" x14ac:dyDescent="0.25">
      <c r="A36" s="21" t="s">
        <v>245</v>
      </c>
      <c r="B36" s="22" t="s">
        <v>28</v>
      </c>
      <c r="C36" s="28">
        <f t="shared" ref="C36:H36" si="9">IF(OR(C6="",C20=""),"",C6*C20)</f>
        <v>171.15667718191378</v>
      </c>
      <c r="D36" s="28">
        <f t="shared" si="9"/>
        <v>318.03600000000006</v>
      </c>
      <c r="E36" s="28">
        <f t="shared" si="9"/>
        <v>589.83861295789347</v>
      </c>
      <c r="F36" s="28">
        <f t="shared" si="9"/>
        <v>848.00691144708435</v>
      </c>
      <c r="G36" s="28">
        <f t="shared" si="9"/>
        <v>972.48919877478636</v>
      </c>
      <c r="H36" s="28">
        <f t="shared" si="9"/>
        <v>1083.079968889203</v>
      </c>
      <c r="I36" s="24" t="s">
        <v>218</v>
      </c>
      <c r="J36" s="25" t="s">
        <v>246</v>
      </c>
    </row>
    <row r="37" spans="1:10" x14ac:dyDescent="0.25">
      <c r="A37" s="14" t="s">
        <v>247</v>
      </c>
      <c r="B37" s="8" t="s">
        <v>28</v>
      </c>
      <c r="C37" s="35">
        <f t="shared" ref="C37:H37" si="10">IF(OR(C6="",C21=""),"",C6*C21)</f>
        <v>21.664037854889589</v>
      </c>
      <c r="D37" s="35">
        <f t="shared" si="10"/>
        <v>61.608000000000011</v>
      </c>
      <c r="E37" s="35">
        <f t="shared" si="10"/>
        <v>127.93768739408162</v>
      </c>
      <c r="F37" s="35">
        <f t="shared" si="10"/>
        <v>307.83516198704115</v>
      </c>
      <c r="G37" s="35">
        <f t="shared" si="10"/>
        <v>416.11728196034176</v>
      </c>
      <c r="H37" s="35">
        <f t="shared" si="10"/>
        <v>474.38902637347093</v>
      </c>
      <c r="I37" s="30" t="s">
        <v>218</v>
      </c>
      <c r="J37" s="11" t="s">
        <v>246</v>
      </c>
    </row>
    <row r="38" spans="1:10" x14ac:dyDescent="0.25">
      <c r="A38" s="14" t="s">
        <v>248</v>
      </c>
      <c r="B38" s="8" t="s">
        <v>28</v>
      </c>
      <c r="C38" s="35">
        <f t="shared" ref="C38:H38" si="11">IF(OR(C6="",C22=""),"",C6*C22)</f>
        <v>8.6225026288117768</v>
      </c>
      <c r="D38" s="35">
        <f t="shared" si="11"/>
        <v>21.114000000000001</v>
      </c>
      <c r="E38" s="35">
        <f t="shared" si="11"/>
        <v>39.145874071177161</v>
      </c>
      <c r="F38" s="35">
        <f t="shared" si="11"/>
        <v>56.029028077753793</v>
      </c>
      <c r="G38" s="35">
        <f t="shared" si="11"/>
        <v>74.223682089311623</v>
      </c>
      <c r="H38" s="35">
        <f t="shared" si="11"/>
        <v>82.675104291875826</v>
      </c>
      <c r="I38" s="30" t="s">
        <v>218</v>
      </c>
      <c r="J38" s="11" t="s">
        <v>246</v>
      </c>
    </row>
    <row r="39" spans="1:10" x14ac:dyDescent="0.25">
      <c r="A39" s="14" t="s">
        <v>249</v>
      </c>
      <c r="B39" s="8" t="s">
        <v>28</v>
      </c>
      <c r="C39" s="35">
        <f t="shared" ref="C39:H39" si="12">IF(OR(C6="",C23=""),"",C6*C23)</f>
        <v>3.1256572029442689</v>
      </c>
      <c r="D39" s="35">
        <f t="shared" si="12"/>
        <v>7.038000000000002</v>
      </c>
      <c r="E39" s="35">
        <f t="shared" si="12"/>
        <v>9.4806413766132192</v>
      </c>
      <c r="F39" s="35">
        <f t="shared" si="12"/>
        <v>14.385831533477326</v>
      </c>
      <c r="G39" s="35">
        <f t="shared" si="12"/>
        <v>19.442447202966303</v>
      </c>
      <c r="H39" s="35">
        <f t="shared" si="12"/>
        <v>22.142968252845929</v>
      </c>
      <c r="I39" s="30" t="s">
        <v>218</v>
      </c>
      <c r="J39" s="11" t="s">
        <v>246</v>
      </c>
    </row>
    <row r="40" spans="1:10" x14ac:dyDescent="0.25">
      <c r="A40" s="14" t="s">
        <v>250</v>
      </c>
      <c r="B40" s="8" t="s">
        <v>28</v>
      </c>
      <c r="C40" s="35">
        <f t="shared" ref="C40:H40" si="13">IF(OR(C6="",C24=""),"",C6*C24)</f>
        <v>0</v>
      </c>
      <c r="D40" s="35">
        <f t="shared" si="13"/>
        <v>0.20400000000000004</v>
      </c>
      <c r="E40" s="35">
        <f t="shared" si="13"/>
        <v>12.538912788423936</v>
      </c>
      <c r="F40" s="35">
        <f t="shared" si="13"/>
        <v>21.957321814254865</v>
      </c>
      <c r="G40" s="35">
        <f t="shared" si="13"/>
        <v>29.591649201999026</v>
      </c>
      <c r="H40" s="35">
        <f t="shared" si="13"/>
        <v>33.816163473096232</v>
      </c>
      <c r="I40" s="30" t="s">
        <v>218</v>
      </c>
      <c r="J40" s="11" t="s">
        <v>246</v>
      </c>
    </row>
    <row r="41" spans="1:10" x14ac:dyDescent="0.25">
      <c r="A41" s="14" t="s">
        <v>251</v>
      </c>
      <c r="B41" s="8" t="s">
        <v>28</v>
      </c>
      <c r="C41" s="35">
        <f t="shared" ref="C41:H41" si="14">IF(OR(C6="",C25=""),"",C6*C25)</f>
        <v>0.43112513144058884</v>
      </c>
      <c r="D41" s="35">
        <f t="shared" si="14"/>
        <v>0</v>
      </c>
      <c r="E41" s="35">
        <f t="shared" si="14"/>
        <v>3.0582714118107157</v>
      </c>
      <c r="F41" s="35">
        <f t="shared" si="14"/>
        <v>3.7857451403887694</v>
      </c>
      <c r="G41" s="35">
        <f t="shared" si="14"/>
        <v>5.1357407705948734</v>
      </c>
      <c r="H41" s="35">
        <f t="shared" si="14"/>
        <v>5.8967687195078833</v>
      </c>
      <c r="I41" s="30" t="s">
        <v>218</v>
      </c>
      <c r="J41" s="11" t="s">
        <v>246</v>
      </c>
    </row>
    <row r="42" spans="1:10" x14ac:dyDescent="0.25">
      <c r="A42" s="14" t="s">
        <v>252</v>
      </c>
      <c r="B42" s="8" t="s">
        <v>28</v>
      </c>
      <c r="C42" s="35" t="str">
        <f t="shared" ref="C42:H42" si="15">IF(OR(C6="",C29=""),"",C6*C29)</f>
        <v/>
      </c>
      <c r="D42" s="35" t="str">
        <f t="shared" si="15"/>
        <v/>
      </c>
      <c r="E42" s="35" t="str">
        <f t="shared" si="15"/>
        <v/>
      </c>
      <c r="F42" s="35" t="str">
        <f t="shared" si="15"/>
        <v/>
      </c>
      <c r="G42" s="35" t="str">
        <f t="shared" si="15"/>
        <v/>
      </c>
      <c r="H42" s="35">
        <f t="shared" si="15"/>
        <v>1021.1999999999999</v>
      </c>
      <c r="I42" s="30" t="s">
        <v>218</v>
      </c>
      <c r="J42" s="11" t="s">
        <v>253</v>
      </c>
    </row>
    <row r="43" spans="1:10" x14ac:dyDescent="0.25">
      <c r="A43" s="14" t="s">
        <v>254</v>
      </c>
      <c r="B43" s="8" t="s">
        <v>28</v>
      </c>
      <c r="C43" s="35" t="str">
        <f t="shared" ref="C43:H43" si="16">IF(OR(C6="",C30=""),"",C6*C30)</f>
        <v/>
      </c>
      <c r="D43" s="35" t="str">
        <f t="shared" si="16"/>
        <v/>
      </c>
      <c r="E43" s="35" t="str">
        <f t="shared" si="16"/>
        <v/>
      </c>
      <c r="F43" s="35" t="str">
        <f t="shared" si="16"/>
        <v/>
      </c>
      <c r="G43" s="35" t="str">
        <f t="shared" si="16"/>
        <v/>
      </c>
      <c r="H43" s="35">
        <f t="shared" si="16"/>
        <v>1157.3600000000001</v>
      </c>
      <c r="I43" s="30" t="s">
        <v>218</v>
      </c>
      <c r="J43" s="11"/>
    </row>
    <row r="44" spans="1:10" x14ac:dyDescent="0.25">
      <c r="A44" s="14" t="s">
        <v>255</v>
      </c>
      <c r="B44" s="8" t="s">
        <v>28</v>
      </c>
      <c r="C44" s="35" t="str">
        <f t="shared" ref="C44:H44" si="17">IF(OR(C6="",C31=""),"",C6*C31)</f>
        <v/>
      </c>
      <c r="D44" s="35" t="str">
        <f t="shared" si="17"/>
        <v/>
      </c>
      <c r="E44" s="35" t="str">
        <f t="shared" si="17"/>
        <v/>
      </c>
      <c r="F44" s="35" t="str">
        <f t="shared" si="17"/>
        <v/>
      </c>
      <c r="G44" s="35" t="str">
        <f t="shared" si="17"/>
        <v/>
      </c>
      <c r="H44" s="35">
        <f t="shared" si="17"/>
        <v>272.32</v>
      </c>
      <c r="I44" s="30" t="s">
        <v>218</v>
      </c>
      <c r="J44" s="11"/>
    </row>
    <row r="46" spans="1:10" x14ac:dyDescent="0.25">
      <c r="A46" s="15" t="s">
        <v>256</v>
      </c>
      <c r="B46" s="16"/>
      <c r="C46" s="16"/>
      <c r="D46" s="16"/>
      <c r="E46" s="16"/>
      <c r="F46" s="16"/>
      <c r="G46" s="16"/>
      <c r="H46" s="16"/>
      <c r="I46" s="16"/>
      <c r="J46" s="16"/>
    </row>
    <row r="47" spans="1:10" x14ac:dyDescent="0.25">
      <c r="A47" s="14" t="s">
        <v>257</v>
      </c>
      <c r="B47" s="8" t="s">
        <v>28</v>
      </c>
      <c r="C47" s="12"/>
      <c r="D47" s="26">
        <v>402.4</v>
      </c>
      <c r="E47" s="26">
        <v>701.2</v>
      </c>
      <c r="F47" s="12"/>
      <c r="G47" s="12"/>
      <c r="H47" s="12"/>
      <c r="I47" s="34" t="s">
        <v>234</v>
      </c>
      <c r="J47" s="11" t="s">
        <v>258</v>
      </c>
    </row>
    <row r="48" spans="1:10" ht="36" x14ac:dyDescent="0.25">
      <c r="A48" s="14" t="s">
        <v>259</v>
      </c>
      <c r="B48" s="8" t="s">
        <v>28</v>
      </c>
      <c r="C48" s="26">
        <v>162</v>
      </c>
      <c r="D48" s="26">
        <v>313</v>
      </c>
      <c r="E48" s="26">
        <v>518</v>
      </c>
      <c r="F48" s="12"/>
      <c r="G48" s="12"/>
      <c r="H48" s="12"/>
      <c r="I48" s="27" t="s">
        <v>207</v>
      </c>
      <c r="J48" s="11" t="s">
        <v>260</v>
      </c>
    </row>
    <row r="49" spans="1:10" x14ac:dyDescent="0.25">
      <c r="A49" s="14" t="s">
        <v>261</v>
      </c>
      <c r="B49" s="8" t="s">
        <v>262</v>
      </c>
      <c r="C49" s="36">
        <f t="shared" ref="C49:H49" si="18">IF(OR(C36="",C48=""),"",IFERROR(C36/C48,""))</f>
        <v>1.0565226986537888</v>
      </c>
      <c r="D49" s="36">
        <f t="shared" si="18"/>
        <v>1.0160894568690098</v>
      </c>
      <c r="E49" s="36">
        <f t="shared" si="18"/>
        <v>1.1386845809997943</v>
      </c>
      <c r="F49" s="36" t="str">
        <f t="shared" si="18"/>
        <v/>
      </c>
      <c r="G49" s="36" t="str">
        <f t="shared" si="18"/>
        <v/>
      </c>
      <c r="H49" s="36" t="str">
        <f t="shared" si="18"/>
        <v/>
      </c>
      <c r="I49" s="30" t="s">
        <v>218</v>
      </c>
      <c r="J49" s="11" t="s">
        <v>263</v>
      </c>
    </row>
    <row r="50" spans="1:10" x14ac:dyDescent="0.25">
      <c r="A50" s="14" t="s">
        <v>264</v>
      </c>
      <c r="B50" s="8"/>
      <c r="C50" s="37" t="str">
        <f t="shared" ref="C50:H50" si="19">IF(OR(C36="",C48=""),"",IF(ABS(C36/C48-1)&gt;0.25,"OFF &gt;25%","OK"))</f>
        <v>OK</v>
      </c>
      <c r="D50" s="37" t="str">
        <f t="shared" si="19"/>
        <v>OK</v>
      </c>
      <c r="E50" s="37" t="str">
        <f t="shared" si="19"/>
        <v>OK</v>
      </c>
      <c r="F50" s="37" t="str">
        <f t="shared" si="19"/>
        <v/>
      </c>
      <c r="G50" s="37" t="str">
        <f t="shared" si="19"/>
        <v/>
      </c>
      <c r="H50" s="37" t="str">
        <f t="shared" si="19"/>
        <v/>
      </c>
      <c r="I50" s="11"/>
      <c r="J50" s="11"/>
    </row>
    <row r="51" spans="1:10" ht="25.5" x14ac:dyDescent="0.25">
      <c r="A51" s="14" t="s">
        <v>265</v>
      </c>
      <c r="B51" s="8" t="s">
        <v>262</v>
      </c>
      <c r="C51" s="36" t="str">
        <f t="shared" ref="C51:H51" si="20">IF(OR(C36="",C47=""),"",IFERROR(C36/C47,""))</f>
        <v/>
      </c>
      <c r="D51" s="36">
        <f t="shared" si="20"/>
        <v>0.79034791252485104</v>
      </c>
      <c r="E51" s="36">
        <f t="shared" si="20"/>
        <v>0.8411845592668189</v>
      </c>
      <c r="F51" s="36" t="str">
        <f t="shared" si="20"/>
        <v/>
      </c>
      <c r="G51" s="36" t="str">
        <f t="shared" si="20"/>
        <v/>
      </c>
      <c r="H51" s="36" t="str">
        <f t="shared" si="20"/>
        <v/>
      </c>
      <c r="I51" s="30" t="s">
        <v>218</v>
      </c>
      <c r="J51" s="11" t="s">
        <v>266</v>
      </c>
    </row>
    <row r="52" spans="1:10" ht="25.5" x14ac:dyDescent="0.25">
      <c r="A52" s="14" t="s">
        <v>267</v>
      </c>
      <c r="B52" s="8" t="s">
        <v>28</v>
      </c>
      <c r="C52" s="12"/>
      <c r="D52" s="26">
        <v>58</v>
      </c>
      <c r="E52" s="26">
        <v>115</v>
      </c>
      <c r="F52" s="26">
        <v>230</v>
      </c>
      <c r="G52" s="12"/>
      <c r="H52" s="12"/>
      <c r="I52" s="34" t="s">
        <v>234</v>
      </c>
      <c r="J52" s="11" t="s">
        <v>268</v>
      </c>
    </row>
    <row r="53" spans="1:10" ht="36" x14ac:dyDescent="0.25">
      <c r="A53" s="14" t="s">
        <v>269</v>
      </c>
      <c r="B53" s="8" t="s">
        <v>262</v>
      </c>
      <c r="C53" s="36" t="str">
        <f t="shared" ref="C53:H53" si="21">IF(OR(C37="",C52=""),"",IFERROR(C37/C52,""))</f>
        <v/>
      </c>
      <c r="D53" s="36">
        <f t="shared" si="21"/>
        <v>1.0622068965517244</v>
      </c>
      <c r="E53" s="36">
        <f t="shared" si="21"/>
        <v>1.1125016295137533</v>
      </c>
      <c r="F53" s="36">
        <f t="shared" si="21"/>
        <v>1.3384137477697442</v>
      </c>
      <c r="G53" s="36" t="str">
        <f t="shared" si="21"/>
        <v/>
      </c>
      <c r="H53" s="36" t="str">
        <f t="shared" si="21"/>
        <v/>
      </c>
      <c r="I53" s="30" t="s">
        <v>218</v>
      </c>
      <c r="J53" s="11" t="s">
        <v>270</v>
      </c>
    </row>
    <row r="54" spans="1:10" x14ac:dyDescent="0.25">
      <c r="A54" s="14" t="s">
        <v>264</v>
      </c>
      <c r="B54" s="8"/>
      <c r="C54" s="37" t="str">
        <f t="shared" ref="C54:H54" si="22">IF(OR(C37="",C52=""),"",IF(ABS(C37/C52-1)&gt;0.25,"OFF &gt;25%","OK"))</f>
        <v/>
      </c>
      <c r="D54" s="37" t="str">
        <f t="shared" si="22"/>
        <v>OK</v>
      </c>
      <c r="E54" s="37" t="str">
        <f t="shared" si="22"/>
        <v>OK</v>
      </c>
      <c r="F54" s="37" t="str">
        <f t="shared" si="22"/>
        <v>OFF &gt;25%</v>
      </c>
      <c r="G54" s="37" t="str">
        <f t="shared" si="22"/>
        <v/>
      </c>
      <c r="H54" s="37" t="str">
        <f t="shared" si="22"/>
        <v/>
      </c>
      <c r="I54" s="11"/>
      <c r="J54" s="11"/>
    </row>
    <row r="55" spans="1:10" ht="25.5" x14ac:dyDescent="0.25">
      <c r="A55" s="14" t="s">
        <v>271</v>
      </c>
      <c r="B55" s="8" t="s">
        <v>28</v>
      </c>
      <c r="C55" s="26">
        <v>24</v>
      </c>
      <c r="D55" s="26">
        <v>63</v>
      </c>
      <c r="E55" s="26">
        <v>132</v>
      </c>
      <c r="F55" s="26">
        <v>251</v>
      </c>
      <c r="G55" s="12"/>
      <c r="H55" s="12"/>
      <c r="I55" s="27" t="s">
        <v>207</v>
      </c>
      <c r="J55" s="11" t="s">
        <v>272</v>
      </c>
    </row>
    <row r="56" spans="1:10" ht="48" x14ac:dyDescent="0.25">
      <c r="A56" s="14" t="s">
        <v>273</v>
      </c>
      <c r="B56" s="8" t="s">
        <v>262</v>
      </c>
      <c r="C56" s="36">
        <f t="shared" ref="C56:H56" si="23">IF(OR(C37="",C55=""),"",IFERROR(C37/C55,""))</f>
        <v>0.90266824395373291</v>
      </c>
      <c r="D56" s="36">
        <f t="shared" si="23"/>
        <v>0.97790476190476205</v>
      </c>
      <c r="E56" s="36">
        <f t="shared" si="23"/>
        <v>0.96922490450061838</v>
      </c>
      <c r="F56" s="36">
        <f t="shared" si="23"/>
        <v>1.2264349083149049</v>
      </c>
      <c r="G56" s="36" t="str">
        <f t="shared" si="23"/>
        <v/>
      </c>
      <c r="H56" s="36" t="str">
        <f t="shared" si="23"/>
        <v/>
      </c>
      <c r="I56" s="30" t="s">
        <v>218</v>
      </c>
      <c r="J56" s="11" t="s">
        <v>274</v>
      </c>
    </row>
    <row r="57" spans="1:10" ht="25.5" x14ac:dyDescent="0.25">
      <c r="A57" s="14" t="s">
        <v>275</v>
      </c>
      <c r="B57" s="8"/>
      <c r="C57" s="37" t="str">
        <f t="shared" ref="C57:H57" si="24">IF(OR(C37="",C55=""),"",IF(C37&gt;C55,"OFF","OK"))</f>
        <v>OK</v>
      </c>
      <c r="D57" s="37" t="str">
        <f t="shared" si="24"/>
        <v>OK</v>
      </c>
      <c r="E57" s="37" t="str">
        <f t="shared" si="24"/>
        <v>OK</v>
      </c>
      <c r="F57" s="37" t="str">
        <f t="shared" si="24"/>
        <v>OFF</v>
      </c>
      <c r="G57" s="37" t="str">
        <f t="shared" si="24"/>
        <v/>
      </c>
      <c r="H57" s="37" t="str">
        <f t="shared" si="24"/>
        <v/>
      </c>
      <c r="I57" s="11"/>
      <c r="J57" s="11"/>
    </row>
    <row r="58" spans="1:10" x14ac:dyDescent="0.25">
      <c r="A58" s="14" t="s">
        <v>276</v>
      </c>
      <c r="B58" s="8" t="s">
        <v>28</v>
      </c>
      <c r="C58" s="12"/>
      <c r="D58" s="26">
        <v>50.6</v>
      </c>
      <c r="E58" s="26">
        <v>88.6</v>
      </c>
      <c r="F58" s="12"/>
      <c r="G58" s="12"/>
      <c r="H58" s="12"/>
      <c r="I58" s="34" t="s">
        <v>234</v>
      </c>
      <c r="J58" s="11" t="s">
        <v>277</v>
      </c>
    </row>
    <row r="59" spans="1:10" ht="24" x14ac:dyDescent="0.25">
      <c r="A59" s="14" t="s">
        <v>278</v>
      </c>
      <c r="B59" s="8" t="s">
        <v>262</v>
      </c>
      <c r="C59" s="36" t="str">
        <f t="shared" ref="C59:H59" si="25">IF(OR(C38="",C58=""),"",IFERROR(C38/C58,""))</f>
        <v/>
      </c>
      <c r="D59" s="36">
        <f t="shared" si="25"/>
        <v>0.4172727272727273</v>
      </c>
      <c r="E59" s="36">
        <f t="shared" si="25"/>
        <v>0.4418270211193811</v>
      </c>
      <c r="F59" s="36" t="str">
        <f t="shared" si="25"/>
        <v/>
      </c>
      <c r="G59" s="36" t="str">
        <f t="shared" si="25"/>
        <v/>
      </c>
      <c r="H59" s="36" t="str">
        <f t="shared" si="25"/>
        <v/>
      </c>
      <c r="I59" s="30" t="s">
        <v>218</v>
      </c>
      <c r="J59" s="11" t="s">
        <v>279</v>
      </c>
    </row>
    <row r="61" spans="1:10" x14ac:dyDescent="0.25">
      <c r="A61" s="67" t="s">
        <v>280</v>
      </c>
      <c r="B61" s="66"/>
      <c r="C61" s="66"/>
      <c r="D61" s="66"/>
      <c r="E61" s="66"/>
      <c r="F61" s="66"/>
      <c r="G61" s="66"/>
      <c r="H61" s="66"/>
      <c r="I61" s="66"/>
      <c r="J61" s="66"/>
    </row>
  </sheetData>
  <mergeCells count="2">
    <mergeCell ref="A61:J61"/>
    <mergeCell ref="A2:J2"/>
  </mergeCells>
  <conditionalFormatting sqref="C50:H50">
    <cfRule type="cellIs" dxfId="25" priority="1" operator="equal">
      <formula>"OK"</formula>
    </cfRule>
    <cfRule type="expression" dxfId="24" priority="2">
      <formula>LEFT(C50,3)="OFF"</formula>
    </cfRule>
  </conditionalFormatting>
  <conditionalFormatting sqref="C54:H54">
    <cfRule type="cellIs" dxfId="23" priority="3" operator="equal">
      <formula>"OK"</formula>
    </cfRule>
    <cfRule type="expression" dxfId="22" priority="4">
      <formula>LEFT(C54,3)="OFF"</formula>
    </cfRule>
  </conditionalFormatting>
  <conditionalFormatting sqref="C57:H57">
    <cfRule type="cellIs" dxfId="21" priority="5" operator="equal">
      <formula>"OK"</formula>
    </cfRule>
    <cfRule type="expression" dxfId="20" priority="6">
      <formula>LEFT(C57,3)="OFF"</formula>
    </cfRule>
  </conditionalFormatting>
  <pageMargins left="0.4" right="0.4" top="0.5" bottom="0.5" header="0.5" footer="0.5"/>
  <pageSetup paperSize="9" scale="67" fitToHeight="0" orientation="landscape" r:id="rId1"/>
  <headerFooter>
    <oddFooter>&amp;C&amp;8NSR (18-Sep-2026) vs Capstone — &amp;A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82"/>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50" customWidth="1"/>
    <col min="2" max="2" width="9" customWidth="1"/>
    <col min="3" max="8" width="11" customWidth="1"/>
    <col min="9" max="9" width="10" customWidth="1"/>
    <col min="10" max="10" width="72" customWidth="1"/>
  </cols>
  <sheetData>
    <row r="1" spans="1:10" ht="24" customHeight="1" x14ac:dyDescent="0.25">
      <c r="A1" s="1" t="s">
        <v>281</v>
      </c>
    </row>
    <row r="2" spans="1:10" ht="39" customHeight="1" x14ac:dyDescent="0.25">
      <c r="A2" s="67" t="s">
        <v>282</v>
      </c>
      <c r="B2" s="66"/>
      <c r="C2" s="66"/>
      <c r="D2" s="66"/>
      <c r="E2" s="66"/>
      <c r="F2" s="66"/>
      <c r="G2" s="66"/>
      <c r="H2" s="66"/>
      <c r="I2" s="66"/>
      <c r="J2" s="66"/>
    </row>
    <row r="3" spans="1:10" ht="8.1" customHeight="1" x14ac:dyDescent="0.25"/>
    <row r="4" spans="1:10" ht="30" customHeight="1" x14ac:dyDescent="0.25">
      <c r="A4" s="5" t="s">
        <v>196</v>
      </c>
      <c r="B4" s="5" t="s">
        <v>19</v>
      </c>
      <c r="C4" s="6" t="s">
        <v>103</v>
      </c>
      <c r="D4" s="6" t="s">
        <v>104</v>
      </c>
      <c r="E4" s="6" t="s">
        <v>105</v>
      </c>
      <c r="F4" s="6" t="s">
        <v>106</v>
      </c>
      <c r="G4" s="6" t="s">
        <v>107</v>
      </c>
      <c r="H4" s="6" t="s">
        <v>108</v>
      </c>
      <c r="I4" s="5" t="s">
        <v>197</v>
      </c>
      <c r="J4" s="5" t="s">
        <v>198</v>
      </c>
    </row>
    <row r="5" spans="1:10" x14ac:dyDescent="0.25">
      <c r="A5" s="15" t="s">
        <v>283</v>
      </c>
      <c r="B5" s="16"/>
      <c r="C5" s="16"/>
      <c r="D5" s="16"/>
      <c r="E5" s="16"/>
      <c r="F5" s="16"/>
      <c r="G5" s="16"/>
      <c r="H5" s="16"/>
      <c r="I5" s="16"/>
      <c r="J5" s="16"/>
    </row>
    <row r="6" spans="1:10" x14ac:dyDescent="0.25">
      <c r="A6" s="21" t="s">
        <v>284</v>
      </c>
      <c r="B6" s="22" t="s">
        <v>28</v>
      </c>
      <c r="C6" s="23">
        <f>IF(NSR_Memory!C25="","",NSR_Memory!C25)</f>
        <v>25</v>
      </c>
      <c r="D6" s="23">
        <f>IF(NSR_Memory!D25="","",NSR_Memory!D25)</f>
        <v>49</v>
      </c>
      <c r="E6" s="23">
        <f>IF(NSR_Memory!E25="","",NSR_Memory!E25)</f>
        <v>80</v>
      </c>
      <c r="F6" s="23">
        <f>IF(NSR_Memory!F25="","",NSR_Memory!F25)</f>
        <v>117</v>
      </c>
      <c r="G6" s="23">
        <f>IF(NSR_Memory!G25="","",NSR_Memory!G25)</f>
        <v>159</v>
      </c>
      <c r="H6" s="23">
        <f>IF(NSR_Memory!H25="","",NSR_Memory!H25)</f>
        <v>202</v>
      </c>
      <c r="I6" s="24" t="s">
        <v>201</v>
      </c>
      <c r="J6" s="25" t="s">
        <v>285</v>
      </c>
    </row>
    <row r="7" spans="1:10" x14ac:dyDescent="0.25">
      <c r="A7" s="14" t="s">
        <v>286</v>
      </c>
      <c r="B7" s="8" t="s">
        <v>28</v>
      </c>
      <c r="C7" s="9">
        <f>IF(NSR_Capex!C6="","",NSR_Capex!C6)</f>
        <v>6</v>
      </c>
      <c r="D7" s="9">
        <f>IF(NSR_Capex!D6="","",NSR_Capex!D6)</f>
        <v>27</v>
      </c>
      <c r="E7" s="9">
        <f>IF(NSR_Capex!E6="","",NSR_Capex!E6)</f>
        <v>56</v>
      </c>
      <c r="F7" s="9">
        <f>IF(NSR_Capex!F6="","",NSR_Capex!F6)</f>
        <v>90</v>
      </c>
      <c r="G7" s="9">
        <f>IF(NSR_Capex!G6="","",NSR_Capex!G6)</f>
        <v>129</v>
      </c>
      <c r="H7" s="9">
        <f>IF(NSR_Capex!H6="","",NSR_Capex!H6)</f>
        <v>168</v>
      </c>
      <c r="I7" s="30" t="s">
        <v>201</v>
      </c>
      <c r="J7" s="11" t="s">
        <v>202</v>
      </c>
    </row>
    <row r="8" spans="1:10" ht="25.5" x14ac:dyDescent="0.25">
      <c r="A8" s="14" t="s">
        <v>287</v>
      </c>
      <c r="B8" s="8" t="s">
        <v>28</v>
      </c>
      <c r="C8" s="9">
        <f>IF(House!E38="","",House!E38)</f>
        <v>15.2</v>
      </c>
      <c r="D8" s="9">
        <f>IF(House!F38="","",House!F38)</f>
        <v>40.200000000000003</v>
      </c>
      <c r="E8" s="9">
        <f>IF(House!G38="","",House!G38)</f>
        <v>79.2</v>
      </c>
      <c r="F8" s="9">
        <f>IF(House!H38="","",House!H38)</f>
        <v>127.2</v>
      </c>
      <c r="G8" s="9">
        <f>IF(House!I38="","",House!I38)</f>
        <v>150.1</v>
      </c>
      <c r="H8" s="9">
        <f>IF(House!J38="","",House!J38)</f>
        <v>171.1</v>
      </c>
      <c r="I8" s="30" t="s">
        <v>201</v>
      </c>
      <c r="J8" s="11" t="s">
        <v>288</v>
      </c>
    </row>
    <row r="9" spans="1:10" ht="48" x14ac:dyDescent="0.25">
      <c r="A9" s="14" t="s">
        <v>289</v>
      </c>
      <c r="B9" s="8" t="s">
        <v>28</v>
      </c>
      <c r="C9" s="26">
        <v>9.3000000000000007</v>
      </c>
      <c r="D9" s="26">
        <v>24.6</v>
      </c>
      <c r="E9" s="26">
        <v>48.4</v>
      </c>
      <c r="F9" s="26">
        <v>77.8</v>
      </c>
      <c r="G9" s="26">
        <v>91.8</v>
      </c>
      <c r="H9" s="26">
        <v>104.7</v>
      </c>
      <c r="I9" s="27" t="s">
        <v>207</v>
      </c>
      <c r="J9" s="11" t="s">
        <v>290</v>
      </c>
    </row>
    <row r="10" spans="1:10" ht="24" x14ac:dyDescent="0.25">
      <c r="A10" s="14" t="s">
        <v>291</v>
      </c>
      <c r="B10" s="8" t="s">
        <v>28</v>
      </c>
      <c r="C10" s="9" t="str">
        <f>IF(House!E116="","",House!E116)</f>
        <v/>
      </c>
      <c r="D10" s="9">
        <f>IF(House!F116="","",House!F116)</f>
        <v>55</v>
      </c>
      <c r="E10" s="9">
        <f>IF(House!G116="","",House!G116)</f>
        <v>96</v>
      </c>
      <c r="F10" s="9">
        <f>IF(House!H116="","",House!H116)</f>
        <v>137</v>
      </c>
      <c r="G10" s="9" t="str">
        <f>IF(House!I116="","",House!I116)</f>
        <v/>
      </c>
      <c r="H10" s="9">
        <f>IF(House!J116="","",House!J116)</f>
        <v>190</v>
      </c>
      <c r="I10" s="30" t="s">
        <v>201</v>
      </c>
      <c r="J10" s="11" t="s">
        <v>292</v>
      </c>
    </row>
    <row r="11" spans="1:10" ht="25.5" x14ac:dyDescent="0.25">
      <c r="A11" s="14" t="s">
        <v>293</v>
      </c>
      <c r="B11" s="8" t="s">
        <v>28</v>
      </c>
      <c r="C11" s="26">
        <v>35</v>
      </c>
      <c r="D11" s="12"/>
      <c r="E11" s="12"/>
      <c r="F11" s="12"/>
      <c r="G11" s="12"/>
      <c r="H11" s="26">
        <v>210.6</v>
      </c>
      <c r="I11" s="34" t="s">
        <v>234</v>
      </c>
      <c r="J11" s="11" t="s">
        <v>294</v>
      </c>
    </row>
    <row r="12" spans="1:10" ht="25.5" x14ac:dyDescent="0.25">
      <c r="A12" s="14" t="s">
        <v>295</v>
      </c>
      <c r="B12" s="8" t="s">
        <v>28</v>
      </c>
      <c r="C12" s="26">
        <v>31</v>
      </c>
      <c r="D12" s="12"/>
      <c r="E12" s="26">
        <v>74</v>
      </c>
      <c r="F12" s="12"/>
      <c r="G12" s="12"/>
      <c r="H12" s="26">
        <v>173</v>
      </c>
      <c r="I12" s="34" t="s">
        <v>234</v>
      </c>
      <c r="J12" s="11" t="s">
        <v>296</v>
      </c>
    </row>
    <row r="13" spans="1:10" ht="25.5" x14ac:dyDescent="0.25">
      <c r="A13" s="14" t="s">
        <v>297</v>
      </c>
      <c r="B13" s="8" t="s">
        <v>28</v>
      </c>
      <c r="C13" s="26">
        <v>37</v>
      </c>
      <c r="D13" s="12"/>
      <c r="E13" s="12"/>
      <c r="F13" s="12"/>
      <c r="G13" s="12"/>
      <c r="H13" s="26">
        <v>137</v>
      </c>
      <c r="I13" s="34" t="s">
        <v>234</v>
      </c>
      <c r="J13" s="11" t="s">
        <v>298</v>
      </c>
    </row>
    <row r="14" spans="1:10" ht="25.5" x14ac:dyDescent="0.25">
      <c r="A14" s="14" t="s">
        <v>299</v>
      </c>
      <c r="B14" s="8" t="s">
        <v>28</v>
      </c>
      <c r="C14" s="12"/>
      <c r="D14" s="12"/>
      <c r="E14" s="12"/>
      <c r="F14" s="12"/>
      <c r="G14" s="12"/>
      <c r="H14" s="26">
        <v>220</v>
      </c>
      <c r="I14" s="34" t="s">
        <v>234</v>
      </c>
      <c r="J14" s="11" t="s">
        <v>300</v>
      </c>
    </row>
    <row r="16" spans="1:10" x14ac:dyDescent="0.25">
      <c r="A16" s="15" t="s">
        <v>301</v>
      </c>
      <c r="B16" s="16"/>
      <c r="C16" s="16"/>
      <c r="D16" s="16"/>
      <c r="E16" s="16"/>
      <c r="F16" s="16"/>
      <c r="G16" s="16"/>
      <c r="H16" s="16"/>
      <c r="I16" s="16"/>
      <c r="J16" s="16"/>
    </row>
    <row r="17" spans="1:10" ht="36" x14ac:dyDescent="0.25">
      <c r="A17" s="14" t="s">
        <v>302</v>
      </c>
      <c r="B17" s="8" t="s">
        <v>223</v>
      </c>
      <c r="C17" s="33">
        <v>0.28000000000000003</v>
      </c>
      <c r="D17" s="33">
        <v>0.22</v>
      </c>
      <c r="E17" s="33">
        <v>0.18</v>
      </c>
      <c r="F17" s="33">
        <v>0.15</v>
      </c>
      <c r="G17" s="31">
        <f>F17</f>
        <v>0.15</v>
      </c>
      <c r="H17" s="31">
        <f>F17</f>
        <v>0.15</v>
      </c>
      <c r="I17" s="27" t="s">
        <v>207</v>
      </c>
      <c r="J17" s="11" t="s">
        <v>303</v>
      </c>
    </row>
    <row r="18" spans="1:10" x14ac:dyDescent="0.25">
      <c r="A18" s="14" t="s">
        <v>304</v>
      </c>
      <c r="B18" s="8" t="s">
        <v>223</v>
      </c>
      <c r="C18" s="33">
        <v>0.3</v>
      </c>
      <c r="D18" s="33">
        <v>0.26</v>
      </c>
      <c r="E18" s="33">
        <v>0.24</v>
      </c>
      <c r="F18" s="33">
        <v>0.22</v>
      </c>
      <c r="G18" s="31">
        <f>F18</f>
        <v>0.22</v>
      </c>
      <c r="H18" s="31">
        <f>F18</f>
        <v>0.22</v>
      </c>
      <c r="I18" s="27" t="s">
        <v>207</v>
      </c>
      <c r="J18" s="11" t="s">
        <v>212</v>
      </c>
    </row>
    <row r="19" spans="1:10" ht="25.5" x14ac:dyDescent="0.25">
      <c r="A19" s="14" t="s">
        <v>305</v>
      </c>
      <c r="B19" s="8" t="s">
        <v>223</v>
      </c>
      <c r="C19" s="33">
        <v>0.25</v>
      </c>
      <c r="D19" s="33">
        <v>0.33</v>
      </c>
      <c r="E19" s="33">
        <v>0.36</v>
      </c>
      <c r="F19" s="33">
        <v>0.38</v>
      </c>
      <c r="G19" s="31">
        <f>F19</f>
        <v>0.38</v>
      </c>
      <c r="H19" s="31">
        <f>F19</f>
        <v>0.38</v>
      </c>
      <c r="I19" s="27" t="s">
        <v>207</v>
      </c>
      <c r="J19" s="11" t="s">
        <v>212</v>
      </c>
    </row>
    <row r="20" spans="1:10" ht="25.5" x14ac:dyDescent="0.25">
      <c r="A20" s="14" t="s">
        <v>306</v>
      </c>
      <c r="B20" s="8" t="s">
        <v>223</v>
      </c>
      <c r="C20" s="33">
        <v>0.17</v>
      </c>
      <c r="D20" s="33">
        <v>0.19</v>
      </c>
      <c r="E20" s="33">
        <v>0.22</v>
      </c>
      <c r="F20" s="33">
        <v>0.25</v>
      </c>
      <c r="G20" s="31">
        <f>F20</f>
        <v>0.25</v>
      </c>
      <c r="H20" s="31">
        <f>F20</f>
        <v>0.25</v>
      </c>
      <c r="I20" s="27" t="s">
        <v>207</v>
      </c>
      <c r="J20" s="11" t="s">
        <v>212</v>
      </c>
    </row>
    <row r="21" spans="1:10" x14ac:dyDescent="0.25">
      <c r="A21" s="11" t="s">
        <v>307</v>
      </c>
      <c r="B21" s="8" t="s">
        <v>223</v>
      </c>
      <c r="C21" s="38">
        <f t="shared" ref="C21:H21" si="0">SUM(C17:C20)</f>
        <v>1</v>
      </c>
      <c r="D21" s="38">
        <f t="shared" si="0"/>
        <v>1</v>
      </c>
      <c r="E21" s="38">
        <f t="shared" si="0"/>
        <v>1</v>
      </c>
      <c r="F21" s="38">
        <f t="shared" si="0"/>
        <v>1</v>
      </c>
      <c r="G21" s="38">
        <f t="shared" si="0"/>
        <v>1</v>
      </c>
      <c r="H21" s="38">
        <f t="shared" si="0"/>
        <v>1</v>
      </c>
      <c r="I21" s="30" t="s">
        <v>218</v>
      </c>
      <c r="J21" s="11"/>
    </row>
    <row r="23" spans="1:10" x14ac:dyDescent="0.25">
      <c r="A23" s="15" t="s">
        <v>308</v>
      </c>
      <c r="B23" s="16"/>
      <c r="C23" s="16"/>
      <c r="D23" s="16"/>
      <c r="E23" s="16"/>
      <c r="F23" s="16"/>
      <c r="G23" s="16"/>
      <c r="H23" s="16"/>
      <c r="I23" s="16"/>
      <c r="J23" s="16"/>
    </row>
    <row r="24" spans="1:10" ht="24" x14ac:dyDescent="0.25">
      <c r="A24" s="14" t="s">
        <v>309</v>
      </c>
      <c r="B24" s="8" t="s">
        <v>310</v>
      </c>
      <c r="C24" s="26">
        <v>18.8</v>
      </c>
      <c r="D24" s="26">
        <v>21.6</v>
      </c>
      <c r="E24" s="26">
        <v>24.3</v>
      </c>
      <c r="F24" s="26">
        <v>26.5</v>
      </c>
      <c r="G24" s="26">
        <v>31.4</v>
      </c>
      <c r="H24" s="26">
        <v>38</v>
      </c>
      <c r="I24" s="34" t="s">
        <v>234</v>
      </c>
      <c r="J24" s="11" t="s">
        <v>311</v>
      </c>
    </row>
    <row r="25" spans="1:10" x14ac:dyDescent="0.25">
      <c r="A25" s="14" t="s">
        <v>312</v>
      </c>
      <c r="B25" s="8" t="s">
        <v>310</v>
      </c>
      <c r="C25" s="26">
        <v>7.2</v>
      </c>
      <c r="D25" s="26">
        <v>9.6999999999999993</v>
      </c>
      <c r="E25" s="26">
        <v>12.7</v>
      </c>
      <c r="F25" s="26">
        <v>16.399999999999999</v>
      </c>
      <c r="G25" s="26">
        <v>21.1</v>
      </c>
      <c r="H25" s="26">
        <v>26.5</v>
      </c>
      <c r="I25" s="34" t="s">
        <v>234</v>
      </c>
      <c r="J25" s="11" t="s">
        <v>313</v>
      </c>
    </row>
    <row r="26" spans="1:10" x14ac:dyDescent="0.25">
      <c r="A26" s="14" t="s">
        <v>314</v>
      </c>
      <c r="B26" s="8" t="s">
        <v>310</v>
      </c>
      <c r="C26" s="26">
        <v>1.8</v>
      </c>
      <c r="D26" s="26">
        <v>2.2000000000000002</v>
      </c>
      <c r="E26" s="26">
        <v>3.3</v>
      </c>
      <c r="F26" s="26">
        <v>5.7</v>
      </c>
      <c r="G26" s="26">
        <v>8.8000000000000007</v>
      </c>
      <c r="H26" s="26">
        <v>11.8</v>
      </c>
      <c r="I26" s="34" t="s">
        <v>234</v>
      </c>
      <c r="J26" s="11" t="s">
        <v>212</v>
      </c>
    </row>
    <row r="27" spans="1:10" ht="25.5" x14ac:dyDescent="0.25">
      <c r="A27" s="14" t="s">
        <v>315</v>
      </c>
      <c r="B27" s="8" t="s">
        <v>310</v>
      </c>
      <c r="C27" s="26">
        <v>2.7</v>
      </c>
      <c r="D27" s="26">
        <v>3.8</v>
      </c>
      <c r="E27" s="26">
        <v>5.3</v>
      </c>
      <c r="F27" s="26">
        <v>6.9</v>
      </c>
      <c r="G27" s="26">
        <v>9.1999999999999993</v>
      </c>
      <c r="H27" s="26">
        <v>13</v>
      </c>
      <c r="I27" s="34" t="s">
        <v>234</v>
      </c>
      <c r="J27" s="11" t="s">
        <v>212</v>
      </c>
    </row>
    <row r="28" spans="1:10" x14ac:dyDescent="0.25">
      <c r="A28" s="14" t="s">
        <v>316</v>
      </c>
      <c r="B28" s="8" t="s">
        <v>310</v>
      </c>
      <c r="C28" s="26">
        <v>1.2</v>
      </c>
      <c r="D28" s="26">
        <v>2.7</v>
      </c>
      <c r="E28" s="26">
        <v>6.1</v>
      </c>
      <c r="F28" s="26">
        <v>6.1</v>
      </c>
      <c r="G28" s="26">
        <v>6.1</v>
      </c>
      <c r="H28" s="26">
        <v>5.9</v>
      </c>
      <c r="I28" s="34" t="s">
        <v>234</v>
      </c>
      <c r="J28" s="11" t="s">
        <v>317</v>
      </c>
    </row>
    <row r="29" spans="1:10" ht="24" x14ac:dyDescent="0.25">
      <c r="A29" s="21" t="s">
        <v>318</v>
      </c>
      <c r="B29" s="22" t="s">
        <v>310</v>
      </c>
      <c r="C29" s="28">
        <f t="shared" ref="C29:H29" si="1">SUM(C24:C28)</f>
        <v>31.7</v>
      </c>
      <c r="D29" s="28">
        <f t="shared" si="1"/>
        <v>40</v>
      </c>
      <c r="E29" s="28">
        <f t="shared" si="1"/>
        <v>51.699999999999996</v>
      </c>
      <c r="F29" s="28">
        <f t="shared" si="1"/>
        <v>61.6</v>
      </c>
      <c r="G29" s="28">
        <f t="shared" si="1"/>
        <v>76.599999999999994</v>
      </c>
      <c r="H29" s="28">
        <f t="shared" si="1"/>
        <v>95.2</v>
      </c>
      <c r="I29" s="24" t="s">
        <v>218</v>
      </c>
      <c r="J29" s="25" t="s">
        <v>319</v>
      </c>
    </row>
    <row r="30" spans="1:10" ht="24" x14ac:dyDescent="0.25">
      <c r="A30" s="14" t="s">
        <v>320</v>
      </c>
      <c r="B30" s="8" t="s">
        <v>223</v>
      </c>
      <c r="C30" s="31">
        <f t="shared" ref="C30:H30" si="2">IF(OR(C24="",C29=""),"",IFERROR(C24/C29,""))</f>
        <v>0.59305993690851744</v>
      </c>
      <c r="D30" s="31">
        <f t="shared" si="2"/>
        <v>0.54</v>
      </c>
      <c r="E30" s="31">
        <f t="shared" si="2"/>
        <v>0.47001934235976794</v>
      </c>
      <c r="F30" s="31">
        <f t="shared" si="2"/>
        <v>0.43019480519480519</v>
      </c>
      <c r="G30" s="31">
        <f t="shared" si="2"/>
        <v>0.40992167101827676</v>
      </c>
      <c r="H30" s="31">
        <f t="shared" si="2"/>
        <v>0.39915966386554619</v>
      </c>
      <c r="I30" s="30" t="s">
        <v>218</v>
      </c>
      <c r="J30" s="11" t="s">
        <v>321</v>
      </c>
    </row>
    <row r="31" spans="1:10" x14ac:dyDescent="0.25">
      <c r="A31" s="14" t="s">
        <v>322</v>
      </c>
      <c r="B31" s="8" t="s">
        <v>223</v>
      </c>
      <c r="C31" s="31">
        <f t="shared" ref="C31:H31" si="3">IF(OR(C25="",C29=""),"",IFERROR(C25/C29,""))</f>
        <v>0.22712933753943218</v>
      </c>
      <c r="D31" s="31">
        <f t="shared" si="3"/>
        <v>0.24249999999999999</v>
      </c>
      <c r="E31" s="31">
        <f t="shared" si="3"/>
        <v>0.24564796905222439</v>
      </c>
      <c r="F31" s="31">
        <f t="shared" si="3"/>
        <v>0.26623376623376621</v>
      </c>
      <c r="G31" s="31">
        <f t="shared" si="3"/>
        <v>0.27545691906005226</v>
      </c>
      <c r="H31" s="31">
        <f t="shared" si="3"/>
        <v>0.27836134453781514</v>
      </c>
      <c r="I31" s="30" t="s">
        <v>218</v>
      </c>
      <c r="J31" s="11" t="s">
        <v>323</v>
      </c>
    </row>
    <row r="32" spans="1:10" x14ac:dyDescent="0.25">
      <c r="A32" s="14" t="s">
        <v>324</v>
      </c>
      <c r="B32" s="8" t="s">
        <v>223</v>
      </c>
      <c r="C32" s="31">
        <f t="shared" ref="C32:H32" si="4">IF(OR(C26="",C29=""),"",IFERROR(C26/C29,""))</f>
        <v>5.6782334384858045E-2</v>
      </c>
      <c r="D32" s="31">
        <f t="shared" si="4"/>
        <v>5.5000000000000007E-2</v>
      </c>
      <c r="E32" s="31">
        <f t="shared" si="4"/>
        <v>6.3829787234042548E-2</v>
      </c>
      <c r="F32" s="31">
        <f t="shared" si="4"/>
        <v>9.2532467532467536E-2</v>
      </c>
      <c r="G32" s="31">
        <f t="shared" si="4"/>
        <v>0.11488250652741516</v>
      </c>
      <c r="H32" s="31">
        <f t="shared" si="4"/>
        <v>0.12394957983193278</v>
      </c>
      <c r="I32" s="30" t="s">
        <v>218</v>
      </c>
      <c r="J32" s="11" t="s">
        <v>323</v>
      </c>
    </row>
    <row r="33" spans="1:10" x14ac:dyDescent="0.25">
      <c r="A33" s="14" t="s">
        <v>325</v>
      </c>
      <c r="B33" s="8" t="s">
        <v>223</v>
      </c>
      <c r="C33" s="31">
        <f t="shared" ref="C33:H33" si="5">IF(OR(C27="",C29=""),"",IFERROR(C27/C29,""))</f>
        <v>8.5173501577287078E-2</v>
      </c>
      <c r="D33" s="31">
        <f t="shared" si="5"/>
        <v>9.5000000000000001E-2</v>
      </c>
      <c r="E33" s="31">
        <f t="shared" si="5"/>
        <v>0.10251450676982593</v>
      </c>
      <c r="F33" s="31">
        <f t="shared" si="5"/>
        <v>0.11201298701298702</v>
      </c>
      <c r="G33" s="31">
        <f t="shared" si="5"/>
        <v>0.12010443864229765</v>
      </c>
      <c r="H33" s="31">
        <f t="shared" si="5"/>
        <v>0.13655462184873948</v>
      </c>
      <c r="I33" s="30" t="s">
        <v>218</v>
      </c>
      <c r="J33" s="11" t="s">
        <v>323</v>
      </c>
    </row>
    <row r="34" spans="1:10" x14ac:dyDescent="0.25">
      <c r="A34" s="14" t="s">
        <v>326</v>
      </c>
      <c r="B34" s="8" t="s">
        <v>223</v>
      </c>
      <c r="C34" s="31">
        <f t="shared" ref="C34:H34" si="6">IF(OR(C28="",C29=""),"",IFERROR(C28/C29,""))</f>
        <v>3.7854889589905363E-2</v>
      </c>
      <c r="D34" s="31">
        <f t="shared" si="6"/>
        <v>6.7500000000000004E-2</v>
      </c>
      <c r="E34" s="31">
        <f t="shared" si="6"/>
        <v>0.11798839458413926</v>
      </c>
      <c r="F34" s="31">
        <f t="shared" si="6"/>
        <v>9.9025974025974017E-2</v>
      </c>
      <c r="G34" s="31">
        <f t="shared" si="6"/>
        <v>7.963446475195822E-2</v>
      </c>
      <c r="H34" s="31">
        <f t="shared" si="6"/>
        <v>6.1974789915966388E-2</v>
      </c>
      <c r="I34" s="30" t="s">
        <v>218</v>
      </c>
      <c r="J34" s="11" t="s">
        <v>323</v>
      </c>
    </row>
    <row r="36" spans="1:10" x14ac:dyDescent="0.25">
      <c r="A36" s="15" t="s">
        <v>327</v>
      </c>
      <c r="B36" s="16"/>
      <c r="C36" s="16"/>
      <c r="D36" s="16"/>
      <c r="E36" s="16"/>
      <c r="F36" s="16"/>
      <c r="G36" s="16"/>
      <c r="H36" s="16"/>
      <c r="I36" s="16"/>
      <c r="J36" s="16"/>
    </row>
    <row r="37" spans="1:10" ht="48" x14ac:dyDescent="0.25">
      <c r="A37" s="14" t="s">
        <v>328</v>
      </c>
      <c r="B37" s="8" t="s">
        <v>28</v>
      </c>
      <c r="C37" s="26">
        <v>14.1</v>
      </c>
      <c r="D37" s="26">
        <v>20.8</v>
      </c>
      <c r="E37" s="26">
        <v>27.8</v>
      </c>
      <c r="F37" s="26">
        <v>33.6</v>
      </c>
      <c r="G37" s="26">
        <v>39.700000000000003</v>
      </c>
      <c r="H37" s="26">
        <v>46.3</v>
      </c>
      <c r="I37" s="34" t="s">
        <v>234</v>
      </c>
      <c r="J37" s="11" t="s">
        <v>329</v>
      </c>
    </row>
    <row r="38" spans="1:10" ht="48" x14ac:dyDescent="0.25">
      <c r="A38" s="14" t="s">
        <v>330</v>
      </c>
      <c r="B38" s="8" t="s">
        <v>28</v>
      </c>
      <c r="C38" s="26">
        <v>10</v>
      </c>
      <c r="D38" s="26">
        <v>16.399999999999999</v>
      </c>
      <c r="E38" s="26">
        <v>22</v>
      </c>
      <c r="F38" s="26">
        <v>29</v>
      </c>
      <c r="G38" s="26">
        <v>38</v>
      </c>
      <c r="H38" s="26">
        <v>50</v>
      </c>
      <c r="I38" s="39" t="s">
        <v>331</v>
      </c>
      <c r="J38" s="11" t="s">
        <v>332</v>
      </c>
    </row>
    <row r="39" spans="1:10" ht="36" x14ac:dyDescent="0.25">
      <c r="A39" s="14" t="s">
        <v>333</v>
      </c>
      <c r="B39" s="8" t="s">
        <v>334</v>
      </c>
      <c r="C39" s="26">
        <v>4</v>
      </c>
      <c r="D39" s="26">
        <v>4</v>
      </c>
      <c r="E39" s="26">
        <v>4</v>
      </c>
      <c r="F39" s="26">
        <v>4</v>
      </c>
      <c r="G39" s="26">
        <v>4</v>
      </c>
      <c r="H39" s="26">
        <v>4</v>
      </c>
      <c r="I39" s="39" t="s">
        <v>331</v>
      </c>
      <c r="J39" s="11" t="s">
        <v>335</v>
      </c>
    </row>
    <row r="40" spans="1:10" ht="25.5" x14ac:dyDescent="0.25">
      <c r="A40" s="21" t="s">
        <v>336</v>
      </c>
      <c r="B40" s="22" t="s">
        <v>28</v>
      </c>
      <c r="C40" s="28">
        <f t="shared" ref="C40:H40" si="7">IF(OR(C28="",C39=""),"",C28*C39)</f>
        <v>4.8</v>
      </c>
      <c r="D40" s="28">
        <f t="shared" si="7"/>
        <v>10.8</v>
      </c>
      <c r="E40" s="28">
        <f t="shared" si="7"/>
        <v>24.4</v>
      </c>
      <c r="F40" s="28">
        <f t="shared" si="7"/>
        <v>24.4</v>
      </c>
      <c r="G40" s="28">
        <f t="shared" si="7"/>
        <v>24.4</v>
      </c>
      <c r="H40" s="28">
        <f t="shared" si="7"/>
        <v>23.6</v>
      </c>
      <c r="I40" s="24" t="s">
        <v>218</v>
      </c>
      <c r="J40" s="25" t="s">
        <v>337</v>
      </c>
    </row>
    <row r="41" spans="1:10" ht="84" x14ac:dyDescent="0.25">
      <c r="A41" s="14" t="s">
        <v>338</v>
      </c>
      <c r="B41" s="8" t="s">
        <v>28</v>
      </c>
      <c r="C41" s="26">
        <v>5</v>
      </c>
      <c r="D41" s="26">
        <v>20</v>
      </c>
      <c r="E41" s="26">
        <v>40</v>
      </c>
      <c r="F41" s="12"/>
      <c r="G41" s="12"/>
      <c r="H41" s="12"/>
      <c r="I41" s="27" t="s">
        <v>339</v>
      </c>
      <c r="J41" s="11" t="s">
        <v>340</v>
      </c>
    </row>
    <row r="42" spans="1:10" x14ac:dyDescent="0.25">
      <c r="A42" s="14" t="s">
        <v>341</v>
      </c>
      <c r="B42" s="8" t="s">
        <v>310</v>
      </c>
      <c r="C42" s="35">
        <f t="shared" ref="C42:H42" si="8">C27+C26</f>
        <v>4.5</v>
      </c>
      <c r="D42" s="35">
        <f t="shared" si="8"/>
        <v>6</v>
      </c>
      <c r="E42" s="35">
        <f t="shared" si="8"/>
        <v>8.6</v>
      </c>
      <c r="F42" s="35">
        <f t="shared" si="8"/>
        <v>12.600000000000001</v>
      </c>
      <c r="G42" s="35">
        <f t="shared" si="8"/>
        <v>18</v>
      </c>
      <c r="H42" s="35">
        <f t="shared" si="8"/>
        <v>24.8</v>
      </c>
      <c r="I42" s="30" t="s">
        <v>218</v>
      </c>
      <c r="J42" s="11" t="s">
        <v>342</v>
      </c>
    </row>
    <row r="43" spans="1:10" ht="24" x14ac:dyDescent="0.25">
      <c r="A43" s="14" t="s">
        <v>343</v>
      </c>
      <c r="B43" s="8" t="s">
        <v>334</v>
      </c>
      <c r="C43" s="26">
        <v>1.2</v>
      </c>
      <c r="D43" s="26">
        <v>1.2</v>
      </c>
      <c r="E43" s="26">
        <v>1.2</v>
      </c>
      <c r="F43" s="26">
        <v>1.2</v>
      </c>
      <c r="G43" s="26">
        <v>1.2</v>
      </c>
      <c r="H43" s="26">
        <v>1.2</v>
      </c>
      <c r="I43" s="27" t="s">
        <v>207</v>
      </c>
      <c r="J43" s="11" t="s">
        <v>344</v>
      </c>
    </row>
    <row r="44" spans="1:10" x14ac:dyDescent="0.25">
      <c r="A44" s="14" t="s">
        <v>345</v>
      </c>
      <c r="B44" s="8" t="s">
        <v>28</v>
      </c>
      <c r="C44" s="35">
        <f t="shared" ref="C44:H44" si="9">IF(OR(C42="",C43=""),"",C42*C43)</f>
        <v>5.3999999999999995</v>
      </c>
      <c r="D44" s="35">
        <f t="shared" si="9"/>
        <v>7.1999999999999993</v>
      </c>
      <c r="E44" s="35">
        <f t="shared" si="9"/>
        <v>10.319999999999999</v>
      </c>
      <c r="F44" s="35">
        <f t="shared" si="9"/>
        <v>15.120000000000001</v>
      </c>
      <c r="G44" s="35">
        <f t="shared" si="9"/>
        <v>21.599999999999998</v>
      </c>
      <c r="H44" s="35">
        <f t="shared" si="9"/>
        <v>29.759999999999998</v>
      </c>
      <c r="I44" s="30" t="s">
        <v>218</v>
      </c>
      <c r="J44" s="11" t="s">
        <v>346</v>
      </c>
    </row>
    <row r="45" spans="1:10" ht="25.5" x14ac:dyDescent="0.25">
      <c r="A45" s="21" t="s">
        <v>347</v>
      </c>
      <c r="B45" s="22" t="s">
        <v>28</v>
      </c>
      <c r="C45" s="28">
        <f t="shared" ref="C45:H45" si="10">C37+C38+C40+C44</f>
        <v>34.300000000000004</v>
      </c>
      <c r="D45" s="28">
        <f t="shared" si="10"/>
        <v>55.2</v>
      </c>
      <c r="E45" s="28">
        <f t="shared" si="10"/>
        <v>84.519999999999982</v>
      </c>
      <c r="F45" s="28">
        <f t="shared" si="10"/>
        <v>102.12</v>
      </c>
      <c r="G45" s="28">
        <f t="shared" si="10"/>
        <v>123.69999999999999</v>
      </c>
      <c r="H45" s="28">
        <f t="shared" si="10"/>
        <v>149.66</v>
      </c>
      <c r="I45" s="24" t="s">
        <v>218</v>
      </c>
      <c r="J45" s="25" t="s">
        <v>348</v>
      </c>
    </row>
    <row r="46" spans="1:10" ht="25.5" x14ac:dyDescent="0.25">
      <c r="A46" s="14" t="s">
        <v>349</v>
      </c>
      <c r="B46" s="8" t="s">
        <v>28</v>
      </c>
      <c r="C46" s="35">
        <f t="shared" ref="C46:H46" si="11">IF(C41="","",C45-C40+C41)</f>
        <v>34.5</v>
      </c>
      <c r="D46" s="35">
        <f t="shared" si="11"/>
        <v>64.400000000000006</v>
      </c>
      <c r="E46" s="35">
        <f t="shared" si="11"/>
        <v>100.11999999999998</v>
      </c>
      <c r="F46" s="35" t="str">
        <f t="shared" si="11"/>
        <v/>
      </c>
      <c r="G46" s="35" t="str">
        <f t="shared" si="11"/>
        <v/>
      </c>
      <c r="H46" s="35" t="str">
        <f t="shared" si="11"/>
        <v/>
      </c>
      <c r="I46" s="30" t="s">
        <v>218</v>
      </c>
      <c r="J46" s="11" t="s">
        <v>350</v>
      </c>
    </row>
    <row r="47" spans="1:10" x14ac:dyDescent="0.25">
      <c r="A47" s="14" t="s">
        <v>351</v>
      </c>
      <c r="B47" s="8" t="s">
        <v>223</v>
      </c>
      <c r="C47" s="31">
        <f t="shared" ref="C47:H47" si="12">IF(OR(C37="",C45=""),"",IFERROR(C37/C45,""))</f>
        <v>0.41107871720116612</v>
      </c>
      <c r="D47" s="31">
        <f t="shared" si="12"/>
        <v>0.37681159420289856</v>
      </c>
      <c r="E47" s="31">
        <f t="shared" si="12"/>
        <v>0.32891623284429727</v>
      </c>
      <c r="F47" s="31">
        <f t="shared" si="12"/>
        <v>0.32902467685076381</v>
      </c>
      <c r="G47" s="31">
        <f t="shared" si="12"/>
        <v>0.32093775262732421</v>
      </c>
      <c r="H47" s="31">
        <f t="shared" si="12"/>
        <v>0.30936790057463581</v>
      </c>
      <c r="I47" s="30" t="s">
        <v>218</v>
      </c>
      <c r="J47" s="11" t="s">
        <v>352</v>
      </c>
    </row>
    <row r="48" spans="1:10" x14ac:dyDescent="0.25">
      <c r="A48" s="14" t="s">
        <v>353</v>
      </c>
      <c r="B48" s="8" t="s">
        <v>223</v>
      </c>
      <c r="C48" s="31">
        <f t="shared" ref="C48:H48" si="13">IF(OR(C38="",C45=""),"",IFERROR(C38/C45,""))</f>
        <v>0.29154518950437314</v>
      </c>
      <c r="D48" s="31">
        <f t="shared" si="13"/>
        <v>0.29710144927536225</v>
      </c>
      <c r="E48" s="31">
        <f t="shared" si="13"/>
        <v>0.2602934216753432</v>
      </c>
      <c r="F48" s="31">
        <f t="shared" si="13"/>
        <v>0.28397963180571872</v>
      </c>
      <c r="G48" s="31">
        <f t="shared" si="13"/>
        <v>0.30719482619240102</v>
      </c>
      <c r="H48" s="31">
        <f t="shared" si="13"/>
        <v>0.33409060537217694</v>
      </c>
      <c r="I48" s="30" t="s">
        <v>218</v>
      </c>
      <c r="J48" s="11" t="s">
        <v>352</v>
      </c>
    </row>
    <row r="49" spans="1:10" x14ac:dyDescent="0.25">
      <c r="A49" s="14" t="s">
        <v>354</v>
      </c>
      <c r="B49" s="8" t="s">
        <v>223</v>
      </c>
      <c r="C49" s="31">
        <f t="shared" ref="C49:H49" si="14">IF(OR(C40="",C45=""),"",IFERROR(C40/C45,""))</f>
        <v>0.1399416909620991</v>
      </c>
      <c r="D49" s="31">
        <f t="shared" si="14"/>
        <v>0.19565217391304349</v>
      </c>
      <c r="E49" s="31">
        <f t="shared" si="14"/>
        <v>0.28868906767628966</v>
      </c>
      <c r="F49" s="31">
        <f t="shared" si="14"/>
        <v>0.2389345867606737</v>
      </c>
      <c r="G49" s="31">
        <f t="shared" si="14"/>
        <v>0.19725141471301536</v>
      </c>
      <c r="H49" s="31">
        <f t="shared" si="14"/>
        <v>0.15769076573566754</v>
      </c>
      <c r="I49" s="30" t="s">
        <v>218</v>
      </c>
      <c r="J49" s="11" t="s">
        <v>352</v>
      </c>
    </row>
    <row r="50" spans="1:10" ht="25.5" x14ac:dyDescent="0.25">
      <c r="A50" s="14" t="s">
        <v>355</v>
      </c>
      <c r="B50" s="8" t="s">
        <v>223</v>
      </c>
      <c r="C50" s="31">
        <f t="shared" ref="C50:H50" si="15">IF(OR(C44="",C45=""),"",IFERROR(C44/C45,""))</f>
        <v>0.15743440233236147</v>
      </c>
      <c r="D50" s="31">
        <f t="shared" si="15"/>
        <v>0.13043478260869562</v>
      </c>
      <c r="E50" s="31">
        <f t="shared" si="15"/>
        <v>0.12210127780407005</v>
      </c>
      <c r="F50" s="31">
        <f t="shared" si="15"/>
        <v>0.14806110458284372</v>
      </c>
      <c r="G50" s="31">
        <f t="shared" si="15"/>
        <v>0.1746160064672595</v>
      </c>
      <c r="H50" s="31">
        <f t="shared" si="15"/>
        <v>0.19885072831751971</v>
      </c>
      <c r="I50" s="30" t="s">
        <v>218</v>
      </c>
      <c r="J50" s="11" t="s">
        <v>352</v>
      </c>
    </row>
    <row r="52" spans="1:10" x14ac:dyDescent="0.25">
      <c r="A52" s="15" t="s">
        <v>356</v>
      </c>
      <c r="B52" s="16"/>
      <c r="C52" s="16"/>
      <c r="D52" s="16"/>
      <c r="E52" s="16"/>
      <c r="F52" s="16"/>
      <c r="G52" s="16"/>
      <c r="H52" s="16"/>
      <c r="I52" s="16"/>
      <c r="J52" s="16"/>
    </row>
    <row r="53" spans="1:10" ht="24" x14ac:dyDescent="0.25">
      <c r="A53" s="14" t="s">
        <v>357</v>
      </c>
      <c r="B53" s="8" t="s">
        <v>28</v>
      </c>
      <c r="C53" s="35">
        <f t="shared" ref="C53:H53" si="16">IF(OR(C6="",C47=""),"",C6*C47)</f>
        <v>10.276967930029153</v>
      </c>
      <c r="D53" s="35">
        <f t="shared" si="16"/>
        <v>18.463768115942031</v>
      </c>
      <c r="E53" s="35">
        <f t="shared" si="16"/>
        <v>26.31329862754378</v>
      </c>
      <c r="F53" s="35">
        <f t="shared" si="16"/>
        <v>38.495887191539367</v>
      </c>
      <c r="G53" s="35">
        <f t="shared" si="16"/>
        <v>51.029102667744553</v>
      </c>
      <c r="H53" s="35">
        <f t="shared" si="16"/>
        <v>62.492315916076436</v>
      </c>
      <c r="I53" s="30" t="s">
        <v>218</v>
      </c>
      <c r="J53" s="11" t="s">
        <v>358</v>
      </c>
    </row>
    <row r="54" spans="1:10" ht="24" x14ac:dyDescent="0.25">
      <c r="A54" s="21" t="s">
        <v>359</v>
      </c>
      <c r="B54" s="22" t="s">
        <v>28</v>
      </c>
      <c r="C54" s="28">
        <f t="shared" ref="C54:H54" si="17">IF(OR(C6="",C48=""),"",C6*C48)</f>
        <v>7.2886297376093285</v>
      </c>
      <c r="D54" s="28">
        <f t="shared" si="17"/>
        <v>14.55797101449275</v>
      </c>
      <c r="E54" s="28">
        <f t="shared" si="17"/>
        <v>20.823473734027456</v>
      </c>
      <c r="F54" s="28">
        <f t="shared" si="17"/>
        <v>33.225616921269093</v>
      </c>
      <c r="G54" s="28">
        <f t="shared" si="17"/>
        <v>48.843977364591758</v>
      </c>
      <c r="H54" s="28">
        <f t="shared" si="17"/>
        <v>67.486302285179747</v>
      </c>
      <c r="I54" s="24" t="s">
        <v>218</v>
      </c>
      <c r="J54" s="25" t="s">
        <v>358</v>
      </c>
    </row>
    <row r="55" spans="1:10" ht="24" x14ac:dyDescent="0.25">
      <c r="A55" s="14" t="s">
        <v>360</v>
      </c>
      <c r="B55" s="8" t="s">
        <v>28</v>
      </c>
      <c r="C55" s="35">
        <f t="shared" ref="C55:H55" si="18">IF(OR(C6="",C49=""),"",C6*C49)</f>
        <v>3.4985422740524776</v>
      </c>
      <c r="D55" s="35">
        <f t="shared" si="18"/>
        <v>9.5869565217391308</v>
      </c>
      <c r="E55" s="35">
        <f t="shared" si="18"/>
        <v>23.095125414103173</v>
      </c>
      <c r="F55" s="35">
        <f t="shared" si="18"/>
        <v>27.955346650998823</v>
      </c>
      <c r="G55" s="35">
        <f t="shared" si="18"/>
        <v>31.36297493936944</v>
      </c>
      <c r="H55" s="35">
        <f t="shared" si="18"/>
        <v>31.853534678604841</v>
      </c>
      <c r="I55" s="30" t="s">
        <v>218</v>
      </c>
      <c r="J55" s="11" t="s">
        <v>358</v>
      </c>
    </row>
    <row r="56" spans="1:10" ht="25.5" x14ac:dyDescent="0.25">
      <c r="A56" s="14" t="s">
        <v>361</v>
      </c>
      <c r="B56" s="8" t="s">
        <v>28</v>
      </c>
      <c r="C56" s="35">
        <f t="shared" ref="C56:H56" si="19">IF(OR(C6="",C50=""),"",C6*C50)</f>
        <v>3.9358600583090366</v>
      </c>
      <c r="D56" s="35">
        <f t="shared" si="19"/>
        <v>6.3913043478260851</v>
      </c>
      <c r="E56" s="35">
        <f t="shared" si="19"/>
        <v>9.7681022243256042</v>
      </c>
      <c r="F56" s="35">
        <f t="shared" si="19"/>
        <v>17.323149236192716</v>
      </c>
      <c r="G56" s="35">
        <f t="shared" si="19"/>
        <v>27.763945028294259</v>
      </c>
      <c r="H56" s="35">
        <f t="shared" si="19"/>
        <v>40.16784712013898</v>
      </c>
      <c r="I56" s="30" t="s">
        <v>218</v>
      </c>
      <c r="J56" s="11" t="s">
        <v>358</v>
      </c>
    </row>
    <row r="57" spans="1:10" ht="25.5" x14ac:dyDescent="0.25">
      <c r="A57" s="14" t="s">
        <v>362</v>
      </c>
      <c r="B57" s="8" t="s">
        <v>28</v>
      </c>
      <c r="C57" s="35">
        <f t="shared" ref="C57:H57" si="20">IF(OR(C7="",C17=""),"",C7*C17)</f>
        <v>1.6800000000000002</v>
      </c>
      <c r="D57" s="35">
        <f t="shared" si="20"/>
        <v>5.94</v>
      </c>
      <c r="E57" s="35">
        <f t="shared" si="20"/>
        <v>10.08</v>
      </c>
      <c r="F57" s="35">
        <f t="shared" si="20"/>
        <v>13.5</v>
      </c>
      <c r="G57" s="35">
        <f t="shared" si="20"/>
        <v>19.349999999999998</v>
      </c>
      <c r="H57" s="35">
        <f t="shared" si="20"/>
        <v>25.2</v>
      </c>
      <c r="I57" s="30" t="s">
        <v>218</v>
      </c>
      <c r="J57" s="11" t="s">
        <v>363</v>
      </c>
    </row>
    <row r="58" spans="1:10" ht="25.5" x14ac:dyDescent="0.25">
      <c r="A58" s="14" t="s">
        <v>364</v>
      </c>
      <c r="B58" s="8" t="s">
        <v>28</v>
      </c>
      <c r="C58" s="35">
        <f t="shared" ref="C58:H58" si="21">IF(OR(C7="",C18=""),"",C7*C18)</f>
        <v>1.7999999999999998</v>
      </c>
      <c r="D58" s="35">
        <f t="shared" si="21"/>
        <v>7.0200000000000005</v>
      </c>
      <c r="E58" s="35">
        <f t="shared" si="21"/>
        <v>13.44</v>
      </c>
      <c r="F58" s="35">
        <f t="shared" si="21"/>
        <v>19.8</v>
      </c>
      <c r="G58" s="35">
        <f t="shared" si="21"/>
        <v>28.38</v>
      </c>
      <c r="H58" s="35">
        <f t="shared" si="21"/>
        <v>36.96</v>
      </c>
      <c r="I58" s="30" t="s">
        <v>218</v>
      </c>
      <c r="J58" s="11" t="s">
        <v>363</v>
      </c>
    </row>
    <row r="59" spans="1:10" ht="25.5" x14ac:dyDescent="0.25">
      <c r="A59" s="14" t="s">
        <v>365</v>
      </c>
      <c r="B59" s="8" t="s">
        <v>28</v>
      </c>
      <c r="C59" s="35">
        <f t="shared" ref="C59:H59" si="22">IF(OR(C7="",C19=""),"",C7*C19)</f>
        <v>1.5</v>
      </c>
      <c r="D59" s="35">
        <f t="shared" si="22"/>
        <v>8.91</v>
      </c>
      <c r="E59" s="35">
        <f t="shared" si="22"/>
        <v>20.16</v>
      </c>
      <c r="F59" s="35">
        <f t="shared" si="22"/>
        <v>34.200000000000003</v>
      </c>
      <c r="G59" s="35">
        <f t="shared" si="22"/>
        <v>49.02</v>
      </c>
      <c r="H59" s="35">
        <f t="shared" si="22"/>
        <v>63.84</v>
      </c>
      <c r="I59" s="30" t="s">
        <v>218</v>
      </c>
      <c r="J59" s="11" t="s">
        <v>363</v>
      </c>
    </row>
    <row r="60" spans="1:10" ht="25.5" x14ac:dyDescent="0.25">
      <c r="A60" s="14" t="s">
        <v>366</v>
      </c>
      <c r="B60" s="8" t="s">
        <v>28</v>
      </c>
      <c r="C60" s="35">
        <f t="shared" ref="C60:H60" si="23">IF(OR(C7="",C20=""),"",C7*C20)</f>
        <v>1.02</v>
      </c>
      <c r="D60" s="35">
        <f t="shared" si="23"/>
        <v>5.13</v>
      </c>
      <c r="E60" s="35">
        <f t="shared" si="23"/>
        <v>12.32</v>
      </c>
      <c r="F60" s="35">
        <f t="shared" si="23"/>
        <v>22.5</v>
      </c>
      <c r="G60" s="35">
        <f t="shared" si="23"/>
        <v>32.25</v>
      </c>
      <c r="H60" s="35">
        <f t="shared" si="23"/>
        <v>42</v>
      </c>
      <c r="I60" s="30" t="s">
        <v>218</v>
      </c>
      <c r="J60" s="11" t="s">
        <v>363</v>
      </c>
    </row>
    <row r="62" spans="1:10" x14ac:dyDescent="0.25">
      <c r="A62" s="15" t="s">
        <v>367</v>
      </c>
      <c r="B62" s="16"/>
      <c r="C62" s="16"/>
      <c r="D62" s="16"/>
      <c r="E62" s="16"/>
      <c r="F62" s="16"/>
      <c r="G62" s="16"/>
      <c r="H62" s="16"/>
      <c r="I62" s="16"/>
      <c r="J62" s="16"/>
    </row>
    <row r="63" spans="1:10" ht="36" x14ac:dyDescent="0.25">
      <c r="A63" s="21" t="s">
        <v>368</v>
      </c>
      <c r="B63" s="22" t="s">
        <v>262</v>
      </c>
      <c r="C63" s="40">
        <f t="shared" ref="C63:H63" si="24">IF(OR(C6="",C45=""),"",IFERROR(C6/C45,""))</f>
        <v>0.7288629737609329</v>
      </c>
      <c r="D63" s="40">
        <f t="shared" si="24"/>
        <v>0.8876811594202898</v>
      </c>
      <c r="E63" s="40">
        <f t="shared" si="24"/>
        <v>0.9465215333648842</v>
      </c>
      <c r="F63" s="40">
        <f t="shared" si="24"/>
        <v>1.1457109283196238</v>
      </c>
      <c r="G63" s="40">
        <f t="shared" si="24"/>
        <v>1.2853678253839937</v>
      </c>
      <c r="H63" s="40">
        <f t="shared" si="24"/>
        <v>1.3497260457035949</v>
      </c>
      <c r="I63" s="24" t="s">
        <v>218</v>
      </c>
      <c r="J63" s="25" t="s">
        <v>369</v>
      </c>
    </row>
    <row r="64" spans="1:10" x14ac:dyDescent="0.25">
      <c r="A64" s="14" t="s">
        <v>264</v>
      </c>
      <c r="B64" s="8"/>
      <c r="C64" s="37" t="str">
        <f t="shared" ref="C64:H64" si="25">IF(OR(C6="",C45=""),"",IF(ABS(C6/C45-1)&gt;0.25,"OFF &gt;25%","OK"))</f>
        <v>OFF &gt;25%</v>
      </c>
      <c r="D64" s="37" t="str">
        <f t="shared" si="25"/>
        <v>OK</v>
      </c>
      <c r="E64" s="37" t="str">
        <f t="shared" si="25"/>
        <v>OK</v>
      </c>
      <c r="F64" s="37" t="str">
        <f t="shared" si="25"/>
        <v>OK</v>
      </c>
      <c r="G64" s="37" t="str">
        <f t="shared" si="25"/>
        <v>OFF &gt;25%</v>
      </c>
      <c r="H64" s="37" t="str">
        <f t="shared" si="25"/>
        <v>OFF &gt;25%</v>
      </c>
      <c r="I64" s="11"/>
      <c r="J64" s="11"/>
    </row>
    <row r="65" spans="1:10" ht="25.5" x14ac:dyDescent="0.25">
      <c r="A65" s="14" t="s">
        <v>370</v>
      </c>
      <c r="B65" s="8" t="s">
        <v>262</v>
      </c>
      <c r="C65" s="36">
        <f t="shared" ref="C65:H65" si="26">IF(OR(C6="",C46=""),"",IFERROR(C6/C46,""))</f>
        <v>0.72463768115942029</v>
      </c>
      <c r="D65" s="36">
        <f t="shared" si="26"/>
        <v>0.76086956521739124</v>
      </c>
      <c r="E65" s="36">
        <f t="shared" si="26"/>
        <v>0.79904115061925707</v>
      </c>
      <c r="F65" s="36" t="str">
        <f t="shared" si="26"/>
        <v/>
      </c>
      <c r="G65" s="36" t="str">
        <f t="shared" si="26"/>
        <v/>
      </c>
      <c r="H65" s="36" t="str">
        <f t="shared" si="26"/>
        <v/>
      </c>
      <c r="I65" s="30" t="s">
        <v>218</v>
      </c>
      <c r="J65" s="11" t="s">
        <v>371</v>
      </c>
    </row>
    <row r="66" spans="1:10" x14ac:dyDescent="0.25">
      <c r="A66" s="14" t="s">
        <v>264</v>
      </c>
      <c r="B66" s="8"/>
      <c r="C66" s="37" t="str">
        <f t="shared" ref="C66:H66" si="27">IF(OR(C6="",C46=""),"",IF(ABS(C6/C46-1)&gt;0.25,"OFF &gt;25%","OK"))</f>
        <v>OFF &gt;25%</v>
      </c>
      <c r="D66" s="37" t="str">
        <f t="shared" si="27"/>
        <v>OK</v>
      </c>
      <c r="E66" s="37" t="str">
        <f t="shared" si="27"/>
        <v>OK</v>
      </c>
      <c r="F66" s="37" t="str">
        <f t="shared" si="27"/>
        <v/>
      </c>
      <c r="G66" s="37" t="str">
        <f t="shared" si="27"/>
        <v/>
      </c>
      <c r="H66" s="37" t="str">
        <f t="shared" si="27"/>
        <v/>
      </c>
      <c r="I66" s="11"/>
      <c r="J66" s="11"/>
    </row>
    <row r="67" spans="1:10" x14ac:dyDescent="0.25">
      <c r="A67" s="14" t="s">
        <v>372</v>
      </c>
      <c r="B67" s="8" t="s">
        <v>262</v>
      </c>
      <c r="C67" s="36" t="str">
        <f t="shared" ref="C67:H67" si="28">IF(OR(C10="",C45=""),"",IFERROR(C10/C45,""))</f>
        <v/>
      </c>
      <c r="D67" s="36">
        <f t="shared" si="28"/>
        <v>0.99637681159420288</v>
      </c>
      <c r="E67" s="36">
        <f t="shared" si="28"/>
        <v>1.1358258400378611</v>
      </c>
      <c r="F67" s="36">
        <f t="shared" si="28"/>
        <v>1.3415589502546024</v>
      </c>
      <c r="G67" s="36" t="str">
        <f t="shared" si="28"/>
        <v/>
      </c>
      <c r="H67" s="36">
        <f t="shared" si="28"/>
        <v>1.2695443004142724</v>
      </c>
      <c r="I67" s="30" t="s">
        <v>218</v>
      </c>
      <c r="J67" s="11" t="s">
        <v>373</v>
      </c>
    </row>
    <row r="68" spans="1:10" x14ac:dyDescent="0.25">
      <c r="A68" s="14" t="s">
        <v>264</v>
      </c>
      <c r="B68" s="8"/>
      <c r="C68" s="37" t="str">
        <f t="shared" ref="C68:H68" si="29">IF(OR(C10="",C45=""),"",IF(ABS(C10/C45-1)&gt;0.25,"OFF &gt;25%","OK"))</f>
        <v/>
      </c>
      <c r="D68" s="37" t="str">
        <f t="shared" si="29"/>
        <v>OK</v>
      </c>
      <c r="E68" s="37" t="str">
        <f t="shared" si="29"/>
        <v>OK</v>
      </c>
      <c r="F68" s="37" t="str">
        <f t="shared" si="29"/>
        <v>OFF &gt;25%</v>
      </c>
      <c r="G68" s="37" t="str">
        <f t="shared" si="29"/>
        <v/>
      </c>
      <c r="H68" s="37" t="str">
        <f t="shared" si="29"/>
        <v>OFF &gt;25%</v>
      </c>
      <c r="I68" s="11"/>
      <c r="J68" s="11"/>
    </row>
    <row r="69" spans="1:10" ht="25.5" x14ac:dyDescent="0.25">
      <c r="A69" s="14" t="s">
        <v>374</v>
      </c>
      <c r="B69" s="8" t="s">
        <v>262</v>
      </c>
      <c r="C69" s="36">
        <f t="shared" ref="C69:H69" si="30">IF(OR(C57="",C53=""),"",IFERROR(C57/C53,""))</f>
        <v>0.16347234042553196</v>
      </c>
      <c r="D69" s="36">
        <f t="shared" si="30"/>
        <v>0.32171114599686029</v>
      </c>
      <c r="E69" s="36">
        <f t="shared" si="30"/>
        <v>0.38307625899280573</v>
      </c>
      <c r="F69" s="36">
        <f t="shared" si="30"/>
        <v>0.35068681318681316</v>
      </c>
      <c r="G69" s="36">
        <f t="shared" si="30"/>
        <v>0.37919538044769724</v>
      </c>
      <c r="H69" s="36">
        <f t="shared" si="30"/>
        <v>0.40324957765754976</v>
      </c>
      <c r="I69" s="30" t="s">
        <v>218</v>
      </c>
      <c r="J69" s="11" t="s">
        <v>375</v>
      </c>
    </row>
    <row r="70" spans="1:10" x14ac:dyDescent="0.25">
      <c r="A70" s="14" t="s">
        <v>376</v>
      </c>
      <c r="B70" s="8"/>
      <c r="C70" s="37" t="str">
        <f t="shared" ref="C70:H70" si="31">IF(OR(C57="",C53=""),"",IF(C57&gt;C53,"OFF","OK"))</f>
        <v>OK</v>
      </c>
      <c r="D70" s="37" t="str">
        <f t="shared" si="31"/>
        <v>OK</v>
      </c>
      <c r="E70" s="37" t="str">
        <f t="shared" si="31"/>
        <v>OK</v>
      </c>
      <c r="F70" s="37" t="str">
        <f t="shared" si="31"/>
        <v>OK</v>
      </c>
      <c r="G70" s="37" t="str">
        <f t="shared" si="31"/>
        <v>OK</v>
      </c>
      <c r="H70" s="37" t="str">
        <f t="shared" si="31"/>
        <v>OK</v>
      </c>
      <c r="I70" s="11"/>
      <c r="J70" s="11"/>
    </row>
    <row r="71" spans="1:10" ht="25.5" x14ac:dyDescent="0.25">
      <c r="A71" s="14" t="s">
        <v>377</v>
      </c>
      <c r="B71" s="8" t="s">
        <v>262</v>
      </c>
      <c r="C71" s="36">
        <f t="shared" ref="C71:H71" si="32">IF(OR(C58="",C54=""),"",IFERROR(C58/C54,""))</f>
        <v>0.24696000000000001</v>
      </c>
      <c r="D71" s="36">
        <f t="shared" si="32"/>
        <v>0.4822100547536089</v>
      </c>
      <c r="E71" s="36">
        <f t="shared" si="32"/>
        <v>0.6454254545454543</v>
      </c>
      <c r="F71" s="36">
        <f t="shared" si="32"/>
        <v>0.59592572944297084</v>
      </c>
      <c r="G71" s="36">
        <f t="shared" si="32"/>
        <v>0.58103376365441894</v>
      </c>
      <c r="H71" s="36">
        <f t="shared" si="32"/>
        <v>0.54766669306930693</v>
      </c>
      <c r="I71" s="30" t="s">
        <v>218</v>
      </c>
      <c r="J71" s="11" t="s">
        <v>375</v>
      </c>
    </row>
    <row r="72" spans="1:10" x14ac:dyDescent="0.25">
      <c r="A72" s="14" t="s">
        <v>376</v>
      </c>
      <c r="B72" s="8"/>
      <c r="C72" s="37" t="str">
        <f t="shared" ref="C72:H72" si="33">IF(OR(C58="",C54=""),"",IF(C58&gt;C54,"OFF","OK"))</f>
        <v>OK</v>
      </c>
      <c r="D72" s="37" t="str">
        <f t="shared" si="33"/>
        <v>OK</v>
      </c>
      <c r="E72" s="37" t="str">
        <f t="shared" si="33"/>
        <v>OK</v>
      </c>
      <c r="F72" s="37" t="str">
        <f t="shared" si="33"/>
        <v>OK</v>
      </c>
      <c r="G72" s="37" t="str">
        <f t="shared" si="33"/>
        <v>OK</v>
      </c>
      <c r="H72" s="37" t="str">
        <f t="shared" si="33"/>
        <v>OK</v>
      </c>
      <c r="I72" s="11"/>
      <c r="J72" s="11"/>
    </row>
    <row r="73" spans="1:10" ht="25.5" x14ac:dyDescent="0.25">
      <c r="A73" s="14" t="s">
        <v>378</v>
      </c>
      <c r="B73" s="8" t="s">
        <v>262</v>
      </c>
      <c r="C73" s="36">
        <f t="shared" ref="C73:H73" si="34">IF(OR(C59="",C55=""),"",IFERROR(C59/C55,""))</f>
        <v>0.42875000000000008</v>
      </c>
      <c r="D73" s="36">
        <f t="shared" si="34"/>
        <v>0.92938775510204075</v>
      </c>
      <c r="E73" s="36">
        <f t="shared" si="34"/>
        <v>0.87291147540983605</v>
      </c>
      <c r="F73" s="36">
        <f t="shared" si="34"/>
        <v>1.2233795712484239</v>
      </c>
      <c r="G73" s="36">
        <f t="shared" si="34"/>
        <v>1.5629894834519025</v>
      </c>
      <c r="H73" s="36">
        <f t="shared" si="34"/>
        <v>2.0041731834200367</v>
      </c>
      <c r="I73" s="30" t="s">
        <v>218</v>
      </c>
      <c r="J73" s="11" t="s">
        <v>375</v>
      </c>
    </row>
    <row r="74" spans="1:10" x14ac:dyDescent="0.25">
      <c r="A74" s="14" t="s">
        <v>376</v>
      </c>
      <c r="B74" s="8"/>
      <c r="C74" s="37" t="str">
        <f t="shared" ref="C74:H74" si="35">IF(OR(C59="",C55=""),"",IF(C59&gt;C55,"OFF","OK"))</f>
        <v>OK</v>
      </c>
      <c r="D74" s="37" t="str">
        <f t="shared" si="35"/>
        <v>OK</v>
      </c>
      <c r="E74" s="37" t="str">
        <f t="shared" si="35"/>
        <v>OK</v>
      </c>
      <c r="F74" s="37" t="str">
        <f t="shared" si="35"/>
        <v>OFF</v>
      </c>
      <c r="G74" s="37" t="str">
        <f t="shared" si="35"/>
        <v>OFF</v>
      </c>
      <c r="H74" s="37" t="str">
        <f t="shared" si="35"/>
        <v>OFF</v>
      </c>
      <c r="I74" s="11"/>
      <c r="J74" s="11"/>
    </row>
    <row r="75" spans="1:10" ht="25.5" x14ac:dyDescent="0.25">
      <c r="A75" s="14" t="s">
        <v>379</v>
      </c>
      <c r="B75" s="8" t="s">
        <v>262</v>
      </c>
      <c r="C75" s="36">
        <f t="shared" ref="C75:H75" si="36">IF(OR(C60="",C56=""),"",IFERROR(C60/C56,""))</f>
        <v>0.25915555555555564</v>
      </c>
      <c r="D75" s="36">
        <f t="shared" si="36"/>
        <v>0.80265306122448998</v>
      </c>
      <c r="E75" s="36">
        <f t="shared" si="36"/>
        <v>1.2612480620155038</v>
      </c>
      <c r="F75" s="36">
        <f t="shared" si="36"/>
        <v>1.2988400488400487</v>
      </c>
      <c r="G75" s="36">
        <f t="shared" si="36"/>
        <v>1.1615784416491963</v>
      </c>
      <c r="H75" s="36">
        <f t="shared" si="36"/>
        <v>1.0456124241456404</v>
      </c>
      <c r="I75" s="30" t="s">
        <v>218</v>
      </c>
      <c r="J75" s="11" t="s">
        <v>375</v>
      </c>
    </row>
    <row r="76" spans="1:10" x14ac:dyDescent="0.25">
      <c r="A76" s="14" t="s">
        <v>376</v>
      </c>
      <c r="B76" s="8"/>
      <c r="C76" s="37" t="str">
        <f t="shared" ref="C76:H76" si="37">IF(OR(C60="",C56=""),"",IF(C60&gt;C56,"OFF","OK"))</f>
        <v>OK</v>
      </c>
      <c r="D76" s="37" t="str">
        <f t="shared" si="37"/>
        <v>OK</v>
      </c>
      <c r="E76" s="37" t="str">
        <f t="shared" si="37"/>
        <v>OFF</v>
      </c>
      <c r="F76" s="37" t="str">
        <f t="shared" si="37"/>
        <v>OFF</v>
      </c>
      <c r="G76" s="37" t="str">
        <f t="shared" si="37"/>
        <v>OFF</v>
      </c>
      <c r="H76" s="37" t="str">
        <f t="shared" si="37"/>
        <v>OFF</v>
      </c>
      <c r="I76" s="11"/>
      <c r="J76" s="11"/>
    </row>
    <row r="77" spans="1:10" x14ac:dyDescent="0.25">
      <c r="A77" s="14" t="s">
        <v>380</v>
      </c>
      <c r="B77" s="8" t="s">
        <v>28</v>
      </c>
      <c r="C77" s="12"/>
      <c r="D77" s="26">
        <v>60.3</v>
      </c>
      <c r="E77" s="26">
        <v>72.5</v>
      </c>
      <c r="F77" s="12"/>
      <c r="G77" s="12"/>
      <c r="H77" s="12"/>
      <c r="I77" s="34" t="s">
        <v>234</v>
      </c>
      <c r="J77" s="11" t="s">
        <v>277</v>
      </c>
    </row>
    <row r="78" spans="1:10" x14ac:dyDescent="0.25">
      <c r="A78" s="14" t="s">
        <v>381</v>
      </c>
      <c r="B78" s="8" t="s">
        <v>262</v>
      </c>
      <c r="C78" s="36" t="str">
        <f t="shared" ref="C78:H78" si="38">IF(OR(C53="",C77=""),"",IFERROR(C53/C77,""))</f>
        <v/>
      </c>
      <c r="D78" s="36">
        <f t="shared" si="38"/>
        <v>0.30619847621794416</v>
      </c>
      <c r="E78" s="36">
        <f t="shared" si="38"/>
        <v>0.36294205003508662</v>
      </c>
      <c r="F78" s="36" t="str">
        <f t="shared" si="38"/>
        <v/>
      </c>
      <c r="G78" s="36" t="str">
        <f t="shared" si="38"/>
        <v/>
      </c>
      <c r="H78" s="36" t="str">
        <f t="shared" si="38"/>
        <v/>
      </c>
      <c r="I78" s="30" t="s">
        <v>218</v>
      </c>
      <c r="J78" s="11" t="s">
        <v>382</v>
      </c>
    </row>
    <row r="79" spans="1:10" x14ac:dyDescent="0.25">
      <c r="A79" s="14" t="s">
        <v>276</v>
      </c>
      <c r="B79" s="8" t="s">
        <v>28</v>
      </c>
      <c r="C79" s="12"/>
      <c r="D79" s="26">
        <v>50.6</v>
      </c>
      <c r="E79" s="26">
        <v>88.6</v>
      </c>
      <c r="F79" s="12"/>
      <c r="G79" s="12"/>
      <c r="H79" s="12"/>
      <c r="I79" s="34" t="s">
        <v>234</v>
      </c>
      <c r="J79" s="11" t="s">
        <v>277</v>
      </c>
    </row>
    <row r="80" spans="1:10" x14ac:dyDescent="0.25">
      <c r="A80" s="14" t="s">
        <v>383</v>
      </c>
      <c r="B80" s="8" t="s">
        <v>262</v>
      </c>
      <c r="C80" s="36" t="str">
        <f t="shared" ref="C80:H80" si="39">IF(OR(C54="",C79=""),"",IFERROR(C54/C79,""))</f>
        <v/>
      </c>
      <c r="D80" s="36">
        <f t="shared" si="39"/>
        <v>0.28770693704531125</v>
      </c>
      <c r="E80" s="36">
        <f t="shared" si="39"/>
        <v>0.23502792024861691</v>
      </c>
      <c r="F80" s="36" t="str">
        <f t="shared" si="39"/>
        <v/>
      </c>
      <c r="G80" s="36" t="str">
        <f t="shared" si="39"/>
        <v/>
      </c>
      <c r="H80" s="36" t="str">
        <f t="shared" si="39"/>
        <v/>
      </c>
      <c r="I80" s="30" t="s">
        <v>218</v>
      </c>
      <c r="J80" s="11" t="s">
        <v>384</v>
      </c>
    </row>
    <row r="82" spans="1:10" x14ac:dyDescent="0.25">
      <c r="A82" s="67" t="s">
        <v>385</v>
      </c>
      <c r="B82" s="66"/>
      <c r="C82" s="66"/>
      <c r="D82" s="66"/>
      <c r="E82" s="66"/>
      <c r="F82" s="66"/>
      <c r="G82" s="66"/>
      <c r="H82" s="66"/>
      <c r="I82" s="66"/>
      <c r="J82" s="66"/>
    </row>
  </sheetData>
  <mergeCells count="2">
    <mergeCell ref="A82:J82"/>
    <mergeCell ref="A2:J2"/>
  </mergeCells>
  <conditionalFormatting sqref="C64:H64">
    <cfRule type="cellIs" dxfId="19" priority="1" operator="equal">
      <formula>"OK"</formula>
    </cfRule>
    <cfRule type="expression" dxfId="18" priority="2">
      <formula>LEFT(C64,3)="OFF"</formula>
    </cfRule>
  </conditionalFormatting>
  <conditionalFormatting sqref="C66:H66">
    <cfRule type="cellIs" dxfId="17" priority="3" operator="equal">
      <formula>"OK"</formula>
    </cfRule>
    <cfRule type="expression" dxfId="16" priority="4">
      <formula>LEFT(C66,3)="OFF"</formula>
    </cfRule>
  </conditionalFormatting>
  <conditionalFormatting sqref="C68:H68">
    <cfRule type="cellIs" dxfId="15" priority="5" operator="equal">
      <formula>"OK"</formula>
    </cfRule>
    <cfRule type="expression" dxfId="14" priority="6">
      <formula>LEFT(C68,3)="OFF"</formula>
    </cfRule>
  </conditionalFormatting>
  <conditionalFormatting sqref="C70:H70">
    <cfRule type="cellIs" dxfId="13" priority="7" operator="equal">
      <formula>"OK"</formula>
    </cfRule>
    <cfRule type="expression" dxfId="12" priority="8">
      <formula>LEFT(C70,3)="OFF"</formula>
    </cfRule>
  </conditionalFormatting>
  <conditionalFormatting sqref="C72:H72">
    <cfRule type="cellIs" dxfId="11" priority="9" operator="equal">
      <formula>"OK"</formula>
    </cfRule>
    <cfRule type="expression" dxfId="10" priority="10">
      <formula>LEFT(C72,3)="OFF"</formula>
    </cfRule>
  </conditionalFormatting>
  <conditionalFormatting sqref="C74:H74">
    <cfRule type="cellIs" dxfId="9" priority="11" operator="equal">
      <formula>"OK"</formula>
    </cfRule>
    <cfRule type="expression" dxfId="8" priority="12">
      <formula>LEFT(C74,3)="OFF"</formula>
    </cfRule>
  </conditionalFormatting>
  <conditionalFormatting sqref="C76:H76">
    <cfRule type="cellIs" dxfId="7" priority="13" operator="equal">
      <formula>"OK"</formula>
    </cfRule>
    <cfRule type="expression" dxfId="6" priority="14">
      <formula>LEFT(C76,3)="OFF"</formula>
    </cfRule>
  </conditionalFormatting>
  <pageMargins left="0.4" right="0.4" top="0.5" bottom="0.5" header="0.5" footer="0.5"/>
  <pageSetup paperSize="9" scale="67" fitToHeight="0" orientation="landscape" r:id="rId1"/>
  <headerFooter>
    <oddFooter>&amp;C&amp;8NSR (18-Sep-2026) vs Capstone — &amp;A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94"/>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50" customWidth="1"/>
    <col min="2" max="2" width="9" customWidth="1"/>
    <col min="3" max="8" width="11" customWidth="1"/>
    <col min="9" max="9" width="10" customWidth="1"/>
    <col min="10" max="10" width="72" customWidth="1"/>
  </cols>
  <sheetData>
    <row r="1" spans="1:10" ht="24" customHeight="1" x14ac:dyDescent="0.25">
      <c r="A1" s="1" t="s">
        <v>386</v>
      </c>
    </row>
    <row r="2" spans="1:10" ht="39" customHeight="1" x14ac:dyDescent="0.25">
      <c r="A2" s="67" t="s">
        <v>387</v>
      </c>
      <c r="B2" s="66"/>
      <c r="C2" s="66"/>
      <c r="D2" s="66"/>
      <c r="E2" s="66"/>
      <c r="F2" s="66"/>
      <c r="G2" s="66"/>
      <c r="H2" s="66"/>
      <c r="I2" s="66"/>
      <c r="J2" s="66"/>
    </row>
    <row r="3" spans="1:10" ht="8.1" customHeight="1" x14ac:dyDescent="0.25"/>
    <row r="4" spans="1:10" ht="30" customHeight="1" x14ac:dyDescent="0.25">
      <c r="A4" s="5" t="s">
        <v>196</v>
      </c>
      <c r="B4" s="5" t="s">
        <v>19</v>
      </c>
      <c r="C4" s="6" t="s">
        <v>103</v>
      </c>
      <c r="D4" s="6" t="s">
        <v>104</v>
      </c>
      <c r="E4" s="6" t="s">
        <v>105</v>
      </c>
      <c r="F4" s="6" t="s">
        <v>106</v>
      </c>
      <c r="G4" s="6" t="s">
        <v>107</v>
      </c>
      <c r="H4" s="6" t="s">
        <v>108</v>
      </c>
      <c r="I4" s="5" t="s">
        <v>197</v>
      </c>
      <c r="J4" s="5" t="s">
        <v>198</v>
      </c>
    </row>
    <row r="5" spans="1:10" x14ac:dyDescent="0.25">
      <c r="A5" s="15" t="s">
        <v>199</v>
      </c>
      <c r="B5" s="16"/>
      <c r="C5" s="16"/>
      <c r="D5" s="16"/>
      <c r="E5" s="16"/>
      <c r="F5" s="16"/>
      <c r="G5" s="16"/>
      <c r="H5" s="16"/>
      <c r="I5" s="16"/>
      <c r="J5" s="16"/>
    </row>
    <row r="6" spans="1:10" x14ac:dyDescent="0.25">
      <c r="A6" s="21" t="s">
        <v>388</v>
      </c>
      <c r="B6" s="22" t="s">
        <v>28</v>
      </c>
      <c r="C6" s="23">
        <f>IF(NSR_Memory!C13="","",NSR_Memory!C13)</f>
        <v>34</v>
      </c>
      <c r="D6" s="23">
        <f>IF(NSR_Memory!D13="","",NSR_Memory!D13)</f>
        <v>82</v>
      </c>
      <c r="E6" s="23">
        <f>IF(NSR_Memory!E13="","",NSR_Memory!E13)</f>
        <v>189</v>
      </c>
      <c r="F6" s="23">
        <f>IF(NSR_Memory!F13="","",NSR_Memory!F13)</f>
        <v>332</v>
      </c>
      <c r="G6" s="23">
        <f>IF(NSR_Memory!G13="","",NSR_Memory!G13)</f>
        <v>457</v>
      </c>
      <c r="H6" s="23">
        <f>IF(NSR_Memory!H13="","",NSR_Memory!H13)</f>
        <v>560</v>
      </c>
      <c r="I6" s="24" t="s">
        <v>201</v>
      </c>
      <c r="J6" s="25" t="s">
        <v>389</v>
      </c>
    </row>
    <row r="7" spans="1:10" x14ac:dyDescent="0.25">
      <c r="A7" s="14" t="s">
        <v>390</v>
      </c>
      <c r="B7" s="8" t="s">
        <v>28</v>
      </c>
      <c r="C7" s="9">
        <f>IF(House!E41="","",House!E41)</f>
        <v>35</v>
      </c>
      <c r="D7" s="9">
        <f>IF(House!F41="","",House!F41)</f>
        <v>77.400000000000006</v>
      </c>
      <c r="E7" s="9">
        <f>IF(House!G41="","",House!G41)</f>
        <v>193.8</v>
      </c>
      <c r="F7" s="9">
        <f>IF(House!H41="","",House!H41)</f>
        <v>224</v>
      </c>
      <c r="G7" s="9">
        <f>IF(House!I41="","",House!I41)</f>
        <v>255.4</v>
      </c>
      <c r="H7" s="9">
        <f>IF(House!J41="","",House!J41)</f>
        <v>283.39999999999998</v>
      </c>
      <c r="I7" s="30" t="s">
        <v>201</v>
      </c>
      <c r="J7" s="11" t="s">
        <v>391</v>
      </c>
    </row>
    <row r="8" spans="1:10" x14ac:dyDescent="0.25">
      <c r="A8" s="14" t="s">
        <v>392</v>
      </c>
      <c r="B8" s="8" t="s">
        <v>28</v>
      </c>
      <c r="C8" s="9">
        <f>IF(House!E85="","",House!E85)</f>
        <v>27</v>
      </c>
      <c r="D8" s="9">
        <f>IF(House!F85="","",House!F85)</f>
        <v>63.7</v>
      </c>
      <c r="E8" s="9">
        <f>IF(House!G85="","",House!G85)</f>
        <v>127.8</v>
      </c>
      <c r="F8" s="9">
        <f>IF(House!H85="","",House!H85)</f>
        <v>281.5</v>
      </c>
      <c r="G8" s="9" t="str">
        <f>IF(House!I85="","",House!I85)</f>
        <v/>
      </c>
      <c r="H8" s="9" t="str">
        <f>IF(House!J85="","",House!J85)</f>
        <v/>
      </c>
      <c r="I8" s="30" t="s">
        <v>201</v>
      </c>
      <c r="J8" s="11" t="s">
        <v>393</v>
      </c>
    </row>
    <row r="9" spans="1:10" x14ac:dyDescent="0.25">
      <c r="A9" s="21" t="s">
        <v>394</v>
      </c>
      <c r="B9" s="22" t="s">
        <v>28</v>
      </c>
      <c r="C9" s="23">
        <f>IF(NSR_Memory!C30="","",NSR_Memory!C30)</f>
        <v>17</v>
      </c>
      <c r="D9" s="23">
        <f>IF(NSR_Memory!D30="","",NSR_Memory!D30)</f>
        <v>100</v>
      </c>
      <c r="E9" s="23">
        <f>IF(NSR_Memory!E30="","",NSR_Memory!E30)</f>
        <v>211</v>
      </c>
      <c r="F9" s="23">
        <f>IF(NSR_Memory!F30="","",NSR_Memory!F30)</f>
        <v>273</v>
      </c>
      <c r="G9" s="23">
        <f>IF(NSR_Memory!G30="","",NSR_Memory!G30)</f>
        <v>250</v>
      </c>
      <c r="H9" s="23">
        <f>IF(NSR_Memory!H30="","",NSR_Memory!H30)</f>
        <v>241</v>
      </c>
      <c r="I9" s="24" t="s">
        <v>201</v>
      </c>
      <c r="J9" s="25" t="s">
        <v>389</v>
      </c>
    </row>
    <row r="10" spans="1:10" x14ac:dyDescent="0.25">
      <c r="A10" s="14" t="s">
        <v>395</v>
      </c>
      <c r="B10" s="8" t="s">
        <v>28</v>
      </c>
      <c r="C10" s="9">
        <f>IF(House!E42="","",House!E42)</f>
        <v>19.5</v>
      </c>
      <c r="D10" s="9">
        <f>IF(House!F42="","",House!F42)</f>
        <v>91.3</v>
      </c>
      <c r="E10" s="9">
        <f>IF(House!G42="","",House!G42)</f>
        <v>134.4</v>
      </c>
      <c r="F10" s="9">
        <f>IF(House!H42="","",House!H42)</f>
        <v>141.80000000000001</v>
      </c>
      <c r="G10" s="9">
        <f>IF(House!I42="","",House!I42)</f>
        <v>148.19999999999999</v>
      </c>
      <c r="H10" s="9">
        <f>IF(House!J42="","",House!J42)</f>
        <v>164.9</v>
      </c>
      <c r="I10" s="30" t="s">
        <v>201</v>
      </c>
      <c r="J10" s="11" t="s">
        <v>396</v>
      </c>
    </row>
    <row r="11" spans="1:10" x14ac:dyDescent="0.25">
      <c r="A11" s="21" t="s">
        <v>397</v>
      </c>
      <c r="B11" s="22" t="s">
        <v>28</v>
      </c>
      <c r="C11" s="23">
        <f>IF(NSR_Memory!C35="","",NSR_Memory!C35)</f>
        <v>9</v>
      </c>
      <c r="D11" s="23">
        <f>IF(NSR_Memory!D35="","",NSR_Memory!D35)</f>
        <v>60</v>
      </c>
      <c r="E11" s="23">
        <f>IF(NSR_Memory!E35="","",NSR_Memory!E35)</f>
        <v>127</v>
      </c>
      <c r="F11" s="23">
        <f>IF(NSR_Memory!F35="","",NSR_Memory!F35)</f>
        <v>186</v>
      </c>
      <c r="G11" s="23">
        <f>IF(NSR_Memory!G35="","",NSR_Memory!G35)</f>
        <v>181</v>
      </c>
      <c r="H11" s="23">
        <f>IF(NSR_Memory!H35="","",NSR_Memory!H35)</f>
        <v>182</v>
      </c>
      <c r="I11" s="24" t="s">
        <v>201</v>
      </c>
      <c r="J11" s="25" t="s">
        <v>389</v>
      </c>
    </row>
    <row r="12" spans="1:10" x14ac:dyDescent="0.25">
      <c r="A12" s="14" t="s">
        <v>398</v>
      </c>
      <c r="B12" s="8" t="s">
        <v>28</v>
      </c>
      <c r="C12" s="9">
        <f>IF(House!E43="","",House!E43)</f>
        <v>22.8</v>
      </c>
      <c r="D12" s="9">
        <f>IF(House!F43="","",House!F43)</f>
        <v>119.7</v>
      </c>
      <c r="E12" s="9">
        <f>IF(House!G43="","",House!G43)</f>
        <v>182.4</v>
      </c>
      <c r="F12" s="9">
        <f>IF(House!H43="","",House!H43)</f>
        <v>204</v>
      </c>
      <c r="G12" s="9">
        <f>IF(House!I43="","",House!I43)</f>
        <v>222</v>
      </c>
      <c r="H12" s="9">
        <f>IF(House!J43="","",House!J43)</f>
        <v>240</v>
      </c>
      <c r="I12" s="30" t="s">
        <v>201</v>
      </c>
      <c r="J12" s="11" t="s">
        <v>399</v>
      </c>
    </row>
    <row r="14" spans="1:10" x14ac:dyDescent="0.25">
      <c r="A14" s="15" t="s">
        <v>400</v>
      </c>
      <c r="B14" s="16"/>
      <c r="C14" s="16"/>
      <c r="D14" s="16"/>
      <c r="E14" s="16"/>
      <c r="F14" s="16"/>
      <c r="G14" s="16"/>
      <c r="H14" s="16"/>
      <c r="I14" s="16"/>
      <c r="J14" s="16"/>
    </row>
    <row r="15" spans="1:10" ht="60" x14ac:dyDescent="0.25">
      <c r="A15" s="14" t="s">
        <v>401</v>
      </c>
      <c r="B15" s="8" t="s">
        <v>223</v>
      </c>
      <c r="C15" s="33">
        <v>0.6</v>
      </c>
      <c r="D15" s="33">
        <v>0.56999999999999995</v>
      </c>
      <c r="E15" s="33">
        <v>0.5</v>
      </c>
      <c r="F15" s="33">
        <v>0.47</v>
      </c>
      <c r="G15" s="31">
        <f t="shared" ref="G15:G20" si="0">F15</f>
        <v>0.47</v>
      </c>
      <c r="H15" s="31">
        <f t="shared" ref="H15:H20" si="1">F15</f>
        <v>0.47</v>
      </c>
      <c r="I15" s="27" t="s">
        <v>207</v>
      </c>
      <c r="J15" s="11" t="s">
        <v>402</v>
      </c>
    </row>
    <row r="16" spans="1:10" x14ac:dyDescent="0.25">
      <c r="A16" s="14" t="s">
        <v>403</v>
      </c>
      <c r="B16" s="8" t="s">
        <v>223</v>
      </c>
      <c r="C16" s="33">
        <v>0.17</v>
      </c>
      <c r="D16" s="33">
        <v>0.18</v>
      </c>
      <c r="E16" s="33">
        <v>0.25</v>
      </c>
      <c r="F16" s="33">
        <v>0.28000000000000003</v>
      </c>
      <c r="G16" s="31">
        <f t="shared" si="0"/>
        <v>0.28000000000000003</v>
      </c>
      <c r="H16" s="31">
        <f t="shared" si="1"/>
        <v>0.28000000000000003</v>
      </c>
      <c r="I16" s="27" t="s">
        <v>207</v>
      </c>
      <c r="J16" s="11" t="s">
        <v>212</v>
      </c>
    </row>
    <row r="17" spans="1:10" x14ac:dyDescent="0.25">
      <c r="A17" s="14" t="s">
        <v>404</v>
      </c>
      <c r="B17" s="8" t="s">
        <v>223</v>
      </c>
      <c r="C17" s="33">
        <v>0.23</v>
      </c>
      <c r="D17" s="33">
        <v>0.25</v>
      </c>
      <c r="E17" s="33">
        <v>0.25</v>
      </c>
      <c r="F17" s="33">
        <v>0.25</v>
      </c>
      <c r="G17" s="31">
        <f t="shared" si="0"/>
        <v>0.25</v>
      </c>
      <c r="H17" s="31">
        <f t="shared" si="1"/>
        <v>0.25</v>
      </c>
      <c r="I17" s="27" t="s">
        <v>207</v>
      </c>
      <c r="J17" s="11" t="s">
        <v>212</v>
      </c>
    </row>
    <row r="18" spans="1:10" ht="60" x14ac:dyDescent="0.25">
      <c r="A18" s="14" t="s">
        <v>405</v>
      </c>
      <c r="B18" s="8" t="s">
        <v>223</v>
      </c>
      <c r="C18" s="33">
        <v>0.6</v>
      </c>
      <c r="D18" s="33">
        <v>0.54</v>
      </c>
      <c r="E18" s="33">
        <v>0.48</v>
      </c>
      <c r="F18" s="33">
        <v>0.42</v>
      </c>
      <c r="G18" s="31">
        <f t="shared" si="0"/>
        <v>0.42</v>
      </c>
      <c r="H18" s="31">
        <f t="shared" si="1"/>
        <v>0.42</v>
      </c>
      <c r="I18" s="39" t="s">
        <v>406</v>
      </c>
      <c r="J18" s="11" t="s">
        <v>407</v>
      </c>
    </row>
    <row r="19" spans="1:10" x14ac:dyDescent="0.25">
      <c r="A19" s="14" t="s">
        <v>408</v>
      </c>
      <c r="B19" s="8" t="s">
        <v>223</v>
      </c>
      <c r="C19" s="33">
        <v>0.2</v>
      </c>
      <c r="D19" s="33">
        <v>0.26</v>
      </c>
      <c r="E19" s="33">
        <v>0.31</v>
      </c>
      <c r="F19" s="33">
        <v>0.38</v>
      </c>
      <c r="G19" s="31">
        <f t="shared" si="0"/>
        <v>0.38</v>
      </c>
      <c r="H19" s="31">
        <f t="shared" si="1"/>
        <v>0.38</v>
      </c>
      <c r="I19" s="39" t="s">
        <v>406</v>
      </c>
      <c r="J19" s="11" t="s">
        <v>212</v>
      </c>
    </row>
    <row r="20" spans="1:10" x14ac:dyDescent="0.25">
      <c r="A20" s="14" t="s">
        <v>409</v>
      </c>
      <c r="B20" s="8" t="s">
        <v>223</v>
      </c>
      <c r="C20" s="33">
        <v>0.2</v>
      </c>
      <c r="D20" s="33">
        <v>0.2</v>
      </c>
      <c r="E20" s="33">
        <v>0.21</v>
      </c>
      <c r="F20" s="33">
        <v>0.2</v>
      </c>
      <c r="G20" s="31">
        <f t="shared" si="0"/>
        <v>0.2</v>
      </c>
      <c r="H20" s="31">
        <f t="shared" si="1"/>
        <v>0.2</v>
      </c>
      <c r="I20" s="39" t="s">
        <v>406</v>
      </c>
      <c r="J20" s="11" t="s">
        <v>410</v>
      </c>
    </row>
    <row r="21" spans="1:10" ht="25.5" x14ac:dyDescent="0.25">
      <c r="A21" s="14" t="s">
        <v>411</v>
      </c>
      <c r="B21" s="8" t="s">
        <v>223</v>
      </c>
      <c r="C21" s="12"/>
      <c r="D21" s="12"/>
      <c r="E21" s="12"/>
      <c r="F21" s="12"/>
      <c r="G21" s="33">
        <v>0.36</v>
      </c>
      <c r="H21" s="33">
        <v>0.3</v>
      </c>
      <c r="I21" s="27" t="s">
        <v>339</v>
      </c>
      <c r="J21" s="11" t="s">
        <v>412</v>
      </c>
    </row>
    <row r="22" spans="1:10" ht="25.5" x14ac:dyDescent="0.25">
      <c r="A22" s="14" t="s">
        <v>413</v>
      </c>
      <c r="B22" s="8" t="s">
        <v>223</v>
      </c>
      <c r="C22" s="12"/>
      <c r="D22" s="12"/>
      <c r="E22" s="12"/>
      <c r="F22" s="12"/>
      <c r="G22" s="33">
        <v>0.44</v>
      </c>
      <c r="H22" s="33">
        <v>0.5</v>
      </c>
      <c r="I22" s="27" t="s">
        <v>339</v>
      </c>
      <c r="J22" s="11" t="s">
        <v>414</v>
      </c>
    </row>
    <row r="23" spans="1:10" ht="60" x14ac:dyDescent="0.25">
      <c r="A23" s="14" t="s">
        <v>415</v>
      </c>
      <c r="B23" s="8" t="s">
        <v>223</v>
      </c>
      <c r="C23" s="33">
        <v>0.59</v>
      </c>
      <c r="D23" s="33">
        <v>0.48</v>
      </c>
      <c r="E23" s="33">
        <v>0.39</v>
      </c>
      <c r="F23" s="12"/>
      <c r="G23" s="12"/>
      <c r="H23" s="12"/>
      <c r="I23" s="34" t="s">
        <v>234</v>
      </c>
      <c r="J23" s="11" t="s">
        <v>416</v>
      </c>
    </row>
    <row r="24" spans="1:10" ht="24" x14ac:dyDescent="0.25">
      <c r="A24" s="14" t="s">
        <v>417</v>
      </c>
      <c r="B24" s="8" t="s">
        <v>223</v>
      </c>
      <c r="C24" s="33">
        <v>0.2</v>
      </c>
      <c r="D24" s="33">
        <v>0.3</v>
      </c>
      <c r="E24" s="33">
        <v>0.41</v>
      </c>
      <c r="F24" s="12"/>
      <c r="G24" s="12"/>
      <c r="H24" s="12"/>
      <c r="I24" s="34" t="s">
        <v>234</v>
      </c>
      <c r="J24" s="11" t="s">
        <v>418</v>
      </c>
    </row>
    <row r="25" spans="1:10" x14ac:dyDescent="0.25">
      <c r="A25" s="14" t="s">
        <v>419</v>
      </c>
      <c r="B25" s="8" t="s">
        <v>223</v>
      </c>
      <c r="C25" s="33">
        <v>0.21</v>
      </c>
      <c r="D25" s="33">
        <v>0.21</v>
      </c>
      <c r="E25" s="33">
        <v>0.2</v>
      </c>
      <c r="F25" s="12"/>
      <c r="G25" s="12"/>
      <c r="H25" s="12"/>
      <c r="I25" s="34" t="s">
        <v>234</v>
      </c>
      <c r="J25" s="11" t="s">
        <v>420</v>
      </c>
    </row>
    <row r="27" spans="1:10" x14ac:dyDescent="0.25">
      <c r="A27" s="15" t="s">
        <v>421</v>
      </c>
      <c r="B27" s="16"/>
      <c r="C27" s="16"/>
      <c r="D27" s="16"/>
      <c r="E27" s="16"/>
      <c r="F27" s="16"/>
      <c r="G27" s="16"/>
      <c r="H27" s="16"/>
      <c r="I27" s="16"/>
      <c r="J27" s="16"/>
    </row>
    <row r="28" spans="1:10" ht="60" x14ac:dyDescent="0.25">
      <c r="A28" s="14" t="s">
        <v>422</v>
      </c>
      <c r="B28" s="8" t="s">
        <v>423</v>
      </c>
      <c r="C28" s="26">
        <v>120.1</v>
      </c>
      <c r="D28" s="26">
        <v>146.6</v>
      </c>
      <c r="E28" s="26">
        <v>173.9</v>
      </c>
      <c r="F28" s="26">
        <v>213.3</v>
      </c>
      <c r="G28" s="12"/>
      <c r="H28" s="12"/>
      <c r="I28" s="39" t="s">
        <v>331</v>
      </c>
      <c r="J28" s="11" t="s">
        <v>424</v>
      </c>
    </row>
    <row r="29" spans="1:10" x14ac:dyDescent="0.25">
      <c r="A29" s="14" t="s">
        <v>425</v>
      </c>
      <c r="B29" s="8" t="s">
        <v>423</v>
      </c>
      <c r="C29" s="26">
        <v>93.1</v>
      </c>
      <c r="D29" s="26">
        <v>117</v>
      </c>
      <c r="E29" s="26">
        <v>137.30000000000001</v>
      </c>
      <c r="F29" s="26">
        <v>171.1</v>
      </c>
      <c r="G29" s="12"/>
      <c r="H29" s="12"/>
      <c r="I29" s="39" t="s">
        <v>331</v>
      </c>
      <c r="J29" s="11" t="s">
        <v>426</v>
      </c>
    </row>
    <row r="30" spans="1:10" x14ac:dyDescent="0.25">
      <c r="A30" s="14" t="s">
        <v>427</v>
      </c>
      <c r="B30" s="8" t="s">
        <v>423</v>
      </c>
      <c r="C30" s="26">
        <v>73.599999999999994</v>
      </c>
      <c r="D30" s="26">
        <v>91</v>
      </c>
      <c r="E30" s="26">
        <v>107.1</v>
      </c>
      <c r="F30" s="26">
        <v>135.6</v>
      </c>
      <c r="G30" s="12"/>
      <c r="H30" s="12"/>
      <c r="I30" s="39" t="s">
        <v>331</v>
      </c>
      <c r="J30" s="11" t="s">
        <v>212</v>
      </c>
    </row>
    <row r="31" spans="1:10" x14ac:dyDescent="0.25">
      <c r="A31" s="14" t="s">
        <v>428</v>
      </c>
      <c r="B31" s="8" t="s">
        <v>423</v>
      </c>
      <c r="C31" s="26">
        <v>22</v>
      </c>
      <c r="D31" s="26">
        <v>28.4</v>
      </c>
      <c r="E31" s="26">
        <v>39</v>
      </c>
      <c r="F31" s="26">
        <v>64</v>
      </c>
      <c r="G31" s="12"/>
      <c r="H31" s="12"/>
      <c r="I31" s="39" t="s">
        <v>331</v>
      </c>
      <c r="J31" s="11" t="s">
        <v>212</v>
      </c>
    </row>
    <row r="32" spans="1:10" x14ac:dyDescent="0.25">
      <c r="A32" s="14" t="s">
        <v>429</v>
      </c>
      <c r="B32" s="8" t="s">
        <v>423</v>
      </c>
      <c r="C32" s="26">
        <v>5.8</v>
      </c>
      <c r="D32" s="26">
        <v>6.2</v>
      </c>
      <c r="E32" s="26">
        <v>7</v>
      </c>
      <c r="F32" s="26">
        <v>9.5</v>
      </c>
      <c r="G32" s="12"/>
      <c r="H32" s="12"/>
      <c r="I32" s="39" t="s">
        <v>331</v>
      </c>
      <c r="J32" s="11" t="s">
        <v>430</v>
      </c>
    </row>
    <row r="33" spans="1:10" x14ac:dyDescent="0.25">
      <c r="A33" s="21" t="s">
        <v>431</v>
      </c>
      <c r="B33" s="22" t="s">
        <v>423</v>
      </c>
      <c r="C33" s="28">
        <f>SUM(C28:C32)</f>
        <v>314.59999999999997</v>
      </c>
      <c r="D33" s="28">
        <f>SUM(D28:D32)</f>
        <v>389.2</v>
      </c>
      <c r="E33" s="28">
        <f>SUM(E28:E32)</f>
        <v>464.30000000000007</v>
      </c>
      <c r="F33" s="28">
        <f>SUM(F28:F32)</f>
        <v>593.5</v>
      </c>
      <c r="G33" s="41"/>
      <c r="H33" s="41"/>
      <c r="I33" s="24" t="s">
        <v>218</v>
      </c>
      <c r="J33" s="25"/>
    </row>
    <row r="34" spans="1:10" x14ac:dyDescent="0.25">
      <c r="A34" s="14" t="s">
        <v>432</v>
      </c>
      <c r="B34" s="8" t="s">
        <v>223</v>
      </c>
      <c r="C34" s="31">
        <f>IF(OR(C28="",C33=""),"",C28/C33)</f>
        <v>0.38175460902733632</v>
      </c>
      <c r="D34" s="31">
        <f>IF(OR(D28="",D33=""),"",D28/D33)</f>
        <v>0.37667009249743061</v>
      </c>
      <c r="E34" s="31">
        <f>IF(OR(E28="",E33=""),"",E28/E33)</f>
        <v>0.37454232177471458</v>
      </c>
      <c r="F34" s="31">
        <f>IF(OR(F28="",F33=""),"",F28/F33)</f>
        <v>0.35939342881213143</v>
      </c>
      <c r="G34" s="31">
        <f>F34</f>
        <v>0.35939342881213143</v>
      </c>
      <c r="H34" s="31">
        <f>F34</f>
        <v>0.35939342881213143</v>
      </c>
      <c r="I34" s="39" t="s">
        <v>331</v>
      </c>
      <c r="J34" s="11" t="s">
        <v>433</v>
      </c>
    </row>
    <row r="35" spans="1:10" x14ac:dyDescent="0.25">
      <c r="A35" s="14" t="s">
        <v>434</v>
      </c>
      <c r="B35" s="8" t="s">
        <v>223</v>
      </c>
      <c r="C35" s="31">
        <f>IF(OR(C29="",C33=""),"",C29/C33)</f>
        <v>0.29593134138588684</v>
      </c>
      <c r="D35" s="31">
        <f>IF(OR(D29="",D33=""),"",D29/D33)</f>
        <v>0.30061664953751288</v>
      </c>
      <c r="E35" s="31">
        <f>IF(OR(E29="",E33=""),"",E29/E33)</f>
        <v>0.29571397803144517</v>
      </c>
      <c r="F35" s="31">
        <f>IF(OR(F29="",F33=""),"",F29/F33)</f>
        <v>0.28828980623420386</v>
      </c>
      <c r="G35" s="31">
        <f>F35</f>
        <v>0.28828980623420386</v>
      </c>
      <c r="H35" s="31">
        <f>F35</f>
        <v>0.28828980623420386</v>
      </c>
      <c r="I35" s="39" t="s">
        <v>331</v>
      </c>
      <c r="J35" s="11" t="s">
        <v>433</v>
      </c>
    </row>
    <row r="36" spans="1:10" x14ac:dyDescent="0.25">
      <c r="A36" s="14" t="s">
        <v>435</v>
      </c>
      <c r="B36" s="8" t="s">
        <v>223</v>
      </c>
      <c r="C36" s="31">
        <f>IF(OR(C30="",C33=""),"",C30/C33)</f>
        <v>0.23394787031150668</v>
      </c>
      <c r="D36" s="31">
        <f>IF(OR(D30="",D33=""),"",D30/D33)</f>
        <v>0.23381294964028779</v>
      </c>
      <c r="E36" s="31">
        <f>IF(OR(E30="",E33=""),"",E30/E33)</f>
        <v>0.23066982554382937</v>
      </c>
      <c r="F36" s="31">
        <f>IF(OR(F30="",F33=""),"",F30/F33)</f>
        <v>0.22847514743049704</v>
      </c>
      <c r="G36" s="31">
        <f>F36</f>
        <v>0.22847514743049704</v>
      </c>
      <c r="H36" s="31">
        <f>F36</f>
        <v>0.22847514743049704</v>
      </c>
      <c r="I36" s="39" t="s">
        <v>331</v>
      </c>
      <c r="J36" s="11" t="s">
        <v>433</v>
      </c>
    </row>
    <row r="37" spans="1:10" x14ac:dyDescent="0.25">
      <c r="A37" s="14" t="s">
        <v>436</v>
      </c>
      <c r="B37" s="8" t="s">
        <v>223</v>
      </c>
      <c r="C37" s="31">
        <f>IF(OR(C31="",C33=""),"",C31/C33)</f>
        <v>6.9930069930069935E-2</v>
      </c>
      <c r="D37" s="31">
        <f>IF(OR(D31="",D33=""),"",D31/D33)</f>
        <v>7.2970195272353544E-2</v>
      </c>
      <c r="E37" s="31">
        <f>IF(OR(E31="",E33=""),"",E31/E33)</f>
        <v>8.3997415464139552E-2</v>
      </c>
      <c r="F37" s="31">
        <f>IF(OR(F31="",F33=""),"",F31/F33)</f>
        <v>0.10783487784330244</v>
      </c>
      <c r="G37" s="31">
        <f>F37</f>
        <v>0.10783487784330244</v>
      </c>
      <c r="H37" s="31">
        <f>F37</f>
        <v>0.10783487784330244</v>
      </c>
      <c r="I37" s="39" t="s">
        <v>331</v>
      </c>
      <c r="J37" s="11" t="s">
        <v>433</v>
      </c>
    </row>
    <row r="38" spans="1:10" x14ac:dyDescent="0.25">
      <c r="A38" s="14" t="s">
        <v>437</v>
      </c>
      <c r="B38" s="8" t="s">
        <v>223</v>
      </c>
      <c r="C38" s="31">
        <f>IF(OR(C32="",C33=""),"",C32/C33)</f>
        <v>1.8436109345200256E-2</v>
      </c>
      <c r="D38" s="31">
        <f>IF(OR(D32="",D33=""),"",D32/D33)</f>
        <v>1.593011305241521E-2</v>
      </c>
      <c r="E38" s="31">
        <f>IF(OR(E32="",E33=""),"",E32/E33)</f>
        <v>1.5076459185871202E-2</v>
      </c>
      <c r="F38" s="31">
        <f>IF(OR(F32="",F33=""),"",F32/F33)</f>
        <v>1.6006739679865205E-2</v>
      </c>
      <c r="G38" s="31">
        <f>F38</f>
        <v>1.6006739679865205E-2</v>
      </c>
      <c r="H38" s="31">
        <f>F38</f>
        <v>1.6006739679865205E-2</v>
      </c>
      <c r="I38" s="39" t="s">
        <v>331</v>
      </c>
      <c r="J38" s="11" t="s">
        <v>433</v>
      </c>
    </row>
    <row r="39" spans="1:10" ht="24" x14ac:dyDescent="0.25">
      <c r="A39" s="14" t="s">
        <v>438</v>
      </c>
      <c r="B39" s="8" t="s">
        <v>223</v>
      </c>
      <c r="C39" s="33">
        <v>0.03</v>
      </c>
      <c r="D39" s="33">
        <v>0.03</v>
      </c>
      <c r="E39" s="33">
        <v>0.03</v>
      </c>
      <c r="F39" s="33">
        <v>0.03</v>
      </c>
      <c r="G39" s="33">
        <v>0.03</v>
      </c>
      <c r="H39" s="33">
        <v>0.03</v>
      </c>
      <c r="I39" s="27" t="s">
        <v>207</v>
      </c>
      <c r="J39" s="11" t="s">
        <v>439</v>
      </c>
    </row>
    <row r="41" spans="1:10" x14ac:dyDescent="0.25">
      <c r="A41" s="15" t="s">
        <v>440</v>
      </c>
      <c r="B41" s="16"/>
      <c r="C41" s="16"/>
      <c r="D41" s="16"/>
      <c r="E41" s="16"/>
      <c r="F41" s="16"/>
      <c r="G41" s="16"/>
      <c r="H41" s="16"/>
      <c r="I41" s="16"/>
      <c r="J41" s="16"/>
    </row>
    <row r="42" spans="1:10" ht="60" x14ac:dyDescent="0.25">
      <c r="A42" s="14" t="s">
        <v>441</v>
      </c>
      <c r="B42" s="8" t="s">
        <v>223</v>
      </c>
      <c r="C42" s="33">
        <v>0.35099999999999998</v>
      </c>
      <c r="D42" s="31">
        <f>C42</f>
        <v>0.35099999999999998</v>
      </c>
      <c r="E42" s="31">
        <f>C42</f>
        <v>0.35099999999999998</v>
      </c>
      <c r="F42" s="31">
        <f>C42</f>
        <v>0.35099999999999998</v>
      </c>
      <c r="G42" s="31">
        <f>C42</f>
        <v>0.35099999999999998</v>
      </c>
      <c r="H42" s="31">
        <f>C42</f>
        <v>0.35099999999999998</v>
      </c>
      <c r="I42" s="34" t="s">
        <v>234</v>
      </c>
      <c r="J42" s="11" t="s">
        <v>442</v>
      </c>
    </row>
    <row r="43" spans="1:10" x14ac:dyDescent="0.25">
      <c r="A43" s="14" t="s">
        <v>443</v>
      </c>
      <c r="B43" s="8" t="s">
        <v>223</v>
      </c>
      <c r="C43" s="33">
        <v>0.21099999999999999</v>
      </c>
      <c r="D43" s="31">
        <f>C43</f>
        <v>0.21099999999999999</v>
      </c>
      <c r="E43" s="31">
        <f>C43</f>
        <v>0.21099999999999999</v>
      </c>
      <c r="F43" s="31">
        <f>C43</f>
        <v>0.21099999999999999</v>
      </c>
      <c r="G43" s="31">
        <f>C43</f>
        <v>0.21099999999999999</v>
      </c>
      <c r="H43" s="31">
        <f>C43</f>
        <v>0.21099999999999999</v>
      </c>
      <c r="I43" s="34" t="s">
        <v>234</v>
      </c>
      <c r="J43" s="11" t="s">
        <v>212</v>
      </c>
    </row>
    <row r="44" spans="1:10" x14ac:dyDescent="0.25">
      <c r="A44" s="14" t="s">
        <v>444</v>
      </c>
      <c r="B44" s="8" t="s">
        <v>223</v>
      </c>
      <c r="C44" s="33">
        <v>0.17100000000000001</v>
      </c>
      <c r="D44" s="31">
        <f>C44</f>
        <v>0.17100000000000001</v>
      </c>
      <c r="E44" s="31">
        <f>C44</f>
        <v>0.17100000000000001</v>
      </c>
      <c r="F44" s="31">
        <f>C44</f>
        <v>0.17100000000000001</v>
      </c>
      <c r="G44" s="31">
        <f>C44</f>
        <v>0.17100000000000001</v>
      </c>
      <c r="H44" s="31">
        <f>C44</f>
        <v>0.17100000000000001</v>
      </c>
      <c r="I44" s="34" t="s">
        <v>234</v>
      </c>
      <c r="J44" s="11" t="s">
        <v>212</v>
      </c>
    </row>
    <row r="45" spans="1:10" x14ac:dyDescent="0.25">
      <c r="A45" s="14" t="s">
        <v>445</v>
      </c>
      <c r="B45" s="8" t="s">
        <v>223</v>
      </c>
      <c r="C45" s="33">
        <v>0.11</v>
      </c>
      <c r="D45" s="31">
        <f>C45</f>
        <v>0.11</v>
      </c>
      <c r="E45" s="31">
        <f>C45</f>
        <v>0.11</v>
      </c>
      <c r="F45" s="31">
        <f>C45</f>
        <v>0.11</v>
      </c>
      <c r="G45" s="31">
        <f>C45</f>
        <v>0.11</v>
      </c>
      <c r="H45" s="31">
        <f>C45</f>
        <v>0.11</v>
      </c>
      <c r="I45" s="34" t="s">
        <v>234</v>
      </c>
      <c r="J45" s="11" t="s">
        <v>446</v>
      </c>
    </row>
    <row r="46" spans="1:10" x14ac:dyDescent="0.25">
      <c r="A46" s="14" t="s">
        <v>447</v>
      </c>
      <c r="B46" s="8" t="s">
        <v>223</v>
      </c>
      <c r="C46" s="33">
        <v>7.0000000000000007E-2</v>
      </c>
      <c r="D46" s="31">
        <f>C46</f>
        <v>7.0000000000000007E-2</v>
      </c>
      <c r="E46" s="31">
        <f>C46</f>
        <v>7.0000000000000007E-2</v>
      </c>
      <c r="F46" s="31">
        <f>C46</f>
        <v>7.0000000000000007E-2</v>
      </c>
      <c r="G46" s="31">
        <f>C46</f>
        <v>7.0000000000000007E-2</v>
      </c>
      <c r="H46" s="31">
        <f>C46</f>
        <v>7.0000000000000007E-2</v>
      </c>
      <c r="I46" s="34" t="s">
        <v>234</v>
      </c>
      <c r="J46" s="11" t="s">
        <v>448</v>
      </c>
    </row>
    <row r="47" spans="1:10" ht="24" x14ac:dyDescent="0.25">
      <c r="A47" s="14" t="s">
        <v>449</v>
      </c>
      <c r="B47" s="8" t="s">
        <v>223</v>
      </c>
      <c r="C47" s="31">
        <f t="shared" ref="C47:H47" si="2">1-SUM(C42:C46)</f>
        <v>8.6999999999999966E-2</v>
      </c>
      <c r="D47" s="31">
        <f t="shared" si="2"/>
        <v>8.6999999999999966E-2</v>
      </c>
      <c r="E47" s="31">
        <f t="shared" si="2"/>
        <v>8.6999999999999966E-2</v>
      </c>
      <c r="F47" s="31">
        <f t="shared" si="2"/>
        <v>8.6999999999999966E-2</v>
      </c>
      <c r="G47" s="31">
        <f t="shared" si="2"/>
        <v>8.6999999999999966E-2</v>
      </c>
      <c r="H47" s="31">
        <f t="shared" si="2"/>
        <v>8.6999999999999966E-2</v>
      </c>
      <c r="I47" s="30" t="s">
        <v>218</v>
      </c>
      <c r="J47" s="11" t="s">
        <v>450</v>
      </c>
    </row>
    <row r="49" spans="1:10" x14ac:dyDescent="0.25">
      <c r="A49" s="15" t="s">
        <v>356</v>
      </c>
      <c r="B49" s="16"/>
      <c r="C49" s="16"/>
      <c r="D49" s="16"/>
      <c r="E49" s="16"/>
      <c r="F49" s="16"/>
      <c r="G49" s="16"/>
      <c r="H49" s="16"/>
      <c r="I49" s="16"/>
      <c r="J49" s="16"/>
    </row>
    <row r="50" spans="1:10" x14ac:dyDescent="0.25">
      <c r="A50" s="21" t="s">
        <v>451</v>
      </c>
      <c r="B50" s="22" t="s">
        <v>28</v>
      </c>
      <c r="C50" s="28">
        <f t="shared" ref="C50:H50" si="3">IF(OR(C6="",C18=""),"",C6*C18)</f>
        <v>20.399999999999999</v>
      </c>
      <c r="D50" s="28">
        <f t="shared" si="3"/>
        <v>44.28</v>
      </c>
      <c r="E50" s="28">
        <f t="shared" si="3"/>
        <v>90.72</v>
      </c>
      <c r="F50" s="28">
        <f t="shared" si="3"/>
        <v>139.44</v>
      </c>
      <c r="G50" s="28">
        <f t="shared" si="3"/>
        <v>191.94</v>
      </c>
      <c r="H50" s="28">
        <f t="shared" si="3"/>
        <v>235.2</v>
      </c>
      <c r="I50" s="24" t="s">
        <v>218</v>
      </c>
      <c r="J50" s="25" t="s">
        <v>452</v>
      </c>
    </row>
    <row r="51" spans="1:10" x14ac:dyDescent="0.25">
      <c r="A51" s="21" t="s">
        <v>453</v>
      </c>
      <c r="B51" s="22" t="s">
        <v>28</v>
      </c>
      <c r="C51" s="28">
        <f t="shared" ref="C51:H51" si="4">IF(OR(C6="",C19=""),"",C6*C19)</f>
        <v>6.8000000000000007</v>
      </c>
      <c r="D51" s="28">
        <f t="shared" si="4"/>
        <v>21.32</v>
      </c>
      <c r="E51" s="28">
        <f t="shared" si="4"/>
        <v>58.589999999999996</v>
      </c>
      <c r="F51" s="28">
        <f t="shared" si="4"/>
        <v>126.16</v>
      </c>
      <c r="G51" s="28">
        <f t="shared" si="4"/>
        <v>173.66</v>
      </c>
      <c r="H51" s="28">
        <f t="shared" si="4"/>
        <v>212.8</v>
      </c>
      <c r="I51" s="24" t="s">
        <v>218</v>
      </c>
      <c r="J51" s="25" t="s">
        <v>452</v>
      </c>
    </row>
    <row r="52" spans="1:10" x14ac:dyDescent="0.25">
      <c r="A52" s="21" t="s">
        <v>454</v>
      </c>
      <c r="B52" s="22" t="s">
        <v>28</v>
      </c>
      <c r="C52" s="28">
        <f t="shared" ref="C52:H52" si="5">IF(OR(C6="",C20=""),"",C6*C20)</f>
        <v>6.8000000000000007</v>
      </c>
      <c r="D52" s="28">
        <f t="shared" si="5"/>
        <v>16.400000000000002</v>
      </c>
      <c r="E52" s="28">
        <f t="shared" si="5"/>
        <v>39.69</v>
      </c>
      <c r="F52" s="28">
        <f t="shared" si="5"/>
        <v>66.400000000000006</v>
      </c>
      <c r="G52" s="28">
        <f t="shared" si="5"/>
        <v>91.4</v>
      </c>
      <c r="H52" s="28">
        <f t="shared" si="5"/>
        <v>112</v>
      </c>
      <c r="I52" s="24" t="s">
        <v>218</v>
      </c>
      <c r="J52" s="25" t="s">
        <v>452</v>
      </c>
    </row>
    <row r="53" spans="1:10" x14ac:dyDescent="0.25">
      <c r="A53" s="14" t="s">
        <v>455</v>
      </c>
      <c r="B53" s="8" t="s">
        <v>28</v>
      </c>
      <c r="C53" s="35" t="str">
        <f t="shared" ref="C53:H53" si="6">IF(OR(C6="",C21=""),"",C6*C21)</f>
        <v/>
      </c>
      <c r="D53" s="35" t="str">
        <f t="shared" si="6"/>
        <v/>
      </c>
      <c r="E53" s="35" t="str">
        <f t="shared" si="6"/>
        <v/>
      </c>
      <c r="F53" s="35" t="str">
        <f t="shared" si="6"/>
        <v/>
      </c>
      <c r="G53" s="35">
        <f t="shared" si="6"/>
        <v>164.51999999999998</v>
      </c>
      <c r="H53" s="35">
        <f t="shared" si="6"/>
        <v>168</v>
      </c>
      <c r="I53" s="30" t="s">
        <v>218</v>
      </c>
      <c r="J53" s="11" t="s">
        <v>456</v>
      </c>
    </row>
    <row r="54" spans="1:10" x14ac:dyDescent="0.25">
      <c r="A54" s="14" t="s">
        <v>457</v>
      </c>
      <c r="B54" s="8" t="s">
        <v>28</v>
      </c>
      <c r="C54" s="35" t="str">
        <f t="shared" ref="C54:H54" si="7">IF(OR(C6="",C22=""),"",C6*C22)</f>
        <v/>
      </c>
      <c r="D54" s="35" t="str">
        <f t="shared" si="7"/>
        <v/>
      </c>
      <c r="E54" s="35" t="str">
        <f t="shared" si="7"/>
        <v/>
      </c>
      <c r="F54" s="35" t="str">
        <f t="shared" si="7"/>
        <v/>
      </c>
      <c r="G54" s="35">
        <f t="shared" si="7"/>
        <v>201.08</v>
      </c>
      <c r="H54" s="35">
        <f t="shared" si="7"/>
        <v>280</v>
      </c>
      <c r="I54" s="30" t="s">
        <v>218</v>
      </c>
      <c r="J54" s="11" t="s">
        <v>458</v>
      </c>
    </row>
    <row r="55" spans="1:10" x14ac:dyDescent="0.25">
      <c r="A55" s="14" t="s">
        <v>459</v>
      </c>
      <c r="B55" s="8" t="s">
        <v>28</v>
      </c>
      <c r="C55" s="35">
        <f t="shared" ref="C55:H55" si="8">IF(OR(C6="",C15=""),"",C6*C15)</f>
        <v>20.399999999999999</v>
      </c>
      <c r="D55" s="35">
        <f t="shared" si="8"/>
        <v>46.739999999999995</v>
      </c>
      <c r="E55" s="35">
        <f t="shared" si="8"/>
        <v>94.5</v>
      </c>
      <c r="F55" s="35">
        <f t="shared" si="8"/>
        <v>156.04</v>
      </c>
      <c r="G55" s="35">
        <f t="shared" si="8"/>
        <v>214.79</v>
      </c>
      <c r="H55" s="35">
        <f t="shared" si="8"/>
        <v>263.2</v>
      </c>
      <c r="I55" s="30" t="s">
        <v>218</v>
      </c>
      <c r="J55" s="11" t="s">
        <v>460</v>
      </c>
    </row>
    <row r="56" spans="1:10" x14ac:dyDescent="0.25">
      <c r="A56" s="14" t="s">
        <v>461</v>
      </c>
      <c r="B56" s="8" t="s">
        <v>28</v>
      </c>
      <c r="C56" s="35">
        <f t="shared" ref="C56:H56" si="9">IF(OR(C6="",C16=""),"",C6*C16)</f>
        <v>5.78</v>
      </c>
      <c r="D56" s="35">
        <f t="shared" si="9"/>
        <v>14.76</v>
      </c>
      <c r="E56" s="35">
        <f t="shared" si="9"/>
        <v>47.25</v>
      </c>
      <c r="F56" s="35">
        <f t="shared" si="9"/>
        <v>92.960000000000008</v>
      </c>
      <c r="G56" s="35">
        <f t="shared" si="9"/>
        <v>127.96000000000001</v>
      </c>
      <c r="H56" s="35">
        <f t="shared" si="9"/>
        <v>156.80000000000001</v>
      </c>
      <c r="I56" s="30" t="s">
        <v>218</v>
      </c>
      <c r="J56" s="11" t="s">
        <v>460</v>
      </c>
    </row>
    <row r="57" spans="1:10" x14ac:dyDescent="0.25">
      <c r="A57" s="14" t="s">
        <v>462</v>
      </c>
      <c r="B57" s="8" t="s">
        <v>28</v>
      </c>
      <c r="C57" s="35">
        <f t="shared" ref="C57:H57" si="10">IF(OR(C6="",C17=""),"",C6*C17)</f>
        <v>7.82</v>
      </c>
      <c r="D57" s="35">
        <f t="shared" si="10"/>
        <v>20.5</v>
      </c>
      <c r="E57" s="35">
        <f t="shared" si="10"/>
        <v>47.25</v>
      </c>
      <c r="F57" s="35">
        <f t="shared" si="10"/>
        <v>83</v>
      </c>
      <c r="G57" s="35">
        <f t="shared" si="10"/>
        <v>114.25</v>
      </c>
      <c r="H57" s="35">
        <f t="shared" si="10"/>
        <v>140</v>
      </c>
      <c r="I57" s="30" t="s">
        <v>218</v>
      </c>
      <c r="J57" s="11" t="s">
        <v>460</v>
      </c>
    </row>
    <row r="58" spans="1:10" x14ac:dyDescent="0.25">
      <c r="A58" s="14" t="s">
        <v>463</v>
      </c>
      <c r="B58" s="8" t="s">
        <v>28</v>
      </c>
      <c r="C58" s="35">
        <f t="shared" ref="C58:H58" si="11">IF(OR(C9="",C34=""),"",C9*C34)</f>
        <v>6.4898283534647172</v>
      </c>
      <c r="D58" s="35">
        <f t="shared" si="11"/>
        <v>37.66700924974306</v>
      </c>
      <c r="E58" s="35">
        <f t="shared" si="11"/>
        <v>79.028429894464779</v>
      </c>
      <c r="F58" s="35">
        <f t="shared" si="11"/>
        <v>98.114406065711876</v>
      </c>
      <c r="G58" s="35">
        <f t="shared" si="11"/>
        <v>89.848357203032862</v>
      </c>
      <c r="H58" s="35">
        <f t="shared" si="11"/>
        <v>86.61381634372367</v>
      </c>
      <c r="I58" s="30" t="s">
        <v>218</v>
      </c>
      <c r="J58" s="11" t="s">
        <v>464</v>
      </c>
    </row>
    <row r="59" spans="1:10" x14ac:dyDescent="0.25">
      <c r="A59" s="14" t="s">
        <v>465</v>
      </c>
      <c r="B59" s="8" t="s">
        <v>28</v>
      </c>
      <c r="C59" s="35">
        <f t="shared" ref="C59:H59" si="12">IF(OR(C9="",C35=""),"",C9*C35)</f>
        <v>5.0308328035600764</v>
      </c>
      <c r="D59" s="35">
        <f t="shared" si="12"/>
        <v>30.06166495375129</v>
      </c>
      <c r="E59" s="35">
        <f t="shared" si="12"/>
        <v>62.395649364634927</v>
      </c>
      <c r="F59" s="35">
        <f t="shared" si="12"/>
        <v>78.70311710193765</v>
      </c>
      <c r="G59" s="35">
        <f t="shared" si="12"/>
        <v>72.072451558550966</v>
      </c>
      <c r="H59" s="35">
        <f t="shared" si="12"/>
        <v>69.477843302443134</v>
      </c>
      <c r="I59" s="30" t="s">
        <v>218</v>
      </c>
      <c r="J59" s="11" t="s">
        <v>464</v>
      </c>
    </row>
    <row r="60" spans="1:10" x14ac:dyDescent="0.25">
      <c r="A60" s="14" t="s">
        <v>466</v>
      </c>
      <c r="B60" s="8" t="s">
        <v>28</v>
      </c>
      <c r="C60" s="35">
        <f t="shared" ref="C60:H60" si="13">IF(OR(C9="",C36=""),"",C9*C36)</f>
        <v>3.9771137952956135</v>
      </c>
      <c r="D60" s="35">
        <f t="shared" si="13"/>
        <v>23.381294964028779</v>
      </c>
      <c r="E60" s="35">
        <f t="shared" si="13"/>
        <v>48.671333189747997</v>
      </c>
      <c r="F60" s="35">
        <f t="shared" si="13"/>
        <v>62.373715248525691</v>
      </c>
      <c r="G60" s="35">
        <f t="shared" si="13"/>
        <v>57.118786857624258</v>
      </c>
      <c r="H60" s="35">
        <f t="shared" si="13"/>
        <v>55.06251053074979</v>
      </c>
      <c r="I60" s="30" t="s">
        <v>218</v>
      </c>
      <c r="J60" s="11" t="s">
        <v>464</v>
      </c>
    </row>
    <row r="61" spans="1:10" x14ac:dyDescent="0.25">
      <c r="A61" s="14" t="s">
        <v>467</v>
      </c>
      <c r="B61" s="8" t="s">
        <v>28</v>
      </c>
      <c r="C61" s="35">
        <f t="shared" ref="C61:H61" si="14">IF(OR(C9="",C37=""),"",C9*C37)</f>
        <v>1.188811188811189</v>
      </c>
      <c r="D61" s="35">
        <f t="shared" si="14"/>
        <v>7.2970195272353546</v>
      </c>
      <c r="E61" s="35">
        <f t="shared" si="14"/>
        <v>17.723454662933445</v>
      </c>
      <c r="F61" s="35">
        <f t="shared" si="14"/>
        <v>29.438921651221566</v>
      </c>
      <c r="G61" s="35">
        <f t="shared" si="14"/>
        <v>26.958719460825609</v>
      </c>
      <c r="H61" s="35">
        <f t="shared" si="14"/>
        <v>25.988205560235887</v>
      </c>
      <c r="I61" s="30" t="s">
        <v>218</v>
      </c>
      <c r="J61" s="11" t="s">
        <v>464</v>
      </c>
    </row>
    <row r="62" spans="1:10" x14ac:dyDescent="0.25">
      <c r="A62" s="14" t="s">
        <v>468</v>
      </c>
      <c r="B62" s="8" t="s">
        <v>28</v>
      </c>
      <c r="C62" s="35">
        <f t="shared" ref="C62:H62" si="15">IF(OR(C9="",C38=""),"",C9*C38)</f>
        <v>0.31341385886840434</v>
      </c>
      <c r="D62" s="35">
        <f t="shared" si="15"/>
        <v>1.5930113052415211</v>
      </c>
      <c r="E62" s="35">
        <f t="shared" si="15"/>
        <v>3.1811328882188237</v>
      </c>
      <c r="F62" s="35">
        <f t="shared" si="15"/>
        <v>4.3698399326032007</v>
      </c>
      <c r="G62" s="35">
        <f t="shared" si="15"/>
        <v>4.0016849199663014</v>
      </c>
      <c r="H62" s="35">
        <f t="shared" si="15"/>
        <v>3.8576242628475144</v>
      </c>
      <c r="I62" s="30" t="s">
        <v>218</v>
      </c>
      <c r="J62" s="11" t="s">
        <v>464</v>
      </c>
    </row>
    <row r="63" spans="1:10" ht="24" x14ac:dyDescent="0.25">
      <c r="A63" s="14" t="s">
        <v>469</v>
      </c>
      <c r="B63" s="8" t="s">
        <v>28</v>
      </c>
      <c r="C63" s="35">
        <f t="shared" ref="C63:H63" si="16">IF(OR(C9="",C39=""),"",C9*C39)</f>
        <v>0.51</v>
      </c>
      <c r="D63" s="35">
        <f t="shared" si="16"/>
        <v>3</v>
      </c>
      <c r="E63" s="35">
        <f t="shared" si="16"/>
        <v>6.33</v>
      </c>
      <c r="F63" s="35">
        <f t="shared" si="16"/>
        <v>8.19</v>
      </c>
      <c r="G63" s="35">
        <f t="shared" si="16"/>
        <v>7.5</v>
      </c>
      <c r="H63" s="35">
        <f t="shared" si="16"/>
        <v>7.2299999999999995</v>
      </c>
      <c r="I63" s="30" t="s">
        <v>218</v>
      </c>
      <c r="J63" s="11" t="s">
        <v>470</v>
      </c>
    </row>
    <row r="64" spans="1:10" x14ac:dyDescent="0.25">
      <c r="A64" s="14" t="s">
        <v>471</v>
      </c>
      <c r="B64" s="8" t="s">
        <v>28</v>
      </c>
      <c r="C64" s="35">
        <f t="shared" ref="C64:H64" si="17">IF(OR(C11="",C42=""),"",C11*C42)</f>
        <v>3.1589999999999998</v>
      </c>
      <c r="D64" s="35">
        <f t="shared" si="17"/>
        <v>21.06</v>
      </c>
      <c r="E64" s="35">
        <f t="shared" si="17"/>
        <v>44.576999999999998</v>
      </c>
      <c r="F64" s="35">
        <f t="shared" si="17"/>
        <v>65.286000000000001</v>
      </c>
      <c r="G64" s="35">
        <f t="shared" si="17"/>
        <v>63.530999999999999</v>
      </c>
      <c r="H64" s="35">
        <f t="shared" si="17"/>
        <v>63.881999999999998</v>
      </c>
      <c r="I64" s="30" t="s">
        <v>218</v>
      </c>
      <c r="J64" s="11" t="s">
        <v>472</v>
      </c>
    </row>
    <row r="65" spans="1:10" x14ac:dyDescent="0.25">
      <c r="A65" s="14" t="s">
        <v>473</v>
      </c>
      <c r="B65" s="8" t="s">
        <v>28</v>
      </c>
      <c r="C65" s="35">
        <f t="shared" ref="C65:H65" si="18">IF(OR(C11="",C43=""),"",C11*C43)</f>
        <v>1.899</v>
      </c>
      <c r="D65" s="35">
        <f t="shared" si="18"/>
        <v>12.66</v>
      </c>
      <c r="E65" s="35">
        <f t="shared" si="18"/>
        <v>26.797000000000001</v>
      </c>
      <c r="F65" s="35">
        <f t="shared" si="18"/>
        <v>39.246000000000002</v>
      </c>
      <c r="G65" s="35">
        <f t="shared" si="18"/>
        <v>38.190999999999995</v>
      </c>
      <c r="H65" s="35">
        <f t="shared" si="18"/>
        <v>38.402000000000001</v>
      </c>
      <c r="I65" s="30" t="s">
        <v>218</v>
      </c>
      <c r="J65" s="11" t="s">
        <v>472</v>
      </c>
    </row>
    <row r="66" spans="1:10" x14ac:dyDescent="0.25">
      <c r="A66" s="14" t="s">
        <v>474</v>
      </c>
      <c r="B66" s="8" t="s">
        <v>28</v>
      </c>
      <c r="C66" s="35">
        <f t="shared" ref="C66:H66" si="19">IF(OR(C11="",C44=""),"",C11*C44)</f>
        <v>1.5390000000000001</v>
      </c>
      <c r="D66" s="35">
        <f t="shared" si="19"/>
        <v>10.260000000000002</v>
      </c>
      <c r="E66" s="35">
        <f t="shared" si="19"/>
        <v>21.717000000000002</v>
      </c>
      <c r="F66" s="35">
        <f t="shared" si="19"/>
        <v>31.806000000000001</v>
      </c>
      <c r="G66" s="35">
        <f t="shared" si="19"/>
        <v>30.951000000000004</v>
      </c>
      <c r="H66" s="35">
        <f t="shared" si="19"/>
        <v>31.122000000000003</v>
      </c>
      <c r="I66" s="30" t="s">
        <v>218</v>
      </c>
      <c r="J66" s="11" t="s">
        <v>472</v>
      </c>
    </row>
    <row r="67" spans="1:10" x14ac:dyDescent="0.25">
      <c r="A67" s="14" t="s">
        <v>475</v>
      </c>
      <c r="B67" s="8" t="s">
        <v>28</v>
      </c>
      <c r="C67" s="35">
        <f t="shared" ref="C67:H67" si="20">IF(OR(C11="",C45=""),"",C11*C45)</f>
        <v>0.99</v>
      </c>
      <c r="D67" s="35">
        <f t="shared" si="20"/>
        <v>6.6</v>
      </c>
      <c r="E67" s="35">
        <f t="shared" si="20"/>
        <v>13.97</v>
      </c>
      <c r="F67" s="35">
        <f t="shared" si="20"/>
        <v>20.46</v>
      </c>
      <c r="G67" s="35">
        <f t="shared" si="20"/>
        <v>19.91</v>
      </c>
      <c r="H67" s="35">
        <f t="shared" si="20"/>
        <v>20.02</v>
      </c>
      <c r="I67" s="30" t="s">
        <v>218</v>
      </c>
      <c r="J67" s="11" t="s">
        <v>472</v>
      </c>
    </row>
    <row r="68" spans="1:10" x14ac:dyDescent="0.25">
      <c r="A68" s="14" t="s">
        <v>476</v>
      </c>
      <c r="B68" s="8" t="s">
        <v>28</v>
      </c>
      <c r="C68" s="35">
        <f t="shared" ref="C68:H68" si="21">IF(OR(C11="",C46=""),"",C11*C46)</f>
        <v>0.63000000000000012</v>
      </c>
      <c r="D68" s="35">
        <f t="shared" si="21"/>
        <v>4.2</v>
      </c>
      <c r="E68" s="35">
        <f t="shared" si="21"/>
        <v>8.89</v>
      </c>
      <c r="F68" s="35">
        <f t="shared" si="21"/>
        <v>13.020000000000001</v>
      </c>
      <c r="G68" s="35">
        <f t="shared" si="21"/>
        <v>12.670000000000002</v>
      </c>
      <c r="H68" s="35">
        <f t="shared" si="21"/>
        <v>12.740000000000002</v>
      </c>
      <c r="I68" s="30" t="s">
        <v>218</v>
      </c>
      <c r="J68" s="11" t="s">
        <v>472</v>
      </c>
    </row>
    <row r="69" spans="1:10" x14ac:dyDescent="0.25">
      <c r="A69" s="14" t="s">
        <v>477</v>
      </c>
      <c r="B69" s="8" t="s">
        <v>28</v>
      </c>
      <c r="C69" s="35">
        <f t="shared" ref="C69:H69" si="22">IF(OR(C11="",C47=""),"",C11*C47)</f>
        <v>0.7829999999999997</v>
      </c>
      <c r="D69" s="35">
        <f t="shared" si="22"/>
        <v>5.219999999999998</v>
      </c>
      <c r="E69" s="35">
        <f t="shared" si="22"/>
        <v>11.048999999999996</v>
      </c>
      <c r="F69" s="35">
        <f t="shared" si="22"/>
        <v>16.181999999999995</v>
      </c>
      <c r="G69" s="35">
        <f t="shared" si="22"/>
        <v>15.746999999999995</v>
      </c>
      <c r="H69" s="35">
        <f t="shared" si="22"/>
        <v>15.833999999999994</v>
      </c>
      <c r="I69" s="30" t="s">
        <v>218</v>
      </c>
      <c r="J69" s="11" t="s">
        <v>472</v>
      </c>
    </row>
    <row r="71" spans="1:10" x14ac:dyDescent="0.25">
      <c r="A71" s="15" t="s">
        <v>478</v>
      </c>
      <c r="B71" s="16"/>
      <c r="C71" s="16"/>
      <c r="D71" s="16"/>
      <c r="E71" s="16"/>
      <c r="F71" s="16"/>
      <c r="G71" s="16"/>
      <c r="H71" s="16"/>
      <c r="I71" s="16"/>
      <c r="J71" s="16"/>
    </row>
    <row r="72" spans="1:10" ht="25.5" x14ac:dyDescent="0.25">
      <c r="A72" s="21" t="s">
        <v>479</v>
      </c>
      <c r="B72" s="22" t="s">
        <v>28</v>
      </c>
      <c r="C72" s="28">
        <f t="shared" ref="C72:H72" si="23">IF(C50="","",C50+C59+C65)</f>
        <v>27.329832803560077</v>
      </c>
      <c r="D72" s="28">
        <f t="shared" si="23"/>
        <v>87.001664953751288</v>
      </c>
      <c r="E72" s="28">
        <f t="shared" si="23"/>
        <v>179.91264936463492</v>
      </c>
      <c r="F72" s="28">
        <f t="shared" si="23"/>
        <v>257.38911710193764</v>
      </c>
      <c r="G72" s="28">
        <f t="shared" si="23"/>
        <v>302.20345155855097</v>
      </c>
      <c r="H72" s="28">
        <f t="shared" si="23"/>
        <v>343.07984330244312</v>
      </c>
      <c r="I72" s="24" t="s">
        <v>218</v>
      </c>
      <c r="J72" s="25" t="s">
        <v>480</v>
      </c>
    </row>
    <row r="73" spans="1:10" ht="25.5" x14ac:dyDescent="0.25">
      <c r="A73" s="21" t="s">
        <v>481</v>
      </c>
      <c r="B73" s="22" t="s">
        <v>28</v>
      </c>
      <c r="C73" s="28">
        <f t="shared" ref="C73:H73" si="24">IF(C51="","",C51+C58+C64)</f>
        <v>16.448828353464716</v>
      </c>
      <c r="D73" s="28">
        <f t="shared" si="24"/>
        <v>80.047009249743056</v>
      </c>
      <c r="E73" s="28">
        <f t="shared" si="24"/>
        <v>182.19542989446478</v>
      </c>
      <c r="F73" s="28">
        <f t="shared" si="24"/>
        <v>289.56040606571185</v>
      </c>
      <c r="G73" s="28">
        <f t="shared" si="24"/>
        <v>327.03935720303286</v>
      </c>
      <c r="H73" s="28">
        <f t="shared" si="24"/>
        <v>363.29581634372369</v>
      </c>
      <c r="I73" s="24" t="s">
        <v>218</v>
      </c>
      <c r="J73" s="25" t="s">
        <v>480</v>
      </c>
    </row>
    <row r="74" spans="1:10" ht="25.5" x14ac:dyDescent="0.25">
      <c r="A74" s="21" t="s">
        <v>482</v>
      </c>
      <c r="B74" s="22" t="s">
        <v>28</v>
      </c>
      <c r="C74" s="28">
        <f t="shared" ref="C74:H74" si="25">IF(C52="","",C52+C60+C66)</f>
        <v>12.316113795295614</v>
      </c>
      <c r="D74" s="28">
        <f t="shared" si="25"/>
        <v>50.041294964028779</v>
      </c>
      <c r="E74" s="28">
        <f t="shared" si="25"/>
        <v>110.07833318974799</v>
      </c>
      <c r="F74" s="28">
        <f t="shared" si="25"/>
        <v>160.5797152485257</v>
      </c>
      <c r="G74" s="28">
        <f t="shared" si="25"/>
        <v>179.46978685762426</v>
      </c>
      <c r="H74" s="28">
        <f t="shared" si="25"/>
        <v>198.1845105307498</v>
      </c>
      <c r="I74" s="24" t="s">
        <v>218</v>
      </c>
      <c r="J74" s="25" t="s">
        <v>480</v>
      </c>
    </row>
    <row r="75" spans="1:10" x14ac:dyDescent="0.25">
      <c r="A75" s="14" t="s">
        <v>483</v>
      </c>
      <c r="B75" s="8" t="s">
        <v>28</v>
      </c>
      <c r="C75" s="35">
        <f t="shared" ref="C75:H75" si="26">C67</f>
        <v>0.99</v>
      </c>
      <c r="D75" s="35">
        <f t="shared" si="26"/>
        <v>6.6</v>
      </c>
      <c r="E75" s="35">
        <f t="shared" si="26"/>
        <v>13.97</v>
      </c>
      <c r="F75" s="35">
        <f t="shared" si="26"/>
        <v>20.46</v>
      </c>
      <c r="G75" s="35">
        <f t="shared" si="26"/>
        <v>19.91</v>
      </c>
      <c r="H75" s="35">
        <f t="shared" si="26"/>
        <v>20.02</v>
      </c>
      <c r="I75" s="30" t="s">
        <v>218</v>
      </c>
      <c r="J75" s="11"/>
    </row>
    <row r="76" spans="1:10" x14ac:dyDescent="0.25">
      <c r="A76" s="14" t="s">
        <v>484</v>
      </c>
      <c r="B76" s="8" t="s">
        <v>28</v>
      </c>
      <c r="C76" s="35">
        <f t="shared" ref="C76:H76" si="27">C61</f>
        <v>1.188811188811189</v>
      </c>
      <c r="D76" s="35">
        <f t="shared" si="27"/>
        <v>7.2970195272353546</v>
      </c>
      <c r="E76" s="35">
        <f t="shared" si="27"/>
        <v>17.723454662933445</v>
      </c>
      <c r="F76" s="35">
        <f t="shared" si="27"/>
        <v>29.438921651221566</v>
      </c>
      <c r="G76" s="35">
        <f t="shared" si="27"/>
        <v>26.958719460825609</v>
      </c>
      <c r="H76" s="35">
        <f t="shared" si="27"/>
        <v>25.988205560235887</v>
      </c>
      <c r="I76" s="30" t="s">
        <v>218</v>
      </c>
      <c r="J76" s="11"/>
    </row>
    <row r="77" spans="1:10" ht="24" x14ac:dyDescent="0.25">
      <c r="A77" s="14" t="s">
        <v>485</v>
      </c>
      <c r="B77" s="8" t="s">
        <v>28</v>
      </c>
      <c r="C77" s="26">
        <v>28</v>
      </c>
      <c r="D77" s="12"/>
      <c r="E77" s="12"/>
      <c r="F77" s="12"/>
      <c r="G77" s="12"/>
      <c r="H77" s="12"/>
      <c r="I77" s="39" t="s">
        <v>331</v>
      </c>
      <c r="J77" s="11" t="s">
        <v>486</v>
      </c>
    </row>
    <row r="78" spans="1:10" x14ac:dyDescent="0.25">
      <c r="A78" s="14" t="s">
        <v>487</v>
      </c>
      <c r="B78" s="8" t="s">
        <v>28</v>
      </c>
      <c r="C78" s="26">
        <v>6</v>
      </c>
      <c r="D78" s="12"/>
      <c r="E78" s="12"/>
      <c r="F78" s="12"/>
      <c r="G78" s="12"/>
      <c r="H78" s="12"/>
      <c r="I78" s="39" t="s">
        <v>331</v>
      </c>
      <c r="J78" s="11" t="s">
        <v>488</v>
      </c>
    </row>
    <row r="79" spans="1:10" ht="36" x14ac:dyDescent="0.25">
      <c r="A79" s="14" t="s">
        <v>489</v>
      </c>
      <c r="B79" s="8" t="s">
        <v>28</v>
      </c>
      <c r="C79" s="26">
        <v>5</v>
      </c>
      <c r="D79" s="12"/>
      <c r="E79" s="12"/>
      <c r="F79" s="12"/>
      <c r="G79" s="12"/>
      <c r="H79" s="12"/>
      <c r="I79" s="39" t="s">
        <v>331</v>
      </c>
      <c r="J79" s="11" t="s">
        <v>490</v>
      </c>
    </row>
    <row r="80" spans="1:10" ht="25.5" x14ac:dyDescent="0.25">
      <c r="A80" s="14" t="s">
        <v>491</v>
      </c>
      <c r="B80" s="8" t="s">
        <v>28</v>
      </c>
      <c r="C80" s="35">
        <f>C77+C78+C79</f>
        <v>39</v>
      </c>
      <c r="D80" s="12"/>
      <c r="E80" s="12"/>
      <c r="F80" s="12"/>
      <c r="G80" s="12"/>
      <c r="H80" s="12"/>
      <c r="I80" s="30" t="s">
        <v>218</v>
      </c>
      <c r="J80" s="11" t="s">
        <v>492</v>
      </c>
    </row>
    <row r="81" spans="1:10" ht="36" x14ac:dyDescent="0.25">
      <c r="A81" s="21" t="s">
        <v>493</v>
      </c>
      <c r="B81" s="22" t="s">
        <v>262</v>
      </c>
      <c r="C81" s="40">
        <f t="shared" ref="C81:H81" si="28">IF(OR(C50="",C77=""),"",IFERROR(C50/C77,""))</f>
        <v>0.72857142857142854</v>
      </c>
      <c r="D81" s="40" t="str">
        <f t="shared" si="28"/>
        <v/>
      </c>
      <c r="E81" s="40" t="str">
        <f t="shared" si="28"/>
        <v/>
      </c>
      <c r="F81" s="40" t="str">
        <f t="shared" si="28"/>
        <v/>
      </c>
      <c r="G81" s="40" t="str">
        <f t="shared" si="28"/>
        <v/>
      </c>
      <c r="H81" s="40" t="str">
        <f t="shared" si="28"/>
        <v/>
      </c>
      <c r="I81" s="24" t="s">
        <v>218</v>
      </c>
      <c r="J81" s="25" t="s">
        <v>494</v>
      </c>
    </row>
    <row r="82" spans="1:10" x14ac:dyDescent="0.25">
      <c r="A82" s="14" t="s">
        <v>495</v>
      </c>
      <c r="B82" s="8"/>
      <c r="C82" s="37" t="str">
        <f t="shared" ref="C82:H82" si="29">IF(OR(C50="",C77=""),"",IF(ABS(C50/C77-1)&gt;0.25,"OFF &gt;25%","OK"))</f>
        <v>OFF &gt;25%</v>
      </c>
      <c r="D82" s="37" t="str">
        <f t="shared" si="29"/>
        <v/>
      </c>
      <c r="E82" s="37" t="str">
        <f t="shared" si="29"/>
        <v/>
      </c>
      <c r="F82" s="37" t="str">
        <f t="shared" si="29"/>
        <v/>
      </c>
      <c r="G82" s="37" t="str">
        <f t="shared" si="29"/>
        <v/>
      </c>
      <c r="H82" s="37" t="str">
        <f t="shared" si="29"/>
        <v/>
      </c>
      <c r="I82" s="11"/>
      <c r="J82" s="11"/>
    </row>
    <row r="83" spans="1:10" ht="25.5" x14ac:dyDescent="0.25">
      <c r="A83" s="14" t="s">
        <v>496</v>
      </c>
      <c r="B83" s="8" t="s">
        <v>262</v>
      </c>
      <c r="C83" s="36">
        <f t="shared" ref="C83:H83" si="30">IF(OR(C52="",C78=""),"",IFERROR(C52/C78,""))</f>
        <v>1.1333333333333335</v>
      </c>
      <c r="D83" s="36" t="str">
        <f t="shared" si="30"/>
        <v/>
      </c>
      <c r="E83" s="36" t="str">
        <f t="shared" si="30"/>
        <v/>
      </c>
      <c r="F83" s="36" t="str">
        <f t="shared" si="30"/>
        <v/>
      </c>
      <c r="G83" s="36" t="str">
        <f t="shared" si="30"/>
        <v/>
      </c>
      <c r="H83" s="36" t="str">
        <f t="shared" si="30"/>
        <v/>
      </c>
      <c r="I83" s="30" t="s">
        <v>218</v>
      </c>
      <c r="J83" s="11" t="s">
        <v>497</v>
      </c>
    </row>
    <row r="84" spans="1:10" x14ac:dyDescent="0.25">
      <c r="A84" s="14" t="s">
        <v>498</v>
      </c>
      <c r="B84" s="8"/>
      <c r="C84" s="37" t="str">
        <f t="shared" ref="C84:H84" si="31">IF(OR(C52="",C78=""),"",IF(ABS(C52/C78-1)&gt;0.25,"OFF &gt;25%","OK"))</f>
        <v>OK</v>
      </c>
      <c r="D84" s="37" t="str">
        <f t="shared" si="31"/>
        <v/>
      </c>
      <c r="E84" s="37" t="str">
        <f t="shared" si="31"/>
        <v/>
      </c>
      <c r="F84" s="37" t="str">
        <f t="shared" si="31"/>
        <v/>
      </c>
      <c r="G84" s="37" t="str">
        <f t="shared" si="31"/>
        <v/>
      </c>
      <c r="H84" s="37" t="str">
        <f t="shared" si="31"/>
        <v/>
      </c>
      <c r="I84" s="11"/>
      <c r="J84" s="11"/>
    </row>
    <row r="85" spans="1:10" ht="25.5" x14ac:dyDescent="0.25">
      <c r="A85" s="14" t="s">
        <v>499</v>
      </c>
      <c r="B85" s="8" t="s">
        <v>262</v>
      </c>
      <c r="C85" s="36">
        <f t="shared" ref="C85:H85" si="32">IF(OR(C51="",C79=""),"",IFERROR(C51/C79,""))</f>
        <v>1.36</v>
      </c>
      <c r="D85" s="36" t="str">
        <f t="shared" si="32"/>
        <v/>
      </c>
      <c r="E85" s="36" t="str">
        <f t="shared" si="32"/>
        <v/>
      </c>
      <c r="F85" s="36" t="str">
        <f t="shared" si="32"/>
        <v/>
      </c>
      <c r="G85" s="36" t="str">
        <f t="shared" si="32"/>
        <v/>
      </c>
      <c r="H85" s="36" t="str">
        <f t="shared" si="32"/>
        <v/>
      </c>
      <c r="I85" s="30" t="s">
        <v>218</v>
      </c>
      <c r="J85" s="11" t="s">
        <v>500</v>
      </c>
    </row>
    <row r="86" spans="1:10" x14ac:dyDescent="0.25">
      <c r="A86" s="14" t="s">
        <v>501</v>
      </c>
      <c r="B86" s="8"/>
      <c r="C86" s="37" t="str">
        <f t="shared" ref="C86:H86" si="33">IF(OR(C51="",C79=""),"",IF(ABS(C51/C79-1)&gt;0.25,"OFF &gt;25%","OK"))</f>
        <v>OFF &gt;25%</v>
      </c>
      <c r="D86" s="37" t="str">
        <f t="shared" si="33"/>
        <v/>
      </c>
      <c r="E86" s="37" t="str">
        <f t="shared" si="33"/>
        <v/>
      </c>
      <c r="F86" s="37" t="str">
        <f t="shared" si="33"/>
        <v/>
      </c>
      <c r="G86" s="37" t="str">
        <f t="shared" si="33"/>
        <v/>
      </c>
      <c r="H86" s="37" t="str">
        <f t="shared" si="33"/>
        <v/>
      </c>
      <c r="I86" s="11"/>
      <c r="J86" s="11"/>
    </row>
    <row r="87" spans="1:10" x14ac:dyDescent="0.25">
      <c r="A87" s="14" t="s">
        <v>502</v>
      </c>
      <c r="B87" s="8" t="s">
        <v>28</v>
      </c>
      <c r="C87" s="12"/>
      <c r="D87" s="26">
        <v>163.4</v>
      </c>
      <c r="E87" s="26">
        <v>263.3</v>
      </c>
      <c r="F87" s="12"/>
      <c r="G87" s="12"/>
      <c r="H87" s="12"/>
      <c r="I87" s="34" t="s">
        <v>234</v>
      </c>
      <c r="J87" s="11" t="s">
        <v>258</v>
      </c>
    </row>
    <row r="88" spans="1:10" ht="25.5" x14ac:dyDescent="0.25">
      <c r="A88" s="14" t="s">
        <v>503</v>
      </c>
      <c r="B88" s="8" t="s">
        <v>262</v>
      </c>
      <c r="C88" s="36" t="str">
        <f t="shared" ref="C88:H88" si="34">IF(OR(C74="",C87=""),"",IFERROR(C74/C87,""))</f>
        <v/>
      </c>
      <c r="D88" s="36">
        <f t="shared" si="34"/>
        <v>0.30625027517765468</v>
      </c>
      <c r="E88" s="36">
        <f t="shared" si="34"/>
        <v>0.41807190729110516</v>
      </c>
      <c r="F88" s="36" t="str">
        <f t="shared" si="34"/>
        <v/>
      </c>
      <c r="G88" s="36" t="str">
        <f t="shared" si="34"/>
        <v/>
      </c>
      <c r="H88" s="36" t="str">
        <f t="shared" si="34"/>
        <v/>
      </c>
      <c r="I88" s="30" t="s">
        <v>218</v>
      </c>
      <c r="J88" s="11" t="s">
        <v>504</v>
      </c>
    </row>
    <row r="89" spans="1:10" ht="25.5" x14ac:dyDescent="0.25">
      <c r="A89" s="14" t="s">
        <v>505</v>
      </c>
      <c r="B89" s="8" t="s">
        <v>28</v>
      </c>
      <c r="C89" s="12"/>
      <c r="D89" s="26">
        <v>253.3</v>
      </c>
      <c r="E89" s="26">
        <v>391.9</v>
      </c>
      <c r="F89" s="12"/>
      <c r="G89" s="12"/>
      <c r="H89" s="12"/>
      <c r="I89" s="34" t="s">
        <v>234</v>
      </c>
      <c r="J89" s="11" t="s">
        <v>506</v>
      </c>
    </row>
    <row r="90" spans="1:10" ht="25.5" x14ac:dyDescent="0.25">
      <c r="A90" s="14" t="s">
        <v>507</v>
      </c>
      <c r="B90" s="8" t="s">
        <v>262</v>
      </c>
      <c r="C90" s="36" t="str">
        <f t="shared" ref="C90:H90" si="35">IF(OR(C72="",C89=""),"",IFERROR(C72/C89,""))</f>
        <v/>
      </c>
      <c r="D90" s="36">
        <f t="shared" si="35"/>
        <v>0.34347281860936157</v>
      </c>
      <c r="E90" s="36">
        <f t="shared" si="35"/>
        <v>0.45907795193833867</v>
      </c>
      <c r="F90" s="36" t="str">
        <f t="shared" si="35"/>
        <v/>
      </c>
      <c r="G90" s="36" t="str">
        <f t="shared" si="35"/>
        <v/>
      </c>
      <c r="H90" s="36" t="str">
        <f t="shared" si="35"/>
        <v/>
      </c>
      <c r="I90" s="30" t="s">
        <v>218</v>
      </c>
      <c r="J90" s="11" t="s">
        <v>508</v>
      </c>
    </row>
    <row r="91" spans="1:10" ht="25.5" x14ac:dyDescent="0.25">
      <c r="A91" s="14" t="s">
        <v>509</v>
      </c>
      <c r="B91" s="8" t="s">
        <v>28</v>
      </c>
      <c r="C91" s="12"/>
      <c r="D91" s="26">
        <v>517.4</v>
      </c>
      <c r="E91" s="26">
        <v>711.8</v>
      </c>
      <c r="F91" s="12"/>
      <c r="G91" s="12"/>
      <c r="H91" s="12"/>
      <c r="I91" s="34" t="s">
        <v>234</v>
      </c>
      <c r="J91" s="11" t="s">
        <v>510</v>
      </c>
    </row>
    <row r="92" spans="1:10" ht="25.5" x14ac:dyDescent="0.25">
      <c r="A92" s="14" t="s">
        <v>511</v>
      </c>
      <c r="B92" s="8" t="s">
        <v>262</v>
      </c>
      <c r="C92" s="36" t="str">
        <f t="shared" ref="C92:H92" si="36">IF(OR(C73="",C91=""),"",IFERROR(C73/C91,""))</f>
        <v/>
      </c>
      <c r="D92" s="36">
        <f t="shared" si="36"/>
        <v>0.15471010678342301</v>
      </c>
      <c r="E92" s="36">
        <f t="shared" si="36"/>
        <v>0.25596435781745547</v>
      </c>
      <c r="F92" s="36" t="str">
        <f t="shared" si="36"/>
        <v/>
      </c>
      <c r="G92" s="36" t="str">
        <f t="shared" si="36"/>
        <v/>
      </c>
      <c r="H92" s="36" t="str">
        <f t="shared" si="36"/>
        <v/>
      </c>
      <c r="I92" s="30" t="s">
        <v>218</v>
      </c>
      <c r="J92" s="11" t="s">
        <v>512</v>
      </c>
    </row>
    <row r="94" spans="1:10" x14ac:dyDescent="0.25">
      <c r="A94" s="67" t="s">
        <v>513</v>
      </c>
      <c r="B94" s="66"/>
      <c r="C94" s="66"/>
      <c r="D94" s="66"/>
      <c r="E94" s="66"/>
      <c r="F94" s="66"/>
      <c r="G94" s="66"/>
      <c r="H94" s="66"/>
      <c r="I94" s="66"/>
      <c r="J94" s="66"/>
    </row>
  </sheetData>
  <mergeCells count="2">
    <mergeCell ref="A94:J94"/>
    <mergeCell ref="A2:J2"/>
  </mergeCells>
  <conditionalFormatting sqref="C82:H82">
    <cfRule type="cellIs" dxfId="5" priority="1" operator="equal">
      <formula>"OK"</formula>
    </cfRule>
    <cfRule type="expression" dxfId="4" priority="2">
      <formula>LEFT(C82,3)="OFF"</formula>
    </cfRule>
  </conditionalFormatting>
  <conditionalFormatting sqref="C84:H84">
    <cfRule type="cellIs" dxfId="3" priority="3" operator="equal">
      <formula>"OK"</formula>
    </cfRule>
    <cfRule type="expression" dxfId="2" priority="4">
      <formula>LEFT(C84,3)="OFF"</formula>
    </cfRule>
  </conditionalFormatting>
  <conditionalFormatting sqref="C86:H86">
    <cfRule type="cellIs" dxfId="1" priority="5" operator="equal">
      <formula>"OK"</formula>
    </cfRule>
    <cfRule type="expression" dxfId="0" priority="6">
      <formula>LEFT(C86,3)="OFF"</formula>
    </cfRule>
  </conditionalFormatting>
  <pageMargins left="0.4" right="0.4" top="0.5" bottom="0.5" header="0.5" footer="0.5"/>
  <pageSetup paperSize="9" scale="67" fitToHeight="0" orientation="landscape" r:id="rId1"/>
  <headerFooter>
    <oddFooter>&amp;C&amp;8NSR (18-Sep-2026) vs Capstone — &amp;A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44"/>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46" customWidth="1"/>
    <col min="2" max="2" width="9" customWidth="1"/>
    <col min="3" max="8" width="11" customWidth="1"/>
    <col min="9" max="10" width="12" customWidth="1"/>
    <col min="11" max="11" width="62" customWidth="1"/>
  </cols>
  <sheetData>
    <row r="1" spans="1:11" ht="24" customHeight="1" x14ac:dyDescent="0.25">
      <c r="A1" s="1" t="s">
        <v>514</v>
      </c>
    </row>
    <row r="2" spans="1:11" ht="12.95" customHeight="1" x14ac:dyDescent="0.25">
      <c r="A2" s="67" t="s">
        <v>515</v>
      </c>
      <c r="B2" s="66"/>
      <c r="C2" s="66"/>
      <c r="D2" s="66"/>
      <c r="E2" s="66"/>
      <c r="F2" s="66"/>
      <c r="G2" s="66"/>
      <c r="H2" s="66"/>
      <c r="I2" s="66"/>
      <c r="J2" s="66"/>
      <c r="K2" s="66"/>
    </row>
    <row r="3" spans="1:11" ht="8.1" customHeight="1" x14ac:dyDescent="0.25"/>
    <row r="4" spans="1:11" ht="30" customHeight="1" x14ac:dyDescent="0.25">
      <c r="A4" s="5" t="s">
        <v>516</v>
      </c>
      <c r="B4" s="5" t="s">
        <v>19</v>
      </c>
      <c r="C4" s="6" t="s">
        <v>103</v>
      </c>
      <c r="D4" s="6" t="s">
        <v>104</v>
      </c>
      <c r="E4" s="6" t="s">
        <v>105</v>
      </c>
      <c r="F4" s="6" t="s">
        <v>106</v>
      </c>
      <c r="G4" s="6" t="s">
        <v>107</v>
      </c>
      <c r="H4" s="6" t="s">
        <v>108</v>
      </c>
      <c r="I4" s="5" t="s">
        <v>517</v>
      </c>
      <c r="J4" s="5" t="s">
        <v>518</v>
      </c>
      <c r="K4" s="5" t="s">
        <v>519</v>
      </c>
    </row>
    <row r="5" spans="1:11" x14ac:dyDescent="0.25">
      <c r="A5" s="14" t="s">
        <v>520</v>
      </c>
      <c r="B5" s="8" t="s">
        <v>28</v>
      </c>
      <c r="C5" s="42">
        <v>205</v>
      </c>
      <c r="D5" s="42">
        <v>408</v>
      </c>
      <c r="E5" s="42">
        <v>782</v>
      </c>
      <c r="F5" s="42">
        <v>1252</v>
      </c>
      <c r="G5" s="42">
        <v>1517</v>
      </c>
      <c r="H5" s="42">
        <v>1702</v>
      </c>
      <c r="I5" s="43">
        <f t="shared" ref="I5:I11" si="0">IFERROR((H5/C5)^(1/5)-1,"")</f>
        <v>0.52700739033520128</v>
      </c>
      <c r="J5" s="33">
        <v>0.53</v>
      </c>
      <c r="K5" s="11" t="s">
        <v>521</v>
      </c>
    </row>
    <row r="6" spans="1:11" x14ac:dyDescent="0.25">
      <c r="A6" s="14" t="s">
        <v>522</v>
      </c>
      <c r="B6" s="8" t="s">
        <v>28</v>
      </c>
      <c r="C6" s="42">
        <v>6</v>
      </c>
      <c r="D6" s="42">
        <v>27</v>
      </c>
      <c r="E6" s="42">
        <v>56</v>
      </c>
      <c r="F6" s="42">
        <v>90</v>
      </c>
      <c r="G6" s="42">
        <v>129</v>
      </c>
      <c r="H6" s="42">
        <v>168</v>
      </c>
      <c r="I6" s="43">
        <f t="shared" si="0"/>
        <v>0.94729436123033639</v>
      </c>
      <c r="J6" s="33">
        <v>0.93</v>
      </c>
      <c r="K6" s="11" t="s">
        <v>523</v>
      </c>
    </row>
    <row r="7" spans="1:11" x14ac:dyDescent="0.25">
      <c r="A7" s="14" t="s">
        <v>524</v>
      </c>
      <c r="B7" s="8" t="s">
        <v>28</v>
      </c>
      <c r="C7" s="42">
        <v>26</v>
      </c>
      <c r="D7" s="42">
        <v>160</v>
      </c>
      <c r="E7" s="42">
        <v>338</v>
      </c>
      <c r="F7" s="42">
        <v>459</v>
      </c>
      <c r="G7" s="42">
        <v>431</v>
      </c>
      <c r="H7" s="42">
        <v>423</v>
      </c>
      <c r="I7" s="43">
        <f t="shared" si="0"/>
        <v>0.74692155631284995</v>
      </c>
      <c r="J7" s="33">
        <v>0.75</v>
      </c>
      <c r="K7" s="11" t="s">
        <v>525</v>
      </c>
    </row>
    <row r="8" spans="1:11" x14ac:dyDescent="0.25">
      <c r="A8" s="14" t="s">
        <v>526</v>
      </c>
      <c r="B8" s="8" t="s">
        <v>28</v>
      </c>
      <c r="C8" s="42">
        <v>48</v>
      </c>
      <c r="D8" s="42">
        <v>105</v>
      </c>
      <c r="E8" s="42">
        <v>192</v>
      </c>
      <c r="F8" s="42">
        <v>293</v>
      </c>
      <c r="G8" s="42">
        <v>338</v>
      </c>
      <c r="H8" s="42">
        <v>373</v>
      </c>
      <c r="I8" s="43">
        <f t="shared" si="0"/>
        <v>0.50693152664461416</v>
      </c>
      <c r="J8" s="33">
        <v>0.51</v>
      </c>
      <c r="K8" s="11" t="s">
        <v>527</v>
      </c>
    </row>
    <row r="9" spans="1:11" x14ac:dyDescent="0.25">
      <c r="A9" s="14" t="s">
        <v>38</v>
      </c>
      <c r="B9" s="8" t="s">
        <v>28</v>
      </c>
      <c r="C9" s="42">
        <v>40</v>
      </c>
      <c r="D9" s="42">
        <v>103</v>
      </c>
      <c r="E9" s="42">
        <v>211</v>
      </c>
      <c r="F9" s="42">
        <v>336</v>
      </c>
      <c r="G9" s="42">
        <v>405</v>
      </c>
      <c r="H9" s="42">
        <v>465</v>
      </c>
      <c r="I9" s="43">
        <f t="shared" si="0"/>
        <v>0.63334750067692358</v>
      </c>
      <c r="J9" s="33">
        <v>0.63</v>
      </c>
      <c r="K9" s="11" t="s">
        <v>528</v>
      </c>
    </row>
    <row r="10" spans="1:11" x14ac:dyDescent="0.25">
      <c r="A10" s="14" t="s">
        <v>529</v>
      </c>
      <c r="B10" s="8" t="s">
        <v>28</v>
      </c>
      <c r="C10" s="42">
        <v>258</v>
      </c>
      <c r="D10" s="42">
        <v>328</v>
      </c>
      <c r="E10" s="42">
        <v>614</v>
      </c>
      <c r="F10" s="42">
        <v>899</v>
      </c>
      <c r="G10" s="42">
        <v>986</v>
      </c>
      <c r="H10" s="42">
        <v>1016</v>
      </c>
      <c r="I10" s="43">
        <f t="shared" si="0"/>
        <v>0.31539080112196483</v>
      </c>
      <c r="J10" s="33">
        <v>0.32</v>
      </c>
      <c r="K10" s="11" t="s">
        <v>530</v>
      </c>
    </row>
    <row r="11" spans="1:11" x14ac:dyDescent="0.25">
      <c r="A11" s="21" t="s">
        <v>531</v>
      </c>
      <c r="B11" s="22" t="s">
        <v>28</v>
      </c>
      <c r="C11" s="44">
        <f t="shared" ref="C11:H11" si="1">SUM(C5:C10)</f>
        <v>583</v>
      </c>
      <c r="D11" s="44">
        <f t="shared" si="1"/>
        <v>1131</v>
      </c>
      <c r="E11" s="44">
        <f t="shared" si="1"/>
        <v>2193</v>
      </c>
      <c r="F11" s="44">
        <f t="shared" si="1"/>
        <v>3329</v>
      </c>
      <c r="G11" s="44">
        <f t="shared" si="1"/>
        <v>3806</v>
      </c>
      <c r="H11" s="44">
        <f t="shared" si="1"/>
        <v>4147</v>
      </c>
      <c r="I11" s="45">
        <f t="shared" si="0"/>
        <v>0.48051596908434258</v>
      </c>
      <c r="J11" s="46">
        <v>0.48</v>
      </c>
      <c r="K11" s="25" t="s">
        <v>532</v>
      </c>
    </row>
    <row r="12" spans="1:11" x14ac:dyDescent="0.25">
      <c r="A12" s="21" t="s">
        <v>533</v>
      </c>
      <c r="B12" s="22" t="s">
        <v>28</v>
      </c>
      <c r="C12" s="47">
        <v>584</v>
      </c>
      <c r="D12" s="47">
        <v>1132</v>
      </c>
      <c r="E12" s="47">
        <v>2190</v>
      </c>
      <c r="F12" s="47">
        <v>3330</v>
      </c>
      <c r="G12" s="47">
        <v>3810</v>
      </c>
      <c r="H12" s="47">
        <v>4150</v>
      </c>
      <c r="I12" s="48"/>
      <c r="J12" s="48"/>
      <c r="K12" s="48"/>
    </row>
    <row r="13" spans="1:11" x14ac:dyDescent="0.25">
      <c r="A13" s="11" t="s">
        <v>534</v>
      </c>
      <c r="B13" s="8" t="s">
        <v>28</v>
      </c>
      <c r="C13" s="49">
        <f t="shared" ref="C13:H13" si="2">C11-C12</f>
        <v>-1</v>
      </c>
      <c r="D13" s="49">
        <f t="shared" si="2"/>
        <v>-1</v>
      </c>
      <c r="E13" s="49">
        <f t="shared" si="2"/>
        <v>3</v>
      </c>
      <c r="F13" s="49">
        <f t="shared" si="2"/>
        <v>-1</v>
      </c>
      <c r="G13" s="49">
        <f t="shared" si="2"/>
        <v>-4</v>
      </c>
      <c r="H13" s="49">
        <f t="shared" si="2"/>
        <v>-3</v>
      </c>
      <c r="I13" s="12"/>
      <c r="J13" s="12"/>
      <c r="K13" s="12"/>
    </row>
    <row r="15" spans="1:11" x14ac:dyDescent="0.25">
      <c r="A15" s="15" t="s">
        <v>535</v>
      </c>
      <c r="B15" s="16"/>
      <c r="C15" s="16"/>
      <c r="D15" s="16"/>
      <c r="E15" s="16"/>
      <c r="F15" s="16"/>
      <c r="G15" s="16"/>
      <c r="H15" s="16"/>
      <c r="I15" s="16"/>
      <c r="J15" s="16"/>
      <c r="K15" s="16"/>
    </row>
    <row r="16" spans="1:11" x14ac:dyDescent="0.25">
      <c r="A16" s="14" t="s">
        <v>536</v>
      </c>
      <c r="B16" s="8" t="s">
        <v>537</v>
      </c>
      <c r="C16" s="33">
        <v>0.66</v>
      </c>
      <c r="D16" s="31">
        <f t="shared" ref="D16:H22" si="3">IF(OR(D5="",C5=""),"",IFERROR(D5/C5-1,""))</f>
        <v>0.99024390243902438</v>
      </c>
      <c r="E16" s="31">
        <f t="shared" si="3"/>
        <v>0.91666666666666674</v>
      </c>
      <c r="F16" s="31">
        <f t="shared" si="3"/>
        <v>0.60102301790281332</v>
      </c>
      <c r="G16" s="31">
        <f t="shared" si="3"/>
        <v>0.21166134185303509</v>
      </c>
      <c r="H16" s="31">
        <f t="shared" si="3"/>
        <v>0.12195121951219523</v>
      </c>
      <c r="I16" s="12"/>
      <c r="J16" s="12"/>
      <c r="K16" s="12"/>
    </row>
    <row r="17" spans="1:11" x14ac:dyDescent="0.25">
      <c r="A17" s="14" t="s">
        <v>538</v>
      </c>
      <c r="B17" s="8" t="s">
        <v>537</v>
      </c>
      <c r="C17" s="33">
        <v>1.81</v>
      </c>
      <c r="D17" s="31">
        <f t="shared" si="3"/>
        <v>3.5</v>
      </c>
      <c r="E17" s="31">
        <f t="shared" si="3"/>
        <v>1.074074074074074</v>
      </c>
      <c r="F17" s="31">
        <f t="shared" si="3"/>
        <v>0.60714285714285721</v>
      </c>
      <c r="G17" s="31">
        <f t="shared" si="3"/>
        <v>0.43333333333333335</v>
      </c>
      <c r="H17" s="31">
        <f t="shared" si="3"/>
        <v>0.30232558139534893</v>
      </c>
      <c r="I17" s="12"/>
      <c r="J17" s="12"/>
      <c r="K17" s="12"/>
    </row>
    <row r="18" spans="1:11" x14ac:dyDescent="0.25">
      <c r="A18" s="14" t="s">
        <v>539</v>
      </c>
      <c r="B18" s="8" t="s">
        <v>537</v>
      </c>
      <c r="C18" s="33">
        <v>0.83</v>
      </c>
      <c r="D18" s="31">
        <f t="shared" si="3"/>
        <v>5.1538461538461542</v>
      </c>
      <c r="E18" s="31">
        <f t="shared" si="3"/>
        <v>1.1124999999999998</v>
      </c>
      <c r="F18" s="31">
        <f t="shared" si="3"/>
        <v>0.35798816568047331</v>
      </c>
      <c r="G18" s="31">
        <f t="shared" si="3"/>
        <v>-6.1002178649237515E-2</v>
      </c>
      <c r="H18" s="31">
        <f t="shared" si="3"/>
        <v>-1.8561484918793503E-2</v>
      </c>
      <c r="I18" s="12"/>
      <c r="J18" s="12"/>
      <c r="K18" s="12"/>
    </row>
    <row r="19" spans="1:11" x14ac:dyDescent="0.25">
      <c r="A19" s="14" t="s">
        <v>540</v>
      </c>
      <c r="B19" s="8" t="s">
        <v>537</v>
      </c>
      <c r="C19" s="33">
        <v>0.7</v>
      </c>
      <c r="D19" s="31">
        <f t="shared" si="3"/>
        <v>1.1875</v>
      </c>
      <c r="E19" s="31">
        <f t="shared" si="3"/>
        <v>0.82857142857142851</v>
      </c>
      <c r="F19" s="31">
        <f t="shared" si="3"/>
        <v>0.52604166666666674</v>
      </c>
      <c r="G19" s="31">
        <f t="shared" si="3"/>
        <v>0.15358361774744034</v>
      </c>
      <c r="H19" s="31">
        <f t="shared" si="3"/>
        <v>0.10355029585798814</v>
      </c>
      <c r="I19" s="12"/>
      <c r="J19" s="12"/>
      <c r="K19" s="12"/>
    </row>
    <row r="20" spans="1:11" x14ac:dyDescent="0.25">
      <c r="A20" s="14" t="s">
        <v>541</v>
      </c>
      <c r="B20" s="8" t="s">
        <v>537</v>
      </c>
      <c r="C20" s="33">
        <v>1.52</v>
      </c>
      <c r="D20" s="31">
        <f t="shared" si="3"/>
        <v>1.5750000000000002</v>
      </c>
      <c r="E20" s="31">
        <f t="shared" si="3"/>
        <v>1.0485436893203883</v>
      </c>
      <c r="F20" s="31">
        <f t="shared" si="3"/>
        <v>0.59241706161137442</v>
      </c>
      <c r="G20" s="31">
        <f t="shared" si="3"/>
        <v>0.20535714285714279</v>
      </c>
      <c r="H20" s="31">
        <f t="shared" si="3"/>
        <v>0.14814814814814814</v>
      </c>
      <c r="I20" s="12"/>
      <c r="J20" s="12"/>
      <c r="K20" s="12"/>
    </row>
    <row r="21" spans="1:11" x14ac:dyDescent="0.25">
      <c r="A21" s="14" t="s">
        <v>542</v>
      </c>
      <c r="B21" s="8" t="s">
        <v>537</v>
      </c>
      <c r="C21" s="33">
        <v>1.24</v>
      </c>
      <c r="D21" s="31">
        <f t="shared" si="3"/>
        <v>0.27131782945736438</v>
      </c>
      <c r="E21" s="31">
        <f t="shared" si="3"/>
        <v>0.87195121951219523</v>
      </c>
      <c r="F21" s="31">
        <f t="shared" si="3"/>
        <v>0.46416938110749184</v>
      </c>
      <c r="G21" s="31">
        <f t="shared" si="3"/>
        <v>9.6774193548387011E-2</v>
      </c>
      <c r="H21" s="31">
        <f t="shared" si="3"/>
        <v>3.0425963488843744E-2</v>
      </c>
      <c r="I21" s="12"/>
      <c r="J21" s="12"/>
      <c r="K21" s="12"/>
    </row>
    <row r="22" spans="1:11" x14ac:dyDescent="0.25">
      <c r="A22" s="14" t="s">
        <v>543</v>
      </c>
      <c r="B22" s="8" t="s">
        <v>537</v>
      </c>
      <c r="C22" s="12"/>
      <c r="D22" s="31">
        <f t="shared" si="3"/>
        <v>0.93996569468267577</v>
      </c>
      <c r="E22" s="31">
        <f t="shared" si="3"/>
        <v>0.9389920424403182</v>
      </c>
      <c r="F22" s="31">
        <f t="shared" si="3"/>
        <v>0.51801185590515275</v>
      </c>
      <c r="G22" s="31">
        <f t="shared" si="3"/>
        <v>0.14328627215379997</v>
      </c>
      <c r="H22" s="31">
        <f t="shared" si="3"/>
        <v>8.9595375722543391E-2</v>
      </c>
      <c r="I22" s="12"/>
      <c r="J22" s="12"/>
      <c r="K22" s="12"/>
    </row>
    <row r="24" spans="1:11" x14ac:dyDescent="0.25">
      <c r="A24" s="15" t="s">
        <v>544</v>
      </c>
      <c r="B24" s="16"/>
      <c r="C24" s="16"/>
      <c r="D24" s="16"/>
      <c r="E24" s="16"/>
      <c r="F24" s="16"/>
      <c r="G24" s="16"/>
      <c r="H24" s="16"/>
      <c r="I24" s="16"/>
      <c r="J24" s="16"/>
      <c r="K24" s="16"/>
    </row>
    <row r="25" spans="1:11" x14ac:dyDescent="0.25">
      <c r="A25" s="14" t="s">
        <v>545</v>
      </c>
      <c r="B25" s="8" t="s">
        <v>546</v>
      </c>
      <c r="C25" s="31">
        <f t="shared" ref="C25:H25" si="4">IF(OR(C5="",C11=""),"",IFERROR(C5/C11,""))</f>
        <v>0.35162950257289882</v>
      </c>
      <c r="D25" s="31">
        <f t="shared" si="4"/>
        <v>0.36074270557029176</v>
      </c>
      <c r="E25" s="31">
        <f t="shared" si="4"/>
        <v>0.35658914728682173</v>
      </c>
      <c r="F25" s="31">
        <f t="shared" si="4"/>
        <v>0.37608891559026736</v>
      </c>
      <c r="G25" s="31">
        <f t="shared" si="4"/>
        <v>0.39858118759852862</v>
      </c>
      <c r="H25" s="31">
        <f t="shared" si="4"/>
        <v>0.41041716903785869</v>
      </c>
      <c r="I25" s="12"/>
      <c r="J25" s="12"/>
      <c r="K25" s="12"/>
    </row>
    <row r="26" spans="1:11" x14ac:dyDescent="0.25">
      <c r="A26" s="14" t="s">
        <v>547</v>
      </c>
      <c r="B26" s="8" t="s">
        <v>546</v>
      </c>
      <c r="C26" s="31">
        <f t="shared" ref="C26:H26" si="5">IF(OR(C6="",C11=""),"",IFERROR(C6/C11,""))</f>
        <v>1.0291595197255575E-2</v>
      </c>
      <c r="D26" s="31">
        <f t="shared" si="5"/>
        <v>2.3872679045092837E-2</v>
      </c>
      <c r="E26" s="31">
        <f t="shared" si="5"/>
        <v>2.5535795713634291E-2</v>
      </c>
      <c r="F26" s="31">
        <f t="shared" si="5"/>
        <v>2.7035145689396214E-2</v>
      </c>
      <c r="G26" s="31">
        <f t="shared" si="5"/>
        <v>3.3893851812926958E-2</v>
      </c>
      <c r="H26" s="31">
        <f t="shared" si="5"/>
        <v>4.0511212925006028E-2</v>
      </c>
      <c r="I26" s="12"/>
      <c r="J26" s="12"/>
      <c r="K26" s="12"/>
    </row>
    <row r="27" spans="1:11" x14ac:dyDescent="0.25">
      <c r="A27" s="14" t="s">
        <v>548</v>
      </c>
      <c r="B27" s="8" t="s">
        <v>546</v>
      </c>
      <c r="C27" s="31">
        <f t="shared" ref="C27:H27" si="6">IF(OR(C7="",C11=""),"",IFERROR(C7/C11,""))</f>
        <v>4.4596912521440824E-2</v>
      </c>
      <c r="D27" s="31">
        <f t="shared" si="6"/>
        <v>0.14146772767462423</v>
      </c>
      <c r="E27" s="31">
        <f t="shared" si="6"/>
        <v>0.15412676698586411</v>
      </c>
      <c r="F27" s="31">
        <f t="shared" si="6"/>
        <v>0.13787924301592069</v>
      </c>
      <c r="G27" s="31">
        <f t="shared" si="6"/>
        <v>0.11324224908039937</v>
      </c>
      <c r="H27" s="31">
        <f t="shared" si="6"/>
        <v>0.10200144682903303</v>
      </c>
      <c r="I27" s="12"/>
      <c r="J27" s="12"/>
      <c r="K27" s="12"/>
    </row>
    <row r="28" spans="1:11" x14ac:dyDescent="0.25">
      <c r="A28" s="14" t="s">
        <v>549</v>
      </c>
      <c r="B28" s="8" t="s">
        <v>546</v>
      </c>
      <c r="C28" s="31">
        <f t="shared" ref="C28:H28" si="7">IF(OR(C8="",C11=""),"",IFERROR(C8/C11,""))</f>
        <v>8.2332761578044603E-2</v>
      </c>
      <c r="D28" s="31">
        <f t="shared" si="7"/>
        <v>9.2838196286472149E-2</v>
      </c>
      <c r="E28" s="31">
        <f t="shared" si="7"/>
        <v>8.7551299589603282E-2</v>
      </c>
      <c r="F28" s="31">
        <f t="shared" si="7"/>
        <v>8.8014418744367676E-2</v>
      </c>
      <c r="G28" s="31">
        <f t="shared" si="7"/>
        <v>8.8807146610614812E-2</v>
      </c>
      <c r="H28" s="31">
        <f t="shared" si="7"/>
        <v>8.9944538220400286E-2</v>
      </c>
      <c r="I28" s="12"/>
      <c r="J28" s="12"/>
      <c r="K28" s="12"/>
    </row>
    <row r="29" spans="1:11" x14ac:dyDescent="0.25">
      <c r="A29" s="14" t="s">
        <v>550</v>
      </c>
      <c r="B29" s="8" t="s">
        <v>546</v>
      </c>
      <c r="C29" s="31">
        <f t="shared" ref="C29:H29" si="8">IF(OR(C9="",C11=""),"",IFERROR(C9/C11,""))</f>
        <v>6.86106346483705E-2</v>
      </c>
      <c r="D29" s="31">
        <f t="shared" si="8"/>
        <v>9.1069849690539342E-2</v>
      </c>
      <c r="E29" s="31">
        <f t="shared" si="8"/>
        <v>9.6215230278157773E-2</v>
      </c>
      <c r="F29" s="31">
        <f t="shared" si="8"/>
        <v>0.10093121057374586</v>
      </c>
      <c r="G29" s="31">
        <f t="shared" si="8"/>
        <v>0.10641093011035208</v>
      </c>
      <c r="H29" s="31">
        <f t="shared" si="8"/>
        <v>0.11212925006028454</v>
      </c>
      <c r="I29" s="12"/>
      <c r="J29" s="12"/>
      <c r="K29" s="12"/>
    </row>
    <row r="30" spans="1:11" x14ac:dyDescent="0.25">
      <c r="A30" s="14" t="s">
        <v>551</v>
      </c>
      <c r="B30" s="8" t="s">
        <v>546</v>
      </c>
      <c r="C30" s="31">
        <f t="shared" ref="C30:H30" si="9">IF(OR(C10="",C11=""),"",IFERROR(C10/C11,""))</f>
        <v>0.44253859348198971</v>
      </c>
      <c r="D30" s="31">
        <f t="shared" si="9"/>
        <v>0.29000884173297964</v>
      </c>
      <c r="E30" s="31">
        <f t="shared" si="9"/>
        <v>0.27998176014591886</v>
      </c>
      <c r="F30" s="31">
        <f t="shared" si="9"/>
        <v>0.27005106638630222</v>
      </c>
      <c r="G30" s="31">
        <f t="shared" si="9"/>
        <v>0.25906463478717812</v>
      </c>
      <c r="H30" s="31">
        <f t="shared" si="9"/>
        <v>0.24499638292741741</v>
      </c>
      <c r="I30" s="12"/>
      <c r="J30" s="12"/>
      <c r="K30" s="12"/>
    </row>
    <row r="31" spans="1:11" ht="25.5" x14ac:dyDescent="0.25">
      <c r="A31" s="14" t="s">
        <v>552</v>
      </c>
      <c r="B31" s="8" t="s">
        <v>28</v>
      </c>
      <c r="C31" s="50">
        <f t="shared" ref="C31:H31" si="10">C11-C10</f>
        <v>325</v>
      </c>
      <c r="D31" s="50">
        <f t="shared" si="10"/>
        <v>803</v>
      </c>
      <c r="E31" s="50">
        <f t="shared" si="10"/>
        <v>1579</v>
      </c>
      <c r="F31" s="50">
        <f t="shared" si="10"/>
        <v>2430</v>
      </c>
      <c r="G31" s="50">
        <f t="shared" si="10"/>
        <v>2820</v>
      </c>
      <c r="H31" s="50">
        <f t="shared" si="10"/>
        <v>3131</v>
      </c>
      <c r="I31" s="12"/>
      <c r="J31" s="12"/>
      <c r="K31" s="12"/>
    </row>
    <row r="32" spans="1:11" x14ac:dyDescent="0.25">
      <c r="A32" s="14" t="s">
        <v>553</v>
      </c>
      <c r="B32" s="8" t="s">
        <v>554</v>
      </c>
      <c r="C32" s="31">
        <f t="shared" ref="C32:H32" si="11">IF(OR(C5="",C31=""),"",IFERROR(C5/C31,""))</f>
        <v>0.63076923076923075</v>
      </c>
      <c r="D32" s="31">
        <f t="shared" si="11"/>
        <v>0.50809464508094648</v>
      </c>
      <c r="E32" s="31">
        <f t="shared" si="11"/>
        <v>0.49525015832805575</v>
      </c>
      <c r="F32" s="31">
        <f t="shared" si="11"/>
        <v>0.51522633744855972</v>
      </c>
      <c r="G32" s="31">
        <f t="shared" si="11"/>
        <v>0.53794326241134749</v>
      </c>
      <c r="H32" s="31">
        <f t="shared" si="11"/>
        <v>0.54359629511338226</v>
      </c>
      <c r="I32" s="12"/>
      <c r="J32" s="12"/>
      <c r="K32" s="12"/>
    </row>
    <row r="33" spans="1:11" x14ac:dyDescent="0.25">
      <c r="A33" s="14" t="s">
        <v>555</v>
      </c>
      <c r="B33" s="8" t="s">
        <v>554</v>
      </c>
      <c r="C33" s="31">
        <f t="shared" ref="C33:H33" si="12">IF(OR(C7="",C31=""),"",IFERROR(C7/C31,""))</f>
        <v>0.08</v>
      </c>
      <c r="D33" s="31">
        <f t="shared" si="12"/>
        <v>0.19925280199252801</v>
      </c>
      <c r="E33" s="31">
        <f t="shared" si="12"/>
        <v>0.21405953134895503</v>
      </c>
      <c r="F33" s="31">
        <f t="shared" si="12"/>
        <v>0.18888888888888888</v>
      </c>
      <c r="G33" s="31">
        <f t="shared" si="12"/>
        <v>0.15283687943262411</v>
      </c>
      <c r="H33" s="31">
        <f t="shared" si="12"/>
        <v>0.13510060683487704</v>
      </c>
      <c r="I33" s="12"/>
      <c r="J33" s="12"/>
      <c r="K33" s="12"/>
    </row>
    <row r="35" spans="1:11" x14ac:dyDescent="0.25">
      <c r="A35" s="15" t="s">
        <v>556</v>
      </c>
      <c r="B35" s="16"/>
      <c r="C35" s="16"/>
      <c r="D35" s="16"/>
      <c r="E35" s="16"/>
      <c r="F35" s="16"/>
      <c r="G35" s="16"/>
      <c r="H35" s="16"/>
      <c r="I35" s="16"/>
      <c r="J35" s="16"/>
      <c r="K35" s="16"/>
    </row>
    <row r="36" spans="1:11" ht="25.5" x14ac:dyDescent="0.25">
      <c r="A36" s="14" t="s">
        <v>557</v>
      </c>
      <c r="B36" s="8" t="s">
        <v>28</v>
      </c>
      <c r="C36" s="12"/>
      <c r="D36" s="12"/>
      <c r="E36" s="12"/>
      <c r="F36" s="12"/>
      <c r="G36" s="12"/>
      <c r="H36" s="50">
        <f>SUM(D11:H11)</f>
        <v>14606</v>
      </c>
      <c r="I36" s="12"/>
      <c r="J36" s="12"/>
      <c r="K36" s="12"/>
    </row>
    <row r="37" spans="1:11" x14ac:dyDescent="0.25">
      <c r="A37" s="14" t="s">
        <v>558</v>
      </c>
      <c r="B37" s="8" t="s">
        <v>28</v>
      </c>
      <c r="C37" s="12"/>
      <c r="D37" s="12"/>
      <c r="E37" s="12"/>
      <c r="F37" s="12"/>
      <c r="G37" s="12"/>
      <c r="H37" s="42">
        <v>16500</v>
      </c>
      <c r="I37" s="12"/>
      <c r="J37" s="12"/>
      <c r="K37" s="12"/>
    </row>
    <row r="38" spans="1:11" ht="25.5" x14ac:dyDescent="0.25">
      <c r="A38" s="14" t="s">
        <v>559</v>
      </c>
      <c r="B38" s="8" t="s">
        <v>28</v>
      </c>
      <c r="C38" s="12"/>
      <c r="D38" s="12"/>
      <c r="E38" s="12"/>
      <c r="F38" s="12"/>
      <c r="G38" s="12"/>
      <c r="H38" s="50">
        <f>H37-H36</f>
        <v>1894</v>
      </c>
      <c r="I38" s="12"/>
      <c r="J38" s="12"/>
      <c r="K38" s="11" t="s">
        <v>560</v>
      </c>
    </row>
    <row r="40" spans="1:11" x14ac:dyDescent="0.25">
      <c r="A40" s="15" t="s">
        <v>561</v>
      </c>
      <c r="B40" s="16"/>
      <c r="C40" s="16"/>
      <c r="D40" s="16"/>
      <c r="E40" s="16"/>
      <c r="F40" s="16"/>
      <c r="G40" s="16"/>
      <c r="H40" s="16"/>
      <c r="I40" s="16"/>
      <c r="J40" s="16"/>
      <c r="K40" s="16"/>
    </row>
    <row r="41" spans="1:11" x14ac:dyDescent="0.25">
      <c r="A41" s="14" t="s">
        <v>562</v>
      </c>
      <c r="B41" s="8" t="s">
        <v>28</v>
      </c>
      <c r="C41" s="12"/>
      <c r="D41" s="12"/>
      <c r="E41" s="12"/>
      <c r="F41" s="12"/>
      <c r="G41" s="12"/>
      <c r="H41" s="42">
        <v>2400</v>
      </c>
      <c r="I41" s="12"/>
      <c r="J41" s="12"/>
      <c r="K41" s="12"/>
    </row>
    <row r="42" spans="1:11" x14ac:dyDescent="0.25">
      <c r="A42" s="14" t="s">
        <v>563</v>
      </c>
      <c r="B42" s="8" t="s">
        <v>28</v>
      </c>
      <c r="C42" s="12"/>
      <c r="D42" s="12"/>
      <c r="E42" s="12"/>
      <c r="F42" s="12"/>
      <c r="G42" s="12"/>
      <c r="H42" s="42">
        <v>3100</v>
      </c>
      <c r="I42" s="12"/>
      <c r="J42" s="12"/>
      <c r="K42" s="11" t="s">
        <v>564</v>
      </c>
    </row>
    <row r="43" spans="1:11" x14ac:dyDescent="0.25">
      <c r="A43" s="14" t="s">
        <v>565</v>
      </c>
      <c r="B43" s="8" t="s">
        <v>28</v>
      </c>
      <c r="C43" s="12"/>
      <c r="D43" s="12"/>
      <c r="E43" s="12"/>
      <c r="F43" s="12"/>
      <c r="G43" s="12"/>
      <c r="H43" s="50">
        <f>H12</f>
        <v>4150</v>
      </c>
      <c r="I43" s="12"/>
      <c r="J43" s="12"/>
      <c r="K43" s="12"/>
    </row>
    <row r="44" spans="1:11" x14ac:dyDescent="0.25">
      <c r="A44" s="14" t="s">
        <v>566</v>
      </c>
      <c r="B44" s="8" t="s">
        <v>223</v>
      </c>
      <c r="C44" s="12"/>
      <c r="D44" s="12"/>
      <c r="E44" s="12"/>
      <c r="F44" s="12"/>
      <c r="G44" s="12"/>
      <c r="H44" s="31">
        <f>IFERROR(H43/H42-1,"")</f>
        <v>0.33870967741935476</v>
      </c>
      <c r="I44" s="12"/>
      <c r="J44" s="12"/>
      <c r="K44" s="12"/>
    </row>
  </sheetData>
  <mergeCells count="1">
    <mergeCell ref="A2:K2"/>
  </mergeCells>
  <pageMargins left="0.4" right="0.4" top="0.5" bottom="0.5" header="0.5" footer="0.5"/>
  <pageSetup paperSize="9" scale="67" fitToHeight="0" orientation="landscape" r:id="rId1"/>
  <headerFooter>
    <oddFooter>&amp;C&amp;8NSR (18-Sep-2026) vs Capstone — &amp;A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4"/>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50" customWidth="1"/>
    <col min="2" max="2" width="9" customWidth="1"/>
    <col min="3" max="8" width="11" customWidth="1"/>
    <col min="9" max="9" width="12" customWidth="1"/>
    <col min="10" max="10" width="66" customWidth="1"/>
  </cols>
  <sheetData>
    <row r="1" spans="1:10" ht="24" customHeight="1" x14ac:dyDescent="0.25">
      <c r="A1" s="1" t="s">
        <v>567</v>
      </c>
    </row>
    <row r="2" spans="1:10" ht="12.95" customHeight="1" x14ac:dyDescent="0.25">
      <c r="A2" s="67" t="s">
        <v>568</v>
      </c>
      <c r="B2" s="66"/>
      <c r="C2" s="66"/>
      <c r="D2" s="66"/>
      <c r="E2" s="66"/>
      <c r="F2" s="66"/>
      <c r="G2" s="66"/>
      <c r="H2" s="66"/>
      <c r="I2" s="66"/>
      <c r="J2" s="66"/>
    </row>
    <row r="3" spans="1:10" ht="8.1" customHeight="1" x14ac:dyDescent="0.25"/>
    <row r="4" spans="1:10" ht="30" customHeight="1" x14ac:dyDescent="0.25">
      <c r="A4" s="5" t="s">
        <v>196</v>
      </c>
      <c r="B4" s="5" t="s">
        <v>19</v>
      </c>
      <c r="C4" s="6" t="s">
        <v>103</v>
      </c>
      <c r="D4" s="6" t="s">
        <v>104</v>
      </c>
      <c r="E4" s="6" t="s">
        <v>105</v>
      </c>
      <c r="F4" s="6" t="s">
        <v>106</v>
      </c>
      <c r="G4" s="6" t="s">
        <v>107</v>
      </c>
      <c r="H4" s="6" t="s">
        <v>108</v>
      </c>
      <c r="I4" s="5" t="s">
        <v>569</v>
      </c>
      <c r="J4" s="5" t="s">
        <v>570</v>
      </c>
    </row>
    <row r="5" spans="1:10" ht="25.5" x14ac:dyDescent="0.25">
      <c r="A5" s="21" t="s">
        <v>571</v>
      </c>
      <c r="B5" s="22" t="s">
        <v>28</v>
      </c>
      <c r="C5" s="51">
        <f>NSR_Capex!C5+NSR_Capex!C6+NSR_Capex!C7+NSR_Capex!C8</f>
        <v>285</v>
      </c>
      <c r="D5" s="51">
        <f>NSR_Capex!D5+NSR_Capex!D6+NSR_Capex!D7+NSR_Capex!D8</f>
        <v>700</v>
      </c>
      <c r="E5" s="51">
        <f>NSR_Capex!E5+NSR_Capex!E6+NSR_Capex!E7+NSR_Capex!E8</f>
        <v>1368</v>
      </c>
      <c r="F5" s="51">
        <f>NSR_Capex!F5+NSR_Capex!F6+NSR_Capex!F7+NSR_Capex!F8</f>
        <v>2094</v>
      </c>
      <c r="G5" s="51">
        <f>NSR_Capex!G5+NSR_Capex!G6+NSR_Capex!G7+NSR_Capex!G8</f>
        <v>2415</v>
      </c>
      <c r="H5" s="51">
        <f>NSR_Capex!H5+NSR_Capex!H6+NSR_Capex!H7+NSR_Capex!H8</f>
        <v>2666</v>
      </c>
      <c r="I5" s="48"/>
      <c r="J5" s="25" t="s">
        <v>572</v>
      </c>
    </row>
    <row r="6" spans="1:10" x14ac:dyDescent="0.25">
      <c r="A6" s="21" t="s">
        <v>573</v>
      </c>
      <c r="B6" s="22" t="s">
        <v>28</v>
      </c>
      <c r="C6" s="47">
        <v>285</v>
      </c>
      <c r="D6" s="47">
        <v>701</v>
      </c>
      <c r="E6" s="47">
        <v>1368</v>
      </c>
      <c r="F6" s="47">
        <v>2093</v>
      </c>
      <c r="G6" s="47">
        <v>2415</v>
      </c>
      <c r="H6" s="47">
        <v>2666</v>
      </c>
      <c r="I6" s="48"/>
      <c r="J6" s="48"/>
    </row>
    <row r="7" spans="1:10" x14ac:dyDescent="0.25">
      <c r="A7" s="11" t="s">
        <v>574</v>
      </c>
      <c r="B7" s="8" t="s">
        <v>28</v>
      </c>
      <c r="C7" s="49">
        <f t="shared" ref="C7:H7" si="0">C5-C6</f>
        <v>0</v>
      </c>
      <c r="D7" s="49">
        <f t="shared" si="0"/>
        <v>-1</v>
      </c>
      <c r="E7" s="49">
        <f t="shared" si="0"/>
        <v>0</v>
      </c>
      <c r="F7" s="49">
        <f t="shared" si="0"/>
        <v>1</v>
      </c>
      <c r="G7" s="49">
        <f t="shared" si="0"/>
        <v>0</v>
      </c>
      <c r="H7" s="49">
        <f t="shared" si="0"/>
        <v>0</v>
      </c>
      <c r="I7" s="12"/>
      <c r="J7" s="12"/>
    </row>
    <row r="9" spans="1:10" x14ac:dyDescent="0.25">
      <c r="A9" s="15" t="s">
        <v>575</v>
      </c>
      <c r="B9" s="16"/>
      <c r="C9" s="16"/>
      <c r="D9" s="16"/>
      <c r="E9" s="16"/>
      <c r="F9" s="16"/>
      <c r="G9" s="16"/>
      <c r="H9" s="16"/>
      <c r="I9" s="16"/>
      <c r="J9" s="16"/>
    </row>
    <row r="10" spans="1:10" x14ac:dyDescent="0.25">
      <c r="A10" s="14" t="s">
        <v>576</v>
      </c>
      <c r="B10" s="8" t="s">
        <v>28</v>
      </c>
      <c r="C10" s="52">
        <f>NSR_Capex!C5</f>
        <v>205</v>
      </c>
      <c r="D10" s="52">
        <f>NSR_Capex!D5</f>
        <v>408</v>
      </c>
      <c r="E10" s="52">
        <f>NSR_Capex!E5</f>
        <v>782</v>
      </c>
      <c r="F10" s="52">
        <f>NSR_Capex!F5</f>
        <v>1252</v>
      </c>
      <c r="G10" s="52">
        <f>NSR_Capex!G5</f>
        <v>1517</v>
      </c>
      <c r="H10" s="52">
        <f>NSR_Capex!H5</f>
        <v>1702</v>
      </c>
      <c r="I10" s="12"/>
      <c r="J10" s="12"/>
    </row>
    <row r="11" spans="1:10" x14ac:dyDescent="0.25">
      <c r="A11" s="14" t="s">
        <v>536</v>
      </c>
      <c r="B11" s="8" t="s">
        <v>537</v>
      </c>
      <c r="C11" s="33">
        <v>0.66</v>
      </c>
      <c r="D11" s="31">
        <f>IF(OR(D10="",C10=""),"",IFERROR(D10/C10-1,""))</f>
        <v>0.99024390243902438</v>
      </c>
      <c r="E11" s="31">
        <f>IF(OR(E10="",D10=""),"",IFERROR(E10/D10-1,""))</f>
        <v>0.91666666666666674</v>
      </c>
      <c r="F11" s="31">
        <f>IF(OR(F10="",E10=""),"",IFERROR(F10/E10-1,""))</f>
        <v>0.60102301790281332</v>
      </c>
      <c r="G11" s="31">
        <f>IF(OR(G10="",F10=""),"",IFERROR(G10/F10-1,""))</f>
        <v>0.21166134185303509</v>
      </c>
      <c r="H11" s="31">
        <f>IF(OR(H10="",G10=""),"",IFERROR(H10/G10-1,""))</f>
        <v>0.12195121951219523</v>
      </c>
      <c r="I11" s="12"/>
      <c r="J11" s="12"/>
    </row>
    <row r="12" spans="1:10" x14ac:dyDescent="0.25">
      <c r="A12" s="14" t="s">
        <v>577</v>
      </c>
      <c r="B12" s="8" t="s">
        <v>223</v>
      </c>
      <c r="C12" s="31">
        <f t="shared" ref="C12:H12" si="1">IF(OR(C10="",C6=""),"",IFERROR(C10/C6,""))</f>
        <v>0.7192982456140351</v>
      </c>
      <c r="D12" s="31">
        <f t="shared" si="1"/>
        <v>0.58202567760342372</v>
      </c>
      <c r="E12" s="31">
        <f t="shared" si="1"/>
        <v>0.57163742690058483</v>
      </c>
      <c r="F12" s="31">
        <f t="shared" si="1"/>
        <v>0.59818442427138074</v>
      </c>
      <c r="G12" s="31">
        <f t="shared" si="1"/>
        <v>0.62815734989648031</v>
      </c>
      <c r="H12" s="31">
        <f t="shared" si="1"/>
        <v>0.63840960240060018</v>
      </c>
      <c r="I12" s="12"/>
      <c r="J12" s="12"/>
    </row>
    <row r="13" spans="1:10" ht="24" x14ac:dyDescent="0.25">
      <c r="A13" s="21" t="s">
        <v>578</v>
      </c>
      <c r="B13" s="22" t="s">
        <v>28</v>
      </c>
      <c r="C13" s="47">
        <v>34</v>
      </c>
      <c r="D13" s="47">
        <v>82</v>
      </c>
      <c r="E13" s="47">
        <v>189</v>
      </c>
      <c r="F13" s="47">
        <v>332</v>
      </c>
      <c r="G13" s="47">
        <v>457</v>
      </c>
      <c r="H13" s="47">
        <v>560</v>
      </c>
      <c r="I13" s="45">
        <f>IFERROR((H13/C13)^(1/5)-1,"")</f>
        <v>0.75122448999591485</v>
      </c>
      <c r="J13" s="25" t="s">
        <v>579</v>
      </c>
    </row>
    <row r="14" spans="1:10" x14ac:dyDescent="0.25">
      <c r="A14" s="14" t="s">
        <v>580</v>
      </c>
      <c r="B14" s="8" t="s">
        <v>537</v>
      </c>
      <c r="C14" s="33">
        <v>0.93</v>
      </c>
      <c r="D14" s="31">
        <f>IF(OR(D13="",C13=""),"",IFERROR(D13/C13-1,""))</f>
        <v>1.4117647058823528</v>
      </c>
      <c r="E14" s="31">
        <f>IF(OR(E13="",D13=""),"",IFERROR(E13/D13-1,""))</f>
        <v>1.3048780487804876</v>
      </c>
      <c r="F14" s="31">
        <f>IF(OR(F13="",E13=""),"",IFERROR(F13/E13-1,""))</f>
        <v>0.75661375661375652</v>
      </c>
      <c r="G14" s="31">
        <f>IF(OR(G13="",F13=""),"",IFERROR(G13/F13-1,""))</f>
        <v>0.37650602409638556</v>
      </c>
      <c r="H14" s="31">
        <f>IF(OR(H13="",G13=""),"",IFERROR(H13/G13-1,""))</f>
        <v>0.2253829321663019</v>
      </c>
      <c r="I14" s="12"/>
      <c r="J14" s="12"/>
    </row>
    <row r="15" spans="1:10" x14ac:dyDescent="0.25">
      <c r="A15" s="14" t="s">
        <v>581</v>
      </c>
      <c r="B15" s="8" t="s">
        <v>223</v>
      </c>
      <c r="C15" s="31">
        <f t="shared" ref="C15:H15" si="2">IF(OR(C13="",C10=""),"",IFERROR(C13/C10,""))</f>
        <v>0.16585365853658537</v>
      </c>
      <c r="D15" s="31">
        <f t="shared" si="2"/>
        <v>0.20098039215686275</v>
      </c>
      <c r="E15" s="31">
        <f t="shared" si="2"/>
        <v>0.24168797953964194</v>
      </c>
      <c r="F15" s="31">
        <f t="shared" si="2"/>
        <v>0.26517571884984026</v>
      </c>
      <c r="G15" s="31">
        <f t="shared" si="2"/>
        <v>0.30125247198417932</v>
      </c>
      <c r="H15" s="31">
        <f t="shared" si="2"/>
        <v>0.32902467685076381</v>
      </c>
      <c r="I15" s="12"/>
      <c r="J15" s="12"/>
    </row>
    <row r="16" spans="1:10" x14ac:dyDescent="0.25">
      <c r="A16" s="14" t="s">
        <v>582</v>
      </c>
      <c r="B16" s="8" t="s">
        <v>537</v>
      </c>
      <c r="C16" s="33">
        <v>0.65</v>
      </c>
      <c r="D16" s="33">
        <v>0.94</v>
      </c>
      <c r="E16" s="33">
        <v>0.76</v>
      </c>
      <c r="F16" s="33">
        <v>0.94</v>
      </c>
      <c r="G16" s="33">
        <v>0.51</v>
      </c>
      <c r="H16" s="33">
        <v>0.27</v>
      </c>
      <c r="I16" s="12"/>
      <c r="J16" s="12"/>
    </row>
    <row r="17" spans="1:10" x14ac:dyDescent="0.25">
      <c r="A17" s="14" t="s">
        <v>583</v>
      </c>
      <c r="B17" s="8" t="s">
        <v>223</v>
      </c>
      <c r="C17" s="33">
        <v>0.69</v>
      </c>
      <c r="D17" s="33">
        <v>0.75</v>
      </c>
      <c r="E17" s="33">
        <v>0.81</v>
      </c>
      <c r="F17" s="33">
        <v>0.79</v>
      </c>
      <c r="G17" s="33">
        <v>0.77</v>
      </c>
      <c r="H17" s="33">
        <v>0.76</v>
      </c>
      <c r="I17" s="12"/>
      <c r="J17" s="12"/>
    </row>
    <row r="18" spans="1:10" x14ac:dyDescent="0.25">
      <c r="A18" s="14" t="s">
        <v>584</v>
      </c>
      <c r="B18" s="8" t="s">
        <v>28</v>
      </c>
      <c r="C18" s="50">
        <f t="shared" ref="C18:H18" si="3">C13*(1-C17)</f>
        <v>10.540000000000003</v>
      </c>
      <c r="D18" s="50">
        <f t="shared" si="3"/>
        <v>20.5</v>
      </c>
      <c r="E18" s="50">
        <f t="shared" si="3"/>
        <v>35.909999999999989</v>
      </c>
      <c r="F18" s="50">
        <f t="shared" si="3"/>
        <v>69.719999999999985</v>
      </c>
      <c r="G18" s="50">
        <f t="shared" si="3"/>
        <v>105.10999999999999</v>
      </c>
      <c r="H18" s="50">
        <f t="shared" si="3"/>
        <v>134.4</v>
      </c>
      <c r="I18" s="12"/>
      <c r="J18" s="12"/>
    </row>
    <row r="19" spans="1:10" x14ac:dyDescent="0.25">
      <c r="A19" s="14" t="s">
        <v>585</v>
      </c>
      <c r="B19" s="8" t="s">
        <v>537</v>
      </c>
      <c r="C19" s="12"/>
      <c r="D19" s="31">
        <f>IF(OR(D18="",C18=""),"",IFERROR(D18/C18-1,""))</f>
        <v>0.94497153700189696</v>
      </c>
      <c r="E19" s="31">
        <f>IF(OR(E18="",D18=""),"",IFERROR(E18/D18-1,""))</f>
        <v>0.75170731707317029</v>
      </c>
      <c r="F19" s="31">
        <f>IF(OR(F18="",E18=""),"",IFERROR(F18/E18-1,""))</f>
        <v>0.94152046783625742</v>
      </c>
      <c r="G19" s="31">
        <f>IF(OR(G18="",F18=""),"",IFERROR(G18/F18-1,""))</f>
        <v>0.50760183591508912</v>
      </c>
      <c r="H19" s="31">
        <f>IF(OR(H18="",G18=""),"",IFERROR(H18/G18-1,""))</f>
        <v>0.27866045095614145</v>
      </c>
      <c r="I19" s="12"/>
      <c r="J19" s="12"/>
    </row>
    <row r="20" spans="1:10" x14ac:dyDescent="0.25">
      <c r="A20" s="14" t="s">
        <v>586</v>
      </c>
      <c r="B20" s="8" t="s">
        <v>28</v>
      </c>
      <c r="C20" s="50">
        <f t="shared" ref="C20:H20" si="4">C10-C13</f>
        <v>171</v>
      </c>
      <c r="D20" s="50">
        <f t="shared" si="4"/>
        <v>326</v>
      </c>
      <c r="E20" s="50">
        <f t="shared" si="4"/>
        <v>593</v>
      </c>
      <c r="F20" s="50">
        <f t="shared" si="4"/>
        <v>920</v>
      </c>
      <c r="G20" s="50">
        <f t="shared" si="4"/>
        <v>1060</v>
      </c>
      <c r="H20" s="50">
        <f t="shared" si="4"/>
        <v>1142</v>
      </c>
      <c r="I20" s="12"/>
      <c r="J20" s="12"/>
    </row>
    <row r="21" spans="1:10" x14ac:dyDescent="0.25">
      <c r="A21" s="14" t="s">
        <v>587</v>
      </c>
      <c r="B21" s="8" t="s">
        <v>28</v>
      </c>
      <c r="C21" s="42">
        <v>172</v>
      </c>
      <c r="D21" s="42">
        <v>326</v>
      </c>
      <c r="E21" s="42">
        <v>593</v>
      </c>
      <c r="F21" s="42">
        <v>920</v>
      </c>
      <c r="G21" s="42">
        <v>1060</v>
      </c>
      <c r="H21" s="42">
        <v>1145</v>
      </c>
      <c r="I21" s="12"/>
      <c r="J21" s="12"/>
    </row>
    <row r="22" spans="1:10" x14ac:dyDescent="0.25">
      <c r="A22" s="11" t="s">
        <v>574</v>
      </c>
      <c r="B22" s="8" t="s">
        <v>28</v>
      </c>
      <c r="C22" s="49">
        <f t="shared" ref="C22:H22" si="5">C20-C21</f>
        <v>-1</v>
      </c>
      <c r="D22" s="49">
        <f t="shared" si="5"/>
        <v>0</v>
      </c>
      <c r="E22" s="49">
        <f t="shared" si="5"/>
        <v>0</v>
      </c>
      <c r="F22" s="49">
        <f t="shared" si="5"/>
        <v>0</v>
      </c>
      <c r="G22" s="49">
        <f t="shared" si="5"/>
        <v>0</v>
      </c>
      <c r="H22" s="49">
        <f t="shared" si="5"/>
        <v>-3</v>
      </c>
      <c r="I22" s="12"/>
      <c r="J22" s="12"/>
    </row>
    <row r="24" spans="1:10" x14ac:dyDescent="0.25">
      <c r="A24" s="15" t="s">
        <v>522</v>
      </c>
      <c r="B24" s="16"/>
      <c r="C24" s="16"/>
      <c r="D24" s="16"/>
      <c r="E24" s="16"/>
      <c r="F24" s="16"/>
      <c r="G24" s="16"/>
      <c r="H24" s="16"/>
      <c r="I24" s="16"/>
      <c r="J24" s="16"/>
    </row>
    <row r="25" spans="1:10" ht="25.5" x14ac:dyDescent="0.25">
      <c r="A25" s="21" t="s">
        <v>588</v>
      </c>
      <c r="B25" s="22" t="s">
        <v>28</v>
      </c>
      <c r="C25" s="47">
        <v>25</v>
      </c>
      <c r="D25" s="47">
        <v>49</v>
      </c>
      <c r="E25" s="47">
        <v>80</v>
      </c>
      <c r="F25" s="47">
        <v>117</v>
      </c>
      <c r="G25" s="47">
        <v>159</v>
      </c>
      <c r="H25" s="47">
        <v>202</v>
      </c>
      <c r="I25" s="45">
        <f>IFERROR((H25/C25)^(1/5)-1,"")</f>
        <v>0.51873594615984109</v>
      </c>
      <c r="J25" s="25" t="s">
        <v>589</v>
      </c>
    </row>
    <row r="26" spans="1:10" x14ac:dyDescent="0.25">
      <c r="A26" s="14" t="s">
        <v>590</v>
      </c>
      <c r="B26" s="8" t="s">
        <v>537</v>
      </c>
      <c r="C26" s="33">
        <v>0.21</v>
      </c>
      <c r="D26" s="31">
        <f>IF(OR(D25="",C25=""),"",IFERROR(D25/C25-1,""))</f>
        <v>0.96</v>
      </c>
      <c r="E26" s="31">
        <f>IF(OR(E25="",D25=""),"",IFERROR(E25/D25-1,""))</f>
        <v>0.63265306122448983</v>
      </c>
      <c r="F26" s="31">
        <f>IF(OR(F25="",E25=""),"",IFERROR(F25/E25-1,""))</f>
        <v>0.46249999999999991</v>
      </c>
      <c r="G26" s="31">
        <f>IF(OR(G25="",F25=""),"",IFERROR(G25/F25-1,""))</f>
        <v>0.35897435897435903</v>
      </c>
      <c r="H26" s="31">
        <f>IF(OR(H25="",G25=""),"",IFERROR(H25/G25-1,""))</f>
        <v>0.27044025157232698</v>
      </c>
      <c r="I26" s="12"/>
      <c r="J26" s="12"/>
    </row>
    <row r="27" spans="1:10" x14ac:dyDescent="0.25">
      <c r="A27" s="14" t="s">
        <v>591</v>
      </c>
      <c r="B27" s="8" t="s">
        <v>223</v>
      </c>
      <c r="C27" s="13">
        <f>IFERROR(NSR_Capex!C6/C25,"")</f>
        <v>0.24</v>
      </c>
      <c r="D27" s="13">
        <f>IFERROR(NSR_Capex!D6/D25,"")</f>
        <v>0.55102040816326525</v>
      </c>
      <c r="E27" s="13">
        <f>IFERROR(NSR_Capex!E6/E25,"")</f>
        <v>0.7</v>
      </c>
      <c r="F27" s="13">
        <f>IFERROR(NSR_Capex!F6/F25,"")</f>
        <v>0.76923076923076927</v>
      </c>
      <c r="G27" s="13">
        <f>IFERROR(NSR_Capex!G6/G25,"")</f>
        <v>0.81132075471698117</v>
      </c>
      <c r="H27" s="13">
        <f>IFERROR(NSR_Capex!H6/H25,"")</f>
        <v>0.83168316831683164</v>
      </c>
      <c r="I27" s="12"/>
      <c r="J27" s="12"/>
    </row>
    <row r="29" spans="1:10" x14ac:dyDescent="0.25">
      <c r="A29" s="15" t="s">
        <v>592</v>
      </c>
      <c r="B29" s="16"/>
      <c r="C29" s="16"/>
      <c r="D29" s="16"/>
      <c r="E29" s="16"/>
      <c r="F29" s="16"/>
      <c r="G29" s="16"/>
      <c r="H29" s="16"/>
      <c r="I29" s="16"/>
      <c r="J29" s="16"/>
    </row>
    <row r="30" spans="1:10" ht="24" x14ac:dyDescent="0.25">
      <c r="A30" s="21" t="s">
        <v>593</v>
      </c>
      <c r="B30" s="22" t="s">
        <v>28</v>
      </c>
      <c r="C30" s="47">
        <v>17</v>
      </c>
      <c r="D30" s="47">
        <v>100</v>
      </c>
      <c r="E30" s="47">
        <v>211</v>
      </c>
      <c r="F30" s="47">
        <v>273</v>
      </c>
      <c r="G30" s="47">
        <v>250</v>
      </c>
      <c r="H30" s="47">
        <v>241</v>
      </c>
      <c r="I30" s="45">
        <f>IFERROR((H30/C30)^(1/5)-1,"")</f>
        <v>0.69947047608843516</v>
      </c>
      <c r="J30" s="25" t="s">
        <v>594</v>
      </c>
    </row>
    <row r="31" spans="1:10" x14ac:dyDescent="0.25">
      <c r="A31" s="14" t="s">
        <v>595</v>
      </c>
      <c r="B31" s="8" t="s">
        <v>537</v>
      </c>
      <c r="C31" s="33">
        <v>1.05</v>
      </c>
      <c r="D31" s="31">
        <f>IF(OR(D30="",C30=""),"",IFERROR(D30/C30-1,""))</f>
        <v>4.882352941176471</v>
      </c>
      <c r="E31" s="31">
        <f>IF(OR(E30="",D30=""),"",IFERROR(E30/D30-1,""))</f>
        <v>1.1099999999999999</v>
      </c>
      <c r="F31" s="31">
        <f>IF(OR(F30="",E30=""),"",IFERROR(F30/E30-1,""))</f>
        <v>0.29383886255924163</v>
      </c>
      <c r="G31" s="31">
        <f>IF(OR(G30="",F30=""),"",IFERROR(G30/F30-1,""))</f>
        <v>-8.4249084249084283E-2</v>
      </c>
      <c r="H31" s="31">
        <f>IF(OR(H30="",G30=""),"",IFERROR(H30/G30-1,""))</f>
        <v>-3.6000000000000032E-2</v>
      </c>
      <c r="I31" s="12"/>
      <c r="J31" s="12"/>
    </row>
    <row r="32" spans="1:10" x14ac:dyDescent="0.25">
      <c r="A32" s="14" t="s">
        <v>596</v>
      </c>
      <c r="B32" s="8" t="s">
        <v>223</v>
      </c>
      <c r="C32" s="31">
        <f t="shared" ref="C32:H32" si="6">IF(OR(C30="",C6=""),"",IFERROR(C30/C6,""))</f>
        <v>5.9649122807017542E-2</v>
      </c>
      <c r="D32" s="31">
        <f t="shared" si="6"/>
        <v>0.14265335235378032</v>
      </c>
      <c r="E32" s="31">
        <f t="shared" si="6"/>
        <v>0.15423976608187134</v>
      </c>
      <c r="F32" s="31">
        <f t="shared" si="6"/>
        <v>0.13043478260869565</v>
      </c>
      <c r="G32" s="31">
        <f t="shared" si="6"/>
        <v>0.10351966873706005</v>
      </c>
      <c r="H32" s="31">
        <f t="shared" si="6"/>
        <v>9.0397599399849968E-2</v>
      </c>
      <c r="I32" s="12"/>
      <c r="J32" s="12"/>
    </row>
    <row r="33" spans="1:10" x14ac:dyDescent="0.25">
      <c r="A33" s="14" t="s">
        <v>597</v>
      </c>
      <c r="B33" s="8" t="s">
        <v>537</v>
      </c>
      <c r="C33" s="33">
        <v>0.56000000000000005</v>
      </c>
      <c r="D33" s="33">
        <v>0.71</v>
      </c>
      <c r="E33" s="33">
        <v>1.1100000000000001</v>
      </c>
      <c r="F33" s="33">
        <v>0.83</v>
      </c>
      <c r="G33" s="33">
        <v>0.13</v>
      </c>
      <c r="H33" s="33">
        <v>0.14000000000000001</v>
      </c>
      <c r="I33" s="12"/>
      <c r="J33" s="12"/>
    </row>
    <row r="34" spans="1:10" x14ac:dyDescent="0.25">
      <c r="A34" s="14" t="s">
        <v>598</v>
      </c>
      <c r="B34" s="8" t="s">
        <v>223</v>
      </c>
      <c r="C34" s="33">
        <v>0.57999999999999996</v>
      </c>
      <c r="D34" s="33">
        <v>0.88</v>
      </c>
      <c r="E34" s="33">
        <v>0.88</v>
      </c>
      <c r="F34" s="33">
        <v>0.83</v>
      </c>
      <c r="G34" s="33">
        <v>0.79</v>
      </c>
      <c r="H34" s="33">
        <v>0.75</v>
      </c>
      <c r="I34" s="12"/>
      <c r="J34" s="12"/>
    </row>
    <row r="35" spans="1:10" x14ac:dyDescent="0.25">
      <c r="A35" s="21" t="s">
        <v>599</v>
      </c>
      <c r="B35" s="22" t="s">
        <v>28</v>
      </c>
      <c r="C35" s="47">
        <v>9</v>
      </c>
      <c r="D35" s="47">
        <v>60</v>
      </c>
      <c r="E35" s="47">
        <v>127</v>
      </c>
      <c r="F35" s="47">
        <v>186</v>
      </c>
      <c r="G35" s="47">
        <v>181</v>
      </c>
      <c r="H35" s="47">
        <v>182</v>
      </c>
      <c r="I35" s="45">
        <f>IFERROR((H35/C35)^(1/5)-1,"")</f>
        <v>0.82459203932201164</v>
      </c>
      <c r="J35" s="25" t="s">
        <v>600</v>
      </c>
    </row>
    <row r="36" spans="1:10" x14ac:dyDescent="0.25">
      <c r="A36" s="14" t="s">
        <v>601</v>
      </c>
      <c r="B36" s="8" t="s">
        <v>537</v>
      </c>
      <c r="C36" s="33">
        <v>0.53</v>
      </c>
      <c r="D36" s="31">
        <f>IF(OR(D35="",C35=""),"",IFERROR(D35/C35-1,""))</f>
        <v>5.666666666666667</v>
      </c>
      <c r="E36" s="31">
        <f>IF(OR(E35="",D35=""),"",IFERROR(E35/D35-1,""))</f>
        <v>1.1166666666666667</v>
      </c>
      <c r="F36" s="31">
        <f>IF(OR(F35="",E35=""),"",IFERROR(F35/E35-1,""))</f>
        <v>0.46456692913385833</v>
      </c>
      <c r="G36" s="31">
        <f>IF(OR(G35="",F35=""),"",IFERROR(G35/F35-1,""))</f>
        <v>-2.6881720430107503E-2</v>
      </c>
      <c r="H36" s="31">
        <f>IF(OR(H35="",G35=""),"",IFERROR(H35/G35-1,""))</f>
        <v>5.5248618784531356E-3</v>
      </c>
      <c r="I36" s="12"/>
      <c r="J36" s="12"/>
    </row>
    <row r="37" spans="1:10" x14ac:dyDescent="0.25">
      <c r="A37" s="14" t="s">
        <v>602</v>
      </c>
      <c r="B37" s="8" t="s">
        <v>223</v>
      </c>
      <c r="C37" s="31">
        <f t="shared" ref="C37:H37" si="7">IF(OR(C35="",C6=""),"",IFERROR(C35/C6,""))</f>
        <v>3.1578947368421054E-2</v>
      </c>
      <c r="D37" s="31">
        <f t="shared" si="7"/>
        <v>8.5592011412268187E-2</v>
      </c>
      <c r="E37" s="31">
        <f t="shared" si="7"/>
        <v>9.2836257309941522E-2</v>
      </c>
      <c r="F37" s="31">
        <f t="shared" si="7"/>
        <v>8.8867654085045392E-2</v>
      </c>
      <c r="G37" s="31">
        <f t="shared" si="7"/>
        <v>7.4948240165631466E-2</v>
      </c>
      <c r="H37" s="31">
        <f t="shared" si="7"/>
        <v>6.826706676669167E-2</v>
      </c>
      <c r="I37" s="12"/>
      <c r="J37" s="12"/>
    </row>
    <row r="38" spans="1:10" ht="25.5" x14ac:dyDescent="0.25">
      <c r="A38" s="14" t="s">
        <v>603</v>
      </c>
      <c r="B38" s="8" t="s">
        <v>537</v>
      </c>
      <c r="C38" s="53">
        <v>0.56000000000000005</v>
      </c>
      <c r="D38" s="53">
        <v>0.71</v>
      </c>
      <c r="E38" s="53">
        <v>1.1100000000000001</v>
      </c>
      <c r="F38" s="53">
        <v>0.83</v>
      </c>
      <c r="G38" s="53">
        <v>0.13</v>
      </c>
      <c r="H38" s="53">
        <v>0.14000000000000001</v>
      </c>
      <c r="I38" s="12"/>
      <c r="J38" s="11" t="s">
        <v>604</v>
      </c>
    </row>
    <row r="39" spans="1:10" x14ac:dyDescent="0.25">
      <c r="A39" s="14" t="s">
        <v>605</v>
      </c>
      <c r="B39" s="8" t="s">
        <v>223</v>
      </c>
      <c r="C39" s="33">
        <v>0.25</v>
      </c>
      <c r="D39" s="33">
        <v>0.8</v>
      </c>
      <c r="E39" s="33">
        <v>0.8</v>
      </c>
      <c r="F39" s="33">
        <v>0.75</v>
      </c>
      <c r="G39" s="33">
        <v>0.71</v>
      </c>
      <c r="H39" s="33">
        <v>0.67</v>
      </c>
      <c r="I39" s="12"/>
      <c r="J39" s="12"/>
    </row>
    <row r="41" spans="1:10" x14ac:dyDescent="0.25">
      <c r="A41" s="15" t="s">
        <v>606</v>
      </c>
      <c r="B41" s="16"/>
      <c r="C41" s="16"/>
      <c r="D41" s="16"/>
      <c r="E41" s="16"/>
      <c r="F41" s="16"/>
      <c r="G41" s="16"/>
      <c r="H41" s="16"/>
      <c r="I41" s="16"/>
      <c r="J41" s="16"/>
    </row>
    <row r="42" spans="1:10" x14ac:dyDescent="0.25">
      <c r="A42" s="21" t="s">
        <v>607</v>
      </c>
      <c r="B42" s="22" t="s">
        <v>28</v>
      </c>
      <c r="C42" s="47">
        <v>29</v>
      </c>
      <c r="D42" s="47">
        <v>181</v>
      </c>
      <c r="E42" s="47">
        <v>328</v>
      </c>
      <c r="F42" s="47">
        <v>499</v>
      </c>
      <c r="G42" s="47">
        <v>626</v>
      </c>
      <c r="H42" s="47">
        <v>744</v>
      </c>
      <c r="I42" s="48"/>
      <c r="J42" s="48"/>
    </row>
    <row r="43" spans="1:10" x14ac:dyDescent="0.25">
      <c r="A43" s="14" t="s">
        <v>608</v>
      </c>
      <c r="B43" s="8" t="s">
        <v>537</v>
      </c>
      <c r="C43" s="12"/>
      <c r="D43" s="31">
        <f>IF(OR(D42="",C42=""),"",IFERROR(D42/C42-1,""))</f>
        <v>5.2413793103448274</v>
      </c>
      <c r="E43" s="31">
        <f>IF(OR(E42="",D42=""),"",IFERROR(E42/D42-1,""))</f>
        <v>0.81215469613259672</v>
      </c>
      <c r="F43" s="31">
        <f>IF(OR(F42="",E42=""),"",IFERROR(F42/E42-1,""))</f>
        <v>0.52134146341463405</v>
      </c>
      <c r="G43" s="31">
        <f>IF(OR(G42="",F42=""),"",IFERROR(G42/F42-1,""))</f>
        <v>0.25450901803607207</v>
      </c>
      <c r="H43" s="31">
        <f>IF(OR(H42="",G42=""),"",IFERROR(H42/G42-1,""))</f>
        <v>0.18849840255591044</v>
      </c>
      <c r="I43" s="12"/>
      <c r="J43" s="12"/>
    </row>
    <row r="44" spans="1:10" ht="24" x14ac:dyDescent="0.25">
      <c r="A44" s="14" t="s">
        <v>609</v>
      </c>
      <c r="B44" s="8" t="s">
        <v>537</v>
      </c>
      <c r="C44" s="53">
        <v>2.02</v>
      </c>
      <c r="D44" s="53">
        <v>1.91</v>
      </c>
      <c r="E44" s="53">
        <v>1</v>
      </c>
      <c r="F44" s="53">
        <v>0.59</v>
      </c>
      <c r="G44" s="53">
        <v>0.16</v>
      </c>
      <c r="H44" s="53">
        <v>0.1</v>
      </c>
      <c r="I44" s="12"/>
      <c r="J44" s="11" t="s">
        <v>610</v>
      </c>
    </row>
    <row r="46" spans="1:10" x14ac:dyDescent="0.25">
      <c r="A46" s="15" t="s">
        <v>611</v>
      </c>
      <c r="B46" s="16"/>
      <c r="C46" s="16"/>
      <c r="D46" s="16"/>
      <c r="E46" s="16"/>
      <c r="F46" s="16"/>
      <c r="G46" s="16"/>
      <c r="H46" s="16"/>
      <c r="I46" s="16"/>
      <c r="J46" s="16"/>
    </row>
    <row r="47" spans="1:10" x14ac:dyDescent="0.25">
      <c r="A47" s="14" t="s">
        <v>612</v>
      </c>
      <c r="B47" s="8" t="s">
        <v>28</v>
      </c>
      <c r="C47" s="50">
        <f t="shared" ref="C47:H47" si="8">C30+C35</f>
        <v>26</v>
      </c>
      <c r="D47" s="50">
        <f t="shared" si="8"/>
        <v>160</v>
      </c>
      <c r="E47" s="50">
        <f t="shared" si="8"/>
        <v>338</v>
      </c>
      <c r="F47" s="50">
        <f t="shared" si="8"/>
        <v>459</v>
      </c>
      <c r="G47" s="50">
        <f t="shared" si="8"/>
        <v>431</v>
      </c>
      <c r="H47" s="50">
        <f t="shared" si="8"/>
        <v>423</v>
      </c>
      <c r="I47" s="12"/>
      <c r="J47" s="12"/>
    </row>
    <row r="48" spans="1:10" x14ac:dyDescent="0.25">
      <c r="A48" s="14" t="s">
        <v>613</v>
      </c>
      <c r="B48" s="8" t="s">
        <v>28</v>
      </c>
      <c r="C48" s="52">
        <f>NSR_Capex!C7</f>
        <v>26</v>
      </c>
      <c r="D48" s="52">
        <f>NSR_Capex!D7</f>
        <v>160</v>
      </c>
      <c r="E48" s="52">
        <f>NSR_Capex!E7</f>
        <v>338</v>
      </c>
      <c r="F48" s="52">
        <f>NSR_Capex!F7</f>
        <v>459</v>
      </c>
      <c r="G48" s="52">
        <f>NSR_Capex!G7</f>
        <v>431</v>
      </c>
      <c r="H48" s="52">
        <f>NSR_Capex!H7</f>
        <v>423</v>
      </c>
      <c r="I48" s="12"/>
      <c r="J48" s="12"/>
    </row>
    <row r="49" spans="1:10" x14ac:dyDescent="0.25">
      <c r="A49" s="11" t="s">
        <v>614</v>
      </c>
      <c r="B49" s="8" t="s">
        <v>28</v>
      </c>
      <c r="C49" s="49">
        <f t="shared" ref="C49:H49" si="9">C47-C48</f>
        <v>0</v>
      </c>
      <c r="D49" s="49">
        <f t="shared" si="9"/>
        <v>0</v>
      </c>
      <c r="E49" s="49">
        <f t="shared" si="9"/>
        <v>0</v>
      </c>
      <c r="F49" s="49">
        <f t="shared" si="9"/>
        <v>0</v>
      </c>
      <c r="G49" s="49">
        <f t="shared" si="9"/>
        <v>0</v>
      </c>
      <c r="H49" s="49">
        <f t="shared" si="9"/>
        <v>0</v>
      </c>
      <c r="I49" s="12"/>
      <c r="J49" s="12"/>
    </row>
    <row r="50" spans="1:10" x14ac:dyDescent="0.25">
      <c r="A50" s="14" t="s">
        <v>615</v>
      </c>
      <c r="B50" s="8" t="s">
        <v>28</v>
      </c>
      <c r="C50" s="52">
        <f>NSR_Capex!C8+C25+NSR_Capex!C6</f>
        <v>79</v>
      </c>
      <c r="D50" s="52">
        <f>NSR_Capex!D8+D25+NSR_Capex!D6</f>
        <v>181</v>
      </c>
      <c r="E50" s="52">
        <f>NSR_Capex!E8+E25+NSR_Capex!E6</f>
        <v>328</v>
      </c>
      <c r="F50" s="52">
        <f>NSR_Capex!F8+F25+NSR_Capex!F6</f>
        <v>500</v>
      </c>
      <c r="G50" s="52">
        <f>NSR_Capex!G8+G25+NSR_Capex!G6</f>
        <v>626</v>
      </c>
      <c r="H50" s="52">
        <f>NSR_Capex!H8+H25+NSR_Capex!H6</f>
        <v>743</v>
      </c>
      <c r="I50" s="12"/>
      <c r="J50" s="12"/>
    </row>
    <row r="51" spans="1:10" ht="24" x14ac:dyDescent="0.25">
      <c r="A51" s="11" t="s">
        <v>616</v>
      </c>
      <c r="B51" s="8" t="s">
        <v>28</v>
      </c>
      <c r="C51" s="54">
        <f t="shared" ref="C51:H51" si="10">C42-C50</f>
        <v>-50</v>
      </c>
      <c r="D51" s="54">
        <f t="shared" si="10"/>
        <v>0</v>
      </c>
      <c r="E51" s="54">
        <f t="shared" si="10"/>
        <v>0</v>
      </c>
      <c r="F51" s="54">
        <f t="shared" si="10"/>
        <v>-1</v>
      </c>
      <c r="G51" s="54">
        <f t="shared" si="10"/>
        <v>0</v>
      </c>
      <c r="H51" s="54">
        <f t="shared" si="10"/>
        <v>1</v>
      </c>
      <c r="I51" s="12"/>
      <c r="J51" s="12"/>
    </row>
    <row r="52" spans="1:10" ht="25.5" x14ac:dyDescent="0.25">
      <c r="A52" s="21" t="s">
        <v>617</v>
      </c>
      <c r="B52" s="22" t="s">
        <v>28</v>
      </c>
      <c r="C52" s="44">
        <f t="shared" ref="C52:H52" si="11">C13+C30+C35</f>
        <v>60</v>
      </c>
      <c r="D52" s="44">
        <f t="shared" si="11"/>
        <v>242</v>
      </c>
      <c r="E52" s="44">
        <f t="shared" si="11"/>
        <v>527</v>
      </c>
      <c r="F52" s="44">
        <f t="shared" si="11"/>
        <v>791</v>
      </c>
      <c r="G52" s="44">
        <f t="shared" si="11"/>
        <v>888</v>
      </c>
      <c r="H52" s="44">
        <f t="shared" si="11"/>
        <v>983</v>
      </c>
      <c r="I52" s="45">
        <f>IFERROR((H52/C52)^(1/5)-1,"")</f>
        <v>0.74936508159218795</v>
      </c>
      <c r="J52" s="48"/>
    </row>
    <row r="53" spans="1:10" x14ac:dyDescent="0.25">
      <c r="A53" s="14" t="s">
        <v>618</v>
      </c>
      <c r="B53" s="8" t="s">
        <v>223</v>
      </c>
      <c r="C53" s="31">
        <f t="shared" ref="C53:H53" si="12">IF(OR(C52="",C6=""),"",IFERROR(C52/C6,""))</f>
        <v>0.21052631578947367</v>
      </c>
      <c r="D53" s="31">
        <f t="shared" si="12"/>
        <v>0.34522111269614836</v>
      </c>
      <c r="E53" s="31">
        <f t="shared" si="12"/>
        <v>0.38523391812865498</v>
      </c>
      <c r="F53" s="31">
        <f t="shared" si="12"/>
        <v>0.3779264214046823</v>
      </c>
      <c r="G53" s="31">
        <f t="shared" si="12"/>
        <v>0.36770186335403726</v>
      </c>
      <c r="H53" s="31">
        <f t="shared" si="12"/>
        <v>0.36871717929482373</v>
      </c>
      <c r="I53" s="12"/>
      <c r="J53" s="12"/>
    </row>
    <row r="54" spans="1:10" x14ac:dyDescent="0.25">
      <c r="A54" s="14" t="s">
        <v>619</v>
      </c>
      <c r="B54" s="8" t="s">
        <v>223</v>
      </c>
      <c r="C54" s="13">
        <f>IFERROR(C52/NSR_Capex!C11,"")</f>
        <v>0.10291595197255575</v>
      </c>
      <c r="D54" s="13">
        <f>IFERROR(D52/NSR_Capex!D11,"")</f>
        <v>0.21396993810786913</v>
      </c>
      <c r="E54" s="13">
        <f>IFERROR(E52/NSR_Capex!E11,"")</f>
        <v>0.24031007751937986</v>
      </c>
      <c r="F54" s="13">
        <f>IFERROR(F52/NSR_Capex!F11,"")</f>
        <v>0.23760889155902673</v>
      </c>
      <c r="G54" s="13">
        <f>IFERROR(G52/NSR_Capex!G11,"")</f>
        <v>0.23331581713084604</v>
      </c>
      <c r="H54" s="13">
        <f>IFERROR(H52/NSR_Capex!H11,"")</f>
        <v>0.23703882324571979</v>
      </c>
      <c r="I54" s="12"/>
      <c r="J54" s="12"/>
    </row>
  </sheetData>
  <mergeCells count="1">
    <mergeCell ref="A2:J2"/>
  </mergeCells>
  <pageMargins left="0.4" right="0.4" top="0.5" bottom="0.5" header="0.5" footer="0.5"/>
  <pageSetup paperSize="9" scale="68" fitToHeight="0" orientation="landscape" r:id="rId1"/>
  <headerFooter>
    <oddFooter>&amp;C&amp;8NSR (18-Sep-2026) vs Capstone — &amp;A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45"/>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52" customWidth="1"/>
    <col min="2" max="2" width="9" customWidth="1"/>
    <col min="3" max="8" width="11" customWidth="1"/>
    <col min="9" max="10" width="13" customWidth="1"/>
    <col min="11" max="11" width="62" customWidth="1"/>
  </cols>
  <sheetData>
    <row r="1" spans="1:11" ht="24" customHeight="1" x14ac:dyDescent="0.25">
      <c r="A1" s="1" t="s">
        <v>620</v>
      </c>
    </row>
    <row r="2" spans="1:11" ht="12.95" customHeight="1" x14ac:dyDescent="0.25">
      <c r="A2" s="67" t="s">
        <v>621</v>
      </c>
      <c r="B2" s="66"/>
      <c r="C2" s="66"/>
      <c r="D2" s="66"/>
      <c r="E2" s="66"/>
      <c r="F2" s="66"/>
      <c r="G2" s="66"/>
      <c r="H2" s="66"/>
      <c r="I2" s="66"/>
      <c r="J2" s="66"/>
      <c r="K2" s="66"/>
    </row>
    <row r="3" spans="1:11" ht="8.1" customHeight="1" x14ac:dyDescent="0.25"/>
    <row r="4" spans="1:11" ht="30" customHeight="1" x14ac:dyDescent="0.25">
      <c r="A4" s="5" t="s">
        <v>196</v>
      </c>
      <c r="B4" s="5" t="s">
        <v>19</v>
      </c>
      <c r="C4" s="6" t="s">
        <v>103</v>
      </c>
      <c r="D4" s="6" t="s">
        <v>104</v>
      </c>
      <c r="E4" s="6" t="s">
        <v>105</v>
      </c>
      <c r="F4" s="6" t="s">
        <v>106</v>
      </c>
      <c r="G4" s="6" t="s">
        <v>107</v>
      </c>
      <c r="H4" s="6" t="s">
        <v>108</v>
      </c>
      <c r="I4" s="5" t="s">
        <v>622</v>
      </c>
      <c r="J4" s="5" t="s">
        <v>623</v>
      </c>
      <c r="K4" s="5" t="s">
        <v>519</v>
      </c>
    </row>
    <row r="5" spans="1:11" x14ac:dyDescent="0.25">
      <c r="A5" s="15" t="s">
        <v>624</v>
      </c>
      <c r="B5" s="16"/>
      <c r="C5" s="16"/>
      <c r="D5" s="16"/>
      <c r="E5" s="16"/>
      <c r="F5" s="16"/>
      <c r="G5" s="16"/>
      <c r="H5" s="16"/>
      <c r="I5" s="16"/>
      <c r="J5" s="16"/>
      <c r="K5" s="16"/>
    </row>
    <row r="6" spans="1:11" ht="36" x14ac:dyDescent="0.25">
      <c r="A6" s="21" t="s">
        <v>625</v>
      </c>
      <c r="B6" s="22" t="s">
        <v>28</v>
      </c>
      <c r="C6" s="47">
        <v>1349</v>
      </c>
      <c r="D6" s="47">
        <v>1550</v>
      </c>
      <c r="E6" s="47">
        <v>1780</v>
      </c>
      <c r="F6" s="47">
        <v>2041</v>
      </c>
      <c r="G6" s="47">
        <v>2337</v>
      </c>
      <c r="H6" s="47">
        <v>2673</v>
      </c>
      <c r="I6" s="55">
        <f>SUM(D6:H6)</f>
        <v>10381</v>
      </c>
      <c r="J6" s="56">
        <v>10381</v>
      </c>
      <c r="K6" s="25" t="s">
        <v>626</v>
      </c>
    </row>
    <row r="7" spans="1:11" x14ac:dyDescent="0.25">
      <c r="A7" s="14" t="s">
        <v>627</v>
      </c>
      <c r="B7" s="8" t="s">
        <v>223</v>
      </c>
      <c r="C7" s="33">
        <v>0.36</v>
      </c>
      <c r="D7" s="33">
        <v>0.39</v>
      </c>
      <c r="E7" s="33">
        <v>0.42</v>
      </c>
      <c r="F7" s="33">
        <v>0.45</v>
      </c>
      <c r="G7" s="33">
        <v>0.48</v>
      </c>
      <c r="H7" s="33">
        <v>0.52</v>
      </c>
      <c r="I7" s="12"/>
      <c r="J7" s="33">
        <v>0.46</v>
      </c>
      <c r="K7" s="11"/>
    </row>
    <row r="8" spans="1:11" x14ac:dyDescent="0.25">
      <c r="A8" s="14" t="s">
        <v>628</v>
      </c>
      <c r="B8" s="8" t="s">
        <v>223</v>
      </c>
      <c r="C8" s="33">
        <v>0.28999999999999998</v>
      </c>
      <c r="D8" s="33">
        <v>0.31</v>
      </c>
      <c r="E8" s="33">
        <v>0.32</v>
      </c>
      <c r="F8" s="33">
        <v>0.32</v>
      </c>
      <c r="G8" s="33">
        <v>0.33</v>
      </c>
      <c r="H8" s="33">
        <v>0.33</v>
      </c>
      <c r="I8" s="12"/>
      <c r="J8" s="33">
        <v>0.32</v>
      </c>
      <c r="K8" s="11"/>
    </row>
    <row r="10" spans="1:11" x14ac:dyDescent="0.25">
      <c r="A10" s="15" t="s">
        <v>629</v>
      </c>
      <c r="B10" s="16"/>
      <c r="C10" s="16"/>
      <c r="D10" s="16"/>
      <c r="E10" s="16"/>
      <c r="F10" s="16"/>
      <c r="G10" s="16"/>
      <c r="H10" s="16"/>
      <c r="I10" s="16"/>
      <c r="J10" s="16"/>
      <c r="K10" s="16"/>
    </row>
    <row r="11" spans="1:11" x14ac:dyDescent="0.25">
      <c r="A11" s="21" t="s">
        <v>630</v>
      </c>
      <c r="B11" s="22" t="s">
        <v>28</v>
      </c>
      <c r="C11" s="47">
        <v>55</v>
      </c>
      <c r="D11" s="47">
        <v>163</v>
      </c>
      <c r="E11" s="47">
        <v>356</v>
      </c>
      <c r="F11" s="47">
        <v>651</v>
      </c>
      <c r="G11" s="47">
        <v>1046</v>
      </c>
      <c r="H11" s="47">
        <v>1511</v>
      </c>
      <c r="I11" s="55">
        <f>SUM(D11:H11)</f>
        <v>3727</v>
      </c>
      <c r="J11" s="56">
        <v>3726</v>
      </c>
      <c r="K11" s="25" t="s">
        <v>631</v>
      </c>
    </row>
    <row r="12" spans="1:11" x14ac:dyDescent="0.25">
      <c r="A12" s="14" t="s">
        <v>632</v>
      </c>
      <c r="B12" s="8" t="s">
        <v>28</v>
      </c>
      <c r="C12" s="42">
        <v>224</v>
      </c>
      <c r="D12" s="42">
        <v>253</v>
      </c>
      <c r="E12" s="42">
        <v>278</v>
      </c>
      <c r="F12" s="42">
        <v>306</v>
      </c>
      <c r="G12" s="42">
        <v>336</v>
      </c>
      <c r="H12" s="42">
        <v>370</v>
      </c>
      <c r="I12" s="50">
        <f>SUM(D12:H12)</f>
        <v>1543</v>
      </c>
      <c r="J12" s="42">
        <v>1543</v>
      </c>
      <c r="K12" s="11" t="s">
        <v>633</v>
      </c>
    </row>
    <row r="13" spans="1:11" x14ac:dyDescent="0.25">
      <c r="A13" s="21" t="s">
        <v>634</v>
      </c>
      <c r="B13" s="22" t="s">
        <v>28</v>
      </c>
      <c r="C13" s="44">
        <f t="shared" ref="C13:H13" si="0">C11+C12</f>
        <v>279</v>
      </c>
      <c r="D13" s="44">
        <f t="shared" si="0"/>
        <v>416</v>
      </c>
      <c r="E13" s="44">
        <f t="shared" si="0"/>
        <v>634</v>
      </c>
      <c r="F13" s="44">
        <f t="shared" si="0"/>
        <v>957</v>
      </c>
      <c r="G13" s="44">
        <f t="shared" si="0"/>
        <v>1382</v>
      </c>
      <c r="H13" s="44">
        <f t="shared" si="0"/>
        <v>1881</v>
      </c>
      <c r="I13" s="55">
        <f>SUM(D13:H13)</f>
        <v>5270</v>
      </c>
      <c r="J13" s="56">
        <v>5269</v>
      </c>
      <c r="K13" s="25" t="s">
        <v>635</v>
      </c>
    </row>
    <row r="14" spans="1:11" x14ac:dyDescent="0.25">
      <c r="A14" s="14" t="s">
        <v>636</v>
      </c>
      <c r="B14" s="8" t="s">
        <v>537</v>
      </c>
      <c r="C14" s="33">
        <v>0.28000000000000003</v>
      </c>
      <c r="D14" s="31">
        <f>IF(OR(D13="",C13=""),"",IFERROR(D13/C13-1,""))</f>
        <v>0.49103942652329757</v>
      </c>
      <c r="E14" s="31">
        <f>IF(OR(E13="",D13=""),"",IFERROR(E13/D13-1,""))</f>
        <v>0.52403846153846145</v>
      </c>
      <c r="F14" s="31">
        <f>IF(OR(F13="",E13=""),"",IFERROR(F13/E13-1,""))</f>
        <v>0.50946372239747628</v>
      </c>
      <c r="G14" s="31">
        <f>IF(OR(G13="",F13=""),"",IFERROR(G13/F13-1,""))</f>
        <v>0.44409613375130608</v>
      </c>
      <c r="H14" s="31">
        <f>IF(OR(H13="",G13=""),"",IFERROR(H13/G13-1,""))</f>
        <v>0.36107091172214179</v>
      </c>
      <c r="I14" s="12"/>
      <c r="J14" s="12"/>
      <c r="K14" s="12"/>
    </row>
    <row r="15" spans="1:11" x14ac:dyDescent="0.25">
      <c r="A15" s="14" t="s">
        <v>637</v>
      </c>
      <c r="B15" s="8" t="s">
        <v>537</v>
      </c>
      <c r="C15" s="12"/>
      <c r="D15" s="31">
        <f>IF(OR(D11="",C11=""),"",IFERROR(D11/C11-1,""))</f>
        <v>1.9636363636363638</v>
      </c>
      <c r="E15" s="31">
        <f>IF(OR(E11="",D11=""),"",IFERROR(E11/D11-1,""))</f>
        <v>1.1840490797546011</v>
      </c>
      <c r="F15" s="31">
        <f>IF(OR(F11="",E11=""),"",IFERROR(F11/E11-1,""))</f>
        <v>0.8286516853932584</v>
      </c>
      <c r="G15" s="31">
        <f>IF(OR(G11="",F11=""),"",IFERROR(G11/F11-1,""))</f>
        <v>0.60675883256528418</v>
      </c>
      <c r="H15" s="31">
        <f>IF(OR(H11="",G11=""),"",IFERROR(H11/G11-1,""))</f>
        <v>0.44455066921606123</v>
      </c>
      <c r="I15" s="12"/>
      <c r="J15" s="12"/>
      <c r="K15" s="12"/>
    </row>
    <row r="16" spans="1:11" x14ac:dyDescent="0.25">
      <c r="A16" s="14" t="s">
        <v>638</v>
      </c>
      <c r="B16" s="8" t="s">
        <v>223</v>
      </c>
      <c r="C16" s="33">
        <v>0.56999999999999995</v>
      </c>
      <c r="D16" s="33">
        <v>0.62</v>
      </c>
      <c r="E16" s="33">
        <v>0.68</v>
      </c>
      <c r="F16" s="33">
        <v>0.72</v>
      </c>
      <c r="G16" s="33">
        <v>0.76</v>
      </c>
      <c r="H16" s="33">
        <v>0.78</v>
      </c>
      <c r="I16" s="12"/>
      <c r="J16" s="33">
        <v>0.74</v>
      </c>
      <c r="K16" s="11" t="s">
        <v>639</v>
      </c>
    </row>
    <row r="17" spans="1:11" x14ac:dyDescent="0.25">
      <c r="A17" s="14" t="s">
        <v>640</v>
      </c>
      <c r="B17" s="8" t="s">
        <v>223</v>
      </c>
      <c r="C17" s="33">
        <v>0.39</v>
      </c>
      <c r="D17" s="33">
        <v>0.37</v>
      </c>
      <c r="E17" s="33">
        <v>0.35</v>
      </c>
      <c r="F17" s="33">
        <v>0.33</v>
      </c>
      <c r="G17" s="33">
        <v>0.32</v>
      </c>
      <c r="H17" s="33">
        <v>0.32</v>
      </c>
      <c r="I17" s="12"/>
      <c r="J17" s="33">
        <v>0.33</v>
      </c>
      <c r="K17" s="11" t="s">
        <v>641</v>
      </c>
    </row>
    <row r="19" spans="1:11" x14ac:dyDescent="0.25">
      <c r="A19" s="15" t="s">
        <v>642</v>
      </c>
      <c r="B19" s="16"/>
      <c r="C19" s="16"/>
      <c r="D19" s="16"/>
      <c r="E19" s="16"/>
      <c r="F19" s="16"/>
      <c r="G19" s="16"/>
      <c r="H19" s="16"/>
      <c r="I19" s="16"/>
      <c r="J19" s="16"/>
      <c r="K19" s="16"/>
    </row>
    <row r="20" spans="1:11" x14ac:dyDescent="0.25">
      <c r="A20" s="21" t="s">
        <v>643</v>
      </c>
      <c r="B20" s="22" t="s">
        <v>28</v>
      </c>
      <c r="C20" s="44">
        <f t="shared" ref="C20:H20" si="1">C6+C13</f>
        <v>1628</v>
      </c>
      <c r="D20" s="44">
        <f t="shared" si="1"/>
        <v>1966</v>
      </c>
      <c r="E20" s="44">
        <f t="shared" si="1"/>
        <v>2414</v>
      </c>
      <c r="F20" s="44">
        <f t="shared" si="1"/>
        <v>2998</v>
      </c>
      <c r="G20" s="44">
        <f t="shared" si="1"/>
        <v>3719</v>
      </c>
      <c r="H20" s="44">
        <f t="shared" si="1"/>
        <v>4554</v>
      </c>
      <c r="I20" s="55">
        <f>SUM(D20:H20)</f>
        <v>15651</v>
      </c>
      <c r="J20" s="56">
        <v>15650</v>
      </c>
      <c r="K20" s="25" t="s">
        <v>644</v>
      </c>
    </row>
    <row r="21" spans="1:11" x14ac:dyDescent="0.25">
      <c r="A21" s="14" t="s">
        <v>645</v>
      </c>
      <c r="B21" s="8" t="s">
        <v>537</v>
      </c>
      <c r="C21" s="33">
        <v>0.15</v>
      </c>
      <c r="D21" s="31">
        <f>IF(OR(D20="",C20=""),"",IFERROR(D20/C20-1,""))</f>
        <v>0.2076167076167077</v>
      </c>
      <c r="E21" s="31">
        <f>IF(OR(E20="",D20=""),"",IFERROR(E20/D20-1,""))</f>
        <v>0.22787385554425232</v>
      </c>
      <c r="F21" s="31">
        <f>IF(OR(F20="",E20=""),"",IFERROR(F20/E20-1,""))</f>
        <v>0.24192212096106047</v>
      </c>
      <c r="G21" s="31">
        <f>IF(OR(G20="",F20=""),"",IFERROR(G20/F20-1,""))</f>
        <v>0.24049366244162784</v>
      </c>
      <c r="H21" s="31">
        <f>IF(OR(H20="",G20=""),"",IFERROR(H20/G20-1,""))</f>
        <v>0.22452272116160255</v>
      </c>
      <c r="I21" s="12"/>
      <c r="J21" s="12"/>
      <c r="K21" s="12"/>
    </row>
    <row r="22" spans="1:11" x14ac:dyDescent="0.25">
      <c r="A22" s="21" t="s">
        <v>646</v>
      </c>
      <c r="B22" s="22" t="s">
        <v>28</v>
      </c>
      <c r="C22" s="47">
        <v>643</v>
      </c>
      <c r="D22" s="47">
        <v>853</v>
      </c>
      <c r="E22" s="47">
        <v>1174</v>
      </c>
      <c r="F22" s="47">
        <v>1613</v>
      </c>
      <c r="G22" s="47">
        <v>2174</v>
      </c>
      <c r="H22" s="47">
        <v>2841</v>
      </c>
      <c r="I22" s="55">
        <f>SUM(D22:H22)</f>
        <v>8655</v>
      </c>
      <c r="J22" s="56">
        <v>8654</v>
      </c>
      <c r="K22" s="25"/>
    </row>
    <row r="23" spans="1:11" ht="25.5" x14ac:dyDescent="0.25">
      <c r="A23" s="14" t="s">
        <v>647</v>
      </c>
      <c r="B23" s="8" t="s">
        <v>28</v>
      </c>
      <c r="C23" s="50">
        <f t="shared" ref="C23:H23" si="2">C6*C7+C13*C16</f>
        <v>644.66999999999996</v>
      </c>
      <c r="D23" s="50">
        <f t="shared" si="2"/>
        <v>862.42000000000007</v>
      </c>
      <c r="E23" s="50">
        <f t="shared" si="2"/>
        <v>1178.72</v>
      </c>
      <c r="F23" s="50">
        <f t="shared" si="2"/>
        <v>1607.49</v>
      </c>
      <c r="G23" s="50">
        <f t="shared" si="2"/>
        <v>2172.08</v>
      </c>
      <c r="H23" s="50">
        <f t="shared" si="2"/>
        <v>2857.1400000000003</v>
      </c>
      <c r="I23" s="12"/>
      <c r="J23" s="12"/>
      <c r="K23" s="12"/>
    </row>
    <row r="24" spans="1:11" x14ac:dyDescent="0.25">
      <c r="A24" s="11" t="s">
        <v>648</v>
      </c>
      <c r="B24" s="8" t="s">
        <v>28</v>
      </c>
      <c r="C24" s="49">
        <f t="shared" ref="C24:H24" si="3">C23-C22</f>
        <v>1.6699999999999591</v>
      </c>
      <c r="D24" s="49">
        <f t="shared" si="3"/>
        <v>9.4200000000000728</v>
      </c>
      <c r="E24" s="49">
        <f t="shared" si="3"/>
        <v>4.7200000000000273</v>
      </c>
      <c r="F24" s="49">
        <f t="shared" si="3"/>
        <v>-5.5099999999999909</v>
      </c>
      <c r="G24" s="49">
        <f t="shared" si="3"/>
        <v>-1.9200000000000728</v>
      </c>
      <c r="H24" s="49">
        <f t="shared" si="3"/>
        <v>16.140000000000327</v>
      </c>
      <c r="I24" s="12"/>
      <c r="J24" s="12"/>
      <c r="K24" s="12"/>
    </row>
    <row r="25" spans="1:11" x14ac:dyDescent="0.25">
      <c r="A25" s="14" t="s">
        <v>649</v>
      </c>
      <c r="B25" s="8" t="s">
        <v>223</v>
      </c>
      <c r="C25" s="31">
        <f t="shared" ref="C25:H25" si="4">IF(OR(C22="",C20=""),"",IFERROR(C22/C20,""))</f>
        <v>0.39496314496314494</v>
      </c>
      <c r="D25" s="31">
        <f t="shared" si="4"/>
        <v>0.4338758901322482</v>
      </c>
      <c r="E25" s="31">
        <f t="shared" si="4"/>
        <v>0.4863297431648716</v>
      </c>
      <c r="F25" s="31">
        <f t="shared" si="4"/>
        <v>0.53802535023348896</v>
      </c>
      <c r="G25" s="31">
        <f t="shared" si="4"/>
        <v>0.58456574347942991</v>
      </c>
      <c r="H25" s="31">
        <f t="shared" si="4"/>
        <v>0.62384716732542822</v>
      </c>
      <c r="I25" s="12"/>
      <c r="J25" s="12"/>
      <c r="K25" s="12"/>
    </row>
    <row r="26" spans="1:11" x14ac:dyDescent="0.25">
      <c r="A26" s="14" t="s">
        <v>650</v>
      </c>
      <c r="B26" s="8" t="s">
        <v>28</v>
      </c>
      <c r="C26" s="42">
        <v>-142</v>
      </c>
      <c r="D26" s="42">
        <v>-222</v>
      </c>
      <c r="E26" s="42">
        <v>-384</v>
      </c>
      <c r="F26" s="42">
        <v>-634</v>
      </c>
      <c r="G26" s="42">
        <v>-964</v>
      </c>
      <c r="H26" s="42">
        <v>-1350</v>
      </c>
      <c r="I26" s="50">
        <f>SUM(D26:H26)</f>
        <v>-3554</v>
      </c>
      <c r="J26" s="42">
        <v>-3555</v>
      </c>
      <c r="K26" s="11"/>
    </row>
    <row r="27" spans="1:11" x14ac:dyDescent="0.25">
      <c r="A27" s="21" t="s">
        <v>651</v>
      </c>
      <c r="B27" s="22" t="s">
        <v>28</v>
      </c>
      <c r="C27" s="44">
        <f t="shared" ref="C27:H27" si="5">C22+C26</f>
        <v>501</v>
      </c>
      <c r="D27" s="44">
        <f t="shared" si="5"/>
        <v>631</v>
      </c>
      <c r="E27" s="44">
        <f t="shared" si="5"/>
        <v>790</v>
      </c>
      <c r="F27" s="44">
        <f t="shared" si="5"/>
        <v>979</v>
      </c>
      <c r="G27" s="44">
        <f t="shared" si="5"/>
        <v>1210</v>
      </c>
      <c r="H27" s="44">
        <f t="shared" si="5"/>
        <v>1491</v>
      </c>
      <c r="I27" s="55">
        <f>SUM(D27:H27)</f>
        <v>5101</v>
      </c>
      <c r="J27" s="56">
        <v>5099</v>
      </c>
      <c r="K27" s="25" t="s">
        <v>652</v>
      </c>
    </row>
    <row r="28" spans="1:11" x14ac:dyDescent="0.25">
      <c r="A28" s="14" t="s">
        <v>653</v>
      </c>
      <c r="B28" s="8" t="s">
        <v>223</v>
      </c>
      <c r="C28" s="31">
        <f t="shared" ref="C28:H28" si="6">IF(OR(C27="",C20=""),"",IFERROR(C27/C20,""))</f>
        <v>0.30773955773955775</v>
      </c>
      <c r="D28" s="31">
        <f t="shared" si="6"/>
        <v>0.3209562563580875</v>
      </c>
      <c r="E28" s="31">
        <f t="shared" si="6"/>
        <v>0.3272576636288318</v>
      </c>
      <c r="F28" s="31">
        <f t="shared" si="6"/>
        <v>0.32655103402268176</v>
      </c>
      <c r="G28" s="31">
        <f t="shared" si="6"/>
        <v>0.32535627856950794</v>
      </c>
      <c r="H28" s="31">
        <f t="shared" si="6"/>
        <v>0.32740447957839264</v>
      </c>
      <c r="I28" s="12"/>
      <c r="J28" s="12"/>
      <c r="K28" s="12"/>
    </row>
    <row r="30" spans="1:11" x14ac:dyDescent="0.25">
      <c r="A30" s="15" t="s">
        <v>654</v>
      </c>
      <c r="B30" s="16"/>
      <c r="C30" s="16"/>
      <c r="D30" s="16"/>
      <c r="E30" s="16"/>
      <c r="F30" s="16"/>
      <c r="G30" s="16"/>
      <c r="H30" s="16"/>
      <c r="I30" s="16"/>
      <c r="J30" s="16"/>
      <c r="K30" s="16"/>
    </row>
    <row r="31" spans="1:11" x14ac:dyDescent="0.25">
      <c r="A31" s="21" t="s">
        <v>655</v>
      </c>
      <c r="B31" s="22" t="s">
        <v>28</v>
      </c>
      <c r="C31" s="47">
        <v>580</v>
      </c>
      <c r="D31" s="47">
        <v>774</v>
      </c>
      <c r="E31" s="47">
        <v>1074</v>
      </c>
      <c r="F31" s="47">
        <v>1489</v>
      </c>
      <c r="G31" s="47">
        <v>2019</v>
      </c>
      <c r="H31" s="47">
        <v>2650</v>
      </c>
      <c r="I31" s="55">
        <f>SUM(D31:H31)</f>
        <v>8006</v>
      </c>
      <c r="J31" s="56">
        <v>8005</v>
      </c>
      <c r="K31" s="25"/>
    </row>
    <row r="32" spans="1:11" x14ac:dyDescent="0.25">
      <c r="A32" s="14" t="s">
        <v>656</v>
      </c>
      <c r="B32" s="8" t="s">
        <v>262</v>
      </c>
      <c r="C32" s="31">
        <f t="shared" ref="C32:H32" si="7">IF(OR(C31="",C22=""),"",IFERROR(C31/C22,""))</f>
        <v>0.90202177293934682</v>
      </c>
      <c r="D32" s="31">
        <f t="shared" si="7"/>
        <v>0.90738569753810083</v>
      </c>
      <c r="E32" s="31">
        <f t="shared" si="7"/>
        <v>0.91482112436115848</v>
      </c>
      <c r="F32" s="31">
        <f t="shared" si="7"/>
        <v>0.92312461252324862</v>
      </c>
      <c r="G32" s="31">
        <f t="shared" si="7"/>
        <v>0.92870285188592461</v>
      </c>
      <c r="H32" s="31">
        <f t="shared" si="7"/>
        <v>0.93277015135515662</v>
      </c>
      <c r="I32" s="12"/>
      <c r="J32" s="12"/>
      <c r="K32" s="12"/>
    </row>
    <row r="33" spans="1:11" ht="24" x14ac:dyDescent="0.25">
      <c r="A33" s="21" t="s">
        <v>657</v>
      </c>
      <c r="B33" s="22" t="s">
        <v>28</v>
      </c>
      <c r="C33" s="47">
        <v>415</v>
      </c>
      <c r="D33" s="47">
        <v>795</v>
      </c>
      <c r="E33" s="47">
        <v>1384</v>
      </c>
      <c r="F33" s="47">
        <v>1975</v>
      </c>
      <c r="G33" s="47">
        <v>2181</v>
      </c>
      <c r="H33" s="47">
        <v>2387</v>
      </c>
      <c r="I33" s="55">
        <f>SUM(D33:H33)</f>
        <v>8722</v>
      </c>
      <c r="J33" s="56">
        <v>8721</v>
      </c>
      <c r="K33" s="25" t="s">
        <v>658</v>
      </c>
    </row>
    <row r="34" spans="1:11" x14ac:dyDescent="0.25">
      <c r="A34" s="14" t="s">
        <v>659</v>
      </c>
      <c r="B34" s="8" t="s">
        <v>537</v>
      </c>
      <c r="C34" s="12"/>
      <c r="D34" s="31">
        <f>IF(OR(D33="",C33=""),"",IFERROR(D33/C33-1,""))</f>
        <v>0.9156626506024097</v>
      </c>
      <c r="E34" s="31">
        <f>IF(OR(E33="",D33=""),"",IFERROR(E33/D33-1,""))</f>
        <v>0.74088050314465415</v>
      </c>
      <c r="F34" s="31">
        <f>IF(OR(F33="",E33=""),"",IFERROR(F33/E33-1,""))</f>
        <v>0.42702312138728327</v>
      </c>
      <c r="G34" s="31">
        <f>IF(OR(G33="",F33=""),"",IFERROR(G33/F33-1,""))</f>
        <v>0.1043037974683545</v>
      </c>
      <c r="H34" s="31">
        <f>IF(OR(H33="",G33=""),"",IFERROR(H33/G33-1,""))</f>
        <v>9.4452086198991259E-2</v>
      </c>
      <c r="I34" s="12"/>
      <c r="J34" s="12"/>
      <c r="K34" s="12"/>
    </row>
    <row r="35" spans="1:11" x14ac:dyDescent="0.25">
      <c r="A35" s="14" t="s">
        <v>660</v>
      </c>
      <c r="B35" s="8" t="s">
        <v>223</v>
      </c>
      <c r="C35" s="31">
        <f t="shared" ref="C35:H35" si="8">IF(OR(C33="",C20=""),"",IFERROR(C33/C20,""))</f>
        <v>0.2549140049140049</v>
      </c>
      <c r="D35" s="31">
        <f t="shared" si="8"/>
        <v>0.40437436419125128</v>
      </c>
      <c r="E35" s="31">
        <f t="shared" si="8"/>
        <v>0.57332228666114338</v>
      </c>
      <c r="F35" s="31">
        <f t="shared" si="8"/>
        <v>0.65877251501000667</v>
      </c>
      <c r="G35" s="31">
        <f t="shared" si="8"/>
        <v>0.58644796988437753</v>
      </c>
      <c r="H35" s="31">
        <f t="shared" si="8"/>
        <v>0.52415458937198067</v>
      </c>
      <c r="I35" s="12"/>
      <c r="J35" s="12"/>
      <c r="K35" s="12"/>
    </row>
    <row r="36" spans="1:11" ht="36" x14ac:dyDescent="0.25">
      <c r="A36" s="21" t="s">
        <v>661</v>
      </c>
      <c r="B36" s="22" t="s">
        <v>28</v>
      </c>
      <c r="C36" s="44">
        <f t="shared" ref="C36:H36" si="9">C31-C33</f>
        <v>165</v>
      </c>
      <c r="D36" s="44">
        <f t="shared" si="9"/>
        <v>-21</v>
      </c>
      <c r="E36" s="44">
        <f t="shared" si="9"/>
        <v>-310</v>
      </c>
      <c r="F36" s="44">
        <f t="shared" si="9"/>
        <v>-486</v>
      </c>
      <c r="G36" s="44">
        <f t="shared" si="9"/>
        <v>-162</v>
      </c>
      <c r="H36" s="44">
        <f t="shared" si="9"/>
        <v>263</v>
      </c>
      <c r="I36" s="55">
        <f>SUM(D36:H36)</f>
        <v>-716</v>
      </c>
      <c r="J36" s="56">
        <v>-716</v>
      </c>
      <c r="K36" s="25" t="s">
        <v>662</v>
      </c>
    </row>
    <row r="37" spans="1:11" x14ac:dyDescent="0.25">
      <c r="A37" s="14" t="s">
        <v>663</v>
      </c>
      <c r="B37" s="8" t="s">
        <v>28</v>
      </c>
      <c r="C37" s="42">
        <v>164</v>
      </c>
      <c r="D37" s="42">
        <v>-22</v>
      </c>
      <c r="E37" s="42">
        <v>-310</v>
      </c>
      <c r="F37" s="42">
        <v>-486</v>
      </c>
      <c r="G37" s="42">
        <v>-162</v>
      </c>
      <c r="H37" s="42">
        <v>263</v>
      </c>
      <c r="I37" s="12"/>
      <c r="J37" s="12"/>
      <c r="K37" s="12"/>
    </row>
    <row r="38" spans="1:11" x14ac:dyDescent="0.25">
      <c r="A38" s="11" t="s">
        <v>574</v>
      </c>
      <c r="B38" s="8" t="s">
        <v>28</v>
      </c>
      <c r="C38" s="49">
        <f t="shared" ref="C38:H38" si="10">C36-C37</f>
        <v>1</v>
      </c>
      <c r="D38" s="49">
        <f t="shared" si="10"/>
        <v>1</v>
      </c>
      <c r="E38" s="49">
        <f t="shared" si="10"/>
        <v>0</v>
      </c>
      <c r="F38" s="49">
        <f t="shared" si="10"/>
        <v>0</v>
      </c>
      <c r="G38" s="49">
        <f t="shared" si="10"/>
        <v>0</v>
      </c>
      <c r="H38" s="49">
        <f t="shared" si="10"/>
        <v>0</v>
      </c>
      <c r="I38" s="12"/>
      <c r="J38" s="12"/>
      <c r="K38" s="12"/>
    </row>
    <row r="40" spans="1:11" x14ac:dyDescent="0.25">
      <c r="A40" s="15" t="s">
        <v>664</v>
      </c>
      <c r="B40" s="16"/>
      <c r="C40" s="16"/>
      <c r="D40" s="16"/>
      <c r="E40" s="16"/>
      <c r="F40" s="16"/>
      <c r="G40" s="16"/>
      <c r="H40" s="16"/>
      <c r="I40" s="16"/>
      <c r="J40" s="16"/>
      <c r="K40" s="16"/>
    </row>
    <row r="41" spans="1:11" ht="25.5" x14ac:dyDescent="0.25">
      <c r="A41" s="14" t="s">
        <v>665</v>
      </c>
      <c r="B41" s="8" t="s">
        <v>28</v>
      </c>
      <c r="C41" s="52">
        <f>NSR_Datapoints!$B$31*(1+NSR_Datapoints!$B$32)^(2025-2025)</f>
        <v>125</v>
      </c>
      <c r="D41" s="52">
        <f>NSR_Datapoints!$B$31*(1+NSR_Datapoints!$B$32)^(2026-2025)</f>
        <v>141.25</v>
      </c>
      <c r="E41" s="52">
        <f>NSR_Datapoints!$B$31*(1+NSR_Datapoints!$B$32)^(2027-2025)</f>
        <v>159.61249999999995</v>
      </c>
      <c r="F41" s="52">
        <f>NSR_Datapoints!$B$31*(1+NSR_Datapoints!$B$32)^(2028-2025)</f>
        <v>180.36212499999993</v>
      </c>
      <c r="G41" s="52">
        <f>NSR_Datapoints!$B$31*(1+NSR_Datapoints!$B$32)^(2029-2025)</f>
        <v>203.80920124999992</v>
      </c>
      <c r="H41" s="52">
        <f>NSR_Datapoints!$B$31*(1+NSR_Datapoints!$B$32)^(2030-2025)</f>
        <v>230.30439741249987</v>
      </c>
      <c r="I41" s="12"/>
      <c r="J41" s="12"/>
      <c r="K41" s="12"/>
    </row>
    <row r="42" spans="1:11" x14ac:dyDescent="0.25">
      <c r="A42" s="21" t="s">
        <v>666</v>
      </c>
      <c r="B42" s="22" t="s">
        <v>28</v>
      </c>
      <c r="C42" s="44">
        <f t="shared" ref="C42:H42" si="11">C33-C41</f>
        <v>290</v>
      </c>
      <c r="D42" s="44">
        <f t="shared" si="11"/>
        <v>653.75</v>
      </c>
      <c r="E42" s="44">
        <f t="shared" si="11"/>
        <v>1224.3875</v>
      </c>
      <c r="F42" s="44">
        <f t="shared" si="11"/>
        <v>1794.6378750000001</v>
      </c>
      <c r="G42" s="44">
        <f t="shared" si="11"/>
        <v>1977.1907987500001</v>
      </c>
      <c r="H42" s="44">
        <f t="shared" si="11"/>
        <v>2156.6956025875002</v>
      </c>
      <c r="I42" s="55">
        <f>SUM(D42:H42)</f>
        <v>7806.6617763374998</v>
      </c>
      <c r="J42" s="48"/>
      <c r="K42" s="48"/>
    </row>
    <row r="43" spans="1:11" ht="25.5" x14ac:dyDescent="0.25">
      <c r="A43" s="14" t="s">
        <v>667</v>
      </c>
      <c r="B43" s="8" t="s">
        <v>47</v>
      </c>
      <c r="C43" s="9">
        <f>IFERROR(C42/NSR_Datapoints!$B$30,"")</f>
        <v>6.8235294117647056</v>
      </c>
      <c r="D43" s="9">
        <f>IFERROR(D42/NSR_Datapoints!$B$30,"")</f>
        <v>15.382352941176471</v>
      </c>
      <c r="E43" s="9">
        <f>IFERROR(E42/NSR_Datapoints!$B$30,"")</f>
        <v>28.809117647058823</v>
      </c>
      <c r="F43" s="9">
        <f>IFERROR(F42/NSR_Datapoints!$B$30,"")</f>
        <v>42.226773529411766</v>
      </c>
      <c r="G43" s="9">
        <f>IFERROR(G42/NSR_Datapoints!$B$30,"")</f>
        <v>46.522136441176471</v>
      </c>
      <c r="H43" s="9">
        <f>IFERROR(H42/NSR_Datapoints!$B$30,"")</f>
        <v>50.74577888441177</v>
      </c>
      <c r="I43" s="12"/>
      <c r="J43" s="12"/>
      <c r="K43" s="12"/>
    </row>
    <row r="44" spans="1:11" ht="36" x14ac:dyDescent="0.25">
      <c r="A44" s="14" t="s">
        <v>668</v>
      </c>
      <c r="B44" s="8" t="s">
        <v>47</v>
      </c>
      <c r="C44" s="12"/>
      <c r="D44" s="12"/>
      <c r="E44" s="12"/>
      <c r="F44" s="12"/>
      <c r="G44" s="12"/>
      <c r="H44" s="35">
        <f>SUM(D43:H43)</f>
        <v>183.68615944323528</v>
      </c>
      <c r="I44" s="12"/>
      <c r="J44" s="12"/>
      <c r="K44" s="11" t="s">
        <v>669</v>
      </c>
    </row>
    <row r="45" spans="1:11" ht="24" x14ac:dyDescent="0.25">
      <c r="A45" s="14" t="s">
        <v>670</v>
      </c>
      <c r="B45" s="8" t="s">
        <v>52</v>
      </c>
      <c r="C45" s="12"/>
      <c r="D45" s="12"/>
      <c r="E45" s="12"/>
      <c r="F45" s="12"/>
      <c r="G45" s="12"/>
      <c r="H45" s="35">
        <f>IFERROR(H11/H44,"")</f>
        <v>8.2259872196138204</v>
      </c>
      <c r="I45" s="12"/>
      <c r="J45" s="12"/>
      <c r="K45" s="11" t="s">
        <v>671</v>
      </c>
    </row>
  </sheetData>
  <mergeCells count="1">
    <mergeCell ref="A2:K2"/>
  </mergeCells>
  <pageMargins left="0.4" right="0.4" top="0.5" bottom="0.5" header="0.5" footer="0.5"/>
  <pageSetup paperSize="9" scale="64" fitToHeight="0" orientation="landscape" r:id="rId1"/>
  <headerFooter>
    <oddFooter>&amp;C&amp;8NSR (18-Sep-2026) vs Capstone — &amp;A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37"/>
  <sheetViews>
    <sheetView showGridLines="0" zoomScale="90" zoomScaleNormal="90" workbookViewId="0"/>
  </sheetViews>
  <sheetFormatPr defaultRowHeight="15" x14ac:dyDescent="0.25"/>
  <cols>
    <col min="1" max="1" width="60" customWidth="1"/>
    <col min="2" max="2" width="14" customWidth="1"/>
    <col min="3" max="3" width="16" customWidth="1"/>
    <col min="4" max="4" width="12" customWidth="1"/>
    <col min="5" max="5" width="86" customWidth="1"/>
  </cols>
  <sheetData>
    <row r="1" spans="1:5" ht="24" customHeight="1" x14ac:dyDescent="0.25">
      <c r="A1" s="1" t="s">
        <v>672</v>
      </c>
    </row>
    <row r="2" spans="1:5" ht="12.95" customHeight="1" x14ac:dyDescent="0.25">
      <c r="A2" s="67" t="s">
        <v>673</v>
      </c>
      <c r="B2" s="66"/>
      <c r="C2" s="66"/>
      <c r="D2" s="66"/>
      <c r="E2" s="66"/>
    </row>
    <row r="3" spans="1:5" ht="30" customHeight="1" x14ac:dyDescent="0.25"/>
    <row r="4" spans="1:5" x14ac:dyDescent="0.25">
      <c r="A4" s="15" t="s">
        <v>674</v>
      </c>
      <c r="B4" s="16"/>
      <c r="C4" s="16"/>
      <c r="D4" s="16"/>
      <c r="E4" s="16"/>
    </row>
    <row r="5" spans="1:5" x14ac:dyDescent="0.25">
      <c r="A5" s="5" t="s">
        <v>675</v>
      </c>
      <c r="B5" s="6" t="s">
        <v>676</v>
      </c>
      <c r="C5" s="6" t="s">
        <v>677</v>
      </c>
      <c r="D5" s="6" t="s">
        <v>678</v>
      </c>
      <c r="E5" s="5" t="s">
        <v>679</v>
      </c>
    </row>
    <row r="6" spans="1:5" x14ac:dyDescent="0.25">
      <c r="A6" s="14" t="s">
        <v>680</v>
      </c>
      <c r="B6" s="26">
        <v>8.5</v>
      </c>
      <c r="C6" s="57">
        <f>IFERROR(B6/$B$9,"")</f>
        <v>0.51829268292682928</v>
      </c>
      <c r="D6" s="12"/>
      <c r="E6" s="11" t="s">
        <v>681</v>
      </c>
    </row>
    <row r="7" spans="1:5" x14ac:dyDescent="0.25">
      <c r="A7" s="14" t="s">
        <v>682</v>
      </c>
      <c r="B7" s="26">
        <v>6.5</v>
      </c>
      <c r="C7" s="57">
        <f>IFERROR(B7/$B$9,"")</f>
        <v>0.39634146341463417</v>
      </c>
      <c r="D7" s="12"/>
      <c r="E7" s="11" t="s">
        <v>683</v>
      </c>
    </row>
    <row r="8" spans="1:5" x14ac:dyDescent="0.25">
      <c r="A8" s="14" t="s">
        <v>684</v>
      </c>
      <c r="B8" s="26">
        <v>1.4</v>
      </c>
      <c r="C8" s="57">
        <f>IFERROR(B8/$B$9,"")</f>
        <v>8.5365853658536592E-2</v>
      </c>
      <c r="D8" s="33">
        <v>0.09</v>
      </c>
      <c r="E8" s="11" t="s">
        <v>685</v>
      </c>
    </row>
    <row r="9" spans="1:5" x14ac:dyDescent="0.25">
      <c r="A9" s="21" t="s">
        <v>686</v>
      </c>
      <c r="B9" s="28">
        <f>SUM(B6:B8)</f>
        <v>16.399999999999999</v>
      </c>
      <c r="C9" s="41"/>
      <c r="D9" s="41"/>
      <c r="E9" s="25" t="s">
        <v>687</v>
      </c>
    </row>
    <row r="10" spans="1:5" x14ac:dyDescent="0.25">
      <c r="A10" s="21" t="s">
        <v>688</v>
      </c>
      <c r="B10" s="58">
        <v>16.5</v>
      </c>
      <c r="C10" s="41"/>
      <c r="D10" s="41"/>
      <c r="E10" s="48"/>
    </row>
    <row r="11" spans="1:5" x14ac:dyDescent="0.25">
      <c r="A11" s="14" t="s">
        <v>574</v>
      </c>
      <c r="B11" s="29">
        <f>B9-B10</f>
        <v>-0.10000000000000142</v>
      </c>
      <c r="C11" s="12"/>
      <c r="D11" s="12"/>
      <c r="E11" s="12"/>
    </row>
    <row r="13" spans="1:5" x14ac:dyDescent="0.25">
      <c r="A13" s="15" t="s">
        <v>689</v>
      </c>
      <c r="B13" s="16"/>
      <c r="C13" s="16"/>
      <c r="D13" s="16"/>
      <c r="E13" s="16"/>
    </row>
    <row r="14" spans="1:5" x14ac:dyDescent="0.25">
      <c r="A14" s="5" t="s">
        <v>690</v>
      </c>
      <c r="B14" s="6" t="s">
        <v>676</v>
      </c>
      <c r="C14" s="6" t="s">
        <v>677</v>
      </c>
      <c r="D14" s="6" t="s">
        <v>678</v>
      </c>
      <c r="E14" s="5" t="s">
        <v>679</v>
      </c>
    </row>
    <row r="15" spans="1:5" x14ac:dyDescent="0.25">
      <c r="A15" s="14" t="s">
        <v>691</v>
      </c>
      <c r="B15" s="26">
        <v>1.4</v>
      </c>
      <c r="C15" s="57">
        <f>IFERROR(B15/$B$10,"")</f>
        <v>8.484848484848484E-2</v>
      </c>
      <c r="D15" s="33">
        <v>0.09</v>
      </c>
      <c r="E15" s="11" t="s">
        <v>692</v>
      </c>
    </row>
    <row r="16" spans="1:5" x14ac:dyDescent="0.25">
      <c r="A16" s="14" t="s">
        <v>693</v>
      </c>
      <c r="B16" s="26">
        <v>6</v>
      </c>
      <c r="C16" s="57">
        <f>IFERROR(B16/$B$10,"")</f>
        <v>0.36363636363636365</v>
      </c>
      <c r="D16" s="33">
        <v>0.36</v>
      </c>
      <c r="E16" s="11" t="s">
        <v>694</v>
      </c>
    </row>
    <row r="17" spans="1:5" ht="24" x14ac:dyDescent="0.25">
      <c r="A17" s="14" t="s">
        <v>695</v>
      </c>
      <c r="B17" s="26">
        <v>2</v>
      </c>
      <c r="C17" s="57">
        <f>IFERROR(B17/$B$10,"")</f>
        <v>0.12121212121212122</v>
      </c>
      <c r="D17" s="33">
        <v>0.12</v>
      </c>
      <c r="E17" s="11" t="s">
        <v>696</v>
      </c>
    </row>
    <row r="18" spans="1:5" ht="24" x14ac:dyDescent="0.25">
      <c r="A18" s="14" t="s">
        <v>697</v>
      </c>
      <c r="B18" s="26">
        <v>3.3</v>
      </c>
      <c r="C18" s="57">
        <f>IFERROR(B18/$B$10,"")</f>
        <v>0.19999999999999998</v>
      </c>
      <c r="D18" s="33">
        <v>0.2</v>
      </c>
      <c r="E18" s="11" t="s">
        <v>698</v>
      </c>
    </row>
    <row r="19" spans="1:5" ht="24" x14ac:dyDescent="0.25">
      <c r="A19" s="21" t="s">
        <v>699</v>
      </c>
      <c r="B19" s="28">
        <f>B10-SUM(B15:B18)</f>
        <v>3.8000000000000007</v>
      </c>
      <c r="C19" s="59">
        <f>IFERROR(B19/$B$10,"")</f>
        <v>0.23030303030303034</v>
      </c>
      <c r="D19" s="60">
        <v>0.23</v>
      </c>
      <c r="E19" s="25" t="s">
        <v>700</v>
      </c>
    </row>
    <row r="20" spans="1:5" x14ac:dyDescent="0.25">
      <c r="A20" s="14" t="s">
        <v>701</v>
      </c>
      <c r="B20" s="26">
        <v>3.7</v>
      </c>
      <c r="C20" s="12"/>
      <c r="D20" s="12"/>
      <c r="E20" s="12"/>
    </row>
    <row r="21" spans="1:5" x14ac:dyDescent="0.25">
      <c r="A21" s="14" t="s">
        <v>702</v>
      </c>
      <c r="B21" s="35">
        <f>B16+B17</f>
        <v>8</v>
      </c>
      <c r="C21" s="57">
        <f>IFERROR(B21/$B$10,"")</f>
        <v>0.48484848484848486</v>
      </c>
      <c r="D21" s="12"/>
      <c r="E21" s="11" t="s">
        <v>703</v>
      </c>
    </row>
    <row r="23" spans="1:5" x14ac:dyDescent="0.25">
      <c r="A23" s="15" t="s">
        <v>704</v>
      </c>
      <c r="B23" s="16"/>
      <c r="C23" s="16"/>
      <c r="D23" s="16"/>
      <c r="E23" s="16"/>
    </row>
    <row r="24" spans="1:5" ht="25.5" x14ac:dyDescent="0.25">
      <c r="A24" s="5" t="s">
        <v>196</v>
      </c>
      <c r="B24" s="6" t="s">
        <v>676</v>
      </c>
      <c r="C24" s="6" t="s">
        <v>705</v>
      </c>
      <c r="D24" s="6"/>
      <c r="E24" s="5" t="s">
        <v>679</v>
      </c>
    </row>
    <row r="25" spans="1:5" x14ac:dyDescent="0.25">
      <c r="A25" s="14" t="s">
        <v>706</v>
      </c>
      <c r="B25" s="26">
        <v>6.6</v>
      </c>
      <c r="C25" s="57">
        <f>IFERROR(B25/$B$25,"")</f>
        <v>1</v>
      </c>
      <c r="D25" s="12"/>
      <c r="E25" s="11" t="s">
        <v>707</v>
      </c>
    </row>
    <row r="26" spans="1:5" ht="24" x14ac:dyDescent="0.25">
      <c r="A26" s="14" t="s">
        <v>708</v>
      </c>
      <c r="B26" s="26">
        <v>3.3</v>
      </c>
      <c r="C26" s="57">
        <f>IFERROR(B26/$B$25,"")</f>
        <v>0.5</v>
      </c>
      <c r="D26" s="12"/>
      <c r="E26" s="11" t="s">
        <v>709</v>
      </c>
    </row>
    <row r="27" spans="1:5" x14ac:dyDescent="0.25">
      <c r="A27" s="14" t="s">
        <v>710</v>
      </c>
      <c r="B27" s="26">
        <v>2.6</v>
      </c>
      <c r="C27" s="57">
        <f>IFERROR(B27/$B$25,"")</f>
        <v>0.39393939393939398</v>
      </c>
      <c r="D27" s="12"/>
      <c r="E27" s="11" t="s">
        <v>711</v>
      </c>
    </row>
    <row r="28" spans="1:5" x14ac:dyDescent="0.25">
      <c r="A28" s="14" t="s">
        <v>712</v>
      </c>
      <c r="B28" s="26">
        <v>0.7</v>
      </c>
      <c r="C28" s="57">
        <f>IFERROR(B28/$B$25,"")</f>
        <v>0.10606060606060606</v>
      </c>
      <c r="D28" s="12"/>
      <c r="E28" s="12"/>
    </row>
    <row r="29" spans="1:5" x14ac:dyDescent="0.25">
      <c r="A29" s="14" t="s">
        <v>713</v>
      </c>
      <c r="B29" s="29">
        <f>SUM(B26:B28)-B25</f>
        <v>0</v>
      </c>
      <c r="C29" s="12"/>
      <c r="D29" s="12"/>
      <c r="E29" s="12"/>
    </row>
    <row r="31" spans="1:5" x14ac:dyDescent="0.25">
      <c r="A31" s="15" t="s">
        <v>714</v>
      </c>
      <c r="B31" s="16"/>
      <c r="C31" s="16"/>
      <c r="D31" s="16"/>
      <c r="E31" s="16"/>
    </row>
    <row r="32" spans="1:5" x14ac:dyDescent="0.25">
      <c r="A32" s="5" t="s">
        <v>196</v>
      </c>
      <c r="B32" s="6" t="s">
        <v>676</v>
      </c>
      <c r="C32" s="6"/>
      <c r="D32" s="6"/>
      <c r="E32" s="5" t="s">
        <v>679</v>
      </c>
    </row>
    <row r="33" spans="1:5" x14ac:dyDescent="0.25">
      <c r="A33" s="14" t="s">
        <v>715</v>
      </c>
      <c r="B33" s="26">
        <v>1.8</v>
      </c>
      <c r="C33" s="12"/>
      <c r="D33" s="12"/>
      <c r="E33" s="12"/>
    </row>
    <row r="34" spans="1:5" x14ac:dyDescent="0.25">
      <c r="A34" s="14" t="s">
        <v>716</v>
      </c>
      <c r="B34" s="26">
        <v>0.7</v>
      </c>
      <c r="C34" s="12"/>
      <c r="D34" s="12"/>
      <c r="E34" s="11" t="s">
        <v>717</v>
      </c>
    </row>
    <row r="35" spans="1:5" x14ac:dyDescent="0.25">
      <c r="A35" s="14" t="s">
        <v>718</v>
      </c>
      <c r="B35" s="26">
        <v>3.3</v>
      </c>
      <c r="C35" s="12"/>
      <c r="D35" s="12"/>
      <c r="E35" s="11" t="s">
        <v>719</v>
      </c>
    </row>
    <row r="36" spans="1:5" ht="24" x14ac:dyDescent="0.25">
      <c r="A36" s="21" t="s">
        <v>720</v>
      </c>
      <c r="B36" s="28">
        <f>B34+B35</f>
        <v>4</v>
      </c>
      <c r="C36" s="41"/>
      <c r="D36" s="41"/>
      <c r="E36" s="61" t="s">
        <v>721</v>
      </c>
    </row>
    <row r="37" spans="1:5" x14ac:dyDescent="0.25">
      <c r="A37" s="21" t="s">
        <v>722</v>
      </c>
      <c r="B37" s="40">
        <f>IFERROR(B36/B33,"")</f>
        <v>2.2222222222222223</v>
      </c>
      <c r="C37" s="41"/>
      <c r="D37" s="41"/>
      <c r="E37" s="25" t="s">
        <v>723</v>
      </c>
    </row>
  </sheetData>
  <mergeCells count="1">
    <mergeCell ref="A2:E2"/>
  </mergeCells>
  <pageMargins left="0.4" right="0.4" top="0.5" bottom="0.5" header="0.5" footer="0.5"/>
  <pageSetup paperSize="9" scale="73" fitToHeight="0" orientation="landscape" r:id="rId1"/>
  <headerFooter>
    <oddFooter>&amp;C&amp;8NSR (18-Sep-2026) vs Capstone — &amp;A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37"/>
  <sheetViews>
    <sheetView showGridLines="0" zoomScale="90" zoomScaleNormal="90" workbookViewId="0"/>
  </sheetViews>
  <sheetFormatPr defaultRowHeight="15" x14ac:dyDescent="0.25"/>
  <cols>
    <col min="1" max="1" width="44" customWidth="1"/>
    <col min="2" max="2" width="14" customWidth="1"/>
    <col min="3" max="3" width="112" customWidth="1"/>
  </cols>
  <sheetData>
    <row r="1" spans="1:3" ht="24" customHeight="1" x14ac:dyDescent="0.25">
      <c r="A1" s="1" t="s">
        <v>724</v>
      </c>
    </row>
    <row r="2" spans="1:3" ht="12.95" customHeight="1" x14ac:dyDescent="0.25">
      <c r="A2" s="67" t="s">
        <v>725</v>
      </c>
      <c r="B2" s="66"/>
      <c r="C2" s="66"/>
    </row>
    <row r="3" spans="1:3" ht="30" customHeight="1" x14ac:dyDescent="0.25"/>
    <row r="4" spans="1:3" x14ac:dyDescent="0.25">
      <c r="A4" s="15" t="s">
        <v>726</v>
      </c>
      <c r="B4" s="16"/>
      <c r="C4" s="16"/>
    </row>
    <row r="5" spans="1:3" x14ac:dyDescent="0.25">
      <c r="A5" s="5" t="s">
        <v>727</v>
      </c>
      <c r="B5" s="6"/>
      <c r="C5" s="5" t="s">
        <v>728</v>
      </c>
    </row>
    <row r="6" spans="1:3" ht="25.5" x14ac:dyDescent="0.25">
      <c r="A6" s="7" t="s">
        <v>729</v>
      </c>
      <c r="B6" s="12"/>
      <c r="C6" s="14" t="s">
        <v>730</v>
      </c>
    </row>
    <row r="7" spans="1:3" ht="25.5" x14ac:dyDescent="0.25">
      <c r="A7" s="7" t="s">
        <v>731</v>
      </c>
      <c r="B7" s="12"/>
      <c r="C7" s="14" t="s">
        <v>732</v>
      </c>
    </row>
    <row r="8" spans="1:3" x14ac:dyDescent="0.25">
      <c r="A8" s="7" t="s">
        <v>733</v>
      </c>
      <c r="B8" s="12"/>
      <c r="C8" s="14" t="s">
        <v>734</v>
      </c>
    </row>
    <row r="9" spans="1:3" ht="25.5" x14ac:dyDescent="0.25">
      <c r="A9" s="7" t="s">
        <v>735</v>
      </c>
      <c r="B9" s="12"/>
      <c r="C9" s="14" t="s">
        <v>736</v>
      </c>
    </row>
    <row r="10" spans="1:3" x14ac:dyDescent="0.25">
      <c r="A10" s="7" t="s">
        <v>737</v>
      </c>
      <c r="B10" s="12"/>
      <c r="C10" s="14" t="s">
        <v>738</v>
      </c>
    </row>
    <row r="11" spans="1:3" ht="38.25" x14ac:dyDescent="0.25">
      <c r="A11" s="7" t="s">
        <v>739</v>
      </c>
      <c r="B11" s="12"/>
      <c r="C11" s="14" t="s">
        <v>740</v>
      </c>
    </row>
    <row r="12" spans="1:3" ht="38.25" x14ac:dyDescent="0.25">
      <c r="A12" s="7" t="s">
        <v>741</v>
      </c>
      <c r="B12" s="12"/>
      <c r="C12" s="14" t="s">
        <v>742</v>
      </c>
    </row>
    <row r="14" spans="1:3" x14ac:dyDescent="0.25">
      <c r="A14" s="15" t="s">
        <v>743</v>
      </c>
      <c r="B14" s="16"/>
      <c r="C14" s="16"/>
    </row>
    <row r="15" spans="1:3" x14ac:dyDescent="0.25">
      <c r="A15" s="5" t="s">
        <v>744</v>
      </c>
      <c r="B15" s="6" t="s">
        <v>745</v>
      </c>
      <c r="C15" s="5" t="s">
        <v>746</v>
      </c>
    </row>
    <row r="16" spans="1:3" x14ac:dyDescent="0.25">
      <c r="A16" s="14" t="s">
        <v>747</v>
      </c>
      <c r="B16" s="42">
        <v>2400</v>
      </c>
      <c r="C16" s="11" t="s">
        <v>748</v>
      </c>
    </row>
    <row r="17" spans="1:3" x14ac:dyDescent="0.25">
      <c r="A17" s="14" t="s">
        <v>749</v>
      </c>
      <c r="B17" s="42">
        <v>3100</v>
      </c>
      <c r="C17" s="11" t="s">
        <v>750</v>
      </c>
    </row>
    <row r="18" spans="1:3" x14ac:dyDescent="0.25">
      <c r="A18" s="14" t="s">
        <v>751</v>
      </c>
      <c r="B18" s="42">
        <v>4150</v>
      </c>
      <c r="C18" s="11" t="s">
        <v>752</v>
      </c>
    </row>
    <row r="19" spans="1:3" x14ac:dyDescent="0.25">
      <c r="A19" s="14" t="s">
        <v>753</v>
      </c>
      <c r="B19" s="31">
        <f>IFERROR(B18/B17-1,"")</f>
        <v>0.33870967741935476</v>
      </c>
      <c r="C19" s="11" t="s">
        <v>754</v>
      </c>
    </row>
    <row r="20" spans="1:3" x14ac:dyDescent="0.25">
      <c r="A20" s="14" t="s">
        <v>755</v>
      </c>
      <c r="B20" s="42">
        <v>1702</v>
      </c>
      <c r="C20" s="11" t="s">
        <v>756</v>
      </c>
    </row>
    <row r="21" spans="1:3" x14ac:dyDescent="0.25">
      <c r="A21" s="14" t="s">
        <v>757</v>
      </c>
      <c r="B21" s="33">
        <v>0.6</v>
      </c>
      <c r="C21" s="11" t="s">
        <v>758</v>
      </c>
    </row>
    <row r="22" spans="1:3" x14ac:dyDescent="0.25">
      <c r="A22" s="14" t="s">
        <v>759</v>
      </c>
      <c r="B22" s="35">
        <f>B20*B21</f>
        <v>1021.1999999999999</v>
      </c>
      <c r="C22" s="11" t="s">
        <v>760</v>
      </c>
    </row>
    <row r="23" spans="1:3" x14ac:dyDescent="0.25">
      <c r="A23" s="14" t="s">
        <v>761</v>
      </c>
      <c r="B23" s="33">
        <v>0.76</v>
      </c>
      <c r="C23" s="11" t="s">
        <v>762</v>
      </c>
    </row>
    <row r="24" spans="1:3" x14ac:dyDescent="0.25">
      <c r="A24" s="14" t="s">
        <v>763</v>
      </c>
      <c r="B24" s="42">
        <v>200</v>
      </c>
      <c r="C24" s="11" t="s">
        <v>764</v>
      </c>
    </row>
    <row r="25" spans="1:3" x14ac:dyDescent="0.25">
      <c r="A25" s="14" t="s">
        <v>765</v>
      </c>
      <c r="B25" s="42">
        <v>170</v>
      </c>
      <c r="C25" s="11" t="s">
        <v>766</v>
      </c>
    </row>
    <row r="26" spans="1:3" x14ac:dyDescent="0.25">
      <c r="A26" s="14" t="s">
        <v>767</v>
      </c>
      <c r="B26" s="42">
        <v>275</v>
      </c>
      <c r="C26" s="11" t="s">
        <v>768</v>
      </c>
    </row>
    <row r="27" spans="1:3" x14ac:dyDescent="0.25">
      <c r="A27" s="14" t="s">
        <v>769</v>
      </c>
      <c r="B27" s="42">
        <v>225</v>
      </c>
      <c r="C27" s="11" t="s">
        <v>770</v>
      </c>
    </row>
    <row r="28" spans="1:3" x14ac:dyDescent="0.25">
      <c r="A28" s="14" t="s">
        <v>771</v>
      </c>
      <c r="B28" s="42">
        <v>100</v>
      </c>
      <c r="C28" s="11" t="s">
        <v>772</v>
      </c>
    </row>
    <row r="29" spans="1:3" x14ac:dyDescent="0.25">
      <c r="A29" s="14" t="s">
        <v>773</v>
      </c>
      <c r="B29" s="42">
        <v>13</v>
      </c>
      <c r="C29" s="11" t="s">
        <v>774</v>
      </c>
    </row>
    <row r="30" spans="1:3" x14ac:dyDescent="0.25">
      <c r="A30" s="14" t="s">
        <v>775</v>
      </c>
      <c r="B30" s="26">
        <v>42.5</v>
      </c>
      <c r="C30" s="11" t="s">
        <v>776</v>
      </c>
    </row>
    <row r="31" spans="1:3" x14ac:dyDescent="0.25">
      <c r="A31" s="14" t="s">
        <v>777</v>
      </c>
      <c r="B31" s="42">
        <v>125</v>
      </c>
      <c r="C31" s="11" t="s">
        <v>778</v>
      </c>
    </row>
    <row r="32" spans="1:3" x14ac:dyDescent="0.25">
      <c r="A32" s="14" t="s">
        <v>779</v>
      </c>
      <c r="B32" s="33">
        <v>0.13</v>
      </c>
      <c r="C32" s="11" t="s">
        <v>780</v>
      </c>
    </row>
    <row r="33" spans="1:3" x14ac:dyDescent="0.25">
      <c r="A33" s="14" t="s">
        <v>781</v>
      </c>
      <c r="B33" s="42">
        <v>2300</v>
      </c>
      <c r="C33" s="11" t="s">
        <v>782</v>
      </c>
    </row>
    <row r="34" spans="1:3" x14ac:dyDescent="0.25">
      <c r="A34" s="14" t="s">
        <v>783</v>
      </c>
      <c r="B34" s="42">
        <v>91</v>
      </c>
      <c r="C34" s="11" t="s">
        <v>784</v>
      </c>
    </row>
    <row r="35" spans="1:3" x14ac:dyDescent="0.25">
      <c r="A35" s="14" t="s">
        <v>785</v>
      </c>
      <c r="B35" s="35">
        <f>IFERROR(B33/B34,"")</f>
        <v>25.274725274725274</v>
      </c>
      <c r="C35" s="11" t="s">
        <v>786</v>
      </c>
    </row>
    <row r="36" spans="1:3" ht="25.5" x14ac:dyDescent="0.25">
      <c r="A36" s="14" t="s">
        <v>787</v>
      </c>
      <c r="B36" s="33">
        <v>0.24</v>
      </c>
      <c r="C36" s="11" t="s">
        <v>788</v>
      </c>
    </row>
    <row r="37" spans="1:3" ht="25.5" x14ac:dyDescent="0.25">
      <c r="A37" s="14" t="s">
        <v>789</v>
      </c>
      <c r="B37" s="33">
        <v>0.77</v>
      </c>
      <c r="C37" s="11" t="s">
        <v>790</v>
      </c>
    </row>
  </sheetData>
  <mergeCells count="1">
    <mergeCell ref="A2:C2"/>
  </mergeCells>
  <pageMargins left="0.4" right="0.4" top="0.5" bottom="0.5" header="0.5" footer="0.5"/>
  <pageSetup paperSize="9" scale="81" fitToHeight="0" orientation="landscape" r:id="rId1"/>
  <headerFooter>
    <oddFooter>&amp;C&amp;8NSR (18-Sep-2026) vs Capstone — &amp;A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19"/>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x14ac:dyDescent="0.25"/>
  <cols>
    <col min="1" max="1" width="56" customWidth="1"/>
    <col min="2" max="2" width="9" customWidth="1"/>
    <col min="3" max="10" width="10" customWidth="1"/>
    <col min="11" max="11" width="58" customWidth="1"/>
    <col min="12" max="12" width="42" customWidth="1"/>
  </cols>
  <sheetData>
    <row r="1" spans="1:12" ht="24" customHeight="1" x14ac:dyDescent="0.25">
      <c r="A1" s="1" t="s">
        <v>791</v>
      </c>
    </row>
    <row r="2" spans="1:12" ht="12.95" customHeight="1" x14ac:dyDescent="0.25">
      <c r="A2" s="67" t="s">
        <v>792</v>
      </c>
      <c r="B2" s="66"/>
      <c r="C2" s="66"/>
      <c r="D2" s="66"/>
      <c r="E2" s="66"/>
      <c r="F2" s="66"/>
      <c r="G2" s="66"/>
      <c r="H2" s="66"/>
      <c r="I2" s="66"/>
      <c r="J2" s="66"/>
      <c r="K2" s="66"/>
      <c r="L2" s="66"/>
    </row>
    <row r="3" spans="1:12" ht="8.1" customHeight="1" x14ac:dyDescent="0.25"/>
    <row r="4" spans="1:12" ht="30" customHeight="1" x14ac:dyDescent="0.25">
      <c r="A4" s="5" t="s">
        <v>196</v>
      </c>
      <c r="B4" s="5" t="s">
        <v>19</v>
      </c>
      <c r="C4" s="6" t="s">
        <v>793</v>
      </c>
      <c r="D4" s="6" t="s">
        <v>794</v>
      </c>
      <c r="E4" s="6" t="s">
        <v>103</v>
      </c>
      <c r="F4" s="6" t="s">
        <v>104</v>
      </c>
      <c r="G4" s="6" t="s">
        <v>105</v>
      </c>
      <c r="H4" s="6" t="s">
        <v>106</v>
      </c>
      <c r="I4" s="6" t="s">
        <v>107</v>
      </c>
      <c r="J4" s="6" t="s">
        <v>108</v>
      </c>
      <c r="K4" s="5" t="s">
        <v>795</v>
      </c>
      <c r="L4" s="5" t="s">
        <v>796</v>
      </c>
    </row>
    <row r="5" spans="1:12" x14ac:dyDescent="0.25">
      <c r="A5" s="15" t="s">
        <v>797</v>
      </c>
      <c r="B5" s="16"/>
      <c r="C5" s="16"/>
      <c r="D5" s="16"/>
      <c r="E5" s="16"/>
      <c r="F5" s="16"/>
      <c r="G5" s="16"/>
      <c r="H5" s="16"/>
      <c r="I5" s="16"/>
      <c r="J5" s="16"/>
      <c r="K5" s="16"/>
      <c r="L5" s="16"/>
    </row>
    <row r="6" spans="1:12" ht="25.5" x14ac:dyDescent="0.25">
      <c r="A6" s="21" t="s">
        <v>798</v>
      </c>
      <c r="B6" s="22" t="s">
        <v>28</v>
      </c>
      <c r="C6" s="58">
        <v>89.7</v>
      </c>
      <c r="D6" s="58">
        <v>233.9</v>
      </c>
      <c r="E6" s="58">
        <v>396.3</v>
      </c>
      <c r="F6" s="58">
        <v>901.6</v>
      </c>
      <c r="G6" s="58">
        <v>1885.4</v>
      </c>
      <c r="H6" s="58">
        <v>2913.1</v>
      </c>
      <c r="I6" s="41"/>
      <c r="J6" s="41"/>
      <c r="K6" s="25" t="s">
        <v>799</v>
      </c>
      <c r="L6" s="25" t="s">
        <v>800</v>
      </c>
    </row>
    <row r="7" spans="1:12" ht="25.5" x14ac:dyDescent="0.25">
      <c r="A7" s="62" t="s">
        <v>801</v>
      </c>
      <c r="B7" s="8" t="s">
        <v>28</v>
      </c>
      <c r="C7" s="26">
        <v>42.4</v>
      </c>
      <c r="D7" s="26">
        <v>114.8</v>
      </c>
      <c r="E7" s="26">
        <v>190.2</v>
      </c>
      <c r="F7" s="26">
        <v>399.9</v>
      </c>
      <c r="G7" s="26">
        <v>767</v>
      </c>
      <c r="H7" s="26">
        <v>1157.4000000000001</v>
      </c>
      <c r="I7" s="12"/>
      <c r="J7" s="12"/>
      <c r="K7" s="11" t="s">
        <v>802</v>
      </c>
      <c r="L7" s="11" t="s">
        <v>800</v>
      </c>
    </row>
    <row r="8" spans="1:12" ht="24" x14ac:dyDescent="0.25">
      <c r="A8" s="62" t="s">
        <v>803</v>
      </c>
      <c r="B8" s="8" t="s">
        <v>28</v>
      </c>
      <c r="C8" s="26">
        <v>12.8</v>
      </c>
      <c r="D8" s="26">
        <v>34.4</v>
      </c>
      <c r="E8" s="26">
        <v>65.3</v>
      </c>
      <c r="F8" s="26">
        <v>178.6</v>
      </c>
      <c r="G8" s="26">
        <v>435.1</v>
      </c>
      <c r="H8" s="26">
        <v>715.1</v>
      </c>
      <c r="I8" s="12"/>
      <c r="J8" s="12"/>
      <c r="K8" s="11" t="s">
        <v>804</v>
      </c>
      <c r="L8" s="11" t="s">
        <v>800</v>
      </c>
    </row>
    <row r="9" spans="1:12" ht="24" x14ac:dyDescent="0.25">
      <c r="A9" s="62" t="s">
        <v>805</v>
      </c>
      <c r="B9" s="8" t="s">
        <v>28</v>
      </c>
      <c r="C9" s="26">
        <v>34.5</v>
      </c>
      <c r="D9" s="26">
        <v>84.6</v>
      </c>
      <c r="E9" s="26">
        <v>140.80000000000001</v>
      </c>
      <c r="F9" s="26">
        <v>323.10000000000002</v>
      </c>
      <c r="G9" s="26">
        <v>683.3</v>
      </c>
      <c r="H9" s="26">
        <v>1040.5999999999999</v>
      </c>
      <c r="I9" s="12"/>
      <c r="J9" s="12"/>
      <c r="K9" s="11" t="s">
        <v>806</v>
      </c>
      <c r="L9" s="11" t="s">
        <v>800</v>
      </c>
    </row>
    <row r="10" spans="1:12" x14ac:dyDescent="0.25">
      <c r="A10" s="63" t="s">
        <v>807</v>
      </c>
      <c r="B10" s="8" t="s">
        <v>28</v>
      </c>
      <c r="C10" s="29">
        <f t="shared" ref="C10:H10" si="0">C7+C8+C9-C6</f>
        <v>0</v>
      </c>
      <c r="D10" s="29">
        <f t="shared" si="0"/>
        <v>-0.10000000000002274</v>
      </c>
      <c r="E10" s="29">
        <f t="shared" si="0"/>
        <v>0</v>
      </c>
      <c r="F10" s="29">
        <f t="shared" si="0"/>
        <v>0</v>
      </c>
      <c r="G10" s="29">
        <f t="shared" si="0"/>
        <v>0</v>
      </c>
      <c r="H10" s="29">
        <f t="shared" si="0"/>
        <v>0</v>
      </c>
      <c r="I10" s="12"/>
      <c r="J10" s="12"/>
      <c r="K10" s="12"/>
      <c r="L10" s="12"/>
    </row>
    <row r="11" spans="1:12" x14ac:dyDescent="0.25">
      <c r="A11" s="14" t="s">
        <v>808</v>
      </c>
      <c r="B11" s="8" t="s">
        <v>537</v>
      </c>
      <c r="C11" s="12"/>
      <c r="D11" s="31">
        <f t="shared" ref="D11:J11" si="1">IF(OR(D6="",C6=""),"",IFERROR(D6/C6-1,""))</f>
        <v>1.6075808249721293</v>
      </c>
      <c r="E11" s="31">
        <f t="shared" si="1"/>
        <v>0.69431380932022235</v>
      </c>
      <c r="F11" s="31">
        <f t="shared" si="1"/>
        <v>1.2750441584658088</v>
      </c>
      <c r="G11" s="31">
        <f t="shared" si="1"/>
        <v>1.0911712511091394</v>
      </c>
      <c r="H11" s="31">
        <f t="shared" si="1"/>
        <v>0.54508327145433322</v>
      </c>
      <c r="I11" s="31" t="str">
        <f t="shared" si="1"/>
        <v/>
      </c>
      <c r="J11" s="31" t="str">
        <f t="shared" si="1"/>
        <v/>
      </c>
      <c r="K11" s="12"/>
      <c r="L11" s="12"/>
    </row>
    <row r="12" spans="1:12" x14ac:dyDescent="0.25">
      <c r="A12" s="14" t="s">
        <v>809</v>
      </c>
      <c r="B12" s="8" t="s">
        <v>223</v>
      </c>
      <c r="C12" s="31">
        <f t="shared" ref="C12:J12" si="2">IF(OR(C7="",C6=""),"",IFERROR(C7/C6,""))</f>
        <v>0.47268673355629875</v>
      </c>
      <c r="D12" s="31">
        <f t="shared" si="2"/>
        <v>0.49080803762291575</v>
      </c>
      <c r="E12" s="31">
        <f t="shared" si="2"/>
        <v>0.47993943981831944</v>
      </c>
      <c r="F12" s="31">
        <f t="shared" si="2"/>
        <v>0.44354480922803902</v>
      </c>
      <c r="G12" s="31">
        <f t="shared" si="2"/>
        <v>0.4068102259467487</v>
      </c>
      <c r="H12" s="31">
        <f t="shared" si="2"/>
        <v>0.3973087089354983</v>
      </c>
      <c r="I12" s="31" t="str">
        <f t="shared" si="2"/>
        <v/>
      </c>
      <c r="J12" s="31" t="str">
        <f t="shared" si="2"/>
        <v/>
      </c>
      <c r="K12" s="12"/>
      <c r="L12" s="12"/>
    </row>
    <row r="13" spans="1:12" x14ac:dyDescent="0.25">
      <c r="A13" s="14" t="s">
        <v>810</v>
      </c>
      <c r="B13" s="8" t="s">
        <v>223</v>
      </c>
      <c r="C13" s="31">
        <f t="shared" ref="C13:J13" si="3">IF(OR(C8="",C6=""),"",IFERROR(C8/C6,""))</f>
        <v>0.14269788182831661</v>
      </c>
      <c r="D13" s="31">
        <f t="shared" si="3"/>
        <v>0.14707139803334757</v>
      </c>
      <c r="E13" s="31">
        <f t="shared" si="3"/>
        <v>0.16477416098914963</v>
      </c>
      <c r="F13" s="31">
        <f t="shared" si="3"/>
        <v>0.19809228039041701</v>
      </c>
      <c r="G13" s="31">
        <f t="shared" si="3"/>
        <v>0.23077331070329904</v>
      </c>
      <c r="H13" s="31">
        <f t="shared" si="3"/>
        <v>0.24547732655933543</v>
      </c>
      <c r="I13" s="31" t="str">
        <f t="shared" si="3"/>
        <v/>
      </c>
      <c r="J13" s="31" t="str">
        <f t="shared" si="3"/>
        <v/>
      </c>
      <c r="K13" s="12"/>
      <c r="L13" s="12"/>
    </row>
    <row r="14" spans="1:12" x14ac:dyDescent="0.25">
      <c r="A14" s="14" t="s">
        <v>811</v>
      </c>
      <c r="B14" s="8" t="s">
        <v>223</v>
      </c>
      <c r="C14" s="31">
        <f t="shared" ref="C14:J14" si="4">IF(OR(C9="",C6=""),"",IFERROR(C9/C6,""))</f>
        <v>0.38461538461538458</v>
      </c>
      <c r="D14" s="31">
        <f t="shared" si="4"/>
        <v>0.36169303120991875</v>
      </c>
      <c r="E14" s="31">
        <f t="shared" si="4"/>
        <v>0.35528639919253091</v>
      </c>
      <c r="F14" s="31">
        <f t="shared" si="4"/>
        <v>0.35836291038154394</v>
      </c>
      <c r="G14" s="31">
        <f t="shared" si="4"/>
        <v>0.3624164633499522</v>
      </c>
      <c r="H14" s="31">
        <f t="shared" si="4"/>
        <v>0.35721396450516629</v>
      </c>
      <c r="I14" s="31" t="str">
        <f t="shared" si="4"/>
        <v/>
      </c>
      <c r="J14" s="31" t="str">
        <f t="shared" si="4"/>
        <v/>
      </c>
      <c r="K14" s="12"/>
      <c r="L14" s="12"/>
    </row>
    <row r="15" spans="1:12" ht="25.5" x14ac:dyDescent="0.25">
      <c r="A15" s="21" t="s">
        <v>812</v>
      </c>
      <c r="B15" s="22" t="s">
        <v>28</v>
      </c>
      <c r="C15" s="58">
        <v>93.8</v>
      </c>
      <c r="D15" s="58">
        <v>178.8</v>
      </c>
      <c r="E15" s="58">
        <v>336.4</v>
      </c>
      <c r="F15" s="58">
        <v>681.9</v>
      </c>
      <c r="G15" s="58">
        <v>1125.5</v>
      </c>
      <c r="H15" s="58">
        <v>1425.1</v>
      </c>
      <c r="I15" s="41"/>
      <c r="J15" s="41"/>
      <c r="K15" s="25" t="s">
        <v>813</v>
      </c>
      <c r="L15" s="25" t="s">
        <v>800</v>
      </c>
    </row>
    <row r="16" spans="1:12" ht="24" x14ac:dyDescent="0.25">
      <c r="A16" s="62" t="s">
        <v>814</v>
      </c>
      <c r="B16" s="8" t="s">
        <v>28</v>
      </c>
      <c r="C16" s="26">
        <v>22.6</v>
      </c>
      <c r="D16" s="26">
        <v>50.7</v>
      </c>
      <c r="E16" s="26">
        <v>95.9</v>
      </c>
      <c r="F16" s="26">
        <v>170.2</v>
      </c>
      <c r="G16" s="26">
        <v>272</v>
      </c>
      <c r="H16" s="26">
        <v>322</v>
      </c>
      <c r="I16" s="12"/>
      <c r="J16" s="12"/>
      <c r="K16" s="11" t="s">
        <v>815</v>
      </c>
      <c r="L16" s="11" t="s">
        <v>800</v>
      </c>
    </row>
    <row r="17" spans="1:12" ht="24" x14ac:dyDescent="0.25">
      <c r="A17" s="62" t="s">
        <v>816</v>
      </c>
      <c r="B17" s="8" t="s">
        <v>28</v>
      </c>
      <c r="C17" s="26">
        <v>24.7</v>
      </c>
      <c r="D17" s="26">
        <v>53</v>
      </c>
      <c r="E17" s="26">
        <v>96.5</v>
      </c>
      <c r="F17" s="26">
        <v>175</v>
      </c>
      <c r="G17" s="26">
        <v>286.3</v>
      </c>
      <c r="H17" s="26">
        <v>378.7</v>
      </c>
      <c r="I17" s="12"/>
      <c r="J17" s="12"/>
      <c r="K17" s="11" t="s">
        <v>815</v>
      </c>
      <c r="L17" s="11" t="s">
        <v>800</v>
      </c>
    </row>
    <row r="18" spans="1:12" ht="24" x14ac:dyDescent="0.25">
      <c r="A18" s="62" t="s">
        <v>817</v>
      </c>
      <c r="B18" s="8" t="s">
        <v>28</v>
      </c>
      <c r="C18" s="26">
        <v>19.399999999999999</v>
      </c>
      <c r="D18" s="26">
        <v>37.799999999999997</v>
      </c>
      <c r="E18" s="26">
        <v>74.3</v>
      </c>
      <c r="F18" s="26">
        <v>195.2</v>
      </c>
      <c r="G18" s="26">
        <v>361.1</v>
      </c>
      <c r="H18" s="26">
        <v>463</v>
      </c>
      <c r="I18" s="12"/>
      <c r="J18" s="12"/>
      <c r="K18" s="11" t="s">
        <v>815</v>
      </c>
      <c r="L18" s="11" t="s">
        <v>800</v>
      </c>
    </row>
    <row r="19" spans="1:12" ht="24" x14ac:dyDescent="0.25">
      <c r="A19" s="62" t="s">
        <v>818</v>
      </c>
      <c r="B19" s="8" t="s">
        <v>28</v>
      </c>
      <c r="C19" s="26">
        <v>27</v>
      </c>
      <c r="D19" s="26">
        <v>37.299999999999997</v>
      </c>
      <c r="E19" s="26">
        <v>69.7</v>
      </c>
      <c r="F19" s="26">
        <v>141.4</v>
      </c>
      <c r="G19" s="26">
        <v>206.1</v>
      </c>
      <c r="H19" s="26">
        <v>261.5</v>
      </c>
      <c r="I19" s="12"/>
      <c r="J19" s="12"/>
      <c r="K19" s="11" t="s">
        <v>815</v>
      </c>
      <c r="L19" s="11" t="s">
        <v>800</v>
      </c>
    </row>
    <row r="20" spans="1:12" ht="48" x14ac:dyDescent="0.25">
      <c r="A20" s="21" t="s">
        <v>819</v>
      </c>
      <c r="B20" s="22" t="s">
        <v>28</v>
      </c>
      <c r="C20" s="58">
        <v>155.80000000000001</v>
      </c>
      <c r="D20" s="58">
        <v>244.7</v>
      </c>
      <c r="E20" s="58">
        <v>410.1</v>
      </c>
      <c r="F20" s="58">
        <v>738.9</v>
      </c>
      <c r="G20" s="58">
        <v>1097.8</v>
      </c>
      <c r="H20" s="58">
        <v>1425.1</v>
      </c>
      <c r="I20" s="41"/>
      <c r="J20" s="41"/>
      <c r="K20" s="25" t="s">
        <v>820</v>
      </c>
      <c r="L20" s="25" t="s">
        <v>821</v>
      </c>
    </row>
    <row r="21" spans="1:12" ht="60" x14ac:dyDescent="0.25">
      <c r="A21" s="21" t="s">
        <v>822</v>
      </c>
      <c r="B21" s="22" t="s">
        <v>28</v>
      </c>
      <c r="C21" s="58">
        <v>-4</v>
      </c>
      <c r="D21" s="58">
        <v>55.1</v>
      </c>
      <c r="E21" s="58">
        <v>59.8</v>
      </c>
      <c r="F21" s="58">
        <v>219.7</v>
      </c>
      <c r="G21" s="58">
        <v>759.9</v>
      </c>
      <c r="H21" s="58">
        <v>1488</v>
      </c>
      <c r="I21" s="41"/>
      <c r="J21" s="41"/>
      <c r="K21" s="25" t="s">
        <v>823</v>
      </c>
      <c r="L21" s="25" t="s">
        <v>800</v>
      </c>
    </row>
    <row r="22" spans="1:12" x14ac:dyDescent="0.25">
      <c r="A22" s="14" t="s">
        <v>824</v>
      </c>
      <c r="B22" s="8" t="s">
        <v>223</v>
      </c>
      <c r="C22" s="31">
        <f t="shared" ref="C22:J22" si="5">IF(OR(C21="",C6=""),"",IFERROR(C21/C6,""))</f>
        <v>-4.4593088071348937E-2</v>
      </c>
      <c r="D22" s="31">
        <f t="shared" si="5"/>
        <v>0.23557075673364686</v>
      </c>
      <c r="E22" s="31">
        <f t="shared" si="5"/>
        <v>0.1508957860206914</v>
      </c>
      <c r="F22" s="31">
        <f t="shared" si="5"/>
        <v>0.24367790594498667</v>
      </c>
      <c r="G22" s="31">
        <f t="shared" si="5"/>
        <v>0.40304444680173968</v>
      </c>
      <c r="H22" s="31">
        <f t="shared" si="5"/>
        <v>0.51079605918094129</v>
      </c>
      <c r="I22" s="31" t="str">
        <f t="shared" si="5"/>
        <v/>
      </c>
      <c r="J22" s="31" t="str">
        <f t="shared" si="5"/>
        <v/>
      </c>
      <c r="K22" s="12"/>
      <c r="L22" s="12"/>
    </row>
    <row r="23" spans="1:12" x14ac:dyDescent="0.25">
      <c r="A23" s="14" t="s">
        <v>825</v>
      </c>
      <c r="B23" s="8" t="s">
        <v>28</v>
      </c>
      <c r="C23" s="12"/>
      <c r="D23" s="12"/>
      <c r="E23" s="12"/>
      <c r="F23" s="12"/>
      <c r="G23" s="12"/>
      <c r="H23" s="35">
        <f>SUM(F6:H6)</f>
        <v>5700.1</v>
      </c>
      <c r="I23" s="12"/>
      <c r="J23" s="12"/>
      <c r="K23" s="12"/>
      <c r="L23" s="12"/>
    </row>
    <row r="24" spans="1:12" ht="48" x14ac:dyDescent="0.25">
      <c r="A24" s="14" t="s">
        <v>826</v>
      </c>
      <c r="B24" s="8" t="s">
        <v>28</v>
      </c>
      <c r="C24" s="12"/>
      <c r="D24" s="12"/>
      <c r="E24" s="12"/>
      <c r="F24" s="12"/>
      <c r="G24" s="12"/>
      <c r="H24" s="12"/>
      <c r="I24" s="12"/>
      <c r="J24" s="26">
        <v>4669.8</v>
      </c>
      <c r="K24" s="11" t="s">
        <v>827</v>
      </c>
      <c r="L24" s="11" t="s">
        <v>828</v>
      </c>
    </row>
    <row r="25" spans="1:12" ht="25.5" x14ac:dyDescent="0.25">
      <c r="A25" s="14" t="s">
        <v>829</v>
      </c>
      <c r="B25" s="8" t="s">
        <v>28</v>
      </c>
      <c r="C25" s="12"/>
      <c r="D25" s="12"/>
      <c r="E25" s="12"/>
      <c r="F25" s="12"/>
      <c r="G25" s="12"/>
      <c r="H25" s="12"/>
      <c r="I25" s="26">
        <v>4952.3</v>
      </c>
      <c r="J25" s="12"/>
      <c r="K25" s="11" t="s">
        <v>830</v>
      </c>
      <c r="L25" s="11" t="s">
        <v>831</v>
      </c>
    </row>
    <row r="27" spans="1:12" x14ac:dyDescent="0.25">
      <c r="A27" s="15" t="s">
        <v>832</v>
      </c>
      <c r="B27" s="16"/>
      <c r="C27" s="16"/>
      <c r="D27" s="16"/>
      <c r="E27" s="16"/>
      <c r="F27" s="16"/>
      <c r="G27" s="16"/>
      <c r="H27" s="16"/>
      <c r="I27" s="16"/>
      <c r="J27" s="16"/>
      <c r="K27" s="16"/>
      <c r="L27" s="16"/>
    </row>
    <row r="28" spans="1:12" ht="36" x14ac:dyDescent="0.25">
      <c r="A28" s="21" t="s">
        <v>833</v>
      </c>
      <c r="B28" s="22" t="s">
        <v>28</v>
      </c>
      <c r="C28" s="58">
        <v>85</v>
      </c>
      <c r="D28" s="58">
        <v>228.5</v>
      </c>
      <c r="E28" s="58">
        <v>431.7</v>
      </c>
      <c r="F28" s="58">
        <v>899.6</v>
      </c>
      <c r="G28" s="58">
        <v>1679.8</v>
      </c>
      <c r="H28" s="58">
        <v>2588.4</v>
      </c>
      <c r="I28" s="58">
        <v>3054.3</v>
      </c>
      <c r="J28" s="58">
        <v>3481.9</v>
      </c>
      <c r="K28" s="25" t="s">
        <v>834</v>
      </c>
      <c r="L28" s="25" t="s">
        <v>835</v>
      </c>
    </row>
    <row r="29" spans="1:12" ht="24" x14ac:dyDescent="0.25">
      <c r="A29" s="62" t="s">
        <v>836</v>
      </c>
      <c r="B29" s="8" t="s">
        <v>28</v>
      </c>
      <c r="C29" s="26">
        <v>85</v>
      </c>
      <c r="D29" s="26">
        <v>228.5</v>
      </c>
      <c r="E29" s="26">
        <v>431.7</v>
      </c>
      <c r="F29" s="26">
        <v>751.2</v>
      </c>
      <c r="G29" s="26">
        <v>1164.3</v>
      </c>
      <c r="H29" s="26">
        <v>1513.6</v>
      </c>
      <c r="I29" s="26">
        <v>1786</v>
      </c>
      <c r="J29" s="26">
        <v>2036.1</v>
      </c>
      <c r="K29" s="11" t="s">
        <v>837</v>
      </c>
      <c r="L29" s="11" t="s">
        <v>838</v>
      </c>
    </row>
    <row r="30" spans="1:12" ht="24" x14ac:dyDescent="0.25">
      <c r="A30" s="62" t="s">
        <v>839</v>
      </c>
      <c r="B30" s="8" t="s">
        <v>28</v>
      </c>
      <c r="C30" s="26">
        <v>85</v>
      </c>
      <c r="D30" s="26">
        <v>228.5</v>
      </c>
      <c r="E30" s="26">
        <v>431.7</v>
      </c>
      <c r="F30" s="26">
        <v>699.4</v>
      </c>
      <c r="G30" s="26">
        <v>902.2</v>
      </c>
      <c r="H30" s="26">
        <v>1037.5</v>
      </c>
      <c r="I30" s="26">
        <v>1224.2</v>
      </c>
      <c r="J30" s="26">
        <v>1395.6</v>
      </c>
      <c r="K30" s="11" t="s">
        <v>840</v>
      </c>
      <c r="L30" s="11" t="s">
        <v>841</v>
      </c>
    </row>
    <row r="31" spans="1:12" ht="24" x14ac:dyDescent="0.25">
      <c r="A31" s="21" t="s">
        <v>842</v>
      </c>
      <c r="B31" s="22" t="s">
        <v>28</v>
      </c>
      <c r="C31" s="58">
        <v>40.5</v>
      </c>
      <c r="D31" s="58">
        <v>109.5</v>
      </c>
      <c r="E31" s="58">
        <v>200.2</v>
      </c>
      <c r="F31" s="58">
        <v>399.9</v>
      </c>
      <c r="G31" s="58">
        <v>692</v>
      </c>
      <c r="H31" s="58">
        <v>1051.3</v>
      </c>
      <c r="I31" s="58">
        <v>1240.5999999999999</v>
      </c>
      <c r="J31" s="58">
        <v>1414.2</v>
      </c>
      <c r="K31" s="25" t="s">
        <v>843</v>
      </c>
      <c r="L31" s="25" t="s">
        <v>844</v>
      </c>
    </row>
    <row r="32" spans="1:12" ht="24" x14ac:dyDescent="0.25">
      <c r="A32" s="62" t="s">
        <v>845</v>
      </c>
      <c r="B32" s="8" t="s">
        <v>28</v>
      </c>
      <c r="C32" s="26">
        <v>36.6</v>
      </c>
      <c r="D32" s="26">
        <v>97.1</v>
      </c>
      <c r="E32" s="26">
        <v>168.8</v>
      </c>
      <c r="F32" s="26">
        <v>311.8</v>
      </c>
      <c r="G32" s="26">
        <v>503.6</v>
      </c>
      <c r="H32" s="26">
        <v>677.9</v>
      </c>
      <c r="I32" s="26">
        <v>795.3</v>
      </c>
      <c r="J32" s="26">
        <v>900</v>
      </c>
      <c r="K32" s="11" t="s">
        <v>846</v>
      </c>
      <c r="L32" s="11" t="s">
        <v>844</v>
      </c>
    </row>
    <row r="33" spans="1:12" ht="24" x14ac:dyDescent="0.25">
      <c r="A33" s="62" t="s">
        <v>847</v>
      </c>
      <c r="B33" s="8" t="s">
        <v>28</v>
      </c>
      <c r="C33" s="26">
        <v>0.5</v>
      </c>
      <c r="D33" s="26">
        <v>5.4</v>
      </c>
      <c r="E33" s="26">
        <v>8</v>
      </c>
      <c r="F33" s="26">
        <v>20.7</v>
      </c>
      <c r="G33" s="26">
        <v>38.4</v>
      </c>
      <c r="H33" s="26">
        <v>51.8</v>
      </c>
      <c r="I33" s="26">
        <v>60.7</v>
      </c>
      <c r="J33" s="26">
        <v>68.7</v>
      </c>
      <c r="K33" s="11" t="s">
        <v>848</v>
      </c>
      <c r="L33" s="11" t="s">
        <v>844</v>
      </c>
    </row>
    <row r="34" spans="1:12" ht="24" x14ac:dyDescent="0.25">
      <c r="A34" s="62" t="s">
        <v>849</v>
      </c>
      <c r="B34" s="8" t="s">
        <v>28</v>
      </c>
      <c r="C34" s="26">
        <v>3.4</v>
      </c>
      <c r="D34" s="26">
        <v>6.9</v>
      </c>
      <c r="E34" s="26">
        <v>23.4</v>
      </c>
      <c r="F34" s="26">
        <v>67.400000000000006</v>
      </c>
      <c r="G34" s="26">
        <v>150</v>
      </c>
      <c r="H34" s="26">
        <v>321.7</v>
      </c>
      <c r="I34" s="26">
        <v>384.6</v>
      </c>
      <c r="J34" s="26">
        <v>445.5</v>
      </c>
      <c r="K34" s="11" t="s">
        <v>848</v>
      </c>
      <c r="L34" s="11" t="s">
        <v>844</v>
      </c>
    </row>
    <row r="35" spans="1:12" x14ac:dyDescent="0.25">
      <c r="A35" s="14" t="s">
        <v>132</v>
      </c>
      <c r="B35" s="8" t="s">
        <v>223</v>
      </c>
      <c r="C35" s="31">
        <f t="shared" ref="C35:J35" si="6">IF(OR(C32="",C31=""),"",IFERROR(C32/C31,""))</f>
        <v>0.90370370370370379</v>
      </c>
      <c r="D35" s="31">
        <f t="shared" si="6"/>
        <v>0.88675799086757989</v>
      </c>
      <c r="E35" s="31">
        <f t="shared" si="6"/>
        <v>0.84315684315684325</v>
      </c>
      <c r="F35" s="31">
        <f t="shared" si="6"/>
        <v>0.77969492373093285</v>
      </c>
      <c r="G35" s="31">
        <f t="shared" si="6"/>
        <v>0.72774566473988445</v>
      </c>
      <c r="H35" s="31">
        <f t="shared" si="6"/>
        <v>0.64482069818320176</v>
      </c>
      <c r="I35" s="31">
        <f t="shared" si="6"/>
        <v>0.64106077704336617</v>
      </c>
      <c r="J35" s="31">
        <f t="shared" si="6"/>
        <v>0.63640220619431476</v>
      </c>
      <c r="K35" s="12"/>
      <c r="L35" s="12"/>
    </row>
    <row r="36" spans="1:12" x14ac:dyDescent="0.25">
      <c r="A36" s="14" t="s">
        <v>850</v>
      </c>
      <c r="B36" s="8" t="s">
        <v>223</v>
      </c>
      <c r="C36" s="31">
        <f t="shared" ref="C36:J36" si="7">IF(OR(C34="",C31=""),"",IFERROR(C34/C31,""))</f>
        <v>8.3950617283950618E-2</v>
      </c>
      <c r="D36" s="31">
        <f t="shared" si="7"/>
        <v>6.3013698630136991E-2</v>
      </c>
      <c r="E36" s="31">
        <f t="shared" si="7"/>
        <v>0.11688311688311688</v>
      </c>
      <c r="F36" s="31">
        <f t="shared" si="7"/>
        <v>0.1685421355338835</v>
      </c>
      <c r="G36" s="31">
        <f t="shared" si="7"/>
        <v>0.21676300578034682</v>
      </c>
      <c r="H36" s="31">
        <f t="shared" si="7"/>
        <v>0.30600209264719869</v>
      </c>
      <c r="I36" s="31">
        <f t="shared" si="7"/>
        <v>0.31001128486216351</v>
      </c>
      <c r="J36" s="31">
        <f t="shared" si="7"/>
        <v>0.31501909206618584</v>
      </c>
      <c r="K36" s="12"/>
      <c r="L36" s="12"/>
    </row>
    <row r="37" spans="1:12" ht="36" x14ac:dyDescent="0.25">
      <c r="A37" s="14" t="s">
        <v>851</v>
      </c>
      <c r="B37" s="8" t="s">
        <v>28</v>
      </c>
      <c r="C37" s="26">
        <v>65</v>
      </c>
      <c r="D37" s="26">
        <v>166.4</v>
      </c>
      <c r="E37" s="26">
        <v>310.8</v>
      </c>
      <c r="F37" s="26">
        <v>673.5</v>
      </c>
      <c r="G37" s="26">
        <v>1201.2</v>
      </c>
      <c r="H37" s="26">
        <v>1837.5</v>
      </c>
      <c r="I37" s="26">
        <v>2168.1999999999998</v>
      </c>
      <c r="J37" s="26">
        <v>2471.8000000000002</v>
      </c>
      <c r="K37" s="11" t="s">
        <v>852</v>
      </c>
      <c r="L37" s="11" t="s">
        <v>853</v>
      </c>
    </row>
    <row r="38" spans="1:12" ht="36" x14ac:dyDescent="0.25">
      <c r="A38" s="14" t="s">
        <v>854</v>
      </c>
      <c r="B38" s="8" t="s">
        <v>28</v>
      </c>
      <c r="C38" s="26">
        <v>2.8</v>
      </c>
      <c r="D38" s="26">
        <v>5.7</v>
      </c>
      <c r="E38" s="26">
        <v>15.2</v>
      </c>
      <c r="F38" s="26">
        <v>40.200000000000003</v>
      </c>
      <c r="G38" s="26">
        <v>79.2</v>
      </c>
      <c r="H38" s="26">
        <v>127.2</v>
      </c>
      <c r="I38" s="26">
        <v>150.1</v>
      </c>
      <c r="J38" s="26">
        <v>171.1</v>
      </c>
      <c r="K38" s="11" t="s">
        <v>855</v>
      </c>
      <c r="L38" s="11" t="s">
        <v>856</v>
      </c>
    </row>
    <row r="39" spans="1:12" ht="24" x14ac:dyDescent="0.25">
      <c r="A39" s="14" t="s">
        <v>857</v>
      </c>
      <c r="B39" s="8" t="s">
        <v>28</v>
      </c>
      <c r="C39" s="26">
        <v>5.6</v>
      </c>
      <c r="D39" s="26">
        <v>24.8</v>
      </c>
      <c r="E39" s="26">
        <v>56.4</v>
      </c>
      <c r="F39" s="26">
        <v>126.1</v>
      </c>
      <c r="G39" s="26">
        <v>204.7</v>
      </c>
      <c r="H39" s="26">
        <v>261.60000000000002</v>
      </c>
      <c r="I39" s="26">
        <v>308.7</v>
      </c>
      <c r="J39" s="26">
        <v>351.9</v>
      </c>
      <c r="K39" s="11" t="s">
        <v>858</v>
      </c>
      <c r="L39" s="11" t="s">
        <v>844</v>
      </c>
    </row>
    <row r="40" spans="1:12" ht="36" x14ac:dyDescent="0.25">
      <c r="A40" s="21" t="s">
        <v>859</v>
      </c>
      <c r="B40" s="22" t="s">
        <v>28</v>
      </c>
      <c r="C40" s="58">
        <v>3.5</v>
      </c>
      <c r="D40" s="58">
        <v>15.4</v>
      </c>
      <c r="E40" s="58">
        <v>35</v>
      </c>
      <c r="F40" s="58">
        <v>78.3</v>
      </c>
      <c r="G40" s="58">
        <v>127</v>
      </c>
      <c r="H40" s="58">
        <v>162.4</v>
      </c>
      <c r="I40" s="58">
        <v>191.6</v>
      </c>
      <c r="J40" s="58">
        <v>218.4</v>
      </c>
      <c r="K40" s="25" t="s">
        <v>860</v>
      </c>
      <c r="L40" s="25" t="s">
        <v>861</v>
      </c>
    </row>
    <row r="41" spans="1:12" ht="36" x14ac:dyDescent="0.25">
      <c r="A41" s="21" t="s">
        <v>862</v>
      </c>
      <c r="B41" s="22" t="s">
        <v>28</v>
      </c>
      <c r="C41" s="58">
        <v>5.2</v>
      </c>
      <c r="D41" s="58">
        <v>16.5</v>
      </c>
      <c r="E41" s="58">
        <v>35</v>
      </c>
      <c r="F41" s="58">
        <v>77.400000000000006</v>
      </c>
      <c r="G41" s="58">
        <v>193.8</v>
      </c>
      <c r="H41" s="58">
        <v>224</v>
      </c>
      <c r="I41" s="58">
        <v>255.4</v>
      </c>
      <c r="J41" s="58">
        <v>283.39999999999998</v>
      </c>
      <c r="K41" s="25" t="s">
        <v>863</v>
      </c>
      <c r="L41" s="25" t="s">
        <v>864</v>
      </c>
    </row>
    <row r="42" spans="1:12" ht="36" x14ac:dyDescent="0.25">
      <c r="A42" s="14" t="s">
        <v>865</v>
      </c>
      <c r="B42" s="8" t="s">
        <v>28</v>
      </c>
      <c r="C42" s="26">
        <v>12</v>
      </c>
      <c r="D42" s="26">
        <v>14.8</v>
      </c>
      <c r="E42" s="26">
        <v>19.5</v>
      </c>
      <c r="F42" s="26">
        <v>91.3</v>
      </c>
      <c r="G42" s="26">
        <v>134.4</v>
      </c>
      <c r="H42" s="26">
        <v>141.80000000000001</v>
      </c>
      <c r="I42" s="26">
        <v>148.19999999999999</v>
      </c>
      <c r="J42" s="26">
        <v>164.9</v>
      </c>
      <c r="K42" s="11" t="s">
        <v>866</v>
      </c>
      <c r="L42" s="11" t="s">
        <v>867</v>
      </c>
    </row>
    <row r="43" spans="1:12" ht="24" x14ac:dyDescent="0.25">
      <c r="A43" s="14" t="s">
        <v>868</v>
      </c>
      <c r="B43" s="8" t="s">
        <v>28</v>
      </c>
      <c r="C43" s="26">
        <v>12</v>
      </c>
      <c r="D43" s="26">
        <v>16</v>
      </c>
      <c r="E43" s="26">
        <v>22.8</v>
      </c>
      <c r="F43" s="26">
        <v>119.7</v>
      </c>
      <c r="G43" s="26">
        <v>182.4</v>
      </c>
      <c r="H43" s="26">
        <v>204</v>
      </c>
      <c r="I43" s="26">
        <v>222</v>
      </c>
      <c r="J43" s="26">
        <v>240</v>
      </c>
      <c r="K43" s="11" t="s">
        <v>869</v>
      </c>
      <c r="L43" s="11" t="s">
        <v>844</v>
      </c>
    </row>
    <row r="44" spans="1:12" ht="24" x14ac:dyDescent="0.25">
      <c r="A44" s="14" t="s">
        <v>870</v>
      </c>
      <c r="B44" s="8" t="s">
        <v>28</v>
      </c>
      <c r="C44" s="26">
        <v>10.1</v>
      </c>
      <c r="D44" s="26">
        <v>11.9</v>
      </c>
      <c r="E44" s="26">
        <v>16.8</v>
      </c>
      <c r="F44" s="26">
        <v>24.5</v>
      </c>
      <c r="G44" s="26">
        <v>40.200000000000003</v>
      </c>
      <c r="H44" s="26">
        <v>64.3</v>
      </c>
      <c r="I44" s="26">
        <v>75.7</v>
      </c>
      <c r="J44" s="26">
        <v>87.8</v>
      </c>
      <c r="K44" s="11" t="s">
        <v>871</v>
      </c>
      <c r="L44" s="11" t="s">
        <v>844</v>
      </c>
    </row>
    <row r="45" spans="1:12" ht="25.5" x14ac:dyDescent="0.25">
      <c r="A45" s="21" t="s">
        <v>872</v>
      </c>
      <c r="B45" s="22" t="s">
        <v>28</v>
      </c>
      <c r="C45" s="28">
        <f t="shared" ref="C45:J45" si="8">C42+C43</f>
        <v>24</v>
      </c>
      <c r="D45" s="28">
        <f t="shared" si="8"/>
        <v>30.8</v>
      </c>
      <c r="E45" s="28">
        <f t="shared" si="8"/>
        <v>42.3</v>
      </c>
      <c r="F45" s="28">
        <f t="shared" si="8"/>
        <v>211</v>
      </c>
      <c r="G45" s="28">
        <f t="shared" si="8"/>
        <v>316.8</v>
      </c>
      <c r="H45" s="28">
        <f t="shared" si="8"/>
        <v>345.8</v>
      </c>
      <c r="I45" s="28">
        <f t="shared" si="8"/>
        <v>370.2</v>
      </c>
      <c r="J45" s="28">
        <f t="shared" si="8"/>
        <v>404.9</v>
      </c>
      <c r="K45" s="25" t="s">
        <v>873</v>
      </c>
      <c r="L45" s="25" t="s">
        <v>874</v>
      </c>
    </row>
    <row r="46" spans="1:12" ht="36" x14ac:dyDescent="0.25">
      <c r="A46" s="21" t="s">
        <v>875</v>
      </c>
      <c r="B46" s="22" t="s">
        <v>28</v>
      </c>
      <c r="C46" s="58">
        <v>17</v>
      </c>
      <c r="D46" s="58">
        <v>43.2</v>
      </c>
      <c r="E46" s="58">
        <v>90.4</v>
      </c>
      <c r="F46" s="58">
        <v>272.39999999999998</v>
      </c>
      <c r="G46" s="58">
        <v>496</v>
      </c>
      <c r="H46" s="58">
        <v>596.5</v>
      </c>
      <c r="I46" s="58">
        <v>667</v>
      </c>
      <c r="J46" s="58">
        <v>737</v>
      </c>
      <c r="K46" s="25" t="s">
        <v>876</v>
      </c>
      <c r="L46" s="25" t="s">
        <v>877</v>
      </c>
    </row>
    <row r="47" spans="1:12" ht="36" x14ac:dyDescent="0.25">
      <c r="A47" s="21" t="s">
        <v>878</v>
      </c>
      <c r="B47" s="22" t="s">
        <v>28</v>
      </c>
      <c r="C47" s="58">
        <v>14.1</v>
      </c>
      <c r="D47" s="58">
        <v>30.7</v>
      </c>
      <c r="E47" s="58">
        <v>56.6</v>
      </c>
      <c r="F47" s="58">
        <v>156.5</v>
      </c>
      <c r="G47" s="58">
        <v>292.60000000000002</v>
      </c>
      <c r="H47" s="58">
        <v>450.7</v>
      </c>
      <c r="I47" s="58">
        <v>531.9</v>
      </c>
      <c r="J47" s="58">
        <v>606.29999999999995</v>
      </c>
      <c r="K47" s="25" t="s">
        <v>879</v>
      </c>
      <c r="L47" s="25" t="s">
        <v>880</v>
      </c>
    </row>
    <row r="48" spans="1:12" ht="24" x14ac:dyDescent="0.25">
      <c r="A48" s="62" t="s">
        <v>881</v>
      </c>
      <c r="B48" s="8" t="s">
        <v>28</v>
      </c>
      <c r="C48" s="26">
        <v>4.5999999999999996</v>
      </c>
      <c r="D48" s="26">
        <v>12.3</v>
      </c>
      <c r="E48" s="26">
        <v>25</v>
      </c>
      <c r="F48" s="26">
        <v>58.8</v>
      </c>
      <c r="G48" s="26">
        <v>96.1</v>
      </c>
      <c r="H48" s="26">
        <v>135.30000000000001</v>
      </c>
      <c r="I48" s="26">
        <v>159.6</v>
      </c>
      <c r="J48" s="26">
        <v>182</v>
      </c>
      <c r="K48" s="11" t="s">
        <v>848</v>
      </c>
      <c r="L48" s="11" t="s">
        <v>844</v>
      </c>
    </row>
    <row r="49" spans="1:12" ht="24" x14ac:dyDescent="0.25">
      <c r="A49" s="14" t="s">
        <v>882</v>
      </c>
      <c r="B49" s="8" t="s">
        <v>28</v>
      </c>
      <c r="C49" s="26">
        <v>4.3</v>
      </c>
      <c r="D49" s="26">
        <v>11.7</v>
      </c>
      <c r="E49" s="26">
        <v>22.1</v>
      </c>
      <c r="F49" s="26">
        <v>44.8</v>
      </c>
      <c r="G49" s="26">
        <v>79.900000000000006</v>
      </c>
      <c r="H49" s="26">
        <v>123.3</v>
      </c>
      <c r="I49" s="26">
        <v>145.5</v>
      </c>
      <c r="J49" s="26">
        <v>165.9</v>
      </c>
      <c r="K49" s="11" t="s">
        <v>848</v>
      </c>
      <c r="L49" s="11" t="s">
        <v>844</v>
      </c>
    </row>
    <row r="50" spans="1:12" ht="48" x14ac:dyDescent="0.25">
      <c r="A50" s="14" t="s">
        <v>883</v>
      </c>
      <c r="B50" s="8" t="s">
        <v>47</v>
      </c>
      <c r="C50" s="26">
        <v>2.2000000000000002</v>
      </c>
      <c r="D50" s="26">
        <v>5.9</v>
      </c>
      <c r="E50" s="26">
        <v>11.2</v>
      </c>
      <c r="F50" s="26">
        <v>22.7</v>
      </c>
      <c r="G50" s="26">
        <v>40</v>
      </c>
      <c r="H50" s="26">
        <v>62.7</v>
      </c>
      <c r="I50" s="26">
        <v>72.599999999999994</v>
      </c>
      <c r="J50" s="26">
        <v>81.3</v>
      </c>
      <c r="K50" s="11" t="s">
        <v>884</v>
      </c>
      <c r="L50" s="11" t="s">
        <v>885</v>
      </c>
    </row>
    <row r="51" spans="1:12" ht="36" x14ac:dyDescent="0.25">
      <c r="A51" s="21" t="s">
        <v>886</v>
      </c>
      <c r="B51" s="22" t="s">
        <v>47</v>
      </c>
      <c r="C51" s="58">
        <v>2.2000000000000002</v>
      </c>
      <c r="D51" s="58">
        <v>8.1</v>
      </c>
      <c r="E51" s="58">
        <v>19.3</v>
      </c>
      <c r="F51" s="58">
        <v>42.1</v>
      </c>
      <c r="G51" s="58">
        <v>82.1</v>
      </c>
      <c r="H51" s="58">
        <v>144.80000000000001</v>
      </c>
      <c r="I51" s="58">
        <v>217.4</v>
      </c>
      <c r="J51" s="58">
        <v>298.7</v>
      </c>
      <c r="K51" s="25" t="s">
        <v>887</v>
      </c>
      <c r="L51" s="25" t="s">
        <v>888</v>
      </c>
    </row>
    <row r="53" spans="1:12" x14ac:dyDescent="0.25">
      <c r="A53" s="15" t="s">
        <v>889</v>
      </c>
      <c r="B53" s="16"/>
      <c r="C53" s="16"/>
      <c r="D53" s="16"/>
      <c r="E53" s="16"/>
      <c r="F53" s="16"/>
      <c r="G53" s="16"/>
      <c r="H53" s="16"/>
      <c r="I53" s="16"/>
      <c r="J53" s="16"/>
      <c r="K53" s="16"/>
      <c r="L53" s="16"/>
    </row>
    <row r="54" spans="1:12" ht="48" x14ac:dyDescent="0.25">
      <c r="A54" s="21" t="s">
        <v>890</v>
      </c>
      <c r="B54" s="22" t="s">
        <v>28</v>
      </c>
      <c r="C54" s="58">
        <v>166.3</v>
      </c>
      <c r="D54" s="58">
        <v>314.60000000000002</v>
      </c>
      <c r="E54" s="58">
        <v>528</v>
      </c>
      <c r="F54" s="58">
        <v>1181.7</v>
      </c>
      <c r="G54" s="58">
        <v>2015.1</v>
      </c>
      <c r="H54" s="58">
        <v>2764.5</v>
      </c>
      <c r="I54" s="58">
        <v>3326.4</v>
      </c>
      <c r="J54" s="58">
        <v>3924.1</v>
      </c>
      <c r="K54" s="25" t="s">
        <v>891</v>
      </c>
      <c r="L54" s="25" t="s">
        <v>892</v>
      </c>
    </row>
    <row r="55" spans="1:12" ht="24" x14ac:dyDescent="0.25">
      <c r="A55" s="62" t="s">
        <v>893</v>
      </c>
      <c r="B55" s="8" t="s">
        <v>28</v>
      </c>
      <c r="C55" s="26">
        <v>40.5</v>
      </c>
      <c r="D55" s="26">
        <v>109.5</v>
      </c>
      <c r="E55" s="26">
        <v>200.2</v>
      </c>
      <c r="F55" s="26">
        <v>399.9</v>
      </c>
      <c r="G55" s="26">
        <v>713.3</v>
      </c>
      <c r="H55" s="26">
        <v>1017</v>
      </c>
      <c r="I55" s="26">
        <v>1184.8</v>
      </c>
      <c r="J55" s="26">
        <v>1344.6</v>
      </c>
      <c r="K55" s="11" t="s">
        <v>894</v>
      </c>
      <c r="L55" s="11" t="s">
        <v>895</v>
      </c>
    </row>
    <row r="56" spans="1:12" ht="36" x14ac:dyDescent="0.25">
      <c r="A56" s="62" t="s">
        <v>896</v>
      </c>
      <c r="B56" s="8" t="s">
        <v>28</v>
      </c>
      <c r="C56" s="26">
        <v>26.8</v>
      </c>
      <c r="D56" s="26">
        <v>36.200000000000003</v>
      </c>
      <c r="E56" s="26">
        <v>50.9</v>
      </c>
      <c r="F56" s="26">
        <v>79</v>
      </c>
      <c r="G56" s="26">
        <v>120.1</v>
      </c>
      <c r="H56" s="26">
        <v>176.8</v>
      </c>
      <c r="I56" s="26">
        <v>212.9</v>
      </c>
      <c r="J56" s="26">
        <v>263.8</v>
      </c>
      <c r="K56" s="11" t="s">
        <v>897</v>
      </c>
      <c r="L56" s="11" t="s">
        <v>898</v>
      </c>
    </row>
    <row r="57" spans="1:12" ht="24" x14ac:dyDescent="0.25">
      <c r="A57" s="62" t="s">
        <v>899</v>
      </c>
      <c r="B57" s="8" t="s">
        <v>28</v>
      </c>
      <c r="C57" s="26">
        <v>28.2</v>
      </c>
      <c r="D57" s="26">
        <v>38.200000000000003</v>
      </c>
      <c r="E57" s="26">
        <v>75.7</v>
      </c>
      <c r="F57" s="26">
        <v>301.3</v>
      </c>
      <c r="G57" s="26">
        <v>495.7</v>
      </c>
      <c r="H57" s="26">
        <v>628.1</v>
      </c>
      <c r="I57" s="26">
        <v>751.8</v>
      </c>
      <c r="J57" s="26">
        <v>892.2</v>
      </c>
      <c r="K57" s="11" t="s">
        <v>900</v>
      </c>
      <c r="L57" s="11" t="s">
        <v>895</v>
      </c>
    </row>
    <row r="58" spans="1:12" ht="24" x14ac:dyDescent="0.25">
      <c r="A58" s="62" t="s">
        <v>901</v>
      </c>
      <c r="B58" s="8" t="s">
        <v>28</v>
      </c>
      <c r="C58" s="26">
        <v>18.8</v>
      </c>
      <c r="D58" s="26">
        <v>36.299999999999997</v>
      </c>
      <c r="E58" s="26">
        <v>55.8</v>
      </c>
      <c r="F58" s="26">
        <v>101.4</v>
      </c>
      <c r="G58" s="26">
        <v>158</v>
      </c>
      <c r="H58" s="26">
        <v>217.1</v>
      </c>
      <c r="I58" s="26">
        <v>266.5</v>
      </c>
      <c r="J58" s="26">
        <v>305.8</v>
      </c>
      <c r="K58" s="11" t="s">
        <v>902</v>
      </c>
      <c r="L58" s="11" t="s">
        <v>895</v>
      </c>
    </row>
    <row r="59" spans="1:12" ht="24" x14ac:dyDescent="0.25">
      <c r="A59" s="62" t="s">
        <v>903</v>
      </c>
      <c r="B59" s="8" t="s">
        <v>28</v>
      </c>
      <c r="C59" s="26">
        <v>24.2</v>
      </c>
      <c r="D59" s="26">
        <v>33.9</v>
      </c>
      <c r="E59" s="26">
        <v>44</v>
      </c>
      <c r="F59" s="26">
        <v>65.5</v>
      </c>
      <c r="G59" s="26">
        <v>98</v>
      </c>
      <c r="H59" s="26">
        <v>139</v>
      </c>
      <c r="I59" s="26">
        <v>165.7</v>
      </c>
      <c r="J59" s="26">
        <v>190.4</v>
      </c>
      <c r="K59" s="11" t="s">
        <v>904</v>
      </c>
      <c r="L59" s="11" t="s">
        <v>895</v>
      </c>
    </row>
    <row r="60" spans="1:12" ht="24" x14ac:dyDescent="0.25">
      <c r="A60" s="62" t="s">
        <v>905</v>
      </c>
      <c r="B60" s="8" t="s">
        <v>28</v>
      </c>
      <c r="C60" s="26">
        <v>27.8</v>
      </c>
      <c r="D60" s="26">
        <v>60.5</v>
      </c>
      <c r="E60" s="26">
        <v>101.5</v>
      </c>
      <c r="F60" s="26">
        <v>234.6</v>
      </c>
      <c r="G60" s="26">
        <v>430</v>
      </c>
      <c r="H60" s="26">
        <v>586.5</v>
      </c>
      <c r="I60" s="26">
        <v>744.7</v>
      </c>
      <c r="J60" s="26">
        <v>927.2</v>
      </c>
      <c r="K60" s="11" t="s">
        <v>906</v>
      </c>
      <c r="L60" s="11" t="s">
        <v>895</v>
      </c>
    </row>
    <row r="61" spans="1:12" ht="36" x14ac:dyDescent="0.25">
      <c r="A61" s="14" t="s">
        <v>907</v>
      </c>
      <c r="B61" s="8" t="s">
        <v>28</v>
      </c>
      <c r="C61" s="26">
        <v>34.1</v>
      </c>
      <c r="D61" s="26">
        <v>56.9</v>
      </c>
      <c r="E61" s="26">
        <v>118.3</v>
      </c>
      <c r="F61" s="26">
        <v>404.9</v>
      </c>
      <c r="G61" s="26">
        <v>791.1</v>
      </c>
      <c r="H61" s="26">
        <v>966</v>
      </c>
      <c r="I61" s="26">
        <v>1150.3</v>
      </c>
      <c r="J61" s="26">
        <v>1354.9</v>
      </c>
      <c r="K61" s="11" t="s">
        <v>908</v>
      </c>
      <c r="L61" s="11" t="s">
        <v>909</v>
      </c>
    </row>
    <row r="62" spans="1:12" ht="36" x14ac:dyDescent="0.25">
      <c r="A62" s="14" t="s">
        <v>910</v>
      </c>
      <c r="B62" s="8" t="s">
        <v>47</v>
      </c>
      <c r="C62" s="26">
        <v>4.3</v>
      </c>
      <c r="D62" s="26">
        <v>8.1</v>
      </c>
      <c r="E62" s="26">
        <v>11.3</v>
      </c>
      <c r="F62" s="26">
        <v>20.8</v>
      </c>
      <c r="G62" s="26">
        <v>35.6</v>
      </c>
      <c r="H62" s="26">
        <v>45.3</v>
      </c>
      <c r="I62" s="26">
        <v>53.8</v>
      </c>
      <c r="J62" s="26">
        <v>62.6</v>
      </c>
      <c r="K62" s="11" t="s">
        <v>911</v>
      </c>
      <c r="L62" s="11" t="s">
        <v>912</v>
      </c>
    </row>
    <row r="63" spans="1:12" ht="36" x14ac:dyDescent="0.25">
      <c r="A63" s="21" t="s">
        <v>913</v>
      </c>
      <c r="B63" s="22" t="s">
        <v>47</v>
      </c>
      <c r="C63" s="58">
        <v>4.3</v>
      </c>
      <c r="D63" s="58">
        <v>12.3</v>
      </c>
      <c r="E63" s="58">
        <v>23.6</v>
      </c>
      <c r="F63" s="58">
        <v>44.4</v>
      </c>
      <c r="G63" s="58">
        <v>79.900000000000006</v>
      </c>
      <c r="H63" s="58">
        <v>125.3</v>
      </c>
      <c r="I63" s="58">
        <v>179.1</v>
      </c>
      <c r="J63" s="58">
        <v>241.7</v>
      </c>
      <c r="K63" s="25" t="s">
        <v>914</v>
      </c>
      <c r="L63" s="25" t="s">
        <v>915</v>
      </c>
    </row>
    <row r="64" spans="1:12" ht="25.5" x14ac:dyDescent="0.25">
      <c r="A64" s="14" t="s">
        <v>916</v>
      </c>
      <c r="B64" s="8" t="s">
        <v>52</v>
      </c>
      <c r="C64" s="26">
        <v>38.9</v>
      </c>
      <c r="D64" s="26">
        <v>39</v>
      </c>
      <c r="E64" s="26">
        <v>46.8</v>
      </c>
      <c r="F64" s="26">
        <v>56.9</v>
      </c>
      <c r="G64" s="26">
        <v>56.7</v>
      </c>
      <c r="H64" s="26">
        <v>61</v>
      </c>
      <c r="I64" s="26">
        <v>61.8</v>
      </c>
      <c r="J64" s="26">
        <v>62.7</v>
      </c>
      <c r="K64" s="11" t="s">
        <v>917</v>
      </c>
      <c r="L64" s="11" t="s">
        <v>895</v>
      </c>
    </row>
    <row r="66" spans="1:12" x14ac:dyDescent="0.25">
      <c r="A66" s="15" t="s">
        <v>918</v>
      </c>
      <c r="B66" s="16"/>
      <c r="C66" s="16"/>
      <c r="D66" s="16"/>
      <c r="E66" s="16"/>
      <c r="F66" s="16"/>
      <c r="G66" s="16"/>
      <c r="H66" s="16"/>
      <c r="I66" s="16"/>
      <c r="J66" s="16"/>
      <c r="K66" s="16"/>
      <c r="L66" s="16"/>
    </row>
    <row r="67" spans="1:12" ht="24" x14ac:dyDescent="0.25">
      <c r="A67" s="14" t="s">
        <v>919</v>
      </c>
      <c r="B67" s="8" t="s">
        <v>28</v>
      </c>
      <c r="C67" s="26">
        <v>38.5</v>
      </c>
      <c r="D67" s="26">
        <v>102.5</v>
      </c>
      <c r="E67" s="26">
        <v>158.80000000000001</v>
      </c>
      <c r="F67" s="26">
        <v>311.8</v>
      </c>
      <c r="G67" s="26">
        <v>578.6</v>
      </c>
      <c r="H67" s="26">
        <v>784</v>
      </c>
      <c r="I67" s="12"/>
      <c r="J67" s="12"/>
      <c r="K67" s="11" t="s">
        <v>920</v>
      </c>
      <c r="L67" s="11" t="s">
        <v>800</v>
      </c>
    </row>
    <row r="68" spans="1:12" ht="24" x14ac:dyDescent="0.25">
      <c r="A68" s="14" t="s">
        <v>921</v>
      </c>
      <c r="B68" s="8" t="s">
        <v>28</v>
      </c>
      <c r="C68" s="26">
        <v>2.9</v>
      </c>
      <c r="D68" s="26">
        <v>5.5</v>
      </c>
      <c r="E68" s="26">
        <v>20.100000000000001</v>
      </c>
      <c r="F68" s="26">
        <v>60.4</v>
      </c>
      <c r="G68" s="26">
        <v>125.5</v>
      </c>
      <c r="H68" s="26">
        <v>284.60000000000002</v>
      </c>
      <c r="I68" s="12"/>
      <c r="J68" s="12"/>
      <c r="K68" s="11" t="s">
        <v>815</v>
      </c>
      <c r="L68" s="11" t="s">
        <v>800</v>
      </c>
    </row>
    <row r="69" spans="1:12" ht="24" x14ac:dyDescent="0.25">
      <c r="A69" s="14" t="s">
        <v>922</v>
      </c>
      <c r="B69" s="8" t="s">
        <v>28</v>
      </c>
      <c r="C69" s="26">
        <v>3.4</v>
      </c>
      <c r="D69" s="26">
        <v>6.9</v>
      </c>
      <c r="E69" s="26">
        <v>23.4</v>
      </c>
      <c r="F69" s="26">
        <v>67.400000000000006</v>
      </c>
      <c r="G69" s="26">
        <v>150</v>
      </c>
      <c r="H69" s="26">
        <v>321.7</v>
      </c>
      <c r="I69" s="12"/>
      <c r="J69" s="12"/>
      <c r="K69" s="11" t="s">
        <v>923</v>
      </c>
      <c r="L69" s="11" t="s">
        <v>800</v>
      </c>
    </row>
    <row r="70" spans="1:12" x14ac:dyDescent="0.25">
      <c r="A70" s="14" t="s">
        <v>924</v>
      </c>
      <c r="B70" s="8" t="s">
        <v>223</v>
      </c>
      <c r="C70" s="31">
        <f t="shared" ref="C70:J70" si="9">IF(OR(C67="",C7=""),"",IFERROR(C67/C7,""))</f>
        <v>0.90801886792452835</v>
      </c>
      <c r="D70" s="31">
        <f t="shared" si="9"/>
        <v>0.8928571428571429</v>
      </c>
      <c r="E70" s="31">
        <f t="shared" si="9"/>
        <v>0.83491062039957953</v>
      </c>
      <c r="F70" s="31">
        <f t="shared" si="9"/>
        <v>0.77969492373093285</v>
      </c>
      <c r="G70" s="31">
        <f t="shared" si="9"/>
        <v>0.75436766623207308</v>
      </c>
      <c r="H70" s="31">
        <f t="shared" si="9"/>
        <v>0.67738033523414543</v>
      </c>
      <c r="I70" s="31" t="str">
        <f t="shared" si="9"/>
        <v/>
      </c>
      <c r="J70" s="31" t="str">
        <f t="shared" si="9"/>
        <v/>
      </c>
      <c r="K70" s="12"/>
      <c r="L70" s="12"/>
    </row>
    <row r="71" spans="1:12" ht="24" x14ac:dyDescent="0.25">
      <c r="A71" s="14" t="s">
        <v>925</v>
      </c>
      <c r="B71" s="8" t="s">
        <v>926</v>
      </c>
      <c r="C71" s="42">
        <v>5595.3</v>
      </c>
      <c r="D71" s="42">
        <v>9819.4</v>
      </c>
      <c r="E71" s="42">
        <v>10126.299999999999</v>
      </c>
      <c r="F71" s="42">
        <v>15449.2</v>
      </c>
      <c r="G71" s="42">
        <v>22385</v>
      </c>
      <c r="H71" s="42">
        <v>23700</v>
      </c>
      <c r="I71" s="12"/>
      <c r="J71" s="12"/>
      <c r="K71" s="11" t="s">
        <v>927</v>
      </c>
      <c r="L71" s="11" t="s">
        <v>928</v>
      </c>
    </row>
    <row r="72" spans="1:12" ht="36" x14ac:dyDescent="0.25">
      <c r="A72" s="21" t="s">
        <v>929</v>
      </c>
      <c r="B72" s="22" t="s">
        <v>47</v>
      </c>
      <c r="C72" s="58">
        <v>3.3</v>
      </c>
      <c r="D72" s="58">
        <v>7.8</v>
      </c>
      <c r="E72" s="58">
        <v>12.9</v>
      </c>
      <c r="F72" s="58">
        <v>27.1</v>
      </c>
      <c r="G72" s="58">
        <v>50.7</v>
      </c>
      <c r="H72" s="58">
        <v>69.5</v>
      </c>
      <c r="I72" s="41"/>
      <c r="J72" s="41"/>
      <c r="K72" s="25" t="s">
        <v>930</v>
      </c>
      <c r="L72" s="25" t="s">
        <v>931</v>
      </c>
    </row>
    <row r="73" spans="1:12" ht="48" x14ac:dyDescent="0.25">
      <c r="A73" s="21" t="s">
        <v>932</v>
      </c>
      <c r="B73" s="22" t="s">
        <v>47</v>
      </c>
      <c r="C73" s="58">
        <v>3.3</v>
      </c>
      <c r="D73" s="58">
        <v>11.1</v>
      </c>
      <c r="E73" s="58">
        <v>24.1</v>
      </c>
      <c r="F73" s="58">
        <v>51.2</v>
      </c>
      <c r="G73" s="58">
        <v>101.9</v>
      </c>
      <c r="H73" s="58">
        <v>171.4</v>
      </c>
      <c r="I73" s="41"/>
      <c r="J73" s="41"/>
      <c r="K73" s="25" t="s">
        <v>933</v>
      </c>
      <c r="L73" s="25" t="s">
        <v>934</v>
      </c>
    </row>
    <row r="74" spans="1:12" ht="24" x14ac:dyDescent="0.25">
      <c r="A74" s="21" t="s">
        <v>935</v>
      </c>
      <c r="B74" s="22" t="s">
        <v>47</v>
      </c>
      <c r="C74" s="58">
        <v>0.8</v>
      </c>
      <c r="D74" s="58">
        <v>5.2</v>
      </c>
      <c r="E74" s="58">
        <v>14.3</v>
      </c>
      <c r="F74" s="58">
        <v>30.7</v>
      </c>
      <c r="G74" s="58">
        <v>63.7</v>
      </c>
      <c r="H74" s="58">
        <v>119.1</v>
      </c>
      <c r="I74" s="41"/>
      <c r="J74" s="41"/>
      <c r="K74" s="25" t="s">
        <v>936</v>
      </c>
      <c r="L74" s="25" t="s">
        <v>937</v>
      </c>
    </row>
    <row r="75" spans="1:12" ht="24" x14ac:dyDescent="0.25">
      <c r="A75" s="14" t="s">
        <v>938</v>
      </c>
      <c r="B75" s="8" t="s">
        <v>47</v>
      </c>
      <c r="C75" s="26">
        <v>0.8</v>
      </c>
      <c r="D75" s="26">
        <v>3</v>
      </c>
      <c r="E75" s="26">
        <v>9.8000000000000007</v>
      </c>
      <c r="F75" s="26">
        <v>22.5</v>
      </c>
      <c r="G75" s="26">
        <v>47.2</v>
      </c>
      <c r="H75" s="26">
        <v>91.4</v>
      </c>
      <c r="I75" s="12"/>
      <c r="J75" s="12"/>
      <c r="K75" s="11" t="s">
        <v>939</v>
      </c>
      <c r="L75" s="11" t="s">
        <v>800</v>
      </c>
    </row>
    <row r="76" spans="1:12" ht="48" x14ac:dyDescent="0.25">
      <c r="A76" s="14" t="s">
        <v>940</v>
      </c>
      <c r="B76" s="8" t="s">
        <v>28</v>
      </c>
      <c r="C76" s="26">
        <v>2.8</v>
      </c>
      <c r="D76" s="26">
        <v>38.700000000000003</v>
      </c>
      <c r="E76" s="26">
        <v>125</v>
      </c>
      <c r="F76" s="26">
        <v>305.7</v>
      </c>
      <c r="G76" s="26">
        <v>684.7</v>
      </c>
      <c r="H76" s="26">
        <v>1183</v>
      </c>
      <c r="I76" s="12"/>
      <c r="J76" s="12"/>
      <c r="K76" s="11" t="s">
        <v>941</v>
      </c>
      <c r="L76" s="11" t="s">
        <v>942</v>
      </c>
    </row>
    <row r="77" spans="1:12" ht="24" x14ac:dyDescent="0.25">
      <c r="A77" s="14" t="s">
        <v>943</v>
      </c>
      <c r="B77" s="8" t="s">
        <v>944</v>
      </c>
      <c r="C77" s="12"/>
      <c r="D77" s="26">
        <v>4.5999999999999996</v>
      </c>
      <c r="E77" s="26">
        <v>2.7</v>
      </c>
      <c r="F77" s="26">
        <v>2.2000000000000002</v>
      </c>
      <c r="G77" s="26">
        <v>1.6</v>
      </c>
      <c r="H77" s="26">
        <v>1.2</v>
      </c>
      <c r="I77" s="12"/>
      <c r="J77" s="12"/>
      <c r="K77" s="11" t="s">
        <v>945</v>
      </c>
      <c r="L77" s="11" t="s">
        <v>800</v>
      </c>
    </row>
    <row r="78" spans="1:12" ht="36" x14ac:dyDescent="0.25">
      <c r="A78" s="14" t="s">
        <v>946</v>
      </c>
      <c r="B78" s="8" t="s">
        <v>52</v>
      </c>
      <c r="C78" s="12"/>
      <c r="D78" s="12"/>
      <c r="E78" s="12"/>
      <c r="F78" s="12"/>
      <c r="G78" s="12"/>
      <c r="H78" s="26">
        <v>50.8</v>
      </c>
      <c r="I78" s="12"/>
      <c r="J78" s="12"/>
      <c r="K78" s="11" t="s">
        <v>947</v>
      </c>
      <c r="L78" s="11" t="s">
        <v>948</v>
      </c>
    </row>
    <row r="79" spans="1:12" ht="24" x14ac:dyDescent="0.25">
      <c r="A79" s="21" t="s">
        <v>949</v>
      </c>
      <c r="B79" s="22" t="s">
        <v>52</v>
      </c>
      <c r="C79" s="41"/>
      <c r="D79" s="41"/>
      <c r="E79" s="58">
        <v>30.5</v>
      </c>
      <c r="F79" s="58">
        <v>34</v>
      </c>
      <c r="G79" s="58">
        <v>38</v>
      </c>
      <c r="H79" s="58">
        <v>41.9</v>
      </c>
      <c r="I79" s="41"/>
      <c r="J79" s="41"/>
      <c r="K79" s="25" t="s">
        <v>950</v>
      </c>
      <c r="L79" s="25" t="s">
        <v>951</v>
      </c>
    </row>
    <row r="80" spans="1:12" ht="36" x14ac:dyDescent="0.25">
      <c r="A80" s="14" t="s">
        <v>952</v>
      </c>
      <c r="B80" s="8" t="s">
        <v>953</v>
      </c>
      <c r="C80" s="12"/>
      <c r="D80" s="12"/>
      <c r="E80" s="12"/>
      <c r="F80" s="12"/>
      <c r="G80" s="12"/>
      <c r="H80" s="26">
        <v>20</v>
      </c>
      <c r="I80" s="12"/>
      <c r="J80" s="12"/>
      <c r="K80" s="11" t="s">
        <v>954</v>
      </c>
      <c r="L80" s="11" t="s">
        <v>955</v>
      </c>
    </row>
    <row r="81" spans="1:12" ht="25.5" x14ac:dyDescent="0.25">
      <c r="A81" s="14" t="s">
        <v>956</v>
      </c>
      <c r="B81" s="8" t="s">
        <v>953</v>
      </c>
      <c r="C81" s="35">
        <f t="shared" ref="C81:H81" si="10">IFERROR(C76/C75,"")</f>
        <v>3.4999999999999996</v>
      </c>
      <c r="D81" s="35">
        <f t="shared" si="10"/>
        <v>12.9</v>
      </c>
      <c r="E81" s="35">
        <f t="shared" si="10"/>
        <v>12.755102040816325</v>
      </c>
      <c r="F81" s="35">
        <f t="shared" si="10"/>
        <v>13.586666666666666</v>
      </c>
      <c r="G81" s="35">
        <f t="shared" si="10"/>
        <v>14.506355932203389</v>
      </c>
      <c r="H81" s="35">
        <f t="shared" si="10"/>
        <v>12.943107221006564</v>
      </c>
      <c r="I81" s="12"/>
      <c r="J81" s="12"/>
      <c r="K81" s="11" t="s">
        <v>873</v>
      </c>
      <c r="L81" s="11" t="s">
        <v>957</v>
      </c>
    </row>
    <row r="83" spans="1:12" x14ac:dyDescent="0.25">
      <c r="A83" s="15" t="s">
        <v>958</v>
      </c>
      <c r="B83" s="16"/>
      <c r="C83" s="16"/>
      <c r="D83" s="16"/>
      <c r="E83" s="16"/>
      <c r="F83" s="16"/>
      <c r="G83" s="16"/>
      <c r="H83" s="16"/>
      <c r="I83" s="16"/>
      <c r="J83" s="16"/>
      <c r="K83" s="16"/>
      <c r="L83" s="16"/>
    </row>
    <row r="84" spans="1:12" ht="24" x14ac:dyDescent="0.25">
      <c r="A84" s="14" t="s">
        <v>959</v>
      </c>
      <c r="B84" s="8" t="s">
        <v>960</v>
      </c>
      <c r="C84" s="42">
        <v>286.5</v>
      </c>
      <c r="D84" s="42">
        <v>784.4</v>
      </c>
      <c r="E84" s="42">
        <v>1627.5</v>
      </c>
      <c r="F84" s="42">
        <v>3547.4</v>
      </c>
      <c r="G84" s="42">
        <v>5947.6</v>
      </c>
      <c r="H84" s="42">
        <v>10756.4</v>
      </c>
      <c r="I84" s="12"/>
      <c r="J84" s="12"/>
      <c r="K84" s="11" t="s">
        <v>961</v>
      </c>
      <c r="L84" s="11" t="s">
        <v>800</v>
      </c>
    </row>
    <row r="85" spans="1:12" ht="36" x14ac:dyDescent="0.25">
      <c r="A85" s="21" t="s">
        <v>962</v>
      </c>
      <c r="B85" s="22" t="s">
        <v>28</v>
      </c>
      <c r="C85" s="58">
        <v>3.3</v>
      </c>
      <c r="D85" s="58">
        <v>11.4</v>
      </c>
      <c r="E85" s="58">
        <v>27</v>
      </c>
      <c r="F85" s="58">
        <v>63.7</v>
      </c>
      <c r="G85" s="58">
        <v>127.8</v>
      </c>
      <c r="H85" s="58">
        <v>281.5</v>
      </c>
      <c r="I85" s="41"/>
      <c r="J85" s="41"/>
      <c r="K85" s="25" t="s">
        <v>963</v>
      </c>
      <c r="L85" s="25" t="s">
        <v>964</v>
      </c>
    </row>
    <row r="86" spans="1:12" ht="24" x14ac:dyDescent="0.25">
      <c r="A86" s="14" t="s">
        <v>965</v>
      </c>
      <c r="B86" s="8" t="s">
        <v>966</v>
      </c>
      <c r="C86" s="35">
        <f t="shared" ref="C86:H86" si="11">IFERROR(C85*1000/C84,"")</f>
        <v>11.518324607329843</v>
      </c>
      <c r="D86" s="35">
        <f t="shared" si="11"/>
        <v>14.533401325854156</v>
      </c>
      <c r="E86" s="35">
        <f t="shared" si="11"/>
        <v>16.589861751152075</v>
      </c>
      <c r="F86" s="35">
        <f t="shared" si="11"/>
        <v>17.956813440829904</v>
      </c>
      <c r="G86" s="35">
        <f t="shared" si="11"/>
        <v>21.487658887618533</v>
      </c>
      <c r="H86" s="35">
        <f t="shared" si="11"/>
        <v>26.170465955152281</v>
      </c>
      <c r="I86" s="12"/>
      <c r="J86" s="12"/>
      <c r="K86" s="11" t="s">
        <v>967</v>
      </c>
      <c r="L86" s="11" t="s">
        <v>968</v>
      </c>
    </row>
    <row r="87" spans="1:12" x14ac:dyDescent="0.25">
      <c r="A87" s="14" t="s">
        <v>969</v>
      </c>
      <c r="B87" s="8" t="s">
        <v>223</v>
      </c>
      <c r="C87" s="31">
        <f t="shared" ref="C87:J87" si="12">IF(OR(C85="",C7=""),"",IFERROR(C85/C7,""))</f>
        <v>7.783018867924528E-2</v>
      </c>
      <c r="D87" s="31">
        <f t="shared" si="12"/>
        <v>9.9303135888501745E-2</v>
      </c>
      <c r="E87" s="31">
        <f t="shared" si="12"/>
        <v>0.14195583596214512</v>
      </c>
      <c r="F87" s="31">
        <f t="shared" si="12"/>
        <v>0.15928982245561393</v>
      </c>
      <c r="G87" s="31">
        <f t="shared" si="12"/>
        <v>0.16662320730117339</v>
      </c>
      <c r="H87" s="31">
        <f t="shared" si="12"/>
        <v>0.24321755659236216</v>
      </c>
      <c r="I87" s="31" t="str">
        <f t="shared" si="12"/>
        <v/>
      </c>
      <c r="J87" s="31" t="str">
        <f t="shared" si="12"/>
        <v/>
      </c>
      <c r="K87" s="12"/>
      <c r="L87" s="12"/>
    </row>
    <row r="89" spans="1:12" x14ac:dyDescent="0.25">
      <c r="A89" s="15" t="s">
        <v>970</v>
      </c>
      <c r="B89" s="16"/>
      <c r="C89" s="16"/>
      <c r="D89" s="16"/>
      <c r="E89" s="16"/>
      <c r="F89" s="16"/>
      <c r="G89" s="16"/>
      <c r="H89" s="16"/>
      <c r="I89" s="16"/>
      <c r="J89" s="16"/>
      <c r="K89" s="16"/>
      <c r="L89" s="16"/>
    </row>
    <row r="90" spans="1:12" ht="48" x14ac:dyDescent="0.25">
      <c r="A90" s="21" t="s">
        <v>971</v>
      </c>
      <c r="B90" s="22" t="s">
        <v>28</v>
      </c>
      <c r="C90" s="41"/>
      <c r="D90" s="41"/>
      <c r="E90" s="58">
        <v>514.79999999999995</v>
      </c>
      <c r="F90" s="58">
        <v>687.6</v>
      </c>
      <c r="G90" s="58">
        <v>923.3</v>
      </c>
      <c r="H90" s="58">
        <v>1201.9000000000001</v>
      </c>
      <c r="I90" s="41"/>
      <c r="J90" s="41"/>
      <c r="K90" s="25" t="s">
        <v>972</v>
      </c>
      <c r="L90" s="25" t="s">
        <v>973</v>
      </c>
    </row>
    <row r="91" spans="1:12" ht="24" x14ac:dyDescent="0.25">
      <c r="A91" s="21" t="s">
        <v>974</v>
      </c>
      <c r="B91" s="22" t="s">
        <v>28</v>
      </c>
      <c r="C91" s="41"/>
      <c r="D91" s="41"/>
      <c r="E91" s="58">
        <v>409.7</v>
      </c>
      <c r="F91" s="58">
        <v>749.9</v>
      </c>
      <c r="G91" s="58">
        <v>1163</v>
      </c>
      <c r="H91" s="58">
        <v>1463.3</v>
      </c>
      <c r="I91" s="41"/>
      <c r="J91" s="41"/>
      <c r="K91" s="25" t="s">
        <v>975</v>
      </c>
      <c r="L91" s="25" t="s">
        <v>976</v>
      </c>
    </row>
    <row r="92" spans="1:12" ht="48" x14ac:dyDescent="0.25">
      <c r="A92" s="21" t="s">
        <v>977</v>
      </c>
      <c r="B92" s="22" t="s">
        <v>28</v>
      </c>
      <c r="C92" s="41"/>
      <c r="D92" s="41"/>
      <c r="E92" s="28">
        <f>E90-E91</f>
        <v>105.09999999999997</v>
      </c>
      <c r="F92" s="28">
        <f>F90-F91</f>
        <v>-62.299999999999955</v>
      </c>
      <c r="G92" s="28">
        <f>G90-G91</f>
        <v>-239.70000000000005</v>
      </c>
      <c r="H92" s="28">
        <f>H90-H91</f>
        <v>-261.39999999999986</v>
      </c>
      <c r="I92" s="41"/>
      <c r="J92" s="41"/>
      <c r="K92" s="25" t="s">
        <v>978</v>
      </c>
      <c r="L92" s="25" t="s">
        <v>979</v>
      </c>
    </row>
    <row r="93" spans="1:12" x14ac:dyDescent="0.25">
      <c r="A93" s="14" t="s">
        <v>980</v>
      </c>
      <c r="B93" s="8" t="s">
        <v>262</v>
      </c>
      <c r="C93" s="31" t="str">
        <f t="shared" ref="C93:J93" si="13">IF(OR(C91="",C90=""),"",IFERROR(C91/C90,""))</f>
        <v/>
      </c>
      <c r="D93" s="31" t="str">
        <f t="shared" si="13"/>
        <v/>
      </c>
      <c r="E93" s="31">
        <f t="shared" si="13"/>
        <v>0.79584304584304588</v>
      </c>
      <c r="F93" s="31">
        <f t="shared" si="13"/>
        <v>1.0906050029086678</v>
      </c>
      <c r="G93" s="31">
        <f t="shared" si="13"/>
        <v>1.2596122603704105</v>
      </c>
      <c r="H93" s="31">
        <f t="shared" si="13"/>
        <v>1.2174889757883349</v>
      </c>
      <c r="I93" s="31" t="str">
        <f t="shared" si="13"/>
        <v/>
      </c>
      <c r="J93" s="31" t="str">
        <f t="shared" si="13"/>
        <v/>
      </c>
      <c r="K93" s="12"/>
      <c r="L93" s="12"/>
    </row>
    <row r="94" spans="1:12" ht="25.5" x14ac:dyDescent="0.25">
      <c r="A94" s="14" t="s">
        <v>981</v>
      </c>
      <c r="B94" s="8" t="s">
        <v>28</v>
      </c>
      <c r="C94" s="12"/>
      <c r="D94" s="12"/>
      <c r="E94" s="26">
        <v>-13.4</v>
      </c>
      <c r="F94" s="26">
        <v>151.6</v>
      </c>
      <c r="G94" s="26">
        <v>722.4</v>
      </c>
      <c r="H94" s="26">
        <v>1449.8</v>
      </c>
      <c r="I94" s="12"/>
      <c r="J94" s="12"/>
      <c r="K94" s="11" t="s">
        <v>982</v>
      </c>
      <c r="L94" s="11" t="s">
        <v>800</v>
      </c>
    </row>
    <row r="95" spans="1:12" x14ac:dyDescent="0.25">
      <c r="A95" s="14" t="s">
        <v>983</v>
      </c>
      <c r="B95" s="8" t="s">
        <v>28</v>
      </c>
      <c r="C95" s="12"/>
      <c r="D95" s="12"/>
      <c r="E95" s="12"/>
      <c r="F95" s="12"/>
      <c r="G95" s="12"/>
      <c r="H95" s="35">
        <f>SUM(F92:H92)</f>
        <v>-563.39999999999986</v>
      </c>
      <c r="I95" s="12"/>
      <c r="J95" s="12"/>
      <c r="K95" s="12"/>
      <c r="L95" s="12"/>
    </row>
    <row r="96" spans="1:12" ht="25.5" x14ac:dyDescent="0.25">
      <c r="A96" s="14" t="s">
        <v>984</v>
      </c>
      <c r="B96" s="8" t="s">
        <v>28</v>
      </c>
      <c r="C96" s="12"/>
      <c r="D96" s="12"/>
      <c r="E96" s="26">
        <v>577</v>
      </c>
      <c r="F96" s="26">
        <v>707.5</v>
      </c>
      <c r="G96" s="26">
        <v>911.9</v>
      </c>
      <c r="H96" s="12"/>
      <c r="I96" s="12"/>
      <c r="J96" s="12"/>
      <c r="K96" s="11" t="s">
        <v>985</v>
      </c>
      <c r="L96" s="11" t="s">
        <v>986</v>
      </c>
    </row>
    <row r="97" spans="1:12" ht="36" x14ac:dyDescent="0.25">
      <c r="A97" s="14" t="s">
        <v>987</v>
      </c>
      <c r="B97" s="8" t="s">
        <v>28</v>
      </c>
      <c r="C97" s="12"/>
      <c r="D97" s="12"/>
      <c r="E97" s="26">
        <v>402.4</v>
      </c>
      <c r="F97" s="26">
        <v>772.8</v>
      </c>
      <c r="G97" s="26">
        <v>1180.2</v>
      </c>
      <c r="H97" s="12"/>
      <c r="I97" s="12"/>
      <c r="J97" s="12"/>
      <c r="K97" s="11" t="s">
        <v>988</v>
      </c>
      <c r="L97" s="11" t="s">
        <v>989</v>
      </c>
    </row>
    <row r="98" spans="1:12" x14ac:dyDescent="0.25">
      <c r="A98" s="14" t="s">
        <v>990</v>
      </c>
      <c r="B98" s="8" t="s">
        <v>28</v>
      </c>
      <c r="C98" s="12"/>
      <c r="D98" s="12"/>
      <c r="E98" s="35">
        <f>E96-E97</f>
        <v>174.60000000000002</v>
      </c>
      <c r="F98" s="35">
        <f>F96-F97</f>
        <v>-65.299999999999955</v>
      </c>
      <c r="G98" s="35">
        <f>G96-G97</f>
        <v>-268.30000000000007</v>
      </c>
      <c r="H98" s="12"/>
      <c r="I98" s="12"/>
      <c r="J98" s="12"/>
      <c r="K98" s="11" t="s">
        <v>967</v>
      </c>
      <c r="L98" s="11"/>
    </row>
    <row r="99" spans="1:12" ht="25.5" x14ac:dyDescent="0.25">
      <c r="A99" s="14" t="s">
        <v>991</v>
      </c>
      <c r="B99" s="8" t="s">
        <v>28</v>
      </c>
      <c r="C99" s="12"/>
      <c r="D99" s="12"/>
      <c r="E99" s="12"/>
      <c r="F99" s="26">
        <v>-3.5</v>
      </c>
      <c r="G99" s="26">
        <v>-18.8</v>
      </c>
      <c r="H99" s="26">
        <v>131.6</v>
      </c>
      <c r="I99" s="12"/>
      <c r="J99" s="12"/>
      <c r="K99" s="11" t="s">
        <v>992</v>
      </c>
      <c r="L99" s="11" t="s">
        <v>993</v>
      </c>
    </row>
    <row r="101" spans="1:12" x14ac:dyDescent="0.25">
      <c r="A101" s="15" t="s">
        <v>994</v>
      </c>
      <c r="B101" s="16"/>
      <c r="C101" s="16"/>
      <c r="D101" s="16"/>
      <c r="E101" s="16"/>
      <c r="F101" s="16"/>
      <c r="G101" s="16"/>
      <c r="H101" s="16"/>
      <c r="I101" s="16"/>
      <c r="J101" s="16"/>
      <c r="K101" s="16"/>
      <c r="L101" s="16"/>
    </row>
    <row r="102" spans="1:12" ht="36" x14ac:dyDescent="0.25">
      <c r="A102" s="21" t="s">
        <v>995</v>
      </c>
      <c r="B102" s="22" t="s">
        <v>28</v>
      </c>
      <c r="C102" s="41"/>
      <c r="D102" s="58">
        <v>215.5</v>
      </c>
      <c r="E102" s="58">
        <v>283.10000000000002</v>
      </c>
      <c r="F102" s="58">
        <v>432.2</v>
      </c>
      <c r="G102" s="58">
        <v>684.7</v>
      </c>
      <c r="H102" s="58">
        <v>1055.3</v>
      </c>
      <c r="I102" s="58">
        <v>1435</v>
      </c>
      <c r="J102" s="58">
        <v>2121.9</v>
      </c>
      <c r="K102" s="25" t="s">
        <v>996</v>
      </c>
      <c r="L102" s="25" t="s">
        <v>997</v>
      </c>
    </row>
    <row r="103" spans="1:12" ht="24" x14ac:dyDescent="0.25">
      <c r="A103" s="62" t="s">
        <v>998</v>
      </c>
      <c r="B103" s="8" t="s">
        <v>28</v>
      </c>
      <c r="C103" s="12"/>
      <c r="D103" s="26">
        <v>195.3</v>
      </c>
      <c r="E103" s="26">
        <v>233.2</v>
      </c>
      <c r="F103" s="26">
        <v>285.3</v>
      </c>
      <c r="G103" s="26">
        <v>352.3</v>
      </c>
      <c r="H103" s="26">
        <v>428.1</v>
      </c>
      <c r="I103" s="26">
        <v>521</v>
      </c>
      <c r="J103" s="26">
        <v>629.9</v>
      </c>
      <c r="K103" s="11" t="s">
        <v>999</v>
      </c>
      <c r="L103" s="11" t="s">
        <v>800</v>
      </c>
    </row>
    <row r="104" spans="1:12" ht="24" x14ac:dyDescent="0.25">
      <c r="A104" s="64" t="s">
        <v>1000</v>
      </c>
      <c r="B104" s="22" t="s">
        <v>28</v>
      </c>
      <c r="C104" s="41"/>
      <c r="D104" s="58">
        <v>20.2</v>
      </c>
      <c r="E104" s="58">
        <v>49.9</v>
      </c>
      <c r="F104" s="58">
        <v>146.9</v>
      </c>
      <c r="G104" s="58">
        <v>332.4</v>
      </c>
      <c r="H104" s="58">
        <v>627.1</v>
      </c>
      <c r="I104" s="58">
        <v>914</v>
      </c>
      <c r="J104" s="58">
        <v>1492</v>
      </c>
      <c r="K104" s="25" t="s">
        <v>1001</v>
      </c>
      <c r="L104" s="25" t="s">
        <v>800</v>
      </c>
    </row>
    <row r="105" spans="1:12" ht="24" x14ac:dyDescent="0.25">
      <c r="A105" s="62" t="s">
        <v>1002</v>
      </c>
      <c r="B105" s="8" t="s">
        <v>28</v>
      </c>
      <c r="C105" s="12"/>
      <c r="D105" s="26">
        <v>5.7</v>
      </c>
      <c r="E105" s="26">
        <v>28.9</v>
      </c>
      <c r="F105" s="26">
        <v>111.1</v>
      </c>
      <c r="G105" s="26">
        <v>224.1</v>
      </c>
      <c r="H105" s="26">
        <v>396.8</v>
      </c>
      <c r="I105" s="26">
        <v>541.9</v>
      </c>
      <c r="J105" s="26">
        <v>876.8</v>
      </c>
      <c r="K105" s="11" t="s">
        <v>1003</v>
      </c>
      <c r="L105" s="11" t="s">
        <v>800</v>
      </c>
    </row>
    <row r="106" spans="1:12" ht="24" x14ac:dyDescent="0.25">
      <c r="A106" s="62" t="s">
        <v>1004</v>
      </c>
      <c r="B106" s="8" t="s">
        <v>28</v>
      </c>
      <c r="C106" s="12"/>
      <c r="D106" s="26">
        <v>14.5</v>
      </c>
      <c r="E106" s="26">
        <v>21</v>
      </c>
      <c r="F106" s="26">
        <v>35.799999999999997</v>
      </c>
      <c r="G106" s="26">
        <v>108.2</v>
      </c>
      <c r="H106" s="26">
        <v>230.4</v>
      </c>
      <c r="I106" s="26">
        <v>372.1</v>
      </c>
      <c r="J106" s="26">
        <v>615.20000000000005</v>
      </c>
      <c r="K106" s="11" t="s">
        <v>1005</v>
      </c>
      <c r="L106" s="11" t="s">
        <v>800</v>
      </c>
    </row>
    <row r="107" spans="1:12" x14ac:dyDescent="0.25">
      <c r="A107" s="14" t="s">
        <v>1006</v>
      </c>
      <c r="B107" s="8" t="s">
        <v>537</v>
      </c>
      <c r="C107" s="12"/>
      <c r="D107" s="31" t="str">
        <f t="shared" ref="D107:J107" si="14">IF(OR(D102="",C102=""),"",IFERROR(D102/C102-1,""))</f>
        <v/>
      </c>
      <c r="E107" s="31">
        <f t="shared" si="14"/>
        <v>0.31368909512761034</v>
      </c>
      <c r="F107" s="31">
        <f t="shared" si="14"/>
        <v>0.52666902154715634</v>
      </c>
      <c r="G107" s="31">
        <f t="shared" si="14"/>
        <v>0.58422026839426211</v>
      </c>
      <c r="H107" s="31">
        <f t="shared" si="14"/>
        <v>0.54125894552358678</v>
      </c>
      <c r="I107" s="31">
        <f t="shared" si="14"/>
        <v>0.35980289964938894</v>
      </c>
      <c r="J107" s="31">
        <f t="shared" si="14"/>
        <v>0.47867595818815345</v>
      </c>
      <c r="K107" s="12"/>
      <c r="L107" s="12"/>
    </row>
    <row r="108" spans="1:12" x14ac:dyDescent="0.25">
      <c r="A108" s="14" t="s">
        <v>1007</v>
      </c>
      <c r="B108" s="8" t="s">
        <v>537</v>
      </c>
      <c r="C108" s="12"/>
      <c r="D108" s="31" t="str">
        <f t="shared" ref="D108:J108" si="15">IF(OR(D104="",C104=""),"",IFERROR(D104/C104-1,""))</f>
        <v/>
      </c>
      <c r="E108" s="31">
        <f t="shared" si="15"/>
        <v>1.4702970297029703</v>
      </c>
      <c r="F108" s="31">
        <f t="shared" si="15"/>
        <v>1.9438877755511026</v>
      </c>
      <c r="G108" s="31">
        <f t="shared" si="15"/>
        <v>1.2627637848876785</v>
      </c>
      <c r="H108" s="31">
        <f t="shared" si="15"/>
        <v>0.88658243080625776</v>
      </c>
      <c r="I108" s="31">
        <f t="shared" si="15"/>
        <v>0.45750279062350496</v>
      </c>
      <c r="J108" s="31">
        <f t="shared" si="15"/>
        <v>0.63238512035010941</v>
      </c>
      <c r="K108" s="12"/>
      <c r="L108" s="12"/>
    </row>
    <row r="109" spans="1:12" x14ac:dyDescent="0.25">
      <c r="A109" s="14" t="s">
        <v>188</v>
      </c>
      <c r="B109" s="8" t="s">
        <v>223</v>
      </c>
      <c r="C109" s="31" t="str">
        <f t="shared" ref="C109:J109" si="16">IF(OR(C104="",C102=""),"",IFERROR(C104/C102,""))</f>
        <v/>
      </c>
      <c r="D109" s="31">
        <f t="shared" si="16"/>
        <v>9.3735498839907186E-2</v>
      </c>
      <c r="E109" s="31">
        <f t="shared" si="16"/>
        <v>0.17626280466266336</v>
      </c>
      <c r="F109" s="31">
        <f t="shared" si="16"/>
        <v>0.33988894030541417</v>
      </c>
      <c r="G109" s="31">
        <f t="shared" si="16"/>
        <v>0.48546808821381621</v>
      </c>
      <c r="H109" s="31">
        <f t="shared" si="16"/>
        <v>0.59423860513598037</v>
      </c>
      <c r="I109" s="31">
        <f t="shared" si="16"/>
        <v>0.63693379790940763</v>
      </c>
      <c r="J109" s="31">
        <f t="shared" si="16"/>
        <v>0.70314340920872798</v>
      </c>
      <c r="K109" s="12"/>
      <c r="L109" s="12"/>
    </row>
    <row r="110" spans="1:12" ht="24" x14ac:dyDescent="0.25">
      <c r="A110" s="14" t="s">
        <v>1008</v>
      </c>
      <c r="B110" s="8" t="s">
        <v>28</v>
      </c>
      <c r="C110" s="12"/>
      <c r="D110" s="26">
        <v>215.5</v>
      </c>
      <c r="E110" s="26">
        <v>283.10000000000002</v>
      </c>
      <c r="F110" s="26">
        <v>434.7</v>
      </c>
      <c r="G110" s="26">
        <v>683.6</v>
      </c>
      <c r="H110" s="26">
        <v>983.5</v>
      </c>
      <c r="I110" s="26">
        <v>1271.9000000000001</v>
      </c>
      <c r="J110" s="26">
        <v>1532.1</v>
      </c>
      <c r="K110" s="11" t="s">
        <v>1009</v>
      </c>
      <c r="L110" s="11" t="s">
        <v>800</v>
      </c>
    </row>
    <row r="112" spans="1:12" x14ac:dyDescent="0.25">
      <c r="A112" s="15" t="s">
        <v>1010</v>
      </c>
      <c r="B112" s="16"/>
      <c r="C112" s="16"/>
      <c r="D112" s="16"/>
      <c r="E112" s="16"/>
      <c r="F112" s="16"/>
      <c r="G112" s="16"/>
      <c r="H112" s="16"/>
      <c r="I112" s="16"/>
      <c r="J112" s="16"/>
      <c r="K112" s="16"/>
      <c r="L112" s="16"/>
    </row>
    <row r="113" spans="1:12" ht="36" x14ac:dyDescent="0.25">
      <c r="A113" s="14" t="s">
        <v>1011</v>
      </c>
      <c r="B113" s="8" t="s">
        <v>28</v>
      </c>
      <c r="C113" s="12"/>
      <c r="D113" s="12"/>
      <c r="E113" s="42">
        <v>410</v>
      </c>
      <c r="F113" s="42">
        <v>712</v>
      </c>
      <c r="G113" s="42">
        <v>1100</v>
      </c>
      <c r="H113" s="12"/>
      <c r="I113" s="12"/>
      <c r="J113" s="12"/>
      <c r="K113" s="11" t="s">
        <v>1012</v>
      </c>
      <c r="L113" s="11" t="s">
        <v>1013</v>
      </c>
    </row>
    <row r="114" spans="1:12" ht="36" x14ac:dyDescent="0.25">
      <c r="A114" s="14" t="s">
        <v>1014</v>
      </c>
      <c r="B114" s="8" t="s">
        <v>28</v>
      </c>
      <c r="C114" s="12"/>
      <c r="D114" s="12"/>
      <c r="E114" s="42">
        <v>264</v>
      </c>
      <c r="F114" s="42">
        <v>548</v>
      </c>
      <c r="G114" s="42">
        <v>866</v>
      </c>
      <c r="H114" s="42">
        <v>1192</v>
      </c>
      <c r="I114" s="42">
        <v>1482</v>
      </c>
      <c r="J114" s="42">
        <v>1706</v>
      </c>
      <c r="K114" s="11" t="s">
        <v>1015</v>
      </c>
      <c r="L114" s="11" t="s">
        <v>1016</v>
      </c>
    </row>
    <row r="115" spans="1:12" ht="25.5" x14ac:dyDescent="0.25">
      <c r="A115" s="14" t="s">
        <v>1017</v>
      </c>
      <c r="B115" s="8" t="s">
        <v>28</v>
      </c>
      <c r="C115" s="12"/>
      <c r="D115" s="12"/>
      <c r="E115" s="42">
        <v>35</v>
      </c>
      <c r="F115" s="42">
        <v>77</v>
      </c>
      <c r="G115" s="42">
        <v>106</v>
      </c>
      <c r="H115" s="42">
        <v>100</v>
      </c>
      <c r="I115" s="42">
        <v>140</v>
      </c>
      <c r="J115" s="42">
        <v>168</v>
      </c>
      <c r="K115" s="11" t="s">
        <v>1018</v>
      </c>
      <c r="L115" s="11" t="s">
        <v>1019</v>
      </c>
    </row>
    <row r="116" spans="1:12" ht="36" x14ac:dyDescent="0.25">
      <c r="A116" s="14" t="s">
        <v>1020</v>
      </c>
      <c r="B116" s="8" t="s">
        <v>28</v>
      </c>
      <c r="C116" s="12"/>
      <c r="D116" s="12"/>
      <c r="E116" s="12"/>
      <c r="F116" s="42">
        <v>55</v>
      </c>
      <c r="G116" s="42">
        <v>96</v>
      </c>
      <c r="H116" s="42">
        <v>137</v>
      </c>
      <c r="I116" s="12"/>
      <c r="J116" s="42">
        <v>190</v>
      </c>
      <c r="K116" s="11" t="s">
        <v>1021</v>
      </c>
      <c r="L116" s="11" t="s">
        <v>1022</v>
      </c>
    </row>
    <row r="117" spans="1:12" ht="25.5" x14ac:dyDescent="0.25">
      <c r="A117" s="14" t="s">
        <v>1023</v>
      </c>
      <c r="B117" s="8" t="s">
        <v>47</v>
      </c>
      <c r="C117" s="12"/>
      <c r="D117" s="12"/>
      <c r="E117" s="12"/>
      <c r="F117" s="12"/>
      <c r="G117" s="12"/>
      <c r="H117" s="12"/>
      <c r="I117" s="12"/>
      <c r="J117" s="26">
        <v>300</v>
      </c>
      <c r="K117" s="11" t="s">
        <v>1024</v>
      </c>
      <c r="L117" s="11" t="s">
        <v>1025</v>
      </c>
    </row>
    <row r="118" spans="1:12" ht="38.25" x14ac:dyDescent="0.25">
      <c r="A118" s="14" t="s">
        <v>1026</v>
      </c>
      <c r="B118" s="8" t="s">
        <v>1027</v>
      </c>
      <c r="C118" s="12"/>
      <c r="D118" s="12"/>
      <c r="E118" s="12"/>
      <c r="F118" s="12"/>
      <c r="G118" s="12"/>
      <c r="H118" s="12"/>
      <c r="I118" s="12"/>
      <c r="J118" s="26">
        <v>224</v>
      </c>
      <c r="K118" s="11" t="s">
        <v>1028</v>
      </c>
      <c r="L118" s="11" t="s">
        <v>1029</v>
      </c>
    </row>
    <row r="119" spans="1:12" ht="25.5" x14ac:dyDescent="0.25">
      <c r="A119" s="14" t="s">
        <v>1030</v>
      </c>
      <c r="B119" s="8" t="s">
        <v>953</v>
      </c>
      <c r="C119" s="12"/>
      <c r="D119" s="12"/>
      <c r="E119" s="12"/>
      <c r="F119" s="26">
        <v>12.5</v>
      </c>
      <c r="G119" s="12"/>
      <c r="H119" s="12"/>
      <c r="I119" s="12"/>
      <c r="J119" s="12"/>
      <c r="K119" s="11" t="s">
        <v>1031</v>
      </c>
      <c r="L119" s="11" t="s">
        <v>1032</v>
      </c>
    </row>
  </sheetData>
  <mergeCells count="1">
    <mergeCell ref="A2:L2"/>
  </mergeCells>
  <pageMargins left="0.4" right="0.4" top="0.5" bottom="0.5" header="0.5" footer="0.5"/>
  <pageSetup paperSize="9" scale="56" fitToHeight="0" orientation="landscape" r:id="rId1"/>
  <headerFooter>
    <oddFooter>&amp;C&amp;8NSR (18-Sep-2026) vs Capstone — &amp;A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40"/>
  <sheetViews>
    <sheetView showGridLines="0" zoomScale="90" zoomScaleNormal="90" workbookViewId="0"/>
  </sheetViews>
  <sheetFormatPr defaultRowHeight="15" x14ac:dyDescent="0.25"/>
  <cols>
    <col min="1" max="1" width="150" customWidth="1"/>
  </cols>
  <sheetData>
    <row r="1" spans="1:1" ht="24" customHeight="1" x14ac:dyDescent="0.25">
      <c r="A1" s="1" t="s">
        <v>1033</v>
      </c>
    </row>
    <row r="2" spans="1:1" ht="12.95" customHeight="1" x14ac:dyDescent="0.25">
      <c r="A2" s="2" t="s">
        <v>1034</v>
      </c>
    </row>
    <row r="3" spans="1:1" ht="30" customHeight="1" x14ac:dyDescent="0.25"/>
    <row r="4" spans="1:1" x14ac:dyDescent="0.25">
      <c r="A4" s="3" t="s">
        <v>1035</v>
      </c>
    </row>
    <row r="5" spans="1:1" ht="25.5" x14ac:dyDescent="0.25">
      <c r="A5" s="4" t="s">
        <v>1036</v>
      </c>
    </row>
    <row r="6" spans="1:1" ht="25.5" x14ac:dyDescent="0.25">
      <c r="A6" s="4" t="s">
        <v>1037</v>
      </c>
    </row>
    <row r="7" spans="1:1" x14ac:dyDescent="0.25">
      <c r="A7" s="4" t="s">
        <v>1038</v>
      </c>
    </row>
    <row r="8" spans="1:1" ht="25.5" x14ac:dyDescent="0.25">
      <c r="A8" s="4" t="s">
        <v>1039</v>
      </c>
    </row>
    <row r="10" spans="1:1" x14ac:dyDescent="0.25">
      <c r="A10" s="3" t="s">
        <v>1040</v>
      </c>
    </row>
    <row r="11" spans="1:1" x14ac:dyDescent="0.25">
      <c r="A11" s="4" t="s">
        <v>1041</v>
      </c>
    </row>
    <row r="12" spans="1:1" ht="25.5" x14ac:dyDescent="0.25">
      <c r="A12" s="4" t="s">
        <v>1042</v>
      </c>
    </row>
    <row r="13" spans="1:1" ht="51" x14ac:dyDescent="0.25">
      <c r="A13" s="4" t="s">
        <v>1043</v>
      </c>
    </row>
    <row r="14" spans="1:1" x14ac:dyDescent="0.25">
      <c r="A14" s="4" t="s">
        <v>1044</v>
      </c>
    </row>
    <row r="15" spans="1:1" x14ac:dyDescent="0.25">
      <c r="A15" s="4" t="s">
        <v>1045</v>
      </c>
    </row>
    <row r="16" spans="1:1" x14ac:dyDescent="0.25">
      <c r="A16" s="4" t="s">
        <v>1046</v>
      </c>
    </row>
    <row r="17" spans="1:1" x14ac:dyDescent="0.25">
      <c r="A17" s="4" t="s">
        <v>1047</v>
      </c>
    </row>
    <row r="18" spans="1:1" x14ac:dyDescent="0.25">
      <c r="A18" s="4" t="s">
        <v>1048</v>
      </c>
    </row>
    <row r="19" spans="1:1" ht="25.5" x14ac:dyDescent="0.25">
      <c r="A19" s="4" t="s">
        <v>1049</v>
      </c>
    </row>
    <row r="21" spans="1:1" x14ac:dyDescent="0.25">
      <c r="A21" s="3" t="s">
        <v>1050</v>
      </c>
    </row>
    <row r="22" spans="1:1" ht="25.5" x14ac:dyDescent="0.25">
      <c r="A22" s="4" t="s">
        <v>1051</v>
      </c>
    </row>
    <row r="23" spans="1:1" x14ac:dyDescent="0.25">
      <c r="A23" s="4" t="s">
        <v>1052</v>
      </c>
    </row>
    <row r="25" spans="1:1" x14ac:dyDescent="0.25">
      <c r="A25" s="3" t="s">
        <v>1053</v>
      </c>
    </row>
    <row r="26" spans="1:1" ht="25.5" x14ac:dyDescent="0.25">
      <c r="A26" s="4" t="s">
        <v>1054</v>
      </c>
    </row>
    <row r="27" spans="1:1" ht="25.5" x14ac:dyDescent="0.25">
      <c r="A27" s="4" t="s">
        <v>1055</v>
      </c>
    </row>
    <row r="28" spans="1:1" ht="25.5" x14ac:dyDescent="0.25">
      <c r="A28" s="4" t="s">
        <v>1056</v>
      </c>
    </row>
    <row r="29" spans="1:1" ht="25.5" x14ac:dyDescent="0.25">
      <c r="A29" s="4" t="s">
        <v>1057</v>
      </c>
    </row>
    <row r="30" spans="1:1" ht="25.5" x14ac:dyDescent="0.25">
      <c r="A30" s="4" t="s">
        <v>1058</v>
      </c>
    </row>
    <row r="31" spans="1:1" ht="25.5" x14ac:dyDescent="0.25">
      <c r="A31" s="4" t="s">
        <v>1059</v>
      </c>
    </row>
    <row r="32" spans="1:1" ht="25.5" x14ac:dyDescent="0.25">
      <c r="A32" s="4" t="s">
        <v>1060</v>
      </c>
    </row>
    <row r="34" spans="1:1" x14ac:dyDescent="0.25">
      <c r="A34" s="3" t="s">
        <v>1061</v>
      </c>
    </row>
    <row r="35" spans="1:1" ht="25.5" x14ac:dyDescent="0.25">
      <c r="A35" s="4" t="s">
        <v>1062</v>
      </c>
    </row>
    <row r="36" spans="1:1" ht="25.5" x14ac:dyDescent="0.25">
      <c r="A36" s="4" t="s">
        <v>1063</v>
      </c>
    </row>
    <row r="37" spans="1:1" x14ac:dyDescent="0.25">
      <c r="A37" s="4" t="s">
        <v>1064</v>
      </c>
    </row>
    <row r="38" spans="1:1" x14ac:dyDescent="0.25">
      <c r="A38" s="4" t="s">
        <v>1065</v>
      </c>
    </row>
    <row r="39" spans="1:1" x14ac:dyDescent="0.25">
      <c r="A39" s="4" t="s">
        <v>1066</v>
      </c>
    </row>
    <row r="40" spans="1:1" x14ac:dyDescent="0.25">
      <c r="A40" s="4" t="s">
        <v>1067</v>
      </c>
    </row>
  </sheetData>
  <pageMargins left="0.4" right="0.4" top="0.5" bottom="0.5" header="0.5" footer="0.5"/>
  <pageSetup paperSize="9" scale="92" fitToHeight="0" orientation="landscape" r:id="rId1"/>
  <headerFooter>
    <oddFooter>&amp;C&amp;8NSR (18-Sep-2026) vs Capstone — &amp;A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Summary</vt:lpstr>
      <vt:lpstr>Comparison</vt:lpstr>
      <vt:lpstr>Share_XPU</vt:lpstr>
      <vt:lpstr>Share_CPU</vt:lpstr>
      <vt:lpstr>Share_Memory</vt:lpstr>
      <vt:lpstr>NSR_Capex</vt:lpstr>
      <vt:lpstr>NSR_Memory</vt:lpstr>
      <vt:lpstr>NSR_HyperPL</vt:lpstr>
      <vt:lpstr>NSR_Funding</vt:lpstr>
      <vt:lpstr>NSR_Datapoints</vt:lpstr>
      <vt:lpstr>House</vt:lpstr>
      <vt:lpstr>README</vt:lpstr>
      <vt:lpstr>Comparison!Print_Titles</vt:lpstr>
      <vt:lpstr>House!Print_Titles</vt:lpstr>
      <vt:lpstr>NSR_Capex!Print_Titles</vt:lpstr>
      <vt:lpstr>NSR_HyperPL!Print_Titles</vt:lpstr>
      <vt:lpstr>NSR_Memory!Print_Titles</vt:lpstr>
      <vt:lpstr>Share_CPU!Print_Titles</vt:lpstr>
      <vt:lpstr>Share_Memory!Print_Titles</vt:lpstr>
      <vt:lpstr>Share_XPU!Print_Titles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Monteiro</cp:lastModifiedBy>
  <dcterms:created xsi:type="dcterms:W3CDTF">2026-09-19T01:29:48Z</dcterms:created>
  <dcterms:modified xsi:type="dcterms:W3CDTF">2026-09-19T01:30:38Z</dcterms:modified>
</cp:coreProperties>
</file>