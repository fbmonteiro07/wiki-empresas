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3.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4.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worksheets/sheet5.xml" ContentType="application/vnd.openxmlformats-officedocument.spreadsheetml.worksheet+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60c58a6b05f46e9" /></Relationships>
</file>

<file path=xl/workbook.xml><?xml version="1.0" encoding="utf-8"?>
<x:workbook xmlns:x="http://schemas.openxmlformats.org/spreadsheetml/2006/main">
  <x:sheets>
    <x:sheet xmlns:r="http://schemas.openxmlformats.org/officeDocument/2006/relationships" name="Capa DCF - Base" sheetId="1" r:id="Ra437f857a6884ad3"/>
    <x:sheet xmlns:r="http://schemas.openxmlformats.org/officeDocument/2006/relationships" name="ROIC Cloud" sheetId="2" r:id="Rc4c18aa1fb004291"/>
    <x:sheet xmlns:r="http://schemas.openxmlformats.org/officeDocument/2006/relationships" name="Audit &amp; Checks" sheetId="3" r:id="R3dfb0ec540844364"/>
    <x:sheet xmlns:r="http://schemas.openxmlformats.org/officeDocument/2006/relationships" name="Source Inputs" sheetId="4" r:id="Rf508a98e1b0a41a9"/>
    <x:sheet xmlns:r="http://schemas.openxmlformats.org/officeDocument/2006/relationships" name="Cloud Cohorts" sheetId="5" r:id="Rb0584367dffd4198"/>
    <x:sheet xmlns:r="http://schemas.openxmlformats.org/officeDocument/2006/relationships" name="Sensitivity Engine" sheetId="6" r:id="Rb9f9a6ffddc8483f"/>
  </x:sheets>
</x:workbook>
</file>

<file path=xl/comments1.xml><?xml version="1.0" encoding="utf-8"?>
<x:comments xmlns:x="http://schemas.openxmlformats.org/spreadsheetml/2006/main">
  <x:authors>
    <x:author>tc={5F73112E-633B-4B8E-B636-9C61CF2DE1B3}</x:author>
    <x:author>tc={2CAB4B10-9810-4298-854D-A4417BAB5148}</x:author>
    <x:author>tc={44D39E46-CFBB-4F14-843D-F5F8C83EC067}</x:author>
    <x:author>tc={8AD0E0FD-CBA4-4FA1-98CC-62680B431A52}</x:author>
    <x:author>tc={3679CE29-FDE4-4A27-AC7C-1CA45C3EC274}</x:author>
    <x:author>tc={422A818A-3593-4D55-A5CE-A51AE6877C9E}</x:author>
    <x:author>tc={0C207E6F-DEB9-4074-AD7C-7676242C1282}</x:author>
    <x:author>tc={FE95BD36-44B7-4517-91E8-A2818D30DD5B}</x:author>
    <x:author>tc={1EB49534-78A9-464F-ADC3-E9066FBE44EC}</x:author>
    <x:author>tc={C2C606F0-0300-4665-B411-A4CA237705D1}</x:author>
    <x:author>tc={7FBD039C-5438-4E16-9118-8C42ED334355}</x:author>
    <x:author>tc={42D0C9CD-BD99-4D63-8DC0-76AC22749788}</x:author>
    <x:author>tc={C0A86ABE-8DFB-4420-B79E-85DEE35E20C3}</x:author>
    <x:author>tc={13FAA883-105A-4523-84F6-C84D4DD24DE1}</x:author>
    <x:author>tc={CE933822-D660-49CA-90F3-8B189CB0164C}</x:author>
    <x:author>tc={D99D4356-387D-4A2D-91B3-704258B26C5A}</x:author>
    <x:author>tc={EBA192E2-261C-4DBC-9B5C-933F9732E3B7}</x:author>
    <x:author>tc={DA25A883-8FF6-49EA-97EB-917DCAC74FCB}</x:author>
    <x:author>tc={991A1081-01EF-4DB5-B265-E4C0E3815B2F}</x:author>
    <x:author>tc={2552AE1D-AE59-4AEB-816B-8F41727DAF1E}</x:author>
    <x:author>tc={2C854DE8-4959-46D1-8159-94F781770EE5}</x:author>
    <x:author>tc={67B8FA42-A820-43F9-960E-1EBC3D82B2F4}</x:author>
    <x:author>tc={D0B5A793-86C7-4ADC-8645-81BAFEA3550B}</x:author>
  </x:authors>
  <x:commentList>
    <x:comment ref="H6" authorId="0">
      <x:text>
        <x:r>
          <x:t>[Threaded comment]
Your version of Excel allows you to read this threaded comment; however, any edits to it will get removed if the file is opened in a newer version of Excel. Learn more: https://go.microsoft.com/fwlink/?linkid=870924
Comment:
    Original source note (2026-07-13T12:57:03.76), preserved from supplied workbook:
Mizuho: 1,2T</x:t>
        </x:r>
      </x:text>
    </x:comment>
    <x:comment ref="G18" authorId="1">
      <x:text>
        <x:r>
          <x:t>[Threaded comment]
Your version of Excel allows you to read this threaded comment; however, any edits to it will get removed if the file is opened in a newer version of Excel. Learn more: https://go.microsoft.com/fwlink/?linkid=870924
Comment:
    Original source note (2026-07-13T12:54:11.38), preserved from supplied workbook:
BofA 12/7/26: 160bi</x:t>
        </x:r>
      </x:text>
    </x:comment>
    <x:comment ref="H18" authorId="2">
      <x:text>
        <x:r>
          <x:t>[Threaded comment]
Your version of Excel allows you to read this threaded comment; however, any edits to it will get removed if the file is opened in a newer version of Excel. Learn more: https://go.microsoft.com/fwlink/?linkid=870924
Comment:
    Original source note (2026-07-13T12:54:25.16), preserved from supplied workbook:
BofA 12/7/26: 230bi</x:t>
        </x:r>
      </x:text>
    </x:comment>
    <x:comment ref="I18" authorId="3">
      <x:text>
        <x:r>
          <x:t>[Threaded comment]
Your version of Excel allows you to read this threaded comment; however, any edits to it will get removed if the file is opened in a newer version of Excel. Learn more: https://go.microsoft.com/fwlink/?linkid=870924
Comment:
    Original source note (2026-07-13T12:54:36.87), preserved from supplied workbook:
BofA 12/7/26: 270bi</x:t>
        </x:r>
      </x:text>
    </x:comment>
    <x:comment ref="G19" authorId="4">
      <x:text>
        <x:r>
          <x:t>[Threaded comment]
Your version of Excel allows you to read this threaded comment; however, any edits to it will get removed if the file is opened in a newer version of Excel. Learn more: https://go.microsoft.com/fwlink/?linkid=870924
Comment:
    Original source note (2026-07-13T12:52:21.82), preserved from supplied workbook:
BofA 12/7/26: 195bi</x:t>
        </x:r>
      </x:text>
    </x:comment>
    <x:comment ref="H19" authorId="5">
      <x:text>
        <x:r>
          <x:t>[Threaded comment]
Your version of Excel allows you to read this threaded comment; however, any edits to it will get removed if the file is opened in a newer version of Excel. Learn more: https://go.microsoft.com/fwlink/?linkid=870924
Comment:
    Original source note (2026-07-13T12:52:38.75), preserved from supplied workbook:
BofA 12/7/26: 195bi</x:t>
        </x:r>
      </x:text>
    </x:comment>
    <x:comment ref="I19" authorId="6">
      <x:text>
        <x:r>
          <x:t>[Threaded comment]
Your version of Excel allows you to read this threaded comment; however, any edits to it will get removed if the file is opened in a newer version of Excel. Learn more: https://go.microsoft.com/fwlink/?linkid=870924
Comment:
    Original source note (2026-07-13T12:52:52.18), preserved from supplied workbook:
BofA 12/7/26: 330bi</x:t>
        </x:r>
      </x:text>
    </x:comment>
    <x:comment ref="G20" authorId="7">
      <x:text>
        <x:r>
          <x:t>[Threaded comment]
Your version of Excel allows you to read this threaded comment; however, any edits to it will get removed if the file is opened in a newer version of Excel. Learn more: https://go.microsoft.com/fwlink/?linkid=870924
Comment:
    Original source note (2026-07-13T12:53:31.29), preserved from supplied workbook:
BofA 12/7/26: 145bi</x:t>
        </x:r>
      </x:text>
    </x:comment>
    <x:comment ref="H20" authorId="8">
      <x:text>
        <x:r>
          <x:t>[Threaded comment]
Your version of Excel allows you to read this threaded comment; however, any edits to it will get removed if the file is opened in a newer version of Excel. Learn more: https://go.microsoft.com/fwlink/?linkid=870924
Comment:
    Original source note (2026-07-13T12:53:40.06), preserved from supplied workbook:
BofA 12/7/26: 185bi</x:t>
        </x:r>
      </x:text>
    </x:comment>
    <x:comment ref="I20" authorId="9">
      <x:text>
        <x:r>
          <x:t>[Threaded comment]
Your version of Excel allows you to read this threaded comment; however, any edits to it will get removed if the file is opened in a newer version of Excel. Learn more: https://go.microsoft.com/fwlink/?linkid=870924
Comment:
    Original source note (2026-07-13T12:53:49.45), preserved from supplied workbook:
BofA 12/7/26: 210bi</x:t>
        </x:r>
      </x:text>
    </x:comment>
    <x:comment ref="C30" authorId="10">
      <x:text>
        <x:r>
          <x:t>[Threaded comment]
Your version of Excel allows you to read this threaded comment; however, any edits to it will get removed if the file is opened in a newer version of Excel. Learn more: https://go.microsoft.com/fwlink/?linkid=870924
Comment:
    Original source note (2026-06-26T17:50:08.51), preserved from supplied workbook:
Pode ter double counting. 
Ex: o Capex da CRWE é o Capex de finance lease da Microsoft. 
Ex2: O Capex da Oracle e da OAI podem estar double counting, pq a Oracle possui tbm o modelo de "BYOC" (OAI paga o capex de chip e Oracle paga o resto)</x:t>
        </x:r>
      </x:text>
    </x:comment>
    <x:comment ref="H30" authorId="11">
      <x:text>
        <x:r>
          <x:t>[Threaded comment]
Your version of Excel allows you to read this threaded comment; however, any edits to it will get removed if the file is opened in a newer version of Excel. Learn more: https://go.microsoft.com/fwlink/?linkid=870924
Comment:
    Original source note (2026-07-13T19:44:23.13), preserved from supplied workbook:
We believe neoclouds and Tier II CSPs (OCI, xAI) will also continue to aggressively ramp spending into 2027E, with capex estimated at $398B, up 42% y/y, and 2028E estimated at $485B, up 22% y/y, driven by continued drive to add as much capacity as possible. We believe the key drives of neocloud/Tier II CSP capex to be ORCL (Outperform, $320PT), OCI, xAI, CRWV (Neutral, $110PT), NBIS (NC), WULF (NC) and IREN (NC), while we note continued strong spend tailwinds from Fluidstack with Anthropic (Link) and the AVGO/BX (NC)/APO (NC) AI XPV platform, with potential enabling 20GW of capacity longer term</x:t>
        </x:r>
      </x:text>
    </x:comment>
    <x:comment ref="C31" authorId="12">
      <x:text>
        <x:r>
          <x:t>[Threaded comment]
Your version of Excel allows you to read this threaded comment; however, any edits to it will get removed if the file is opened in a newer version of Excel. Learn more: https://go.microsoft.com/fwlink/?linkid=870924
Comment:
    Original source note (2026-06-26T17:46:36.04), preserved from supplied workbook:
Est. MS</x:t>
        </x:r>
      </x:text>
    </x:comment>
    <x:comment ref="G33" authorId="13">
      <x:text>
        <x:r>
          <x:t>[Threaded comment]
Your version of Excel allows you to read this threaded comment; however, any edits to it will get removed if the file is opened in a newer version of Excel. Learn more: https://go.microsoft.com/fwlink/?linkid=870924
Comment:
    Original source note (2026-07-13T13:18:17.56), preserved from supplied workbook:
MS 36BI</x:t>
        </x:r>
      </x:text>
    </x:comment>
    <x:comment ref="H33" authorId="14">
      <x:text>
        <x:r>
          <x:t>[Threaded comment]
Your version of Excel allows you to read this threaded comment; however, any edits to it will get removed if the file is opened in a newer version of Excel. Learn more: https://go.microsoft.com/fwlink/?linkid=870924
Comment:
    Original source note (2026-07-13T13:18:41.02), preserved from supplied workbook:
MS 70BI</x:t>
        </x:r>
      </x:text>
    </x:comment>
    <x:comment ref="I33" authorId="15">
      <x:text>
        <x:r>
          <x:t>[Threaded comment]
Your version of Excel allows you to read this threaded comment; however, any edits to it will get removed if the file is opened in a newer version of Excel. Learn more: https://go.microsoft.com/fwlink/?linkid=870924
Comment:
    Original source note (2026-07-13T13:18:51.31), preserved from supplied workbook:
MS 110BI</x:t>
        </x:r>
      </x:text>
    </x:comment>
    <x:comment ref="F36" authorId="16">
      <x:text>
        <x:r>
          <x:t>[Threaded comment]
Your version of Excel allows you to read this threaded comment; however, any edits to it will get removed if the file is opened in a newer version of Excel. Learn more: https://go.microsoft.com/fwlink/?linkid=870924
Comment:
    Original source note (2026-06-26T17:37:56.13), preserved from supplied workbook:
~20bi Xai (Alphasense)</x:t>
        </x:r>
      </x:text>
    </x:comment>
    <x:comment ref="G36" authorId="17">
      <x:text>
        <x:r>
          <x:t>[Threaded comment]
Your version of Excel allows you to read this threaded comment; however, any edits to it will get removed if the file is opened in a newer version of Excel. Learn more: https://go.microsoft.com/fwlink/?linkid=870924
Comment:
    Original source note (2026-06-26T17:37:56.13), preserved from supplied workbook:
~20bi Xai (Alphasense)
~20bi Bytedance (Alphasense)</x:t>
        </x:r>
      </x:text>
    </x:comment>
    <x:comment ref="H42" authorId="18">
      <x:text>
        <x:r>
          <x:t>[Threaded comment]
Your version of Excel allows you to read this threaded comment; however, any edits to it will get removed if the file is opened in a newer version of Excel. Learn more: https://go.microsoft.com/fwlink/?linkid=870924
Comment:
    Original source note (2026-06-29T22:38:22.30), preserved from supplied workbook:
Felipe 120bi</x:t>
        </x:r>
      </x:text>
    </x:comment>
    <x:comment ref="H52" authorId="19">
      <x:text>
        <x:r>
          <x:t>[Threaded comment]
Your version of Excel allows you to read this threaded comment; however, any edits to it will get removed if the file is opened in a newer version of Excel. Learn more: https://go.microsoft.com/fwlink/?linkid=870924
Comment:
    Explicit arithmetic bridge: original Trainium + MSFT minus original MRVL equals original Alchip exactly in CY2027/28. This preserves all supplied totals. The commercial allocation interpretation remains unverified.</x:t>
        </x:r>
      </x:text>
    </x:comment>
    <x:comment ref="D36" authorId="20">
      <x:text>
        <x:r>
          <x:t>[Threaded comment]
Your version of Excel allows you to read this threaded comment; however, any edits to it will get removed if the file is opened in a newer version of Excel. Learn more: https://go.microsoft.com/fwlink/?linkid=870924
Comment:
    Negative supplied residual preserved, not literal negative spending. No unsupported input correction or double-count elimination was invented.</x:t>
        </x:r>
      </x:text>
    </x:comment>
    <x:comment ref="D56" authorId="21">
      <x:text>
        <x:r>
          <x:t>[Threaded comment]
Your version of Excel allows you to read this threaded comment; however, any edits to it will get removed if the file is opened in a newer version of Excel. Learn more: https://go.microsoft.com/fwlink/?linkid=870924
Comment:
    Historical networking input was not supplied. No zero or alternative source value has been asserted. Historical modeled revenue is incomplete unless chips already includes networking; forecast valuation is unaffected.</x:t>
        </x:r>
      </x:text>
    </x:comment>
    <x:comment ref="E56" authorId="22">
      <x:text>
        <x:r>
          <x:t>[Threaded comment]
Your version of Excel allows you to read this threaded comment; however, any edits to it will get removed if the file is opened in a newer version of Excel. Learn more: https://go.microsoft.com/fwlink/?linkid=870924
Comment:
    Historical networking input was not supplied. No zero or alternative source value has been asserted. Historical modeled revenue is incomplete unless chips already includes networking; forecast valuation is unaffected.</x:t>
        </x:r>
      </x:text>
    </x:comment>
  </x:commentList>
</x:comments>
</file>

<file path=xl/comments2.xml><?xml version="1.0" encoding="utf-8"?>
<x:comments xmlns:x="http://schemas.openxmlformats.org/spreadsheetml/2006/main">
  <x:authors>
    <x:author>tc={6666D6A8-6486-4108-88B5-59D29F1C7817}</x:author>
    <x:author>tc={50FAEA42-AE99-437E-BF17-DD8672FDB1F2}</x:author>
    <x:author>tc={554A9F8E-5C56-458E-8DD6-9238F0F87111}</x:author>
    <x:author>tc={8E69728D-9847-490B-8F57-B0BC7764B230}</x:author>
    <x:author>tc={5BED9D36-E906-4903-AEBA-B1F62EBA35E1}</x:author>
  </x:authors>
  <x:commentList>
    <x:comment ref="D7" authorId="0">
      <x:text>
        <x:r>
          <x:t>[Threaded comment]
Your version of Excel allows you to read this threaded comment; however, any edits to it will get removed if the file is opened in a newer version of Excel. Learn more: https://go.microsoft.com/fwlink/?linkid=870924
Comment:
    Preserved at 90%, as in supplied workbook saved 31-Aug-2026. This is a commercial input, not a verified industry margin. All ROIC results are conditional on it.</x:t>
        </x:r>
      </x:text>
    </x:comment>
    <x:comment ref="D40" authorId="1">
      <x:text>
        <x:r>
          <x:t>[Threaded comment]
Your version of Excel allows you to read this threaded comment; however, any edits to it will get removed if the file is opened in a newer version of Excel. Learn more: https://go.microsoft.com/fwlink/?linkid=870924
Comment:
    Set consistently to two years, preserving the original fleet lag and matching the original title. Original single-vintage formulas used one year; this inconsistency is corrected.</x:t>
        </x:r>
      </x:text>
    </x:comment>
    <x:comment ref="D41" authorId="2">
      <x:text>
        <x:r>
          <x:t>[Threaded comment]
Your version of Excel allows you to read this threaded comment; however, any edits to it will get removed if the file is opened in a newer version of Excel. Learn more: https://go.microsoft.com/fwlink/?linkid=870924
Comment:
    Original stated asset-life assumption: 5 years. Now applied separately by asset class and vintage, instead of a blended lifetime.</x:t>
        </x:r>
      </x:text>
    </x:comment>
    <x:comment ref="D42" authorId="3">
      <x:text>
        <x:r>
          <x:t>[Threaded comment]
Your version of Excel allows you to read this threaded comment; however, any edits to it will get removed if the file is opened in a newer version of Excel. Learn more: https://go.microsoft.com/fwlink/?linkid=870924
Comment:
    Original stated asset-life assumption: 6 years. Now applied separately by asset class and vintage, instead of a blended lifetime.</x:t>
        </x:r>
      </x:text>
    </x:comment>
    <x:comment ref="D43" authorId="4">
      <x:text>
        <x:r>
          <x:t>[Threaded comment]
Your version of Excel allows you to read this threaded comment; however, any edits to it will get removed if the file is opened in a newer version of Excel. Learn more: https://go.microsoft.com/fwlink/?linkid=870924
Comment:
    Original stated asset-life assumption: 15 years. Now applied separately by asset class and vintage, instead of a blended lifetime.</x:t>
        </x:r>
      </x:text>
    </x:comment>
  </x:commentList>
</x:comments>
</file>

<file path=xl/comments3.xml><?xml version="1.0" encoding="utf-8"?>
<x:comments xmlns:x="http://schemas.openxmlformats.org/spreadsheetml/2006/main">
  <x:authors>
    <x:author>tc={13FF74B9-95CA-4AAE-8640-7FF6BAEDDA42}</x:author>
    <x:author>tc={B21703FD-DC47-40B5-99B3-51720E8D4293}</x:author>
  </x:authors>
  <x:commentList>
    <x:comment ref="D5" authorId="0">
      <x:text>
        <x:r>
          <x:t>[Threaded comment]
Your version of Excel allows you to read this threaded comment; however, any edits to it will get removed if the file is opened in a newer version of Excel. Learn more: https://go.microsoft.com/fwlink/?linkid=870924
Comment:
    Original E88 valuation date, retained to isolate formula corrections. Source: supplied workbook saved 31-Aug-2026.</x:t>
        </x:r>
      </x:text>
    </x:comment>
    <x:comment ref="D16" authorId="1">
      <x:text>
        <x:r>
          <x:t>[Threaded comment]
Your version of Excel allows you to read this threaded comment; however, any edits to it will get removed if the file is opened in a newer version of Excel. Learn more: https://go.microsoft.com/fwlink/?linkid=870924
Comment:
    Original Capa DCF - Base!Z78 = 100%. Preserved commercial assumption, not a validated sustainable payout. Change this input to run a payout sensitivity.</x:t>
        </x:r>
      </x:text>
    </x:comment>
  </x:commentList>
</x:comments>
</file>

<file path=xl/comments4.xml><?xml version="1.0" encoding="utf-8"?>
<x:comments xmlns:x="http://schemas.openxmlformats.org/spreadsheetml/2006/main">
  <x:authors>
    <x:author>tc={D7822BA5-75EF-4556-8E30-6F34DDF23634}</x:author>
    <x:author>tc={5B2EAA2A-AEED-45E3-B7B4-D7DFBB77DD79}</x:author>
    <x:author>tc={F7753DD5-7372-4BC3-8C5E-1DC2D122C716}</x:author>
    <x:author>tc={957CD7AE-7476-452A-B979-A6957E9FAB7D}</x:author>
  </x:authors>
  <x:commentList>
    <x:comment ref="D6" authorId="0">
      <x:text>
        <x:r>
          <x:t>[Threaded comment]
Your version of Excel allows you to read this threaded comment; however, any edits to it will get removed if the file is opened in a newer version of Excel. Learn more: https://go.microsoft.com/fwlink/?linkid=870924
Comment:
    Source: R:/Modelo Felipe NVDA .xlsx | Total rev rows 7 | EV:FA | file saved 27-Aug-2026; 24 direct cells independently verified 31-Aug-2026.</x:t>
        </x:r>
      </x:text>
    </x:comment>
    <x:comment ref="D7" authorId="1">
      <x:text>
        <x:r>
          <x:t>[Threaded comment]
Your version of Excel allows you to read this threaded comment; however, any edits to it will get removed if the file is opened in a newer version of Excel. Learn more: https://go.microsoft.com/fwlink/?linkid=870924
Comment:
    Source: R:/Modelo Felipe NVDA .xlsx | Total rev rows 11 | EV:FA | file saved 27-Aug-2026; 24 direct cells independently verified 31-Aug-2026.</x:t>
        </x:r>
      </x:text>
    </x:comment>
    <x:comment ref="D8" authorId="2">
      <x:text>
        <x:r>
          <x:t>[Threaded comment]
Your version of Excel allows you to read this threaded comment; however, any edits to it will get removed if the file is opened in a newer version of Excel. Learn more: https://go.microsoft.com/fwlink/?linkid=870924
Comment:
    Source: R:/Modelo Felipe NVDA .xlsx | Total rev rows 15 | EV:FA | file saved 27-Aug-2026; 24 direct cells independently verified 31-Aug-2026.</x:t>
        </x:r>
      </x:text>
    </x:comment>
    <x:comment ref="D9" authorId="3">
      <x:text>
        <x:r>
          <x:t>[Threaded comment]
Your version of Excel allows you to read this threaded comment; however, any edits to it will get removed if the file is opened in a newer version of Excel. Learn more: https://go.microsoft.com/fwlink/?linkid=870924
Comment:
    Source: R:/Modelo Felipe NVDA .xlsx | Total rev rows 17 | EV:FA | file saved 27-Aug-2026; 24 direct cells independently verified 31-Aug-2026.</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2">
    <x:numFmt numFmtId="200" formatCode="General"/>
    <x:numFmt numFmtId="201" formatCode="_-* #,##0_-;\-* #,##0_-;_-* &quot;-&quot;??_-;_-@_-"/>
    <x:numFmt numFmtId="202" formatCode="0%"/>
    <x:numFmt numFmtId="203" formatCode="#,##0"/>
    <x:numFmt numFmtId="204" formatCode="0.0%"/>
    <x:numFmt numFmtId="205" formatCode="_(* #,##0_);_(* \(#,##0\);_(* &quot;-&quot;??_);_(@_)"/>
    <x:numFmt numFmtId="206" formatCode="_(* #,##0.00_);_(* \(#,##0.00\);_(* &quot;-&quot;??_);_(@_)"/>
    <x:numFmt numFmtId="207" formatCode="_(* #,##0.0_);_(* \(#,##0.0\);_(* &quot;-&quot;??_);_(@_)"/>
    <x:numFmt numFmtId="208" formatCode="#.##000"/>
    <x:numFmt numFmtId="209" formatCode="_-* #,##0.00_-;\-* #,##0.00_-;_-* &quot;-&quot;??_-;_-@_-"/>
    <x:numFmt numFmtId="210" formatCode="#,#00"/>
    <x:numFmt numFmtId="211" formatCode="0.0"/>
    <x:numFmt numFmtId="212" formatCode="#.##0"/>
    <x:numFmt numFmtId="213" formatCode="#,##0;[Red](#,##0);-"/>
    <x:numFmt numFmtId="214" formatCode="$0.00;[Red]($0.00);-"/>
    <x:numFmt numFmtId="215" formatCode="0.0%;[Red](0.0%);-"/>
    <x:numFmt numFmtId="216" formatCode="yyyy-mm-dd"/>
    <x:numFmt numFmtId="217" formatCode="0.000000"/>
    <x:numFmt numFmtId="218" formatCode="0.00&quot;x&quot;"/>
    <x:numFmt numFmtId="219" formatCode="0"/>
    <x:numFmt numFmtId="220" formatCode="0.000&quot;x&quot;"/>
    <x:numFmt numFmtId="221" formatCode="#,##0.000"/>
  </x:numFmts>
  <x:fonts count="14">
    <x:font>
      <x:sz val="11"/>
      <x:name val="Carlito"/>
    </x:font>
    <x:font>
      <x:b/>
      <x:sz val="11"/>
      <x:color rgb="FF000000"/>
      <x:name val="Carlito"/>
    </x:font>
    <x:font>
      <x:sz val="11"/>
      <x:color rgb="FF000000"/>
      <x:name val="Carlito"/>
    </x:font>
    <x:font>
      <x:b/>
      <x:i/>
      <x:sz val="11"/>
      <x:color rgb="FF000000"/>
      <x:name val="Carlito"/>
    </x:font>
    <x:font>
      <x:sz val="11"/>
      <x:color rgb="FFFF0000"/>
      <x:name val="Carlito"/>
    </x:font>
    <x:font>
      <x:sz val="11"/>
      <x:color rgb="FFC00000"/>
      <x:name val="Carlito"/>
    </x:font>
    <x:font>
      <x:i/>
      <x:sz val="11"/>
      <x:color rgb="FFC00000"/>
      <x:name val="Carlito"/>
    </x:font>
    <x:font>
      <x:sz val="11"/>
      <x:color rgb="FF0000FF"/>
      <x:name val="Carlito"/>
    </x:font>
    <x:font>
      <x:i/>
      <x:sz val="11"/>
      <x:color rgb="FF808080"/>
      <x:name val="Carlito"/>
    </x:font>
    <x:font>
      <x:b/>
      <x:sz val="11"/>
      <x:color rgb="FF0000FF"/>
      <x:name val="Carlito"/>
    </x:font>
    <x:font>
      <x:b/>
      <x:sz val="11"/>
      <x:color rgb="FF1F4E79"/>
      <x:name val="Carlito"/>
    </x:font>
    <x:font>
      <x:b/>
      <x:sz val="11"/>
      <x:color rgb="FFFFFFFF"/>
      <x:name val="Carlito"/>
    </x:font>
    <x:font>
      <x:b/>
      <x:sz val="11"/>
      <x:color rgb="FF0A6640"/>
      <x:name val="Carlito"/>
    </x:font>
    <x:font>
      <x:b/>
      <x:sz val="11"/>
      <x:name val="Carlito"/>
    </x:font>
  </x:fonts>
  <x:fills count="14">
    <x:fill>
      <x:patternFill patternType="none"/>
    </x:fill>
    <x:fill>
      <x:patternFill patternType="gray125"/>
    </x:fill>
    <x:fill>
      <x:patternFill patternType="solid">
        <x:fgColor rgb="FFDCE6F2"/>
      </x:patternFill>
    </x:fill>
    <x:fill>
      <x:patternFill patternType="solid">
        <x:fgColor rgb="FFFFFF00"/>
      </x:patternFill>
    </x:fill>
    <x:fill>
      <x:patternFill patternType="solid">
        <x:fgColor rgb="FFD9D9D9"/>
      </x:patternFill>
    </x:fill>
    <x:fill>
      <x:patternFill patternType="solid">
        <x:fgColor rgb="FFDBEEF4"/>
      </x:patternFill>
    </x:fill>
    <x:fill>
      <x:patternFill patternType="solid">
        <x:fgColor rgb="FFC0504D"/>
      </x:patternFill>
    </x:fill>
    <x:fill>
      <x:patternFill patternType="solid">
        <x:fgColor rgb="FFD2DBE5"/>
      </x:patternFill>
    </x:fill>
    <x:fill>
      <x:patternFill patternType="solid">
        <x:fgColor rgb="FFC5D9F1"/>
      </x:patternFill>
    </x:fill>
    <x:fill>
      <x:patternFill patternType="solid">
        <x:fgColor rgb="FFDCE6F1"/>
      </x:patternFill>
    </x:fill>
    <x:fill>
      <x:patternFill patternType="solid">
        <x:fgColor rgb="FF1F4E79"/>
      </x:patternFill>
    </x:fill>
    <x:fill>
      <x:patternFill patternType="solid">
        <x:fgColor rgb="FFF2F2F2"/>
      </x:patternFill>
    </x:fill>
    <x:fill>
      <x:patternFill patternType="solid">
        <x:fgColor rgb="FF123348"/>
      </x:patternFill>
    </x:fill>
    <x:fill>
      <x:patternFill patternType="solid">
        <x:fgColor rgb="FFFFF2CC"/>
      </x:patternFill>
    </x:fill>
  </x:fills>
  <x:borders count="24">
    <x:border/>
    <x:border>
      <x:left style="medium">
        <x:color rgb="FF777777"/>
      </x:left>
      <x:top style="medium">
        <x:color rgb="FF777777"/>
      </x:top>
      <x:bottom style="medium">
        <x:color rgb="FF777777"/>
      </x:bottom>
    </x:border>
    <x:border>
      <x:top style="medium">
        <x:color rgb="FF777777"/>
      </x:top>
      <x:bottom style="medium">
        <x:color rgb="FF777777"/>
      </x:bottom>
    </x:border>
    <x:border>
      <x:right style="medium">
        <x:color rgb="FF777777"/>
      </x:right>
      <x:top style="medium">
        <x:color rgb="FF777777"/>
      </x:top>
      <x:bottom style="medium">
        <x:color rgb="FF777777"/>
      </x:bottom>
    </x:border>
    <x:border>
      <x:left style="medium">
        <x:color rgb="FF777777"/>
      </x:left>
      <x:top style="medium">
        <x:color rgb="FF777777"/>
      </x:top>
    </x:border>
    <x:border>
      <x:top style="medium">
        <x:color rgb="FF777777"/>
      </x:top>
    </x:border>
    <x:border>
      <x:left style="medium">
        <x:color rgb="FF777777"/>
      </x:left>
    </x:border>
    <x:border>
      <x:left style="medium">
        <x:color rgb="FF777777"/>
      </x:left>
      <x:bottom style="medium">
        <x:color rgb="FF777777"/>
      </x:bottom>
    </x:border>
    <x:border>
      <x:bottom style="medium">
        <x:color rgb="FF777777"/>
      </x:bottom>
    </x:border>
    <x:border>
      <x:left style="thin">
        <x:color rgb="FF777777"/>
      </x:left>
      <x:top style="thin">
        <x:color rgb="FF777777"/>
      </x:top>
      <x:bottom style="thin">
        <x:color rgb="FF777777"/>
      </x:bottom>
    </x:border>
    <x:border>
      <x:top style="thin">
        <x:color rgb="FF777777"/>
      </x:top>
      <x:bottom style="thin">
        <x:color rgb="FF777777"/>
      </x:bottom>
    </x:border>
    <x:border>
      <x:right style="thin">
        <x:color rgb="FF777777"/>
      </x:right>
      <x:top style="thin">
        <x:color rgb="FF777777"/>
      </x:top>
      <x:bottom style="thin">
        <x:color rgb="FF777777"/>
      </x:bottom>
    </x:border>
    <x:border>
      <x:left style="thin">
        <x:color rgb="FF777777"/>
      </x:left>
    </x:border>
    <x:border>
      <x:right style="thin">
        <x:color rgb="FF777777"/>
      </x:right>
    </x:border>
    <x:border>
      <x:left style="thin">
        <x:color rgb="FF777777"/>
      </x:left>
      <x:bottom style="thin">
        <x:color rgb="FF777777"/>
      </x:bottom>
    </x:border>
    <x:border>
      <x:bottom style="thin">
        <x:color rgb="FF777777"/>
      </x:bottom>
    </x:border>
    <x:border>
      <x:right style="thin">
        <x:color rgb="FF777777"/>
      </x:right>
      <x:bottom style="thin">
        <x:color rgb="FF777777"/>
      </x:bottom>
    </x:border>
    <x:border>
      <x:left style="medium">
        <x:color rgb="FF777777"/>
      </x:left>
      <x:right style="medium">
        <x:color rgb="FF777777"/>
      </x:right>
      <x:top style="medium">
        <x:color rgb="FF777777"/>
      </x:top>
      <x:bottom style="medium">
        <x:color rgb="FF777777"/>
      </x:bottom>
    </x:border>
    <x:border>
      <x:left style="medium">
        <x:color rgb="FF777777"/>
      </x:left>
      <x:right style="medium">
        <x:color rgb="FF777777"/>
      </x:right>
    </x:border>
    <x:border>
      <x:right style="medium">
        <x:color rgb="FF777777"/>
      </x:right>
    </x:border>
    <x:border>
      <x:left style="medium">
        <x:color rgb="FF777777"/>
      </x:left>
      <x:right style="medium">
        <x:color rgb="FF777777"/>
      </x:right>
      <x:bottom style="thin">
        <x:color rgb="FF777777"/>
      </x:bottom>
    </x:border>
    <x:border>
      <x:right style="medium">
        <x:color rgb="FF777777"/>
      </x:right>
      <x:bottom style="thin">
        <x:color rgb="FF777777"/>
      </x:bottom>
    </x:border>
    <x:border>
      <x:bottom style="medium">
        <x:color rgb="FF1F4E79"/>
      </x:bottom>
    </x:border>
    <x:border>
      <x:top style="thin">
        <x:color rgb="FFBFBFBF"/>
      </x:top>
    </x:border>
  </x:borders>
  <x:cellStyleXfs count="1">
    <x:xf numFmtId="0" fontId="0" fillId="0" borderId="0"/>
  </x:cellStyleXfs>
  <x:cellXfs count="2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200" fontId="1" fillId="2" borderId="1" xfId="0" applyNumberFormat="1" applyFont="1" applyFill="1" applyBorder="1"/>
    <x:xf numFmtId="200" fontId="1" fillId="2" borderId="1" xfId="0" applyNumberFormat="1" applyFont="1" applyFill="1" applyBorder="1" applyAlignment="1">
      <x:alignment wrapText="1"/>
    </x:xf>
    <x:xf numFmtId="0" fontId="1" fillId="2" borderId="2" xfId="0" applyNumberFormat="1" applyFont="1" applyFill="1" applyBorder="1"/>
    <x:xf numFmtId="200" fontId="1" fillId="2" borderId="2" xfId="0" applyNumberFormat="1" applyFont="1" applyFill="1" applyBorder="1"/>
    <x:xf numFmtId="200" fontId="1" fillId="2" borderId="2" xfId="0" applyNumberFormat="1" applyFont="1" applyFill="1" applyBorder="1" applyAlignment="1">
      <x:alignment wrapText="1"/>
    </x:xf>
    <x:xf numFmtId="0" fontId="1" fillId="2" borderId="3" xfId="0" applyNumberFormat="1" applyFont="1" applyFill="1" applyBorder="1"/>
    <x:xf numFmtId="200" fontId="1" fillId="2" borderId="3" xfId="0" applyNumberFormat="1" applyFont="1" applyFill="1" applyBorder="1"/>
    <x:xf numFmtId="200" fontId="1" fillId="2" borderId="3" xfId="0" applyNumberFormat="1" applyFont="1" applyFill="1" applyBorder="1" applyAlignment="1">
      <x:alignment wrapText="1"/>
    </x:xf>
    <x:xf numFmtId="200" fontId="1" fillId="2" borderId="0" xfId="0" applyNumberFormat="1" applyFont="1" applyFill="1" applyBorder="1"/>
    <x:xf numFmtId="200" fontId="1" fillId="2" borderId="0" xfId="0" applyNumberFormat="1" applyFont="1" applyFill="1" applyBorder="1" applyAlignment="1">
      <x:alignment wrapText="1"/>
    </x:xf>
    <x:xf numFmtId="201" fontId="1" fillId="2" borderId="2" xfId="0" applyNumberFormat="1" applyFont="1" applyFill="1" applyBorder="1"/>
    <x:xf numFmtId="0" fontId="2" fillId="0" borderId="0" xfId="0" applyNumberFormat="1" applyFont="1" applyFill="1" applyBorder="1"/>
    <x:xf numFmtId="0" fontId="2" fillId="0" borderId="4" xfId="0" applyNumberFormat="1" applyFont="1" applyFill="1" applyBorder="1"/>
    <x:xf numFmtId="200" fontId="2" fillId="0" borderId="4" xfId="0" applyNumberFormat="1" applyFont="1" applyFill="1" applyBorder="1"/>
    <x:xf numFmtId="0" fontId="2" fillId="0" borderId="5" xfId="0" applyNumberFormat="1" applyFont="1" applyFill="1" applyBorder="1"/>
    <x:xf numFmtId="201" fontId="2" fillId="0" borderId="5" xfId="0" applyNumberFormat="1" applyFont="1" applyFill="1" applyBorder="1"/>
    <x:xf numFmtId="0" fontId="2" fillId="0" borderId="6" xfId="0" applyNumberFormat="1" applyFont="1" applyFill="1" applyBorder="1"/>
    <x:xf numFmtId="200" fontId="2" fillId="0" borderId="6" xfId="0" applyNumberFormat="1" applyFont="1" applyFill="1" applyBorder="1"/>
    <x:xf numFmtId="201" fontId="2" fillId="0" borderId="0" xfId="0" applyNumberFormat="1" applyFont="1" applyFill="1" applyBorder="1"/>
    <x:xf numFmtId="0" fontId="2" fillId="0" borderId="7" xfId="0" applyNumberFormat="1" applyFont="1" applyFill="1" applyBorder="1"/>
    <x:xf numFmtId="200" fontId="2" fillId="0" borderId="7" xfId="0" applyNumberFormat="1" applyFont="1" applyFill="1" applyBorder="1"/>
    <x:xf numFmtId="0" fontId="2" fillId="0" borderId="8" xfId="0" applyNumberFormat="1" applyFont="1" applyFill="1" applyBorder="1"/>
    <x:xf numFmtId="201" fontId="2" fillId="0" borderId="8" xfId="0" applyNumberFormat="1" applyFont="1" applyFill="1" applyBorder="1"/>
    <x:xf numFmtId="200" fontId="2"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202" fontId="2" fillId="3" borderId="0" xfId="0" applyNumberFormat="1" applyFont="1" applyFill="1" applyBorder="1"/>
    <x:xf numFmtId="202" fontId="2" fillId="0" borderId="0" xfId="0" applyNumberFormat="1" applyFont="1" applyFill="1" applyBorder="1"/>
    <x:xf numFmtId="0" fontId="3" fillId="0" borderId="0" xfId="0" applyNumberFormat="1" applyFont="1" applyFill="1" applyBorder="1"/>
    <x:xf numFmtId="0" fontId="3" fillId="0" borderId="9" xfId="0" applyNumberFormat="1" applyFont="1" applyFill="1" applyBorder="1"/>
    <x:xf numFmtId="200" fontId="3" fillId="0" borderId="9" xfId="0" applyNumberFormat="1" applyFont="1" applyFill="1" applyBorder="1"/>
    <x:xf numFmtId="0" fontId="1" fillId="0" borderId="0" xfId="0" applyNumberFormat="1" applyFont="1" applyFill="1" applyBorder="1"/>
    <x:xf numFmtId="0" fontId="1" fillId="0" borderId="10" xfId="0" applyNumberFormat="1" applyFont="1" applyFill="1" applyBorder="1"/>
    <x:xf numFmtId="203" fontId="1" fillId="0" borderId="10" xfId="0" applyNumberFormat="1" applyFont="1" applyFill="1" applyBorder="1"/>
    <x:xf numFmtId="0" fontId="1" fillId="0" borderId="11" xfId="0" applyNumberFormat="1" applyFont="1" applyFill="1" applyBorder="1"/>
    <x:xf numFmtId="203" fontId="1" fillId="0" borderId="11" xfId="0" applyNumberFormat="1" applyFont="1" applyFill="1" applyBorder="1"/>
    <x:xf numFmtId="0" fontId="2" fillId="0" borderId="12" xfId="0" applyNumberFormat="1" applyFont="1" applyFill="1" applyBorder="1"/>
    <x:xf numFmtId="200" fontId="2" fillId="0" borderId="12" xfId="0" applyNumberFormat="1" applyFont="1" applyFill="1" applyBorder="1"/>
    <x:xf numFmtId="0" fontId="0" fillId="4" borderId="0" xfId="0" applyNumberFormat="1" applyFont="1" applyFill="1" applyBorder="1"/>
    <x:xf numFmtId="0" fontId="2" fillId="4" borderId="0" xfId="0" applyNumberFormat="1" applyFont="1" applyFill="1" applyBorder="1"/>
    <x:xf numFmtId="201" fontId="2" fillId="4" borderId="0" xfId="0" applyNumberFormat="1" applyFont="1" applyFill="1" applyBorder="1"/>
    <x:xf numFmtId="0" fontId="2" fillId="4" borderId="13" xfId="0" applyNumberFormat="1" applyFont="1" applyFill="1" applyBorder="1"/>
    <x:xf numFmtId="201" fontId="2" fillId="4" borderId="13" xfId="0" applyNumberFormat="1" applyFont="1" applyFill="1" applyBorder="1"/>
    <x:xf numFmtId="201" fontId="2" fillId="3" borderId="0" xfId="0" applyNumberFormat="1" applyFont="1" applyFill="1" applyBorder="1"/>
    <x:xf numFmtId="0" fontId="2" fillId="0" borderId="14" xfId="0" applyNumberFormat="1" applyFont="1" applyFill="1" applyBorder="1"/>
    <x:xf numFmtId="200" fontId="2" fillId="0" borderId="14" xfId="0" applyNumberFormat="1" applyFont="1" applyFill="1" applyBorder="1"/>
    <x:xf numFmtId="0" fontId="2" fillId="0" borderId="15" xfId="0" applyNumberFormat="1" applyFont="1" applyFill="1" applyBorder="1"/>
    <x:xf numFmtId="201" fontId="2" fillId="0" borderId="15" xfId="0" applyNumberFormat="1" applyFont="1" applyFill="1" applyBorder="1"/>
    <x:xf numFmtId="0" fontId="4" fillId="0" borderId="0" xfId="0" applyNumberFormat="1" applyFont="1" applyFill="1" applyBorder="1"/>
    <x:xf numFmtId="0" fontId="4" fillId="0" borderId="15" xfId="0" applyNumberFormat="1" applyFont="1" applyFill="1" applyBorder="1"/>
    <x:xf numFmtId="201" fontId="4" fillId="0" borderId="15" xfId="0" applyNumberFormat="1" applyFont="1" applyFill="1" applyBorder="1"/>
    <x:xf numFmtId="0" fontId="2" fillId="4" borderId="16" xfId="0" applyNumberFormat="1" applyFont="1" applyFill="1" applyBorder="1"/>
    <x:xf numFmtId="201" fontId="2" fillId="4" borderId="16" xfId="0" applyNumberFormat="1" applyFont="1" applyFill="1" applyBorder="1"/>
    <x:xf numFmtId="200" fontId="0" fillId="0" borderId="0" xfId="0" applyNumberFormat="1" applyFont="1" applyFill="1" applyBorder="1"/>
    <x:xf numFmtId="0" fontId="5" fillId="0" borderId="0" xfId="0" applyNumberFormat="1" applyFont="1" applyFill="1" applyBorder="1"/>
    <x:xf numFmtId="200" fontId="5" fillId="0" borderId="0" xfId="0" applyNumberFormat="1" applyFont="1" applyFill="1" applyBorder="1"/>
    <x:xf numFmtId="0" fontId="6" fillId="0" borderId="0" xfId="0" applyNumberFormat="1" applyFont="1" applyFill="1" applyBorder="1"/>
    <x:xf numFmtId="202" fontId="6" fillId="0" borderId="0" xfId="0" applyNumberFormat="1" applyFont="1" applyFill="1" applyBorder="1"/>
    <x:xf numFmtId="201" fontId="1" fillId="0" borderId="10" xfId="0" applyNumberFormat="1" applyFont="1" applyFill="1" applyBorder="1"/>
    <x:xf numFmtId="201" fontId="1" fillId="0" borderId="11" xfId="0" applyNumberFormat="1" applyFont="1" applyFill="1" applyBorder="1"/>
    <x:xf numFmtId="0" fontId="0" fillId="0" borderId="12" xfId="0" applyNumberFormat="1" applyFont="1" applyFill="1" applyBorder="1"/>
    <x:xf numFmtId="200" fontId="0" fillId="0" borderId="12" xfId="0" applyNumberFormat="1" applyFont="1" applyFill="1" applyBorder="1"/>
    <x:xf numFmtId="201" fontId="0" fillId="0" borderId="0" xfId="0" applyNumberFormat="1" applyFont="1" applyFill="1" applyBorder="1"/>
    <x:xf numFmtId="0" fontId="0" fillId="0" borderId="13" xfId="0" applyNumberFormat="1" applyFont="1" applyFill="1" applyBorder="1"/>
    <x:xf numFmtId="201" fontId="0" fillId="0" borderId="13" xfId="0" applyNumberFormat="1" applyFont="1" applyFill="1" applyBorder="1"/>
    <x:xf numFmtId="0" fontId="2" fillId="0" borderId="13" xfId="0" applyNumberFormat="1" applyFont="1" applyFill="1" applyBorder="1"/>
    <x:xf numFmtId="201" fontId="2" fillId="0" borderId="13" xfId="0" applyNumberFormat="1" applyFont="1" applyFill="1" applyBorder="1"/>
    <x:xf numFmtId="0" fontId="0" fillId="5" borderId="0" xfId="0" applyNumberFormat="1" applyFont="1" applyFill="1" applyBorder="1"/>
    <x:xf numFmtId="0" fontId="2" fillId="5" borderId="0" xfId="0" applyNumberFormat="1" applyFont="1" applyFill="1" applyBorder="1"/>
    <x:xf numFmtId="201" fontId="2" fillId="5" borderId="0" xfId="0" applyNumberFormat="1" applyFont="1" applyFill="1" applyBorder="1"/>
    <x:xf numFmtId="0" fontId="0" fillId="0" borderId="14" xfId="0" applyNumberFormat="1" applyFont="1" applyFill="1" applyBorder="1"/>
    <x:xf numFmtId="200" fontId="0" fillId="0" borderId="14"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15" xfId="0" applyNumberFormat="1" applyFont="1" applyFill="1" applyBorder="1"/>
    <x:xf numFmtId="201" fontId="2" fillId="6" borderId="15" xfId="0" applyNumberFormat="1" applyFont="1" applyFill="1" applyBorder="1"/>
    <x:xf numFmtId="0" fontId="2" fillId="6" borderId="16" xfId="0" applyNumberFormat="1" applyFont="1" applyFill="1" applyBorder="1"/>
    <x:xf numFmtId="201" fontId="2" fillId="6" borderId="16" xfId="0" applyNumberFormat="1" applyFont="1" applyFill="1" applyBorder="1"/>
    <x:xf numFmtId="0" fontId="1" fillId="0" borderId="17" xfId="0" applyNumberFormat="1" applyFont="1" applyFill="1" applyBorder="1"/>
    <x:xf numFmtId="200" fontId="1" fillId="0" borderId="17" xfId="0" applyNumberFormat="1" applyFont="1" applyFill="1" applyBorder="1"/>
    <x:xf numFmtId="0" fontId="1" fillId="0" borderId="2" xfId="0" applyNumberFormat="1" applyFont="1" applyFill="1" applyBorder="1"/>
    <x:xf numFmtId="203" fontId="1" fillId="0" borderId="2" xfId="0" applyNumberFormat="1" applyFont="1" applyFill="1" applyBorder="1"/>
    <x:xf numFmtId="0" fontId="1" fillId="0" borderId="3" xfId="0" applyNumberFormat="1" applyFont="1" applyFill="1" applyBorder="1"/>
    <x:xf numFmtId="203" fontId="1" fillId="0" borderId="3" xfId="0" applyNumberFormat="1" applyFont="1" applyFill="1" applyBorder="1"/>
    <x:xf numFmtId="0" fontId="1" fillId="0" borderId="18" xfId="0" applyNumberFormat="1" applyFont="1" applyFill="1" applyBorder="1"/>
    <x:xf numFmtId="200" fontId="1" fillId="0" borderId="18" xfId="0" applyNumberFormat="1" applyFont="1" applyFill="1" applyBorder="1"/>
    <x:xf numFmtId="203" fontId="1" fillId="0" borderId="0" xfId="0" applyNumberFormat="1" applyFont="1" applyFill="1" applyBorder="1"/>
    <x:xf numFmtId="0" fontId="1" fillId="0" borderId="19" xfId="0" applyNumberFormat="1" applyFont="1" applyFill="1" applyBorder="1"/>
    <x:xf numFmtId="203" fontId="1" fillId="0" borderId="19" xfId="0" applyNumberFormat="1" applyFont="1" applyFill="1" applyBorder="1"/>
    <x:xf numFmtId="0" fontId="2" fillId="0" borderId="18" xfId="0" applyNumberFormat="1" applyFont="1" applyFill="1" applyBorder="1"/>
    <x:xf numFmtId="200" fontId="2" fillId="0" borderId="18" xfId="0" applyNumberFormat="1" applyFont="1" applyFill="1" applyBorder="1"/>
    <x:xf numFmtId="203" fontId="2" fillId="0" borderId="0" xfId="0" applyNumberFormat="1" applyFont="1" applyFill="1" applyBorder="1"/>
    <x:xf numFmtId="0" fontId="2" fillId="0" borderId="19" xfId="0" applyNumberFormat="1" applyFont="1" applyFill="1" applyBorder="1"/>
    <x:xf numFmtId="203" fontId="2" fillId="0" borderId="19" xfId="0" applyNumberFormat="1" applyFont="1" applyFill="1" applyBorder="1"/>
    <x:xf numFmtId="0" fontId="1" fillId="0" borderId="20" xfId="0" applyNumberFormat="1" applyFont="1" applyFill="1" applyBorder="1"/>
    <x:xf numFmtId="200" fontId="1" fillId="0" borderId="20" xfId="0" applyNumberFormat="1" applyFont="1" applyFill="1" applyBorder="1"/>
    <x:xf numFmtId="0" fontId="1" fillId="0" borderId="15" xfId="0" applyNumberFormat="1" applyFont="1" applyFill="1" applyBorder="1"/>
    <x:xf numFmtId="203" fontId="1" fillId="0" borderId="15" xfId="0" applyNumberFormat="1" applyFont="1" applyFill="1" applyBorder="1"/>
    <x:xf numFmtId="0" fontId="1" fillId="0" borderId="21" xfId="0" applyNumberFormat="1" applyFont="1" applyFill="1" applyBorder="1"/>
    <x:xf numFmtId="203" fontId="1" fillId="0" borderId="21" xfId="0" applyNumberFormat="1" applyFont="1" applyFill="1" applyBorder="1"/>
    <x:xf numFmtId="200" fontId="1" fillId="0" borderId="0" xfId="0" applyNumberFormat="1" applyFont="1" applyFill="1" applyBorder="1"/>
    <x:xf numFmtId="204" fontId="2" fillId="0" borderId="0" xfId="0" applyNumberFormat="1" applyFont="1" applyFill="1" applyBorder="1"/>
    <x:xf numFmtId="204" fontId="2" fillId="3" borderId="0" xfId="0" applyNumberFormat="1" applyFont="1" applyFill="1" applyBorder="1"/>
    <x:xf numFmtId="205" fontId="2" fillId="0" borderId="0" xfId="0" applyNumberFormat="1" applyFont="1" applyFill="1" applyBorder="1"/>
    <x:xf numFmtId="206" fontId="2" fillId="0" borderId="0" xfId="0" applyNumberFormat="1" applyFont="1" applyFill="1" applyBorder="1"/>
    <x:xf numFmtId="207" fontId="2" fillId="0" borderId="0" xfId="0" applyNumberFormat="1" applyFont="1" applyFill="1" applyBorder="1"/>
    <x:xf numFmtId="208" fontId="1" fillId="0" borderId="0" xfId="0" applyNumberFormat="1" applyFont="1" applyFill="1" applyBorder="1"/>
    <x:xf numFmtId="209" fontId="2" fillId="0" borderId="0" xfId="0" applyNumberFormat="1" applyFont="1" applyFill="1" applyBorder="1"/>
    <x:xf numFmtId="0" fontId="7" fillId="3" borderId="0" xfId="0" applyNumberFormat="1" applyFont="1" applyFill="1" applyBorder="1"/>
    <x:xf numFmtId="202" fontId="7" fillId="3" borderId="0" xfId="0" applyNumberFormat="1" applyFont="1" applyFill="1" applyBorder="1"/>
    <x:xf numFmtId="210" fontId="2" fillId="0" borderId="0" xfId="0" applyNumberFormat="1" applyFont="1" applyFill="1" applyBorder="1"/>
    <x:xf numFmtId="0" fontId="0" fillId="7" borderId="0" xfId="0" applyNumberFormat="1" applyFont="1" applyFill="1" applyBorder="1"/>
    <x:xf numFmtId="0" fontId="1" fillId="7" borderId="0" xfId="0" applyNumberFormat="1" applyFont="1" applyFill="1" applyBorder="1"/>
    <x:xf numFmtId="202" fontId="1" fillId="7" borderId="0" xfId="0" applyNumberFormat="1" applyFont="1" applyFill="1" applyBorder="1"/>
    <x:xf numFmtId="0" fontId="0" fillId="8" borderId="0" xfId="0" applyNumberFormat="1" applyFont="1" applyFill="1" applyBorder="1"/>
    <x:xf numFmtId="0" fontId="1" fillId="8" borderId="0" xfId="0" applyNumberFormat="1" applyFont="1" applyFill="1" applyBorder="1"/>
    <x:xf numFmtId="0" fontId="1" fillId="8" borderId="9" xfId="0" applyNumberFormat="1" applyFont="1" applyFill="1" applyBorder="1"/>
    <x:xf numFmtId="206" fontId="1" fillId="8" borderId="9" xfId="0" applyNumberFormat="1" applyFont="1" applyFill="1" applyBorder="1"/>
    <x:xf numFmtId="0" fontId="1" fillId="8" borderId="10" xfId="0" applyNumberFormat="1" applyFont="1" applyFill="1" applyBorder="1"/>
    <x:xf numFmtId="202" fontId="1" fillId="8" borderId="10" xfId="0" applyNumberFormat="1" applyFont="1" applyFill="1" applyBorder="1"/>
    <x:xf numFmtId="0" fontId="1" fillId="8" borderId="11" xfId="0" applyNumberFormat="1" applyFont="1" applyFill="1" applyBorder="1"/>
    <x:xf numFmtId="202" fontId="1" fillId="8" borderId="11" xfId="0" applyNumberFormat="1" applyFont="1" applyFill="1" applyBorder="1"/>
    <x:xf numFmtId="0" fontId="8" fillId="0" borderId="0" xfId="0" applyNumberFormat="1" applyFont="1" applyFill="1" applyBorder="1"/>
    <x:xf numFmtId="200" fontId="8" fillId="0" borderId="0" xfId="0" applyNumberFormat="1" applyFont="1" applyFill="1" applyBorder="1"/>
    <x:xf numFmtId="0" fontId="9" fillId="8" borderId="0" xfId="0" applyNumberFormat="1" applyFont="1" applyFill="1" applyBorder="1"/>
    <x:xf numFmtId="0" fontId="9" fillId="8" borderId="12" xfId="0" applyNumberFormat="1" applyFont="1" applyFill="1" applyBorder="1"/>
    <x:xf numFmtId="204" fontId="9" fillId="8" borderId="12" xfId="0" applyNumberFormat="1" applyFont="1" applyFill="1" applyBorder="1"/>
    <x:xf numFmtId="206" fontId="2" fillId="0" borderId="13" xfId="0" applyNumberFormat="1" applyFont="1" applyFill="1" applyBorder="1"/>
    <x:xf numFmtId="204" fontId="8" fillId="0" borderId="0" xfId="0" applyNumberFormat="1" applyFont="1" applyFill="1" applyBorder="1"/>
    <x:xf numFmtId="206" fontId="2" fillId="3" borderId="0" xfId="0" applyNumberFormat="1" applyFont="1" applyFill="1" applyBorder="1"/>
    <x:xf numFmtId="0" fontId="9" fillId="8" borderId="14" xfId="0" applyNumberFormat="1" applyFont="1" applyFill="1" applyBorder="1"/>
    <x:xf numFmtId="204" fontId="9" fillId="8" borderId="14" xfId="0" applyNumberFormat="1" applyFont="1" applyFill="1" applyBorder="1"/>
    <x:xf numFmtId="206" fontId="2" fillId="0" borderId="15" xfId="0" applyNumberFormat="1" applyFont="1" applyFill="1" applyBorder="1"/>
    <x:xf numFmtId="0" fontId="2" fillId="0" borderId="16" xfId="0" applyNumberFormat="1" applyFont="1" applyFill="1" applyBorder="1"/>
    <x:xf numFmtId="206" fontId="2" fillId="0" borderId="16" xfId="0" applyNumberFormat="1" applyFont="1" applyFill="1" applyBorder="1"/>
    <x:xf numFmtId="0" fontId="0" fillId="9" borderId="0" xfId="0" applyNumberFormat="1" applyFont="1" applyFill="1" applyBorder="1"/>
    <x:xf numFmtId="0" fontId="1" fillId="9" borderId="0" xfId="0" applyNumberFormat="1" applyFont="1" applyFill="1" applyBorder="1"/>
    <x:xf numFmtId="200" fontId="1" fillId="9" borderId="0" xfId="0" applyNumberFormat="1" applyFont="1" applyFill="1" applyBorder="1"/>
    <x:xf numFmtId="205" fontId="1" fillId="0" borderId="0" xfId="0" applyNumberFormat="1" applyFont="1" applyFill="1" applyBorder="1"/>
    <x:xf numFmtId="0" fontId="10" fillId="0" borderId="0" xfId="0" applyNumberFormat="1" applyFont="1" applyFill="1" applyBorder="1"/>
    <x:xf numFmtId="200" fontId="10" fillId="0" borderId="0" xfId="0" applyNumberFormat="1" applyFont="1" applyFill="1" applyBorder="1"/>
    <x:xf numFmtId="0" fontId="0" fillId="10" borderId="0" xfId="0" applyNumberFormat="1" applyFont="1" applyFill="1" applyBorder="1"/>
    <x:xf numFmtId="0" fontId="11" fillId="10" borderId="0" xfId="0" applyNumberFormat="1" applyFont="1" applyFill="1" applyBorder="1"/>
    <x:xf numFmtId="0" fontId="11" fillId="10" borderId="22" xfId="0" applyNumberFormat="1" applyFont="1" applyFill="1" applyBorder="1"/>
    <x:xf numFmtId="200" fontId="11" fillId="10" borderId="22" xfId="0" applyNumberFormat="1" applyFont="1" applyFill="1" applyBorder="1"/>
    <x:xf numFmtId="0" fontId="2" fillId="0" borderId="23" xfId="0" applyNumberFormat="1" applyFont="1" applyFill="1" applyBorder="1"/>
    <x:xf numFmtId="200" fontId="2" fillId="0" borderId="23" xfId="0" applyNumberFormat="1" applyFont="1" applyFill="1" applyBorder="1"/>
    <x:xf numFmtId="0" fontId="7" fillId="3" borderId="23" xfId="0" applyNumberFormat="1" applyFont="1" applyFill="1" applyBorder="1"/>
    <x:xf numFmtId="202" fontId="7" fillId="3" borderId="23" xfId="0" applyNumberFormat="1" applyFont="1" applyFill="1" applyBorder="1"/>
    <x:xf numFmtId="0" fontId="7" fillId="0" borderId="0" xfId="0" applyNumberFormat="1" applyFont="1" applyFill="1" applyBorder="1"/>
    <x:xf numFmtId="202" fontId="7" fillId="0" borderId="0" xfId="0" applyNumberFormat="1" applyFont="1" applyFill="1" applyBorder="1"/>
    <x:xf numFmtId="211" fontId="2" fillId="0" borderId="0" xfId="0" applyNumberFormat="1" applyFont="1" applyFill="1" applyBorder="1"/>
    <x:xf numFmtId="205" fontId="2" fillId="0" borderId="23" xfId="0" applyNumberFormat="1" applyFont="1" applyFill="1" applyBorder="1"/>
    <x:xf numFmtId="0" fontId="0" fillId="11" borderId="0" xfId="0" applyNumberFormat="1" applyFont="1" applyFill="1" applyBorder="1"/>
    <x:xf numFmtId="0" fontId="1" fillId="11" borderId="0" xfId="0" applyNumberFormat="1" applyFont="1" applyFill="1" applyBorder="1"/>
    <x:xf numFmtId="200" fontId="1" fillId="11" borderId="0" xfId="0" applyNumberFormat="1" applyFont="1" applyFill="1" applyBorder="1"/>
    <x:xf numFmtId="0" fontId="2" fillId="11" borderId="0" xfId="0" applyNumberFormat="1" applyFont="1" applyFill="1" applyBorder="1"/>
    <x:xf numFmtId="205" fontId="2" fillId="11" borderId="0" xfId="0" applyNumberFormat="1" applyFont="1" applyFill="1" applyBorder="1"/>
    <x:xf numFmtId="212" fontId="2" fillId="0" borderId="0" xfId="0" applyNumberFormat="1" applyFont="1" applyFill="1" applyBorder="1"/>
    <x:xf numFmtId="212" fontId="2" fillId="0" borderId="23" xfId="0" applyNumberFormat="1" applyFont="1" applyFill="1" applyBorder="1"/>
    <x:xf numFmtId="0" fontId="7" fillId="0" borderId="23" xfId="0" applyNumberFormat="1" applyFont="1" applyFill="1" applyBorder="1"/>
    <x:xf numFmtId="205" fontId="7" fillId="0" borderId="23" xfId="0" applyNumberFormat="1" applyFont="1" applyFill="1" applyBorder="1"/>
    <x:xf numFmtId="211" fontId="2" fillId="0" borderId="23" xfId="0" applyNumberFormat="1" applyFont="1" applyFill="1" applyBorder="1"/>
    <x:xf numFmtId="0" fontId="8" fillId="0" borderId="23" xfId="0" applyNumberFormat="1" applyFont="1" applyFill="1" applyBorder="1"/>
    <x:xf numFmtId="200" fontId="8" fillId="0" borderId="23" xfId="0" applyNumberFormat="1" applyFont="1" applyFill="1" applyBorder="1"/>
    <x:xf numFmtId="213" fontId="0" fillId="0" borderId="0" xfId="0" applyNumberFormat="1" applyFont="1" applyFill="1" applyBorder="1"/>
    <x:xf numFmtId="213" fontId="0" fillId="0" borderId="0" xfId="0" applyNumberFormat="1" applyFont="1" applyFill="1" applyBorder="1" applyAlignment="1">
      <x:alignment wrapText="1"/>
    </x:xf>
    <x:xf numFmtId="213" fontId="0" fillId="12" borderId="0" xfId="0" applyNumberFormat="1" applyFont="1" applyFill="1" applyBorder="1" applyAlignment="1">
      <x:alignment wrapText="1"/>
    </x:xf>
    <x:xf numFmtId="213" fontId="11" fillId="12" borderId="0" xfId="0" applyNumberFormat="1" applyFont="1" applyFill="1" applyBorder="1" applyAlignment="1">
      <x:alignment wrapText="1"/>
    </x:xf>
    <x:xf numFmtId="214" fontId="0" fillId="0" borderId="0" xfId="0" applyNumberFormat="1" applyFont="1" applyFill="1" applyBorder="1"/>
    <x:xf numFmtId="215" fontId="0" fillId="0" borderId="0" xfId="0" applyNumberFormat="1" applyFont="1" applyFill="1" applyBorder="1"/>
    <x:xf numFmtId="214" fontId="0" fillId="0" borderId="0" xfId="0" applyNumberFormat="1" applyFont="1" applyFill="1" applyBorder="1" applyAlignment="1">
      <x:alignment wrapText="1"/>
    </x:xf>
    <x:xf numFmtId="215" fontId="0" fillId="0" borderId="0" xfId="0" applyNumberFormat="1" applyFont="1" applyFill="1" applyBorder="1" applyAlignment="1">
      <x:alignment wrapText="1"/>
    </x:xf>
    <x:xf numFmtId="216" fontId="0" fillId="0" borderId="0" xfId="0" applyNumberFormat="1" applyFont="1" applyFill="1" applyBorder="1"/>
    <x:xf numFmtId="216" fontId="0" fillId="13" borderId="0" xfId="0" applyNumberFormat="1" applyFont="1" applyFill="1" applyBorder="1"/>
    <x:xf numFmtId="216" fontId="7" fillId="13" borderId="0" xfId="0" applyNumberFormat="1" applyFont="1" applyFill="1" applyBorder="1"/>
    <x:xf numFmtId="217" fontId="0" fillId="0" borderId="0" xfId="0" applyNumberFormat="1" applyFont="1" applyFill="1" applyBorder="1"/>
    <x:xf numFmtId="204" fontId="0" fillId="0" borderId="0" xfId="0" applyNumberFormat="1" applyFont="1" applyFill="1" applyBorder="1"/>
    <x:xf numFmtId="204" fontId="0" fillId="13" borderId="0" xfId="0" applyNumberFormat="1" applyFont="1" applyFill="1" applyBorder="1"/>
    <x:xf numFmtId="204" fontId="7" fillId="13" borderId="0" xfId="0" applyNumberFormat="1" applyFont="1" applyFill="1" applyBorder="1"/>
    <x:xf numFmtId="0" fontId="0" fillId="0" borderId="0" xfId="0" applyNumberFormat="1" applyFont="1" applyFill="1" applyBorder="1" applyAlignment="1">
      <x:alignment wrapText="1"/>
    </x:xf>
    <x:xf numFmtId="214" fontId="2" fillId="0" borderId="0" xfId="0" applyNumberFormat="1" applyFont="1" applyFill="1" applyBorder="1"/>
    <x:xf numFmtId="214" fontId="1" fillId="0" borderId="0" xfId="0" applyNumberFormat="1" applyFont="1" applyFill="1" applyBorder="1"/>
    <x:xf numFmtId="200" fontId="2" fillId="0" borderId="0" xfId="0" applyNumberFormat="1" applyFont="1" applyFill="1" applyBorder="1" applyAlignment="1">
      <x:alignment wrapText="1"/>
    </x:xf>
    <x:xf numFmtId="218" fontId="2" fillId="0" borderId="0" xfId="0" applyNumberFormat="1" applyFont="1" applyFill="1" applyBorder="1"/>
    <x:xf numFmtId="200" fontId="1" fillId="0" borderId="0" xfId="0" applyNumberFormat="1" applyFont="1" applyFill="1" applyBorder="1" applyAlignment="1">
      <x:alignment wrapText="1"/>
    </x:xf>
    <x:xf numFmtId="200" fontId="8" fillId="0" borderId="0" xfId="0" applyNumberFormat="1" applyFont="1" applyFill="1" applyBorder="1" applyAlignment="1">
      <x:alignment wrapText="1"/>
    </x:xf>
    <x:xf numFmtId="200" fontId="1" fillId="12" borderId="0" xfId="0" applyNumberFormat="1" applyFont="1" applyFill="1" applyBorder="1" applyAlignment="1">
      <x:alignment wrapText="1"/>
    </x:xf>
    <x:xf numFmtId="0" fontId="0" fillId="12" borderId="0" xfId="0" applyNumberFormat="1" applyFont="1" applyFill="1" applyBorder="1" applyAlignment="1">
      <x:alignment wrapText="1"/>
    </x:xf>
    <x:xf numFmtId="200" fontId="11" fillId="12" borderId="0" xfId="0" applyNumberFormat="1" applyFont="1" applyFill="1" applyBorder="1" applyAlignment="1">
      <x:alignment wrapText="1"/>
    </x:xf>
    <x:xf numFmtId="0" fontId="11" fillId="12" borderId="0" xfId="0" applyNumberFormat="1" applyFont="1" applyFill="1" applyBorder="1" applyAlignment="1">
      <x:alignment wrapText="1"/>
    </x:xf>
    <x:xf numFmtId="214" fontId="2" fillId="0" borderId="13" xfId="0" applyNumberFormat="1" applyFont="1" applyFill="1" applyBorder="1"/>
    <x:xf numFmtId="214" fontId="2" fillId="3" borderId="0" xfId="0" applyNumberFormat="1" applyFont="1" applyFill="1" applyBorder="1"/>
    <x:xf numFmtId="214" fontId="2" fillId="0" borderId="15" xfId="0" applyNumberFormat="1" applyFont="1" applyFill="1" applyBorder="1"/>
    <x:xf numFmtId="214" fontId="2" fillId="0" borderId="16" xfId="0" applyNumberFormat="1" applyFont="1" applyFill="1" applyBorder="1"/>
    <x:xf numFmtId="200" fontId="10" fillId="0" borderId="0" xfId="0" applyNumberFormat="1" applyFont="1" applyFill="1" applyBorder="1" applyAlignment="1">
      <x:alignment wrapText="1"/>
    </x:xf>
    <x:xf numFmtId="219" fontId="0" fillId="0" borderId="0" xfId="0" applyNumberFormat="1" applyFont="1" applyFill="1" applyBorder="1"/>
    <x:xf numFmtId="219" fontId="0" fillId="13" borderId="0" xfId="0" applyNumberFormat="1" applyFont="1" applyFill="1" applyBorder="1"/>
    <x:xf numFmtId="219" fontId="7" fillId="13" borderId="0" xfId="0" applyNumberFormat="1" applyFont="1" applyFill="1" applyBorder="1"/>
    <x:xf numFmtId="200" fontId="8" fillId="0" borderId="23" xfId="0" applyNumberFormat="1" applyFont="1" applyFill="1" applyBorder="1" applyAlignment="1">
      <x:alignment wrapText="1"/>
    </x:xf>
    <x:xf numFmtId="200" fontId="2" fillId="0" borderId="23" xfId="0" applyNumberFormat="1" applyFont="1" applyFill="1" applyBorder="1" applyAlignment="1">
      <x:alignment wrapText="1"/>
    </x:xf>
    <x:xf numFmtId="200" fontId="1" fillId="11" borderId="0" xfId="0" applyNumberFormat="1" applyFont="1" applyFill="1" applyBorder="1" applyAlignment="1">
      <x:alignment wrapText="1"/>
    </x:xf>
    <x:xf numFmtId="220" fontId="2" fillId="0" borderId="0" xfId="0" applyNumberFormat="1" applyFont="1" applyFill="1" applyBorder="1"/>
    <x:xf numFmtId="0" fontId="12" fillId="0" borderId="0" xfId="0" applyNumberFormat="1" applyFont="1" applyFill="1" applyBorder="1"/>
    <x:xf numFmtId="213" fontId="0" fillId="13" borderId="0" xfId="0" applyNumberFormat="1" applyFont="1" applyFill="1" applyBorder="1" applyAlignment="1">
      <x:alignment wrapText="1"/>
    </x:xf>
    <x:xf numFmtId="217" fontId="0" fillId="0" borderId="0" xfId="0" applyNumberFormat="1" applyFont="1" applyFill="1" applyBorder="1" applyAlignment="1">
      <x:alignment wrapText="1"/>
    </x:xf>
    <x:xf numFmtId="221" fontId="0" fillId="0" borderId="0" xfId="0" applyNumberFormat="1" applyFont="1" applyFill="1" applyBorder="1" applyAlignment="1">
      <x:alignment wrapText="1"/>
    </x:xf>
    <x:xf numFmtId="213" fontId="13" fillId="0" borderId="0" xfId="0" applyNumberFormat="1" applyFont="1" applyFill="1" applyBorder="1"/>
    <x:xf numFmtId="213" fontId="13" fillId="0" borderId="0" xfId="0" applyNumberFormat="1" applyFont="1" applyFill="1" applyBorder="1" applyAlignment="1">
      <x:alignment wrapText="1"/>
    </x:xf>
    <x:xf numFmtId="219" fontId="13" fillId="0" borderId="0" xfId="0" applyNumberFormat="1" applyFont="1" applyFill="1" applyBorder="1"/>
    <x:xf numFmtId="219" fontId="0" fillId="0" borderId="0" xfId="0" applyNumberFormat="1" applyFont="1" applyFill="1" applyBorder="1" applyAlignment="1">
      <x:alignment wrapText="1"/>
    </x:xf>
    <x:xf numFmtId="219" fontId="11" fillId="12" borderId="0" xfId="0" applyNumberFormat="1" applyFont="1" applyFill="1" applyBorder="1" applyAlignment="1">
      <x:alignment wrapText="1"/>
    </x:xf>
    <x:xf numFmtId="215" fontId="2" fillId="0" borderId="0" xfId="0" applyNumberFormat="1" applyFont="1" applyFill="1" applyBorder="1"/>
  </x:cellXfs>
  <x:cellStyles count="1">
    <x:cellStyle name="Normal" xfId="0"/>
  </x:cellStyles>
  <x:dxfs count="2">
    <x:dxf>
      <x:font>
        <x:color rgb="FF9C0006"/>
      </x:font>
      <x:fill>
        <x:patternFill patternType="solid">
          <x:bgColor rgb="FFFCE4D6"/>
        </x:patternFill>
      </x:fill>
    </x:dxf>
    <x:dxf>
      <x:font>
        <x:color rgb="FF006100"/>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bc803b88cc44bb" /><Relationship Type="http://schemas.openxmlformats.org/officeDocument/2006/relationships/theme" Target="/xl/theme/theme1.xml" Id="R08d3b95b74954491" /><Relationship Type="http://schemas.openxmlformats.org/officeDocument/2006/relationships/sharedStrings" Target="/xl/sharedStrings.xml" Id="Ra90b4590981f4e2d" /><Relationship Type="http://schemas.openxmlformats.org/officeDocument/2006/relationships/worksheet" Target="/xl/worksheets/sheet1.xml" Id="Ra437f857a6884ad3" /><Relationship Type="http://schemas.openxmlformats.org/officeDocument/2006/relationships/worksheet" Target="/xl/worksheets/sheet2.xml" Id="Rc4c18aa1fb004291" /><Relationship Type="http://schemas.openxmlformats.org/officeDocument/2006/relationships/worksheet" Target="/xl/worksheets/sheet3.xml" Id="R3dfb0ec540844364" /><Relationship Type="http://schemas.openxmlformats.org/officeDocument/2006/relationships/worksheet" Target="/xl/worksheets/sheet4.xml" Id="Rf508a98e1b0a41a9" /><Relationship Type="http://schemas.openxmlformats.org/officeDocument/2006/relationships/worksheet" Target="/xl/worksheets/sheet5.xml" Id="Rb0584367dffd4198" /><Relationship Type="http://schemas.openxmlformats.org/officeDocument/2006/relationships/worksheet" Target="/xl/worksheets/sheet6.xml" Id="Rb9f9a6ffddc8483f" /><Relationship Type="http://schemas.microsoft.com/office/2017/10/relationships/person" Target="/xl/persons/person.xml" Id="R81c48bc67d504bb6" /></Relationships>
</file>

<file path=xl/persons/person.xml><?xml version="1.0" encoding="utf-8"?>
<xltc:personList xmlns:xltc="http://schemas.microsoft.com/office/spreadsheetml/2018/threadedcomments">
  <xltc:person displayName="Felipe Monteiro" id="{461E1B8F-9C86-4026-BDB3-00DD0BA68A16}"/>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H6" dT="2026-08-31T15:01:04.605" personId="{461E1B8F-9C86-4026-BDB3-00DD0BA68A16}" id="{5F73112E-633B-4B8E-B636-9C61CF2DE1B3}">
    <xltc:text>Original source note (2026-07-13T12:57:03.76), preserved from supplied workbook:
Mizuho: 1,2T</xltc:text>
  </xltc:threadedComment>
  <xltc:threadedComment ref="G18" dT="2026-08-31T15:01:04.606" personId="{461E1B8F-9C86-4026-BDB3-00DD0BA68A16}" id="{2CAB4B10-9810-4298-854D-A4417BAB5148}">
    <xltc:text>Original source note (2026-07-13T12:54:11.38), preserved from supplied workbook:
BofA 12/7/26: 160bi</xltc:text>
  </xltc:threadedComment>
  <xltc:threadedComment ref="H18" dT="2026-08-31T15:01:04.606" personId="{461E1B8F-9C86-4026-BDB3-00DD0BA68A16}" id="{44D39E46-CFBB-4F14-843D-F5F8C83EC067}">
    <xltc:text>Original source note (2026-07-13T12:54:25.16), preserved from supplied workbook:
BofA 12/7/26: 230bi</xltc:text>
  </xltc:threadedComment>
  <xltc:threadedComment ref="I18" dT="2026-08-31T15:01:04.606" personId="{461E1B8F-9C86-4026-BDB3-00DD0BA68A16}" id="{8AD0E0FD-CBA4-4FA1-98CC-62680B431A52}">
    <xltc:text>Original source note (2026-07-13T12:54:36.87), preserved from supplied workbook:
BofA 12/7/26: 270bi</xltc:text>
  </xltc:threadedComment>
  <xltc:threadedComment ref="G19" dT="2026-08-31T15:01:04.606" personId="{461E1B8F-9C86-4026-BDB3-00DD0BA68A16}" id="{3679CE29-FDE4-4A27-AC7C-1CA45C3EC274}">
    <xltc:text>Original source note (2026-07-13T12:52:21.82), preserved from supplied workbook:
BofA 12/7/26: 195bi</xltc:text>
  </xltc:threadedComment>
  <xltc:threadedComment ref="H19" dT="2026-08-31T15:01:04.606" personId="{461E1B8F-9C86-4026-BDB3-00DD0BA68A16}" id="{422A818A-3593-4D55-A5CE-A51AE6877C9E}">
    <xltc:text>Original source note (2026-07-13T12:52:38.75), preserved from supplied workbook:
BofA 12/7/26: 195bi</xltc:text>
  </xltc:threadedComment>
  <xltc:threadedComment ref="I19" dT="2026-08-31T15:01:04.606" personId="{461E1B8F-9C86-4026-BDB3-00DD0BA68A16}" id="{0C207E6F-DEB9-4074-AD7C-7676242C1282}">
    <xltc:text>Original source note (2026-07-13T12:52:52.18), preserved from supplied workbook:
BofA 12/7/26: 330bi</xltc:text>
  </xltc:threadedComment>
  <xltc:threadedComment ref="G20" dT="2026-08-31T15:01:04.607" personId="{461E1B8F-9C86-4026-BDB3-00DD0BA68A16}" id="{FE95BD36-44B7-4517-91E8-A2818D30DD5B}">
    <xltc:text>Original source note (2026-07-13T12:53:31.29), preserved from supplied workbook:
BofA 12/7/26: 145bi</xltc:text>
  </xltc:threadedComment>
  <xltc:threadedComment ref="H20" dT="2026-08-31T15:01:04.607" personId="{461E1B8F-9C86-4026-BDB3-00DD0BA68A16}" id="{1EB49534-78A9-464F-ADC3-E9066FBE44EC}">
    <xltc:text>Original source note (2026-07-13T12:53:40.06), preserved from supplied workbook:
BofA 12/7/26: 185bi</xltc:text>
  </xltc:threadedComment>
  <xltc:threadedComment ref="I20" dT="2026-08-31T15:01:04.607" personId="{461E1B8F-9C86-4026-BDB3-00DD0BA68A16}" id="{C2C606F0-0300-4665-B411-A4CA237705D1}">
    <xltc:text>Original source note (2026-07-13T12:53:49.45), preserved from supplied workbook:
BofA 12/7/26: 210bi</xltc:text>
  </xltc:threadedComment>
  <xltc:threadedComment ref="C30" dT="2026-08-31T15:01:04.607" personId="{461E1B8F-9C86-4026-BDB3-00DD0BA68A16}" id="{7FBD039C-5438-4E16-9118-8C42ED334355}">
    <xltc:text>Original source note (2026-06-26T17:50:08.51), preserved from supplied workbook:
Pode ter double counting. 
Ex: o Capex da CRWE é o Capex de finance lease da Microsoft. 
Ex2: O Capex da Oracle e da OAI podem estar double counting, pq a Oracle possui tbm o modelo de "BYOC" (OAI paga o capex de chip e Oracle paga o resto)</xltc:text>
  </xltc:threadedComment>
  <xltc:threadedComment ref="H30" dT="2026-08-31T15:01:04.607" personId="{461E1B8F-9C86-4026-BDB3-00DD0BA68A16}" id="{42D0C9CD-BD99-4D63-8DC0-76AC22749788}">
    <xltc:text>Original source note (2026-07-13T19:44:23.13), preserved from supplied workbook:
We believe neoclouds and Tier II CSPs (OCI, xAI) will also continue to aggressively ramp spending into 2027E, with capex estimated at $398B, up 42% y/y, and 2028E estimated at $485B, up 22% y/y, driven by continued drive to add as much capacity as possible. We believe the key drives of neocloud/Tier II CSP capex to be ORCL (Outperform, $320PT), OCI, xAI, CRWV (Neutral, $110PT), NBIS (NC), WULF (NC) and IREN (NC), while we note continued strong spend tailwinds from Fluidstack with Anthropic (Link) and the AVGO/BX (NC)/APO (NC) AI XPV platform, with potential enabling 20GW of capacity longer term</xltc:text>
  </xltc:threadedComment>
  <xltc:threadedComment ref="C31" dT="2026-08-31T15:01:04.607" personId="{461E1B8F-9C86-4026-BDB3-00DD0BA68A16}" id="{C0A86ABE-8DFB-4420-B79E-85DEE35E20C3}">
    <xltc:text>Original source note (2026-06-26T17:46:36.04), preserved from supplied workbook:
Est. MS</xltc:text>
  </xltc:threadedComment>
  <xltc:threadedComment ref="G33" dT="2026-08-31T15:01:04.607" personId="{461E1B8F-9C86-4026-BDB3-00DD0BA68A16}" id="{13FAA883-105A-4523-84F6-C84D4DD24DE1}">
    <xltc:text>Original source note (2026-07-13T13:18:17.56), preserved from supplied workbook:
MS 36BI</xltc:text>
  </xltc:threadedComment>
  <xltc:threadedComment ref="H33" dT="2026-08-31T15:01:04.607" personId="{461E1B8F-9C86-4026-BDB3-00DD0BA68A16}" id="{CE933822-D660-49CA-90F3-8B189CB0164C}">
    <xltc:text>Original source note (2026-07-13T13:18:41.02), preserved from supplied workbook:
MS 70BI</xltc:text>
  </xltc:threadedComment>
  <xltc:threadedComment ref="I33" dT="2026-08-31T15:01:04.607" personId="{461E1B8F-9C86-4026-BDB3-00DD0BA68A16}" id="{D99D4356-387D-4A2D-91B3-704258B26C5A}">
    <xltc:text>Original source note (2026-07-13T13:18:51.31), preserved from supplied workbook:
MS 110BI</xltc:text>
  </xltc:threadedComment>
  <xltc:threadedComment ref="F36" dT="2026-08-31T15:01:04.607" personId="{461E1B8F-9C86-4026-BDB3-00DD0BA68A16}" id="{EBA192E2-261C-4DBC-9B5C-933F9732E3B7}">
    <xltc:text>Original source note (2026-06-26T17:37:56.13), preserved from supplied workbook:
~20bi Xai (Alphasense)</xltc:text>
  </xltc:threadedComment>
  <xltc:threadedComment ref="G36" dT="2026-08-31T15:01:04.607" personId="{461E1B8F-9C86-4026-BDB3-00DD0BA68A16}" id="{DA25A883-8FF6-49EA-97EB-917DCAC74FCB}">
    <xltc:text>Original source note (2026-06-26T17:37:56.13), preserved from supplied workbook:
~20bi Xai (Alphasense)
~20bi Bytedance (Alphasense)</xltc:text>
  </xltc:threadedComment>
  <xltc:threadedComment ref="H42" dT="2026-08-31T15:01:04.607" personId="{461E1B8F-9C86-4026-BDB3-00DD0BA68A16}" id="{991A1081-01EF-4DB5-B265-E4C0E3815B2F}">
    <xltc:text>Original source note (2026-06-29T22:38:22.30), preserved from supplied workbook:
Felipe 120bi</xltc:text>
  </xltc:threadedComment>
  <xltc:threadedComment ref="H52" dT="2026-08-31T15:01:04.757" personId="{461E1B8F-9C86-4026-BDB3-00DD0BA68A16}" id="{2552AE1D-AE59-4AEB-816B-8F41727DAF1E}">
    <xltc:text>Explicit arithmetic bridge: original Trainium + MSFT minus original MRVL equals original Alchip exactly in CY2027/28. This preserves all supplied totals. The commercial allocation interpretation remains unverified.</xltc:text>
  </xltc:threadedComment>
  <xltc:threadedComment ref="D36" dT="2026-08-31T15:01:04.758" personId="{461E1B8F-9C86-4026-BDB3-00DD0BA68A16}" id="{2C854DE8-4959-46D1-8159-94F781770EE5}">
    <xltc:text>Negative supplied residual preserved, not literal negative spending. No unsupported input correction or double-count elimination was invented.</xltc:text>
  </xltc:threadedComment>
  <xltc:threadedComment ref="F36" dT="2026-08-31T15:01:04.758" personId="{461E1B8F-9C86-4026-BDB3-00DD0BA68A16}" id="{06AE5843-291E-4429-A1E7-4691BDAEAA65}">
    <xltc:text>Negative supplied residual preserved. Source notes and reconciliation caveats are listed on Audit &amp; Checks.</xltc:text>
  </xltc:threadedComment>
  <xltc:threadedComment ref="D56" dT="2026-08-31T15:01:04.758" personId="{461E1B8F-9C86-4026-BDB3-00DD0BA68A16}" id="{67B8FA42-A820-43F9-960E-1EBC3D82B2F4}">
    <xltc:text>Historical networking input was not supplied. No zero or alternative source value has been asserted. Historical modeled revenue is incomplete unless chips already includes networking; forecast valuation is unaffected.</xltc:text>
  </xltc:threadedComment>
  <xltc:threadedComment ref="E56" dT="2026-08-31T15:01:04.758" personId="{461E1B8F-9C86-4026-BDB3-00DD0BA68A16}" id="{D0B5A793-86C7-4ADC-8645-81BAFEA3550B}">
    <xltc:text>Historical networking input was not supplied. No zero or alternative source value has been asserted. Historical modeled revenue is incomplete unless chips already includes networking; forecast valuation is unaffected.</xltc:text>
  </xltc:threadedComment>
</xltc:ThreadedComments>
</file>

<file path=xl/threadedcomments/threadedcomment2.xml><?xml version="1.0" encoding="utf-8"?>
<xltc:ThreadedComments xmlns:xltc="http://schemas.microsoft.com/office/spreadsheetml/2018/threadedcomments">
  <xltc:threadedComment ref="D7" dT="2026-08-31T15:01:05.87" personId="{461E1B8F-9C86-4026-BDB3-00DD0BA68A16}" id="{6666D6A8-6486-4108-88B5-59D29F1C7817}">
    <xltc:text>Preserved at 90%, as in supplied workbook saved 31-Aug-2026. This is a commercial input, not a verified industry margin. All ROIC results are conditional on it.</xltc:text>
  </xltc:threadedComment>
  <xltc:threadedComment ref="D40" dT="2026-08-31T15:01:05.87" personId="{461E1B8F-9C86-4026-BDB3-00DD0BA68A16}" id="{50FAEA42-AE99-437E-BF17-DD8672FDB1F2}">
    <xltc:text>Set consistently to two years, preserving the original fleet lag and matching the original title. Original single-vintage formulas used one year; this inconsistency is corrected.</xltc:text>
  </xltc:threadedComment>
  <xltc:threadedComment ref="D41" dT="2026-08-31T15:01:05.87" personId="{461E1B8F-9C86-4026-BDB3-00DD0BA68A16}" id="{554A9F8E-5C56-458E-8DD6-9238F0F87111}">
    <xltc:text>Original stated asset-life assumption: 5 years. Now applied separately by asset class and vintage, instead of a blended lifetime.</xltc:text>
  </xltc:threadedComment>
  <xltc:threadedComment ref="D42" dT="2026-08-31T15:01:05.87" personId="{461E1B8F-9C86-4026-BDB3-00DD0BA68A16}" id="{8E69728D-9847-490B-8F57-B0BC7764B230}">
    <xltc:text>Original stated asset-life assumption: 6 years. Now applied separately by asset class and vintage, instead of a blended lifetime.</xltc:text>
  </xltc:threadedComment>
  <xltc:threadedComment ref="D43" dT="2026-08-31T15:01:05.87" personId="{461E1B8F-9C86-4026-BDB3-00DD0BA68A16}" id="{5BED9D36-E906-4903-AEBA-B1F62EBA35E1}">
    <xltc:text>Original stated asset-life assumption: 15 years. Now applied separately by asset class and vintage, instead of a blended lifetime.</xltc:text>
  </xltc:threadedComment>
</xltc:ThreadedComments>
</file>

<file path=xl/threadedcomments/threadedcomment3.xml><?xml version="1.0" encoding="utf-8"?>
<xltc:ThreadedComments xmlns:xltc="http://schemas.microsoft.com/office/spreadsheetml/2018/threadedcomments">
  <xltc:threadedComment ref="D5" dT="2026-08-31T15:01:04.657" personId="{461E1B8F-9C86-4026-BDB3-00DD0BA68A16}" id="{13FF74B9-95CA-4AAE-8640-7FF6BAEDDA42}">
    <xltc:text>Original E88 valuation date, retained to isolate formula corrections. Source: supplied workbook saved 31-Aug-2026.</xltc:text>
  </xltc:threadedComment>
  <xltc:threadedComment ref="D16" dT="2026-08-31T15:01:04.657" personId="{461E1B8F-9C86-4026-BDB3-00DD0BA68A16}" id="{B21703FD-DC47-40B5-99B3-51720E8D4293}">
    <xltc:text>Original Capa DCF - Base!Z78 = 100%. Preserved commercial assumption, not a validated sustainable payout. Change this input to run a payout sensitivity.</xltc:text>
  </xltc:threadedComment>
</xltc:ThreadedComments>
</file>

<file path=xl/threadedcomments/threadedcomment4.xml><?xml version="1.0" encoding="utf-8"?>
<xltc:ThreadedComments xmlns:xltc="http://schemas.microsoft.com/office/spreadsheetml/2018/threadedcomments">
  <xltc:threadedComment ref="D6" dT="2026-08-31T15:01:04.613" personId="{461E1B8F-9C86-4026-BDB3-00DD0BA68A16}" id="{D7822BA5-75EF-4556-8E30-6F34DDF23634}">
    <xltc:text>Source: R:/Modelo Felipe NVDA .xlsx | Total rev rows 7 | EV:FA | file saved 27-Aug-2026; 24 direct cells independently verified 31-Aug-2026.</xltc:text>
  </xltc:threadedComment>
  <xltc:threadedComment ref="D7" dT="2026-08-31T15:01:04.614" personId="{461E1B8F-9C86-4026-BDB3-00DD0BA68A16}" id="{5B2EAA2A-AEED-45E3-B7B4-D7DFBB77DD79}">
    <xltc:text>Source: R:/Modelo Felipe NVDA .xlsx | Total rev rows 11 | EV:FA | file saved 27-Aug-2026; 24 direct cells independently verified 31-Aug-2026.</xltc:text>
  </xltc:threadedComment>
  <xltc:threadedComment ref="D8" dT="2026-08-31T15:01:04.614" personId="{461E1B8F-9C86-4026-BDB3-00DD0BA68A16}" id="{F7753DD5-7372-4BC3-8C5E-1DC2D122C716}">
    <xltc:text>Source: R:/Modelo Felipe NVDA .xlsx | Total rev rows 15 | EV:FA | file saved 27-Aug-2026; 24 direct cells independently verified 31-Aug-2026.</xltc:text>
  </xltc:threadedComment>
  <xltc:threadedComment ref="D9" dT="2026-08-31T15:01:04.614" personId="{461E1B8F-9C86-4026-BDB3-00DD0BA68A16}" id="{957CD7AE-7476-452A-B979-A6957E9FAB7D}">
    <xltc:text>Source: R:/Modelo Felipe NVDA .xlsx | Total rev rows 17 | EV:FA | file saved 27-Aug-2026; 24 direct cells independently verified 31-Aug-2026.</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db7aa7f51687476d" /><Relationship Type="http://schemas.openxmlformats.org/officeDocument/2006/relationships/vmlDrawing" Target="/xl/drawings/vmldrawing.vml" Id="R1fcdeaaac71a41f8" /><Relationship Type="http://schemas.microsoft.com/office/2017/10/relationships/threadedComment" Target="/xl/threadedcomments/threadedcomment.xml" Id="R53bcc4ddcd7448e5" /></Relationships>
</file>

<file path=xl/worksheets/_rels/sheet2.xml.rels>&#65279;<?xml version="1.0" encoding="utf-8"?><Relationships xmlns="http://schemas.openxmlformats.org/package/2006/relationships"><Relationship Type="http://schemas.openxmlformats.org/officeDocument/2006/relationships/comments" Target="/xl/comments2.xml" Id="Ra084ac2bb36e47a4" /><Relationship Type="http://schemas.openxmlformats.org/officeDocument/2006/relationships/vmlDrawing" Target="/xl/drawings/vmldrawing2.vml" Id="R3d51353ce5bd4385" /><Relationship Type="http://schemas.microsoft.com/office/2017/10/relationships/threadedComment" Target="/xl/threadedcomments/threadedcomment2.xml" Id="R6faca499d5474732" /></Relationships>
</file>

<file path=xl/worksheets/_rels/sheet3.xml.rels>&#65279;<?xml version="1.0" encoding="utf-8"?><Relationships xmlns="http://schemas.openxmlformats.org/package/2006/relationships"><Relationship Type="http://schemas.openxmlformats.org/officeDocument/2006/relationships/comments" Target="/xl/comments3.xml" Id="R0a38b1dc22674506" /><Relationship Type="http://schemas.openxmlformats.org/officeDocument/2006/relationships/vmlDrawing" Target="/xl/drawings/vmldrawing3.vml" Id="R577bfcd5d5784f86" /><Relationship Type="http://schemas.microsoft.com/office/2017/10/relationships/threadedComment" Target="/xl/threadedcomments/threadedcomment3.xml" Id="R6091137eda764291" /></Relationships>
</file>

<file path=xl/worksheets/_rels/sheet4.xml.rels>&#65279;<?xml version="1.0" encoding="utf-8"?><Relationships xmlns="http://schemas.openxmlformats.org/package/2006/relationships"><Relationship Type="http://schemas.openxmlformats.org/officeDocument/2006/relationships/comments" Target="/xl/comments4.xml" Id="Rf8e999ae00c44aba" /><Relationship Type="http://schemas.openxmlformats.org/officeDocument/2006/relationships/vmlDrawing" Target="/xl/drawings/vmldrawing4.vml" Id="R52cb3503dea44197" /><Relationship Type="http://schemas.microsoft.com/office/2017/10/relationships/threadedComment" Target="/xl/threadedcomments/threadedcomment4.xml" Id="R509a07781b0e4d7e" /></Relationships>
</file>

<file path=xl/worksheets/sheet1.xml><?xml version="1.0" encoding="utf-8"?>
<x:worksheet xmlns:x="http://schemas.openxmlformats.org/spreadsheetml/2006/main">
  <x:sheetFormatPr defaultRowHeight="15"/>
  <x:cols>
    <x:col min="3" max="3" width="40" hidden="0" customWidth="1"/>
    <x:col min="4" max="4" width="13.42578125" hidden="0" customWidth="1"/>
    <x:col min="5" max="5" width="14" hidden="0" customWidth="1"/>
    <x:col min="6" max="6" width="14" hidden="0" customWidth="1"/>
    <x:col min="7" max="7" width="14" hidden="0" customWidth="1"/>
    <x:col min="8" max="8" width="14" hidden="0" customWidth="1"/>
    <x:col min="9" max="9" width="11.28515625" hidden="0" customWidth="1"/>
    <x:col min="10" max="10" width="13" hidden="0" customWidth="1"/>
    <x:col min="11" max="11" width="12.42578125" hidden="0" customWidth="1"/>
    <x:col min="12" max="12" width="12.42578125" hidden="0" customWidth="1"/>
    <x:col min="13" max="13" width="12.42578125" hidden="0" customWidth="1"/>
    <x:col min="14" max="14" width="12.42578125" hidden="0" customWidth="1"/>
    <x:col min="15" max="15" width="12.42578125" hidden="0" customWidth="1"/>
    <x:col min="16" max="16" width="12.42578125" hidden="0" customWidth="1"/>
    <x:col min="17" max="17" width="12.42578125" hidden="0" customWidth="1"/>
    <x:col min="18" max="18" width="12.42578125" hidden="0" customWidth="1"/>
    <x:col min="19" max="19" width="12.42578125" hidden="0" customWidth="1"/>
    <x:col min="20" max="20" width="12.42578125" hidden="0" customWidth="1"/>
    <x:col min="21" max="21" width="12.42578125" hidden="0" customWidth="1"/>
    <x:col min="22" max="22" width="12.42578125" hidden="0" customWidth="1"/>
    <x:col min="23" max="23" width="12.42578125" hidden="0" customWidth="1"/>
    <x:col min="24" max="24" width="12.42578125" hidden="0" customWidth="1"/>
    <x:col min="25" max="25" width="12.42578125" hidden="0" customWidth="1"/>
    <x:col min="26" max="26" width="13.5703125" hidden="0" customWidth="1"/>
    <x:col min="27" max="27" width="14" hidden="0" customWidth="1"/>
  </x:cols>
  <x:sheetData>
    <x:row r="3" ht="25" customHeight="1">
      <x:c r="C3" s="184" t="str">
        <x:v>US$ millions | corrected copy 31-Aug-2026 | commercial inputs retained | see Audit &amp; Checks</x:v>
      </x:c>
      <x:c r="D3" s="184" t="str">
        <x:v>US$ millions | corrected copy 31-Aug-2026 | commercial inputs retained | see Audit &amp; Checks</x:v>
      </x:c>
      <x:c r="E3" s="184" t="str">
        <x:v>US$ millions | corrected copy 31-Aug-2026 | commercial inputs retained | see Audit &amp; Checks</x:v>
      </x:c>
      <x:c r="F3" s="184" t="str">
        <x:v>US$ millions | corrected copy 31-Aug-2026 | commercial inputs retained | see Audit &amp; Checks</x:v>
      </x:c>
      <x:c r="G3" s="184" t="str">
        <x:v>US$ millions | corrected copy 31-Aug-2026 | commercial inputs retained | see Audit &amp; Checks</x:v>
      </x:c>
      <x:c r="H3" s="184" t="str">
        <x:v>US$ millions | corrected copy 31-Aug-2026 | commercial inputs retained | see Audit &amp; Checks</x:v>
      </x:c>
      <x:c r="I3" s="184" t="str">
        <x:v>US$ millions | corrected copy 31-Aug-2026 | commercial inputs retained | see Audit &amp; Checks</x:v>
      </x:c>
      <x:c r="J3" s="184" t="str">
        <x:v>US$ millions | corrected copy 31-Aug-2026 | commercial inputs retained | see Audit &amp; Checks</x:v>
      </x:c>
      <x:c r="K3" s="184" t="str">
        <x:v>US$ millions | corrected copy 31-Aug-2026 | commercial inputs retained | see Audit &amp; Checks</x:v>
      </x:c>
      <x:c r="L3" s="184" t="str">
        <x:v>US$ millions | corrected copy 31-Aug-2026 | commercial inputs retained | see Audit &amp; Checks</x:v>
      </x:c>
      <x:c r="M3" s="184" t="str">
        <x:v>US$ millions | corrected copy 31-Aug-2026 | commercial inputs retained | see Audit &amp; Checks</x:v>
      </x:c>
      <x:c r="N3" s="184" t="str">
        <x:v>US$ millions | corrected copy 31-Aug-2026 | commercial inputs retained | see Audit &amp; Checks</x:v>
      </x:c>
      <x:c r="O3" s="184" t="str">
        <x:v>US$ millions | corrected copy 31-Aug-2026 | commercial inputs retained | see Audit &amp; Checks</x:v>
      </x:c>
      <x:c r="P3" s="184" t="str">
        <x:v>US$ millions | corrected copy 31-Aug-2026 | commercial inputs retained | see Audit &amp; Checks</x:v>
      </x:c>
      <x:c r="Q3" s="184" t="str">
        <x:v>US$ millions | corrected copy 31-Aug-2026 | commercial inputs retained | see Audit &amp; Checks</x:v>
      </x:c>
      <x:c r="R3" s="184" t="str">
        <x:v>US$ millions | corrected copy 31-Aug-2026 | commercial inputs retained | see Audit &amp; Checks</x:v>
      </x:c>
      <x:c r="S3" s="184" t="str">
        <x:v>US$ millions | corrected copy 31-Aug-2026 | commercial inputs retained | see Audit &amp; Checks</x:v>
      </x:c>
      <x:c r="T3" s="184" t="str">
        <x:v>US$ millions | corrected copy 31-Aug-2026 | commercial inputs retained | see Audit &amp; Checks</x:v>
      </x:c>
      <x:c r="U3" s="184" t="str">
        <x:v>US$ millions | corrected copy 31-Aug-2026 | commercial inputs retained | see Audit &amp; Checks</x:v>
      </x:c>
      <x:c r="V3" s="184" t="str">
        <x:v>US$ millions | corrected copy 31-Aug-2026 | commercial inputs retained | see Audit &amp; Checks</x:v>
      </x:c>
      <x:c r="W3" s="184" t="str">
        <x:v>US$ millions | corrected copy 31-Aug-2026 | commercial inputs retained | see Audit &amp; Checks</x:v>
      </x:c>
      <x:c r="X3" s="184" t="str">
        <x:v>US$ millions | corrected copy 31-Aug-2026 | commercial inputs retained | see Audit &amp; Checks</x:v>
      </x:c>
      <x:c r="Y3" s="184" t="str">
        <x:v>US$ millions | corrected copy 31-Aug-2026 | commercial inputs retained | see Audit &amp; Checks</x:v>
      </x:c>
      <x:c r="Z3" s="184" t="str">
        <x:v>US$ millions | corrected copy 31-Aug-2026 | commercial inputs retained | see Audit &amp; Checks</x:v>
      </x:c>
      <x:c r="AA3" s="184" t="str">
        <x:v>US$ millions | corrected copy 31-Aug-2026 | commercial inputs retained | see Audit &amp; Checks</x:v>
      </x:c>
    </x:row>
    <x:row r="4" ht="13.5" customHeight="1">
      <x:c r="D4" s="5" t="str">
        <x:v>CY23</x:v>
      </x:c>
      <x:c r="E4" s="8" t="str">
        <x:v>CY24</x:v>
      </x:c>
      <x:c r="F4" s="8" t="str">
        <x:v>CY25</x:v>
      </x:c>
      <x:c r="G4" s="8" t="str">
        <x:v>CY26E</x:v>
      </x:c>
      <x:c r="H4" s="8" t="str">
        <x:v>CY27E</x:v>
      </x:c>
      <x:c r="I4" s="11" t="str">
        <x:v>CY28E</x:v>
      </x:c>
      <x:c r="J4" s="8" t="str">
        <x:v>CY29</x:v>
      </x:c>
      <x:c r="K4" s="8" t="str">
        <x:v>CY30</x:v>
      </x:c>
      <x:c r="L4" s="8" t="str">
        <x:v>CY31</x:v>
      </x:c>
      <x:c r="M4" s="8" t="str">
        <x:v>CY32</x:v>
      </x:c>
      <x:c r="N4" s="8" t="str">
        <x:v>CY33</x:v>
      </x:c>
      <x:c r="O4" s="8" t="str">
        <x:v>CY34</x:v>
      </x:c>
      <x:c r="P4" s="8" t="str">
        <x:v>CY35</x:v>
      </x:c>
      <x:c r="Q4" s="8" t="str">
        <x:v>CY36</x:v>
      </x:c>
      <x:c r="R4" s="8" t="str">
        <x:v>CY37</x:v>
      </x:c>
      <x:c r="S4" s="8" t="str">
        <x:v>CY38</x:v>
      </x:c>
      <x:c r="T4" s="8" t="str">
        <x:v>CY39</x:v>
      </x:c>
      <x:c r="U4" s="8" t="str">
        <x:v>CY40</x:v>
      </x:c>
      <x:c r="V4" s="8" t="str">
        <x:v>CY41</x:v>
      </x:c>
      <x:c r="W4" s="8" t="str">
        <x:v>CY42</x:v>
      </x:c>
      <x:c r="X4" s="8" t="str">
        <x:v>CY43</x:v>
      </x:c>
      <x:c r="Y4" s="8" t="str">
        <x:v>CY44</x:v>
      </x:c>
      <x:c r="Z4" s="11" t="str">
        <x:v>CY45</x:v>
      </x:c>
      <x:c r="AA4" s="13" t="str">
        <x:v>Perp</x:v>
      </x:c>
    </x:row>
    <x:row r="5" ht="13.5" customHeight="1"/>
    <x:row r="6" ht="13.5" customHeight="1">
      <x:c r="C6" s="4" t="str">
        <x:v>Capex Total</x:v>
      </x:c>
      <x:c r="D6" s="14" t="n">
        <x:f>SUM(D7:D9)</x:f>
        <x:v>89712.40820607246</x:v>
      </x:c>
      <x:c r="E6" s="14" t="n">
        <x:f>SUM(E7:E9)</x:f>
        <x:v>233863.6914606447</x:v>
      </x:c>
      <x:c r="F6" s="14" t="n">
        <x:f>SUM(F7:F9)</x:f>
        <x:v>396260.75318642706</x:v>
      </x:c>
      <x:c r="G6" s="14" t="n">
        <x:f>SUM(G7:G9)</x:f>
        <x:v>901598.6609927113</x:v>
      </x:c>
      <x:c r="H6" s="14" t="n">
        <x:f>SUM(H7:H9)</x:f>
        <x:v>1885412.9385329485</x:v>
      </x:c>
      <x:c r="I6" s="14" t="n">
        <x:f>SUM(I7:I9)</x:f>
        <x:v>2913098.507988303</x:v>
      </x:c>
      <x:c r="J6" s="14" t="n">
        <x:f>+I6*(1+J10)</x:f>
        <x:v>3204408.3587871334</x:v>
      </x:c>
      <x:c r="K6" s="14" t="n">
        <x:f>+J6*(1+K10)</x:f>
        <x:v>3460761.027490104</x:v>
      </x:c>
      <x:c r="L6" s="14" t="n">
        <x:f>+K6*(1+L10)</x:f>
        <x:v>3737621.909689313</x:v>
      </x:c>
      <x:c r="M6" s="14" t="n">
        <x:f>+L6*(1+M10)</x:f>
        <x:v>4036631.662464458</x:v>
      </x:c>
      <x:c r="N6" s="14" t="n">
        <x:f>+M6*(1+N10)</x:f>
        <x:v>4359562.195461615</x:v>
      </x:c>
      <x:c r="O6" s="14" t="n">
        <x:f>+N6*(1+O10)</x:f>
        <x:v>4708327.171098544</x:v>
      </x:c>
      <x:c r="P6" s="14" t="n">
        <x:f>+O6*(1+P10)</x:f>
        <x:v>5084993.344786428</x:v>
      </x:c>
      <x:c r="Q6" s="14" t="n">
        <x:f>+P6*(1+Q10)</x:f>
        <x:v>5491792.812369343</x:v>
      </x:c>
      <x:c r="R6" s="14" t="n">
        <x:f>+Q6*(1+R10)</x:f>
        <x:v>5931136.2373588905</x:v>
      </x:c>
      <x:c r="S6" s="14" t="n">
        <x:f>+R6*(1+S10)</x:f>
        <x:v>6405627.136347602</x:v>
      </x:c>
      <x:c r="T6" s="14" t="n">
        <x:f>+S6*(1+T10)</x:f>
        <x:v>6918077.307255411</x:v>
      </x:c>
      <x:c r="U6" s="14" t="n">
        <x:f>+T6*(1+U10)</x:f>
        <x:v>7471523.491835844</x:v>
      </x:c>
      <x:c r="V6" s="14" t="n">
        <x:f>+U6*(1+V10)</x:f>
        <x:v>8069245.371182712</x:v>
      </x:c>
      <x:c r="W6" s="14" t="n">
        <x:f>+V6*(1+W10)</x:f>
        <x:v>8714785.00087733</x:v>
      </x:c>
      <x:c r="X6" s="14" t="n">
        <x:f>+W6*(1+X10)</x:f>
        <x:v>9411967.800947517</x:v>
      </x:c>
      <x:c r="Y6" s="14" t="n">
        <x:f>+X6*(1+Y10)</x:f>
        <x:v>10164925.22502332</x:v>
      </x:c>
      <x:c r="Z6" s="14" t="n">
        <x:f>+Y6*(1+Z10)</x:f>
        <x:v>10978119.243025186</x:v>
      </x:c>
    </x:row>
    <x:row r="7">
      <x:c r="C7" s="17" t="str">
        <x:v>Capex | Chips</x:v>
      </x:c>
      <x:c r="D7" s="19" t="n">
        <x:v>42411.78429459569</x:v>
      </x:c>
      <x:c r="E7" s="19" t="n">
        <x:v>114846.5079563297</x:v>
      </x:c>
      <x:c r="F7" s="19" t="n">
        <x:v>190171.36087311106</x:v>
      </x:c>
      <x:c r="G7" s="19" t="n">
        <x:v>399900.33876588667</x:v>
      </x:c>
      <x:c r="H7" s="19" t="n">
        <x:v>767002.6163141985</x:v>
      </x:c>
      <x:c r="I7" s="19" t="n">
        <x:v>1157436.3523740668</x:v>
      </x:c>
      <x:c r="J7" s="19" t="n">
        <x:f>+J6-J8-J9</x:f>
        <x:v>1200126.2558912728</x:v>
      </x:c>
      <x:c r="K7" s="19" t="n">
        <x:f>+K6-K8-K9</x:f>
        <x:v>1330743.9666374759</x:v>
      </x:c>
      <x:c r="L7" s="19" t="n">
        <x:f>+L6-L8-L9</x:f>
        <x:v>1474579.703065367</x:v>
      </x:c>
      <x:c r="M7" s="19" t="n">
        <x:f>+M6-M8-M9</x:f>
        <x:v>1632912.395935241</x:v>
      </x:c>
      <x:c r="N7" s="19" t="n">
        <x:f>+N6-N8-N9</x:f>
        <x:v>1807141.0095646763</x:v>
      </x:c>
      <x:c r="O7" s="19" t="n">
        <x:f>+O6-O8-O9</x:f>
        <x:v>1951712.290329851</x:v>
      </x:c>
      <x:c r="P7" s="19" t="n">
        <x:f>+P6-P8-P9</x:f>
        <x:v>2107849.273556239</x:v>
      </x:c>
      <x:c r="Q7" s="19" t="n">
        <x:f>+Q6-Q8-Q9</x:f>
        <x:v>2276477.215440738</x:v>
      </x:c>
      <x:c r="R7" s="19" t="n">
        <x:f>+R6-R8-R9</x:f>
        <x:v>2458595.3926759977</x:v>
      </x:c>
      <x:c r="S7" s="19" t="n">
        <x:f>+S6-S8-S9</x:f>
        <x:v>2655283.0240900773</x:v>
      </x:c>
      <x:c r="T7" s="19" t="n">
        <x:f>+T6-T8-T9</x:f>
        <x:v>2867705.6660172837</x:v>
      </x:c>
      <x:c r="U7" s="19" t="n">
        <x:f>+U6-U8-U9</x:f>
        <x:v>3097122.119298667</x:v>
      </x:c>
      <x:c r="V7" s="19" t="n">
        <x:f>+V6-V8-V9</x:f>
        <x:v>3344891.8888425594</x:v>
      </x:c>
      <x:c r="W7" s="19" t="n">
        <x:f>+W6-W8-W9</x:f>
        <x:v>3612483.239949965</x:v>
      </x:c>
      <x:c r="X7" s="19" t="n">
        <x:f>+X6-X8-X9</x:f>
        <x:v>3901481.899145962</x:v>
      </x:c>
      <x:c r="Y7" s="19" t="n">
        <x:f>+Y6-Y8-Y9</x:f>
        <x:v>4213600.451077641</x:v>
      </x:c>
      <x:c r="Z7" s="19" t="n">
        <x:f>+Z6-Z8-Z9</x:f>
        <x:v>4550688.487163851</x:v>
      </x:c>
    </x:row>
    <x:row r="8">
      <x:c r="C8" s="21" t="str">
        <x:v>Capex | Networking + CPU +..</x:v>
      </x:c>
      <x:c r="D8" s="22" t="n">
        <x:v>12810.585642691623</x:v>
      </x:c>
      <x:c r="E8" s="22" t="n">
        <x:v>34371.34178788408</x:v>
      </x:c>
      <x:c r="F8" s="22" t="n">
        <x:v>65259.50252817853</x:v>
      </x:c>
      <x:c r="G8" s="22" t="n">
        <x:v>178576.41748539842</x:v>
      </x:c>
      <x:c r="H8" s="22" t="n">
        <x:v>435134.5910540439</x:v>
      </x:c>
      <x:c r="I8" s="22" t="n">
        <x:v>715097.2059606818</x:v>
      </x:c>
      <x:c r="J8" s="22" t="n">
        <x:f>+J13*J6</x:f>
        <x:v>850695.0937324926</x:v>
      </x:c>
      <x:c r="K8" s="22" t="n">
        <x:f>+K13*K6</x:f>
        <x:v>987965.9217808943</x:v>
      </x:c>
      <x:c r="L8" s="22" t="n">
        <x:f>+L13*L6</x:f>
        <x:v>1141755.6337171523</x:v>
      </x:c>
      <x:c r="M8" s="22" t="n">
        <x:f>+M13*M6</x:f>
        <x:v>1313828.7176638136</x:v>
      </x:c>
      <x:c r="N8" s="22" t="n">
        <x:f>+N13*N6</x:f>
        <x:v>1506126.2589861513</x:v>
      </x:c>
      <x:c r="O8" s="22" t="n">
        <x:f>+O13*O6</x:f>
        <x:v>1626616.3597050433</x:v>
      </x:c>
      <x:c r="P8" s="22" t="n">
        <x:f>+P13*P6</x:f>
        <x:v>1756745.6684814468</x:v>
      </x:c>
      <x:c r="Q8" s="22" t="n">
        <x:f>+Q13*Q6</x:f>
        <x:v>1897285.3219599628</x:v>
      </x:c>
      <x:c r="R8" s="22" t="n">
        <x:f>+R13*R6</x:f>
        <x:v>2049068.14771676</x:v>
      </x:c>
      <x:c r="S8" s="22" t="n">
        <x:f>+S13*S6</x:f>
        <x:v>2212993.599534101</x:v>
      </x:c>
      <x:c r="T8" s="22" t="n">
        <x:f>+T13*T6</x:f>
        <x:v>2390033.087496829</x:v>
      </x:c>
      <x:c r="U8" s="22" t="n">
        <x:f>+U13*U6</x:f>
        <x:v>2581235.7344965753</x:v>
      </x:c>
      <x:c r="V8" s="22" t="n">
        <x:f>+V13*V6</x:f>
        <x:v>2787734.5932563017</x:v>
      </x:c>
      <x:c r="W8" s="22" t="n">
        <x:f>+W13*W6</x:f>
        <x:v>3010753.3607168063</x:v>
      </x:c>
      <x:c r="X8" s="22" t="n">
        <x:f>+X13*X6</x:f>
        <x:v>3251613.6295741512</x:v>
      </x:c>
      <x:c r="Y8" s="22" t="n">
        <x:f>+Y13*Y6</x:f>
        <x:v>3511742.7199400836</x:v>
      </x:c>
      <x:c r="Z8" s="22" t="n">
        <x:f>+Z13*Z6</x:f>
        <x:v>3792682.1375352903</x:v>
      </x:c>
    </x:row>
    <x:row r="9" ht="13.5" customHeight="1">
      <x:c r="C9" s="24" t="str">
        <x:v>Capex | Other</x:v>
      </x:c>
      <x:c r="D9" s="26" t="n">
        <x:v>34490.038268785145</x:v>
      </x:c>
      <x:c r="E9" s="26" t="n">
        <x:v>84645.84171643095</x:v>
      </x:c>
      <x:c r="F9" s="26" t="n">
        <x:v>140829.88978513746</x:v>
      </x:c>
      <x:c r="G9" s="26" t="n">
        <x:v>323121.9047414263</x:v>
      </x:c>
      <x:c r="H9" s="26" t="n">
        <x:v>683275.731164706</x:v>
      </x:c>
      <x:c r="I9" s="26" t="n">
        <x:v>1040564.949653554</x:v>
      </x:c>
      <x:c r="J9" s="26" t="n">
        <x:f>+J14*J6</x:f>
        <x:v>1153587.009163368</x:v>
      </x:c>
      <x:c r="K9" s="26" t="n">
        <x:f>+K14*K6</x:f>
        <x:v>1142051.1390717342</x:v>
      </x:c>
      <x:c r="L9" s="26" t="n">
        <x:f>+L14*L6</x:f>
        <x:v>1121286.5729067936</x:v>
      </x:c>
      <x:c r="M9" s="26" t="n">
        <x:f>+M14*M6</x:f>
        <x:v>1089890.5488654033</x:v>
      </x:c>
      <x:c r="N9" s="26" t="n">
        <x:f>+N14*N6</x:f>
        <x:v>1046294.9269107872</x:v>
      </x:c>
      <x:c r="O9" s="26" t="n">
        <x:f>+O14*O6</x:f>
        <x:v>1129998.5210636503</x:v>
      </x:c>
      <x:c r="P9" s="26" t="n">
        <x:f>+P14*P6</x:f>
        <x:v>1220398.4027487421</x:v>
      </x:c>
      <x:c r="Q9" s="26" t="n">
        <x:f>+Q14*Q6</x:f>
        <x:v>1318030.2749686418</x:v>
      </x:c>
      <x:c r="R9" s="26" t="n">
        <x:f>+R14*R6</x:f>
        <x:v>1423472.696966133</x:v>
      </x:c>
      <x:c r="S9" s="26" t="n">
        <x:f>+S14*S6</x:f>
        <x:v>1537350.512723424</x:v>
      </x:c>
      <x:c r="T9" s="26" t="n">
        <x:f>+T14*T6</x:f>
        <x:v>1660338.553741298</x:v>
      </x:c>
      <x:c r="U9" s="26" t="n">
        <x:f>+U14*U6</x:f>
        <x:v>1793165.6380406017</x:v>
      </x:c>
      <x:c r="V9" s="26" t="n">
        <x:f>+V14*V6</x:f>
        <x:v>1936618.8890838502</x:v>
      </x:c>
      <x:c r="W9" s="26" t="n">
        <x:f>+W14*W6</x:f>
        <x:v>2091548.4002105584</x:v>
      </x:c>
      <x:c r="X9" s="26" t="n">
        <x:f>+X14*X6</x:f>
        <x:v>2258872.2722274032</x:v>
      </x:c>
      <x:c r="Y9" s="26" t="n">
        <x:f>+Y14*Y6</x:f>
        <x:v>2439582.054005596</x:v>
      </x:c>
      <x:c r="Z9" s="26" t="n">
        <x:f>+Z14*Z6</x:f>
        <x:v>2634748.6183260437</x:v>
      </x:c>
    </x:row>
    <x:row r="10">
      <x:c r="C10" s="27" t="str">
        <x:v>Crescimento</x:v>
      </x:c>
      <x:c r="D10" s="22"/>
      <x:c r="E10" s="22"/>
      <x:c r="F10" s="22"/>
      <x:c r="G10" s="22"/>
      <x:c r="H10" s="22"/>
      <x:c r="I10" s="22"/>
      <x:c r="J10" s="30" t="n">
        <x:v>0.1</x:v>
      </x:c>
      <x:c r="K10" s="30" t="n">
        <x:v>0.08</x:v>
      </x:c>
      <x:c r="L10" s="30" t="n">
        <x:v>0.08</x:v>
      </x:c>
      <x:c r="M10" s="30" t="n">
        <x:f>+L10</x:f>
        <x:v>0.08</x:v>
      </x:c>
      <x:c r="N10" s="30" t="n">
        <x:f>+M10</x:f>
        <x:v>0.08</x:v>
      </x:c>
      <x:c r="O10" s="30" t="n">
        <x:f>+N10</x:f>
        <x:v>0.08</x:v>
      </x:c>
      <x:c r="P10" s="30" t="n">
        <x:f>+O10</x:f>
        <x:v>0.08</x:v>
      </x:c>
      <x:c r="Q10" s="30" t="n">
        <x:f>+P10</x:f>
        <x:v>0.08</x:v>
      </x:c>
      <x:c r="R10" s="30" t="n">
        <x:f>+Q10</x:f>
        <x:v>0.08</x:v>
      </x:c>
      <x:c r="S10" s="30" t="n">
        <x:f>+R10</x:f>
        <x:v>0.08</x:v>
      </x:c>
      <x:c r="T10" s="30" t="n">
        <x:f>+S10</x:f>
        <x:v>0.08</x:v>
      </x:c>
      <x:c r="U10" s="30" t="n">
        <x:f>+T10</x:f>
        <x:v>0.08</x:v>
      </x:c>
      <x:c r="V10" s="30" t="n">
        <x:f>+U10</x:f>
        <x:v>0.08</x:v>
      </x:c>
      <x:c r="W10" s="30" t="n">
        <x:f>+V10</x:f>
        <x:v>0.08</x:v>
      </x:c>
      <x:c r="X10" s="30" t="n">
        <x:f>+W10</x:f>
        <x:v>0.08</x:v>
      </x:c>
      <x:c r="Y10" s="30" t="n">
        <x:f>+X10</x:f>
        <x:v>0.08</x:v>
      </x:c>
      <x:c r="Z10" s="30" t="n">
        <x:f>+Y10</x:f>
        <x:v>0.08</x:v>
      </x:c>
    </x:row>
    <x:row r="11">
      <x:c r="C11" s="27"/>
      <x:c r="D11" s="22"/>
      <x:c r="E11" s="22"/>
      <x:c r="F11" s="22"/>
      <x:c r="G11" s="22"/>
      <x:c r="H11" s="22"/>
      <x:c r="I11" s="22"/>
      <x:c r="J11" s="31"/>
      <x:c r="K11" s="31"/>
      <x:c r="L11" s="31"/>
      <x:c r="M11" s="31"/>
      <x:c r="N11" s="31"/>
      <x:c r="O11" s="31"/>
      <x:c r="P11" s="31"/>
      <x:c r="Q11" s="31"/>
      <x:c r="R11" s="31"/>
      <x:c r="S11" s="31"/>
      <x:c r="T11" s="31"/>
      <x:c r="U11" s="31"/>
      <x:c r="V11" s="31"/>
      <x:c r="W11" s="31"/>
      <x:c r="X11" s="31"/>
      <x:c r="Y11" s="31"/>
      <x:c r="Z11" s="31"/>
    </x:row>
    <x:row r="12">
      <x:c r="C12" s="27" t="str">
        <x:v>Share chips</x:v>
      </x:c>
      <x:c r="D12" s="22" t="n">
        <x:f>D7/D6</x:f>
        <x:v>0.4727527121685818</x:v>
      </x:c>
      <x:c r="E12" s="31" t="n">
        <x:f>E7/E6</x:f>
        <x:v>0.49108310588544873</x:v>
      </x:c>
      <x:c r="F12" s="31" t="n">
        <x:f>F7/F6</x:f>
        <x:v>0.47991470097378525</x:v>
      </x:c>
      <x:c r="G12" s="31" t="n">
        <x:f>G7/G6</x:f>
        <x:v>0.44354584369676603</x:v>
      </x:c>
      <x:c r="H12" s="31" t="n">
        <x:f>H7/H6</x:f>
        <x:v>0.40680882189713197</x:v>
      </x:c>
      <x:c r="I12" s="31" t="n">
        <x:f>I7/I6</x:f>
        <x:v>0.39732139136391825</x:v>
      </x:c>
      <x:c r="J12" s="31" t="n">
        <x:f>+J7/J6</x:f>
        <x:v>0.37452350684340363</x:v>
      </x:c>
      <x:c r="K12" s="31" t="n">
        <x:f>+K7/K6</x:f>
        <x:v>0.3845235068434037</x:v>
      </x:c>
      <x:c r="L12" s="31" t="n">
        <x:f>+L7/L6</x:f>
        <x:v>0.39452350684340365</x:v>
      </x:c>
      <x:c r="M12" s="31" t="n">
        <x:f>+M7/M6</x:f>
        <x:v>0.4045235068434036</x:v>
      </x:c>
      <x:c r="N12" s="31" t="n">
        <x:f>+N7/N6</x:f>
        <x:v>0.4145235068434036</x:v>
      </x:c>
      <x:c r="O12" s="31" t="n">
        <x:f>+O7/O6</x:f>
        <x:v>0.4145235068434037</x:v>
      </x:c>
      <x:c r="P12" s="31" t="n">
        <x:f>+P7/P6</x:f>
        <x:v>0.41452350684340367</x:v>
      </x:c>
      <x:c r="Q12" s="31" t="n">
        <x:f>+Q7/Q6</x:f>
        <x:v>0.4145235068434036</x:v>
      </x:c>
      <x:c r="R12" s="31" t="n">
        <x:f>+R7/R6</x:f>
        <x:v>0.4145235068434037</x:v>
      </x:c>
      <x:c r="S12" s="31" t="n">
        <x:f>+S7/S6</x:f>
        <x:v>0.4145235068434036</x:v>
      </x:c>
      <x:c r="T12" s="31" t="n">
        <x:f>+T7/T6</x:f>
        <x:v>0.41452350684340367</x:v>
      </x:c>
      <x:c r="U12" s="31" t="n">
        <x:f>+U7/U6</x:f>
        <x:v>0.4145235068434037</x:v>
      </x:c>
      <x:c r="V12" s="31" t="n">
        <x:f>+V7/V6</x:f>
        <x:v>0.41452350684340356</x:v>
      </x:c>
      <x:c r="W12" s="31" t="n">
        <x:f>+W7/W6</x:f>
        <x:v>0.4145235068434036</x:v>
      </x:c>
      <x:c r="X12" s="31" t="n">
        <x:f>+X7/X6</x:f>
        <x:v>0.41452350684340356</x:v>
      </x:c>
      <x:c r="Y12" s="31" t="n">
        <x:f>+Y7/Y6</x:f>
        <x:v>0.41452350684340367</x:v>
      </x:c>
      <x:c r="Z12" s="31" t="n">
        <x:f>+Z7/Z6</x:f>
        <x:v>0.41452350684340356</x:v>
      </x:c>
    </x:row>
    <x:row r="13">
      <x:c r="C13" s="27" t="str">
        <x:v>Share NW + CPU</x:v>
      </x:c>
      <x:c r="D13" s="22" t="n">
        <x:f>D8/D6</x:f>
        <x:v>0.1427961404543424</x:v>
      </x:c>
      <x:c r="E13" s="31" t="n">
        <x:f>E8/E6</x:f>
        <x:v>0.14697168924859885</x:v>
      </x:c>
      <x:c r="F13" s="31" t="n">
        <x:f>F8/F6</x:f>
        <x:v>0.1646882816514412</x:v>
      </x:c>
      <x:c r="G13" s="31" t="n">
        <x:f>G8/G6</x:f>
        <x:v>0.1980664182539664</x:v>
      </x:c>
      <x:c r="H13" s="31" t="n">
        <x:f>H8/H6</x:f>
        <x:v>0.23079007370800417</x:v>
      </x:c>
      <x:c r="I13" s="31" t="n">
        <x:f>I8/I6</x:f>
        <x:v>0.2454764931565964</x:v>
      </x:c>
      <x:c r="J13" s="31" t="n">
        <x:f>+I13+2%</x:f>
        <x:v>0.2654764931565964</x:v>
      </x:c>
      <x:c r="K13" s="31" t="n">
        <x:f>+J13+2%</x:f>
        <x:v>0.2854764931565964</x:v>
      </x:c>
      <x:c r="L13" s="31" t="n">
        <x:f>+K13+2%</x:f>
        <x:v>0.3054764931565964</x:v>
      </x:c>
      <x:c r="M13" s="31" t="n">
        <x:f>+L13+2%</x:f>
        <x:v>0.32547649315659644</x:v>
      </x:c>
      <x:c r="N13" s="31" t="n">
        <x:f>+M13+2%</x:f>
        <x:v>0.34547649315659645</x:v>
      </x:c>
      <x:c r="O13" s="31" t="n">
        <x:f>+N13</x:f>
        <x:v>0.34547649315659645</x:v>
      </x:c>
      <x:c r="P13" s="31" t="n">
        <x:f>+O13</x:f>
        <x:v>0.34547649315659645</x:v>
      </x:c>
      <x:c r="Q13" s="31" t="n">
        <x:f>+P13</x:f>
        <x:v>0.34547649315659645</x:v>
      </x:c>
      <x:c r="R13" s="31" t="n">
        <x:f>+Q13</x:f>
        <x:v>0.34547649315659645</x:v>
      </x:c>
      <x:c r="S13" s="31" t="n">
        <x:f>+R13</x:f>
        <x:v>0.34547649315659645</x:v>
      </x:c>
      <x:c r="T13" s="31" t="n">
        <x:f>+S13</x:f>
        <x:v>0.34547649315659645</x:v>
      </x:c>
      <x:c r="U13" s="31" t="n">
        <x:f>+T13</x:f>
        <x:v>0.34547649315659645</x:v>
      </x:c>
      <x:c r="V13" s="31" t="n">
        <x:f>+U13</x:f>
        <x:v>0.34547649315659645</x:v>
      </x:c>
      <x:c r="W13" s="31" t="n">
        <x:f>+V13</x:f>
        <x:v>0.34547649315659645</x:v>
      </x:c>
      <x:c r="X13" s="31" t="n">
        <x:f>+W13</x:f>
        <x:v>0.34547649315659645</x:v>
      </x:c>
      <x:c r="Y13" s="31" t="n">
        <x:f>+X13</x:f>
        <x:v>0.34547649315659645</x:v>
      </x:c>
      <x:c r="Z13" s="31" t="n">
        <x:f>+Y13</x:f>
        <x:v>0.34547649315659645</x:v>
      </x:c>
    </x:row>
    <x:row r="14">
      <x:c r="C14" s="27" t="str">
        <x:v>Share do capex Hard Assets</x:v>
      </x:c>
      <x:c r="D14" s="31" t="n">
        <x:f>D9/D6</x:f>
        <x:v>0.38445114737707575</x:v>
      </x:c>
      <x:c r="E14" s="31" t="n">
        <x:f>E9/E6</x:f>
        <x:v>0.3619452048659525</x:v>
      </x:c>
      <x:c r="F14" s="31" t="n">
        <x:f>F9/F6</x:f>
        <x:v>0.3553970173747735</x:v>
      </x:c>
      <x:c r="G14" s="31" t="n">
        <x:f>G9/G6</x:f>
        <x:v>0.35838773804926766</x:v>
      </x:c>
      <x:c r="H14" s="31" t="n">
        <x:f>H9/H6</x:f>
        <x:v>0.36240110439486384</x:v>
      </x:c>
      <x:c r="I14" s="31" t="n">
        <x:f>I9/I6</x:f>
        <x:v>0.35720211547948527</x:v>
      </x:c>
      <x:c r="J14" s="31" t="n">
        <x:v>0.36</x:v>
      </x:c>
      <x:c r="K14" s="31" t="n">
        <x:f>+J14-3%</x:f>
        <x:v>0.32999999999999996</x:v>
      </x:c>
      <x:c r="L14" s="31" t="n">
        <x:f>+K14-3%</x:f>
        <x:v>0.29999999999999993</x:v>
      </x:c>
      <x:c r="M14" s="31" t="n">
        <x:f>+L14-3%</x:f>
        <x:v>0.2699999999999999</x:v>
      </x:c>
      <x:c r="N14" s="31" t="n">
        <x:f>+M14-3%</x:f>
        <x:v>0.2399999999999999</x:v>
      </x:c>
      <x:c r="O14" s="31" t="n">
        <x:f>+N14</x:f>
        <x:v>0.2399999999999999</x:v>
      </x:c>
      <x:c r="P14" s="31" t="n">
        <x:f>+O14</x:f>
        <x:v>0.2399999999999999</x:v>
      </x:c>
      <x:c r="Q14" s="31" t="n">
        <x:f>+P14</x:f>
        <x:v>0.2399999999999999</x:v>
      </x:c>
      <x:c r="R14" s="31" t="n">
        <x:f>+Q14</x:f>
        <x:v>0.2399999999999999</x:v>
      </x:c>
      <x:c r="S14" s="31" t="n">
        <x:f>+R14</x:f>
        <x:v>0.2399999999999999</x:v>
      </x:c>
      <x:c r="T14" s="31" t="n">
        <x:f>+S14</x:f>
        <x:v>0.2399999999999999</x:v>
      </x:c>
      <x:c r="U14" s="31" t="n">
        <x:f>+T14</x:f>
        <x:v>0.2399999999999999</x:v>
      </x:c>
      <x:c r="V14" s="31" t="n">
        <x:f>+U14</x:f>
        <x:v>0.2399999999999999</x:v>
      </x:c>
      <x:c r="W14" s="31" t="n">
        <x:f>+V14</x:f>
        <x:v>0.2399999999999999</x:v>
      </x:c>
      <x:c r="X14" s="31" t="n">
        <x:f>+W14</x:f>
        <x:v>0.2399999999999999</x:v>
      </x:c>
      <x:c r="Y14" s="31" t="n">
        <x:f>+X14</x:f>
        <x:v>0.2399999999999999</x:v>
      </x:c>
      <x:c r="Z14" s="31" t="n">
        <x:f>+Y14</x:f>
        <x:v>0.2399999999999999</x:v>
      </x:c>
    </x:row>
    <x:row r="15">
      <x:c r="C15" s="27"/>
      <x:c r="D15" s="31"/>
      <x:c r="E15" s="31"/>
      <x:c r="F15" s="31"/>
      <x:c r="G15" s="31"/>
      <x:c r="H15" s="31"/>
      <x:c r="I15" s="31"/>
    </x:row>
    <x:row r="16">
      <x:c r="C16" s="34" t="str">
        <x:v>Capex Hyperscalers | Modelos Capstone</x:v>
      </x:c>
      <x:c r="D16" s="37" t="n">
        <x:f>SUM(D17:D20)</x:f>
        <x:v>155825</x:v>
      </x:c>
      <x:c r="E16" s="37" t="n">
        <x:f>SUM(E17:E20)</x:f>
        <x:v>244740</x:v>
      </x:c>
      <x:c r="F16" s="37" t="n">
        <x:f>SUM(F17:F20)</x:f>
        <x:v>410130.117127141</x:v>
      </x:c>
      <x:c r="G16" s="37" t="n">
        <x:f>SUM(G17:G20)</x:f>
        <x:v>738903.1539878694</x:v>
      </x:c>
      <x:c r="H16" s="37" t="n">
        <x:f>SUM(H17:H20)</x:f>
        <x:v>1097752.8285741173</x:v>
      </x:c>
      <x:c r="I16" s="39" t="n">
        <x:f>SUM(I17:I20)</x:f>
        <x:v>1425124.8605595836</x:v>
      </x:c>
    </x:row>
    <x:row r="17">
      <x:c r="C17" s="41" t="str">
        <x:v>MSFT (Total)</x:v>
      </x:c>
      <x:c r="D17" s="22" t="n">
        <x:v>43800</x:v>
      </x:c>
      <x:c r="E17" s="22" t="n">
        <x:v>71950</x:v>
      </x:c>
      <x:c r="F17" s="22" t="n">
        <x:v>117173.11712714098</x:v>
      </x:c>
      <x:c r="G17" s="22" t="n">
        <x:v>191482.14105986932</x:v>
      </x:c>
      <x:c r="H17" s="22" t="n">
        <x:v>257710.0000869115</x:v>
      </x:c>
      <x:c r="I17" s="44" t="n">
        <x:v>321988.98398501397</x:v>
      </x:c>
    </x:row>
    <x:row r="18">
      <x:c r="C18" s="41" t="str">
        <x:v>AMZN (AWS)</x:v>
      </x:c>
      <x:c r="D18" s="22" t="n">
        <x:v>52729</x:v>
      </x:c>
      <x:c r="E18" s="22" t="n">
        <x:v>82999</x:v>
      </x:c>
      <x:c r="F18" s="22" t="n">
        <x:v>131819</x:v>
      </x:c>
      <x:c r="G18" s="22" t="n">
        <x:v>214052</x:v>
      </x:c>
      <x:c r="H18" s="22" t="n">
        <x:v>330056.38641919586</x:v>
      </x:c>
      <x:c r="I18" s="46" t="n">
        <x:v>378673.72171312454</x:v>
      </x:c>
    </x:row>
    <x:row r="19">
      <x:c r="C19" s="41" t="str">
        <x:v>GOOGLE (Total)</x:v>
      </x:c>
      <x:c r="D19" s="22" t="n">
        <x:v>32251</x:v>
      </x:c>
      <x:c r="E19" s="22" t="n">
        <x:v>52535</x:v>
      </x:c>
      <x:c r="F19" s="22" t="n">
        <x:v>91447</x:v>
      </x:c>
      <x:c r="G19" s="22" t="n">
        <x:v>182674</x:v>
      </x:c>
      <x:c r="H19" s="47" t="n">
        <x:v>310000</x:v>
      </x:c>
      <x:c r="I19" s="46" t="n">
        <x:v>462972.4956279227</x:v>
      </x:c>
    </x:row>
    <x:row r="20">
      <x:c r="C20" s="49" t="str">
        <x:v>META (Total)</x:v>
      </x:c>
      <x:c r="D20" s="51" t="n">
        <x:v>27045</x:v>
      </x:c>
      <x:c r="E20" s="51" t="n">
        <x:v>37256</x:v>
      </x:c>
      <x:c r="F20" s="51" t="n">
        <x:v>69691</x:v>
      </x:c>
      <x:c r="G20" s="54" t="n">
        <x:v>150695.012928</x:v>
      </x:c>
      <x:c r="H20" s="54" t="n">
        <x:v>199986.44206801</x:v>
      </x:c>
      <x:c r="I20" s="56" t="n">
        <x:v>261489.65923352237</x:v>
      </x:c>
    </x:row>
    <x:row r="21">
      <x:c r="C21" s="57"/>
      <x:c r="D21" s="22"/>
      <x:c r="E21" s="22"/>
      <x:c r="F21" s="31"/>
      <x:c r="G21" s="31"/>
      <x:c r="H21" s="31"/>
      <x:c r="I21" s="31"/>
    </x:row>
    <x:row r="22">
      <x:c r="C22" s="34" t="str">
        <x:v>Capex Hyperscalers AI | Bottom-Up</x:v>
      </x:c>
      <x:c r="D22" s="37" t="n">
        <x:f>SUM(D23:D26)</x:f>
        <x:v>93757.2958534584</x:v>
      </x:c>
      <x:c r="E22" s="37" t="n">
        <x:f>SUM(E23:E26)</x:f>
        <x:v>178767.7958534584</x:v>
      </x:c>
      <x:c r="F22" s="37" t="n">
        <x:f>SUM(F23:F26)</x:f>
        <x:v>336421.31298059935</x:v>
      </x:c>
      <x:c r="G22" s="37" t="n">
        <x:f>SUM(G23:G26)</x:f>
        <x:v>681879.4069133276</x:v>
      </x:c>
      <x:c r="H22" s="37" t="n">
        <x:f>SUM(H23:H26)</x:f>
        <x:v>1125515.0682699257</x:v>
      </x:c>
      <x:c r="I22" s="39" t="n">
        <x:f>SUM(I23:I26)</x:f>
        <x:v>1425124.8605595836</x:v>
      </x:c>
    </x:row>
    <x:row r="23">
      <x:c r="C23" s="41" t="str">
        <x:v>MSFT (Total)</x:v>
      </x:c>
      <x:c r="D23" s="22" t="n">
        <x:v>22561.695853458405</x:v>
      </x:c>
      <x:c r="E23" s="22" t="n">
        <x:v>50711.695853458405</x:v>
      </x:c>
      <x:c r="F23" s="22" t="n">
        <x:v>95934.81298059938</x:v>
      </x:c>
      <x:c r="G23" s="22" t="n">
        <x:v>170243.83691332772</x:v>
      </x:c>
      <x:c r="H23" s="22" t="n">
        <x:v>272015.1204001595</x:v>
      </x:c>
      <x:c r="I23" s="22" t="n">
        <x:v>321988.98398501397</x:v>
      </x:c>
    </x:row>
    <x:row r="24">
      <x:c r="C24" s="41" t="str">
        <x:v>AMZN (AWS)</x:v>
      </x:c>
      <x:c r="D24" s="22" t="n">
        <x:v>24725</x:v>
      </x:c>
      <x:c r="E24" s="22" t="n">
        <x:v>53021</x:v>
      </x:c>
      <x:c r="F24" s="22" t="n">
        <x:v>96494</x:v>
      </x:c>
      <x:c r="G24" s="22" t="n">
        <x:v>175000</x:v>
      </x:c>
      <x:c r="H24" s="22" t="n">
        <x:v>286316.38641919586</x:v>
      </x:c>
      <x:c r="I24" s="22" t="n">
        <x:v>378673.72171312454</x:v>
      </x:c>
    </x:row>
    <x:row r="25">
      <x:c r="C25" s="41" t="str">
        <x:v>GOOGLE (Total)</x:v>
      </x:c>
      <x:c r="D25" s="22" t="n">
        <x:v>19425.6</x:v>
      </x:c>
      <x:c r="E25" s="22" t="n">
        <x:v>37779.1</x:v>
      </x:c>
      <x:c r="F25" s="22" t="n">
        <x:v>74301.5</x:v>
      </x:c>
      <x:c r="G25" s="22" t="n">
        <x:v>195244.1</x:v>
      </x:c>
      <x:c r="H25" s="22" t="n">
        <x:v>361070.75931871886</x:v>
      </x:c>
      <x:c r="I25" s="22" t="n">
        <x:v>462972.4956279227</x:v>
      </x:c>
    </x:row>
    <x:row r="26">
      <x:c r="C26" s="41" t="str">
        <x:v>META (Total)</x:v>
      </x:c>
      <x:c r="D26" s="22" t="n">
        <x:v>27045</x:v>
      </x:c>
      <x:c r="E26" s="22" t="n">
        <x:v>37256</x:v>
      </x:c>
      <x:c r="F26" s="22" t="n">
        <x:v>69691</x:v>
      </x:c>
      <x:c r="G26" s="22" t="n">
        <x:v>141391.47</x:v>
      </x:c>
      <x:c r="H26" s="22" t="n">
        <x:v>206112.8021318515</x:v>
      </x:c>
      <x:c r="I26" s="22" t="n">
        <x:v>261489.65923352237</x:v>
      </x:c>
    </x:row>
    <x:row r="27">
      <x:c r="C27" s="57"/>
      <x:c r="D27" s="22"/>
      <x:c r="E27" s="22"/>
      <x:c r="F27" s="22"/>
      <x:c r="G27" s="22"/>
      <x:c r="H27" s="22"/>
      <x:c r="I27" s="22"/>
    </x:row>
    <x:row r="28">
      <x:c r="C28" s="59" t="str">
        <x:v>% Capex | Bottom-Up/ Modelos</x:v>
      </x:c>
      <x:c r="D28" s="61" t="n">
        <x:f>D22/D16</x:f>
        <x:v>0.6016832719618701</x:v>
      </x:c>
      <x:c r="E28" s="61" t="n">
        <x:f>E22/E16</x:f>
        <x:v>0.7304396332984326</x:v>
      </x:c>
      <x:c r="F28" s="61" t="n">
        <x:f>F22/F16</x:f>
        <x:v>0.8202794648126468</x:v>
      </x:c>
      <x:c r="G28" s="61" t="n">
        <x:f>G22/G16</x:f>
        <x:v>0.9228264938824745</x:v>
      </x:c>
      <x:c r="H28" s="61" t="n">
        <x:f>H22/H16</x:f>
        <x:v>1.0252900643689244</x:v>
      </x:c>
      <x:c r="I28" s="61" t="n">
        <x:f>I22/I16</x:f>
        <x:v>1</x:v>
      </x:c>
    </x:row>
    <x:row r="29">
      <x:c r="C29" s="57"/>
      <x:c r="D29" s="22"/>
      <x:c r="E29" s="22"/>
      <x:c r="F29" s="22"/>
      <x:c r="G29" s="22"/>
      <x:c r="H29" s="22"/>
      <x:c r="I29" s="22"/>
    </x:row>
    <x:row r="30">
      <x:c r="C30" s="34" t="str">
        <x:v>Other players + reconciling residual</x:v>
      </x:c>
      <x:c r="D30" s="62" t="n">
        <x:f>SUM(D31:D36)</x:f>
        <x:v>-4044.88764738594</x:v>
      </x:c>
      <x:c r="E30" s="62" t="n">
        <x:f>SUM(E31:E36)</x:f>
        <x:v>55095.89560718631</x:v>
      </x:c>
      <x:c r="F30" s="62" t="n">
        <x:f>SUM(F31:F36)</x:f>
        <x:v>59839.440205827705</x:v>
      </x:c>
      <x:c r="G30" s="62" t="n">
        <x:f>SUM(G31:G36)</x:f>
        <x:v>219719.25407938368</x:v>
      </x:c>
      <x:c r="H30" s="62" t="n">
        <x:f>SUM(H31:H36)</x:f>
        <x:v>759897.8702630228</x:v>
      </x:c>
      <x:c r="I30" s="63" t="n">
        <x:f>SUM(I31:I36)</x:f>
        <x:v>1487973.6474287193</x:v>
      </x:c>
    </x:row>
    <x:row r="31">
      <x:c r="C31" s="65" t="str">
        <x:v>ORCL</x:v>
      </x:c>
      <x:c r="D31" s="66" t="n">
        <x:v>7902.700960620421</x:v>
      </x:c>
      <x:c r="E31" s="66" t="n">
        <x:v>20168.268192290965</x:v>
      </x:c>
      <x:c r="F31" s="66" t="n">
        <x:v>31652.497889034144</x:v>
      </x:c>
      <x:c r="G31" s="66" t="n">
        <x:v>65273.79607466728</x:v>
      </x:c>
      <x:c r="H31" s="66" t="n">
        <x:v>119452.50036084713</x:v>
      </x:c>
      <x:c r="I31" s="68" t="n">
        <x:v>197961.07663984163</x:v>
      </x:c>
    </x:row>
    <x:row r="32">
      <x:c r="C32" s="65" t="str">
        <x:v>CRWV</x:v>
      </x:c>
      <x:c r="D32" s="22" t="n">
        <x:v>8128.49241663815</x:v>
      </x:c>
      <x:c r="E32" s="22" t="n">
        <x:v>15064.46154771121</x:v>
      </x:c>
      <x:c r="F32" s="22" t="n">
        <x:v>26006.37664396319</x:v>
      </x:c>
      <x:c r="G32" s="22" t="n">
        <x:v>44292.93305066709</x:v>
      </x:c>
      <x:c r="H32" s="22" t="n">
        <x:v>111850.97761061142</x:v>
      </x:c>
      <x:c r="I32" s="70" t="n">
        <x:v>197961.07663984163</x:v>
      </x:c>
    </x:row>
    <x:row r="33">
      <x:c r="C33" s="65" t="str">
        <x:v>SPACE X</x:v>
      </x:c>
      <x:c r="D33" s="22" t="n">
        <x:v>0</x:v>
      </x:c>
      <x:c r="E33" s="22" t="n">
        <x:v>0</x:v>
      </x:c>
      <x:c r="F33" s="73" t="n">
        <x:v>13687.56665471747</x:v>
      </x:c>
      <x:c r="G33" s="73" t="n">
        <x:v>59678.89926826724</x:v>
      </x:c>
      <x:c r="H33" s="73" t="n">
        <x:v>260623.6371509392</x:v>
      </x:c>
      <x:c r="I33" s="73" t="n">
        <x:v>253796.25210236106</x:v>
      </x:c>
    </x:row>
    <x:row r="34">
      <x:c r="C34" s="65" t="str">
        <x:v>OAI</x:v>
      </x:c>
      <x:c r="D34" s="22" t="n">
        <x:v>0</x:v>
      </x:c>
      <x:c r="E34" s="22" t="n">
        <x:v>0</x:v>
      </x:c>
      <x:c r="F34" s="22" t="n">
        <x:v>0</x:v>
      </x:c>
      <x:c r="G34" s="22" t="n">
        <x:v>0</x:v>
      </x:c>
      <x:c r="H34" s="22" t="n">
        <x:v>56691.795493188074</x:v>
      </x:c>
      <x:c r="I34" s="70" t="n">
        <x:v>94938.29965872648</x:v>
      </x:c>
    </x:row>
    <x:row r="35">
      <x:c r="C35" s="65" t="str">
        <x:v>ANTHROPIC</x:v>
      </x:c>
      <x:c r="D35" s="22" t="n">
        <x:v>0</x:v>
      </x:c>
      <x:c r="E35" s="22" t="n">
        <x:v>0</x:v>
      </x:c>
      <x:c r="F35" s="22" t="n">
        <x:v>0</x:v>
      </x:c>
      <x:c r="G35" s="22" t="n">
        <x:v>0</x:v>
      </x:c>
      <x:c r="H35" s="22" t="n">
        <x:v>97387.4673375002</x:v>
      </x:c>
      <x:c r="I35" s="70" t="n">
        <x:v>410275.92154560646</x:v>
      </x:c>
    </x:row>
    <x:row r="36">
      <x:c r="C36" s="75" t="str">
        <x:v>Other / reconciling residual</x:v>
      </x:c>
      <x:c r="D36" s="51" t="n">
        <x:v>-20076.08102464451</x:v>
      </x:c>
      <x:c r="E36" s="51" t="n">
        <x:v>19863.16586718413</x:v>
      </x:c>
      <x:c r="F36" s="79" t="n">
        <x:v>-11507.000981887104</x:v>
      </x:c>
      <x:c r="G36" s="79" t="n">
        <x:v>50473.625685782055</x:v>
      </x:c>
      <x:c r="H36" s="79" t="n">
        <x:v>113891.49230993679</x:v>
      </x:c>
      <x:c r="I36" s="81" t="n">
        <x:v>333041.0208423422</x:v>
      </x:c>
    </x:row>
    <x:row r="37">
      <x:c r="C37" s="27"/>
      <x:c r="D37" s="22"/>
      <x:c r="E37" s="22"/>
      <x:c r="F37" s="22"/>
      <x:c r="G37" s="31" t="n">
        <x:v>0.7563003766693039</x:v>
      </x:c>
      <x:c r="H37" s="31" t="n">
        <x:v>0.5969594486530341</x:v>
      </x:c>
      <x:c r="I37" s="31" t="n">
        <x:v>0.4892127254370575</x:v>
      </x:c>
    </x:row>
    <x:row r="39" ht="13.5" customHeight="1">
      <x:c r="C39" s="57" t="str">
        <x:v>Receita Designers</x:v>
      </x:c>
    </x:row>
    <x:row r="40" ht="15.75" customHeight="1">
      <x:c r="C40" s="83" t="str">
        <x:v>Total</x:v>
      </x:c>
      <x:c r="D40" s="85" t="n">
        <x:f>SUM(D41,D42,D46,D49,D50,D51)</x:f>
        <x:v>42411.78429459569</x:v>
      </x:c>
      <x:c r="E40" s="85" t="n">
        <x:f>SUM(E41,E42,E46,E49,E50,E51)</x:f>
        <x:v>114846.5079563297</x:v>
      </x:c>
      <x:c r="F40" s="85" t="n">
        <x:f>SUM(F41,F42,F46,F49,F50,F51)</x:f>
        <x:v>190171.36087311106</x:v>
      </x:c>
      <x:c r="G40" s="85" t="n">
        <x:f>SUM(G41,G42,G46,G49,G50,G51)</x:f>
        <x:v>399900.33876588667</x:v>
      </x:c>
      <x:c r="H40" s="85" t="n">
        <x:f>SUM(H41,H42,H46,H49,H50,H51)</x:f>
        <x:v>767002.6163141985</x:v>
      </x:c>
      <x:c r="I40" s="87" t="n">
        <x:f>SUM(I41,I42,I46,I49,I50,I51)</x:f>
        <x:v>1157436.3523740668</x:v>
      </x:c>
      <x:c r="J40" s="85" t="n">
        <x:f>+J7</x:f>
        <x:v>1200126.2558912728</x:v>
      </x:c>
      <x:c r="K40" s="85" t="n">
        <x:f>+K7</x:f>
        <x:v>1330743.9666374759</x:v>
      </x:c>
      <x:c r="L40" s="85" t="n">
        <x:f>+L7</x:f>
        <x:v>1474579.703065367</x:v>
      </x:c>
      <x:c r="M40" s="85" t="n">
        <x:f>+M7</x:f>
        <x:v>1632912.395935241</x:v>
      </x:c>
      <x:c r="N40" s="85" t="n">
        <x:f>+N7</x:f>
        <x:v>1807141.0095646763</x:v>
      </x:c>
      <x:c r="O40" s="85" t="n">
        <x:f>+O7</x:f>
        <x:v>1951712.290329851</x:v>
      </x:c>
      <x:c r="P40" s="85" t="n">
        <x:f>+P7</x:f>
        <x:v>2107849.273556239</x:v>
      </x:c>
      <x:c r="Q40" s="85" t="n">
        <x:f>+Q7</x:f>
        <x:v>2276477.215440738</x:v>
      </x:c>
      <x:c r="R40" s="85" t="n">
        <x:f>+R7</x:f>
        <x:v>2458595.3926759977</x:v>
      </x:c>
      <x:c r="S40" s="85" t="n">
        <x:f>+S7</x:f>
        <x:v>2655283.0240900773</x:v>
      </x:c>
      <x:c r="T40" s="85" t="n">
        <x:f>+T7</x:f>
        <x:v>2867705.6660172837</x:v>
      </x:c>
      <x:c r="U40" s="85" t="n">
        <x:f>+U7</x:f>
        <x:v>3097122.119298667</x:v>
      </x:c>
      <x:c r="V40" s="85" t="n">
        <x:f>+V7</x:f>
        <x:v>3344891.8888425594</x:v>
      </x:c>
      <x:c r="W40" s="85" t="n">
        <x:f>+W7</x:f>
        <x:v>3612483.239949965</x:v>
      </x:c>
      <x:c r="X40" s="85" t="n">
        <x:f>+X7</x:f>
        <x:v>3901481.899145962</x:v>
      </x:c>
      <x:c r="Y40" s="85" t="n">
        <x:f>+Y7</x:f>
        <x:v>4213600.451077641</x:v>
      </x:c>
      <x:c r="Z40" s="85" t="n">
        <x:f>+Z7</x:f>
        <x:v>4550688.487163851</x:v>
      </x:c>
    </x:row>
    <x:row r="41" ht="15" customHeight="1">
      <x:c r="C41" s="89" t="str">
        <x:v>NVDA</x:v>
      </x:c>
      <x:c r="D41" s="90" t="n">
        <x:v>38518.10659033064</x:v>
      </x:c>
      <x:c r="E41" s="90" t="n">
        <x:v>102470.1886726464</x:v>
      </x:c>
      <x:c r="F41" s="90" t="n">
        <x:v>158799.22567251758</x:v>
      </x:c>
      <x:c r="G41" s="90" t="n">
        <x:v>311815.5170199417</x:v>
      </x:c>
      <x:c r="H41" s="90" t="n">
        <x:v>578573.6453898079</x:v>
      </x:c>
      <x:c r="I41" s="92" t="n">
        <x:v>783966.6825195056</x:v>
      </x:c>
      <x:c r="J41" s="90" t="n">
        <x:f>+J53*J7</x:f>
        <x:v>744078.2786525892</x:v>
      </x:c>
      <x:c r="K41" s="90" t="n">
        <x:f>+K53*K7</x:f>
        <x:v>731909.1816506118</x:v>
      </x:c>
      <x:c r="L41" s="90" t="n">
        <x:f>+L53*L7</x:f>
        <x:v>737289.8515326835</x:v>
      </x:c>
      <x:c r="M41" s="90" t="n">
        <x:f>+M53*M7</x:f>
        <x:v>816456.1979676205</x:v>
      </x:c>
      <x:c r="N41" s="90" t="n">
        <x:f>+N53*N7</x:f>
        <x:v>903570.5047823382</x:v>
      </x:c>
      <x:c r="O41" s="90" t="n">
        <x:f>+O53*O7</x:f>
        <x:v>975856.1451649255</x:v>
      </x:c>
      <x:c r="P41" s="90" t="n">
        <x:f>+P53*P7</x:f>
        <x:v>1053924.6367781195</x:v>
      </x:c>
      <x:c r="Q41" s="90" t="n">
        <x:f>+Q53*Q7</x:f>
        <x:v>1138238.607720369</x:v>
      </x:c>
      <x:c r="R41" s="90" t="n">
        <x:f>+R53*R7</x:f>
        <x:v>1229297.6963379988</x:v>
      </x:c>
      <x:c r="S41" s="90" t="n">
        <x:f>+S53*S7</x:f>
        <x:v>1327641.5120450386</x:v>
      </x:c>
      <x:c r="T41" s="90" t="n">
        <x:f>+T53*T7</x:f>
        <x:v>1433852.8330086418</x:v>
      </x:c>
      <x:c r="U41" s="90" t="n">
        <x:f>+U53*U7</x:f>
        <x:v>1548561.0596493336</x:v>
      </x:c>
      <x:c r="V41" s="90" t="n">
        <x:f>+V53*V7</x:f>
        <x:v>1672445.9444212797</x:v>
      </x:c>
      <x:c r="W41" s="90" t="n">
        <x:f>+W53*W7</x:f>
        <x:v>1806241.6199749825</x:v>
      </x:c>
      <x:c r="X41" s="90" t="n">
        <x:f>+X53*X7</x:f>
        <x:v>1950740.949572981</x:v>
      </x:c>
      <x:c r="Y41" s="90" t="n">
        <x:f>+Y53*Y7</x:f>
        <x:v>2106800.2255388205</x:v>
      </x:c>
      <x:c r="Z41" s="90" t="n">
        <x:f>+Z53*Z7</x:f>
        <x:v>2275344.2435819255</x:v>
      </x:c>
    </x:row>
    <x:row r="42" ht="15" customHeight="1">
      <x:c r="C42" s="89" t="str">
        <x:v>AVGO</x:v>
      </x:c>
      <x:c r="D42" s="90" t="n">
        <x:f>SUM(D43:D45)</x:f>
        <x:v>2877.6338015051588</x:v>
      </x:c>
      <x:c r="E42" s="90" t="n">
        <x:f>SUM(E43:E45)</x:f>
        <x:v>5459.2796607009295</x:v>
      </x:c>
      <x:c r="F42" s="90" t="n">
        <x:f>SUM(F43:F45)</x:f>
        <x:v>20143.84887271849</x:v>
      </x:c>
      <x:c r="G42" s="90" t="n">
        <x:f>SUM(G43:G45)</x:f>
        <x:v>60379.64348302205</x:v>
      </x:c>
      <x:c r="H42" s="90" t="n">
        <x:f>SUM(H43:H45)</x:f>
        <x:v>125478.29988331329</x:v>
      </x:c>
      <x:c r="I42" s="92" t="n">
        <x:f>SUM(I43:I45)</x:f>
        <x:v>284634.8501180585</x:v>
      </x:c>
      <x:c r="J42" s="90"/>
      <x:c r="K42" s="90"/>
      <x:c r="L42" s="90"/>
      <x:c r="M42" s="90"/>
      <x:c r="N42" s="90"/>
      <x:c r="O42" s="90"/>
      <x:c r="P42" s="90"/>
      <x:c r="Q42" s="90"/>
      <x:c r="R42" s="90"/>
      <x:c r="S42" s="90"/>
      <x:c r="T42" s="90"/>
      <x:c r="U42" s="90"/>
      <x:c r="V42" s="90"/>
      <x:c r="W42" s="90"/>
      <x:c r="X42" s="90"/>
      <x:c r="Y42" s="90"/>
      <x:c r="Z42" s="90"/>
    </x:row>
    <x:row r="43">
      <x:c r="C43" s="94" t="str">
        <x:v>Google</x:v>
      </x:c>
      <x:c r="D43" s="95" t="n">
        <x:v>2627.6338015051588</x:v>
      </x:c>
      <x:c r="E43" s="95" t="n">
        <x:v>3704.9918019578977</x:v>
      </x:c>
      <x:c r="F43" s="95" t="n">
        <x:v>18766.56150242715</x:v>
      </x:c>
      <x:c r="G43" s="95" t="n">
        <x:v>56682.13756788901</x:v>
      </x:c>
      <x:c r="H43" s="95" t="n">
        <x:v>96940.99194561352</x:v>
      </x:c>
      <x:c r="I43" s="97" t="n">
        <x:v>228056.60442648252</x:v>
      </x:c>
      <x:c r="J43" s="95"/>
      <x:c r="K43" s="95"/>
      <x:c r="L43" s="95"/>
      <x:c r="M43" s="95"/>
      <x:c r="N43" s="95"/>
      <x:c r="O43" s="95"/>
      <x:c r="P43" s="95"/>
      <x:c r="Q43" s="95"/>
      <x:c r="R43" s="95"/>
      <x:c r="S43" s="95"/>
      <x:c r="T43" s="95"/>
      <x:c r="U43" s="95"/>
      <x:c r="V43" s="95"/>
      <x:c r="W43" s="95"/>
      <x:c r="X43" s="95"/>
      <x:c r="Y43" s="95"/>
      <x:c r="Z43" s="95"/>
    </x:row>
    <x:row r="44">
      <x:c r="C44" s="94" t="str">
        <x:v>Meta</x:v>
      </x:c>
      <x:c r="D44" s="95" t="n">
        <x:v>250</x:v>
      </x:c>
      <x:c r="E44" s="95" t="n">
        <x:v>1754.2878587430316</x:v>
      </x:c>
      <x:c r="F44" s="95" t="n">
        <x:v>1377.2873702913387</x:v>
      </x:c>
      <x:c r="G44" s="95" t="n">
        <x:v>3697.505915133042</x:v>
      </x:c>
      <x:c r="H44" s="95" t="n">
        <x:v>12988.534466777306</x:v>
      </x:c>
      <x:c r="I44" s="97" t="n">
        <x:v>33823.94305120168</x:v>
      </x:c>
      <x:c r="J44" s="95"/>
      <x:c r="K44" s="95"/>
      <x:c r="L44" s="95"/>
      <x:c r="M44" s="95"/>
      <x:c r="N44" s="95"/>
      <x:c r="O44" s="95"/>
      <x:c r="P44" s="95"/>
      <x:c r="Q44" s="95"/>
      <x:c r="R44" s="95"/>
      <x:c r="S44" s="95"/>
      <x:c r="T44" s="95"/>
      <x:c r="U44" s="95"/>
      <x:c r="V44" s="95"/>
      <x:c r="W44" s="95"/>
      <x:c r="X44" s="95"/>
      <x:c r="Y44" s="95"/>
      <x:c r="Z44" s="95"/>
    </x:row>
    <x:row r="45">
      <x:c r="C45" s="94" t="str">
        <x:v>OpenAI</x:v>
      </x:c>
      <x:c r="D45" s="95" t="n">
        <x:v>0</x:v>
      </x:c>
      <x:c r="E45" s="95" t="n">
        <x:v>0</x:v>
      </x:c>
      <x:c r="F45" s="95" t="n">
        <x:v>0</x:v>
      </x:c>
      <x:c r="G45" s="95" t="n">
        <x:v>0</x:v>
      </x:c>
      <x:c r="H45" s="95" t="n">
        <x:v>15548.773470922462</x:v>
      </x:c>
      <x:c r="I45" s="97" t="n">
        <x:v>22754.302640374335</x:v>
      </x:c>
      <x:c r="J45" s="95"/>
      <x:c r="K45" s="95"/>
      <x:c r="L45" s="95"/>
      <x:c r="M45" s="95"/>
      <x:c r="N45" s="95"/>
      <x:c r="O45" s="95"/>
      <x:c r="P45" s="95"/>
      <x:c r="Q45" s="95"/>
      <x:c r="R45" s="95"/>
      <x:c r="S45" s="95"/>
      <x:c r="T45" s="95"/>
      <x:c r="U45" s="95"/>
      <x:c r="V45" s="95"/>
      <x:c r="W45" s="95"/>
      <x:c r="X45" s="95"/>
      <x:c r="Y45" s="95"/>
      <x:c r="Z45" s="95"/>
    </x:row>
    <x:row r="46" ht="15" customHeight="1">
      <x:c r="C46" s="89" t="str">
        <x:v>MRVL</x:v>
      </x:c>
      <x:c r="D46" s="90" t="n">
        <x:f>SUM(D47:D48)-D52</x:f>
        <x:v>0</x:v>
      </x:c>
      <x:c r="E46" s="90" t="n">
        <x:f>SUM(E47:E48)-E52</x:f>
        <x:v>802.8961038961038</x:v>
      </x:c>
      <x:c r="F46" s="90" t="n">
        <x:f>SUM(F47:F48)-F52</x:f>
        <x:v>2877.2727272727266</x:v>
      </x:c>
      <x:c r="G46" s="90" t="n">
        <x:f>SUM(G47:G48)-G52</x:f>
        <x:v>6883.344329467323</x:v>
      </x:c>
      <x:c r="H46" s="90" t="n">
        <x:f>SUM(H47:H48)-H52</x:f>
        <x:v>9289.13965369327</x:v>
      </x:c>
      <x:c r="I46" s="92" t="n">
        <x:f>SUM(I47:I48)-I52</x:f>
        <x:v>13286.017232405842</x:v>
      </x:c>
      <x:c r="J46" s="90"/>
      <x:c r="K46" s="90"/>
      <x:c r="L46" s="90"/>
      <x:c r="M46" s="90"/>
      <x:c r="N46" s="90"/>
      <x:c r="O46" s="90"/>
      <x:c r="P46" s="90"/>
      <x:c r="Q46" s="90"/>
      <x:c r="R46" s="90"/>
      <x:c r="S46" s="90"/>
      <x:c r="T46" s="90"/>
      <x:c r="U46" s="90"/>
      <x:c r="V46" s="90"/>
      <x:c r="W46" s="90"/>
      <x:c r="X46" s="90"/>
      <x:c r="Y46" s="90"/>
      <x:c r="Z46" s="90"/>
    </x:row>
    <x:row r="47">
      <x:c r="C47" s="94" t="str">
        <x:v>Trainium</x:v>
      </x:c>
      <x:c r="D47" s="95" t="n">
        <x:v>0</x:v>
      </x:c>
      <x:c r="E47" s="95" t="n">
        <x:v>802.8961038961038</x:v>
      </x:c>
      <x:c r="F47" s="95" t="n">
        <x:v>2877.2727272727266</x:v>
      </x:c>
      <x:c r="G47" s="95" t="n">
        <x:v>6883.344329467323</x:v>
      </x:c>
      <x:c r="H47" s="95" t="n">
        <x:v>10615.281392090135</x:v>
      </x:c>
      <x:c r="I47" s="97" t="n">
        <x:v>13555.00899010552</x:v>
      </x:c>
      <x:c r="J47" s="95"/>
      <x:c r="K47" s="95"/>
      <x:c r="L47" s="95"/>
      <x:c r="M47" s="95"/>
      <x:c r="N47" s="95"/>
      <x:c r="O47" s="95"/>
      <x:c r="P47" s="95"/>
      <x:c r="Q47" s="95"/>
      <x:c r="R47" s="95"/>
      <x:c r="S47" s="95"/>
      <x:c r="T47" s="95"/>
      <x:c r="U47" s="95"/>
      <x:c r="V47" s="95"/>
      <x:c r="W47" s="95"/>
      <x:c r="X47" s="95"/>
      <x:c r="Y47" s="95"/>
      <x:c r="Z47" s="95"/>
    </x:row>
    <x:row r="48">
      <x:c r="C48" s="94" t="str">
        <x:v>MSFT</x:v>
      </x:c>
      <x:c r="D48" s="95" t="n">
        <x:v>0</x:v>
      </x:c>
      <x:c r="E48" s="95" t="n">
        <x:v>0</x:v>
      </x:c>
      <x:c r="F48" s="95" t="n">
        <x:v>0</x:v>
      </x:c>
      <x:c r="G48" s="95" t="n">
        <x:v>0</x:v>
      </x:c>
      <x:c r="H48" s="95" t="n">
        <x:v>1625.7299193571448</x:v>
      </x:c>
      <x:c r="I48" s="97" t="n">
        <x:v>3251.4598387142896</x:v>
      </x:c>
      <x:c r="J48" s="95"/>
      <x:c r="K48" s="95"/>
      <x:c r="L48" s="95"/>
      <x:c r="M48" s="95"/>
      <x:c r="N48" s="95"/>
      <x:c r="O48" s="95"/>
      <x:c r="P48" s="95"/>
      <x:c r="Q48" s="95"/>
      <x:c r="R48" s="95"/>
      <x:c r="S48" s="95"/>
      <x:c r="T48" s="95"/>
      <x:c r="U48" s="95"/>
      <x:c r="V48" s="95"/>
      <x:c r="W48" s="95"/>
      <x:c r="X48" s="95"/>
      <x:c r="Y48" s="95"/>
      <x:c r="Z48" s="95"/>
    </x:row>
    <x:row r="49" ht="15" customHeight="1">
      <x:c r="C49" s="89" t="str">
        <x:v>AMD</x:v>
      </x:c>
      <x:c r="D49" s="90" t="n">
        <x:v>538.3828971814297</x:v>
      </x:c>
      <x:c r="E49" s="90" t="n">
        <x:v>5435.357228491967</x:v>
      </x:c>
      <x:c r="F49" s="90" t="n">
        <x:v>7985.681482485932</x:v>
      </x:c>
      <x:c r="G49" s="90" t="n">
        <x:v>20668.375006210055</x:v>
      </x:c>
      <x:c r="H49" s="90" t="n">
        <x:v>38432.945549988974</x:v>
      </x:c>
      <x:c r="I49" s="92" t="n">
        <x:v>51771.772511275354</x:v>
      </x:c>
      <x:c r="J49" s="90"/>
      <x:c r="K49" s="90"/>
      <x:c r="L49" s="90"/>
      <x:c r="M49" s="90"/>
      <x:c r="N49" s="90"/>
      <x:c r="O49" s="90"/>
      <x:c r="P49" s="90"/>
      <x:c r="Q49" s="90"/>
      <x:c r="R49" s="90"/>
      <x:c r="S49" s="90"/>
      <x:c r="T49" s="90"/>
      <x:c r="U49" s="90"/>
      <x:c r="V49" s="90"/>
      <x:c r="W49" s="90"/>
      <x:c r="X49" s="90"/>
      <x:c r="Y49" s="90"/>
      <x:c r="Z49" s="90"/>
    </x:row>
    <x:row r="50" ht="15" customHeight="1">
      <x:c r="C50" s="89" t="str">
        <x:v>MTK</x:v>
      </x:c>
      <x:c r="D50" s="90" t="n">
        <x:v>0</x:v>
      </x:c>
      <x:c r="E50" s="90" t="n">
        <x:v>0</x:v>
      </x:c>
      <x:c r="F50" s="90" t="n">
        <x:v>0</x:v>
      </x:c>
      <x:c r="G50" s="90" t="n">
        <x:v>153.45892724551254</x:v>
      </x:c>
      <x:c r="H50" s="90" t="n">
        <x:v>12276.714179641003</x:v>
      </x:c>
      <x:c r="I50" s="92" t="n">
        <x:v>20256.578396407658</x:v>
      </x:c>
      <x:c r="J50" s="90"/>
      <x:c r="K50" s="90"/>
      <x:c r="L50" s="90"/>
      <x:c r="M50" s="90"/>
      <x:c r="N50" s="90"/>
      <x:c r="O50" s="90"/>
      <x:c r="P50" s="90"/>
      <x:c r="Q50" s="90"/>
      <x:c r="R50" s="90"/>
      <x:c r="S50" s="90"/>
      <x:c r="T50" s="90"/>
      <x:c r="U50" s="90"/>
      <x:c r="V50" s="90"/>
      <x:c r="W50" s="90"/>
      <x:c r="X50" s="90"/>
      <x:c r="Y50" s="90"/>
      <x:c r="Z50" s="90"/>
    </x:row>
    <x:row r="51" ht="15" customHeight="1">
      <x:c r="C51" s="99" t="str">
        <x:v>Alchip</x:v>
      </x:c>
      <x:c r="D51" s="101" t="n">
        <x:v>477.6610055784589</x:v>
      </x:c>
      <x:c r="E51" s="101" t="n">
        <x:v>678.786290594325</x:v>
      </x:c>
      <x:c r="F51" s="101" t="n">
        <x:v>365.33211811630855</x:v>
      </x:c>
      <x:c r="G51" s="101" t="n">
        <x:v>0</x:v>
      </x:c>
      <x:c r="H51" s="101" t="n">
        <x:v>2951.8716577540104</x:v>
      </x:c>
      <x:c r="I51" s="103" t="n">
        <x:v>3520.4515964139664</x:v>
      </x:c>
      <x:c r="J51" s="101"/>
      <x:c r="K51" s="101"/>
      <x:c r="L51" s="101"/>
      <x:c r="M51" s="101"/>
      <x:c r="N51" s="101"/>
      <x:c r="O51" s="101"/>
      <x:c r="P51" s="101"/>
      <x:c r="Q51" s="101"/>
      <x:c r="R51" s="101"/>
      <x:c r="S51" s="101"/>
      <x:c r="T51" s="101"/>
      <x:c r="U51" s="101"/>
      <x:c r="V51" s="101"/>
      <x:c r="W51" s="101"/>
      <x:c r="X51" s="101"/>
      <x:c r="Y51" s="101"/>
      <x:c r="Z51" s="101"/>
    </x:row>
    <x:row r="52" ht="28" customHeight="1">
      <x:c r="C52" s="184" t="str">
        <x:v>Less: implied allocation to Alchip</x:v>
      </x:c>
      <x:c r="D52" t="n">
        <x:v>0</x:v>
      </x:c>
      <x:c r="E52" t="n">
        <x:v>0</x:v>
      </x:c>
      <x:c r="F52" t="n">
        <x:v>0</x:v>
      </x:c>
      <x:c r="G52" t="n">
        <x:v>0</x:v>
      </x:c>
      <x:c r="H52" t="n">
        <x:f>H51</x:f>
        <x:v>2951.8716577540104</x:v>
      </x:c>
      <x:c r="I52" t="n">
        <x:f>I51</x:f>
        <x:v>3520.4515964139664</x:v>
      </x:c>
    </x:row>
    <x:row r="53">
      <x:c r="C53" s="104" t="str">
        <x:v>NVDA Share</x:v>
      </x:c>
      <x:c r="D53" s="105" t="n">
        <x:f>+D41/D7</x:f>
        <x:v>0.9081934945905777</x:v>
      </x:c>
      <x:c r="E53" s="105" t="n">
        <x:f>+E41/E7</x:f>
        <x:v>0.8922359982561299</x:v>
      </x:c>
      <x:c r="F53" s="105" t="n">
        <x:f>+F41/F7</x:f>
        <x:v>0.8350322832178392</x:v>
      </x:c>
      <x:c r="G53" s="105" t="n">
        <x:f>+G41/G7</x:f>
        <x:v>0.7797330654488083</x:v>
      </x:c>
      <x:c r="H53" s="105" t="n">
        <x:f>+H41/H7</x:f>
        <x:v>0.754330732494918</x:v>
      </x:c>
      <x:c r="I53" s="105" t="n">
        <x:f>+I41/I7</x:f>
        <x:v>0.6773302747157356</x:v>
      </x:c>
      <x:c r="J53" s="106" t="n">
        <x:v>0.62</x:v>
      </x:c>
      <x:c r="K53" s="30" t="n">
        <x:v>0.55</x:v>
      </x:c>
      <x:c r="L53" s="30" t="n">
        <x:f>+$D$92</x:f>
        <x:v>0.5</x:v>
      </x:c>
      <x:c r="M53" s="30" t="n">
        <x:f>+L53</x:f>
        <x:v>0.5</x:v>
      </x:c>
      <x:c r="N53" s="30" t="n">
        <x:f>+M53</x:f>
        <x:v>0.5</x:v>
      </x:c>
      <x:c r="O53" s="30" t="n">
        <x:f>+N53</x:f>
        <x:v>0.5</x:v>
      </x:c>
      <x:c r="P53" s="30" t="n">
        <x:f>+O53</x:f>
        <x:v>0.5</x:v>
      </x:c>
      <x:c r="Q53" s="30" t="n">
        <x:f>+P53</x:f>
        <x:v>0.5</x:v>
      </x:c>
      <x:c r="R53" s="30" t="n">
        <x:f>+Q53</x:f>
        <x:v>0.5</x:v>
      </x:c>
      <x:c r="S53" s="30" t="n">
        <x:f>+R53</x:f>
        <x:v>0.5</x:v>
      </x:c>
      <x:c r="T53" s="30" t="n">
        <x:f>+S53</x:f>
        <x:v>0.5</x:v>
      </x:c>
      <x:c r="U53" s="30" t="n">
        <x:f>+T53</x:f>
        <x:v>0.5</x:v>
      </x:c>
      <x:c r="V53" s="30" t="n">
        <x:f>+U53</x:f>
        <x:v>0.5</x:v>
      </x:c>
      <x:c r="W53" s="30" t="n">
        <x:f>+V53</x:f>
        <x:v>0.5</x:v>
      </x:c>
      <x:c r="X53" s="30" t="n">
        <x:f>+W53</x:f>
        <x:v>0.5</x:v>
      </x:c>
      <x:c r="Y53" s="30" t="n">
        <x:f>+X53</x:f>
        <x:v>0.5</x:v>
      </x:c>
      <x:c r="Z53" s="30" t="n">
        <x:f>+Y53</x:f>
        <x:v>0.5</x:v>
      </x:c>
    </x:row>
    <x:row r="55">
      <x:c r="C55" s="104" t="str">
        <x:v>Receita NVDA Chips</x:v>
      </x:c>
      <x:c r="D55" s="95" t="n">
        <x:f>+D41</x:f>
        <x:v>38518.10659033064</x:v>
      </x:c>
      <x:c r="E55" s="95" t="n">
        <x:f>+E41</x:f>
        <x:v>102470.1886726464</x:v>
      </x:c>
      <x:c r="F55" s="95" t="n">
        <x:f>+F41</x:f>
        <x:v>158799.22567251758</x:v>
      </x:c>
      <x:c r="G55" s="95" t="n">
        <x:f>+G41</x:f>
        <x:v>311815.5170199417</x:v>
      </x:c>
      <x:c r="H55" s="95" t="n">
        <x:f>+H41</x:f>
        <x:v>578573.6453898079</x:v>
      </x:c>
      <x:c r="I55" s="95" t="n">
        <x:f>+I41</x:f>
        <x:v>783966.6825195056</x:v>
      </x:c>
      <x:c r="J55" s="95" t="n">
        <x:f>+J41</x:f>
        <x:v>744078.2786525892</x:v>
      </x:c>
      <x:c r="K55" s="95" t="n">
        <x:f>+K41</x:f>
        <x:v>731909.1816506118</x:v>
      </x:c>
      <x:c r="L55" s="95" t="n">
        <x:f>+L41</x:f>
        <x:v>737289.8515326835</x:v>
      </x:c>
      <x:c r="M55" s="95" t="n">
        <x:f>+M41</x:f>
        <x:v>816456.1979676205</x:v>
      </x:c>
      <x:c r="N55" s="95" t="n">
        <x:f>+N41</x:f>
        <x:v>903570.5047823382</x:v>
      </x:c>
      <x:c r="O55" s="95" t="n">
        <x:f>+O41</x:f>
        <x:v>975856.1451649255</x:v>
      </x:c>
      <x:c r="P55" s="95" t="n">
        <x:f>+P41</x:f>
        <x:v>1053924.6367781195</x:v>
      </x:c>
      <x:c r="Q55" s="95" t="n">
        <x:f>+Q41</x:f>
        <x:v>1138238.607720369</x:v>
      </x:c>
      <x:c r="R55" s="95" t="n">
        <x:f>+R41</x:f>
        <x:v>1229297.6963379988</x:v>
      </x:c>
      <x:c r="S55" s="95" t="n">
        <x:f>+S41</x:f>
        <x:v>1327641.5120450386</x:v>
      </x:c>
      <x:c r="T55" s="95" t="n">
        <x:f>+T41</x:f>
        <x:v>1433852.8330086418</x:v>
      </x:c>
      <x:c r="U55" s="95" t="n">
        <x:f>+U41</x:f>
        <x:v>1548561.0596493336</x:v>
      </x:c>
      <x:c r="V55" s="95" t="n">
        <x:f>+V41</x:f>
        <x:v>1672445.9444212797</x:v>
      </x:c>
      <x:c r="W55" s="95" t="n">
        <x:f>+W41</x:f>
        <x:v>1806241.6199749825</x:v>
      </x:c>
      <x:c r="X55" s="95" t="n">
        <x:f>+X41</x:f>
        <x:v>1950740.949572981</x:v>
      </x:c>
      <x:c r="Y55" s="95" t="n">
        <x:f>+Y41</x:f>
        <x:v>2106800.2255388205</x:v>
      </x:c>
      <x:c r="Z55" s="95" t="n">
        <x:f>+Z41</x:f>
        <x:v>2275344.2435819255</x:v>
      </x:c>
    </x:row>
    <x:row r="56">
      <x:c r="C56" s="104" t="str">
        <x:v>Receita NVDA Networking</x:v>
      </x:c>
      <x:c r="F56" s="107" t="n">
        <x:f>F55*'Audit &amp; Checks'!$D$21</x:f>
        <x:v>20643.899337427287</x:v>
      </x:c>
      <x:c r="G56" s="107" t="n">
        <x:f>G55*'Audit &amp; Checks'!$D$22</x:f>
        <x:v>59244.94823378893</x:v>
      </x:c>
      <x:c r="H56" s="107" t="n">
        <x:f>H55*'Audit &amp; Checks'!$D$19</x:f>
        <x:v>144643.41134745197</x:v>
      </x:c>
      <x:c r="I56" s="107" t="n">
        <x:f>I55*'Audit &amp; Checks'!$D$19</x:f>
        <x:v>195991.6706298764</x:v>
      </x:c>
      <x:c r="J56" s="107" t="n">
        <x:f>J55*'Audit &amp; Checks'!$D$19</x:f>
        <x:v>186019.5696631473</x:v>
      </x:c>
      <x:c r="K56" s="107" t="n">
        <x:f>K55*'Audit &amp; Checks'!$D$19</x:f>
        <x:v>182977.29541265295</x:v>
      </x:c>
      <x:c r="L56" s="107" t="n">
        <x:f>L55*'Audit &amp; Checks'!$D$19</x:f>
        <x:v>184322.46288317087</x:v>
      </x:c>
      <x:c r="M56" s="107" t="n">
        <x:f>M55*'Audit &amp; Checks'!$D$19</x:f>
        <x:v>204114.0494919051</x:v>
      </x:c>
      <x:c r="N56" s="107" t="n">
        <x:f>N55*'Audit &amp; Checks'!$D$19</x:f>
        <x:v>225892.62619558454</x:v>
      </x:c>
      <x:c r="O56" s="107" t="n">
        <x:f>O55*'Audit &amp; Checks'!$D$19</x:f>
        <x:v>243964.03629123137</x:v>
      </x:c>
      <x:c r="P56" s="107" t="n">
        <x:f>P55*'Audit &amp; Checks'!$D$19</x:f>
        <x:v>263481.1591945299</x:v>
      </x:c>
      <x:c r="Q56" s="107" t="n">
        <x:f>Q55*'Audit &amp; Checks'!$D$19</x:f>
        <x:v>284559.65193009225</x:v>
      </x:c>
      <x:c r="R56" s="107" t="n">
        <x:f>R55*'Audit &amp; Checks'!$D$19</x:f>
        <x:v>307324.4240844997</x:v>
      </x:c>
      <x:c r="S56" s="107" t="n">
        <x:f>S55*'Audit &amp; Checks'!$D$19</x:f>
        <x:v>331910.37801125966</x:v>
      </x:c>
      <x:c r="T56" s="107" t="n">
        <x:f>T55*'Audit &amp; Checks'!$D$19</x:f>
        <x:v>358463.20825216046</x:v>
      </x:c>
      <x:c r="U56" s="107" t="n">
        <x:f>U55*'Audit &amp; Checks'!$D$19</x:f>
        <x:v>387140.2649123334</x:v>
      </x:c>
      <x:c r="V56" s="107" t="n">
        <x:f>V55*'Audit &amp; Checks'!$D$19</x:f>
        <x:v>418111.4861053199</x:v>
      </x:c>
      <x:c r="W56" s="107" t="n">
        <x:f>W55*'Audit &amp; Checks'!$D$19</x:f>
        <x:v>451560.4049937456</x:v>
      </x:c>
      <x:c r="X56" s="107" t="n">
        <x:f>X55*'Audit &amp; Checks'!$D$19</x:f>
        <x:v>487685.2373932453</x:v>
      </x:c>
      <x:c r="Y56" s="107" t="n">
        <x:f>Y55*'Audit &amp; Checks'!$D$19</x:f>
        <x:v>526700.0563847051</x:v>
      </x:c>
      <x:c r="Z56" s="107" t="n">
        <x:f>Z55*'Audit &amp; Checks'!$D$19</x:f>
        <x:v>568836.0608954814</x:v>
      </x:c>
    </x:row>
    <x:row r="57">
      <x:c r="C57" s="104" t="str">
        <x:v>NVDA Others</x:v>
      </x:c>
      <x:c r="D57" s="95" t="n">
        <x:f>'Source Inputs'!D10</x:f>
        <x:v>13397</x:v>
      </x:c>
      <x:c r="E57" s="95" t="n">
        <x:f>'Source Inputs'!E10</x:f>
        <x:v>15311</x:v>
      </x:c>
      <x:c r="F57" s="95" t="n">
        <x:f>'Source Inputs'!F10</x:f>
        <x:v>22551.385200000004</x:v>
      </x:c>
      <x:c r="G57" s="95" t="n">
        <x:f>'Source Inputs'!G10</x:f>
        <x:v>27814.750627325513</x:v>
      </x:c>
      <x:c r="H57" s="95" t="n">
        <x:f>'Source Inputs'!H10</x:f>
        <x:v>31633.57971702217</x:v>
      </x:c>
      <x:c r="I57" s="95" t="n">
        <x:f>'Source Inputs'!I10</x:f>
        <x:v>31633.57971702217</x:v>
      </x:c>
      <x:c r="J57" s="95" t="n">
        <x:f>+I57</x:f>
        <x:v>31633.57971702217</x:v>
      </x:c>
      <x:c r="K57" s="95" t="n">
        <x:f>+J57</x:f>
        <x:v>31633.57971702217</x:v>
      </x:c>
      <x:c r="L57" s="95" t="n">
        <x:f>+K57</x:f>
        <x:v>31633.57971702217</x:v>
      </x:c>
      <x:c r="M57" s="95" t="n">
        <x:f>+L57</x:f>
        <x:v>31633.57971702217</x:v>
      </x:c>
      <x:c r="N57" s="95" t="n">
        <x:f>+M57</x:f>
        <x:v>31633.57971702217</x:v>
      </x:c>
      <x:c r="O57" s="95" t="n">
        <x:f>+N57</x:f>
        <x:v>31633.57971702217</x:v>
      </x:c>
      <x:c r="P57" s="95" t="n">
        <x:f>+O57</x:f>
        <x:v>31633.57971702217</x:v>
      </x:c>
      <x:c r="Q57" s="95" t="n">
        <x:f>+P57</x:f>
        <x:v>31633.57971702217</x:v>
      </x:c>
      <x:c r="R57" s="95" t="n">
        <x:f>+Q57</x:f>
        <x:v>31633.57971702217</x:v>
      </x:c>
      <x:c r="S57" s="95" t="n">
        <x:f>+R57</x:f>
        <x:v>31633.57971702217</x:v>
      </x:c>
      <x:c r="T57" s="95" t="n">
        <x:f>+S57</x:f>
        <x:v>31633.57971702217</x:v>
      </x:c>
      <x:c r="U57" s="95" t="n">
        <x:f>+T57</x:f>
        <x:v>31633.57971702217</x:v>
      </x:c>
      <x:c r="V57" s="95" t="n">
        <x:f>+U57</x:f>
        <x:v>31633.57971702217</x:v>
      </x:c>
      <x:c r="W57" s="95" t="n">
        <x:f>+V57</x:f>
        <x:v>31633.57971702217</x:v>
      </x:c>
      <x:c r="X57" s="95" t="n">
        <x:f>+W57</x:f>
        <x:v>31633.57971702217</x:v>
      </x:c>
      <x:c r="Y57" s="95" t="n">
        <x:f>+X57</x:f>
        <x:v>31633.57971702217</x:v>
      </x:c>
      <x:c r="Z57" s="95" t="n">
        <x:f>+Y57</x:f>
        <x:v>31633.57971702217</x:v>
      </x:c>
    </x:row>
    <x:row r="58">
      <x:c r="C58" s="104"/>
      <x:c r="D58" s="95"/>
      <x:c r="E58" s="95"/>
      <x:c r="F58" s="95"/>
      <x:c r="G58" s="95"/>
      <x:c r="H58" s="95"/>
      <x:c r="I58" s="95"/>
    </x:row>
    <x:row r="59">
      <x:c r="C59" s="104" t="str">
        <x:v>NVDA modeled revenue</x:v>
      </x:c>
      <x:c r="D59" s="95" t="n">
        <x:f>SUM(D55:D57)</x:f>
        <x:v>51915.10659033064</x:v>
      </x:c>
      <x:c r="E59" s="95" t="n">
        <x:f>SUM(E55:E57)</x:f>
        <x:v>117781.1886726464</x:v>
      </x:c>
      <x:c r="F59" s="95" t="n">
        <x:f>SUM(F55:F57)</x:f>
        <x:v>201994.51020994486</x:v>
      </x:c>
      <x:c r="G59" s="95" t="n">
        <x:f>SUM(G55:G57)</x:f>
        <x:v>398875.21588105615</x:v>
      </x:c>
      <x:c r="H59" s="95" t="n">
        <x:f>SUM(H55:H57)</x:f>
        <x:v>754850.636454282</x:v>
      </x:c>
      <x:c r="I59" s="95" t="n">
        <x:f>SUM(I55:I57)</x:f>
        <x:v>1011591.9328664042</x:v>
      </x:c>
      <x:c r="J59" s="95" t="n">
        <x:f>SUM(J55:J57)</x:f>
        <x:v>961731.4280327586</x:v>
      </x:c>
      <x:c r="K59" s="95" t="n">
        <x:f>SUM(K55:K57)</x:f>
        <x:v>946520.0567802868</x:v>
      </x:c>
      <x:c r="L59" s="95" t="n">
        <x:f>SUM(L55:L57)</x:f>
        <x:v>953245.8941328765</x:v>
      </x:c>
      <x:c r="M59" s="95" t="n">
        <x:f>SUM(M55:M57)</x:f>
        <x:v>1052203.8271765478</x:v>
      </x:c>
      <x:c r="N59" s="95" t="n">
        <x:f>SUM(N55:N57)</x:f>
        <x:v>1161096.7106949447</x:v>
      </x:c>
      <x:c r="O59" s="95" t="n">
        <x:f>SUM(O55:O57)</x:f>
        <x:v>1251453.761173179</x:v>
      </x:c>
      <x:c r="P59" s="95" t="n">
        <x:f>SUM(P55:P57)</x:f>
        <x:v>1349039.3756896716</x:v>
      </x:c>
      <x:c r="Q59" s="95" t="n">
        <x:f>SUM(Q55:Q57)</x:f>
        <x:v>1454431.8393674835</x:v>
      </x:c>
      <x:c r="R59" s="95" t="n">
        <x:f>SUM(R55:R57)</x:f>
        <x:v>1568255.7001395207</x:v>
      </x:c>
      <x:c r="S59" s="95" t="n">
        <x:f>SUM(S55:S57)</x:f>
        <x:v>1691185.4697733205</x:v>
      </x:c>
      <x:c r="T59" s="95" t="n">
        <x:f>SUM(T55:T57)</x:f>
        <x:v>1823949.6209778243</x:v>
      </x:c>
      <x:c r="U59" s="95" t="n">
        <x:f>SUM(U55:U57)</x:f>
        <x:v>1967334.904278689</x:v>
      </x:c>
      <x:c r="V59" s="95" t="n">
        <x:f>SUM(V55:V57)</x:f>
        <x:v>2122191.010243622</x:v>
      </x:c>
      <x:c r="W59" s="95" t="n">
        <x:f>SUM(W55:W57)</x:f>
        <x:v>2289435.6046857503</x:v>
      </x:c>
      <x:c r="X59" s="95" t="n">
        <x:f>SUM(X55:X57)</x:f>
        <x:v>2470059.766683249</x:v>
      </x:c>
      <x:c r="Y59" s="95" t="n">
        <x:f>SUM(Y55:Y57)</x:f>
        <x:v>2665133.861640548</x:v>
      </x:c>
      <x:c r="Z59" s="95" t="n">
        <x:f>SUM(Z55:Z57)</x:f>
        <x:v>2875813.884194429</x:v>
      </x:c>
    </x:row>
    <x:row r="60">
      <x:c r="C60" s="104"/>
      <x:c r="D60" s="95"/>
      <x:c r="E60" s="95"/>
      <x:c r="F60" s="95"/>
      <x:c r="G60" s="95"/>
      <x:c r="H60" s="95"/>
      <x:c r="I60" s="95"/>
      <x:c r="J60" s="95"/>
      <x:c r="K60" s="95"/>
      <x:c r="L60" s="95"/>
      <x:c r="M60" s="95"/>
      <x:c r="N60" s="95"/>
      <x:c r="O60" s="95"/>
      <x:c r="P60" s="95"/>
      <x:c r="Q60" s="95"/>
      <x:c r="R60" s="95"/>
      <x:c r="S60" s="95"/>
      <x:c r="T60" s="95"/>
      <x:c r="U60" s="95"/>
      <x:c r="V60" s="95"/>
      <x:c r="W60" s="95"/>
      <x:c r="X60" s="95"/>
      <x:c r="Y60" s="95"/>
      <x:c r="Z60" s="95"/>
    </x:row>
    <x:row r="61">
      <x:c r="C61" s="104" t="str">
        <x:v>Margem Bruta</x:v>
      </x:c>
      <x:c r="D61" s="31" t="n">
        <x:v>0.738</x:v>
      </x:c>
      <x:c r="E61" s="31" t="n">
        <x:v>0.755</x:v>
      </x:c>
      <x:c r="F61" s="31" t="n">
        <x:v>0.72</x:v>
      </x:c>
      <x:c r="G61" s="31" t="n">
        <x:v>0.75</x:v>
      </x:c>
      <x:c r="H61" s="31" t="n">
        <x:v>0.73</x:v>
      </x:c>
      <x:c r="I61" s="31" t="n">
        <x:v>0.72</x:v>
      </x:c>
      <x:c r="J61" s="30" t="n">
        <x:f>MAX($D$93,I61-'Audit &amp; Checks'!$D$18)</x:f>
        <x:v>0.7</x:v>
      </x:c>
      <x:c r="K61" s="30" t="n">
        <x:f>MAX($D$93,J61-'Audit &amp; Checks'!$D$18)</x:f>
        <x:v>0.6799999999999999</x:v>
      </x:c>
      <x:c r="L61" s="30" t="n">
        <x:f>MAX($D$93,K61-'Audit &amp; Checks'!$D$18)</x:f>
        <x:v>0.6599999999999999</x:v>
      </x:c>
      <x:c r="M61" s="30" t="n">
        <x:f>MAX($D$93,L61-'Audit &amp; Checks'!$D$18)</x:f>
        <x:v>0.64</x:v>
      </x:c>
      <x:c r="N61" s="30" t="n">
        <x:f>MAX($D$93,M61-'Audit &amp; Checks'!$D$18)</x:f>
        <x:v>0.64</x:v>
      </x:c>
      <x:c r="O61" s="30" t="n">
        <x:f>MAX($D$93,N61-'Audit &amp; Checks'!$D$18)</x:f>
        <x:v>0.64</x:v>
      </x:c>
      <x:c r="P61" s="30" t="n">
        <x:f>MAX($D$93,O61-'Audit &amp; Checks'!$D$18)</x:f>
        <x:v>0.64</x:v>
      </x:c>
      <x:c r="Q61" s="30" t="n">
        <x:f>MAX($D$93,P61-'Audit &amp; Checks'!$D$18)</x:f>
        <x:v>0.64</x:v>
      </x:c>
      <x:c r="R61" s="30" t="n">
        <x:f>MAX($D$93,Q61-'Audit &amp; Checks'!$D$18)</x:f>
        <x:v>0.64</x:v>
      </x:c>
      <x:c r="S61" s="30" t="n">
        <x:f>MAX($D$93,R61-'Audit &amp; Checks'!$D$18)</x:f>
        <x:v>0.64</x:v>
      </x:c>
      <x:c r="T61" s="30" t="n">
        <x:f>MAX($D$93,S61-'Audit &amp; Checks'!$D$18)</x:f>
        <x:v>0.64</x:v>
      </x:c>
      <x:c r="U61" s="30" t="n">
        <x:f>MAX($D$93,T61-'Audit &amp; Checks'!$D$18)</x:f>
        <x:v>0.64</x:v>
      </x:c>
      <x:c r="V61" s="30" t="n">
        <x:f>MAX($D$93,U61-'Audit &amp; Checks'!$D$18)</x:f>
        <x:v>0.64</x:v>
      </x:c>
      <x:c r="W61" s="30" t="n">
        <x:f>MAX($D$93,V61-'Audit &amp; Checks'!$D$18)</x:f>
        <x:v>0.64</x:v>
      </x:c>
      <x:c r="X61" s="30" t="n">
        <x:f>MAX($D$93,W61-'Audit &amp; Checks'!$D$18)</x:f>
        <x:v>0.64</x:v>
      </x:c>
      <x:c r="Y61" s="30" t="n">
        <x:f>MAX($D$93,X61-'Audit &amp; Checks'!$D$18)</x:f>
        <x:v>0.64</x:v>
      </x:c>
      <x:c r="Z61" s="30" t="n">
        <x:f>MAX($D$93,Y61-'Audit &amp; Checks'!$D$18)</x:f>
        <x:v>0.64</x:v>
      </x:c>
    </x:row>
    <x:row r="64">
      <x:c r="C64" s="27" t="str">
        <x:v>Lucro Bruto</x:v>
      </x:c>
      <x:c r="D64" s="107" t="n">
        <x:f>+D61*D59</x:f>
        <x:v>38313.34866366401</x:v>
      </x:c>
      <x:c r="E64" s="107" t="n">
        <x:f>+E61*E59</x:f>
        <x:v>88924.79744784803</x:v>
      </x:c>
      <x:c r="F64" s="107" t="n">
        <x:f>+F61*F59</x:f>
        <x:v>145436.0473511603</x:v>
      </x:c>
      <x:c r="G64" s="107" t="n">
        <x:f>+G61*G59</x:f>
        <x:v>299156.4119107921</x:v>
      </x:c>
      <x:c r="H64" s="107" t="n">
        <x:f>+H61*H59</x:f>
        <x:v>551040.9646116259</x:v>
      </x:c>
      <x:c r="I64" s="107" t="n">
        <x:f>+I61*I59</x:f>
        <x:v>728346.191663811</x:v>
      </x:c>
      <x:c r="J64" s="107" t="n">
        <x:f>+J61*J59</x:f>
        <x:v>673211.999622931</x:v>
      </x:c>
      <x:c r="K64" s="107" t="n">
        <x:f>+K61*K59</x:f>
        <x:v>643633.638610595</x:v>
      </x:c>
      <x:c r="L64" s="107" t="n">
        <x:f>+L61*L59</x:f>
        <x:v>629142.2901276984</x:v>
      </x:c>
      <x:c r="M64" s="107" t="n">
        <x:f>+M61*M59</x:f>
        <x:v>673410.4493929907</x:v>
      </x:c>
      <x:c r="N64" s="107" t="n">
        <x:f>+N61*N59</x:f>
        <x:v>743101.8948447646</x:v>
      </x:c>
      <x:c r="O64" s="107" t="n">
        <x:f>+O61*O59</x:f>
        <x:v>800930.4071508346</x:v>
      </x:c>
      <x:c r="P64" s="107" t="n">
        <x:f>+P61*P59</x:f>
        <x:v>863385.2004413898</x:v>
      </x:c>
      <x:c r="Q64" s="107" t="n">
        <x:f>+Q61*Q59</x:f>
        <x:v>930836.3771951895</x:v>
      </x:c>
      <x:c r="R64" s="107" t="n">
        <x:f>+R61*R59</x:f>
        <x:v>1003683.6480892933</x:v>
      </x:c>
      <x:c r="S64" s="107" t="n">
        <x:f>+S61*S59</x:f>
        <x:v>1082358.700654925</x:v>
      </x:c>
      <x:c r="T64" s="107" t="n">
        <x:f>+T61*T59</x:f>
        <x:v>1167327.7574258076</x:v>
      </x:c>
      <x:c r="U64" s="107" t="n">
        <x:f>+U61*U59</x:f>
        <x:v>1259094.3387383611</x:v>
      </x:c>
      <x:c r="V64" s="107" t="n">
        <x:f>+V61*V59</x:f>
        <x:v>1358202.2465559181</x:v>
      </x:c>
      <x:c r="W64" s="107" t="n">
        <x:f>+W61*W59</x:f>
        <x:v>1465238.7869988803</x:v>
      </x:c>
      <x:c r="X64" s="107" t="n">
        <x:f>+X61*X59</x:f>
        <x:v>1580838.2506772792</x:v>
      </x:c>
      <x:c r="Y64" s="107" t="n">
        <x:f>+Y61*Y59</x:f>
        <x:v>1705685.6714499507</x:v>
      </x:c>
      <x:c r="Z64" s="107" t="n">
        <x:f>+Z61*Z59</x:f>
        <x:v>1840520.8858844347</x:v>
      </x:c>
    </x:row>
    <x:row r="66">
      <x:c r="C66" s="27" t="str">
        <x:v>Opex</x:v>
      </x:c>
      <x:c r="D66" s="107" t="n">
        <x:f>-D67*D59</x:f>
        <x:v>-21423.113051715365</x:v>
      </x:c>
      <x:c r="E66" s="107" t="n">
        <x:f>-E67*E59</x:f>
        <x:v>-21902.48328144859</x:v>
      </x:c>
      <x:c r="F66" s="107" t="n">
        <x:f>-F67*F59</x:f>
        <x:v>-25393.07371046189</x:v>
      </x:c>
      <x:c r="G66" s="107" t="n">
        <x:f>-G67*G59</x:f>
        <x:v>-42625.40396628315</x:v>
      </x:c>
      <x:c r="H66" s="107" t="n">
        <x:f>-H67*H59</x:f>
        <x:v>-52839.54455179974</x:v>
      </x:c>
      <x:c r="I66" s="107" t="n">
        <x:f>-I67*I59</x:f>
        <x:v>-60695.51597198425</x:v>
      </x:c>
      <x:c r="J66" s="107" t="n">
        <x:f>+J67*J59*-1</x:f>
        <x:v>-57703.88568196552</x:v>
      </x:c>
      <x:c r="K66" s="107" t="n">
        <x:f>+K67*K59*-1</x:f>
        <x:v>-56791.20340681721</x:v>
      </x:c>
      <x:c r="L66" s="107" t="n">
        <x:f>+L67*L59*-1</x:f>
        <x:v>-57194.75364797259</x:v>
      </x:c>
      <x:c r="M66" s="107" t="n">
        <x:f>+M67*M59*-1</x:f>
        <x:v>-63132.22963059287</x:v>
      </x:c>
      <x:c r="N66" s="107" t="n">
        <x:f>+N67*N59*-1</x:f>
        <x:v>-69665.80264169667</x:v>
      </x:c>
      <x:c r="O66" s="107" t="n">
        <x:f>+O67*O59*-1</x:f>
        <x:v>-75087.22567039073</x:v>
      </x:c>
      <x:c r="P66" s="107" t="n">
        <x:f>+P67*P59*-1</x:f>
        <x:v>-80942.3625413803</x:v>
      </x:c>
      <x:c r="Q66" s="107" t="n">
        <x:f>+Q67*Q59*-1</x:f>
        <x:v>-87265.910362049</x:v>
      </x:c>
      <x:c r="R66" s="107" t="n">
        <x:f>+R67*R59*-1</x:f>
        <x:v>-94095.34200837124</x:v>
      </x:c>
      <x:c r="S66" s="107" t="n">
        <x:f>+S67*S59*-1</x:f>
        <x:v>-101471.12818639922</x:v>
      </x:c>
      <x:c r="T66" s="107" t="n">
        <x:f>+T67*T59*-1</x:f>
        <x:v>-109436.97725866946</x:v>
      </x:c>
      <x:c r="U66" s="107" t="n">
        <x:f>+U67*U59*-1</x:f>
        <x:v>-118040.09425672134</x:v>
      </x:c>
      <x:c r="V66" s="107" t="n">
        <x:f>+V67*V59*-1</x:f>
        <x:v>-127331.46061461732</x:v>
      </x:c>
      <x:c r="W66" s="107" t="n">
        <x:f>+W67*W59*-1</x:f>
        <x:v>-137366.136281145</x:v>
      </x:c>
      <x:c r="X66" s="107" t="n">
        <x:f>+X67*X59*-1</x:f>
        <x:v>-148203.58600099492</x:v>
      </x:c>
      <x:c r="Y66" s="107" t="n">
        <x:f>+Y67*Y59*-1</x:f>
        <x:v>-159908.03169843287</x:v>
      </x:c>
      <x:c r="Z66" s="107" t="n">
        <x:f>+Z67*Z59*-1</x:f>
        <x:v>-172548.83305166574</x:v>
      </x:c>
    </x:row>
    <x:row r="67">
      <x:c r="C67" s="27" t="str">
        <x:v>Opex mg</x:v>
      </x:c>
      <x:c r="D67" s="31" t="n">
        <x:v>0.4126566323125973</x:v>
      </x:c>
      <x:c r="E67" s="31" t="n">
        <x:v>0.18595909523653195</x:v>
      </x:c>
      <x:c r="F67" s="31" t="n">
        <x:v>0.12571170218472455</x:v>
      </x:c>
      <x:c r="G67" s="31" t="n">
        <x:v>0.10686400726134353</x:v>
      </x:c>
      <x:c r="H67" s="31" t="n">
        <x:v>0.07</x:v>
      </x:c>
      <x:c r="I67" s="31" t="n">
        <x:v>0.06</x:v>
      </x:c>
      <x:c r="J67" s="30" t="n">
        <x:f>+I67</x:f>
        <x:v>0.06</x:v>
      </x:c>
      <x:c r="K67" s="30" t="n">
        <x:f>+J67</x:f>
        <x:v>0.06</x:v>
      </x:c>
      <x:c r="L67" s="30" t="n">
        <x:f>+K67</x:f>
        <x:v>0.06</x:v>
      </x:c>
      <x:c r="M67" s="30" t="n">
        <x:f>+L67</x:f>
        <x:v>0.06</x:v>
      </x:c>
      <x:c r="N67" s="30" t="n">
        <x:f>+M67</x:f>
        <x:v>0.06</x:v>
      </x:c>
      <x:c r="O67" s="30" t="n">
        <x:f>+N67</x:f>
        <x:v>0.06</x:v>
      </x:c>
      <x:c r="P67" s="30" t="n">
        <x:f>+O67</x:f>
        <x:v>0.06</x:v>
      </x:c>
      <x:c r="Q67" s="30" t="n">
        <x:f>+P67</x:f>
        <x:v>0.06</x:v>
      </x:c>
      <x:c r="R67" s="30" t="n">
        <x:f>+Q67</x:f>
        <x:v>0.06</x:v>
      </x:c>
      <x:c r="S67" s="30" t="n">
        <x:f>+R67</x:f>
        <x:v>0.06</x:v>
      </x:c>
      <x:c r="T67" s="30" t="n">
        <x:f>+S67</x:f>
        <x:v>0.06</x:v>
      </x:c>
      <x:c r="U67" s="30" t="n">
        <x:f>+T67</x:f>
        <x:v>0.06</x:v>
      </x:c>
      <x:c r="V67" s="30" t="n">
        <x:f>+U67</x:f>
        <x:v>0.06</x:v>
      </x:c>
      <x:c r="W67" s="30" t="n">
        <x:f>+V67</x:f>
        <x:v>0.06</x:v>
      </x:c>
      <x:c r="X67" s="30" t="n">
        <x:f>+W67</x:f>
        <x:v>0.06</x:v>
      </x:c>
      <x:c r="Y67" s="30" t="n">
        <x:f>+X67</x:f>
        <x:v>0.06</x:v>
      </x:c>
      <x:c r="Z67" s="30" t="n">
        <x:f>+Y67</x:f>
        <x:v>0.06</x:v>
      </x:c>
    </x:row>
    <x:row r="69">
      <x:c r="C69" s="27" t="str">
        <x:v>EBIT</x:v>
      </x:c>
      <x:c r="D69" s="107" t="n">
        <x:f>+D64+D66</x:f>
        <x:v>16890.235611948643</x:v>
      </x:c>
      <x:c r="E69" s="107" t="n">
        <x:f>+E64+E66</x:f>
        <x:v>67022.31416639945</x:v>
      </x:c>
      <x:c r="F69" s="107" t="n">
        <x:f>+F64+F66</x:f>
        <x:v>120042.9736406984</x:v>
      </x:c>
      <x:c r="G69" s="107" t="n">
        <x:f>+G64+G66</x:f>
        <x:v>256531.00794450898</x:v>
      </x:c>
      <x:c r="H69" s="107" t="n">
        <x:f>+H64+H66</x:f>
        <x:v>498201.4200598261</x:v>
      </x:c>
      <x:c r="I69" s="107" t="n">
        <x:f>+I64+I66</x:f>
        <x:v>667650.6756918267</x:v>
      </x:c>
      <x:c r="J69" s="107" t="n">
        <x:f>+J64+J66</x:f>
        <x:v>615508.1139409655</x:v>
      </x:c>
      <x:c r="K69" s="107" t="n">
        <x:f>+K64+K66</x:f>
        <x:v>586842.4352037779</x:v>
      </x:c>
      <x:c r="L69" s="107" t="n">
        <x:f>+L64+L66</x:f>
        <x:v>571947.5364797259</x:v>
      </x:c>
      <x:c r="M69" s="107" t="n">
        <x:f>+M64+M66</x:f>
        <x:v>610278.2197623978</x:v>
      </x:c>
      <x:c r="N69" s="107" t="n">
        <x:f>+N64+N66</x:f>
        <x:v>673436.092203068</x:v>
      </x:c>
      <x:c r="O69" s="107" t="n">
        <x:f>+O64+O66</x:f>
        <x:v>725843.1814804438</x:v>
      </x:c>
      <x:c r="P69" s="107" t="n">
        <x:f>+P64+P66</x:f>
        <x:v>782442.8379000095</x:v>
      </x:c>
      <x:c r="Q69" s="107" t="n">
        <x:f>+Q64+Q66</x:f>
        <x:v>843570.4668331405</x:v>
      </x:c>
      <x:c r="R69" s="107" t="n">
        <x:f>+R64+R66</x:f>
        <x:v>909588.306080922</x:v>
      </x:c>
      <x:c r="S69" s="107" t="n">
        <x:f>+S64+S66</x:f>
        <x:v>980887.5724685258</x:v>
      </x:c>
      <x:c r="T69" s="107" t="n">
        <x:f>+T64+T66</x:f>
        <x:v>1057890.7801671382</x:v>
      </x:c>
      <x:c r="U69" s="107" t="n">
        <x:f>+U64+U66</x:f>
        <x:v>1141054.2444816397</x:v>
      </x:c>
      <x:c r="V69" s="107" t="n">
        <x:f>+V64+V66</x:f>
        <x:v>1230870.785941301</x:v>
      </x:c>
      <x:c r="W69" s="107" t="n">
        <x:f>+W64+W66</x:f>
        <x:v>1327872.6507177353</x:v>
      </x:c>
      <x:c r="X69" s="107" t="n">
        <x:f>+X64+X66</x:f>
        <x:v>1432634.6646762842</x:v>
      </x:c>
      <x:c r="Y69" s="107" t="n">
        <x:f>+Y64+Y66</x:f>
        <x:v>1545777.6397515177</x:v>
      </x:c>
      <x:c r="Z69" s="107" t="n">
        <x:f>+Z64+Z66</x:f>
        <x:v>1667972.052832769</x:v>
      </x:c>
    </x:row>
    <x:row r="71">
      <x:c r="C71" s="27" t="str">
        <x:v>Taxes</x:v>
      </x:c>
      <x:c r="D71" s="31" t="n">
        <x:v>0.18</x:v>
      </x:c>
      <x:c r="E71" s="31" t="n">
        <x:f>+D71</x:f>
        <x:v>0.18</x:v>
      </x:c>
      <x:c r="F71" s="31" t="n">
        <x:f>+E71</x:f>
        <x:v>0.18</x:v>
      </x:c>
      <x:c r="G71" s="31" t="n">
        <x:f>+F71</x:f>
        <x:v>0.18</x:v>
      </x:c>
      <x:c r="H71" s="31" t="n">
        <x:f>+G71</x:f>
        <x:v>0.18</x:v>
      </x:c>
      <x:c r="I71" s="31" t="n">
        <x:f>+H71</x:f>
        <x:v>0.18</x:v>
      </x:c>
      <x:c r="J71" s="31" t="n">
        <x:f>+I71</x:f>
        <x:v>0.18</x:v>
      </x:c>
      <x:c r="K71" s="31" t="n">
        <x:f>+J71</x:f>
        <x:v>0.18</x:v>
      </x:c>
      <x:c r="L71" s="31" t="n">
        <x:f>+K71</x:f>
        <x:v>0.18</x:v>
      </x:c>
      <x:c r="M71" s="31" t="n">
        <x:f>+L71</x:f>
        <x:v>0.18</x:v>
      </x:c>
      <x:c r="N71" s="31" t="n">
        <x:f>+M71</x:f>
        <x:v>0.18</x:v>
      </x:c>
      <x:c r="O71" s="31" t="n">
        <x:f>+N71</x:f>
        <x:v>0.18</x:v>
      </x:c>
      <x:c r="P71" s="31" t="n">
        <x:f>+O71</x:f>
        <x:v>0.18</x:v>
      </x:c>
      <x:c r="Q71" s="31" t="n">
        <x:f>+P71</x:f>
        <x:v>0.18</x:v>
      </x:c>
      <x:c r="R71" s="31" t="n">
        <x:f>+Q71</x:f>
        <x:v>0.18</x:v>
      </x:c>
      <x:c r="S71" s="31" t="n">
        <x:f>+R71</x:f>
        <x:v>0.18</x:v>
      </x:c>
      <x:c r="T71" s="31" t="n">
        <x:f>+S71</x:f>
        <x:v>0.18</x:v>
      </x:c>
      <x:c r="U71" s="31" t="n">
        <x:f>+T71</x:f>
        <x:v>0.18</x:v>
      </x:c>
      <x:c r="V71" s="31" t="n">
        <x:f>+U71</x:f>
        <x:v>0.18</x:v>
      </x:c>
      <x:c r="W71" s="31" t="n">
        <x:f>+V71</x:f>
        <x:v>0.18</x:v>
      </x:c>
      <x:c r="X71" s="31" t="n">
        <x:f>+W71</x:f>
        <x:v>0.18</x:v>
      </x:c>
      <x:c r="Y71" s="31" t="n">
        <x:f>+X71</x:f>
        <x:v>0.18</x:v>
      </x:c>
      <x:c r="Z71" s="31" t="n">
        <x:f>+Y71</x:f>
        <x:v>0.18</x:v>
      </x:c>
    </x:row>
    <x:row r="73">
      <x:c r="C73" s="27" t="str">
        <x:v>Tax due</x:v>
      </x:c>
      <x:c r="D73" s="107" t="n">
        <x:f>+D69*D71</x:f>
        <x:v>3040.242410150756</x:v>
      </x:c>
      <x:c r="E73" s="107" t="n">
        <x:f>+E69*E71</x:f>
        <x:v>12064.0165499519</x:v>
      </x:c>
      <x:c r="F73" s="107" t="n">
        <x:f>+F69*F71</x:f>
        <x:v>21607.73525532571</x:v>
      </x:c>
      <x:c r="G73" s="107" t="n">
        <x:f>+G69*G71</x:f>
        <x:v>46175.58143001162</x:v>
      </x:c>
      <x:c r="H73" s="107" t="n">
        <x:f>+H69*H71</x:f>
        <x:v>89676.2556107687</x:v>
      </x:c>
      <x:c r="I73" s="107" t="n">
        <x:f>+I69*I71</x:f>
        <x:v>120177.12162452881</x:v>
      </x:c>
      <x:c r="J73" s="107" t="n">
        <x:f>+J69*J71</x:f>
        <x:v>110791.46050937379</x:v>
      </x:c>
      <x:c r="K73" s="107" t="n">
        <x:f>+K69*K71</x:f>
        <x:v>105631.63833668001</x:v>
      </x:c>
      <x:c r="L73" s="107" t="n">
        <x:f>+L69*L71</x:f>
        <x:v>102950.55656635064</x:v>
      </x:c>
      <x:c r="M73" s="107" t="n">
        <x:f>+M69*M71</x:f>
        <x:v>109850.0795572316</x:v>
      </x:c>
      <x:c r="N73" s="107" t="n">
        <x:f>+N69*N71</x:f>
        <x:v>121218.49659655223</x:v>
      </x:c>
      <x:c r="O73" s="107" t="n">
        <x:f>+O69*O71</x:f>
        <x:v>130651.77266647988</x:v>
      </x:c>
      <x:c r="P73" s="107" t="n">
        <x:f>+P69*P71</x:f>
        <x:v>140839.7108220017</x:v>
      </x:c>
      <x:c r="Q73" s="107" t="n">
        <x:f>+Q69*Q71</x:f>
        <x:v>151842.68402996528</x:v>
      </x:c>
      <x:c r="R73" s="107" t="n">
        <x:f>+R69*R71</x:f>
        <x:v>163725.89509456596</x:v>
      </x:c>
      <x:c r="S73" s="107" t="n">
        <x:f>+S69*S71</x:f>
        <x:v>176559.76304433466</x:v>
      </x:c>
      <x:c r="T73" s="107" t="n">
        <x:f>+T69*T71</x:f>
        <x:v>190420.34043008488</x:v>
      </x:c>
      <x:c r="U73" s="107" t="n">
        <x:f>+U69*U71</x:f>
        <x:v>205389.76400669513</x:v>
      </x:c>
      <x:c r="V73" s="107" t="n">
        <x:f>+V69*V71</x:f>
        <x:v>221556.74146943414</x:v>
      </x:c>
      <x:c r="W73" s="107" t="n">
        <x:f>+W69*W71</x:f>
        <x:v>239017.07712919233</x:v>
      </x:c>
      <x:c r="X73" s="107" t="n">
        <x:f>+X69*X71</x:f>
        <x:v>257874.23964173114</x:v>
      </x:c>
      <x:c r="Y73" s="107" t="n">
        <x:f>+Y69*Y71</x:f>
        <x:v>278239.97515527316</x:v>
      </x:c>
      <x:c r="Z73" s="107" t="n">
        <x:f>+Z69*Z71</x:f>
        <x:v>300234.9695098984</x:v>
      </x:c>
    </x:row>
    <x:row r="75">
      <x:c r="C75" s="27" t="str">
        <x:v>NOPAT (after-tax EBIT)</x:v>
      </x:c>
      <x:c r="D75" s="107" t="n">
        <x:f>+D69-D73</x:f>
        <x:v>13849.993201797886</x:v>
      </x:c>
      <x:c r="E75" s="107" t="n">
        <x:f>+E69-E73</x:f>
        <x:v>54958.29761644755</x:v>
      </x:c>
      <x:c r="F75" s="107" t="n">
        <x:f>+F69-F73</x:f>
        <x:v>98435.2383853727</x:v>
      </x:c>
      <x:c r="G75" s="107" t="n">
        <x:f>+G69-G73</x:f>
        <x:v>210355.42651449738</x:v>
      </x:c>
      <x:c r="H75" s="107" t="n">
        <x:f>+H69-H73</x:f>
        <x:v>408525.1644490574</x:v>
      </x:c>
      <x:c r="I75" s="107" t="n">
        <x:f>+I69-I73</x:f>
        <x:v>547473.554067298</x:v>
      </x:c>
      <x:c r="J75" s="107" t="n">
        <x:f>+J69-J73</x:f>
        <x:v>504716.6534315917</x:v>
      </x:c>
      <x:c r="K75" s="107" t="n">
        <x:f>+K69-K73</x:f>
        <x:v>481210.79686709784</x:v>
      </x:c>
      <x:c r="L75" s="107" t="n">
        <x:f>+L69-L73</x:f>
        <x:v>468996.9799133752</x:v>
      </x:c>
      <x:c r="M75" s="107" t="n">
        <x:f>+M69-M73</x:f>
        <x:v>500428.1402051662</x:v>
      </x:c>
      <x:c r="N75" s="107" t="n">
        <x:f>+N69-N73</x:f>
        <x:v>552217.5956065158</x:v>
      </x:c>
      <x:c r="O75" s="107" t="n">
        <x:f>+O69-O73</x:f>
        <x:v>595191.4088139639</x:v>
      </x:c>
      <x:c r="P75" s="107" t="n">
        <x:f>+P69-P73</x:f>
        <x:v>641603.1270780078</x:v>
      </x:c>
      <x:c r="Q75" s="107" t="n">
        <x:f>+Q69-Q73</x:f>
        <x:v>691727.7828031752</x:v>
      </x:c>
      <x:c r="R75" s="107" t="n">
        <x:f>+R69-R73</x:f>
        <x:v>745862.4109863561</x:v>
      </x:c>
      <x:c r="S75" s="107" t="n">
        <x:f>+S69-S73</x:f>
        <x:v>804327.8094241912</x:v>
      </x:c>
      <x:c r="T75" s="107" t="n">
        <x:f>+T69-T73</x:f>
        <x:v>867470.4397370534</x:v>
      </x:c>
      <x:c r="U75" s="107" t="n">
        <x:f>+U69-U73</x:f>
        <x:v>935664.4804749446</x:v>
      </x:c>
      <x:c r="V75" s="107" t="n">
        <x:f>+V69-V73</x:f>
        <x:v>1009314.0444718668</x:v>
      </x:c>
      <x:c r="W75" s="107" t="n">
        <x:f>+W69-W73</x:f>
        <x:v>1088855.5735885429</x:v>
      </x:c>
      <x:c r="X75" s="107" t="n">
        <x:f>+X69-X73</x:f>
        <x:v>1174760.425034553</x:v>
      </x:c>
      <x:c r="Y75" s="107" t="n">
        <x:f>+Y69-Y73</x:f>
        <x:v>1267537.6645962445</x:v>
      </x:c>
      <x:c r="Z75" s="107" t="n">
        <x:f>+Z69-Z73</x:f>
        <x:v>1367737.0833228705</x:v>
      </x:c>
      <x:c r="AA75" s="107" t="n">
        <x:f>IF('Audit &amp; Checks'!D10=1,Z75*(1+D83)/(D81-D83),0)</x:f>
        <x:v>18692406.805412557</x:v>
      </x:c>
    </x:row>
    <x:row r="76">
      <x:c r="C76" t="str">
        <x:v>NOPAT per share</x:v>
      </x:c>
      <x:c r="D76" s="107"/>
      <x:c r="E76" s="107"/>
      <x:c r="F76" s="107"/>
      <x:c r="G76" s="107"/>
      <x:c r="H76" s="108" t="n">
        <x:f>+H75/$D$86</x:f>
        <x:v>16.95125163689035</x:v>
      </x:c>
      <x:c r="I76" s="108" t="n">
        <x:f>+I75/$D$86</x:f>
        <x:v>22.716744982045558</x:v>
      </x:c>
      <x:c r="J76" s="107"/>
      <x:c r="K76" s="107"/>
      <x:c r="L76" s="107"/>
      <x:c r="M76" s="107"/>
      <x:c r="N76" s="107"/>
      <x:c r="O76" s="107"/>
      <x:c r="P76" s="107"/>
      <x:c r="Q76" s="107"/>
      <x:c r="R76" s="107"/>
      <x:c r="S76" s="107"/>
      <x:c r="T76" s="107"/>
      <x:c r="U76" s="107"/>
      <x:c r="V76" s="107"/>
      <x:c r="W76" s="107"/>
      <x:c r="X76" s="107"/>
      <x:c r="Y76" s="107"/>
      <x:c r="Z76" s="107"/>
      <x:c r="AA76" s="107"/>
    </x:row>
    <x:row r="77">
      <x:c r="D77" s="107"/>
      <x:c r="E77" s="107"/>
      <x:c r="F77" s="107"/>
      <x:c r="G77" s="107"/>
      <x:c r="H77" s="109"/>
      <x:c r="I77" s="109"/>
      <x:c r="J77" s="107"/>
      <x:c r="K77" s="107"/>
      <x:c r="L77" s="107"/>
      <x:c r="M77" s="107"/>
      <x:c r="N77" s="107"/>
      <x:c r="O77" s="107"/>
      <x:c r="P77" s="107"/>
      <x:c r="Q77" s="107"/>
      <x:c r="R77" s="107"/>
      <x:c r="S77" s="107"/>
      <x:c r="T77" s="107"/>
      <x:c r="U77" s="107"/>
      <x:c r="V77" s="107"/>
      <x:c r="W77" s="107"/>
      <x:c r="X77" s="107"/>
      <x:c r="Y77" s="107"/>
      <x:c r="Z77" s="107"/>
      <x:c r="AA77" s="107"/>
    </x:row>
    <x:row r="78">
      <x:c r="C78" s="27" t="str">
        <x:v>Payout</x:v>
      </x:c>
      <x:c r="D78" s="107"/>
      <x:c r="E78" s="107"/>
      <x:c r="F78" s="107"/>
      <x:c r="G78" s="31" t="n">
        <x:v>0.5</x:v>
      </x:c>
      <x:c r="H78" s="31" t="n">
        <x:v>0.6</x:v>
      </x:c>
      <x:c r="I78" s="31" t="n">
        <x:v>0.7</x:v>
      </x:c>
      <x:c r="J78" s="30" t="n">
        <x:v>0.8</x:v>
      </x:c>
      <x:c r="K78" s="31" t="n">
        <x:f>+J78</x:f>
        <x:v>0.8</x:v>
      </x:c>
      <x:c r="L78" s="31" t="n">
        <x:f>+K78</x:f>
        <x:v>0.8</x:v>
      </x:c>
      <x:c r="M78" s="31" t="n">
        <x:f>+L78</x:f>
        <x:v>0.8</x:v>
      </x:c>
      <x:c r="N78" s="31" t="n">
        <x:f>+M78</x:f>
        <x:v>0.8</x:v>
      </x:c>
      <x:c r="O78" s="31" t="n">
        <x:f>+N78</x:f>
        <x:v>0.8</x:v>
      </x:c>
      <x:c r="P78" s="31" t="n">
        <x:f>+O78</x:f>
        <x:v>0.8</x:v>
      </x:c>
      <x:c r="Q78" s="31" t="n">
        <x:f>+P78</x:f>
        <x:v>0.8</x:v>
      </x:c>
      <x:c r="R78" s="31" t="n">
        <x:f>+Q78</x:f>
        <x:v>0.8</x:v>
      </x:c>
      <x:c r="S78" s="31" t="n">
        <x:f>+R78</x:f>
        <x:v>0.8</x:v>
      </x:c>
      <x:c r="T78" s="31" t="n">
        <x:f>+S78</x:f>
        <x:v>0.8</x:v>
      </x:c>
      <x:c r="U78" s="31" t="n">
        <x:f>+T78</x:f>
        <x:v>0.8</x:v>
      </x:c>
      <x:c r="V78" s="31" t="n">
        <x:f>+U78</x:f>
        <x:v>0.8</x:v>
      </x:c>
      <x:c r="W78" s="31" t="n">
        <x:f>+V78</x:f>
        <x:v>0.8</x:v>
      </x:c>
      <x:c r="X78" s="31" t="n">
        <x:f>+W78</x:f>
        <x:v>0.8</x:v>
      </x:c>
      <x:c r="Y78" s="31" t="n">
        <x:f>+X78</x:f>
        <x:v>0.8</x:v>
      </x:c>
      <x:c r="Z78" s="31" t="n">
        <x:f>'Audit &amp; Checks'!D16</x:f>
        <x:v>1</x:v>
      </x:c>
      <x:c r="AA78" s="107"/>
    </x:row>
    <x:row r="79">
      <x:c r="C79" t="str">
        <x:v>Distribution proxy</x:v>
      </x:c>
      <x:c r="D79" s="107"/>
      <x:c r="E79" s="107"/>
      <x:c r="F79" s="107"/>
      <x:c r="G79" s="107" t="n">
        <x:f>+G75*G78</x:f>
        <x:v>105177.71325724869</x:v>
      </x:c>
      <x:c r="H79" s="107" t="n">
        <x:f>+H75*H78</x:f>
        <x:v>245115.09866943443</x:v>
      </x:c>
      <x:c r="I79" s="107" t="n">
        <x:f>+I75*I78</x:f>
        <x:v>383231.48784710857</x:v>
      </x:c>
      <x:c r="J79" s="107" t="n">
        <x:f>+J75*J78</x:f>
        <x:v>403773.32274527336</x:v>
      </x:c>
      <x:c r="K79" s="107" t="n">
        <x:f>+K75*K78</x:f>
        <x:v>384968.6374936783</x:v>
      </x:c>
      <x:c r="L79" s="107" t="n">
        <x:f>+L75*L78</x:f>
        <x:v>375197.5839307002</x:v>
      </x:c>
      <x:c r="M79" s="107" t="n">
        <x:f>+M75*M78</x:f>
        <x:v>400342.51216413296</x:v>
      </x:c>
      <x:c r="N79" s="107" t="n">
        <x:f>+N75*N78</x:f>
        <x:v>441774.07648521266</x:v>
      </x:c>
      <x:c r="O79" s="107" t="n">
        <x:f>+O75*O78</x:f>
        <x:v>476153.12705117115</x:v>
      </x:c>
      <x:c r="P79" s="107" t="n">
        <x:f>+P75*P78</x:f>
        <x:v>513282.50166240626</x:v>
      </x:c>
      <x:c r="Q79" s="107" t="n">
        <x:f>+Q75*Q78</x:f>
        <x:v>553382.2262425402</x:v>
      </x:c>
      <x:c r="R79" s="107" t="n">
        <x:f>+R75*R78</x:f>
        <x:v>596689.9287890849</x:v>
      </x:c>
      <x:c r="S79" s="107" t="n">
        <x:f>+S75*S78</x:f>
        <x:v>643462.2475393531</x:v>
      </x:c>
      <x:c r="T79" s="107" t="n">
        <x:f>+T75*T78</x:f>
        <x:v>693976.3517896427</x:v>
      </x:c>
      <x:c r="U79" s="107" t="n">
        <x:f>+U75*U78</x:f>
        <x:v>748531.5843799557</x:v>
      </x:c>
      <x:c r="V79" s="107" t="n">
        <x:f>+V75*V78</x:f>
        <x:v>807451.2355774934</x:v>
      </x:c>
      <x:c r="W79" s="107" t="n">
        <x:f>+W75*W78</x:f>
        <x:v>871084.4588708343</x:v>
      </x:c>
      <x:c r="X79" s="107" t="n">
        <x:f>+X75*X78</x:f>
        <x:v>939808.3400276424</x:v>
      </x:c>
      <x:c r="Y79" s="107" t="n">
        <x:f>+Y75*Y78</x:f>
        <x:v>1014030.1316769957</x:v>
      </x:c>
      <x:c r="Z79" s="107" t="n">
        <x:f>+Z75*Z78</x:f>
        <x:v>1367737.0833228705</x:v>
      </x:c>
      <x:c r="AA79" s="107" t="n">
        <x:f>IF('Audit &amp; Checks'!D10=1,Z79*(1+D83)/(D81-D83),0)</x:f>
        <x:v>18692406.805412557</x:v>
      </x:c>
    </x:row>
    <x:row r="81">
      <x:c r="C81" s="27" t="str">
        <x:v>Ke</x:v>
      </x:c>
      <x:c r="D81" s="31" t="n">
        <x:v>0.1</x:v>
      </x:c>
      <x:c r="F81" s="207" t="str">
        <x:f>'Audit &amp; Checks'!F23</x:f>
        <x:v>AUDIT CHECKS OK</x:v>
      </x:c>
      <x:c r="G81" s="207"/>
      <x:c r="H81" s="207"/>
    </x:row>
    <x:row r="83">
      <x:c r="C83" s="27" t="str">
        <x:v>Perp</x:v>
      </x:c>
      <x:c r="D83" s="106" t="n">
        <x:v>0.025</x:v>
      </x:c>
    </x:row>
    <x:row r="85">
      <x:c r="C85" s="27" t="str">
        <x:v>PV at valuation date</x:v>
      </x:c>
      <x:c r="D85" s="107" t="n">
        <x:f>'Audit &amp; Checks'!D13</x:f>
        <x:v>7152160.356188153</x:v>
      </x:c>
    </x:row>
    <x:row r="86">
      <x:c r="C86" s="27" t="str">
        <x:v>#Shares</x:v>
      </x:c>
      <x:c r="D86" s="107" t="n">
        <x:v>24100</x:v>
      </x:c>
    </x:row>
    <x:row r="88" ht="32" customHeight="1">
      <x:c r="C88" s="27" t="str">
        <x:v>Value / share (dated)</x:v>
      </x:c>
      <x:c r="D88" s="185" t="n">
        <x:f>'Audit &amp; Checks'!D14</x:f>
        <x:v>296.7701392609192</x:v>
      </x:c>
      <x:c r="E88" s="186" t="n">
        <x:f>D88</x:f>
        <x:v>296.7701392609192</x:v>
      </x:c>
      <x:c r="F88" s="187" t="str">
        <x:v>One dated valuation; assumptions and checks on Audit &amp; Checks.</x:v>
      </x:c>
      <x:c r="G88" s="184" t="str">
        <x:v>One dated valuation; assumptions and checks on Audit &amp; Checks.</x:v>
      </x:c>
      <x:c r="H88" s="184" t="str">
        <x:v>One dated valuation; assumptions and checks on Audit &amp; Checks.</x:v>
      </x:c>
      <x:c r="I88" s="184" t="str">
        <x:v>One dated valuation; assumptions and checks on Audit &amp; Checks.</x:v>
      </x:c>
      <x:c r="J88" s="184" t="str">
        <x:v>One dated valuation; assumptions and checks on Audit &amp; Checks.</x:v>
      </x:c>
    </x:row>
    <x:row r="90">
      <x:c r="C90" s="27" t="str">
        <x:v>Price / NOPAT per share</x:v>
      </x:c>
      <x:c r="D90" s="188" t="n">
        <x:f>IF(H76&lt;&gt;0,D88/H76,0)</x:f>
        <x:v>17.50727000094022</x:v>
      </x:c>
      <x:c r="E90" s="188" t="n">
        <x:f>IF(I76&lt;&gt;0,D88/I76,0)</x:f>
        <x:v>13.06393761498291</x:v>
      </x:c>
    </x:row>
    <x:row r="92" ht="30" customHeight="1">
      <x:c r="C92" s="187" t="str">
        <x:v>NVDA share from CY2031</x:v>
      </x:c>
      <x:c r="D92" s="113" t="n">
        <x:v>0.5</x:v>
      </x:c>
    </x:row>
    <x:row r="93" ht="30" customHeight="1">
      <x:c r="C93" s="187" t="str">
        <x:v>Terminal gross-margin floor</x:v>
      </x:c>
      <x:c r="D93" s="113" t="n">
        <x:v>0.64</x:v>
      </x:c>
    </x:row>
    <x:row r="95" ht="30" customHeight="1">
      <x:c r="C95" s="193" t="str">
        <x:v>SENSITIVITY | terminal share × gross-margin floor | dated US$/share</x:v>
      </x:c>
      <x:c r="D95" s="194" t="str">
        <x:v>SENSITIVITY | terminal share × gross-margin floor | dated US$/share</x:v>
      </x:c>
      <x:c r="E95" s="194" t="str">
        <x:v>SENSITIVITY | terminal share × gross-margin floor | dated US$/share</x:v>
      </x:c>
      <x:c r="F95" s="194" t="str">
        <x:v>SENSITIVITY | terminal share × gross-margin floor | dated US$/share</x:v>
      </x:c>
      <x:c r="G95" s="194" t="str">
        <x:v>SENSITIVITY | terminal share × gross-margin floor | dated US$/share</x:v>
      </x:c>
      <x:c r="H95" s="194" t="str">
        <x:v>SENSITIVITY | terminal share × gross-margin floor | dated US$/share</x:v>
      </x:c>
      <x:c r="I95" s="194" t="str">
        <x:v>SENSITIVITY | terminal share × gross-margin floor | dated US$/share</x:v>
      </x:c>
      <x:c r="J95" s="194" t="str">
        <x:v>SENSITIVITY | terminal share × gross-margin floor | dated US$/share</x:v>
      </x:c>
    </x:row>
    <x:row r="96" ht="22" customHeight="1">
      <x:c r="D96" s="185" t="n">
        <x:f>D88</x:f>
        <x:v>296.7701392609192</x:v>
      </x:c>
      <x:c r="E96" s="117" t="n">
        <x:v>0.58</x:v>
      </x:c>
      <x:c r="F96" s="117" t="n">
        <x:v>0.6</x:v>
      </x:c>
      <x:c r="G96" s="117" t="n">
        <x:v>0.62</x:v>
      </x:c>
      <x:c r="H96" s="117" t="n">
        <x:v>0.64</x:v>
      </x:c>
      <x:c r="I96" s="117" t="n">
        <x:v>0.66</x:v>
      </x:c>
      <x:c r="J96" s="117" t="n">
        <x:v>0.68</x:v>
      </x:c>
    </x:row>
    <x:row r="97" ht="22" customHeight="1">
      <x:c r="D97" s="117" t="n">
        <x:v>0.4</x:v>
      </x:c>
      <x:c r="E97" s="185" t="n">
        <x:f>'Sensitivity Engine'!I6</x:f>
        <x:v>229.58812444741162</x:v>
      </x:c>
      <x:c r="F97" s="185" t="n">
        <x:f>'Sensitivity Engine'!I7</x:f>
        <x:v>235.44822868313477</x:v>
      </x:c>
      <x:c r="G97" s="185" t="n">
        <x:f>'Sensitivity Engine'!I8</x:f>
        <x:v>241.5558547734838</x:v>
      </x:c>
      <x:c r="H97" s="185" t="n">
        <x:f>'Sensitivity Engine'!I9</x:f>
        <x:v>247.91621971377361</x:v>
      </x:c>
      <x:c r="I97" s="185" t="n">
        <x:f>'Sensitivity Engine'!I10</x:f>
        <x:v>254.52870048896224</x:v>
      </x:c>
      <x:c r="J97" s="185" t="n">
        <x:f>'Sensitivity Engine'!I11</x:f>
        <x:v>261.39262109486003</x:v>
      </x:c>
    </x:row>
    <x:row r="98" ht="22" customHeight="1">
      <x:c r="D98" s="117" t="n">
        <x:v>0.45</x:v>
      </x:c>
      <x:c r="E98" s="185" t="n">
        <x:f>'Sensitivity Engine'!I12</x:f>
        <x:v>251.76371901651092</x:v>
      </x:c>
      <x:c r="F98" s="185" t="n">
        <x:f>'Sensitivity Engine'!I13</x:f>
        <x:v>258.3441245704482</x:v>
      </x:c>
      <x:c r="G98" s="185" t="n">
        <x:f>'Sensitivity Engine'!I14</x:f>
        <x:v>265.2020207366241</x:v>
      </x:c>
      <x:c r="H98" s="185" t="n">
        <x:f>'Sensitivity Engine'!I15</x:f>
        <x:v>272.34317948734645</x:v>
      </x:c>
      <x:c r="I98" s="185" t="n">
        <x:f>'Sensitivity Engine'!I16</x:f>
        <x:v>279.76679306852947</x:v>
      </x:c>
      <x:c r="J98" s="185" t="n">
        <x:f>'Sensitivity Engine'!I17</x:f>
        <x:v>287.47198342707946</x:v>
      </x:c>
    </x:row>
    <x:row r="99" ht="22" customHeight="1">
      <x:c r="D99" s="117" t="n">
        <x:v>0.5</x:v>
      </x:c>
      <x:c r="E99" s="185" t="n">
        <x:f>'Sensitivity Engine'!I18</x:f>
        <x:v>273.93931358561025</x:v>
      </x:c>
      <x:c r="F99" s="185" t="n">
        <x:f>'Sensitivity Engine'!I19</x:f>
        <x:v>281.2400204577616</x:v>
      </x:c>
      <x:c r="G99" s="185" t="n">
        <x:f>'Sensitivity Engine'!I20</x:f>
        <x:v>288.84818669976437</x:v>
      </x:c>
      <x:c r="H99" s="185" t="n">
        <x:f>'Sensitivity Engine'!I21</x:f>
        <x:v>296.77013926091934</x:v>
      </x:c>
      <x:c r="I99" s="185" t="n">
        <x:f>'Sensitivity Engine'!I22</x:f>
        <x:v>305.0048856480966</x:v>
      </x:c>
      <x:c r="J99" s="185" t="n">
        <x:f>'Sensitivity Engine'!I23</x:f>
        <x:v>313.5513457592989</x:v>
      </x:c>
    </x:row>
    <x:row r="100" ht="22" customHeight="1">
      <x:c r="D100" s="117" t="n">
        <x:v>0.55</x:v>
      </x:c>
      <x:c r="E100" s="185" t="n">
        <x:f>'Sensitivity Engine'!I24</x:f>
        <x:v>296.11490815470967</x:v>
      </x:c>
      <x:c r="F100" s="185" t="n">
        <x:f>'Sensitivity Engine'!I25</x:f>
        <x:v>304.135916345075</x:v>
      </x:c>
      <x:c r="G100" s="185" t="n">
        <x:f>'Sensitivity Engine'!I26</x:f>
        <x:v>312.49435266290476</x:v>
      </x:c>
      <x:c r="H100" s="185" t="n">
        <x:f>'Sensitivity Engine'!I27</x:f>
        <x:v>321.1970990344923</x:v>
      </x:c>
      <x:c r="I100" s="185" t="n">
        <x:f>'Sensitivity Engine'!I28</x:f>
        <x:v>330.2429782276638</x:v>
      </x:c>
      <x:c r="J100" s="185" t="n">
        <x:f>'Sensitivity Engine'!I29</x:f>
        <x:v>339.63070809151833</x:v>
      </x:c>
    </x:row>
    <x:row r="101" ht="22" customHeight="1">
      <x:c r="D101" s="117" t="n">
        <x:v>0.6</x:v>
      </x:c>
      <x:c r="E101" s="185" t="n">
        <x:f>'Sensitivity Engine'!I30</x:f>
        <x:v>318.2905027238089</x:v>
      </x:c>
      <x:c r="F101" s="185" t="n">
        <x:f>'Sensitivity Engine'!I31</x:f>
        <x:v>327.03181223238835</x:v>
      </x:c>
      <x:c r="G101" s="185" t="n">
        <x:f>'Sensitivity Engine'!I32</x:f>
        <x:v>336.140518626045</x:v>
      </x:c>
      <x:c r="H101" s="185" t="n">
        <x:f>'Sensitivity Engine'!I33</x:f>
        <x:v>345.62405880806506</x:v>
      </x:c>
      <x:c r="I101" s="185" t="n">
        <x:f>'Sensitivity Engine'!I34</x:f>
        <x:v>355.48107080723094</x:v>
      </x:c>
      <x:c r="J101" s="185" t="n">
        <x:f>'Sensitivity Engine'!I35</x:f>
        <x:v>365.71007042373765</x:v>
      </x:c>
    </x:row>
    <x:row r="102" ht="22" customHeight="1">
      <x:c r="D102" s="117" t="n">
        <x:v>0.65</x:v>
      </x:c>
      <x:c r="E102" s="185" t="n">
        <x:f>'Sensitivity Engine'!I36</x:f>
        <x:v>340.4660972929082</x:v>
      </x:c>
      <x:c r="F102" s="185" t="n">
        <x:f>'Sensitivity Engine'!I37</x:f>
        <x:v>349.9277081197018</x:v>
      </x:c>
      <x:c r="G102" s="185" t="n">
        <x:f>'Sensitivity Engine'!I38</x:f>
        <x:v>359.78668458918526</x:v>
      </x:c>
      <x:c r="H102" s="185" t="n">
        <x:f>'Sensitivity Engine'!I39</x:f>
        <x:v>370.05101858163795</x:v>
      </x:c>
      <x:c r="I102" s="185" t="n">
        <x:f>'Sensitivity Engine'!I40</x:f>
        <x:v>380.7191633867982</x:v>
      </x:c>
      <x:c r="J102" s="185" t="n">
        <x:f>'Sensitivity Engine'!I41</x:f>
        <x:v>391.7894327559571</x:v>
      </x:c>
    </x:row>
    <x:row r="104" ht="48" customHeight="1">
      <x:c r="C104" s="187" t="str">
        <x:v>All 36 cases use the same corrected valuation date and terminal timing. Forecast cash flows are recalculated in Sensitivity Engine; 50% share / 64% floor reproduces the main value.</x:v>
      </x:c>
      <x:c r="D104" s="184" t="str">
        <x:v>All 36 cases use the same corrected valuation date and terminal timing. Forecast cash flows are recalculated in Sensitivity Engine; 50% share / 64% floor reproduces the main value.</x:v>
      </x:c>
      <x:c r="E104" s="184" t="str">
        <x:v>All 36 cases use the same corrected valuation date and terminal timing. Forecast cash flows are recalculated in Sensitivity Engine; 50% share / 64% floor reproduces the main value.</x:v>
      </x:c>
      <x:c r="F104" s="184" t="str">
        <x:v>All 36 cases use the same corrected valuation date and terminal timing. Forecast cash flows are recalculated in Sensitivity Engine; 50% share / 64% floor reproduces the main value.</x:v>
      </x:c>
      <x:c r="G104" s="184" t="str">
        <x:v>All 36 cases use the same corrected valuation date and terminal timing. Forecast cash flows are recalculated in Sensitivity Engine; 50% share / 64% floor reproduces the main value.</x:v>
      </x:c>
      <x:c r="H104" s="184" t="str">
        <x:v>All 36 cases use the same corrected valuation date and terminal timing. Forecast cash flows are recalculated in Sensitivity Engine; 50% share / 64% floor reproduces the main value.</x:v>
      </x:c>
      <x:c r="I104" s="184" t="str">
        <x:v>All 36 cases use the same corrected valuation date and terminal timing. Forecast cash flows are recalculated in Sensitivity Engine; 50% share / 64% floor reproduces the main value.</x:v>
      </x:c>
      <x:c r="J104" s="184" t="str">
        <x:v>All 36 cases use the same corrected valuation date and terminal timing. Forecast cash flows are recalculated in Sensitivity Engine; 50% share / 64% floor reproduces the main value.</x:v>
      </x:c>
    </x:row>
    <x:row r="107" ht="32" customHeight="1">
      <x:c r="C107" s="193" t="str">
        <x:v>SENSITIVITY | CY2028–45 revenue CAGR × terminal share | dated US$/share</x:v>
      </x:c>
      <x:c r="D107" s="194" t="str">
        <x:v>SENSITIVITY | CY2028–45 revenue CAGR × terminal share | dated US$/share</x:v>
      </x:c>
      <x:c r="E107" s="194" t="str">
        <x:v>SENSITIVITY | CY2028–45 revenue CAGR × terminal share | dated US$/share</x:v>
      </x:c>
      <x:c r="F107" s="194" t="str">
        <x:v>SENSITIVITY | CY2028–45 revenue CAGR × terminal share | dated US$/share</x:v>
      </x:c>
      <x:c r="G107" s="194" t="str">
        <x:v>SENSITIVITY | CY2028–45 revenue CAGR × terminal share | dated US$/share</x:v>
      </x:c>
      <x:c r="H107" s="194" t="str">
        <x:v>SENSITIVITY | CY2028–45 revenue CAGR × terminal share | dated US$/share</x:v>
      </x:c>
      <x:c r="I107" s="194" t="str">
        <x:v>SENSITIVITY | CY2028–45 revenue CAGR × terminal share | dated US$/share</x:v>
      </x:c>
      <x:c r="J107" s="194" t="str">
        <x:v>SENSITIVITY | CY2028–45 revenue CAGR × terminal share | dated US$/share</x:v>
      </x:c>
    </x:row>
    <x:row r="108" ht="22" customHeight="1">
      <x:c r="C108" s="121" t="n">
        <x:f>+D88</x:f>
        <x:v>296.7701392609192</x:v>
      </x:c>
      <x:c r="D108" s="123" t="n">
        <x:v>0.4</x:v>
      </x:c>
      <x:c r="E108" s="123" t="n">
        <x:v>0.45</x:v>
      </x:c>
      <x:c r="F108" s="123" t="n">
        <x:v>0.5</x:v>
      </x:c>
      <x:c r="G108" s="123" t="n">
        <x:v>0.55</x:v>
      </x:c>
      <x:c r="H108" s="125" t="n">
        <x:v>0.6</x:v>
      </x:c>
      <x:c r="I108" s="127" t="str">
        <x:v>g capex impl. @ share 50%</x:v>
      </x:c>
    </x:row>
    <x:row r="109" ht="22" customHeight="1">
      <x:c r="C109" s="130" t="n">
        <x:v>0.05</x:v>
      </x:c>
      <x:c r="D109" s="185" t="n">
        <x:f>INDEX($X$118:$X$142,(COLUMN()-COLUMN($C$108)-1)*5+(ROW()-ROW($C$108)))/$D$86</x:f>
        <x:v>247.58016180369458</x:v>
      </x:c>
      <x:c r="E109" s="185" t="n">
        <x:f>INDEX($X$118:$X$142,(COLUMN()-COLUMN($C$108)-1)*5+(ROW()-ROW($C$108)))/$D$86</x:f>
        <x:v>252.40957694627664</x:v>
      </x:c>
      <x:c r="F109" s="185" t="n">
        <x:f>INDEX($X$118:$X$142,(COLUMN()-COLUMN($C$108)-1)*5+(ROW()-ROW($C$108)))/$D$86</x:f>
        <x:v>257.035103755278</x:v>
      </x:c>
      <x:c r="G109" s="185" t="n">
        <x:f>INDEX($X$118:$X$142,(COLUMN()-COLUMN($C$108)-1)*5+(ROW()-ROW($C$108)))/$D$86</x:f>
        <x:v>261.4854853531294</x:v>
      </x:c>
      <x:c r="H109" s="195" t="n">
        <x:f>INDEX($X$118:$X$142,(COLUMN()-COLUMN($C$108)-1)*5+(ROW()-ROW($C$108)))/$D$86</x:f>
        <x:v>265.78319766610974</x:v>
      </x:c>
      <x:c r="I109" s="132" t="n">
        <x:f>INDEX($E$118:$E$142,10+ROW()-ROW($C$108))</x:f>
        <x:v>0.06738708070657484</x:v>
      </x:c>
    </x:row>
    <x:row r="110" ht="22" customHeight="1">
      <x:c r="C110" s="130" t="n">
        <x:v>0.075</x:v>
      </x:c>
      <x:c r="D110" s="185" t="n">
        <x:f>INDEX($X$118:$X$142,(COLUMN()-COLUMN($C$108)-1)*5+(ROW()-ROW($C$108)))/$D$86</x:f>
        <x:v>323.39883782512305</x:v>
      </x:c>
      <x:c r="E110" s="185" t="n">
        <x:f>INDEX($X$118:$X$142,(COLUMN()-COLUMN($C$108)-1)*5+(ROW()-ROW($C$108)))/$D$86</x:f>
        <x:v>329.1708014379572</x:v>
      </x:c>
      <x:c r="F110" s="185" t="n">
        <x:f>INDEX($X$118:$X$142,(COLUMN()-COLUMN($C$108)-1)*5+(ROW()-ROW($C$108)))/$D$86</x:f>
        <x:v>334.6866662132283</x:v>
      </x:c>
      <x:c r="G110" s="185" t="n">
        <x:f>INDEX($X$118:$X$142,(COLUMN()-COLUMN($C$108)-1)*5+(ROW()-ROW($C$108)))/$D$86</x:f>
        <x:v>339.98324477179455</x:v>
      </x:c>
      <x:c r="H110" s="195" t="n">
        <x:f>INDEX($X$118:$X$142,(COLUMN()-COLUMN($C$108)-1)*5+(ROW()-ROW($C$108)))/$D$86</x:f>
        <x:v>345.08921543572325</x:v>
      </x:c>
      <x:c r="I110" s="132" t="n">
        <x:f>INDEX($E$118:$E$142,10+ROW()-ROW($C$108))</x:f>
        <x:v>0.0930935829674373</x:v>
      </x:c>
    </x:row>
    <x:row r="111" ht="22" customHeight="1">
      <x:c r="C111" s="130" t="n">
        <x:v>0.1</x:v>
      </x:c>
      <x:c r="D111" s="185" t="n">
        <x:f>INDEX($X$118:$X$142,(COLUMN()-COLUMN($C$108)-1)*5+(ROW()-ROW($C$108)))/$D$86</x:f>
        <x:v>428.89470270083035</x:v>
      </x:c>
      <x:c r="E111" s="185" t="n">
        <x:f>INDEX($X$118:$X$142,(COLUMN()-COLUMN($C$108)-1)*5+(ROW()-ROW($C$108)))/$D$86</x:f>
        <x:v>435.80060740447175</x:v>
      </x:c>
      <x:c r="F111" s="196" t="n">
        <x:f>INDEX($X$118:$X$142,(COLUMN()-COLUMN($C$108)-1)*5+(ROW()-ROW($C$108)))/$D$86</x:f>
        <x:v>442.38550061311327</x:v>
      </x:c>
      <x:c r="G111" s="185" t="n">
        <x:f>INDEX($X$118:$X$142,(COLUMN()-COLUMN($C$108)-1)*5+(ROW()-ROW($C$108)))/$D$86</x:f>
        <x:v>448.69632559583965</x:v>
      </x:c>
      <x:c r="H111" s="195" t="n">
        <x:f>INDEX($X$118:$X$142,(COLUMN()-COLUMN($C$108)-1)*5+(ROW()-ROW($C$108)))/$D$86</x:f>
        <x:v>454.7695340099179</x:v>
      </x:c>
      <x:c r="I111" s="132" t="n">
        <x:f>INDEX($E$118:$E$142,10+ROW()-ROW($C$108))</x:f>
        <x:v>0.118710539867658</x:v>
      </x:c>
    </x:row>
    <x:row r="112" ht="22" customHeight="1">
      <x:c r="C112" s="130" t="n">
        <x:v>0.125</x:v>
      </x:c>
      <x:c r="D112" s="185" t="n">
        <x:f>INDEX($X$118:$X$142,(COLUMN()-COLUMN($C$108)-1)*5+(ROW()-ROW($C$108)))/$D$86</x:f>
        <x:v>575.4594472159665</x:v>
      </x:c>
      <x:c r="E112" s="185" t="n">
        <x:f>INDEX($X$118:$X$142,(COLUMN()-COLUMN($C$108)-1)*5+(ROW()-ROW($C$108)))/$D$86</x:f>
        <x:v>583.7330994185317</x:v>
      </x:c>
      <x:c r="F112" s="185" t="n">
        <x:f>INDEX($X$118:$X$142,(COLUMN()-COLUMN($C$108)-1)*5+(ROW()-ROW($C$108)))/$D$86</x:f>
        <x:v>591.604986722328</x:v>
      </x:c>
      <x:c r="G112" s="185" t="n">
        <x:f>INDEX($X$118:$X$142,(COLUMN()-COLUMN($C$108)-1)*5+(ROW()-ROW($C$108)))/$D$86</x:f>
        <x:v>599.1347691851398</x:v>
      </x:c>
      <x:c r="H112" s="195" t="n">
        <x:f>INDEX($X$118:$X$142,(COLUMN()-COLUMN($C$108)-1)*5+(ROW()-ROW($C$108)))/$D$86</x:f>
        <x:v>606.3686407512907</x:v>
      </x:c>
      <x:c r="I112" s="132" t="n">
        <x:f>INDEX($E$118:$E$142,10+ROW()-ROW($C$108))</x:f>
        <x:v>0.14426869442500312</x:v>
      </x:c>
    </x:row>
    <x:row r="113" ht="22" customHeight="1">
      <x:c r="C113" s="135" t="n">
        <x:v>0.15</x:v>
      </x:c>
      <x:c r="D113" s="197" t="n">
        <x:f>INDEX($X$118:$X$142,(COLUMN()-COLUMN($C$108)-1)*5+(ROW()-ROW($C$108)))/$D$86</x:f>
        <x:v>778.5655594389431</x:v>
      </x:c>
      <x:c r="E113" s="197" t="n">
        <x:f>INDEX($X$118:$X$142,(COLUMN()-COLUMN($C$108)-1)*5+(ROW()-ROW($C$108)))/$D$86</x:f>
        <x:v>788.4925165677265</x:v>
      </x:c>
      <x:c r="F113" s="197" t="n">
        <x:f>INDEX($X$118:$X$142,(COLUMN()-COLUMN($C$108)-1)*5+(ROW()-ROW($C$108)))/$D$86</x:f>
        <x:v>797.9172259244468</x:v>
      </x:c>
      <x:c r="G113" s="197" t="n">
        <x:f>INDEX($X$118:$X$142,(COLUMN()-COLUMN($C$108)-1)*5+(ROW()-ROW($C$108)))/$D$86</x:f>
        <x:v>806.9153040167124</x:v>
      </x:c>
      <x:c r="H113" s="198" t="n">
        <x:f>INDEX($X$118:$X$142,(COLUMN()-COLUMN($C$108)-1)*5+(ROW()-ROW($C$108)))/$D$86</x:f>
        <x:v>815.5451510633566</x:v>
      </x:c>
      <x:c r="I113" s="132" t="n">
        <x:f>INDEX($E$118:$E$142,10+ROW()-ROW($C$108))</x:f>
        <x:v>0.16978779210655937</x:v>
      </x:c>
    </x:row>
    <x:row r="114" ht="32" customHeight="1">
      <x:c r="C114" s="190" t="str">
        <x:v>Base CY2028–45 revenue CAGR</x:v>
      </x:c>
      <x:c r="D114" s="132" t="n">
        <x:f>(Z$59/$I$59)^(1/17)-1</x:f>
        <x:v>0.06338736361092034</x:v>
      </x:c>
      <x:c r="E114" s="108" t="n">
        <x:f>+D88</x:f>
        <x:v>296.7701392609192</x:v>
      </x:c>
    </x:row>
    <x:row r="115" ht="50" customHeight="1">
      <x:c r="C115" s="190" t="str">
        <x:v>Conditional scenarios: capex CAGR is solved to deliver each revenue CAGR; share changes the required industry capex path. Base case has a different annual capex path. Both grids now share one valuation convention.</x:v>
      </x:c>
      <x:c r="D115" s="184" t="str">
        <x:v>Conditional scenarios: capex CAGR is solved to deliver each revenue CAGR; share changes the required industry capex path. Base case has a different annual capex path. Both grids now share one valuation convention.</x:v>
      </x:c>
      <x:c r="E115" s="184" t="str">
        <x:v>Conditional scenarios: capex CAGR is solved to deliver each revenue CAGR; share changes the required industry capex path. Base case has a different annual capex path. Both grids now share one valuation convention.</x:v>
      </x:c>
      <x:c r="F115" s="184" t="str">
        <x:v>Conditional scenarios: capex CAGR is solved to deliver each revenue CAGR; share changes the required industry capex path. Base case has a different annual capex path. Both grids now share one valuation convention.</x:v>
      </x:c>
      <x:c r="G115" s="184" t="str">
        <x:v>Conditional scenarios: capex CAGR is solved to deliver each revenue CAGR; share changes the required industry capex path. Base case has a different annual capex path. Both grids now share one valuation convention.</x:v>
      </x:c>
      <x:c r="H115" s="184" t="str">
        <x:v>Conditional scenarios: capex CAGR is solved to deliver each revenue CAGR; share changes the required industry capex path. Base case has a different annual capex path. Both grids now share one valuation convention.</x:v>
      </x:c>
      <x:c r="I115" s="184" t="str">
        <x:v>Conditional scenarios: capex CAGR is solved to deliver each revenue CAGR; share changes the required industry capex path. Base case has a different annual capex path. Both grids now share one valuation convention.</x:v>
      </x:c>
      <x:c r="J115" s="184" t="str">
        <x:v>Conditional scenarios: capex CAGR is solved to deliver each revenue CAGR; share changes the required industry capex path. Base case has a different annual capex path. Both grids now share one valuation convention.</x:v>
      </x:c>
    </x:row>
    <x:row r="117" ht="36" customHeight="1">
      <x:c r="C117" s="141" t="str">
        <x:v>Revenue CAGR CY28-45</x:v>
      </x:c>
      <x:c r="D117" s="141" t="str">
        <x:v>Share CY31+</x:v>
      </x:c>
      <x:c r="E117" s="141" t="str">
        <x:v>g capex impl.</x:v>
      </x:c>
      <x:c r="F117" s="141" t="str">
        <x:v>CY29</x:v>
      </x:c>
      <x:c r="G117" s="141" t="str">
        <x:v>CY30</x:v>
      </x:c>
      <x:c r="H117" s="141" t="str">
        <x:v>CY31</x:v>
      </x:c>
      <x:c r="I117" s="141" t="str">
        <x:v>CY32</x:v>
      </x:c>
      <x:c r="J117" s="141" t="str">
        <x:v>CY33</x:v>
      </x:c>
      <x:c r="K117" s="141" t="str">
        <x:v>CY34</x:v>
      </x:c>
      <x:c r="L117" s="141" t="str">
        <x:v>CY35</x:v>
      </x:c>
      <x:c r="M117" s="141" t="str">
        <x:v>CY36</x:v>
      </x:c>
      <x:c r="N117" s="141" t="str">
        <x:v>CY37</x:v>
      </x:c>
      <x:c r="O117" s="141" t="str">
        <x:v>CY38</x:v>
      </x:c>
      <x:c r="P117" s="141" t="str">
        <x:v>CY39</x:v>
      </x:c>
      <x:c r="Q117" s="141" t="str">
        <x:v>CY40</x:v>
      </x:c>
      <x:c r="R117" s="141" t="str">
        <x:v>CY41</x:v>
      </x:c>
      <x:c r="S117" s="141" t="str">
        <x:v>CY42</x:v>
      </x:c>
      <x:c r="T117" s="141" t="str">
        <x:v>CY43</x:v>
      </x:c>
      <x:c r="U117" s="141" t="str">
        <x:v>CY44</x:v>
      </x:c>
      <x:c r="V117" s="141" t="str">
        <x:v>CY45</x:v>
      </x:c>
      <x:c r="W117" s="141" t="str">
        <x:v>TV (perp)</x:v>
      </x:c>
      <x:c r="X117" s="141" t="str">
        <x:v>NPV (US$ mm)</x:v>
      </x:c>
      <x:c r="Y117" s="184" t="str">
        <x:v>Implied CY45 revenue</x:v>
      </x:c>
      <x:c r="Z117" s="184" t="str">
        <x:v>Target CY45 revenue</x:v>
      </x:c>
      <x:c r="AA117" s="184" t="str">
        <x:v>Endpoint difference</x:v>
      </x:c>
    </x:row>
    <x:row r="118">
      <x:c r="C118" s="105" t="n">
        <x:f>$C$109</x:f>
        <x:v>0.05</x:v>
      </x:c>
      <x:c r="D118" s="31" t="n">
        <x:f>D$108</x:f>
        <x:v>0.4</x:v>
      </x:c>
      <x:c r="E118" s="105" t="n">
        <x:f>((($I$59*(1+$C118)^17-Z$57)/($D118*(1+'Audit &amp; Checks'!$D$19)*(1-Z$13-Z$14))/$I$6)^(1/17))-1</x:f>
        <x:v>0.08149005691947253</x:v>
      </x:c>
      <x:c r="F118" s="107" t="n">
        <x:f>($I$6*(1+$E118)^1*(1-J$13-J$14)*J$53*(1+'Audit &amp; Checks'!$D$19)+J$57)*(J$61-J$67)*(1-J$71)*J$78</x:f>
        <x:v>397202.42284711514</x:v>
      </x:c>
      <x:c r="G118" s="107" t="n">
        <x:f>($I$6*(1+$E118)^2*(1-K$13-K$14)*K$53*(1+'Audit &amp; Checks'!$D$19)+K$57)*(K$61-K$67)*(1-K$71)*K$78</x:f>
        <x:v>379211.9289505524</x:v>
      </x:c>
      <x:c r="H118" s="107" t="n">
        <x:f>($I$6*(1+$E118)^3*(1-L$13-L$14)*$D118*(1+'Audit &amp; Checks'!$D$19)+L$57)*(L$61-L$67)*(1-L$71)*L$78</x:f>
        <x:v>298552.8773573451</x:v>
      </x:c>
      <x:c r="I118" s="107" t="n">
        <x:f>($I$6*(1+$E118)^4*(1-M$13-M$14)*$D118*(1+'Audit &amp; Checks'!$D$19)+M$57)*(M$61-M$67)*(1-M$71)*M$78</x:f>
        <x:v>318719.7864684133</x:v>
      </x:c>
      <x:c r="J118" s="107" t="n">
        <x:f>($I$6*(1+$E118)^5*(1-N$13-N$14)*$D118*(1+'Audit &amp; Checks'!$D$19)+N$57)*(N$61-N$67)*(1-N$71)*N$78</x:f>
        <x:v>351910.63590378716</x:v>
      </x:c>
      <x:c r="K118" s="107" t="n">
        <x:f>($I$6*(1+$E118)^6*(1-O$13-O$14)*$D118*(1+'Audit &amp; Checks'!$D$19)+O$57)*(O$61-O$67)*(1-O$71)*O$78</x:f>
        <x:v>379607.0438590444</x:v>
      </x:c>
      <x:c r="L118" s="107" t="n">
        <x:f>($I$6*(1+$E118)^7*(1-P$13-P$14)*$D118*(1+'Audit &amp; Checks'!$D$19)+P$57)*(P$61-P$67)*(1-P$71)*P$78</x:f>
        <x:v>409560.43367504043</x:v>
      </x:c>
      <x:c r="M118" s="107" t="n">
        <x:f>($I$6*(1+$E118)^8*(1-Q$13-Q$14)*$D118*(1+'Audit &amp; Checks'!$D$19)+Q$57)*(Q$61-Q$67)*(1-Q$71)*Q$78</x:f>
        <x:v>441954.7269320731</x:v>
      </x:c>
      <x:c r="N118" s="107" t="n">
        <x:f>($I$6*(1+$E118)^9*(1-R$13-R$14)*$D118*(1+'Audit &amp; Checks'!$D$19)+R$57)*(R$61-R$67)*(1-R$71)*R$78</x:f>
        <x:v>476988.8329904874</x:v>
      </x:c>
      <x:c r="O118" s="107" t="n">
        <x:f>($I$6*(1+$E118)^10*(1-S$13-S$14)*$D118*(1+'Audit &amp; Checks'!$D$19)+S$57)*(S$61-S$67)*(1-S$71)*S$78</x:f>
        <x:v>514877.87034572486</x:v>
      </x:c>
      <x:c r="P118" s="107" t="n">
        <x:f>($I$6*(1+$E118)^11*(1-T$13-T$14)*$D118*(1+'Audit &amp; Checks'!$D$19)+T$57)*(T$61-T$67)*(1-T$71)*T$78</x:f>
        <x:v>555854.4875116646</x:v>
      </x:c>
      <x:c r="Q118" s="107" t="n">
        <x:f>($I$6*(1+$E118)^12*(1-U$13-U$14)*$D118*(1+'Audit &amp; Checks'!$D$19)+U$57)*(U$61-U$67)*(1-U$71)*U$78</x:f>
        <x:v>600170.291542824</x:v>
      </x:c>
      <x:c r="R118" s="107" t="n">
        <x:f>($I$6*(1+$E118)^13*(1-V$13-V$14)*$D118*(1+'Audit &amp; Checks'!$D$19)+V$57)*(V$61-V$67)*(1-V$71)*V$78</x:f>
        <x:v>648097.3929669152</x:v>
      </x:c>
      <x:c r="S118" s="107" t="n">
        <x:f>($I$6*(1+$E118)^14*(1-W$13-W$14)*$D118*(1+'Audit &amp; Checks'!$D$19)+W$57)*(W$61-W$67)*(1-W$71)*W$78</x:f>
        <x:v>699930.0766140406</x:v>
      </x:c>
      <x:c r="T118" s="107" t="n">
        <x:f>($I$6*(1+$E118)^15*(1-X$13-X$14)*$D118*(1+'Audit &amp; Checks'!$D$19)+X$57)*(X$61-X$67)*(1-X$71)*X$78</x:f>
        <x:v>755986.6086018593</x:v>
      </x:c>
      <x:c r="U118" s="107" t="n">
        <x:f>($I$6*(1+$E118)^16*(1-Y$13-Y$14)*$D118*(1+'Audit &amp; Checks'!$D$19)+Y$57)*(Y$61-Y$67)*(1-Y$71)*Y$78</x:f>
        <x:v>816611.1905720737</x:v>
      </x:c>
      <x:c r="V118" s="107" t="n">
        <x:f>($I$6*(1+$E118)^17*(1-Z$13-Z$14)*$D118*(1+'Audit &amp; Checks'!$D$19)+Z$57)*(Z$61-Z$67)*(1-Z$71)*Z$78</x:f>
        <x:v>1102720.0914722</x:v>
      </x:c>
      <x:c r="W118" s="107" t="n">
        <x:f>IF('Audit &amp; Checks'!$D$10=1,V118*(1+$D$83)/($D$81-$D$83),0)</x:f>
        <x:v>15070507.916786727</x:v>
      </x:c>
      <x:c r="X118" s="142" t="n">
        <x:f>(NPV($D$81,$G$79:$I$79,F118:V118)+W118/(1+$D$81)^'Audit &amp; Checks'!$D$7)*'Audit &amp; Checks'!$D$9</x:f>
        <x:v>5966681.899469039</x:v>
      </x:c>
      <x:c r="Y118" t="n">
        <x:f>IF((Z$61-Z$67)*(1-Z$71)*Z$78&lt;&gt;0,V118/((Z$61-Z$67)*(1-Z$71)*Z$78),0)</x:f>
        <x:v>2318587.240269554</x:v>
      </x:c>
      <x:c r="Z118" t="n">
        <x:f>$I$59*(1+C118)^17</x:f>
        <x:v>2318587.2402695525</x:v>
      </x:c>
      <x:c r="AA118" t="n">
        <x:f>ABS(Y118-Z118)</x:f>
        <x:v>1.3969838619232178e-9</x:v>
      </x:c>
    </x:row>
    <x:row r="119">
      <x:c r="C119" s="105" t="n">
        <x:f>$C$110</x:f>
        <x:v>0.075</x:v>
      </x:c>
      <x:c r="D119" s="31" t="n">
        <x:f>D$108</x:f>
        <x:v>0.4</x:v>
      </x:c>
      <x:c r="E119" s="105" t="n">
        <x:f>((($I$59*(1+$C119)^17-Z$57)/($D119*(1+'Audit &amp; Checks'!$D$19)*(1-Z$13-Z$14))/$I$6)^(1/17))-1</x:f>
        <x:v>0.10753620933767216</x:v>
      </x:c>
      <x:c r="F119" s="107" t="n">
        <x:f>($I$6*(1+$E119)^1*(1-J$13-J$14)*J$53*(1+'Audit &amp; Checks'!$D$19)+J$57)*(J$61-J$67)*(1-J$71)*J$78</x:f>
        <x:v>406448.6241740229</x:v>
      </x:c>
      <x:c r="G119" s="107" t="n">
        <x:f>($I$6*(1+$E119)^2*(1-K$13-K$14)*K$53*(1+'Audit &amp; Checks'!$D$19)+K$57)*(K$61-K$67)*(1-K$71)*K$78</x:f>
        <x:v>397070.25907449203</x:v>
      </x:c>
      <x:c r="H119" s="107" t="n">
        <x:f>($I$6*(1+$E119)^3*(1-L$13-L$14)*$D119*(1+'Audit &amp; Checks'!$D$19)+L$57)*(L$61-L$67)*(1-L$71)*L$78</x:f>
        <x:v>319725.7814716117</x:v>
      </x:c>
      <x:c r="I119" s="107" t="n">
        <x:f>($I$6*(1+$E119)^4*(1-M$13-M$14)*$D119*(1+'Audit &amp; Checks'!$D$19)+M$57)*(M$61-M$67)*(1-M$71)*M$78</x:f>
        <x:v>349348.49975270656</x:v>
      </x:c>
      <x:c r="J119" s="107" t="n">
        <x:f>($I$6*(1+$E119)^5*(1-N$13-N$14)*$D119*(1+'Audit &amp; Checks'!$D$19)+N$57)*(N$61-N$67)*(1-N$71)*N$78</x:f>
        <x:v>394857.0212234012</x:v>
      </x:c>
      <x:c r="K119" s="107" t="n">
        <x:f>($I$6*(1+$E119)^6*(1-O$13-O$14)*$D119*(1+'Audit &amp; Checks'!$D$19)+O$57)*(O$61-O$67)*(1-O$71)*O$78</x:f>
        <x:v>436024.1486784014</x:v>
      </x:c>
      <x:c r="L119" s="107" t="n">
        <x:f>($I$6*(1+$E119)^7*(1-P$13-P$14)*$D119*(1+'Audit &amp; Checks'!$D$19)+P$57)*(P$61-P$67)*(1-P$71)*P$78</x:f>
        <x:v>481618.23296923307</x:v>
      </x:c>
      <x:c r="M119" s="107" t="n">
        <x:f>($I$6*(1+$E119)^8*(1-Q$13-Q$14)*$D119*(1+'Audit &amp; Checks'!$D$19)+Q$57)*(Q$61-Q$67)*(1-Q$71)*Q$78</x:f>
        <x:v>532115.3322529233</x:v>
      </x:c>
      <x:c r="N119" s="107" t="n">
        <x:f>($I$6*(1+$E119)^9*(1-R$13-R$14)*$D119*(1+'Audit &amp; Checks'!$D$19)+R$57)*(R$61-R$67)*(1-R$71)*R$78</x:f>
        <x:v>588042.6981761295</x:v>
      </x:c>
      <x:c r="O119" s="107" t="n">
        <x:f>($I$6*(1+$E119)^10*(1-S$13-S$14)*$D119*(1+'Audit &amp; Checks'!$D$19)+S$57)*(S$61-S$67)*(1-S$71)*S$78</x:f>
        <x:v>649984.2810289582</x:v>
      </x:c>
      <x:c r="P119" s="107" t="n">
        <x:f>($I$6*(1+$E119)^11*(1-T$13-T$14)*$D119*(1+'Audit &amp; Checks'!$D$19)+T$57)*(T$61-T$67)*(1-T$71)*T$78</x:f>
        <x:v>718586.8269021553</x:v>
      </x:c>
      <x:c r="Q119" s="107" t="n">
        <x:f>($I$6*(1+$E119)^12*(1-U$13-U$14)*$D119*(1+'Audit &amp; Checks'!$D$19)+U$57)*(U$61-U$67)*(1-U$71)*U$78</x:f>
        <x:v>794566.6305094699</x:v>
      </x:c>
      <x:c r="R119" s="107" t="n">
        <x:f>($I$6*(1+$E119)^13*(1-V$13-V$14)*$D119*(1+'Audit &amp; Checks'!$D$19)+V$57)*(V$61-V$67)*(1-V$71)*V$78</x:f>
        <x:v>878717.014182936</x:v>
      </x:c>
      <x:c r="S119" s="107" t="n">
        <x:f>($I$6*(1+$E119)^14*(1-W$13-W$14)*$D119*(1+'Audit &amp; Checks'!$D$19)+W$57)*(W$61-W$67)*(1-W$71)*W$78</x:f>
        <x:v>971916.6111309575</x:v>
      </x:c>
      <x:c r="T119" s="107" t="n">
        <x:f>($I$6*(1+$E119)^15*(1-X$13-X$14)*$D119*(1+'Audit &amp; Checks'!$D$19)+X$57)*(X$61-X$67)*(1-X$71)*X$78</x:f>
        <x:v>1075138.5394465677</x:v>
      </x:c>
      <x:c r="U119" s="107" t="n">
        <x:f>($I$6*(1+$E119)^16*(1-Y$13-Y$14)*$D119*(1+'Audit &amp; Checks'!$D$19)+Y$57)*(Y$61-Y$67)*(1-Y$71)*Y$78</x:f>
        <x:v>1189460.562653764</x:v>
      </x:c>
      <x:c r="V119" s="107" t="n">
        <x:f>($I$6*(1+$E119)^17*(1-Z$13-Z$14)*$D119*(1+'Audit &amp; Checks'!$D$19)+Z$57)*(Z$61-Z$67)*(1-Z$71)*Z$78</x:f>
        <x:v>1645095.428600594</x:v>
      </x:c>
      <x:c r="W119" s="107" t="n">
        <x:f>IF('Audit &amp; Checks'!$D$10=1,V119*(1+$D$83)/($D$81-$D$83),0)</x:f>
        <x:v>22482970.857541446</x:v>
      </x:c>
      <x:c r="X119" s="142" t="n">
        <x:f>(NPV($D$81,$G$79:$I$79,F119:V119)+W119/(1+$D$81)^'Audit &amp; Checks'!$D$7)*'Audit &amp; Checks'!$D$9</x:f>
        <x:v>7793911.991585465</x:v>
      </x:c>
      <x:c r="Y119" t="n">
        <x:f>IF((Z$61-Z$67)*(1-Z$71)*Z$78&lt;&gt;0,V119/((Z$61-Z$67)*(1-Z$71)*Z$78),0)</x:f>
        <x:v>3458989.5470996504</x:v>
      </x:c>
      <x:c r="Z119" t="n">
        <x:f>$I$59*(1+C119)^17</x:f>
        <x:v>3458989.5470996513</x:v>
      </x:c>
      <x:c r="AA119" t="n">
        <x:f>ABS(Y119-Z119)</x:f>
        <x:v>9.313225746154785e-10</x:v>
      </x:c>
    </x:row>
    <x:row r="120">
      <x:c r="C120" s="105" t="n">
        <x:f>$C$111</x:f>
        <x:v>0.1</x:v>
      </x:c>
      <x:c r="D120" s="31" t="n">
        <x:f>D$108</x:f>
        <x:v>0.4</x:v>
      </x:c>
      <x:c r="E120" s="105" t="n">
        <x:f>((($I$59*(1+$C120)^17-Z$57)/($D120*(1+'Audit &amp; Checks'!$D$19)*(1-Z$13-Z$14))/$I$6)^(1/17))-1</x:f>
        <x:v>0.13349163326671576</x:v>
      </x:c>
      <x:c r="F120" s="107" t="n">
        <x:f>($I$6*(1+$E120)^1*(1-J$13-J$14)*J$53*(1+'Audit &amp; Checks'!$D$19)+J$57)*(J$61-J$67)*(1-J$71)*J$78</x:f>
        <x:v>415662.6175239767</x:v>
      </x:c>
      <x:c r="G120" s="107" t="n">
        <x:f>($I$6*(1+$E120)^2*(1-K$13-K$14)*K$53*(1+'Audit &amp; Checks'!$D$19)+K$57)*(K$61-K$67)*(1-K$71)*K$78</x:f>
        <x:v>415289.1390775412</x:v>
      </x:c>
      <x:c r="H120" s="107" t="n">
        <x:f>($I$6*(1+$E120)^3*(1-L$13-L$14)*$D120*(1+'Audit &amp; Checks'!$D$19)+L$57)*(L$61-L$67)*(1-L$71)*L$78</x:f>
        <x:v>341839.229380928</x:v>
      </x:c>
      <x:c r="I120" s="107" t="n">
        <x:f>($I$6*(1+$E120)^4*(1-M$13-M$14)*$D120*(1+'Audit &amp; Checks'!$D$19)+M$57)*(M$61-M$67)*(1-M$71)*M$78</x:f>
        <x:v>382097.5652709894</x:v>
      </x:c>
      <x:c r="J120" s="107" t="n">
        <x:f>($I$6*(1+$E120)^5*(1-N$13-N$14)*$D120*(1+'Audit &amp; Checks'!$D$19)+N$57)*(N$61-N$67)*(1-N$71)*N$78</x:f>
        <x:v>441866.97545226826</x:v>
      </x:c>
      <x:c r="K120" s="107" t="n">
        <x:f>($I$6*(1+$E120)^6*(1-O$13-O$14)*$D120*(1+'Audit &amp; Checks'!$D$19)+O$57)*(O$61-O$67)*(1-O$71)*O$78</x:f>
        <x:v>499245.8218147191</x:v>
      </x:c>
      <x:c r="L120" s="107" t="n">
        <x:f>($I$6*(1+$E120)^7*(1-P$13-P$14)*$D120*(1+'Audit &amp; Checks'!$D$19)+P$57)*(P$61-P$67)*(1-P$71)*P$78</x:f>
        <x:v>564284.2640930538</x:v>
      </x:c>
      <x:c r="M120" s="107" t="n">
        <x:f>($I$6*(1+$E120)^8*(1-Q$13-Q$14)*$D120*(1+'Audit &amp; Checks'!$D$19)+Q$57)*(Q$61-Q$67)*(1-Q$71)*Q$78</x:f>
        <x:v>638004.7942562462</x:v>
      </x:c>
      <x:c r="N120" s="107" t="n">
        <x:f>($I$6*(1+$E120)^9*(1-R$13-R$14)*$D120*(1+'Audit &amp; Checks'!$D$19)+R$57)*(R$61-R$67)*(1-R$71)*R$78</x:f>
        <x:v>721566.3983962114</x:v>
      </x:c>
      <x:c r="O120" s="107" t="n">
        <x:f>($I$6*(1+$E120)^10*(1-S$13-S$14)*$D120*(1+'Audit &amp; Checks'!$D$19)+S$57)*(S$61-S$67)*(1-S$71)*S$78</x:f>
        <x:v>816282.7775512073</x:v>
      </x:c>
      <x:c r="P120" s="107" t="n">
        <x:f>($I$6*(1+$E120)^11*(1-T$13-T$14)*$D120*(1+'Audit &amp; Checks'!$D$19)+T$57)*(T$61-T$67)*(1-T$71)*T$78</x:f>
        <x:v>923643.000856713</x:v>
      </x:c>
      <x:c r="Q120" s="107" t="n">
        <x:f>($I$6*(1+$E120)^12*(1-U$13-U$14)*$D120*(1+'Audit &amp; Checks'!$D$19)+U$57)*(U$61-U$67)*(1-U$71)*U$78</x:f>
        <x:v>1045334.9157191502</x:v>
      </x:c>
      <x:c r="R120" s="107" t="n">
        <x:f>($I$6*(1+$E120)^13*(1-V$13-V$14)*$D120*(1+'Audit &amp; Checks'!$D$19)+V$57)*(V$61-V$67)*(1-V$71)*V$78</x:f>
        <x:v>1183271.683051928</x:v>
      </x:c>
      <x:c r="S120" s="107" t="n">
        <x:f>($I$6*(1+$E120)^14*(1-W$13-W$14)*$D120*(1+'Audit &amp; Checks'!$D$19)+W$57)*(W$61-W$67)*(1-W$71)*W$78</x:f>
        <x:v>1339621.8547434895</x:v>
      </x:c>
      <x:c r="T120" s="107" t="n">
        <x:f>($I$6*(1+$E120)^15*(1-X$13-X$14)*$D120*(1+'Audit &amp; Checks'!$D$19)+X$57)*(X$61-X$67)*(1-X$71)*X$78</x:f>
        <x:v>1516843.466215689</x:v>
      </x:c>
      <x:c r="U120" s="107" t="n">
        <x:f>($I$6*(1+$E120)^16*(1-Y$13-Y$14)*$D120*(1+'Audit &amp; Checks'!$D$19)+Y$57)*(Y$61-Y$67)*(1-Y$71)*Y$78</x:f>
        <x:v>1717722.6800534716</x:v>
      </x:c>
      <x:c r="V120" s="107" t="n">
        <x:f>($I$6*(1+$E120)^17*(1-Z$13-Z$14)*$D120*(1+'Audit &amp; Checks'!$D$19)+Z$57)*(Z$61-Z$67)*(1-Z$71)*Z$78</x:f>
        <x:v>2431771.9852947416</x:v>
      </x:c>
      <x:c r="W120" s="107" t="n">
        <x:f>IF('Audit &amp; Checks'!$D$10=1,V120*(1+$D$83)/($D$81-$D$83),0)</x:f>
        <x:v>33234217.132361457</x:v>
      </x:c>
      <x:c r="X120" s="142" t="n">
        <x:f>(NPV($D$81,$G$79:$I$79,F120:V120)+W120/(1+$D$81)^'Audit &amp; Checks'!$D$7)*'Audit &amp; Checks'!$D$9</x:f>
        <x:v>10336362.335090011</x:v>
      </x:c>
      <x:c r="Y120" t="n">
        <x:f>IF((Z$61-Z$67)*(1-Z$71)*Z$78&lt;&gt;0,V120/((Z$61-Z$67)*(1-Z$71)*Z$78),0)</x:f>
        <x:v>5113061.365211819</x:v>
      </x:c>
      <x:c r="Z120" t="n">
        <x:f>$I$59*(1+C120)^17</x:f>
        <x:v>5113061.365211818</x:v>
      </x:c>
      <x:c r="AA120" t="n">
        <x:f>ABS(Y120-Z120)</x:f>
        <x:v>9.313225746154785e-10</x:v>
      </x:c>
    </x:row>
    <x:row r="121">
      <x:c r="C121" s="105" t="n">
        <x:f>$C$112</x:f>
        <x:v>0.125</x:v>
      </x:c>
      <x:c r="D121" s="31" t="n">
        <x:f>D$108</x:f>
        <x:v>0.4</x:v>
      </x:c>
      <x:c r="E121" s="105" t="n">
        <x:f>((($I$59*(1+$C121)^17-Z$57)/($D121*(1+'Audit &amp; Checks'!$D$19)*(1-Z$13-Z$14))/$I$6)^(1/17))-1</x:f>
        <x:v>0.1593874779200748</x:v>
      </x:c>
      <x:c r="F121" s="107" t="n">
        <x:f>($I$6*(1+$E121)^1*(1-J$13-J$14)*J$53*(1+'Audit &amp; Checks'!$D$19)+J$57)*(J$61-J$67)*(1-J$71)*J$78</x:f>
        <x:v>424855.46064916626</x:v>
      </x:c>
      <x:c r="G121" s="107" t="n">
        <x:f>($I$6*(1+$E121)^2*(1-K$13-K$14)*K$53*(1+'Audit &amp; Checks'!$D$19)+K$57)*(K$61-K$67)*(1-K$71)*K$78</x:f>
        <x:v>433886.76617748407</x:v>
      </x:c>
      <x:c r="H121" s="107" t="n">
        <x:f>($I$6*(1+$E121)^3*(1-L$13-L$14)*$D121*(1+'Audit &amp; Checks'!$D$19)+L$57)*(L$61-L$67)*(1-L$71)*L$78</x:f>
        <x:v>364934.6180244859</x:v>
      </x:c>
      <x:c r="I121" s="107" t="n">
        <x:f>($I$6*(1+$E121)^4*(1-M$13-M$14)*$D121*(1+'Audit &amp; Checks'!$D$19)+M$57)*(M$61-M$67)*(1-M$71)*M$78</x:f>
        <x:v>417092.0596756229</x:v>
      </x:c>
      <x:c r="J121" s="107" t="n">
        <x:f>($I$6*(1+$E121)^5*(1-N$13-N$14)*$D121*(1+'Audit &amp; Checks'!$D$19)+N$57)*(N$61-N$67)*(1-N$71)*N$78</x:f>
        <x:v>493262.07194459543</x:v>
      </x:c>
      <x:c r="K121" s="107" t="n">
        <x:f>($I$6*(1+$E121)^6*(1-O$13-O$14)*$D121*(1+'Audit &amp; Checks'!$D$19)+O$57)*(O$61-O$67)*(1-O$71)*O$78</x:f>
        <x:v>569963.4907214622</x:v>
      </x:c>
      <x:c r="L121" s="107" t="n">
        <x:f>($I$6*(1+$E121)^7*(1-P$13-P$14)*$D121*(1+'Audit &amp; Checks'!$D$19)+P$57)*(P$61-P$67)*(1-P$71)*P$78</x:f>
        <x:v>658890.1551900652</x:v>
      </x:c>
      <x:c r="M121" s="107" t="n">
        <x:f>($I$6*(1+$E121)^8*(1-Q$13-Q$14)*$D121*(1+'Audit &amp; Checks'!$D$19)+Q$57)*(Q$61-Q$67)*(1-Q$71)*Q$78</x:f>
        <x:v>761990.6164281635</x:v>
      </x:c>
      <x:c r="N121" s="107" t="n">
        <x:f>($I$6*(1+$E121)^9*(1-R$13-R$14)*$D121*(1+'Audit &amp; Checks'!$D$19)+R$57)*(R$61-R$67)*(1-R$71)*R$78</x:f>
        <x:v>881524.0001553986</x:v>
      </x:c>
      <x:c r="O121" s="107" t="n">
        <x:f>($I$6*(1+$E121)^10*(1-S$13-S$14)*$D121*(1+'Audit &amp; Checks'!$D$19)+S$57)*(S$61-S$67)*(1-S$71)*S$78</x:f>
        <x:v>1020109.5084421706</x:v>
      </x:c>
      <x:c r="P121" s="107" t="n">
        <x:f>($I$6*(1+$E121)^11*(1-T$13-T$14)*$D121*(1+'Audit &amp; Checks'!$D$19)+T$57)*(T$61-T$67)*(1-T$71)*T$78</x:f>
        <x:v>1180783.8113710422</x:v>
      </x:c>
      <x:c r="Q121" s="107" t="n">
        <x:f>($I$6*(1+$E121)^12*(1-U$13-U$14)*$D121*(1+'Audit &amp; Checks'!$D$19)+U$57)*(U$61-U$67)*(1-U$71)*U$78</x:f>
        <x:v>1367067.5862103128</x:v>
      </x:c>
      <x:c r="R121" s="107" t="n">
        <x:f>($I$6*(1+$E121)^13*(1-V$13-V$14)*$D121*(1+'Audit &amp; Checks'!$D$19)+V$57)*(V$61-V$67)*(1-V$71)*V$78</x:f>
        <x:v>1583042.6620986469</x:v>
      </x:c>
      <x:c r="S121" s="107" t="n">
        <x:f>($I$6*(1+$E121)^14*(1-W$13-W$14)*$D121*(1+'Audit &amp; Checks'!$D$19)+W$57)*(W$61-W$67)*(1-W$71)*W$78</x:f>
        <x:v>1833441.4606264178</x:v>
      </x:c>
      <x:c r="T121" s="107" t="n">
        <x:f>($I$6*(1+$E121)^15*(1-X$13-X$14)*$D121*(1+'Audit &amp; Checks'!$D$19)+X$57)*(X$61-X$67)*(1-X$71)*X$78</x:f>
        <x:v>2123750.6921257484</x:v>
      </x:c>
      <x:c r="U121" s="107" t="n">
        <x:f>($I$6*(1+$E121)^16*(1-Y$13-Y$14)*$D121*(1+'Audit &amp; Checks'!$D$19)+Y$57)*(Y$61-Y$67)*(1-Y$71)*Y$78</x:f>
        <x:v>2460331.5798506713</x:v>
      </x:c>
      <x:c r="V121" s="107" t="n">
        <x:f>($I$6*(1+$E121)^17*(1-Z$13-Z$14)*$D121*(1+'Audit &amp; Checks'!$D$19)+Z$57)*(Z$61-Z$67)*(1-Z$71)*Z$78</x:f>
        <x:v>3563199.057982712</x:v>
      </x:c>
      <x:c r="W121" s="107" t="n">
        <x:f>IF('Audit &amp; Checks'!$D$10=1,V121*(1+$D$83)/($D$81-$D$83),0)</x:f>
        <x:v>48697053.792430386</x:v>
      </x:c>
      <x:c r="X121" s="142" t="n">
        <x:f>(NPV($D$81,$G$79:$I$79,F121:V121)+W121/(1+$D$81)^'Audit &amp; Checks'!$D$7)*'Audit &amp; Checks'!$D$9</x:f>
        <x:v>13868572.677904792</x:v>
      </x:c>
      <x:c r="Y121" t="n">
        <x:f>IF((Z$61-Z$67)*(1-Z$71)*Z$78&lt;&gt;0,V121/((Z$61-Z$67)*(1-Z$71)*Z$78),0)</x:f>
        <x:v>7492008.111822354</x:v>
      </x:c>
      <x:c r="Z121" t="n">
        <x:f>$I$59*(1+C121)^17</x:f>
        <x:v>7492008.111822348</x:v>
      </x:c>
      <x:c r="AA121" t="n">
        <x:f>ABS(Y121-Z121)</x:f>
        <x:v>5.587935447692871e-9</x:v>
      </x:c>
    </x:row>
    <x:row r="122">
      <x:c r="C122" s="105" t="n">
        <x:f>$C$113</x:f>
        <x:v>0.15</x:v>
      </x:c>
      <x:c r="D122" s="31" t="n">
        <x:f>D$108</x:f>
        <x:v>0.4</x:v>
      </x:c>
      <x:c r="E122" s="105" t="n">
        <x:f>((($I$59*(1+$C122)^17-Z$57)/($D122*(1+'Audit &amp; Checks'!$D$19)*(1-Z$13-Z$14))/$I$6)^(1/17))-1</x:f>
        <x:v>0.18524374965412127</x:v>
      </x:c>
      <x:c r="F122" s="107" t="n">
        <x:f>($I$6*(1+$E122)^1*(1-J$13-J$14)*J$53*(1+'Audit &amp; Checks'!$D$19)+J$57)*(J$61-J$67)*(1-J$71)*J$78</x:f>
        <x:v>434034.2556657069</x:v>
      </x:c>
      <x:c r="G122" s="107" t="n">
        <x:f>($I$6*(1+$E122)^2*(1-K$13-K$14)*K$53*(1+'Audit &amp; Checks'!$D$19)+K$57)*(K$61-K$67)*(1-K$71)*K$78</x:f>
        <x:v>452875.09504306177</x:v>
      </x:c>
      <x:c r="H122" s="107" t="n">
        <x:f>($I$6*(1+$E122)^3*(1-L$13-L$14)*$D122*(1+'Audit &amp; Checks'!$D$19)+L$57)*(L$61-L$67)*(1-L$71)*L$78</x:f>
        <x:v>389047.38289908034</x:v>
      </x:c>
      <x:c r="I122" s="107" t="n">
        <x:f>($I$6*(1+$E122)^4*(1-M$13-M$14)*$D122*(1+'Audit &amp; Checks'!$D$19)+M$57)*(M$61-M$67)*(1-M$71)*M$78</x:f>
        <x:v>454452.5981475571</x:v>
      </x:c>
      <x:c r="J122" s="107" t="n">
        <x:f>($I$6*(1+$E122)^5*(1-N$13-N$14)*$D122*(1+'Audit &amp; Checks'!$D$19)+N$57)*(N$61-N$67)*(1-N$71)*N$78</x:f>
        <x:v>549370.2152108968</x:v>
      </x:c>
      <x:c r="K122" s="107" t="n">
        <x:f>($I$6*(1+$E122)^6*(1-O$13-O$14)*$D122*(1+'Audit &amp; Checks'!$D$19)+O$57)*(O$61-O$67)*(1-O$71)*O$78</x:f>
        <x:v>648908.030351582</x:v>
      </x:c>
      <x:c r="L122" s="107" t="n">
        <x:f>($I$6*(1+$E122)^7*(1-P$13-P$14)*$D122*(1+'Audit &amp; Checks'!$D$19)+P$57)*(P$61-P$67)*(1-P$71)*P$78</x:f>
        <x:v>766884.6036013069</x:v>
      </x:c>
      <x:c r="M122" s="107" t="n">
        <x:f>($I$6*(1+$E122)^8*(1-Q$13-Q$14)*$D122*(1+'Audit &amp; Checks'!$D$19)+Q$57)*(Q$61-Q$67)*(1-Q$71)*Q$78</x:f>
        <x:v>906715.5996511547</x:v>
      </x:c>
      <x:c r="N122" s="107" t="n">
        <x:f>($I$6*(1+$E122)^9*(1-R$13-R$14)*$D122*(1+'Audit &amp; Checks'!$D$19)+R$57)*(R$61-R$67)*(1-R$71)*R$78</x:f>
        <x:v>1072449.4137271473</x:v>
      </x:c>
      <x:c r="O122" s="107" t="n">
        <x:f>($I$6*(1+$E122)^10*(1-S$13-S$14)*$D122*(1+'Audit &amp; Checks'!$D$19)+S$57)*(S$61-S$67)*(1-S$71)*S$78</x:f>
        <x:v>1268884.3809670552</x:v>
      </x:c>
      <x:c r="P122" s="107" t="n">
        <x:f>($I$6*(1+$E122)^11*(1-T$13-T$14)*$D122*(1+'Audit &amp; Checks'!$D$19)+T$57)*(T$61-T$67)*(1-T$71)*T$78</x:f>
        <x:v>1501707.6981016686</x:v>
      </x:c>
      <x:c r="Q122" s="107" t="n">
        <x:f>($I$6*(1+$E122)^12*(1-U$13-U$14)*$D122*(1+'Audit &amp; Checks'!$D$19)+U$57)*(U$61-U$67)*(1-U$71)*U$78</x:f>
        <x:v>1777660.0795092077</x:v>
      </x:c>
      <x:c r="R122" s="107" t="n">
        <x:f>($I$6*(1+$E122)^13*(1-V$13-V$14)*$D122*(1+'Audit &amp; Checks'!$D$19)+V$57)*(V$61-V$67)*(1-V$71)*V$78</x:f>
        <x:v>2104730.9147746637</x:v>
      </x:c>
      <x:c r="S122" s="107" t="n">
        <x:f>($I$6*(1+$E122)^14*(1-W$13-W$14)*$D122*(1+'Audit &amp; Checks'!$D$19)+W$57)*(W$61-W$67)*(1-W$71)*W$78</x:f>
        <x:v>2492389.5779671995</x:v>
      </x:c>
      <x:c r="T122" s="107" t="n">
        <x:f>($I$6*(1+$E122)^15*(1-X$13-X$14)*$D122*(1+'Audit &amp; Checks'!$D$19)+X$57)*(X$61-X$67)*(1-X$71)*X$78</x:f>
        <x:v>2951859.5855154237</x:v>
      </x:c>
      <x:c r="U122" s="107" t="n">
        <x:f>($I$6*(1+$E122)^16*(1-Y$13-Y$14)*$D122*(1+'Audit &amp; Checks'!$D$19)+Y$57)*(Y$61-Y$67)*(1-Y$71)*Y$78</x:f>
        <x:v>3496443.540115487</x:v>
      </x:c>
      <x:c r="V122" s="107" t="n">
        <x:f>($I$6*(1+$E122)^17*(1-Z$13-Z$14)*$D122*(1+'Audit &amp; Checks'!$D$19)+Z$57)*(Z$61-Z$67)*(1-Z$71)*Z$78</x:f>
        <x:v>5177385.3355839215</x:v>
      </x:c>
      <x:c r="W122" s="107" t="n">
        <x:f>IF('Audit &amp; Checks'!$D$10=1,V122*(1+$D$83)/($D$81-$D$83),0)</x:f>
        <x:v>70757599.58631358</x:v>
      </x:c>
      <x:c r="X122" s="142" t="n">
        <x:f>(NPV($D$81,$G$79:$I$79,F122:V122)+W122/(1+$D$81)^'Audit &amp; Checks'!$D$7)*'Audit &amp; Checks'!$D$9</x:f>
        <x:v>18763429.98247853</x:v>
      </x:c>
      <x:c r="Y122" t="n">
        <x:f>IF((Z$61-Z$67)*(1-Z$71)*Z$78&lt;&gt;0,V122/((Z$61-Z$67)*(1-Z$71)*Z$78),0)</x:f>
        <x:v>10886007.854465771</x:v>
      </x:c>
      <x:c r="Z122" t="n">
        <x:f>$I$59*(1+C122)^17</x:f>
        <x:v>10886007.854465762</x:v>
      </x:c>
      <x:c r="AA122" t="n">
        <x:f>ABS(Y122-Z122)</x:f>
        <x:v>9.313225746154785e-9</x:v>
      </x:c>
    </x:row>
    <x:row r="123">
      <x:c r="C123" s="105" t="n">
        <x:f>$C$109</x:f>
        <x:v>0.05</x:v>
      </x:c>
      <x:c r="D123" s="31" t="n">
        <x:f>E$108</x:f>
        <x:v>0.45</x:v>
      </x:c>
      <x:c r="E123" s="105" t="n">
        <x:f>((($I$59*(1+$C123)^17-Z$57)/($D123*(1+'Audit &amp; Checks'!$D$19)*(1-Z$13-Z$14))/$I$6)^(1/17))-1</x:f>
        <x:v>0.07402294371291518</x:v>
      </x:c>
      <x:c r="F123" s="107" t="n">
        <x:f>($I$6*(1+$E123)^1*(1-J$13-J$14)*J$53*(1+'Audit &amp; Checks'!$D$19)+J$57)*(J$61-J$67)*(1-J$71)*J$78</x:f>
        <x:v>394551.6500600222</x:v>
      </x:c>
      <x:c r="G123" s="107" t="n">
        <x:f>($I$6*(1+$E123)^2*(1-K$13-K$14)*K$53*(1+'Audit &amp; Checks'!$D$19)+K$57)*(K$61-K$67)*(1-K$71)*K$78</x:f>
        <x:v>374170.54611134157</x:v>
      </x:c>
      <x:c r="H123" s="107" t="n">
        <x:f>($I$6*(1+$E123)^3*(1-L$13-L$14)*$D123*(1+'Audit &amp; Checks'!$D$19)+L$57)*(L$61-L$67)*(1-L$71)*L$78</x:f>
        <x:v>327694.6284176002</x:v>
      </x:c>
      <x:c r="I123" s="107" t="n">
        <x:f>($I$6*(1+$E123)^4*(1-M$13-M$14)*$D123*(1+'Audit &amp; Checks'!$D$19)+M$57)*(M$61-M$67)*(1-M$71)*M$78</x:f>
        <x:v>347624.8000350246</x:v>
      </x:c>
      <x:c r="J123" s="107" t="n">
        <x:f>($I$6*(1+$E123)^5*(1-N$13-N$14)*$D123*(1+'Audit &amp; Checks'!$D$19)+N$57)*(N$61-N$67)*(1-N$71)*N$78</x:f>
        <x:v>381376.06724329956</x:v>
      </x:c>
      <x:c r="K123" s="107" t="n">
        <x:f>($I$6*(1+$E123)^6*(1-O$13-O$14)*$D123*(1+'Audit &amp; Checks'!$D$19)+O$57)*(O$61-O$67)*(1-O$71)*O$78</x:f>
        <x:v>408715.7103666558</x:v>
      </x:c>
      <x:c r="L123" s="107" t="n">
        <x:f>($I$6*(1+$E123)^7*(1-P$13-P$14)*$D123*(1+'Audit &amp; Checks'!$D$19)+P$57)*(P$61-P$67)*(1-P$71)*P$78</x:f>
        <x:v>438079.1143540636</x:v>
      </x:c>
      <x:c r="M123" s="107" t="n">
        <x:f>($I$6*(1+$E123)^8*(1-Q$13-Q$14)*$D123*(1+'Audit &amp; Checks'!$D$19)+Q$57)*(Q$61-Q$67)*(1-Q$71)*Q$78</x:f>
        <x:v>469616.0839420506</x:v>
      </x:c>
      <x:c r="N123" s="107" t="n">
        <x:f>($I$6*(1+$E123)^9*(1-R$13-R$14)*$D123*(1+'Audit &amp; Checks'!$D$19)+R$57)*(R$61-R$67)*(1-R$71)*R$78</x:f>
        <x:v>503487.51285472524</x:v>
      </x:c>
      <x:c r="O123" s="107" t="n">
        <x:f>($I$6*(1+$E123)^10*(1-S$13-S$14)*$D123*(1+'Audit &amp; Checks'!$D$19)+S$57)*(S$61-S$67)*(1-S$71)*S$78</x:f>
        <x:v>539866.2046432787</x:v>
      </x:c>
      <x:c r="P123" s="107" t="n">
        <x:f>($I$6*(1+$E123)^11*(1-T$13-T$14)*$D123*(1+'Audit &amp; Checks'!$D$19)+T$57)*(T$61-T$67)*(1-T$71)*T$78</x:f>
        <x:v>578937.754286446</x:v>
      </x:c>
      <x:c r="Q123" s="107" t="n">
        <x:f>($I$6*(1+$E123)^12*(1-U$13-U$14)*$D123*(1+'Audit &amp; Checks'!$D$19)+U$57)*(U$61-U$67)*(1-U$71)*U$78</x:f>
        <x:v>620901.4950496255</x:v>
      </x:c>
      <x:c r="R123" s="107" t="n">
        <x:f>($I$6*(1+$E123)^13*(1-V$13-V$14)*$D123*(1+'Audit &amp; Checks'!$D$19)+V$57)*(V$61-V$67)*(1-V$71)*V$78</x:f>
        <x:v>665971.5154333016</x:v>
      </x:c>
      <x:c r="S123" s="107" t="n">
        <x:f>($I$6*(1+$E123)^14*(1-W$13-W$14)*$D123*(1+'Audit &amp; Checks'!$D$19)+W$57)*(W$61-W$67)*(1-W$71)*W$78</x:f>
        <x:v>714377.7513989783</x:v>
      </x:c>
      <x:c r="T123" s="107" t="n">
        <x:f>($I$6*(1+$E123)^15*(1-X$13-X$14)*$D123*(1+'Audit &amp; Checks'!$D$19)+X$57)*(X$61-X$67)*(1-X$71)*X$78</x:f>
        <x:v>766367.159444896</x:v>
      </x:c>
      <x:c r="U123" s="107" t="n">
        <x:f>($I$6*(1+$E123)^16*(1-Y$13-Y$14)*$D123*(1+'Audit &amp; Checks'!$D$19)+Y$57)*(Y$61-Y$67)*(1-Y$71)*Y$78</x:f>
        <x:v>822204.976516265</x:v>
      </x:c>
      <x:c r="V123" s="107" t="n">
        <x:f>($I$6*(1+$E123)^17*(1-Z$13-Z$14)*$D123*(1+'Audit &amp; Checks'!$D$19)+Z$57)*(Z$61-Z$67)*(1-Z$71)*Z$78</x:f>
        <x:v>1102720.0914721997</x:v>
      </x:c>
      <x:c r="W123" s="107" t="n">
        <x:f>IF('Audit &amp; Checks'!$D$10=1,V123*(1+$D$83)/($D$81-$D$83),0)</x:f>
        <x:v>15070507.916786725</x:v>
      </x:c>
      <x:c r="X123" s="142" t="n">
        <x:f>(NPV($D$81,$G$79:$I$79,F123:V123)+W123/(1+$D$81)^'Audit &amp; Checks'!$D$7)*'Audit &amp; Checks'!$D$9</x:f>
        <x:v>6083070.804405267</x:v>
      </x:c>
      <x:c r="Y123" t="n">
        <x:f>IF((Z$61-Z$67)*(1-Z$71)*Z$78&lt;&gt;0,V123/((Z$61-Z$67)*(1-Z$71)*Z$78),0)</x:f>
        <x:v>2318587.240269553</x:v>
      </x:c>
      <x:c r="Z123" t="n">
        <x:f>$I$59*(1+C123)^17</x:f>
        <x:v>2318587.2402695525</x:v>
      </x:c>
      <x:c r="AA123" t="n">
        <x:f>ABS(Y123-Z123)</x:f>
        <x:v>4.656612873077393e-10</x:v>
      </x:c>
    </x:row>
    <x:row r="124">
      <x:c r="C124" s="105" t="n">
        <x:f>$C$110</x:f>
        <x:v>0.075</x:v>
      </x:c>
      <x:c r="D124" s="31" t="n">
        <x:f>E$108</x:f>
        <x:v>0.45</x:v>
      </x:c>
      <x:c r="E124" s="105" t="n">
        <x:f>((($I$59*(1+$C124)^17-Z$57)/($D124*(1+'Audit &amp; Checks'!$D$19)*(1-Z$13-Z$14))/$I$6)^(1/17))-1</x:f>
        <x:v>0.09988926131205433</x:v>
      </x:c>
      <x:c r="F124" s="107" t="n">
        <x:f>($I$6*(1+$E124)^1*(1-J$13-J$14)*J$53*(1+'Audit &amp; Checks'!$D$19)+J$57)*(J$61-J$67)*(1-J$71)*J$78</x:f>
        <x:v>403734.0112881727</x:v>
      </x:c>
      <x:c r="G124" s="107" t="n">
        <x:f>($I$6*(1+$E124)^2*(1-K$13-K$14)*K$53*(1+'Audit &amp; Checks'!$D$19)+K$57)*(K$61-K$67)*(1-K$71)*K$78</x:f>
        <x:v>391783.1230434092</x:v>
      </x:c>
      <x:c r="H124" s="107" t="n">
        <x:f>($I$6*(1+$E124)^3*(1-L$13-L$14)*$D124*(1+'Audit &amp; Checks'!$D$19)+L$57)*(L$61-L$67)*(1-L$71)*L$78</x:f>
        <x:v>351024.1609922145</x:v>
      </x:c>
      <x:c r="I124" s="107" t="n">
        <x:f>($I$6*(1+$E124)^4*(1-M$13-M$14)*$D124*(1+'Audit &amp; Checks'!$D$19)+M$57)*(M$61-M$67)*(1-M$71)*M$78</x:f>
        <x:v>381140.27568368096</x:v>
      </x:c>
      <x:c r="J124" s="107" t="n">
        <x:f>($I$6*(1+$E124)^5*(1-N$13-N$14)*$D124*(1+'Audit &amp; Checks'!$D$19)+N$57)*(N$61-N$67)*(1-N$71)*N$78</x:f>
        <x:v>428045.68880141195</x:v>
      </x:c>
      <x:c r="K124" s="107" t="n">
        <x:f>($I$6*(1+$E124)^6*(1-O$13-O$14)*$D124*(1+'Audit &amp; Checks'!$D$19)+O$57)*(O$61-O$67)*(1-O$71)*O$78</x:f>
        <x:v>469600.5948672134</x:v>
      </x:c>
      <x:c r="L124" s="107" t="n">
        <x:f>($I$6*(1+$E124)^7*(1-P$13-P$14)*$D124*(1+'Audit &amp; Checks'!$D$19)+P$57)*(P$61-P$67)*(1-P$71)*P$78</x:f>
        <x:v>515306.38980381965</x:v>
      </x:c>
      <x:c r="M124" s="107" t="n">
        <x:f>($I$6*(1+$E124)^8*(1-Q$13-Q$14)*$D124*(1+'Audit &amp; Checks'!$D$19)+Q$57)*(Q$61-Q$67)*(1-Q$71)*Q$78</x:f>
        <x:v>565577.7028343237</x:v>
      </x:c>
      <x:c r="N124" s="107" t="n">
        <x:f>($I$6*(1+$E124)^9*(1-R$13-R$14)*$D124*(1+'Audit &amp; Checks'!$D$19)+R$57)*(R$61-R$67)*(1-R$71)*R$78</x:f>
        <x:v>620870.5801886317</x:v>
      </x:c>
      <x:c r="O124" s="107" t="n">
        <x:f>($I$6*(1+$E124)^10*(1-S$13-S$14)*$D124*(1+'Audit &amp; Checks'!$D$19)+S$57)*(S$61-S$67)*(1-S$71)*S$78</x:f>
        <x:v>681686.6222176799</x:v>
      </x:c>
      <x:c r="P124" s="107" t="n">
        <x:f>($I$6*(1+$E124)^11*(1-T$13-T$14)*$D124*(1+'Audit &amp; Checks'!$D$19)+T$57)*(T$61-T$67)*(1-T$71)*T$78</x:f>
        <x:v>748577.5337609323</x:v>
      </x:c>
      <x:c r="Q124" s="107" t="n">
        <x:f>($I$6*(1+$E124)^12*(1-U$13-U$14)*$D124*(1+'Audit &amp; Checks'!$D$19)+U$57)*(U$61-U$67)*(1-U$71)*U$78</x:f>
        <x:v>822150.1290467302</x:v>
      </x:c>
      <x:c r="R124" s="107" t="n">
        <x:f>($I$6*(1+$E124)^13*(1-V$13-V$14)*$D124*(1+'Audit &amp; Checks'!$D$19)+V$57)*(V$61-V$67)*(1-V$71)*V$78</x:f>
        <x:v>903071.8365284372</x:v>
      </x:c>
      <x:c r="S124" s="107" t="n">
        <x:f>($I$6*(1+$E124)^14*(1-W$13-W$14)*$D124*(1+'Audit &amp; Checks'!$D$19)+W$57)*(W$61-W$67)*(1-W$71)*W$78</x:f>
        <x:v>992076.753594602</x:v>
      </x:c>
      <x:c r="T124" s="107" t="n">
        <x:f>($I$6*(1+$E124)^15*(1-X$13-X$14)*$D124*(1+'Audit &amp; Checks'!$D$19)+X$57)*(X$61-X$67)*(1-X$71)*X$78</x:f>
        <x:v>1089972.3060796468</x:v>
      </x:c>
      <x:c r="U124" s="107" t="n">
        <x:f>($I$6*(1+$E124)^16*(1-Y$13-Y$14)*$D124*(1+'Audit &amp; Checks'!$D$19)+Y$57)*(Y$61-Y$67)*(1-Y$71)*Y$78</x:f>
        <x:v>1197646.572988158</x:v>
      </x:c>
      <x:c r="V124" s="107" t="n">
        <x:f>($I$6*(1+$E124)^17*(1-Z$13-Z$14)*$D124*(1+'Audit &amp; Checks'!$D$19)+Z$57)*(Z$61-Z$67)*(1-Z$71)*Z$78</x:f>
        <x:v>1645095.4286005972</x:v>
      </x:c>
      <x:c r="W124" s="107" t="n">
        <x:f>IF('Audit &amp; Checks'!$D$10=1,V124*(1+$D$83)/($D$81-$D$83),0)</x:f>
        <x:v>22482970.85754149</x:v>
      </x:c>
      <x:c r="X124" s="142" t="n">
        <x:f>(NPV($D$81,$G$79:$I$79,F124:V124)+W124/(1+$D$81)^'Audit &amp; Checks'!$D$7)*'Audit &amp; Checks'!$D$9</x:f>
        <x:v>7933016.314654769</x:v>
      </x:c>
      <x:c r="Y124" t="n">
        <x:f>IF((Z$61-Z$67)*(1-Z$71)*Z$78&lt;&gt;0,V124/((Z$61-Z$67)*(1-Z$71)*Z$78),0)</x:f>
        <x:v>3458989.547099657</x:v>
      </x:c>
      <x:c r="Z124" t="n">
        <x:f>$I$59*(1+C124)^17</x:f>
        <x:v>3458989.5470996513</x:v>
      </x:c>
      <x:c r="AA124" t="n">
        <x:f>ABS(Y124-Z124)</x:f>
        <x:v>5.587935447692871e-9</x:v>
      </x:c>
    </x:row>
    <x:row r="125">
      <x:c r="C125" s="105" t="n">
        <x:f>$C$111</x:f>
        <x:v>0.1</x:v>
      </x:c>
      <x:c r="D125" s="31" t="n">
        <x:f>E$108</x:f>
        <x:v>0.45</x:v>
      </x:c>
      <x:c r="E125" s="105" t="n">
        <x:f>((($I$59*(1+$C125)^17-Z$57)/($D125*(1+'Audit &amp; Checks'!$D$19)*(1-Z$13-Z$14))/$I$6)^(1/17))-1</x:f>
        <x:v>0.12566547685396356</x:v>
      </x:c>
      <x:c r="F125" s="107" t="n">
        <x:f>($I$6*(1+$E125)^1*(1-J$13-J$14)*J$53*(1+'Audit &amp; Checks'!$D$19)+J$57)*(J$61-J$67)*(1-J$71)*J$78</x:f>
        <x:v>412884.3869183072</x:v>
      </x:c>
      <x:c r="G125" s="107" t="n">
        <x:f>($I$6*(1+$E125)^2*(1-K$13-K$14)*K$53*(1+'Audit &amp; Checks'!$D$19)+K$57)*(K$61-K$67)*(1-K$71)*K$78</x:f>
        <x:v>409751.2882325868</x:v>
      </x:c>
      <x:c r="H125" s="107" t="n">
        <x:f>($I$6*(1+$E125)^3*(1-L$13-L$14)*$D125*(1+'Audit &amp; Checks'!$D$19)+L$57)*(L$61-L$67)*(1-L$71)*L$78</x:f>
        <x:v>375390.0392181405</x:v>
      </x:c>
      <x:c r="I125" s="107" t="n">
        <x:f>($I$6*(1+$E125)^4*(1-M$13-M$14)*$D125*(1+'Audit &amp; Checks'!$D$19)+M$57)*(M$61-M$67)*(1-M$71)*M$78</x:f>
        <x:v>416975.9471892519</x:v>
      </x:c>
      <x:c r="J125" s="107" t="n">
        <x:f>($I$6*(1+$E125)^5*(1-N$13-N$14)*$D125*(1+'Audit &amp; Checks'!$D$19)+N$57)*(N$61-N$67)*(1-N$71)*N$78</x:f>
        <x:v>479131.1703151123</x:v>
      </x:c>
      <x:c r="K125" s="107" t="n">
        <x:f>($I$6*(1+$E125)^6*(1-O$13-O$14)*$D125*(1+'Audit &amp; Checks'!$D$19)+O$57)*(O$61-O$67)*(1-O$71)*O$78</x:f>
        <x:v>537828.9146145962</x:v>
      </x:c>
      <x:c r="L125" s="107" t="n">
        <x:f>($I$6*(1+$E125)^7*(1-P$13-P$14)*$D125*(1+'Audit &amp; Checks'!$D$19)+P$57)*(P$61-P$67)*(1-P$71)*P$78</x:f>
        <x:v>603902.9389417266</x:v>
      </x:c>
      <x:c r="M125" s="107" t="n">
        <x:f>($I$6*(1+$E125)^8*(1-Q$13-Q$14)*$D125*(1+'Audit &amp; Checks'!$D$19)+Q$57)*(Q$61-Q$67)*(1-Q$71)*Q$78</x:f>
        <x:v>678280.1870435862</x:v>
      </x:c>
      <x:c r="N125" s="107" t="n">
        <x:f>($I$6*(1+$E125)^9*(1-R$13-R$14)*$D125*(1+'Audit &amp; Checks'!$D$19)+R$57)*(R$61-R$67)*(1-R$71)*R$78</x:f>
        <x:v>762004.0874952513</x:v>
      </x:c>
      <x:c r="O125" s="107" t="n">
        <x:f>($I$6*(1+$E125)^10*(1-S$13-S$14)*$D125*(1+'Audit &amp; Checks'!$D$19)+S$57)*(S$61-S$67)*(1-S$71)*S$78</x:f>
        <x:v>856249.1918212491</x:v>
      </x:c>
      <x:c r="P125" s="107" t="n">
        <x:f>($I$6*(1+$E125)^11*(1-T$13-T$14)*$D125*(1+'Audit &amp; Checks'!$D$19)+T$57)*(T$61-T$67)*(1-T$71)*T$78</x:f>
        <x:v>962337.6521235248</x:v>
      </x:c>
      <x:c r="Q125" s="107" t="n">
        <x:f>($I$6*(1+$E125)^12*(1-U$13-U$14)*$D125*(1+'Audit &amp; Checks'!$D$19)+U$57)*(U$61-U$67)*(1-U$71)*U$78</x:f>
        <x:v>1081757.7693783888</x:v>
      </x:c>
      <x:c r="R125" s="107" t="n">
        <x:f>($I$6*(1+$E125)^13*(1-V$13-V$14)*$D125*(1+'Audit &amp; Checks'!$D$19)+V$57)*(V$61-V$67)*(1-V$71)*V$78</x:f>
        <x:v>1216184.8726140414</x:v>
      </x:c>
      <x:c r="S125" s="107" t="n">
        <x:f>($I$6*(1+$E125)^14*(1-W$13-W$14)*$D125*(1+'Audit &amp; Checks'!$D$19)+W$57)*(W$61-W$67)*(1-W$71)*W$78</x:f>
        <x:v>1367504.8218798996</x:v>
      </x:c>
      <x:c r="T125" s="107" t="n">
        <x:f>($I$6*(1+$E125)^15*(1-X$13-X$14)*$D125*(1+'Audit &amp; Checks'!$D$19)+X$57)*(X$61-X$67)*(1-X$71)*X$78</x:f>
        <x:v>1537840.464727769</x:v>
      </x:c>
      <x:c r="U125" s="107" t="n">
        <x:f>($I$6*(1+$E125)^16*(1-Y$13-Y$14)*$D125*(1+'Audit &amp; Checks'!$D$19)+Y$57)*(Y$61-Y$67)*(1-Y$71)*Y$78</x:f>
        <x:v>1729581.4173593426</x:v>
      </x:c>
      <x:c r="V125" s="107" t="n">
        <x:f>($I$6*(1+$E125)^17*(1-Z$13-Z$14)*$D125*(1+'Audit &amp; Checks'!$D$19)+Z$57)*(Z$61-Z$67)*(1-Z$71)*Z$78</x:f>
        <x:v>2431771.985294745</x:v>
      </x:c>
      <x:c r="W125" s="107" t="n">
        <x:f>IF('Audit &amp; Checks'!$D$10=1,V125*(1+$D$83)/($D$81-$D$83),0)</x:f>
        <x:v>33234217.13236151</x:v>
      </x:c>
      <x:c r="X125" s="142" t="n">
        <x:f>(NPV($D$81,$G$79:$I$79,F125:V125)+W125/(1+$D$81)^'Audit &amp; Checks'!$D$7)*'Audit &amp; Checks'!$D$9</x:f>
        <x:v>10502794.638447769</x:v>
      </x:c>
      <x:c r="Y125" t="n">
        <x:f>IF((Z$61-Z$67)*(1-Z$71)*Z$78&lt;&gt;0,V125/((Z$61-Z$67)*(1-Z$71)*Z$78),0)</x:f>
        <x:v>5113061.365211826</x:v>
      </x:c>
      <x:c r="Z125" t="n">
        <x:f>$I$59*(1+C125)^17</x:f>
        <x:v>5113061.365211818</x:v>
      </x:c>
      <x:c r="AA125" t="n">
        <x:f>ABS(Y125-Z125)</x:f>
        <x:v>7.450580596923828e-9</x:v>
      </x:c>
    </x:row>
    <x:row r="126">
      <x:c r="C126" s="105" t="n">
        <x:f>$C$112</x:f>
        <x:v>0.125</x:v>
      </x:c>
      <x:c r="D126" s="31" t="n">
        <x:f>E$108</x:f>
        <x:v>0.45</x:v>
      </x:c>
      <x:c r="E126" s="105" t="n">
        <x:f>((($I$59*(1+$C126)^17-Z$57)/($D126*(1+'Audit &amp; Checks'!$D$19)*(1-Z$13-Z$14))/$I$6)^(1/17))-1</x:f>
        <x:v>0.15138252448337486</x:v>
      </x:c>
      <x:c r="F126" s="107" t="n">
        <x:f>($I$6*(1+$E126)^1*(1-J$13-J$14)*J$53*(1+'Audit &amp; Checks'!$D$19)+J$57)*(J$61-J$67)*(1-J$71)*J$78</x:f>
        <x:v>422013.7583547217</x:v>
      </x:c>
      <x:c r="G126" s="107" t="n">
        <x:f>($I$6*(1+$E126)^2*(1-K$13-K$14)*K$53*(1+'Audit &amp; Checks'!$D$19)+K$57)*(K$61-K$67)*(1-K$71)*K$78</x:f>
        <x:v>428092.9884799439</x:v>
      </x:c>
      <x:c r="H126" s="107" t="n">
        <x:f>($I$6*(1+$E126)^3*(1-L$13-L$14)*$D126*(1+'Audit &amp; Checks'!$D$19)+L$57)*(L$61-L$67)*(1-L$71)*L$78</x:f>
        <x:v>400837.87664164265</x:v>
      </x:c>
      <x:c r="I126" s="107" t="n">
        <x:f>($I$6*(1+$E126)^4*(1-M$13-M$14)*$D126*(1+'Audit &amp; Checks'!$D$19)+M$57)*(M$61-M$67)*(1-M$71)*M$78</x:f>
        <x:v>455268.67970364646</x:v>
      </x:c>
      <x:c r="J126" s="107" t="n">
        <x:f>($I$6*(1+$E126)^5*(1-N$13-N$14)*$D126*(1+'Audit &amp; Checks'!$D$19)+N$57)*(N$61-N$67)*(1-N$71)*N$78</x:f>
        <x:v>534981.9639357829</x:v>
      </x:c>
      <x:c r="K126" s="107" t="n">
        <x:f>($I$6*(1+$E126)^6*(1-O$13-O$14)*$D126*(1+'Audit &amp; Checks'!$D$19)+O$57)*(O$61-O$67)*(1-O$71)*O$78</x:f>
        <x:v>614146.8525400172</x:v>
      </x:c>
      <x:c r="L126" s="107" t="n">
        <x:f>($I$6*(1+$E126)^7*(1-P$13-P$14)*$D126*(1+'Audit &amp; Checks'!$D$19)+P$57)*(P$61-P$67)*(1-P$71)*P$78</x:f>
        <x:v>705295.9218316057</x:v>
      </x:c>
      <x:c r="M126" s="107" t="n">
        <x:f>($I$6*(1+$E126)^8*(1-Q$13-Q$14)*$D126*(1+'Audit &amp; Checks'!$D$19)+Q$57)*(Q$61-Q$67)*(1-Q$71)*Q$78</x:f>
        <x:v>810243.3673368653</x:v>
      </x:c>
      <x:c r="N126" s="107" t="n">
        <x:f>($I$6*(1+$E126)^9*(1-R$13-R$14)*$D126*(1+'Audit &amp; Checks'!$D$19)+R$57)*(R$61-R$67)*(1-R$71)*R$78</x:f>
        <x:v>931078.022080792</x:v>
      </x:c>
      <x:c r="O126" s="107" t="n">
        <x:f>($I$6*(1+$E126)^10*(1-S$13-S$14)*$D126*(1+'Audit &amp; Checks'!$D$19)+S$57)*(S$61-S$67)*(1-S$71)*S$78</x:f>
        <x:v>1070204.931904931</x:v>
      </x:c>
      <x:c r="P126" s="107" t="n">
        <x:f>($I$6*(1+$E126)^11*(1-T$13-T$14)*$D126*(1+'Audit &amp; Checks'!$D$19)+T$57)*(T$61-T$67)*(1-T$71)*T$78</x:f>
        <x:v>1230393.2245618198</x:v>
      </x:c>
      <x:c r="Q126" s="107" t="n">
        <x:f>($I$6*(1+$E126)^12*(1-U$13-U$14)*$D126*(1+'Audit &amp; Checks'!$D$19)+U$57)*(U$61-U$67)*(1-U$71)*U$78</x:f>
        <x:v>1414831.2253537897</x:v>
      </x:c>
      <x:c r="R126" s="107" t="n">
        <x:f>($I$6*(1+$E126)^13*(1-V$13-V$14)*$D126*(1+'Audit &amp; Checks'!$D$19)+V$57)*(V$61-V$67)*(1-V$71)*V$78</x:f>
        <x:v>1627189.9163163148</x:v>
      </x:c>
      <x:c r="S126" s="107" t="n">
        <x:f>($I$6*(1+$E126)^14*(1-W$13-W$14)*$D126*(1+'Audit &amp; Checks'!$D$19)+W$57)*(W$61-W$67)*(1-W$71)*W$78</x:f>
        <x:v>1871696.0020127315</x:v>
      </x:c>
      <x:c r="T126" s="107" t="n">
        <x:f>($I$6*(1+$E126)^15*(1-X$13-X$14)*$D126*(1+'Audit &amp; Checks'!$D$19)+X$57)*(X$61-X$67)*(1-X$71)*X$78</x:f>
        <x:v>2153216.0362134203</x:v>
      </x:c>
      <x:c r="U126" s="107" t="n">
        <x:f>($I$6*(1+$E126)^16*(1-Y$13-Y$14)*$D126*(1+'Audit &amp; Checks'!$D$19)+Y$57)*(Y$61-Y$67)*(1-Y$71)*Y$78</x:f>
        <x:v>2477353.2838840554</x:v>
      </x:c>
      <x:c r="V126" s="107" t="n">
        <x:f>($I$6*(1+$E126)^17*(1-Z$13-Z$14)*$D126*(1+'Audit &amp; Checks'!$D$19)+Z$57)*(Z$61-Z$67)*(1-Z$71)*Z$78</x:f>
        <x:v>3563199.057982706</x:v>
      </x:c>
      <x:c r="W126" s="107" t="n">
        <x:f>IF('Audit &amp; Checks'!$D$10=1,V126*(1+$D$83)/($D$81-$D$83),0)</x:f>
        <x:v>48697053.792430304</x:v>
      </x:c>
      <x:c r="X126" s="142" t="n">
        <x:f>(NPV($D$81,$G$79:$I$79,F126:V126)+W126/(1+$D$81)^'Audit &amp; Checks'!$D$7)*'Audit &amp; Checks'!$D$9</x:f>
        <x:v>14067967.695986614</x:v>
      </x:c>
      <x:c r="Y126" t="n">
        <x:f>IF((Z$61-Z$67)*(1-Z$71)*Z$78&lt;&gt;0,V126/((Z$61-Z$67)*(1-Z$71)*Z$78),0)</x:f>
        <x:v>7492008.111822341</x:v>
      </x:c>
      <x:c r="Z126" t="n">
        <x:f>$I$59*(1+C126)^17</x:f>
        <x:v>7492008.111822348</x:v>
      </x:c>
      <x:c r="AA126" t="n">
        <x:f>ABS(Y126-Z126)</x:f>
        <x:v>7.450580596923828e-9</x:v>
      </x:c>
    </x:row>
    <x:row r="127">
      <x:c r="C127" s="105" t="n">
        <x:f>$C$113</x:f>
        <x:v>0.15</x:v>
      </x:c>
      <x:c r="D127" s="31" t="n">
        <x:f>E$108</x:f>
        <x:v>0.45</x:v>
      </x:c>
      <x:c r="E127" s="105" t="n">
        <x:f>((($I$59*(1+$C127)^17-Z$57)/($D127*(1+'Audit &amp; Checks'!$D$19)*(1-Z$13-Z$14))/$I$6)^(1/17))-1</x:f>
        <x:v>0.17706027242341849</x:v>
      </x:c>
      <x:c r="F127" s="107" t="n">
        <x:f>($I$6*(1+$E127)^1*(1-J$13-J$14)*J$53*(1+'Audit &amp; Checks'!$D$19)+J$57)*(J$61-J$67)*(1-J$71)*J$78</x:f>
        <x:v>431129.17867720046</x:v>
      </x:c>
      <x:c r="G127" s="107" t="n">
        <x:f>($I$6*(1+$E127)^2*(1-K$13-K$14)*K$53*(1+'Audit &amp; Checks'!$D$19)+K$57)*(K$61-K$67)*(1-K$71)*K$78</x:f>
        <x:v>446820.0139428718</x:v>
      </x:c>
      <x:c r="H127" s="107" t="n">
        <x:f>($I$6*(1+$E127)^3*(1-L$13-L$14)*$D127*(1+'Audit &amp; Checks'!$D$19)+L$57)*(L$61-L$67)*(1-L$71)*L$78</x:f>
        <x:v>427406.7181463286</x:v>
      </x:c>
      <x:c r="I127" s="107" t="n">
        <x:f>($I$6*(1+$E127)^4*(1-M$13-M$14)*$D127*(1+'Audit &amp; Checks'!$D$19)+M$57)*(M$61-M$67)*(1-M$71)*M$78</x:f>
        <x:v>496150.45641278813</x:v>
      </x:c>
      <x:c r="J127" s="107" t="n">
        <x:f>($I$6*(1+$E127)^5*(1-N$13-N$14)*$D127*(1+'Audit &amp; Checks'!$D$19)+N$57)*(N$61-N$67)*(1-N$71)*N$78</x:f>
        <x:v>595954.4018506149</x:v>
      </x:c>
      <x:c r="K127" s="107" t="n">
        <x:f>($I$6*(1+$E127)^6*(1-O$13-O$14)*$D127*(1+'Audit &amp; Checks'!$D$19)+O$57)*(O$61-O$67)*(1-O$71)*O$78</x:f>
        <x:v>699343.1629979827</x:v>
      </x:c>
      <x:c r="L127" s="107" t="n">
        <x:f>($I$6*(1+$E127)^7*(1-P$13-P$14)*$D127*(1+'Audit &amp; Checks'!$D$19)+P$57)*(P$61-P$67)*(1-P$71)*P$78</x:f>
        <x:v>821037.9663596234</x:v>
      </x:c>
      <x:c r="M127" s="107" t="n">
        <x:f>($I$6*(1+$E127)^8*(1-Q$13-Q$14)*$D127*(1+'Audit &amp; Checks'!$D$19)+Q$57)*(Q$61-Q$67)*(1-Q$71)*Q$78</x:f>
        <x:v>964280.0847569904</x:v>
      </x:c>
      <x:c r="N127" s="107" t="n">
        <x:f>($I$6*(1+$E127)^9*(1-R$13-R$14)*$D127*(1+'Audit &amp; Checks'!$D$19)+R$57)*(R$61-R$67)*(1-R$71)*R$78</x:f>
        <x:v>1132884.6916603027</x:v>
      </x:c>
      <x:c r="O127" s="107" t="n">
        <x:f>($I$6*(1+$E127)^10*(1-S$13-S$14)*$D127*(1+'Audit &amp; Checks'!$D$19)+S$57)*(S$61-S$67)*(1-S$71)*S$78</x:f>
        <x:v>1331342.476193759</x:v>
      </x:c>
      <x:c r="P127" s="107" t="n">
        <x:f>($I$6*(1+$E127)^11*(1-T$13-T$14)*$D127*(1+'Audit &amp; Checks'!$D$19)+T$57)*(T$61-T$67)*(1-T$71)*T$78</x:f>
        <x:v>1564939.2501212563</x:v>
      </x:c>
      <x:c r="Q127" s="107" t="n">
        <x:f>($I$6*(1+$E127)^12*(1-U$13-U$14)*$D127*(1+'Audit &amp; Checks'!$D$19)+U$57)*(U$61-U$67)*(1-U$71)*U$78</x:f>
        <x:v>1839896.732477589</x:v>
      </x:c>
      <x:c r="R127" s="107" t="n">
        <x:f>($I$6*(1+$E127)^13*(1-V$13-V$14)*$D127*(1+'Audit &amp; Checks'!$D$19)+V$57)*(V$61-V$67)*(1-V$71)*V$78</x:f>
        <x:v>2163538.261564791</x:v>
      </x:c>
      <x:c r="S127" s="107" t="n">
        <x:f>($I$6*(1+$E127)^14*(1-W$13-W$14)*$D127*(1+'Audit &amp; Checks'!$D$19)+W$57)*(W$61-W$67)*(1-W$71)*W$78</x:f>
        <x:v>2544483.847959705</x:v>
      </x:c>
      <x:c r="T127" s="107" t="n">
        <x:f>($I$6*(1+$E127)^15*(1-X$13-X$14)*$D127*(1+'Audit &amp; Checks'!$D$19)+X$57)*(X$61-X$67)*(1-X$71)*X$78</x:f>
        <x:v>2992879.7636602013</x:v>
      </x:c>
      <x:c r="U127" s="107" t="n">
        <x:f>($I$6*(1+$E127)^16*(1-Y$13-Y$14)*$D127*(1+'Audit &amp; Checks'!$D$19)+Y$57)*(Y$61-Y$67)*(1-Y$71)*Y$78</x:f>
        <x:v>3520668.7823481755</x:v>
      </x:c>
      <x:c r="V127" s="107" t="n">
        <x:f>($I$6*(1+$E127)^17*(1-Z$13-Z$14)*$D127*(1+'Audit &amp; Checks'!$D$19)+Z$57)*(Z$61-Z$67)*(1-Z$71)*Z$78</x:f>
        <x:v>5177385.335583912</x:v>
      </x:c>
      <x:c r="W127" s="107" t="n">
        <x:f>IF('Audit &amp; Checks'!$D$10=1,V127*(1+$D$83)/($D$81-$D$83),0)</x:f>
        <x:v>70757599.58631346</x:v>
      </x:c>
      <x:c r="X127" s="142" t="n">
        <x:f>(NPV($D$81,$G$79:$I$79,F127:V127)+W127/(1+$D$81)^'Audit &amp; Checks'!$D$7)*'Audit &amp; Checks'!$D$9</x:f>
        <x:v>19002669.64928221</x:v>
      </x:c>
      <x:c r="Y127" t="n">
        <x:f>IF((Z$61-Z$67)*(1-Z$71)*Z$78&lt;&gt;0,V127/((Z$61-Z$67)*(1-Z$71)*Z$78),0)</x:f>
        <x:v>10886007.854465751</x:v>
      </x:c>
      <x:c r="Z127" t="n">
        <x:f>$I$59*(1+C127)^17</x:f>
        <x:v>10886007.854465762</x:v>
      </x:c>
      <x:c r="AA127" t="n">
        <x:f>ABS(Y127-Z127)</x:f>
        <x:v>1.1175870895385742e-8</x:v>
      </x:c>
    </x:row>
    <x:row r="128">
      <x:c r="C128" s="105" t="n">
        <x:f>$C$109</x:f>
        <x:v>0.05</x:v>
      </x:c>
      <x:c r="D128" s="31" t="n">
        <x:f>F$108</x:f>
        <x:v>0.5</x:v>
      </x:c>
      <x:c r="E128" s="105" t="n">
        <x:f>((($I$59*(1+$C128)^17-Z$57)/($D128*(1+'Audit &amp; Checks'!$D$19)*(1-Z$13-Z$14))/$I$6)^(1/17))-1</x:f>
        <x:v>0.06738708070657484</x:v>
      </x:c>
      <x:c r="F128" s="107" t="n">
        <x:f>($I$6*(1+$E128)^1*(1-J$13-J$14)*J$53*(1+'Audit &amp; Checks'!$D$19)+J$57)*(J$61-J$67)*(1-J$71)*J$78</x:f>
        <x:v>392195.9652606223</x:v>
      </x:c>
      <x:c r="G128" s="107" t="n">
        <x:f>($I$6*(1+$E128)^2*(1-K$13-K$14)*K$53*(1+'Audit &amp; Checks'!$D$19)+K$57)*(K$61-K$67)*(1-K$71)*K$78</x:f>
        <x:v>369719.6901525481</x:v>
      </x:c>
      <x:c r="H128" s="107" t="n">
        <x:f>($I$6*(1+$E128)^3*(1-L$13-L$14)*$D128*(1+'Audit &amp; Checks'!$D$19)+L$57)*(L$61-L$67)*(1-L$71)*L$78</x:f>
        <x:v>356269.2769074368</x:v>
      </x:c>
      <x:c r="I128" s="107" t="n">
        <x:f>($I$6*(1+$E128)^4*(1-M$13-M$14)*$D128*(1+'Audit &amp; Checks'!$D$19)+M$57)*(M$61-M$67)*(1-M$71)*M$78</x:f>
        <x:v>375782.2175673209</x:v>
      </x:c>
      <x:c r="J128" s="107" t="n">
        <x:f>($I$6*(1+$E128)^5*(1-N$13-N$14)*$D128*(1+'Audit &amp; Checks'!$D$19)+N$57)*(N$61-N$67)*(1-N$71)*N$78</x:f>
        <x:v>409891.9283054963</x:v>
      </x:c>
      <x:c r="K128" s="107" t="n">
        <x:f>($I$6*(1+$E128)^6*(1-O$13-O$14)*$D128*(1+'Audit &amp; Checks'!$D$19)+O$57)*(O$61-O$67)*(1-O$71)*O$78</x:f>
        <x:v>436702.28160180646</x:v>
      </x:c>
      <x:c r="L128" s="107" t="n">
        <x:f>($I$6*(1+$E128)^7*(1-P$13-P$14)*$D128*(1+'Audit &amp; Checks'!$D$19)+P$57)*(P$61-P$67)*(1-P$71)*P$78</x:f>
        <x:v>465319.30633946694</x:v>
      </x:c>
      <x:c r="M128" s="107" t="n">
        <x:f>($I$6*(1+$E128)^8*(1-Q$13-Q$14)*$D128*(1+'Audit &amp; Checks'!$D$19)+Q$57)*(Q$61-Q$67)*(1-Q$71)*Q$78</x:f>
        <x:v>495864.7488327062</x:v>
      </x:c>
      <x:c r="N128" s="107" t="n">
        <x:f>($I$6*(1+$E128)^9*(1-R$13-R$14)*$D128*(1+'Audit &amp; Checks'!$D$19)+R$57)*(R$61-R$67)*(1-R$71)*R$78</x:f>
        <x:v>528468.5595244552</x:v>
      </x:c>
      <x:c r="O128" s="107" t="n">
        <x:f>($I$6*(1+$E128)^10*(1-S$13-S$14)*$D128*(1+'Audit &amp; Checks'!$D$19)+S$57)*(S$61-S$67)*(1-S$71)*S$78</x:f>
        <x:v>563269.4458386314</x:v>
      </x:c>
      <x:c r="P128" s="107" t="n">
        <x:f>($I$6*(1+$E128)^11*(1-T$13-T$14)*$D128*(1+'Audit &amp; Checks'!$D$19)+T$57)*(T$61-T$67)*(1-T$71)*T$78</x:f>
        <x:v>600415.4622875208</x:v>
      </x:c>
      <x:c r="Q128" s="107" t="n">
        <x:f>($I$6*(1+$E128)^12*(1-U$13-U$14)*$D128*(1+'Audit &amp; Checks'!$D$19)+U$57)*(U$61-U$67)*(1-U$71)*U$78</x:f>
        <x:v>640064.6403447795</x:v>
      </x:c>
      <x:c r="R128" s="107" t="n">
        <x:f>($I$6*(1+$E128)^13*(1-V$13-V$14)*$D128*(1+'Audit &amp; Checks'!$D$19)+V$57)*(V$61-V$67)*(1-V$71)*V$78</x:f>
        <x:v>682385.6607637322</x:v>
      </x:c>
      <x:c r="S128" s="107" t="n">
        <x:f>($I$6*(1+$E128)^14*(1-W$13-W$14)*$D128*(1+'Audit &amp; Checks'!$D$19)+W$57)*(W$61-W$67)*(1-W$71)*W$78</x:f>
        <x:v>727558.5712012412</x:v>
      </x:c>
      <x:c r="T128" s="107" t="n">
        <x:f>($I$6*(1+$E128)^15*(1-X$13-X$14)*$D128*(1+'Audit &amp; Checks'!$D$19)+X$57)*(X$61-X$67)*(1-X$71)*X$78</x:f>
        <x:v>775775.5522001538</x:v>
      </x:c>
      <x:c r="U128" s="107" t="n">
        <x:f>($I$6*(1+$E128)^16*(1-Y$13-Y$14)*$D128*(1+'Audit &amp; Checks'!$D$19)+Y$57)*(Y$61-Y$67)*(1-Y$71)*Y$78</x:f>
        <x:v>827241.7347890673</x:v>
      </x:c>
      <x:c r="V128" s="107" t="n">
        <x:f>($I$6*(1+$E128)^17*(1-Z$13-Z$14)*$D128*(1+'Audit &amp; Checks'!$D$19)+Z$57)*(Z$61-Z$67)*(1-Z$71)*Z$78</x:f>
        <x:v>1102720.091472199</x:v>
      </x:c>
      <x:c r="W128" s="107" t="n">
        <x:f>IF('Audit &amp; Checks'!$D$10=1,V128*(1+$D$83)/($D$81-$D$83),0)</x:f>
        <x:v>15070507.916786715</x:v>
      </x:c>
      <x:c r="X128" s="142" t="n">
        <x:f>(NPV($D$81,$G$79:$I$79,F128:V128)+W128/(1+$D$81)^'Audit &amp; Checks'!$D$7)*'Audit &amp; Checks'!$D$9</x:f>
        <x:v>6194546.000502199</x:v>
      </x:c>
      <x:c r="Y128" t="n">
        <x:f>IF((Z$61-Z$67)*(1-Z$71)*Z$78&lt;&gt;0,V128/((Z$61-Z$67)*(1-Z$71)*Z$78),0)</x:f>
        <x:v>2318587.2402695515</x:v>
      </x:c>
      <x:c r="Z128" t="n">
        <x:f>$I$59*(1+C128)^17</x:f>
        <x:v>2318587.2402695525</x:v>
      </x:c>
      <x:c r="AA128" t="n">
        <x:f>ABS(Y128-Z128)</x:f>
        <x:v>9.313225746154785e-10</x:v>
      </x:c>
    </x:row>
    <x:row r="129">
      <x:c r="C129" s="105" t="n">
        <x:f>$C$110</x:f>
        <x:v>0.075</x:v>
      </x:c>
      <x:c r="D129" s="31" t="n">
        <x:f>F$108</x:f>
        <x:v>0.5</x:v>
      </x:c>
      <x:c r="E129" s="105" t="n">
        <x:f>((($I$59*(1+$C129)^17-Z$57)/($D129*(1+'Audit &amp; Checks'!$D$19)*(1-Z$13-Z$14))/$I$6)^(1/17))-1</x:f>
        <x:v>0.0930935829674373</x:v>
      </x:c>
      <x:c r="F129" s="107" t="n">
        <x:f>($I$6*(1+$E129)^1*(1-J$13-J$14)*J$53*(1+'Audit &amp; Checks'!$D$19)+J$57)*(J$61-J$67)*(1-J$71)*J$78</x:f>
        <x:v>401321.59316520527</x:v>
      </x:c>
      <x:c r="G129" s="107" t="n">
        <x:f>($I$6*(1+$E129)^2*(1-K$13-K$14)*K$53*(1+'Audit &amp; Checks'!$D$19)+K$57)*(K$61-K$67)*(1-K$71)*K$78</x:f>
        <x:v>387115.30041231145</x:v>
      </x:c>
      <x:c r="H129" s="107" t="n">
        <x:f>($I$6*(1+$E129)^3*(1-L$13-L$14)*$D129*(1+'Audit &amp; Checks'!$D$19)+L$57)*(L$61-L$67)*(1-L$71)*L$78</x:f>
        <x:v>381713.4696495265</x:v>
      </x:c>
      <x:c r="I129" s="107" t="n">
        <x:f>($I$6*(1+$E129)^4*(1-M$13-M$14)*$D129*(1+'Audit &amp; Checks'!$D$19)+M$57)*(M$61-M$67)*(1-M$71)*M$78</x:f>
        <x:v>412109.79268178676</x:v>
      </x:c>
      <x:c r="J129" s="107" t="n">
        <x:f>($I$6*(1+$E129)^5*(1-N$13-N$14)*$D129*(1+'Audit &amp; Checks'!$D$19)+N$57)*(N$61-N$67)*(1-N$71)*N$78</x:f>
        <x:v>460164.7989067129</x:v>
      </x:c>
      <x:c r="K129" s="107" t="n">
        <x:f>($I$6*(1+$E129)^6*(1-O$13-O$14)*$D129*(1+'Audit &amp; Checks'!$D$19)+O$57)*(O$61-O$67)*(1-O$71)*O$78</x:f>
        <x:v>501882.719602837</x:v>
      </x:c>
      <x:c r="L129" s="107" t="n">
        <x:f>($I$6*(1+$E129)^7*(1-P$13-P$14)*$D129*(1+'Audit &amp; Checks'!$D$19)+P$57)*(P$61-P$67)*(1-P$71)*P$78</x:f>
        <x:v>547484.3110105147</x:v>
      </x:c>
      <x:c r="M129" s="107" t="n">
        <x:f>($I$6*(1+$E129)^8*(1-Q$13-Q$14)*$D129*(1+'Audit &amp; Checks'!$D$19)+Q$57)*(Q$61-Q$67)*(1-Q$71)*Q$78</x:f>
        <x:v>597331.1179513504</x:v>
      </x:c>
      <x:c r="N129" s="107" t="n">
        <x:f>($I$6*(1+$E129)^9*(1-R$13-R$14)*$D129*(1+'Audit &amp; Checks'!$D$19)+R$57)*(R$61-R$67)*(1-R$71)*R$78</x:f>
        <x:v>651818.3427497945</x:v>
      </x:c>
      <x:c r="O129" s="107" t="n">
        <x:f>($I$6*(1+$E129)^10*(1-S$13-S$14)*$D129*(1+'Audit &amp; Checks'!$D$19)+S$57)*(S$61-S$67)*(1-S$71)*S$78</x:f>
        <x:v>711377.9785306781</x:v>
      </x:c>
      <x:c r="P129" s="107" t="n">
        <x:f>($I$6*(1+$E129)^11*(1-T$13-T$14)*$D129*(1+'Audit &amp; Checks'!$D$19)+T$57)*(T$61-T$67)*(1-T$71)*T$78</x:f>
        <x:v>776482.2342066396</x:v>
      </x:c>
      <x:c r="Q129" s="107" t="n">
        <x:f>($I$6*(1+$E129)^12*(1-U$13-U$14)*$D129*(1+'Audit &amp; Checks'!$D$19)+U$57)*(U$61-U$67)*(1-U$71)*U$78</x:f>
        <x:v>847647.2783099046</x:v>
      </x:c>
      <x:c r="R129" s="107" t="n">
        <x:f>($I$6*(1+$E129)^13*(1-V$13-V$14)*$D129*(1+'Audit &amp; Checks'!$D$19)+V$57)*(V$61-V$67)*(1-V$71)*V$78</x:f>
        <x:v>925437.3313507779</x:v>
      </x:c>
      <x:c r="S129" s="107" t="n">
        <x:f>($I$6*(1+$E129)^14*(1-W$13-W$14)*$D129*(1+'Audit &amp; Checks'!$D$19)+W$57)*(W$61-W$67)*(1-W$71)*W$78</x:f>
        <x:v>1010469.1391484535</x:v>
      </x:c>
      <x:c r="T129" s="107" t="n">
        <x:f>($I$6*(1+$E129)^15*(1-X$13-X$14)*$D129*(1+'Audit &amp; Checks'!$D$19)+X$57)*(X$61-X$67)*(1-X$71)*X$78</x:f>
        <x:v>1103416.8626002127</x:v>
      </x:c>
      <x:c r="U129" s="107" t="n">
        <x:f>($I$6*(1+$E129)^16*(1-Y$13-Y$14)*$D129*(1+'Audit &amp; Checks'!$D$19)+Y$57)*(Y$61-Y$67)*(1-Y$71)*Y$78</x:f>
        <x:v>1205017.422656763</x:v>
      </x:c>
      <x:c r="V129" s="107" t="n">
        <x:f>($I$6*(1+$E129)^17*(1-Z$13-Z$14)*$D129*(1+'Audit &amp; Checks'!$D$19)+Z$57)*(Z$61-Z$67)*(1-Z$71)*Z$78</x:f>
        <x:v>1645095.428600595</x:v>
      </x:c>
      <x:c r="W129" s="107" t="n">
        <x:f>IF('Audit &amp; Checks'!$D$10=1,V129*(1+$D$83)/($D$81-$D$83),0)</x:f>
        <x:v>22482970.85754146</x:v>
      </x:c>
      <x:c r="X129" s="142" t="n">
        <x:f>(NPV($D$81,$G$79:$I$79,F129:V129)+W129/(1+$D$81)^'Audit &amp; Checks'!$D$7)*'Audit &amp; Checks'!$D$9</x:f>
        <x:v>8065948.655738802</x:v>
      </x:c>
      <x:c r="Y129" t="n">
        <x:f>IF((Z$61-Z$67)*(1-Z$71)*Z$78&lt;&gt;0,V129/((Z$61-Z$67)*(1-Z$71)*Z$78),0)</x:f>
        <x:v>3458989.5470996527</x:v>
      </x:c>
      <x:c r="Z129" t="n">
        <x:f>$I$59*(1+C129)^17</x:f>
        <x:v>3458989.5470996513</x:v>
      </x:c>
      <x:c r="AA129" t="n">
        <x:f>ABS(Y129-Z129)</x:f>
        <x:v>1.3969838619232178e-9</x:v>
      </x:c>
    </x:row>
    <x:row r="130">
      <x:c r="C130" s="105" t="n">
        <x:f>$C$111</x:f>
        <x:v>0.1</x:v>
      </x:c>
      <x:c r="D130" s="31" t="n">
        <x:f>F$108</x:f>
        <x:v>0.5</x:v>
      </x:c>
      <x:c r="E130" s="105" t="n">
        <x:f>((($I$59*(1+$C130)^17-Z$57)/($D130*(1+'Audit &amp; Checks'!$D$19)*(1-Z$13-Z$14))/$I$6)^(1/17))-1</x:f>
        <x:v>0.118710539867658</x:v>
      </x:c>
      <x:c r="F130" s="107" t="n">
        <x:f>($I$6*(1+$E130)^1*(1-J$13-J$14)*J$53*(1+'Audit &amp; Checks'!$D$19)+J$57)*(J$61-J$67)*(1-J$71)*J$78</x:f>
        <x:v>410415.4330951542</x:v>
      </x:c>
      <x:c r="G130" s="107" t="n">
        <x:f>($I$6*(1+$E130)^2*(1-K$13-K$14)*K$53*(1+'Audit &amp; Checks'!$D$19)+K$57)*(K$61-K$67)*(1-K$71)*K$78</x:f>
        <x:v>404862.1184912082</x:v>
      </x:c>
      <x:c r="H130" s="107" t="n">
        <x:f>($I$6*(1+$E130)^3*(1-L$13-L$14)*$D130*(1+'Audit &amp; Checks'!$D$19)+L$57)*(L$61-L$67)*(1-L$71)*L$78</x:f>
        <x:v>408287.9455816061</x:v>
      </x:c>
      <x:c r="I130" s="107" t="n">
        <x:f>($I$6*(1+$E130)^4*(1-M$13-M$14)*$D130*(1+'Audit &amp; Checks'!$D$19)+M$57)*(M$61-M$67)*(1-M$71)*M$78</x:f>
        <x:v>450952.23854300624</x:v>
      </x:c>
      <x:c r="J130" s="107" t="n">
        <x:f>($I$6*(1+$E130)^5*(1-N$13-N$14)*$D130*(1+'Audit &amp; Checks'!$D$19)+N$57)*(N$61-N$67)*(1-N$71)*N$78</x:f>
        <x:v>515194.4673719092</x:v>
      </x:c>
      <x:c r="K130" s="107" t="n">
        <x:f>($I$6*(1+$E130)^6*(1-O$13-O$14)*$D130*(1+'Audit &amp; Checks'!$D$19)+O$57)*(O$61-O$67)*(1-O$71)*O$78</x:f>
        <x:v>574924.6872716438</x:v>
      </x:c>
      <x:c r="L130" s="107" t="n">
        <x:f>($I$6*(1+$E130)^7*(1-P$13-P$14)*$D130*(1+'Audit &amp; Checks'!$D$19)+P$57)*(P$61-P$67)*(1-P$71)*P$78</x:f>
        <x:v>641745.5138220899</x:v>
      </x:c>
      <x:c r="M130" s="107" t="n">
        <x:f>($I$6*(1+$E130)^8*(1-Q$13-Q$14)*$D130*(1+'Audit &amp; Checks'!$D$19)+Q$57)*(Q$61-Q$67)*(1-Q$71)*Q$78</x:f>
        <x:v>716498.6767667426</x:v>
      </x:c>
      <x:c r="N130" s="107" t="n">
        <x:f>($I$6*(1+$E130)^9*(1-R$13-R$14)*$D130*(1+'Audit &amp; Checks'!$D$19)+R$57)*(R$61-R$67)*(1-R$71)*R$78</x:f>
        <x:v>800125.8280413703</x:v>
      </x:c>
      <x:c r="O130" s="107" t="n">
        <x:f>($I$6*(1+$E130)^10*(1-S$13-S$14)*$D130*(1+'Audit &amp; Checks'!$D$19)+S$57)*(S$61-S$67)*(1-S$71)*S$78</x:f>
        <x:v>893680.4035914028</x:v>
      </x:c>
      <x:c r="P130" s="107" t="n">
        <x:f>($I$6*(1+$E130)^11*(1-T$13-T$14)*$D130*(1+'Audit &amp; Checks'!$D$19)+T$57)*(T$61-T$67)*(1-T$71)*T$78</x:f>
        <x:v>998340.8933120698</x:v>
      </x:c>
      <x:c r="Q130" s="107" t="n">
        <x:f>($I$6*(1+$E130)^12*(1-U$13-U$14)*$D130*(1+'Audit &amp; Checks'!$D$19)+U$57)*(U$61-U$67)*(1-U$71)*U$78</x:f>
        <x:v>1115425.6862702903</x:v>
      </x:c>
      <x:c r="R130" s="107" t="n">
        <x:f>($I$6*(1+$E130)^13*(1-V$13-V$14)*$D130*(1+'Audit &amp; Checks'!$D$19)+V$57)*(V$61-V$67)*(1-V$71)*V$78</x:f>
        <x:v>1246409.678210874</x:v>
      </x:c>
      <x:c r="S130" s="107" t="n">
        <x:f>($I$6*(1+$E130)^14*(1-W$13-W$14)*$D130*(1+'Audit &amp; Checks'!$D$19)+W$57)*(W$61-W$67)*(1-W$71)*W$78</x:f>
        <x:v>1392942.8505487456</x:v>
      </x:c>
      <x:c r="T130" s="107" t="n">
        <x:f>($I$6*(1+$E130)^15*(1-X$13-X$14)*$D130*(1+'Audit &amp; Checks'!$D$19)+X$57)*(X$61-X$67)*(1-X$71)*X$78</x:f>
        <x:v>1556871.0548833665</x:v>
      </x:c>
      <x:c r="U130" s="107" t="n">
        <x:f>($I$6*(1+$E130)^16*(1-Y$13-Y$14)*$D130*(1+'Audit &amp; Checks'!$D$19)+Y$57)*(Y$61-Y$67)*(1-Y$71)*Y$78</x:f>
        <x:v>1740259.2648540863</x:v>
      </x:c>
      <x:c r="V130" s="107" t="n">
        <x:f>($I$6*(1+$E130)^17*(1-Z$13-Z$14)*$D130*(1+'Audit &amp; Checks'!$D$19)+Z$57)*(Z$61-Z$67)*(1-Z$71)*Z$78</x:f>
        <x:v>2431771.9852947416</x:v>
      </x:c>
      <x:c r="W130" s="107" t="n">
        <x:f>IF('Audit &amp; Checks'!$D$10=1,V130*(1+$D$83)/($D$81-$D$83),0)</x:f>
        <x:v>33234217.132361457</x:v>
      </x:c>
      <x:c r="X130" s="142" t="n">
        <x:f>(NPV($D$81,$G$79:$I$79,F130:V130)+W130/(1+$D$81)^'Audit &amp; Checks'!$D$7)*'Audit &amp; Checks'!$D$9</x:f>
        <x:v>10661490.56477603</x:v>
      </x:c>
      <x:c r="Y130" t="n">
        <x:f>IF((Z$61-Z$67)*(1-Z$71)*Z$78&lt;&gt;0,V130/((Z$61-Z$67)*(1-Z$71)*Z$78),0)</x:f>
        <x:v>5113061.365211819</x:v>
      </x:c>
      <x:c r="Z130" t="n">
        <x:f>$I$59*(1+C130)^17</x:f>
        <x:v>5113061.365211818</x:v>
      </x:c>
      <x:c r="AA130" t="n">
        <x:f>ABS(Y130-Z130)</x:f>
        <x:v>9.313225746154785e-10</x:v>
      </x:c>
    </x:row>
    <x:row r="131">
      <x:c r="C131" s="105" t="n">
        <x:f>$C$112</x:f>
        <x:v>0.125</x:v>
      </x:c>
      <x:c r="D131" s="31" t="n">
        <x:f>F$108</x:f>
        <x:v>0.5</x:v>
      </x:c>
      <x:c r="E131" s="105" t="n">
        <x:f>((($I$59*(1+$C131)^17-Z$57)/($D131*(1+'Audit &amp; Checks'!$D$19)*(1-Z$13-Z$14))/$I$6)^(1/17))-1</x:f>
        <x:v>0.14426869442500312</x:v>
      </x:c>
      <x:c r="F131" s="107" t="n">
        <x:f>($I$6*(1+$E131)^1*(1-J$13-J$14)*J$53*(1+'Audit &amp; Checks'!$D$19)+J$57)*(J$61-J$67)*(1-J$71)*J$78</x:f>
        <x:v>419488.39860603376</x:v>
      </x:c>
      <x:c r="G131" s="107" t="n">
        <x:f>($I$6*(1+$E131)^2*(1-K$13-K$14)*K$53*(1+'Audit &amp; Checks'!$D$19)+K$57)*(K$61-K$67)*(1-K$71)*K$78</x:f>
        <x:v>422977.87010637944</x:v>
      </x:c>
      <x:c r="H131" s="107" t="n">
        <x:f>($I$6*(1+$E131)^3*(1-L$13-L$14)*$D131*(1+'Audit &amp; Checks'!$D$19)+L$57)*(L$61-L$67)*(1-L$71)*L$78</x:f>
        <x:v>436042.4528012463</x:v>
      </x:c>
      <x:c r="I131" s="107" t="n">
        <x:f>($I$6*(1+$E131)^4*(1-M$13-M$14)*$D131*(1+'Audit &amp; Checks'!$D$19)+M$57)*(M$61-M$67)*(1-M$71)*M$78</x:f>
        <x:v>492457.903906004</x:v>
      </x:c>
      <x:c r="J131" s="107" t="n">
        <x:f>($I$6*(1+$E131)^5*(1-N$13-N$14)*$D131*(1+'Audit &amp; Checks'!$D$19)+N$57)*(N$61-N$67)*(1-N$71)*N$78</x:f>
        <x:v>575357.3662111687</x:v>
      </x:c>
      <x:c r="K131" s="107" t="n">
        <x:f>($I$6*(1+$E131)^6*(1-O$13-O$14)*$D131*(1+'Audit &amp; Checks'!$D$19)+O$57)*(O$61-O$67)*(1-O$71)*O$78</x:f>
        <x:v>656627.0122759542</x:v>
      </x:c>
      <x:c r="L131" s="107" t="n">
        <x:f>($I$6*(1+$E131)^7*(1-P$13-P$14)*$D131*(1+'Audit &amp; Checks'!$D$19)+P$57)*(P$61-P$67)*(1-P$71)*P$78</x:f>
        <x:v>749621.3240748884</x:v>
      </x:c>
      <x:c r="M131" s="107" t="n">
        <x:f>($I$6*(1+$E131)^8*(1-Q$13-Q$14)*$D131*(1+'Audit &amp; Checks'!$D$19)+Q$57)*(Q$61-Q$67)*(1-Q$71)*Q$78</x:f>
        <x:v>856031.803826006</x:v>
      </x:c>
      <x:c r="N131" s="107" t="n">
        <x:f>($I$6*(1+$E131)^9*(1-R$13-R$14)*$D131*(1+'Audit &amp; Checks'!$D$19)+R$57)*(R$61-R$67)*(1-R$71)*R$78</x:f>
        <x:v>977793.984563956</x:v>
      </x:c>
      <x:c r="O131" s="107" t="n">
        <x:f>($I$6*(1+$E131)^10*(1-S$13-S$14)*$D131*(1+'Audit &amp; Checks'!$D$19)+S$57)*(S$61-S$67)*(1-S$71)*S$78</x:f>
        <x:v>1117122.6361473117</x:v>
      </x:c>
      <x:c r="P131" s="107" t="n">
        <x:f>($I$6*(1+$E131)^11*(1-T$13-T$14)*$D131*(1+'Audit &amp; Checks'!$D$19)+T$57)*(T$61-T$67)*(1-T$71)*T$78</x:f>
        <x:v>1276552.0503905937</x:v>
      </x:c>
      <x:c r="Q131" s="107" t="n">
        <x:f>($I$6*(1+$E131)^12*(1-U$13-U$14)*$D131*(1+'Audit &amp; Checks'!$D$19)+U$57)*(U$61-U$67)*(1-U$71)*U$78</x:f>
        <x:v>1458982.1380796973</x:v>
      </x:c>
      <x:c r="R131" s="107" t="n">
        <x:f>($I$6*(1+$E131)^13*(1-V$13-V$14)*$D131*(1+'Audit &amp; Checks'!$D$19)+V$57)*(V$61-V$67)*(1-V$71)*V$78</x:f>
        <x:v>1667731.1763435462</x:v>
      </x:c>
      <x:c r="S131" s="107" t="n">
        <x:f>($I$6*(1+$E131)^14*(1-W$13-W$14)*$D131*(1+'Audit &amp; Checks'!$D$19)+W$57)*(W$61-W$67)*(1-W$71)*W$78</x:f>
        <x:v>1906596.1658201963</x:v>
      </x:c>
      <x:c r="T131" s="107" t="n">
        <x:f>($I$6*(1+$E131)^15*(1-X$13-X$14)*$D131*(1+'Audit &amp; Checks'!$D$19)+X$57)*(X$61-X$67)*(1-X$71)*X$78</x:f>
        <x:v>2179921.895472484</x:v>
      </x:c>
      <x:c r="U131" s="107" t="n">
        <x:f>($I$6*(1+$E131)^16*(1-Y$13-Y$14)*$D131*(1+'Audit &amp; Checks'!$D$19)+Y$57)*(Y$61-Y$67)*(1-Y$71)*Y$78</x:f>
        <x:v>2492679.9712944697</x:v>
      </x:c>
      <x:c r="V131" s="107" t="n">
        <x:f>($I$6*(1+$E131)^17*(1-Z$13-Z$14)*$D131*(1+'Audit &amp; Checks'!$D$19)+Z$57)*(Z$61-Z$67)*(1-Z$71)*Z$78</x:f>
        <x:v>3563199.0579827097</x:v>
      </x:c>
      <x:c r="W131" s="107" t="n">
        <x:f>IF('Audit &amp; Checks'!$D$10=1,V131*(1+$D$83)/($D$81-$D$83),0)</x:f>
        <x:v>48697053.792430356</x:v>
      </x:c>
      <x:c r="X131" s="142" t="n">
        <x:f>(NPV($D$81,$G$79:$I$79,F131:V131)+W131/(1+$D$81)^'Audit &amp; Checks'!$D$7)*'Audit &amp; Checks'!$D$9</x:f>
        <x:v>14257680.180008104</x:v>
      </x:c>
      <x:c r="Y131" t="n">
        <x:f>IF((Z$61-Z$67)*(1-Z$71)*Z$78&lt;&gt;0,V131/((Z$61-Z$67)*(1-Z$71)*Z$78),0)</x:f>
        <x:v>7492008.111822349</x:v>
      </x:c>
      <x:c r="Z131" t="n">
        <x:f>$I$59*(1+C131)^17</x:f>
        <x:v>7492008.111822348</x:v>
      </x:c>
      <x:c r="AA131" t="n">
        <x:f>ABS(Y131-Z131)</x:f>
        <x:v>9.313225746154785e-10</x:v>
      </x:c>
    </x:row>
    <x:row r="132">
      <x:c r="C132" s="105" t="n">
        <x:f>$C$113</x:f>
        <x:v>0.15</x:v>
      </x:c>
      <x:c r="D132" s="31" t="n">
        <x:f>F$108</x:f>
        <x:v>0.5</x:v>
      </x:c>
      <x:c r="E132" s="105" t="n">
        <x:f>((($I$59*(1+$C132)^17-Z$57)/($D132*(1+'Audit &amp; Checks'!$D$19)*(1-Z$13-Z$14))/$I$6)^(1/17))-1</x:f>
        <x:v>0.16978779210655937</x:v>
      </x:c>
      <x:c r="F132" s="107" t="n">
        <x:f>($I$6*(1+$E132)^1*(1-J$13-J$14)*J$53*(1+'Audit &amp; Checks'!$D$19)+J$57)*(J$61-J$67)*(1-J$71)*J$78</x:f>
        <x:v>428547.499200094</x:v>
      </x:c>
      <x:c r="G132" s="107" t="n">
        <x:f>($I$6*(1+$E132)^2*(1-K$13-K$14)*K$53*(1+'Audit &amp; Checks'!$D$19)+K$57)*(K$61-K$67)*(1-K$71)*K$78</x:f>
        <x:v>441474.2001740497</x:v>
      </x:c>
      <x:c r="H132" s="107" t="n">
        <x:f>($I$6*(1+$E132)^3*(1-L$13-L$14)*$D132*(1+'Audit &amp; Checks'!$D$19)+L$57)*(L$61-L$67)*(1-L$71)*L$78</x:f>
        <x:v>465019.5753396924</x:v>
      </x:c>
      <x:c r="I132" s="107" t="n">
        <x:f>($I$6*(1+$E132)^4*(1-M$13-M$14)*$D132*(1+'Audit &amp; Checks'!$D$19)+M$57)*(M$61-M$67)*(1-M$71)*M$78</x:f>
        <x:v>536769.8459408686</x:v>
      </x:c>
      <x:c r="J132" s="107" t="n">
        <x:f>($I$6*(1+$E132)^5*(1-N$13-N$14)*$D132*(1+'Audit &amp; Checks'!$D$19)+N$57)*(N$61-N$67)*(1-N$71)*N$78</x:f>
        <x:v>641037.3391613723</x:v>
      </x:c>
      <x:c r="K132" s="107" t="n">
        <x:f>($I$6*(1+$E132)^6*(1-O$13-O$14)*$D132*(1+'Audit &amp; Checks'!$D$19)+O$57)*(O$61-O$67)*(1-O$71)*O$78</x:f>
        <x:v>747834.09720803</x:v>
      </x:c>
      <x:c r="L132" s="107" t="n">
        <x:f>($I$6*(1+$E132)^7*(1-P$13-P$14)*$D132*(1+'Audit &amp; Checks'!$D$19)+P$57)*(P$61-P$67)*(1-P$71)*P$78</x:f>
        <x:v>872763.6410075678</x:v>
      </x:c>
      <x:c r="M132" s="107" t="n">
        <x:f>($I$6*(1+$E132)^8*(1-Q$13-Q$14)*$D132*(1+'Audit &amp; Checks'!$D$19)+Q$57)*(Q$61-Q$67)*(1-Q$71)*Q$78</x:f>
        <x:v>1018904.6962177092</x:v>
      </x:c>
      <x:c r="N132" s="107" t="n">
        <x:f>($I$6*(1+$E132)^9*(1-R$13-R$14)*$D132*(1+'Audit &amp; Checks'!$D$19)+R$57)*(R$61-R$67)*(1-R$71)*R$78</x:f>
        <x:v>1189858.7185281029</x:v>
      </x:c>
      <x:c r="O132" s="107" t="n">
        <x:f>($I$6*(1+$E132)^10*(1-S$13-S$14)*$D132*(1+'Audit &amp; Checks'!$D$19)+S$57)*(S$61-S$67)*(1-S$71)*S$78</x:f>
        <x:v>1389838.6468383141</x:v>
      </x:c>
      <x:c r="P132" s="107" t="n">
        <x:f>($I$6*(1+$E132)^11*(1-T$13-T$14)*$D132*(1+'Audit &amp; Checks'!$D$19)+T$57)*(T$61-T$67)*(1-T$71)*T$78</x:f>
        <x:v>1623772.725641944</x:v>
      </x:c>
      <x:c r="Q132" s="107" t="n">
        <x:f>($I$6*(1+$E132)^12*(1-U$13-U$14)*$D132*(1+'Audit &amp; Checks'!$D$19)+U$57)*(U$61-U$67)*(1-U$71)*U$78</x:f>
        <x:v>1897425.9551841237</x:v>
      </x:c>
      <x:c r="R132" s="107" t="n">
        <x:f>($I$6*(1+$E132)^13*(1-V$13-V$14)*$D132*(1+'Audit &amp; Checks'!$D$19)+V$57)*(V$61-V$67)*(1-V$71)*V$78</x:f>
        <x:v>2217542.1623731004</x:v>
      </x:c>
      <x:c r="S132" s="107" t="n">
        <x:f>($I$6*(1+$E132)^14*(1-W$13-W$14)*$D132*(1+'Audit &amp; Checks'!$D$19)+W$57)*(W$61-W$67)*(1-W$71)*W$78</x:f>
        <x:v>2592010.1935982187</x:v>
      </x:c>
      <x:c r="T132" s="107" t="n">
        <x:f>($I$6*(1+$E132)^15*(1-X$13-X$14)*$D132*(1+'Audit &amp; Checks'!$D$19)+X$57)*(X$61-X$67)*(1-X$71)*X$78</x:f>
        <x:v>3030058.3250595406</x:v>
      </x:c>
      <x:c r="U132" s="107" t="n">
        <x:f>($I$6*(1+$E132)^16*(1-Y$13-Y$14)*$D132*(1+'Audit &amp; Checks'!$D$19)+Y$57)*(Y$61-Y$67)*(1-Y$71)*Y$78</x:f>
        <x:v>3542481.681598083</x:v>
      </x:c>
      <x:c r="V132" s="107" t="n">
        <x:f>($I$6*(1+$E132)^17*(1-Z$13-Z$14)*$D132*(1+'Audit &amp; Checks'!$D$19)+Z$57)*(Z$61-Z$67)*(1-Z$71)*Z$78</x:f>
        <x:v>5177385.3355839215</x:v>
      </x:c>
      <x:c r="W132" s="107" t="n">
        <x:f>IF('Audit &amp; Checks'!$D$10=1,V132*(1+$D$83)/($D$81-$D$83),0)</x:f>
        <x:v>70757599.58631358</x:v>
      </x:c>
      <x:c r="X132" s="142" t="n">
        <x:f>(NPV($D$81,$G$79:$I$79,F132:V132)+W132/(1+$D$81)^'Audit &amp; Checks'!$D$7)*'Audit &amp; Checks'!$D$9</x:f>
        <x:v>19229805.144779168</x:v>
      </x:c>
      <x:c r="Y132" t="n">
        <x:f>IF((Z$61-Z$67)*(1-Z$71)*Z$78&lt;&gt;0,V132/((Z$61-Z$67)*(1-Z$71)*Z$78),0)</x:f>
        <x:v>10886007.854465771</x:v>
      </x:c>
      <x:c r="Z132" t="n">
        <x:f>$I$59*(1+C132)^17</x:f>
        <x:v>10886007.854465762</x:v>
      </x:c>
      <x:c r="AA132" t="n">
        <x:f>ABS(Y132-Z132)</x:f>
        <x:v>9.313225746154785e-9</x:v>
      </x:c>
    </x:row>
    <x:row r="133">
      <x:c r="C133" s="105" t="n">
        <x:f>$C$109</x:f>
        <x:v>0.05</x:v>
      </x:c>
      <x:c r="D133" s="31" t="n">
        <x:f>G$108</x:f>
        <x:v>0.55</x:v>
      </x:c>
      <x:c r="E133" s="105" t="n">
        <x:f>((($I$59*(1+$C133)^17-Z$57)/($D133*(1+'Audit &amp; Checks'!$D$19)*(1-Z$13-Z$14))/$I$6)^(1/17))-1</x:f>
        <x:v>0.0614195392286061</x:v>
      </x:c>
      <x:c r="F133" s="107" t="n">
        <x:f>($I$6*(1+$E133)^1*(1-J$13-J$14)*J$53*(1+'Audit &amp; Checks'!$D$19)+J$57)*(J$61-J$67)*(1-J$71)*J$78</x:f>
        <x:v>390077.52991377946</x:v>
      </x:c>
      <x:c r="G133" s="107" t="n">
        <x:f>($I$6*(1+$E133)^2*(1-K$13-K$14)*K$53*(1+'Audit &amp; Checks'!$D$19)+K$57)*(K$61-K$67)*(1-K$71)*K$78</x:f>
        <x:v>365740.65335985157</x:v>
      </x:c>
      <x:c r="H133" s="107" t="n">
        <x:f>($I$6*(1+$E133)^3*(1-L$13-L$14)*$D133*(1+'Audit &amp; Checks'!$D$19)+L$57)*(L$61-L$67)*(1-L$71)*L$78</x:f>
        <x:v>384343.1877356595</x:v>
      </x:c>
      <x:c r="I133" s="107" t="n">
        <x:f>($I$6*(1+$E133)^4*(1-M$13-M$14)*$D133*(1+'Audit &amp; Checks'!$D$19)+M$57)*(M$61-M$67)*(1-M$71)*M$78</x:f>
        <x:v>403283.6306064333</x:v>
      </x:c>
      <x:c r="J133" s="107" t="n">
        <x:f>($I$6*(1+$E133)^5*(1-N$13-N$14)*$D133*(1+'Audit &amp; Checks'!$D$19)+N$57)*(N$61-N$67)*(1-N$71)*N$78</x:f>
        <x:v>437579.73753137095</x:v>
      </x:c>
      <x:c r="K133" s="107" t="n">
        <x:f>($I$6*(1+$E133)^6*(1-O$13-O$14)*$D133*(1+'Audit &amp; Checks'!$D$19)+O$57)*(O$61-O$67)*(1-O$71)*O$78</x:f>
        <x:v>463716.4412264339</x:v>
      </x:c>
      <x:c r="L133" s="107" t="n">
        <x:f>($I$6*(1+$E133)^7*(1-P$13-P$14)*$D133*(1+'Audit &amp; Checks'!$D$19)+P$57)*(P$61-P$67)*(1-P$71)*P$78</x:f>
        <x:v>491458.44921940216</x:v>
      </x:c>
      <x:c r="M133" s="107" t="n">
        <x:f>($I$6*(1+$E133)^8*(1-Q$13-Q$14)*$D133*(1+'Audit &amp; Checks'!$D$19)+Q$57)*(Q$61-Q$67)*(1-Q$71)*Q$78</x:f>
        <x:v>520904.358560575</x:v>
      </x:c>
      <x:c r="N133" s="107" t="n">
        <x:f>($I$6*(1+$E133)^9*(1-R$13-R$14)*$D133*(1+'Audit &amp; Checks'!$D$19)+R$57)*(R$61-R$67)*(1-R$71)*R$78</x:f>
        <x:v>552158.8220856496</x:v>
      </x:c>
      <x:c r="O133" s="107" t="n">
        <x:f>($I$6*(1+$E133)^10*(1-S$13-S$14)*$D133*(1+'Audit &amp; Checks'!$D$19)+S$57)*(S$61-S$67)*(1-S$71)*S$78</x:f>
        <x:v>585332.9203592717</x:v>
      </x:c>
      <x:c r="P133" s="107" t="n">
        <x:f>($I$6*(1+$E133)^11*(1-T$13-T$14)*$D133*(1+'Audit &amp; Checks'!$D$19)+T$57)*(T$61-T$67)*(1-T$71)*T$78</x:f>
        <x:v>620544.5564631843</x:v>
      </x:c>
      <x:c r="Q133" s="107" t="n">
        <x:f>($I$6*(1+$E133)^12*(1-U$13-U$14)*$D133*(1+'Audit &amp; Checks'!$D$19)+U$57)*(U$61-U$67)*(1-U$71)*U$78</x:f>
        <x:v>657918.8750320848</x:v>
      </x:c>
      <x:c r="R133" s="107" t="n">
        <x:f>($I$6*(1+$E133)^13*(1-V$13-V$14)*$D133*(1+'Audit &amp; Checks'!$D$19)+V$57)*(V$61-V$67)*(1-V$71)*V$78</x:f>
        <x:v>697588.7070264696</x:v>
      </x:c>
      <x:c r="S133" s="107" t="n">
        <x:f>($I$6*(1+$E133)^14*(1-W$13-W$14)*$D133*(1+'Audit &amp; Checks'!$D$19)+W$57)*(W$61-W$67)*(1-W$71)*W$78</x:f>
        <x:v>739695.0418232265</x:v>
      </x:c>
      <x:c r="T133" s="107" t="n">
        <x:f>($I$6*(1+$E133)^15*(1-X$13-X$14)*$D133*(1+'Audit &amp; Checks'!$D$19)+X$57)*(X$61-X$67)*(1-X$71)*X$78</x:f>
        <x:v>784387.528301805</x:v>
      </x:c>
      <x:c r="U133" s="107" t="n">
        <x:f>($I$6*(1+$E133)^16*(1-Y$13-Y$14)*$D133*(1+'Audit &amp; Checks'!$D$19)+Y$57)*(Y$61-Y$67)*(1-Y$71)*Y$78</x:f>
        <x:v>831825.0067068792</x:v>
      </x:c>
      <x:c r="V133" s="107" t="n">
        <x:f>($I$6*(1+$E133)^17*(1-Z$13-Z$14)*$D133*(1+'Audit &amp; Checks'!$D$19)+Z$57)*(Z$61-Z$67)*(1-Z$71)*Z$78</x:f>
        <x:v>1102720.0914721992</x:v>
      </x:c>
      <x:c r="W133" s="107" t="n">
        <x:f>IF('Audit &amp; Checks'!$D$10=1,V133*(1+$D$83)/($D$81-$D$83),0)</x:f>
        <x:v>15070507.916786717</x:v>
      </x:c>
      <x:c r="X133" s="142" t="n">
        <x:f>(NPV($D$81,$G$79:$I$79,F133:V133)+W133/(1+$D$81)^'Audit &amp; Checks'!$D$7)*'Audit &amp; Checks'!$D$9</x:f>
        <x:v>6301800.197010418</x:v>
      </x:c>
      <x:c r="Y133" t="n">
        <x:f>IF((Z$61-Z$67)*(1-Z$71)*Z$78&lt;&gt;0,V133/((Z$61-Z$67)*(1-Z$71)*Z$78),0)</x:f>
        <x:v>2318587.240269552</x:v>
      </x:c>
      <x:c r="Z133" t="n">
        <x:f>$I$59*(1+C133)^17</x:f>
        <x:v>2318587.2402695525</x:v>
      </x:c>
      <x:c r="AA133" t="n">
        <x:f>ABS(Y133-Z133)</x:f>
        <x:v>4.656612873077393e-10</x:v>
      </x:c>
    </x:row>
    <x:row r="134">
      <x:c r="C134" s="105" t="n">
        <x:f>$C$110</x:f>
        <x:v>0.075</x:v>
      </x:c>
      <x:c r="D134" s="31" t="n">
        <x:f>G$108</x:f>
        <x:v>0.55</x:v>
      </x:c>
      <x:c r="E134" s="105" t="n">
        <x:f>((($I$59*(1+$C134)^17-Z$57)/($D134*(1+'Audit &amp; Checks'!$D$19)*(1-Z$13-Z$14))/$I$6)^(1/17))-1</x:f>
        <x:v>0.08698232172625597</x:v>
      </x:c>
      <x:c r="F134" s="107" t="n">
        <x:f>($I$6*(1+$E134)^1*(1-J$13-J$14)*J$53*(1+'Audit &amp; Checks'!$D$19)+J$57)*(J$61-J$67)*(1-J$71)*J$78</x:f>
        <x:v>399152.1383109902</x:v>
      </x:c>
      <x:c r="G134" s="107" t="n">
        <x:f>($I$6*(1+$E134)^2*(1-K$13-K$14)*K$53*(1+'Audit &amp; Checks'!$D$19)+K$57)*(K$61-K$67)*(1-K$71)*K$78</x:f>
        <x:v>382942.2968006747</x:v>
      </x:c>
      <x:c r="H134" s="107" t="n">
        <x:f>($I$6*(1+$E134)^3*(1-L$13-L$14)*$D134*(1+'Audit &amp; Checks'!$D$19)+L$57)*(L$61-L$67)*(1-L$71)*L$78</x:f>
        <x:v>411864.9836718817</x:v>
      </x:c>
      <x:c r="I134" s="107" t="n">
        <x:f>($I$6*(1+$E134)^4*(1-M$13-M$14)*$D134*(1+'Audit &amp; Checks'!$D$19)+M$57)*(M$61-M$67)*(1-M$71)*M$78</x:f>
        <x:v>442357.7895944945</x:v>
      </x:c>
      <x:c r="J134" s="107" t="n">
        <x:f>($I$6*(1+$E134)^5*(1-N$13-N$14)*$D134*(1+'Audit &amp; Checks'!$D$19)+N$57)*(N$61-N$67)*(1-N$71)*N$78</x:f>
        <x:v>491351.22498589504</x:v>
      </x:c>
      <x:c r="K134" s="107" t="n">
        <x:f>($I$6*(1+$E134)^6*(1-O$13-O$14)*$D134*(1+'Audit &amp; Checks'!$D$19)+O$57)*(O$61-O$67)*(1-O$71)*O$78</x:f>
        <x:v>533043.1809291944</x:v>
      </x:c>
      <x:c r="L134" s="107" t="n">
        <x:f>($I$6*(1+$E134)^7*(1-P$13-P$14)*$D134*(1+'Audit &amp; Checks'!$D$19)+P$57)*(P$61-P$67)*(1-P$71)*P$78</x:f>
        <x:v>578361.5999977508</x:v>
      </x:c>
      <x:c r="M134" s="107" t="n">
        <x:f>($I$6*(1+$E134)^8*(1-Q$13-Q$14)*$D134*(1+'Audit &amp; Checks'!$D$19)+Q$57)*(Q$61-Q$67)*(1-Q$71)*Q$78</x:f>
        <x:v>627621.9203738536</x:v>
      </x:c>
      <x:c r="N134" s="107" t="n">
        <x:f>($I$6*(1+$E134)^9*(1-R$13-R$14)*$D134*(1+'Audit &amp; Checks'!$D$19)+R$57)*(R$61-R$67)*(1-R$71)*R$78</x:f>
        <x:v>681167.0177852492</x:v>
      </x:c>
      <x:c r="O134" s="107" t="n">
        <x:f>($I$6*(1+$E134)^10*(1-S$13-S$14)*$D134*(1+'Audit &amp; Checks'!$D$19)+S$57)*(S$61-S$67)*(1-S$71)*S$78</x:f>
        <x:v>739369.5920865464</x:v>
      </x:c>
      <x:c r="P134" s="107" t="n">
        <x:f>($I$6*(1+$E134)^11*(1-T$13-T$14)*$D134*(1+'Audit &amp; Checks'!$D$19)+T$57)*(T$61-T$67)*(1-T$71)*T$78</x:f>
        <x:v>802634.7614310154</x:v>
      </x:c>
      <x:c r="Q134" s="107" t="n">
        <x:f>($I$6*(1+$E134)^12*(1-U$13-U$14)*$D134*(1+'Audit &amp; Checks'!$D$19)+U$57)*(U$61-U$67)*(1-U$71)*U$78</x:f>
        <x:v>871402.8820894711</x:v>
      </x:c>
      <x:c r="R134" s="107" t="n">
        <x:f>($I$6*(1+$E134)^13*(1-V$13-V$14)*$D134*(1+'Audit &amp; Checks'!$D$19)+V$57)*(V$61-V$67)*(1-V$71)*V$78</x:f>
        <x:v>946152.6135435501</x:v>
      </x:c>
      <x:c r="S134" s="107" t="n">
        <x:f>($I$6*(1+$E134)^14*(1-W$13-W$14)*$D134*(1+'Audit &amp; Checks'!$D$19)+W$57)*(W$61-W$67)*(1-W$71)*W$78</x:f>
        <x:v>1027404.2501879197</x:v>
      </x:c>
      <x:c r="T134" s="107" t="n">
        <x:f>($I$6*(1+$E134)^15*(1-X$13-X$14)*$D134*(1+'Audit &amp; Checks'!$D$19)+X$57)*(X$61-X$67)*(1-X$71)*X$78</x:f>
        <x:v>1115723.3428316747</x:v>
      </x:c>
      <x:c r="U134" s="107" t="n">
        <x:f>($I$6*(1+$E134)^16*(1-Y$13-Y$14)*$D134*(1+'Audit &amp; Checks'!$D$19)+Y$57)*(Y$61-Y$67)*(1-Y$71)*Y$78</x:f>
        <x:v>1211724.6352063392</x:v>
      </x:c>
      <x:c r="V134" s="107" t="n">
        <x:f>($I$6*(1+$E134)^17*(1-Z$13-Z$14)*$D134*(1+'Audit &amp; Checks'!$D$19)+Z$57)*(Z$61-Z$67)*(1-Z$71)*Z$78</x:f>
        <x:v>1645095.4286005916</x:v>
      </x:c>
      <x:c r="W134" s="107" t="n">
        <x:f>IF('Audit &amp; Checks'!$D$10=1,V134*(1+$D$83)/($D$81-$D$83),0)</x:f>
        <x:v>22482970.857541412</x:v>
      </x:c>
      <x:c r="X134" s="142" t="n">
        <x:f>(NPV($D$81,$G$79:$I$79,F134:V134)+W134/(1+$D$81)^'Audit &amp; Checks'!$D$7)*'Audit &amp; Checks'!$D$9</x:f>
        <x:v>8193596.199000249</x:v>
      </x:c>
      <x:c r="Y134" t="n">
        <x:f>IF((Z$61-Z$67)*(1-Z$71)*Z$78&lt;&gt;0,V134/((Z$61-Z$67)*(1-Z$71)*Z$78),0)</x:f>
        <x:v>3458989.5470996452</x:v>
      </x:c>
      <x:c r="Z134" t="n">
        <x:f>$I$59*(1+C134)^17</x:f>
        <x:v>3458989.5470996513</x:v>
      </x:c>
      <x:c r="AA134" t="n">
        <x:f>ABS(Y134-Z134)</x:f>
        <x:v>6.05359673500061e-9</x:v>
      </x:c>
    </x:row>
    <x:row r="135">
      <x:c r="C135" s="105" t="n">
        <x:f>$C$111</x:f>
        <x:v>0.1</x:v>
      </x:c>
      <x:c r="D135" s="31" t="n">
        <x:f>G$108</x:f>
        <x:v>0.55</x:v>
      </x:c>
      <x:c r="E135" s="105" t="n">
        <x:f>((($I$59*(1+$C135)^17-Z$57)/($D135*(1+'Audit &amp; Checks'!$D$19)*(1-Z$13-Z$14))/$I$6)^(1/17))-1</x:f>
        <x:v>0.11245605949294535</x:v>
      </x:c>
      <x:c r="F135" s="107" t="n">
        <x:f>($I$6*(1+$E135)^1*(1-J$13-J$14)*J$53*(1+'Audit &amp; Checks'!$D$19)+J$57)*(J$61-J$67)*(1-J$71)*J$78</x:f>
        <x:v>408195.1364535906</x:v>
      </x:c>
      <x:c r="G135" s="107" t="n">
        <x:f>($I$6*(1+$E135)^2*(1-K$13-K$14)*K$53*(1+'Audit &amp; Checks'!$D$19)+K$57)*(K$61-K$67)*(1-K$71)*K$78</x:f>
        <x:v>400491.2319770651</x:v>
      </x:c>
      <x:c r="H135" s="107" t="n">
        <x:f>($I$6*(1+$E135)^3*(1-L$13-L$14)*$D135*(1+'Audit &amp; Checks'!$D$19)+L$57)*(L$61-L$67)*(1-L$71)*L$78</x:f>
        <x:v>440609.3541900672</x:v>
      </x:c>
      <x:c r="I135" s="107" t="n">
        <x:f>($I$6*(1+$E135)^4*(1-M$13-M$14)*$D135*(1+'Audit &amp; Checks'!$D$19)+M$57)*(M$61-M$67)*(1-M$71)*M$78</x:f>
        <x:v>484136.95873210323</x:v>
      </x:c>
      <x:c r="J135" s="107" t="n">
        <x:f>($I$6*(1+$E135)^5*(1-N$13-N$14)*$D135*(1+'Audit &amp; Checks'!$D$19)+N$57)*(N$61-N$67)*(1-N$71)*N$78</x:f>
        <x:v>550210.5479590165</x:v>
      </x:c>
      <x:c r="K135" s="107" t="n">
        <x:f>($I$6*(1+$E135)^6*(1-O$13-O$14)*$D135*(1+'Audit &amp; Checks'!$D$19)+O$57)*(O$61-O$67)*(1-O$71)*O$78</x:f>
        <x:v>610731.5431932345</x:v>
      </x:c>
      <x:c r="L135" s="107" t="n">
        <x:f>($I$6*(1+$E135)^7*(1-P$13-P$14)*$D135*(1+'Audit &amp; Checks'!$D$19)+P$57)*(P$61-P$67)*(1-P$71)*P$78</x:f>
        <x:v>678058.4910680843</x:v>
      </x:c>
      <x:c r="M135" s="107" t="n">
        <x:f>($I$6*(1+$E135)^8*(1-Q$13-Q$14)*$D135*(1+'Audit &amp; Checks'!$D$19)+Q$57)*(Q$61-Q$67)*(1-Q$71)*Q$78</x:f>
        <x:v>752956.7621986262</x:v>
      </x:c>
      <x:c r="N135" s="107" t="n">
        <x:f>($I$6*(1+$E135)^9*(1-R$13-R$14)*$D135*(1+'Audit &amp; Checks'!$D$19)+R$57)*(R$61-R$67)*(1-R$71)*R$78</x:f>
        <x:v>836277.7977633432</x:v>
      </x:c>
      <x:c r="O135" s="107" t="n">
        <x:f>($I$6*(1+$E135)^10*(1-S$13-S$14)*$D135*(1+'Audit &amp; Checks'!$D$19)+S$57)*(S$61-S$67)*(1-S$71)*S$78</x:f>
        <x:v>928968.7886605399</x:v>
      </x:c>
      <x:c r="P135" s="107" t="n">
        <x:f>($I$6*(1+$E135)^11*(1-T$13-T$14)*$D135*(1+'Audit &amp; Checks'!$D$19)+T$57)*(T$61-T$67)*(1-T$71)*T$78</x:f>
        <x:v>1032083.4431445318</x:v>
      </x:c>
      <x:c r="Q135" s="107" t="n">
        <x:f>($I$6*(1+$E135)^12*(1-U$13-U$14)*$D135*(1+'Audit &amp; Checks'!$D$19)+U$57)*(U$61-U$67)*(1-U$71)*U$78</x:f>
        <x:v>1146793.9653477704</x:v>
      </x:c>
      <x:c r="R135" s="107" t="n">
        <x:f>($I$6*(1+$E135)^13*(1-V$13-V$14)*$D135*(1+'Audit &amp; Checks'!$D$19)+V$57)*(V$61-V$67)*(1-V$71)*V$78</x:f>
        <x:v>1274404.3808603627</x:v>
      </x:c>
      <x:c r="S135" s="107" t="n">
        <x:f>($I$6*(1+$E135)^14*(1-W$13-W$14)*$D135*(1+'Audit &amp; Checks'!$D$19)+W$57)*(W$61-W$67)*(1-W$71)*W$78</x:f>
        <x:v>1416365.3608517586</x:v>
      </x:c>
      <x:c r="T135" s="107" t="n">
        <x:f>($I$6*(1+$E135)^15*(1-X$13-X$14)*$D135*(1+'Audit &amp; Checks'!$D$19)+X$57)*(X$61-X$67)*(1-X$71)*X$78</x:f>
        <x:v>1574290.713254744</x:v>
      </x:c>
      <x:c r="U135" s="107" t="n">
        <x:f>($I$6*(1+$E135)^16*(1-Y$13-Y$14)*$D135*(1+'Audit &amp; Checks'!$D$19)+Y$57)*(Y$61-Y$67)*(1-Y$71)*Y$78</x:f>
        <x:v>1749975.7284830036</x:v>
      </x:c>
      <x:c r="V135" s="107" t="n">
        <x:f>($I$6*(1+$E135)^17*(1-Z$13-Z$14)*$D135*(1+'Audit &amp; Checks'!$D$19)+Z$57)*(Z$61-Z$67)*(1-Z$71)*Z$78</x:f>
        <x:v>2431771.9852947397</x:v>
      </x:c>
      <x:c r="W135" s="107" t="n">
        <x:f>IF('Audit &amp; Checks'!$D$10=1,V135*(1+$D$83)/($D$81-$D$83),0)</x:f>
        <x:v>33234217.132361434</x:v>
      </x:c>
      <x:c r="X135" s="142" t="n">
        <x:f>(NPV($D$81,$G$79:$I$79,F135:V135)+W135/(1+$D$81)^'Audit &amp; Checks'!$D$7)*'Audit &amp; Checks'!$D$9</x:f>
        <x:v>10813581.446859736</x:v>
      </x:c>
      <x:c r="Y135" t="n">
        <x:f>IF((Z$61-Z$67)*(1-Z$71)*Z$78&lt;&gt;0,V135/((Z$61-Z$67)*(1-Z$71)*Z$78),0)</x:f>
        <x:v>5113061.365211816</x:v>
      </x:c>
      <x:c r="Z135" t="n">
        <x:f>$I$59*(1+C135)^17</x:f>
        <x:v>5113061.365211818</x:v>
      </x:c>
      <x:c r="AA135" t="n">
        <x:f>ABS(Y135-Z135)</x:f>
        <x:v>2.7939677238464355e-9</x:v>
      </x:c>
    </x:row>
    <x:row r="136">
      <x:c r="C136" s="105" t="n">
        <x:f>$C$112</x:f>
        <x:v>0.125</x:v>
      </x:c>
      <x:c r="D136" s="31" t="n">
        <x:f>G$108</x:f>
        <x:v>0.55</x:v>
      </x:c>
      <x:c r="E136" s="105" t="n">
        <x:f>((($I$59*(1+$C136)^17-Z$57)/($D136*(1+'Audit &amp; Checks'!$D$19)*(1-Z$13-Z$14))/$I$6)^(1/17))-1</x:f>
        <x:v>0.13787132366855537</x:v>
      </x:c>
      <x:c r="F136" s="107" t="n">
        <x:f>($I$6*(1+$E136)^1*(1-J$13-J$14)*J$53*(1+'Audit &amp; Checks'!$D$19)+J$57)*(J$61-J$67)*(1-J$71)*J$78</x:f>
        <x:v>417217.3768817021</x:v>
      </x:c>
      <x:c r="G136" s="107" t="n">
        <x:f>($I$6*(1+$E136)^2*(1-K$13-K$14)*K$53*(1+'Audit &amp; Checks'!$D$19)+K$57)*(K$61-K$67)*(1-K$71)*K$78</x:f>
        <x:v>418404.98695854354</x:v>
      </x:c>
      <x:c r="H136" s="107" t="n">
        <x:f>($I$6*(1+$E136)^3*(1-L$13-L$14)*$D136*(1+'Audit &amp; Checks'!$D$19)+L$57)*(L$61-L$67)*(1-L$71)*L$78</x:f>
        <x:v>470630.10948586324</x:v>
      </x:c>
      <x:c r="I136" s="107" t="n">
        <x:f>($I$6*(1+$E136)^4*(1-M$13-M$14)*$D136*(1+'Audit &amp; Checks'!$D$19)+M$57)*(M$61-M$67)*(1-M$71)*M$78</x:f>
        <x:v>528780.7028352771</x:v>
      </x:c>
      <x:c r="J136" s="107" t="n">
        <x:f>($I$6*(1+$E136)^5*(1-N$13-N$14)*$D136*(1+'Audit &amp; Checks'!$D$19)+N$57)*(N$61-N$67)*(1-N$71)*N$78</x:f>
        <x:v>614560.3358560452</x:v>
      </x:c>
      <x:c r="K136" s="107" t="n">
        <x:f>($I$6*(1+$E136)^6*(1-O$13-O$14)*$D136*(1+'Audit &amp; Checks'!$D$19)+O$57)*(O$61-O$67)*(1-O$71)*O$78</x:f>
        <x:v>697631.1712472014</x:v>
      </x:c>
      <x:c r="L136" s="107" t="n">
        <x:f>($I$6*(1+$E136)^7*(1-P$13-P$14)*$D136*(1+'Audit &amp; Checks'!$D$19)+P$57)*(P$61-P$67)*(1-P$71)*P$78</x:f>
        <x:v>792155.0926719889</x:v>
      </x:c>
      <x:c r="M136" s="107" t="n">
        <x:f>($I$6*(1+$E136)^8*(1-Q$13-Q$14)*$D136*(1+'Audit &amp; Checks'!$D$19)+Q$57)*(Q$61-Q$67)*(1-Q$71)*Q$78</x:f>
        <x:v>899711.152261954</x:v>
      </x:c>
      <x:c r="N136" s="107" t="n">
        <x:f>($I$6*(1+$E136)^9*(1-R$13-R$14)*$D136*(1+'Audit &amp; Checks'!$D$19)+R$57)*(R$61-R$67)*(1-R$71)*R$78</x:f>
        <x:v>1022096.1081561623</x:v>
      </x:c>
      <x:c r="O136" s="107" t="n">
        <x:f>($I$6*(1+$E136)^10*(1-S$13-S$14)*$D136*(1+'Audit &amp; Checks'!$D$19)+S$57)*(S$61-S$67)*(1-S$71)*S$78</x:f>
        <x:v>1161354.4399166221</x:v>
      </x:c>
      <x:c r="P136" s="107" t="n">
        <x:f>($I$6*(1+$E136)^11*(1-T$13-T$14)*$D136*(1+'Audit &amp; Checks'!$D$19)+T$57)*(T$61-T$67)*(1-T$71)*T$78</x:f>
        <x:v>1319812.502208772</x:v>
      </x:c>
      <x:c r="Q136" s="107" t="n">
        <x:f>($I$6*(1+$E136)^12*(1-U$13-U$14)*$D136*(1+'Audit &amp; Checks'!$D$19)+U$57)*(U$61-U$67)*(1-U$71)*U$78</x:f>
        <x:v>1500117.3872950948</x:v>
      </x:c>
      <x:c r="R136" s="107" t="n">
        <x:f>($I$6*(1+$E136)^13*(1-V$13-V$14)*$D136*(1+'Audit &amp; Checks'!$D$19)+V$57)*(V$61-V$67)*(1-V$71)*V$78</x:f>
        <x:v>1705281.1455521756</x:v>
      </x:c>
      <x:c r="S136" s="107" t="n">
        <x:f>($I$6*(1+$E136)^14*(1-W$13-W$14)*$D136*(1+'Audit &amp; Checks'!$D$19)+W$57)*(W$61-W$67)*(1-W$71)*W$78</x:f>
        <x:v>1938731.1027289752</x:v>
      </x:c>
      <x:c r="T136" s="107" t="n">
        <x:f>($I$6*(1+$E136)^15*(1-X$13-X$14)*$D136*(1+'Audit &amp; Checks'!$D$19)+X$57)*(X$61-X$67)*(1-X$71)*X$78</x:f>
        <x:v>2204367.1145121083</x:v>
      </x:c>
      <x:c r="U136" s="107" t="n">
        <x:f>($I$6*(1+$E136)^16*(1-Y$13-Y$14)*$D136*(1+'Audit &amp; Checks'!$D$19)+Y$57)*(Y$61-Y$67)*(1-Y$71)*Y$78</x:f>
        <x:v>2506626.714853818</x:v>
      </x:c>
      <x:c r="V136" s="107" t="n">
        <x:f>($I$6*(1+$E136)^17*(1-Z$13-Z$14)*$D136*(1+'Audit &amp; Checks'!$D$19)+Z$57)*(Z$61-Z$67)*(1-Z$71)*Z$78</x:f>
        <x:v>3563199.0579827093</x:v>
      </x:c>
      <x:c r="W136" s="107" t="n">
        <x:f>IF('Audit &amp; Checks'!$D$10=1,V136*(1+$D$83)/($D$81-$D$83),0)</x:f>
        <x:v>48697053.79243035</x:v>
      </x:c>
      <x:c r="X136" s="142" t="n">
        <x:f>(NPV($D$81,$G$79:$I$79,F136:V136)+W136/(1+$D$81)^'Audit &amp; Checks'!$D$7)*'Audit &amp; Checks'!$D$9</x:f>
        <x:v>14439147.93736187</x:v>
      </x:c>
      <x:c r="Y136" t="n">
        <x:f>IF((Z$61-Z$67)*(1-Z$71)*Z$78&lt;&gt;0,V136/((Z$61-Z$67)*(1-Z$71)*Z$78),0)</x:f>
        <x:v>7492008.111822348</x:v>
      </x:c>
      <x:c r="Z136" t="n">
        <x:f>$I$59*(1+C136)^17</x:f>
        <x:v>7492008.111822348</x:v>
      </x:c>
      <x:c r="AA136" t="n">
        <x:f>ABS(Y136-Z136)</x:f>
        <x:v>0</x:v>
      </x:c>
    </x:row>
    <x:row r="137">
      <x:c r="C137" s="105" t="n">
        <x:f>$C$113</x:f>
        <x:v>0.15</x:v>
      </x:c>
      <x:c r="D137" s="31" t="n">
        <x:f>G$108</x:f>
        <x:v>0.55</x:v>
      </x:c>
      <x:c r="E137" s="105" t="n">
        <x:f>((($I$59*(1+$C137)^17-Z$57)/($D137*(1+'Audit &amp; Checks'!$D$19)*(1-Z$13-Z$14))/$I$6)^(1/17))-1</x:f>
        <x:v>0.16324774932733033</x:v>
      </x:c>
      <x:c r="F137" s="107" t="n">
        <x:f>($I$6*(1+$E137)^1*(1-J$13-J$14)*J$53*(1+'Audit &amp; Checks'!$D$19)+J$57)*(J$61-J$67)*(1-J$71)*J$78</x:f>
        <x:v>426225.8299088904</x:v>
      </x:c>
      <x:c r="G137" s="107" t="n">
        <x:f>($I$6*(1+$E137)^2*(1-K$13-K$14)*K$53*(1+'Audit &amp; Checks'!$D$19)+K$57)*(K$61-K$67)*(1-K$71)*K$78</x:f>
        <x:v>436695.0768166598</x:v>
      </x:c>
      <x:c r="H137" s="107" t="n">
        <x:f>($I$6*(1+$E137)^3*(1-L$13-L$14)*$D137*(1+'Audit &amp; Checks'!$D$19)+L$57)*(L$61-L$67)*(1-L$71)*L$78</x:f>
        <x:v>501973.3107186852</x:v>
      </x:c>
      <x:c r="I137" s="107" t="n">
        <x:f>($I$6*(1+$E137)^4*(1-M$13-M$14)*$D137*(1+'Audit &amp; Checks'!$D$19)+M$57)*(M$61-M$67)*(1-M$71)*M$78</x:f>
        <x:v>576442.895059348</x:v>
      </x:c>
      <x:c r="J137" s="107" t="n">
        <x:f>($I$6*(1+$E137)^5*(1-N$13-N$14)*$D137*(1+'Audit &amp; Checks'!$D$19)+N$57)*(N$61-N$67)*(1-N$71)*N$78</x:f>
        <x:v>684811.1450752013</x:v>
      </x:c>
      <x:c r="K137" s="107" t="n">
        <x:f>($I$6*(1+$E137)^6*(1-O$13-O$14)*$D137*(1+'Audit &amp; Checks'!$D$19)+O$57)*(O$61-O$67)*(1-O$71)*O$78</x:f>
        <x:v>794640.1823869186</x:v>
      </x:c>
      <x:c r="L137" s="107" t="n">
        <x:f>($I$6*(1+$E137)^7*(1-P$13-P$14)*$D137*(1+'Audit &amp; Checks'!$D$19)+P$57)*(P$61-P$67)*(1-P$71)*P$78</x:f>
        <x:v>922398.5628505616</x:v>
      </x:c>
      <x:c r="M137" s="107" t="n">
        <x:f>($I$6*(1+$E137)^8*(1-Q$13-Q$14)*$D137*(1+'Audit &amp; Checks'!$D$19)+Q$57)*(Q$61-Q$67)*(1-Q$71)*Q$78</x:f>
        <x:v>1071013.2113825986</x:v>
      </x:c>
      <x:c r="N137" s="107" t="n">
        <x:f>($I$6*(1+$E137)^9*(1-R$13-R$14)*$D137*(1+'Audit &amp; Checks'!$D$19)+R$57)*(R$61-R$67)*(1-R$71)*R$78</x:f>
        <x:v>1243888.8668045634</x:v>
      </x:c>
      <x:c r="O137" s="107" t="n">
        <x:f>($I$6*(1+$E137)^10*(1-S$13-S$14)*$D137*(1+'Audit &amp; Checks'!$D$19)+S$57)*(S$61-S$67)*(1-S$71)*S$78</x:f>
        <x:v>1444986.0838876509</x:v>
      </x:c>
      <x:c r="P137" s="107" t="n">
        <x:f>($I$6*(1+$E137)^11*(1-T$13-T$14)*$D137*(1+'Audit &amp; Checks'!$D$19)+T$57)*(T$61-T$67)*(1-T$71)*T$78</x:f>
        <x:v>1678911.9690555418</x:v>
      </x:c>
      <x:c r="Q137" s="107" t="n">
        <x:f>($I$6*(1+$E137)^12*(1-U$13-U$14)*$D137*(1+'Audit &amp; Checks'!$D$19)+U$57)*(U$61-U$67)*(1-U$71)*U$78</x:f>
        <x:v>1951025.7284864944</x:v>
      </x:c>
      <x:c r="R137" s="107" t="n">
        <x:f>($I$6*(1+$E137)^13*(1-V$13-V$14)*$D137*(1+'Audit &amp; Checks'!$D$19)+V$57)*(V$61-V$67)*(1-V$71)*V$78</x:f>
        <x:v>2267561.4467055495</x:v>
      </x:c>
      <x:c r="S137" s="107" t="n">
        <x:f>($I$6*(1+$E137)^14*(1-W$13-W$14)*$D137*(1+'Audit &amp; Checks'!$D$19)+W$57)*(W$61-W$67)*(1-W$71)*W$78</x:f>
        <x:v>2635770.908505574</x:v>
      </x:c>
      <x:c r="T137" s="107" t="n">
        <x:f>($I$6*(1+$E137)^15*(1-X$13-X$14)*$D137*(1+'Audit &amp; Checks'!$D$19)+X$57)*(X$61-X$67)*(1-X$71)*X$78</x:f>
        <x:v>3064089.73622548</x:v>
      </x:c>
      <x:c r="U137" s="107" t="n">
        <x:f>($I$6*(1+$E137)^16*(1-Y$13-Y$14)*$D137*(1+'Audit &amp; Checks'!$D$19)+Y$57)*(Y$61-Y$67)*(1-Y$71)*Y$78</x:f>
        <x:v>3562330.6485651825</x:v>
      </x:c>
      <x:c r="V137" s="107" t="n">
        <x:f>($I$6*(1+$E137)^17*(1-Z$13-Z$14)*$D137*(1+'Audit &amp; Checks'!$D$19)+Z$57)*(Z$61-Z$67)*(1-Z$71)*Z$78</x:f>
        <x:v>5177385.335583921</x:v>
      </x:c>
      <x:c r="W137" s="107" t="n">
        <x:f>IF('Audit &amp; Checks'!$D$10=1,V137*(1+$D$83)/($D$81-$D$83),0)</x:f>
        <x:v>70757599.58631356</x:v>
      </x:c>
      <x:c r="X137" s="142" t="n">
        <x:f>(NPV($D$81,$G$79:$I$79,F137:V137)+W137/(1+$D$81)^'Audit &amp; Checks'!$D$7)*'Audit &amp; Checks'!$D$9</x:f>
        <x:v>19446658.826802768</x:v>
      </x:c>
      <x:c r="Y137" t="n">
        <x:f>IF((Z$61-Z$67)*(1-Z$71)*Z$78&lt;&gt;0,V137/((Z$61-Z$67)*(1-Z$71)*Z$78),0)</x:f>
        <x:v>10886007.85446577</x:v>
      </x:c>
      <x:c r="Z137" t="n">
        <x:f>$I$59*(1+C137)^17</x:f>
        <x:v>10886007.854465762</x:v>
      </x:c>
      <x:c r="AA137" t="n">
        <x:f>ABS(Y137-Z137)</x:f>
        <x:v>7.450580596923828e-9</x:v>
      </x:c>
    </x:row>
    <x:row r="138">
      <x:c r="C138" s="105" t="n">
        <x:f>$C$109</x:f>
        <x:v>0.05</x:v>
      </x:c>
      <x:c r="D138" s="31" t="n">
        <x:f>H$108</x:f>
        <x:v>0.6</x:v>
      </x:c>
      <x:c r="E138" s="105" t="n">
        <x:f>((($I$59*(1+$C138)^17-Z$57)/($D138*(1+'Audit &amp; Checks'!$D$19)*(1-Z$13-Z$14))/$I$6)^(1/17))-1</x:f>
        <x:v>0.05600073770654901</x:v>
      </x:c>
      <x:c r="F138" s="107" t="n">
        <x:f>($I$6*(1+$E138)^1*(1-J$13-J$14)*J$53*(1+'Audit &amp; Checks'!$D$19)+J$57)*(J$61-J$67)*(1-J$71)*J$78</x:f>
        <x:v>388153.89340044616</x:v>
      </x:c>
      <x:c r="G138" s="107" t="n">
        <x:f>($I$6*(1+$E138)^2*(1-K$13-K$14)*K$53*(1+'Audit &amp; Checks'!$D$19)+K$57)*(K$61-K$67)*(1-K$71)*K$78</x:f>
        <x:v>362146.8309840355</x:v>
      </x:c>
      <x:c r="H138" s="107" t="n">
        <x:f>($I$6*(1+$E138)^3*(1-L$13-L$14)*$D138*(1+'Audit &amp; Checks'!$D$19)+L$57)*(L$61-L$67)*(1-L$71)*L$78</x:f>
        <x:v>411969.6417188146</x:v>
      </x:c>
      <x:c r="I138" s="107" t="n">
        <x:f>($I$6*(1+$E138)^4*(1-M$13-M$14)*$D138*(1+'Audit &amp; Checks'!$D$19)+M$57)*(M$61-M$67)*(1-M$71)*M$78</x:f>
        <x:v>430202.13547050266</x:v>
      </x:c>
      <x:c r="J138" s="107" t="n">
        <x:f>($I$6*(1+$E138)^5*(1-N$13-N$14)*$D138*(1+'Audit &amp; Checks'!$D$19)+N$57)*(N$61-N$67)*(1-N$71)*N$78</x:f>
        <x:v>464535.897645809</x:v>
      </x:c>
      <x:c r="K138" s="107" t="n">
        <x:f>($I$6*(1+$E138)^6*(1-O$13-O$14)*$D138*(1+'Audit &amp; Checks'!$D$19)+O$57)*(O$61-O$67)*(1-O$71)*O$78</x:f>
        <x:v>489876.228839152</x:v>
      </x:c>
      <x:c r="L138" s="107" t="n">
        <x:f>($I$6*(1+$E138)^7*(1-P$13-P$14)*$D138*(1+'Audit &amp; Checks'!$D$19)+P$57)*(P$61-P$67)*(1-P$71)*P$78</x:f>
        <x:v>516635.6372730508</x:v>
      </x:c>
      <x:c r="M138" s="107" t="n">
        <x:f>($I$6*(1+$E138)^8*(1-Q$13-Q$14)*$D138*(1+'Audit &amp; Checks'!$D$19)+Q$57)*(Q$61-Q$67)*(1-Q$71)*Q$78</x:f>
        <x:v>544893.5923198387</x:v>
      </x:c>
      <x:c r="N138" s="107" t="n">
        <x:f>($I$6*(1+$E138)^9*(1-R$13-R$14)*$D138*(1+'Audit &amp; Checks'!$D$19)+R$57)*(R$61-R$67)*(1-R$71)*R$78</x:f>
        <x:v>574734.0136953251</x:v>
      </x:c>
      <x:c r="O138" s="107" t="n">
        <x:f>($I$6*(1+$E138)^10*(1-S$13-S$14)*$D138*(1+'Audit &amp; Checks'!$D$19)+S$57)*(S$61-S$67)*(1-S$71)*S$78</x:f>
        <x:v>606245.5206813131</x:v>
      </x:c>
      <x:c r="P138" s="107" t="n">
        <x:f>($I$6*(1+$E138)^11*(1-T$13-T$14)*$D138*(1+'Audit &amp; Checks'!$D$19)+T$57)*(T$61-T$67)*(1-T$71)*T$78</x:f>
        <x:v>639521.6953047615</x:v>
      </x:c>
      <x:c r="Q138" s="107" t="n">
        <x:f>($I$6*(1+$E138)^12*(1-U$13-U$14)*$D138*(1+'Audit &amp; Checks'!$D$19)+U$57)*(U$61-U$67)*(1-U$71)*U$78</x:f>
        <x:v>674661.360255175</x:v>
      </x:c>
      <x:c r="R138" s="107" t="n">
        <x:f>($I$6*(1+$E138)^13*(1-V$13-V$14)*$D138*(1+'Audit &amp; Checks'!$D$19)+V$57)*(V$61-V$67)*(1-V$71)*V$78</x:f>
        <x:v>711768.8723655725</x:v>
      </x:c>
      <x:c r="S138" s="107" t="n">
        <x:f>($I$6*(1+$E138)^14*(1-W$13-W$14)*$D138*(1+'Audit &amp; Checks'!$D$19)+W$57)*(W$61-W$67)*(1-W$71)*W$78</x:f>
        <x:v>750954.4325286073</x:v>
      </x:c>
      <x:c r="T138" s="107" t="n">
        <x:f>($I$6*(1+$E138)^15*(1-X$13-X$14)*$D138*(1+'Audit &amp; Checks'!$D$19)+X$57)*(X$61-X$67)*(1-X$71)*X$78</x:f>
        <x:v>792334.412968216</x:v>
      </x:c>
      <x:c r="U138" s="107" t="n">
        <x:f>($I$6*(1+$E138)^16*(1-Y$13-Y$14)*$D138*(1+'Audit &amp; Checks'!$D$19)+Y$57)*(Y$61-Y$67)*(1-Y$71)*Y$78</x:f>
        <x:v>836031.7028387258</x:v>
      </x:c>
      <x:c r="V138" s="107" t="n">
        <x:f>($I$6*(1+$E138)^17*(1-Z$13-Z$14)*$D138*(1+'Audit &amp; Checks'!$D$19)+Z$57)*(Z$61-Z$67)*(1-Z$71)*Z$78</x:f>
        <x:v>1102720.091472201</x:v>
      </x:c>
      <x:c r="W138" s="107" t="n">
        <x:f>IF('Audit &amp; Checks'!$D$10=1,V138*(1+$D$83)/($D$81-$D$83),0)</x:f>
        <x:v>15070507.916786743</x:v>
      </x:c>
      <x:c r="X138" s="142" t="n">
        <x:f>(NPV($D$81,$G$79:$I$79,F138:V138)+W138/(1+$D$81)^'Audit &amp; Checks'!$D$7)*'Audit &amp; Checks'!$D$9</x:f>
        <x:v>6405375.063753245</x:v>
      </x:c>
      <x:c r="Y138" t="n">
        <x:f>IF((Z$61-Z$67)*(1-Z$71)*Z$78&lt;&gt;0,V138/((Z$61-Z$67)*(1-Z$71)*Z$78),0)</x:f>
        <x:v>2318587.240269556</x:v>
      </x:c>
      <x:c r="Z138" t="n">
        <x:f>$I$59*(1+C138)^17</x:f>
        <x:v>2318587.2402695525</x:v>
      </x:c>
      <x:c r="AA138" t="n">
        <x:f>ABS(Y138-Z138)</x:f>
        <x:v>3.725290298461914e-9</x:v>
      </x:c>
    </x:row>
    <x:row r="139">
      <x:c r="C139" s="105" t="n">
        <x:f>$C$110</x:f>
        <x:v>0.075</x:v>
      </x:c>
      <x:c r="D139" s="31" t="n">
        <x:f>H$108</x:f>
        <x:v>0.6</x:v>
      </x:c>
      <x:c r="E139" s="105" t="n">
        <x:f>((($I$59*(1+$C139)^17-Z$57)/($D139*(1+'Audit &amp; Checks'!$D$19)*(1-Z$13-Z$14))/$I$6)^(1/17))-1</x:f>
        <x:v>0.08143301606367115</x:v>
      </x:c>
      <x:c r="F139" s="107" t="n">
        <x:f>($I$6*(1+$E139)^1*(1-J$13-J$14)*J$53*(1+'Audit &amp; Checks'!$D$19)+J$57)*(J$61-J$67)*(1-J$71)*J$78</x:f>
        <x:v>397182.17374359566</x:v>
      </x:c>
      <x:c r="G139" s="107" t="n">
        <x:f>($I$6*(1+$E139)^2*(1-K$13-K$14)*K$53*(1+'Audit &amp; Checks'!$D$19)+K$57)*(K$61-K$67)*(1-K$71)*K$78</x:f>
        <x:v>379173.28572206706</x:v>
      </x:c>
      <x:c r="H139" s="107" t="n">
        <x:f>($I$6*(1+$E139)^3*(1-L$13-L$14)*$D139*(1+'Audit &amp; Checks'!$D$19)+L$57)*(L$61-L$67)*(1-L$71)*L$78</x:f>
        <x:v>441535.92691017344</x:v>
      </x:c>
      <x:c r="I139" s="107" t="n">
        <x:f>($I$6*(1+$E139)^4*(1-M$13-M$14)*$D139*(1+'Audit &amp; Checks'!$D$19)+M$57)*(M$61-M$67)*(1-M$71)*M$78</x:f>
        <x:v>471964.66291642445</x:v>
      </x:c>
      <x:c r="J139" s="107" t="n">
        <x:f>($I$6*(1+$E139)^5*(1-N$13-N$14)*$D139*(1+'Audit &amp; Checks'!$D$19)+N$57)*(N$61-N$67)*(1-N$71)*N$78</x:f>
        <x:v>521713.5511609073</x:v>
      </x:c>
      <x:c r="K139" s="107" t="n">
        <x:f>($I$6*(1+$E139)^6*(1-O$13-O$14)*$D139*(1+'Audit &amp; Checks'!$D$19)+O$57)*(O$61-O$67)*(1-O$71)*O$78</x:f>
        <x:v>563218.1358986876</x:v>
      </x:c>
      <x:c r="L139" s="107" t="n">
        <x:f>($I$6*(1+$E139)^7*(1-P$13-P$14)*$D139*(1+'Audit &amp; Checks'!$D$19)+P$57)*(P$61-P$67)*(1-P$71)*P$78</x:f>
        <x:v>608102.5641521359</x:v>
      </x:c>
      <x:c r="M139" s="107" t="n">
        <x:f>($I$6*(1+$E139)^8*(1-Q$13-Q$14)*$D139*(1+'Audit &amp; Checks'!$D$19)+Q$57)*(Q$61-Q$67)*(1-Q$71)*Q$78</x:f>
        <x:v>656642.0667725556</x:v>
      </x:c>
      <x:c r="N139" s="107" t="n">
        <x:f>($I$6*(1+$E139)^9*(1-R$13-R$14)*$D139*(1+'Audit &amp; Checks'!$D$19)+R$57)*(R$61-R$67)*(1-R$71)*R$78</x:f>
        <x:v>709134.2874895867</x:v>
      </x:c>
      <x:c r="O139" s="107" t="n">
        <x:f>($I$6*(1+$E139)^10*(1-S$13-S$14)*$D139*(1+'Audit &amp; Checks'!$D$19)+S$57)*(S$61-S$67)*(1-S$71)*S$78</x:f>
        <x:v>765901.1080594856</x:v>
      </x:c>
      <x:c r="P139" s="107" t="n">
        <x:f>($I$6*(1+$E139)^11*(1-T$13-T$14)*$D139*(1+'Audit &amp; Checks'!$D$19)+T$57)*(T$61-T$67)*(1-T$71)*T$78</x:f>
        <x:v>827290.6220407366</x:v>
      </x:c>
      <x:c r="Q139" s="107" t="n">
        <x:f>($I$6*(1+$E139)^12*(1-U$13-U$14)*$D139*(1+'Audit &amp; Checks'!$D$19)+U$57)*(U$61-U$67)*(1-U$71)*U$78</x:f>
        <x:v>893679.2693001637</x:v>
      </x:c>
      <x:c r="R139" s="107" t="n">
        <x:f>($I$6*(1+$E139)^13*(1-V$13-V$14)*$D139*(1+'Audit &amp; Checks'!$D$19)+V$57)*(V$61-V$67)*(1-V$71)*V$78</x:f>
        <x:v>965474.1443383134</x:v>
      </x:c>
      <x:c r="S139" s="107" t="n">
        <x:f>($I$6*(1+$E139)^14*(1-W$13-W$14)*$D139*(1+'Audit &amp; Checks'!$D$19)+W$57)*(W$61-W$67)*(1-W$71)*W$78</x:f>
        <x:v>1043115.4925887338</x:v>
      </x:c>
      <x:c r="T139" s="107" t="n">
        <x:f>($I$6*(1+$E139)^15*(1-X$13-X$14)*$D139*(1+'Audit &amp; Checks'!$D$19)+X$57)*(X$61-X$67)*(1-X$71)*X$78</x:f>
        <x:v>1127079.4099984355</x:v>
      </x:c>
      <x:c r="U139" s="107" t="n">
        <x:f>($I$6*(1+$E139)^16*(1-Y$13-Y$14)*$D139*(1+'Audit &amp; Checks'!$D$19)+Y$57)*(Y$61-Y$67)*(1-Y$71)*Y$78</x:f>
        <x:v>1217880.7624433308</x:v>
      </x:c>
      <x:c r="V139" s="107" t="n">
        <x:f>($I$6*(1+$E139)^17*(1-Z$13-Z$14)*$D139*(1+'Audit &amp; Checks'!$D$19)+Z$57)*(Z$61-Z$67)*(1-Z$71)*Z$78</x:f>
        <x:v>1645095.4286005918</x:v>
      </x:c>
      <x:c r="W139" s="107" t="n">
        <x:f>IF('Audit &amp; Checks'!$D$10=1,V139*(1+$D$83)/($D$81-$D$83),0)</x:f>
        <x:v>22482970.857541416</x:v>
      </x:c>
      <x:c r="X139" s="142" t="n">
        <x:f>(NPV($D$81,$G$79:$I$79,F139:V139)+W139/(1+$D$81)^'Audit &amp; Checks'!$D$7)*'Audit &amp; Checks'!$D$9</x:f>
        <x:v>8316650.09200093</x:v>
      </x:c>
      <x:c r="Y139" t="n">
        <x:f>IF((Z$61-Z$67)*(1-Z$71)*Z$78&lt;&gt;0,V139/((Z$61-Z$67)*(1-Z$71)*Z$78),0)</x:f>
        <x:v>3458989.5470996457</x:v>
      </x:c>
      <x:c r="Z139" t="n">
        <x:f>$I$59*(1+C139)^17</x:f>
        <x:v>3458989.5470996513</x:v>
      </x:c>
      <x:c r="AA139" t="n">
        <x:f>ABS(Y139-Z139)</x:f>
        <x:v>5.587935447692871e-9</x:v>
      </x:c>
    </x:row>
    <x:row r="140">
      <x:c r="C140" s="105" t="n">
        <x:f>$C$111</x:f>
        <x:v>0.1</x:v>
      </x:c>
      <x:c r="D140" s="31" t="n">
        <x:f>H$108</x:f>
        <x:v>0.6</x:v>
      </x:c>
      <x:c r="E140" s="105" t="n">
        <x:f>((($I$59*(1+$C140)^17-Z$57)/($D140*(1+'Audit &amp; Checks'!$D$19)*(1-Z$13-Z$14))/$I$6)^(1/17))-1</x:f>
        <x:v>0.10677670428455799</x:v>
      </x:c>
      <x:c r="F140" s="107" t="n">
        <x:f>($I$6*(1+$E140)^1*(1-J$13-J$14)*J$53*(1+'Audit &amp; Checks'!$D$19)+J$57)*(J$61-J$67)*(1-J$71)*J$78</x:f>
        <x:v>406179.00521007227</x:v>
      </x:c>
      <x:c r="G140" s="107" t="n">
        <x:f>($I$6*(1+$E140)^2*(1-K$13-K$14)*K$53*(1+'Audit &amp; Checks'!$D$19)+K$57)*(K$61-K$67)*(1-K$71)*K$78</x:f>
        <x:v>396543.49523195333</x:v>
      </x:c>
      <x:c r="H140" s="107" t="n">
        <x:f>($I$6*(1+$E140)^3*(1-L$13-L$14)*$D140*(1+'Audit &amp; Checks'!$D$19)+L$57)*(L$61-L$67)*(1-L$71)*L$78</x:f>
        <x:v>472415.60708643054</x:v>
      </x:c>
      <x:c r="I140" s="107" t="n">
        <x:f>($I$6*(1+$E140)^4*(1-M$13-M$14)*$D140*(1+'Audit &amp; Checks'!$D$19)+M$57)*(M$61-M$67)*(1-M$71)*M$78</x:f>
        <x:v>516618.3098013214</x:v>
      </x:c>
      <x:c r="J140" s="107" t="n">
        <x:f>($I$6*(1+$E140)^5*(1-N$13-N$14)*$D140*(1+'Audit &amp; Checks'!$D$19)+N$57)*(N$61-N$67)*(1-N$71)*N$78</x:f>
        <x:v>584301.3301941104</x:v>
      </x:c>
      <x:c r="K140" s="107" t="n">
        <x:f>($I$6*(1+$E140)^6*(1-O$13-O$14)*$D140*(1+'Audit &amp; Checks'!$D$19)+O$57)*(O$61-O$67)*(1-O$71)*O$78</x:f>
        <x:v>645405.9420641907</x:v>
      </x:c>
      <x:c r="L140" s="107" t="n">
        <x:f>($I$6*(1+$E140)^7*(1-P$13-P$14)*$D140*(1+'Audit &amp; Checks'!$D$19)+P$57)*(P$61-P$67)*(1-P$71)*P$78</x:f>
        <x:v>713035.1030063452</x:v>
      </x:c>
      <x:c r="M140" s="107" t="n">
        <x:f>($I$6*(1+$E140)^8*(1-Q$13-Q$14)*$D140*(1+'Audit &amp; Checks'!$D$19)+Q$57)*(Q$61-Q$67)*(1-Q$71)*Q$78</x:f>
        <x:v>787885.4828674329</x:v>
      </x:c>
      <x:c r="N140" s="107" t="n">
        <x:f>($I$6*(1+$E140)^9*(1-R$13-R$14)*$D140*(1+'Audit &amp; Checks'!$D$19)+R$57)*(R$61-R$67)*(1-R$71)*R$78</x:f>
        <x:v>870728.1396045348</x:v>
      </x:c>
      <x:c r="O140" s="107" t="n">
        <x:f>($I$6*(1+$E140)^10*(1-S$13-S$14)*$D140*(1+'Audit &amp; Checks'!$D$19)+S$57)*(S$61-S$67)*(1-S$71)*S$78</x:f>
        <x:v>962416.4622022012</x:v>
      </x:c>
      <x:c r="P140" s="107" t="n">
        <x:f>($I$6*(1+$E140)^11*(1-T$13-T$14)*$D140*(1+'Audit &amp; Checks'!$D$19)+T$57)*(T$61-T$67)*(1-T$71)*T$78</x:f>
        <x:v>1063894.9617082262</x:v>
      </x:c>
      <x:c r="Q140" s="107" t="n">
        <x:f>($I$6*(1+$E140)^12*(1-U$13-U$14)*$D140*(1+'Audit &amp; Checks'!$D$19)+U$57)*(U$61-U$67)*(1-U$71)*U$78</x:f>
        <x:v>1176209.0009472463</x:v>
      </x:c>
      <x:c r="R140" s="107" t="n">
        <x:f>($I$6*(1+$E140)^13*(1-V$13-V$14)*$D140*(1+'Audit &amp; Checks'!$D$19)+V$57)*(V$61-V$67)*(1-V$71)*V$78</x:f>
        <x:v>1300515.563141096</x:v>
      </x:c>
      <x:c r="S140" s="107" t="n">
        <x:f>($I$6*(1+$E140)^14*(1-W$13-W$14)*$D140*(1+'Audit &amp; Checks'!$D$19)+W$57)*(W$61-W$67)*(1-W$71)*W$78</x:f>
        <x:v>1438095.1703669475</x:v>
      </x:c>
      <x:c r="T140" s="107" t="n">
        <x:f>($I$6*(1+$E140)^15*(1-X$13-X$14)*$D140*(1+'Audit &amp; Checks'!$D$19)+X$57)*(X$61-X$67)*(1-X$71)*X$78</x:f>
        <x:v>1590365.07462914</x:v>
      </x:c>
      <x:c r="U140" s="107" t="n">
        <x:f>($I$6*(1+$E140)^16*(1-Y$13-Y$14)*$D140*(1+'Audit &amp; Checks'!$D$19)+Y$57)*(Y$61-Y$67)*(1-Y$71)*Y$78</x:f>
        <x:v>1758893.857430175</x:v>
      </x:c>
      <x:c r="V140" s="107" t="n">
        <x:f>($I$6*(1+$E140)^17*(1-Z$13-Z$14)*$D140*(1+'Audit &amp; Checks'!$D$19)+Z$57)*(Z$61-Z$67)*(1-Z$71)*Z$78</x:f>
        <x:v>2431771.9852947397</x:v>
      </x:c>
      <x:c r="W140" s="107" t="n">
        <x:f>IF('Audit &amp; Checks'!$D$10=1,V140*(1+$D$83)/($D$81-$D$83),0)</x:f>
        <x:v>33234217.132361434</x:v>
      </x:c>
      <x:c r="X140" s="142" t="n">
        <x:f>(NPV($D$81,$G$79:$I$79,F140:V140)+W140/(1+$D$81)^'Audit &amp; Checks'!$D$7)*'Audit &amp; Checks'!$D$9</x:f>
        <x:v>10959945.76963902</x:v>
      </x:c>
      <x:c r="Y140" t="n">
        <x:f>IF((Z$61-Z$67)*(1-Z$71)*Z$78&lt;&gt;0,V140/((Z$61-Z$67)*(1-Z$71)*Z$78),0)</x:f>
        <x:v>5113061.365211816</x:v>
      </x:c>
      <x:c r="Z140" t="n">
        <x:f>$I$59*(1+C140)^17</x:f>
        <x:v>5113061.365211818</x:v>
      </x:c>
      <x:c r="AA140" t="n">
        <x:f>ABS(Y140-Z140)</x:f>
        <x:v>2.7939677238464355e-9</x:v>
      </x:c>
    </x:row>
    <x:row r="141">
      <x:c r="C141" s="105" t="n">
        <x:f>$C$112</x:f>
        <x:v>0.125</x:v>
      </x:c>
      <x:c r="D141" s="31" t="n">
        <x:f>H$108</x:f>
        <x:v>0.6</x:v>
      </x:c>
      <x:c r="E141" s="105" t="n">
        <x:f>((($I$59*(1+$C141)^17-Z$57)/($D141*(1+'Audit &amp; Checks'!$D$19)*(1-Z$13-Z$14))/$I$6)^(1/17))-1</x:f>
        <x:v>0.13206221743608348</x:v>
      </x:c>
      <x:c r="F141" s="107" t="n">
        <x:f>($I$6*(1+$E141)^1*(1-J$13-J$14)*J$53*(1+'Audit &amp; Checks'!$D$19)+J$57)*(J$61-J$67)*(1-J$71)*J$78</x:f>
        <x:v>415155.1849351748</x:v>
      </x:c>
      <x:c r="G141" s="107" t="n">
        <x:f>($I$6*(1+$E141)^2*(1-K$13-K$14)*K$53*(1+'Audit &amp; Checks'!$D$19)+K$57)*(K$61-K$67)*(1-K$71)*K$78</x:f>
        <x:v>414274.80907005316</x:v>
      </x:c>
      <x:c r="H141" s="107" t="n">
        <x:f>($I$6*(1+$E141)^3*(1-L$13-L$14)*$D141*(1+'Audit &amp; Checks'!$D$19)+L$57)*(L$61-L$67)*(1-L$71)*L$78</x:f>
        <x:v>504666.4897974422</x:v>
      </x:c>
      <x:c r="I141" s="107" t="n">
        <x:f>($I$6*(1+$E141)^4*(1-M$13-M$14)*$D141*(1+'Audit &amp; Checks'!$D$19)+M$57)*(M$61-M$67)*(1-M$71)*M$78</x:f>
        <x:v>564333.6192713776</x:v>
      </x:c>
      <x:c r="J141" s="107" t="n">
        <x:f>($I$6*(1+$E141)^5*(1-N$13-N$14)*$D141*(1+'Audit &amp; Checks'!$D$19)+N$57)*(N$61-N$67)*(1-N$71)*N$78</x:f>
        <x:v>652727.3687941798</x:v>
      </x:c>
      <x:c r="K141" s="107" t="n">
        <x:f>($I$6*(1+$E141)^6*(1-O$13-O$14)*$D141*(1+'Audit &amp; Checks'!$D$19)+O$57)*(O$61-O$67)*(1-O$71)*O$78</x:f>
        <x:v>737338.4989905404</x:v>
      </x:c>
      <x:c r="L141" s="107" t="n">
        <x:f>($I$6*(1+$E141)^7*(1-P$13-P$14)*$D141*(1+'Audit &amp; Checks'!$D$19)+P$57)*(P$61-P$67)*(1-P$71)*P$78</x:f>
        <x:v>833123.5626604061</x:v>
      </x:c>
      <x:c r="M141" s="107" t="n">
        <x:f>($I$6*(1+$E141)^8*(1-Q$13-Q$14)*$D141*(1+'Audit &amp; Checks'!$D$19)+Q$57)*(Q$61-Q$67)*(1-Q$71)*Q$78</x:f>
        <x:v>941558.2142357705</x:v>
      </x:c>
      <x:c r="N141" s="107" t="n">
        <x:f>($I$6*(1+$E141)^9*(1-R$13-R$14)*$D141*(1+'Audit &amp; Checks'!$D$19)+R$57)*(R$61-R$67)*(1-R$71)*R$78</x:f>
        <x:v>1064312.9863450862</x:v>
      </x:c>
      <x:c r="O141" s="107" t="n">
        <x:f>($I$6*(1+$E141)^10*(1-S$13-S$14)*$D141*(1+'Audit &amp; Checks'!$D$19)+S$57)*(S$61-S$67)*(1-S$71)*S$78</x:f>
        <x:v>1203279.0258600197</x:v>
      </x:c>
      <x:c r="P141" s="107" t="n">
        <x:f>($I$6*(1+$E141)^11*(1-T$13-T$14)*$D141*(1+'Audit &amp; Checks'!$D$19)+T$57)*(T$61-T$67)*(1-T$71)*T$78</x:f>
        <x:v>1360597.2287016055</x:v>
      </x:c>
      <x:c r="Q141" s="107" t="n">
        <x:f>($I$6*(1+$E141)^12*(1-U$13-U$14)*$D141*(1+'Audit &amp; Checks'!$D$19)+U$57)*(U$61-U$67)*(1-U$71)*U$78</x:f>
        <x:v>1538691.2222535107</x:v>
      </x:c>
      <x:c r="R141" s="107" t="n">
        <x:f>($I$6*(1+$E141)^13*(1-V$13-V$14)*$D141*(1+'Audit &amp; Checks'!$D$19)+V$57)*(V$61-V$67)*(1-V$71)*V$78</x:f>
        <x:v>1740304.7035059286</x:v>
      </x:c>
      <x:c r="S141" s="107" t="n">
        <x:f>($I$6*(1+$E141)^14*(1-W$13-W$14)*$D141*(1+'Audit &amp; Checks'!$D$19)+W$57)*(W$61-W$67)*(1-W$71)*W$78</x:f>
        <x:v>1968543.708157548</x:v>
      </x:c>
      <x:c r="T141" s="107" t="n">
        <x:f>($I$6*(1+$E141)^15*(1-X$13-X$14)*$D141*(1+'Audit &amp; Checks'!$D$19)+X$57)*(X$61-X$67)*(1-X$71)*X$78</x:f>
        <x:v>2226924.4618688654</x:v>
      </x:c>
      <x:c r="U141" s="107" t="n">
        <x:f>($I$6*(1+$E141)^16*(1-Y$13-Y$14)*$D141*(1+'Audit &amp; Checks'!$D$19)+Y$57)*(Y$61-Y$67)*(1-Y$71)*Y$78</x:f>
        <x:v>2519427.5508581055</x:v>
      </x:c>
      <x:c r="V141" s="107" t="n">
        <x:f>($I$6*(1+$E141)^17*(1-Z$13-Z$14)*$D141*(1+'Audit &amp; Checks'!$D$19)+Z$57)*(Z$61-Z$67)*(1-Z$71)*Z$78</x:f>
        <x:v>3563199.0579827107</x:v>
      </x:c>
      <x:c r="W141" s="107" t="n">
        <x:f>IF('Audit &amp; Checks'!$D$10=1,V141*(1+$D$83)/($D$81-$D$83),0)</x:f>
        <x:v>48697053.79243036</x:v>
      </x:c>
      <x:c r="X141" s="142" t="n">
        <x:f>(NPV($D$81,$G$79:$I$79,F141:V141)+W141/(1+$D$81)^'Audit &amp; Checks'!$D$7)*'Audit &amp; Checks'!$D$9</x:f>
        <x:v>14613484.242106106</x:v>
      </x:c>
      <x:c r="Y141" t="n">
        <x:f>IF((Z$61-Z$67)*(1-Z$71)*Z$78&lt;&gt;0,V141/((Z$61-Z$67)*(1-Z$71)*Z$78),0)</x:f>
        <x:v>7492008.111822351</x:v>
      </x:c>
      <x:c r="Z141" t="n">
        <x:f>$I$59*(1+C141)^17</x:f>
        <x:v>7492008.111822348</x:v>
      </x:c>
      <x:c r="AA141" t="n">
        <x:f>ABS(Y141-Z141)</x:f>
        <x:v>2.7939677238464355e-9</x:v>
      </x:c>
    </x:row>
    <x:row r="142">
      <x:c r="C142" s="105" t="n">
        <x:f>$C$113</x:f>
        <x:v>0.15</x:v>
      </x:c>
      <x:c r="D142" s="31" t="n">
        <x:f>H$108</x:f>
        <x:v>0.6</x:v>
      </x:c>
      <x:c r="E142" s="105" t="n">
        <x:f>((($I$59*(1+$C142)^17-Z$57)/($D142*(1+'Audit &amp; Checks'!$D$19)*(1-Z$13-Z$14))/$I$6)^(1/17))-1</x:f>
        <x:v>0.1573090903507246</x:v>
      </x:c>
      <x:c r="F142" s="107" t="n">
        <x:f>($I$6*(1+$E142)^1*(1-J$13-J$14)*J$53*(1+'Audit &amp; Checks'!$D$19)+J$57)*(J$61-J$67)*(1-J$71)*J$78</x:f>
        <x:v>424117.64764734544</x:v>
      </x:c>
      <x:c r="G142" s="107" t="n">
        <x:f>($I$6*(1+$E142)^2*(1-K$13-K$14)*K$53*(1+'Audit &amp; Checks'!$D$19)+K$57)*(K$61-K$67)*(1-K$71)*K$78</x:f>
        <x:v>432378.62503363064</x:v>
      </x:c>
      <x:c r="H142" s="107" t="n">
        <x:f>($I$6*(1+$E142)^3*(1-L$13-L$14)*$D142*(1+'Audit &amp; Checks'!$D$19)+L$57)*(L$61-L$67)*(1-L$71)*L$78</x:f>
        <x:v>538338.0579104844</x:v>
      </x:c>
      <x:c r="I142" s="107" t="n">
        <x:f>($I$6*(1+$E142)^4*(1-M$13-M$14)*$D142*(1+'Audit &amp; Checks'!$D$19)+M$57)*(M$61-M$67)*(1-M$71)*M$78</x:f>
        <x:v>615275.0512161761</x:v>
      </x:c>
      <x:c r="J142" s="107" t="n">
        <x:f>($I$6*(1+$E142)^5*(1-N$13-N$14)*$D142*(1+'Audit &amp; Checks'!$D$19)+N$57)*(N$61-N$67)*(1-N$71)*N$78</x:f>
        <x:v>727428.2301397999</x:v>
      </x:c>
      <x:c r="K142" s="107" t="n">
        <x:f>($I$6*(1+$E142)^6*(1-O$13-O$14)*$D142*(1+'Audit &amp; Checks'!$D$19)+O$57)*(O$61-O$67)*(1-O$71)*O$78</x:f>
        <x:v>839965.939851765</x:v>
      </x:c>
      <x:c r="L142" s="107" t="n">
        <x:f>($I$6*(1+$E142)^7*(1-P$13-P$14)*$D142*(1+'Audit &amp; Checks'!$D$19)+P$57)*(P$61-P$67)*(1-P$71)*P$78</x:f>
        <x:v>970206.8543086736</x:v>
      </x:c>
      <x:c r="M142" s="107" t="n">
        <x:f>($I$6*(1+$E142)^8*(1-Q$13-Q$14)*$D142*(1+'Audit &amp; Checks'!$D$19)+Q$57)*(Q$61-Q$67)*(1-Q$71)*Q$78</x:f>
        <x:v>1120935.8485452447</x:v>
      </x:c>
      <x:c r="N142" s="107" t="n">
        <x:f>($I$6*(1+$E142)^9*(1-R$13-R$14)*$D142*(1+'Audit &amp; Checks'!$D$19)+R$57)*(R$61-R$67)*(1-R$71)*R$78</x:f>
        <x:v>1295375.8837546506</x:v>
      </x:c>
      <x:c r="O142" s="107" t="n">
        <x:f>($I$6*(1+$E142)^10*(1-S$13-S$14)*$D142*(1+'Audit &amp; Checks'!$D$19)+S$57)*(S$61-S$67)*(1-S$71)*S$78</x:f>
        <x:v>1497256.9222235966</x:v>
      </x:c>
      <x:c r="P142" s="107" t="n">
        <x:f>($I$6*(1+$E142)^11*(1-T$13-T$14)*$D142*(1+'Audit &amp; Checks'!$D$19)+T$57)*(T$61-T$67)*(1-T$71)*T$78</x:f>
        <x:v>1730895.6832131518</x:v>
      </x:c>
      <x:c r="Q142" s="107" t="n">
        <x:f>($I$6*(1+$E142)^12*(1-U$13-U$14)*$D142*(1+'Audit &amp; Checks'!$D$19)+U$57)*(U$61-U$67)*(1-U$71)*U$78</x:f>
        <x:v>2001287.9451646449</x:v>
      </x:c>
      <x:c r="R142" s="107" t="n">
        <x:f>($I$6*(1+$E142)^13*(1-V$13-V$14)*$D142*(1+'Audit &amp; Checks'!$D$19)+V$57)*(V$61-V$67)*(1-V$71)*V$78</x:f>
        <x:v>2314215.367881601</x:v>
      </x:c>
      <x:c r="S142" s="107" t="n">
        <x:f>($I$6*(1+$E142)^14*(1-W$13-W$14)*$D142*(1+'Audit &amp; Checks'!$D$19)+W$57)*(W$61-W$67)*(1-W$71)*W$78</x:f>
        <x:v>2676369.1188119594</x:v>
      </x:c>
      <x:c r="T142" s="107" t="n">
        <x:f>($I$6*(1+$E142)^15*(1-X$13-X$14)*$D142*(1+'Audit &amp; Checks'!$D$19)+X$57)*(X$61-X$67)*(1-X$71)*X$78</x:f>
        <x:v>3095492.9468682744</x:v>
      </x:c>
      <x:c r="U142" s="107" t="n">
        <x:f>($I$6*(1+$E142)^16*(1-Y$13-Y$14)*$D142*(1+'Audit &amp; Checks'!$D$19)+Y$57)*(Y$61-Y$67)*(1-Y$71)*Y$78</x:f>
        <x:v>3580548.7630604417</x:v>
      </x:c>
      <x:c r="V142" s="107" t="n">
        <x:f>($I$6*(1+$E142)^17*(1-Z$13-Z$14)*$D142*(1+'Audit &amp; Checks'!$D$19)+Z$57)*(Z$61-Z$67)*(1-Z$71)*Z$78</x:f>
        <x:v>5177385.335583909</x:v>
      </x:c>
      <x:c r="W142" s="107" t="n">
        <x:f>IF('Audit &amp; Checks'!$D$10=1,V142*(1+$D$83)/($D$81-$D$83),0)</x:f>
        <x:v>70757599.58631341</x:v>
      </x:c>
      <x:c r="X142" s="142" t="n">
        <x:f>(NPV($D$81,$G$79:$I$79,F142:V142)+W142/(1+$D$81)^'Audit &amp; Checks'!$D$7)*'Audit &amp; Checks'!$D$9</x:f>
        <x:v>19654638.140626892</x:v>
      </x:c>
      <x:c r="Y142" t="n">
        <x:f>IF((Z$61-Z$67)*(1-Z$71)*Z$78&lt;&gt;0,V142/((Z$61-Z$67)*(1-Z$71)*Z$78),0)</x:f>
        <x:v>10886007.854465745</x:v>
      </x:c>
      <x:c r="Z142" t="n">
        <x:f>$I$59*(1+C142)^17</x:f>
        <x:v>10886007.854465762</x:v>
      </x:c>
      <x:c r="AA142" t="n">
        <x:f>ABS(Y142-Z142)</x:f>
        <x:v>1.6763806343078613e-8</x:v>
      </x:c>
    </x:row>
  </x:sheetData>
  <x:mergeCells>
    <x:mergeCell ref="F88:J88"/>
    <x:mergeCell ref="C3:AA3"/>
    <x:mergeCell ref="C95:J95"/>
    <x:mergeCell ref="C104:J104"/>
    <x:mergeCell ref="C107:J107"/>
    <x:mergeCell ref="C115:J115"/>
    <x:mergeCell ref="F81:H81"/>
  </x:mergeCells>
  <x:pageMargins left="0.7" right="0.7" top="0.75" bottom="0.75" header="0.3" footer="0.3"/>
  <x:legacyDrawing xmlns:r="http://schemas.openxmlformats.org/officeDocument/2006/relationships" r:id="R1fcdeaaac71a41f8"/>
</x:worksheet>
</file>

<file path=xl/worksheets/sheet2.xml><?xml version="1.0" encoding="utf-8"?>
<x:worksheet xmlns:x="http://schemas.openxmlformats.org/spreadsheetml/2006/main">
  <x:sheetFormatPr defaultRowHeight="15"/>
  <x:cols>
    <x:col min="3" max="3" width="57" hidden="0" customWidth="1"/>
    <x:col min="4" max="4" width="11.85546875" hidden="0" customWidth="1"/>
    <x:col min="5" max="5" width="11.85546875" hidden="0" customWidth="1"/>
    <x:col min="6" max="6" width="11.85546875" hidden="0" customWidth="1"/>
    <x:col min="7" max="7" width="11.85546875" hidden="0" customWidth="1"/>
    <x:col min="8" max="8" width="11.85546875" hidden="0" customWidth="1"/>
    <x:col min="9" max="9" width="11.85546875" hidden="0" customWidth="1"/>
    <x:col min="10" max="10" width="11.85546875" hidden="0" customWidth="1"/>
    <x:col min="11" max="11" width="11.85546875" hidden="0" customWidth="1"/>
    <x:col min="12" max="12" width="11.85546875" hidden="0" customWidth="1"/>
    <x:col min="13" max="13" width="11.85546875" hidden="0" customWidth="1"/>
    <x:col min="14" max="14" width="11.85546875" hidden="0" customWidth="1"/>
    <x:col min="15" max="15" width="11.85546875" hidden="0" customWidth="1"/>
    <x:col min="16" max="16" width="11.85546875" hidden="0" customWidth="1"/>
    <x:col min="17" max="17" width="11.85546875" hidden="0" customWidth="1"/>
    <x:col min="18" max="18" width="11.85546875" hidden="0" customWidth="1"/>
    <x:col min="19" max="19" width="11.85546875" hidden="0" customWidth="1"/>
    <x:col min="20" max="20" width="11.85546875" hidden="0" customWidth="1"/>
    <x:col min="21" max="21" width="11.85546875" hidden="0" customWidth="1"/>
    <x:col min="22" max="22" width="11.85546875" hidden="0" customWidth="1"/>
    <x:col min="23" max="23" width="11.85546875" hidden="0" customWidth="1"/>
    <x:col min="24" max="24" width="11.85546875" hidden="0" customWidth="1"/>
    <x:col min="25" max="25" width="11.85546875" hidden="0" customWidth="1"/>
    <x:col min="26" max="26" width="11.85546875" hidden="0" customWidth="1"/>
  </x:cols>
  <x:sheetData>
    <x:row r="2" ht="30" customHeight="1">
      <x:c r="C2" s="199" t="str">
        <x:v>CLOUD ROIC | asset-class cohorts and explicit capital scope</x:v>
      </x:c>
      <x:c r="D2" s="184" t="str">
        <x:v>CLOUD ROIC | asset-class cohorts and explicit capital scope</x:v>
      </x:c>
      <x:c r="E2" s="184" t="str">
        <x:v>CLOUD ROIC | asset-class cohorts and explicit capital scope</x:v>
      </x:c>
      <x:c r="F2" s="184" t="str">
        <x:v>CLOUD ROIC | asset-class cohorts and explicit capital scope</x:v>
      </x:c>
      <x:c r="G2" s="184" t="str">
        <x:v>CLOUD ROIC | asset-class cohorts and explicit capital scope</x:v>
      </x:c>
      <x:c r="H2" s="184" t="str">
        <x:v>CLOUD ROIC | asset-class cohorts and explicit capital scope</x:v>
      </x:c>
      <x:c r="I2" s="184" t="str">
        <x:v>CLOUD ROIC | asset-class cohorts and explicit capital scope</x:v>
      </x:c>
      <x:c r="J2" s="184" t="str">
        <x:v>CLOUD ROIC | asset-class cohorts and explicit capital scope</x:v>
      </x:c>
      <x:c r="K2" s="184" t="str">
        <x:v>CLOUD ROIC | asset-class cohorts and explicit capital scope</x:v>
      </x:c>
      <x:c r="L2" s="184" t="str">
        <x:v>CLOUD ROIC | asset-class cohorts and explicit capital scope</x:v>
      </x:c>
      <x:c r="M2" s="184" t="str">
        <x:v>CLOUD ROIC | asset-class cohorts and explicit capital scope</x:v>
      </x:c>
      <x:c r="N2" s="184" t="str">
        <x:v>CLOUD ROIC | asset-class cohorts and explicit capital scope</x:v>
      </x:c>
      <x:c r="O2" s="184" t="str">
        <x:v>CLOUD ROIC | asset-class cohorts and explicit capital scope</x:v>
      </x:c>
      <x:c r="P2" s="184" t="str">
        <x:v>CLOUD ROIC | asset-class cohorts and explicit capital scope</x:v>
      </x:c>
      <x:c r="Q2" s="184" t="str">
        <x:v>CLOUD ROIC | asset-class cohorts and explicit capital scope</x:v>
      </x:c>
      <x:c r="R2" s="184" t="str">
        <x:v>CLOUD ROIC | asset-class cohorts and explicit capital scope</x:v>
      </x:c>
      <x:c r="S2" s="184" t="str">
        <x:v>CLOUD ROIC | asset-class cohorts and explicit capital scope</x:v>
      </x:c>
      <x:c r="T2" s="184" t="str">
        <x:v>CLOUD ROIC | asset-class cohorts and explicit capital scope</x:v>
      </x:c>
      <x:c r="U2" s="184" t="str">
        <x:v>CLOUD ROIC | asset-class cohorts and explicit capital scope</x:v>
      </x:c>
      <x:c r="V2" s="184" t="str">
        <x:v>CLOUD ROIC | asset-class cohorts and explicit capital scope</x:v>
      </x:c>
      <x:c r="W2" s="184" t="str">
        <x:v>CLOUD ROIC | asset-class cohorts and explicit capital scope</x:v>
      </x:c>
      <x:c r="X2" s="184" t="str">
        <x:v>CLOUD ROIC | asset-class cohorts and explicit capital scope</x:v>
      </x:c>
      <x:c r="Y2" s="184" t="str">
        <x:v>CLOUD ROIC | asset-class cohorts and explicit capital scope</x:v>
      </x:c>
      <x:c r="Z2" s="184" t="str">
        <x:v>CLOUD ROIC | asset-class cohorts and explicit capital scope</x:v>
      </x:c>
    </x:row>
    <x:row r="3" ht="46" customHeight="1">
      <x:c r="C3" s="190" t="str">
        <x:v>US$ millions. Fixed CY2027 capex mix retained; separate straight-line asset lives. Main fleet ROIC uses average net assets in service; supplemental ROIC includes construction capital. This is not project IRR.</x:v>
      </x:c>
      <x:c r="D3" s="184" t="str">
        <x:v>US$ millions. Fixed CY2027 capex mix retained; separate straight-line asset lives. Main fleet ROIC uses average net assets in service; supplemental ROIC includes construction capital. This is not project IRR.</x:v>
      </x:c>
      <x:c r="E3" s="184" t="str">
        <x:v>US$ millions. Fixed CY2027 capex mix retained; separate straight-line asset lives. Main fleet ROIC uses average net assets in service; supplemental ROIC includes construction capital. This is not project IRR.</x:v>
      </x:c>
      <x:c r="F3" s="184" t="str">
        <x:v>US$ millions. Fixed CY2027 capex mix retained; separate straight-line asset lives. Main fleet ROIC uses average net assets in service; supplemental ROIC includes construction capital. This is not project IRR.</x:v>
      </x:c>
      <x:c r="G3" s="184" t="str">
        <x:v>US$ millions. Fixed CY2027 capex mix retained; separate straight-line asset lives. Main fleet ROIC uses average net assets in service; supplemental ROIC includes construction capital. This is not project IRR.</x:v>
      </x:c>
      <x:c r="H3" s="184" t="str">
        <x:v>US$ millions. Fixed CY2027 capex mix retained; separate straight-line asset lives. Main fleet ROIC uses average net assets in service; supplemental ROIC includes construction capital. This is not project IRR.</x:v>
      </x:c>
      <x:c r="I3" s="184" t="str">
        <x:v>US$ millions. Fixed CY2027 capex mix retained; separate straight-line asset lives. Main fleet ROIC uses average net assets in service; supplemental ROIC includes construction capital. This is not project IRR.</x:v>
      </x:c>
      <x:c r="J3" s="184" t="str">
        <x:v>US$ millions. Fixed CY2027 capex mix retained; separate straight-line asset lives. Main fleet ROIC uses average net assets in service; supplemental ROIC includes construction capital. This is not project IRR.</x:v>
      </x:c>
      <x:c r="K3" s="184" t="str">
        <x:v>US$ millions. Fixed CY2027 capex mix retained; separate straight-line asset lives. Main fleet ROIC uses average net assets in service; supplemental ROIC includes construction capital. This is not project IRR.</x:v>
      </x:c>
      <x:c r="L3" s="184" t="str">
        <x:v>US$ millions. Fixed CY2027 capex mix retained; separate straight-line asset lives. Main fleet ROIC uses average net assets in service; supplemental ROIC includes construction capital. This is not project IRR.</x:v>
      </x:c>
      <x:c r="M3" s="184" t="str">
        <x:v>US$ millions. Fixed CY2027 capex mix retained; separate straight-line asset lives. Main fleet ROIC uses average net assets in service; supplemental ROIC includes construction capital. This is not project IRR.</x:v>
      </x:c>
      <x:c r="N3" s="184" t="str">
        <x:v>US$ millions. Fixed CY2027 capex mix retained; separate straight-line asset lives. Main fleet ROIC uses average net assets in service; supplemental ROIC includes construction capital. This is not project IRR.</x:v>
      </x:c>
      <x:c r="O3" s="184" t="str">
        <x:v>US$ millions. Fixed CY2027 capex mix retained; separate straight-line asset lives. Main fleet ROIC uses average net assets in service; supplemental ROIC includes construction capital. This is not project IRR.</x:v>
      </x:c>
      <x:c r="P3" s="184" t="str">
        <x:v>US$ millions. Fixed CY2027 capex mix retained; separate straight-line asset lives. Main fleet ROIC uses average net assets in service; supplemental ROIC includes construction capital. This is not project IRR.</x:v>
      </x:c>
      <x:c r="Q3" s="184" t="str">
        <x:v>US$ millions. Fixed CY2027 capex mix retained; separate straight-line asset lives. Main fleet ROIC uses average net assets in service; supplemental ROIC includes construction capital. This is not project IRR.</x:v>
      </x:c>
      <x:c r="R3" s="184" t="str">
        <x:v>US$ millions. Fixed CY2027 capex mix retained; separate straight-line asset lives. Main fleet ROIC uses average net assets in service; supplemental ROIC includes construction capital. This is not project IRR.</x:v>
      </x:c>
      <x:c r="S3" s="184" t="str">
        <x:v>US$ millions. Fixed CY2027 capex mix retained; separate straight-line asset lives. Main fleet ROIC uses average net assets in service; supplemental ROIC includes construction capital. This is not project IRR.</x:v>
      </x:c>
      <x:c r="T3" s="184" t="str">
        <x:v>US$ millions. Fixed CY2027 capex mix retained; separate straight-line asset lives. Main fleet ROIC uses average net assets in service; supplemental ROIC includes construction capital. This is not project IRR.</x:v>
      </x:c>
      <x:c r="U3" s="184" t="str">
        <x:v>US$ millions. Fixed CY2027 capex mix retained; separate straight-line asset lives. Main fleet ROIC uses average net assets in service; supplemental ROIC includes construction capital. This is not project IRR.</x:v>
      </x:c>
      <x:c r="V3" s="184" t="str">
        <x:v>US$ millions. Fixed CY2027 capex mix retained; separate straight-line asset lives. Main fleet ROIC uses average net assets in service; supplemental ROIC includes construction capital. This is not project IRR.</x:v>
      </x:c>
      <x:c r="W3" s="184" t="str">
        <x:v>US$ millions. Fixed CY2027 capex mix retained; separate straight-line asset lives. Main fleet ROIC uses average net assets in service; supplemental ROIC includes construction capital. This is not project IRR.</x:v>
      </x:c>
      <x:c r="X3" s="184" t="str">
        <x:v>US$ millions. Fixed CY2027 capex mix retained; separate straight-line asset lives. Main fleet ROIC uses average net assets in service; supplemental ROIC includes construction capital. This is not project IRR.</x:v>
      </x:c>
      <x:c r="Y3" s="184" t="str">
        <x:v>US$ millions. Fixed CY2027 capex mix retained; separate straight-line asset lives. Main fleet ROIC uses average net assets in service; supplemental ROIC includes construction capital. This is not project IRR.</x:v>
      </x:c>
      <x:c r="Z3" s="184" t="str">
        <x:v>US$ millions. Fixed CY2027 capex mix retained; separate straight-line asset lives. Main fleet ROIC uses average net assets in service; supplemental ROIC includes construction capital. This is not project IRR.</x:v>
      </x:c>
    </x:row>
    <x:row r="4" ht="13.5" customHeight="1">
      <x:c r="C4" s="148"/>
      <x:c r="D4" s="148" t="str">
        <x:v>CY23</x:v>
      </x:c>
      <x:c r="E4" s="148" t="str">
        <x:v>CY24</x:v>
      </x:c>
      <x:c r="F4" s="148" t="str">
        <x:v>CY25</x:v>
      </x:c>
      <x:c r="G4" s="148" t="str">
        <x:v>CY26E</x:v>
      </x:c>
      <x:c r="H4" s="148" t="str">
        <x:v>CY27E</x:v>
      </x:c>
      <x:c r="I4" s="148" t="str">
        <x:v>CY28E</x:v>
      </x:c>
      <x:c r="J4" s="148" t="str">
        <x:v>CY29</x:v>
      </x:c>
      <x:c r="K4" s="148" t="str">
        <x:v>CY30</x:v>
      </x:c>
      <x:c r="L4" s="148" t="str">
        <x:v>CY31</x:v>
      </x:c>
      <x:c r="M4" s="148" t="str">
        <x:v>CY32</x:v>
      </x:c>
      <x:c r="N4" s="148" t="str">
        <x:v>CY33</x:v>
      </x:c>
      <x:c r="O4" s="148" t="str">
        <x:v>CY34</x:v>
      </x:c>
      <x:c r="P4" s="148" t="str">
        <x:v>CY35</x:v>
      </x:c>
      <x:c r="Q4" s="148" t="str">
        <x:v>CY36</x:v>
      </x:c>
      <x:c r="R4" s="148" t="str">
        <x:v>CY37</x:v>
      </x:c>
      <x:c r="S4" s="148" t="str">
        <x:v>CY38</x:v>
      </x:c>
      <x:c r="T4" s="148" t="str">
        <x:v>CY39</x:v>
      </x:c>
      <x:c r="U4" s="148" t="str">
        <x:v>CY40</x:v>
      </x:c>
      <x:c r="V4" s="148" t="str">
        <x:v>CY41</x:v>
      </x:c>
      <x:c r="W4" s="148" t="str">
        <x:v>CY42</x:v>
      </x:c>
      <x:c r="X4" s="148" t="str">
        <x:v>CY43</x:v>
      </x:c>
      <x:c r="Y4" s="148" t="str">
        <x:v>CY44</x:v>
      </x:c>
      <x:c r="Z4" s="148" t="str">
        <x:v>CY45</x:v>
      </x:c>
    </x:row>
    <x:row r="6" ht="28" customHeight="1">
      <x:c r="C6" s="204" t="str">
        <x:v>Cloud share of total AI capex</x:v>
      </x:c>
      <x:c r="D6" s="152" t="n">
        <x:v>0.6</x:v>
      </x:c>
      <x:c r="E6" s="150"/>
      <x:c r="F6" s="150"/>
      <x:c r="G6" s="150"/>
      <x:c r="H6" s="150"/>
      <x:c r="I6" s="150"/>
      <x:c r="J6" s="150"/>
      <x:c r="K6" s="150"/>
      <x:c r="L6" s="150"/>
      <x:c r="M6" s="150"/>
      <x:c r="N6" s="150"/>
      <x:c r="O6" s="150"/>
      <x:c r="P6" s="150"/>
      <x:c r="Q6" s="150"/>
      <x:c r="R6" s="150"/>
      <x:c r="S6" s="150"/>
      <x:c r="T6" s="150"/>
      <x:c r="U6" s="150"/>
      <x:c r="V6" s="150"/>
      <x:c r="W6" s="150"/>
      <x:c r="X6" s="150"/>
      <x:c r="Y6" s="150"/>
      <x:c r="Z6" s="150"/>
    </x:row>
    <x:row r="7">
      <x:c r="C7" s="27" t="str">
        <x:v>Margem EBITDA do aluguel</x:v>
      </x:c>
      <x:c r="D7" s="113" t="n">
        <x:v>0.9</x:v>
      </x:c>
    </x:row>
    <x:row r="8">
      <x:c r="C8" s="27" t="str">
        <x:v>Tax</x:v>
      </x:c>
      <x:c r="D8" s="154" t="n">
        <x:v>0.15</x:v>
      </x:c>
    </x:row>
    <x:row r="9" ht="28" customHeight="1">
      <x:c r="C9" s="187" t="str">
        <x:v>First-year weighted D&amp;A / gross capex</x:v>
      </x:c>
      <x:c r="D9" s="105" t="n">
        <x:f>D45/D41+D46/D42+D47/D43</x:f>
        <x:v>0.143986850290418</x:v>
      </x:c>
      <x:c r="E9" s="155" t="n">
        <x:f>1/D9</x:f>
        <x:v>6.945078651161715</x:v>
      </x:c>
      <x:c r="F9" s="127" t="str">
        <x:v>Rate reciprocal only; not a fleet asset life</x:v>
      </x:c>
    </x:row>
    <x:row r="10">
      <x:c r="C10" s="27" t="str">
        <x:v>ROIC alvo A</x:v>
      </x:c>
      <x:c r="D10" s="154" t="n">
        <x:v>0.15</x:v>
      </x:c>
    </x:row>
    <x:row r="11">
      <x:c r="C11" s="27" t="str">
        <x:v>ROIC alvo B</x:v>
      </x:c>
      <x:c r="D11" s="154" t="n">
        <x:v>0.2</x:v>
      </x:c>
    </x:row>
    <x:row r="12" ht="28" customHeight="1">
      <x:c r="C12" s="187" t="str">
        <x:v>Revenue / gross capex at ROIC target A</x:v>
      </x:c>
      <x:c r="D12" s="206" t="n">
        <x:f>(D10/(1-$D$8)+$D$9)/$D$7</x:f>
        <x:v>0.35606382058412456</x:v>
      </x:c>
      <x:c r="E12" s="127" t="str">
        <x:v>&lt;- M = (ROIC alvo/(1-tax) + D&amp;A) / margem EBITDA</x:v>
      </x:c>
      <x:c r="F12" s="105"/>
    </x:row>
    <x:row r="13" ht="28" customHeight="1">
      <x:c r="C13" s="187" t="str">
        <x:v>Revenue / gross capex at ROIC target B</x:v>
      </x:c>
      <x:c r="D13" s="206" t="n">
        <x:f>(D11/(1-$D$8)+$D$9)/$D$7</x:f>
        <x:v>0.4214232977083076</x:v>
      </x:c>
    </x:row>
    <x:row r="15">
      <x:c r="C15" s="150" t="str">
        <x:v>Capex cloud (t)</x:v>
      </x:c>
      <x:c r="D15" s="156" t="n">
        <x:f>$D$6*'Capa DCF - Base'!D6</x:f>
        <x:v>53827.444923643474</x:v>
      </x:c>
      <x:c r="E15" s="156" t="n">
        <x:f>$D$6*'Capa DCF - Base'!E6</x:f>
        <x:v>140318.21487638683</x:v>
      </x:c>
      <x:c r="F15" s="156" t="n">
        <x:f>$D$6*'Capa DCF - Base'!F6</x:f>
        <x:v>237756.45191185622</x:v>
      </x:c>
      <x:c r="G15" s="156" t="n">
        <x:f>$D$6*'Capa DCF - Base'!G6</x:f>
        <x:v>540959.1965956268</x:v>
      </x:c>
      <x:c r="H15" s="156" t="n">
        <x:f>$D$6*'Capa DCF - Base'!H6</x:f>
        <x:v>1131247.763119769</x:v>
      </x:c>
      <x:c r="I15" s="156" t="n">
        <x:f>$D$6*'Capa DCF - Base'!I6</x:f>
        <x:v>1747859.1047929816</x:v>
      </x:c>
      <x:c r="J15" s="156" t="n">
        <x:f>$D$6*'Capa DCF - Base'!J6</x:f>
        <x:v>1922645.01527228</x:v>
      </x:c>
      <x:c r="K15" s="156" t="n">
        <x:f>$D$6*'Capa DCF - Base'!K6</x:f>
        <x:v>2076456.6164940624</x:v>
      </x:c>
      <x:c r="L15" s="156" t="n">
        <x:f>$D$6*'Capa DCF - Base'!L6</x:f>
        <x:v>2242573.1458135876</x:v>
      </x:c>
      <x:c r="M15" s="156" t="n">
        <x:f>$D$6*'Capa DCF - Base'!M6</x:f>
        <x:v>2421978.9974786746</x:v>
      </x:c>
      <x:c r="N15" s="156" t="n">
        <x:f>$D$6*'Capa DCF - Base'!N6</x:f>
        <x:v>2615737.317276969</x:v>
      </x:c>
      <x:c r="O15" s="156" t="n">
        <x:f>$D$6*'Capa DCF - Base'!O6</x:f>
        <x:v>2824996.3026591265</x:v>
      </x:c>
      <x:c r="P15" s="156" t="n">
        <x:f>$D$6*'Capa DCF - Base'!P6</x:f>
        <x:v>3050996.0068718567</x:v>
      </x:c>
      <x:c r="Q15" s="156" t="n">
        <x:f>$D$6*'Capa DCF - Base'!Q6</x:f>
        <x:v>3295075.6874216055</x:v>
      </x:c>
      <x:c r="R15" s="156" t="n">
        <x:f>$D$6*'Capa DCF - Base'!R6</x:f>
        <x:v>3558681.742415334</x:v>
      </x:c>
      <x:c r="S15" s="156" t="n">
        <x:f>$D$6*'Capa DCF - Base'!S6</x:f>
        <x:v>3843376.281808561</x:v>
      </x:c>
      <x:c r="T15" s="156" t="n">
        <x:f>$D$6*'Capa DCF - Base'!T6</x:f>
        <x:v>4150846.384353246</x:v>
      </x:c>
      <x:c r="U15" s="156" t="n">
        <x:f>$D$6*'Capa DCF - Base'!U6</x:f>
        <x:v>4482914.095101506</x:v>
      </x:c>
      <x:c r="V15" s="156" t="n">
        <x:f>$D$6*'Capa DCF - Base'!V6</x:f>
        <x:v>4841547.222709627</x:v>
      </x:c>
      <x:c r="W15" s="156" t="n">
        <x:f>$D$6*'Capa DCF - Base'!W6</x:f>
        <x:v>5228871.0005263975</x:v>
      </x:c>
      <x:c r="X15" s="156" t="n">
        <x:f>$D$6*'Capa DCF - Base'!X6</x:f>
        <x:v>5647180.68056851</x:v>
      </x:c>
      <x:c r="Y15" s="156" t="n">
        <x:f>$D$6*'Capa DCF - Base'!Y6</x:f>
        <x:v>6098955.135013992</x:v>
      </x:c>
      <x:c r="Z15" s="156" t="n">
        <x:f>$D$6*'Capa DCF - Base'!Z6</x:f>
        <x:v>6586871.545815111</x:v>
      </x:c>
    </x:row>
    <x:row r="16" ht="28" customHeight="1">
      <x:c r="C16" s="187" t="str">
        <x:v>Gross capex of commissioned vintage</x:v>
      </x:c>
      <x:c r="D16" s="107" t="n">
        <x:f>IF(COLUMN()-3-$D$40&gt;=1,INDEX($D$15:$Z$15,1,COLUMN()-3-$D$40),0)</x:f>
        <x:v>0</x:v>
      </x:c>
      <x:c r="E16" s="107" t="n">
        <x:f>IF(COLUMN()-3-$D$40&gt;=1,INDEX($D$15:$Z$15,1,COLUMN()-3-$D$40),0)</x:f>
        <x:v>0</x:v>
      </x:c>
      <x:c r="F16" s="107" t="n">
        <x:f>IF(COLUMN()-3-$D$40&gt;=1,INDEX($D$15:$Z$15,1,COLUMN()-3-$D$40),0)</x:f>
        <x:v>53827.444923643474</x:v>
      </x:c>
      <x:c r="G16" s="107" t="n">
        <x:f>IF(COLUMN()-3-$D$40&gt;=1,INDEX($D$15:$Z$15,1,COLUMN()-3-$D$40),0)</x:f>
        <x:v>140318.21487638683</x:v>
      </x:c>
      <x:c r="H16" s="107" t="n">
        <x:f>IF(COLUMN()-3-$D$40&gt;=1,INDEX($D$15:$Z$15,1,COLUMN()-3-$D$40),0)</x:f>
        <x:v>237756.45191185622</x:v>
      </x:c>
      <x:c r="I16" s="107" t="n">
        <x:f>IF(COLUMN()-3-$D$40&gt;=1,INDEX($D$15:$Z$15,1,COLUMN()-3-$D$40),0)</x:f>
        <x:v>540959.1965956268</x:v>
      </x:c>
      <x:c r="J16" s="107" t="n">
        <x:f>IF(COLUMN()-3-$D$40&gt;=1,INDEX($D$15:$Z$15,1,COLUMN()-3-$D$40),0)</x:f>
        <x:v>1131247.763119769</x:v>
      </x:c>
      <x:c r="K16" s="107" t="n">
        <x:f>IF(COLUMN()-3-$D$40&gt;=1,INDEX($D$15:$Z$15,1,COLUMN()-3-$D$40),0)</x:f>
        <x:v>1747859.1047929816</x:v>
      </x:c>
      <x:c r="L16" s="107" t="n">
        <x:f>IF(COLUMN()-3-$D$40&gt;=1,INDEX($D$15:$Z$15,1,COLUMN()-3-$D$40),0)</x:f>
        <x:v>1922645.01527228</x:v>
      </x:c>
      <x:c r="M16" s="107" t="n">
        <x:f>IF(COLUMN()-3-$D$40&gt;=1,INDEX($D$15:$Z$15,1,COLUMN()-3-$D$40),0)</x:f>
        <x:v>2076456.6164940624</x:v>
      </x:c>
      <x:c r="N16" s="107" t="n">
        <x:f>IF(COLUMN()-3-$D$40&gt;=1,INDEX($D$15:$Z$15,1,COLUMN()-3-$D$40),0)</x:f>
        <x:v>2242573.1458135876</x:v>
      </x:c>
      <x:c r="O16" s="107" t="n">
        <x:f>IF(COLUMN()-3-$D$40&gt;=1,INDEX($D$15:$Z$15,1,COLUMN()-3-$D$40),0)</x:f>
        <x:v>2421978.9974786746</x:v>
      </x:c>
      <x:c r="P16" s="107" t="n">
        <x:f>IF(COLUMN()-3-$D$40&gt;=1,INDEX($D$15:$Z$15,1,COLUMN()-3-$D$40),0)</x:f>
        <x:v>2615737.317276969</x:v>
      </x:c>
      <x:c r="Q16" s="107" t="n">
        <x:f>IF(COLUMN()-3-$D$40&gt;=1,INDEX($D$15:$Z$15,1,COLUMN()-3-$D$40),0)</x:f>
        <x:v>2824996.3026591265</x:v>
      </x:c>
      <x:c r="R16" s="107" t="n">
        <x:f>IF(COLUMN()-3-$D$40&gt;=1,INDEX($D$15:$Z$15,1,COLUMN()-3-$D$40),0)</x:f>
        <x:v>3050996.0068718567</x:v>
      </x:c>
      <x:c r="S16" s="107" t="n">
        <x:f>IF(COLUMN()-3-$D$40&gt;=1,INDEX($D$15:$Z$15,1,COLUMN()-3-$D$40),0)</x:f>
        <x:v>3295075.6874216055</x:v>
      </x:c>
      <x:c r="T16" s="107" t="n">
        <x:f>IF(COLUMN()-3-$D$40&gt;=1,INDEX($D$15:$Z$15,1,COLUMN()-3-$D$40),0)</x:f>
        <x:v>3558681.742415334</x:v>
      </x:c>
      <x:c r="U16" s="107" t="n">
        <x:f>IF(COLUMN()-3-$D$40&gt;=1,INDEX($D$15:$Z$15,1,COLUMN()-3-$D$40),0)</x:f>
        <x:v>3843376.281808561</x:v>
      </x:c>
      <x:c r="V16" s="107" t="n">
        <x:f>IF(COLUMN()-3-$D$40&gt;=1,INDEX($D$15:$Z$15,1,COLUMN()-3-$D$40),0)</x:f>
        <x:v>4150846.384353246</x:v>
      </x:c>
      <x:c r="W16" s="107" t="n">
        <x:f>IF(COLUMN()-3-$D$40&gt;=1,INDEX($D$15:$Z$15,1,COLUMN()-3-$D$40),0)</x:f>
        <x:v>4482914.095101506</x:v>
      </x:c>
      <x:c r="X16" s="107" t="n">
        <x:f>IF(COLUMN()-3-$D$40&gt;=1,INDEX($D$15:$Z$15,1,COLUMN()-3-$D$40),0)</x:f>
        <x:v>4841547.222709627</x:v>
      </x:c>
      <x:c r="Y16" s="107" t="n">
        <x:f>IF(COLUMN()-3-$D$40&gt;=1,INDEX($D$15:$Z$15,1,COLUMN()-3-$D$40),0)</x:f>
        <x:v>5228871.0005263975</x:v>
      </x:c>
      <x:c r="Z16" s="107" t="n">
        <x:f>IF(COLUMN()-3-$D$40&gt;=1,INDEX($D$15:$Z$15,1,COLUMN()-3-$D$40),0)</x:f>
        <x:v>5647180.68056851</x:v>
      </x:c>
    </x:row>
    <x:row r="17" ht="28" customHeight="1">
      <x:c r="C17" s="205" t="str">
        <x:v>Vintage revenue hurdle @ target A</x:v>
      </x:c>
      <x:c r="D17" s="161" t="n">
        <x:f>$D$12*D16</x:f>
        <x:v>0</x:v>
      </x:c>
      <x:c r="E17" s="161" t="n">
        <x:f>$D$12*E16</x:f>
        <x:v>0</x:v>
      </x:c>
      <x:c r="F17" s="161" t="n">
        <x:f>$D$12*F16</x:f>
        <x:v>19166.005691794035</x:v>
      </x:c>
      <x:c r="G17" s="161" t="n">
        <x:f>$D$12*G16</x:f>
        <x:v>49962.23968643044</x:v>
      </x:c>
      <x:c r="H17" s="161" t="n">
        <x:f>$D$12*H16</x:f>
        <x:v>84656.4706362612</x:v>
      </x:c>
      <x:c r="I17" s="161" t="n">
        <x:f>$D$12*I16</x:f>
        <x:v>192615.9983199574</x:v>
      </x:c>
      <x:c r="J17" s="161" t="n">
        <x:f>$D$12*J16</x:f>
        <x:v>402796.4005636697</x:v>
      </x:c>
      <x:c r="K17" s="161" t="n">
        <x:f>$D$12*K16</x:f>
        <x:v>622349.3906953367</x:v>
      </x:c>
      <x:c r="L17" s="161" t="n">
        <x:f>$D$12*L16</x:f>
        <x:v>684584.3297648705</x:v>
      </x:c>
      <x:c r="M17" s="161" t="n">
        <x:f>$D$12*M16</x:f>
        <x:v>739351.0761460601</x:v>
      </x:c>
      <x:c r="N17" s="161" t="n">
        <x:f>$D$12*N16</x:f>
        <x:v>798499.162237745</x:v>
      </x:c>
      <x:c r="O17" s="161" t="n">
        <x:f>$D$12*O16</x:f>
        <x:v>862379.0952167647</x:v>
      </x:c>
      <x:c r="P17" s="161" t="n">
        <x:f>$D$12*P16</x:f>
        <x:v>931369.422834106</x:v>
      </x:c>
      <x:c r="Q17" s="161" t="n">
        <x:f>$D$12*Q16</x:f>
        <x:v>1005878.9766608344</x:v>
      </x:c>
      <x:c r="R17" s="161" t="n">
        <x:f>$D$12*R16</x:f>
        <x:v>1086349.2947937013</x:v>
      </x:c>
      <x:c r="S17" s="161" t="n">
        <x:f>$D$12*S16</x:f>
        <x:v>1173257.2383771974</x:v>
      </x:c>
      <x:c r="T17" s="161" t="n">
        <x:f>$D$12*T16</x:f>
        <x:v>1267117.8174473732</x:v>
      </x:c>
      <x:c r="U17" s="161" t="n">
        <x:f>$D$12*U16</x:f>
        <x:v>1368487.2428431632</x:v>
      </x:c>
      <x:c r="V17" s="161" t="n">
        <x:f>$D$12*V16</x:f>
        <x:v>1477966.2222706163</x:v>
      </x:c>
      <x:c r="W17" s="161" t="n">
        <x:f>$D$12*W16</x:f>
        <x:v>1596203.5200522658</x:v>
      </x:c>
      <x:c r="X17" s="161" t="n">
        <x:f>$D$12*X16</x:f>
        <x:v>1723899.8016564471</x:v>
      </x:c>
      <x:c r="Y17" s="161" t="n">
        <x:f>$D$12*Y16</x:f>
        <x:v>1861811.785788963</x:v>
      </x:c>
      <x:c r="Z17" s="161" t="n">
        <x:f>$D$12*Z16</x:f>
        <x:v>2010756.7286520803</x:v>
      </x:c>
    </x:row>
    <x:row r="18" ht="28" customHeight="1">
      <x:c r="C18" s="205" t="str">
        <x:v>Vintage revenue hurdle @ target B</x:v>
      </x:c>
      <x:c r="D18" s="161" t="n">
        <x:f>$D$13*D16</x:f>
        <x:v>0</x:v>
      </x:c>
      <x:c r="E18" s="161" t="n">
        <x:f>$D$13*E16</x:f>
        <x:v>0</x:v>
      </x:c>
      <x:c r="F18" s="161" t="n">
        <x:f>$D$13*F16</x:f>
        <x:v>22684.139346934135</x:v>
      </x:c>
      <x:c r="G18" s="161" t="n">
        <x:f>$D$13*G16</x:f>
        <x:v>59133.36484174985</x:v>
      </x:c>
      <x:c r="H18" s="161" t="n">
        <x:f>$D$13*H16</x:f>
        <x:v>100196.1080161211</x:v>
      </x:c>
      <x:c r="I18" s="161" t="n">
        <x:f>$D$13*I16</x:f>
        <x:v>227972.8085549657</x:v>
      </x:c>
      <x:c r="J18" s="161" t="n">
        <x:f>$D$13*J16</x:f>
        <x:v>476734.1628590795</x:v>
      </x:c>
      <x:c r="K18" s="161" t="n">
        <x:f>$D$13*K16</x:f>
        <x:v>736588.5478713487</x:v>
      </x:c>
      <x:c r="L18" s="161" t="n">
        <x:f>$D$13*L16</x:f>
        <x:v>810247.4026584837</x:v>
      </x:c>
      <x:c r="M18" s="161" t="n">
        <x:f>$D$13*M16</x:f>
        <x:v>875067.1948711624</x:v>
      </x:c>
      <x:c r="N18" s="161" t="n">
        <x:f>$D$13*N16</x:f>
        <x:v>945072.5704608555</x:v>
      </x:c>
      <x:c r="O18" s="161" t="n">
        <x:f>$D$13*O16</x:f>
        <x:v>1020678.376097724</x:v>
      </x:c>
      <x:c r="P18" s="161" t="n">
        <x:f>$D$13*P16</x:f>
        <x:v>1102332.646185542</x:v>
      </x:c>
      <x:c r="Q18" s="161" t="n">
        <x:f>$D$13*Q16</x:f>
        <x:v>1190519.2578803853</x:v>
      </x:c>
      <x:c r="R18" s="161" t="n">
        <x:f>$D$13*R16</x:f>
        <x:v>1285760.7985108162</x:v>
      </x:c>
      <x:c r="S18" s="161" t="n">
        <x:f>$D$13*S16</x:f>
        <x:v>1388621.6623916817</x:v>
      </x:c>
      <x:c r="T18" s="161" t="n">
        <x:f>$D$13*T16</x:f>
        <x:v>1499711.3953830162</x:v>
      </x:c>
      <x:c r="U18" s="161" t="n">
        <x:f>$D$13*U16</x:f>
        <x:v>1619688.3070136576</x:v>
      </x:c>
      <x:c r="V18" s="161" t="n">
        <x:f>$D$13*V16</x:f>
        <x:v>1749263.3715747502</x:v>
      </x:c>
      <x:c r="W18" s="161" t="n">
        <x:f>$D$13*W16</x:f>
        <x:v>1889204.4413007305</x:v>
      </x:c>
      <x:c r="X18" s="161" t="n">
        <x:f>$D$13*X16</x:f>
        <x:v>2040340.7966047889</x:v>
      </x:c>
      <x:c r="Y18" s="161" t="n">
        <x:f>$D$13*Y16</x:f>
        <x:v>2203568.0603331723</x:v>
      </x:c>
      <x:c r="Z18" s="161" t="n">
        <x:f>$D$13*Z16</x:f>
        <x:v>2379853.5051598265</x:v>
      </x:c>
    </x:row>
    <x:row r="19">
      <x:c r="D19" s="107"/>
      <x:c r="E19" s="107"/>
      <x:c r="F19" s="107"/>
      <x:c r="G19" s="107"/>
      <x:c r="H19" s="107"/>
      <x:c r="I19" s="107"/>
      <x:c r="J19" s="107"/>
      <x:c r="K19" s="107"/>
      <x:c r="L19" s="107"/>
      <x:c r="M19" s="107"/>
      <x:c r="N19" s="107"/>
      <x:c r="O19" s="107"/>
      <x:c r="P19" s="107"/>
      <x:c r="Q19" s="107"/>
      <x:c r="R19" s="107"/>
      <x:c r="S19" s="107"/>
      <x:c r="T19" s="107"/>
      <x:c r="U19" s="107"/>
      <x:c r="V19" s="107"/>
      <x:c r="W19" s="107"/>
      <x:c r="X19" s="107"/>
      <x:c r="Y19" s="107"/>
      <x:c r="Z19" s="107"/>
    </x:row>
    <x:row r="20" ht="28" customHeight="1">
      <x:c r="C20" s="204" t="str">
        <x:v>Fleet: average net assets in service</x:v>
      </x:c>
      <x:c r="D20" s="156" t="n">
        <x:f>'Cloud Cohorts'!G9</x:f>
        <x:v>0</x:v>
      </x:c>
      <x:c r="E20" s="156" t="n">
        <x:f>'Cloud Cohorts'!H9</x:f>
        <x:v>0</x:v>
      </x:c>
      <x:c r="F20" s="156" t="n">
        <x:f>'Cloud Cohorts'!I9</x:f>
        <x:v>49952.222796775284</x:v>
      </x:c>
      <x:c r="G20" s="156" t="n">
        <x:f>'Cloud Cohorts'!J9</x:f>
        <x:v>172418.00452021323</x:v>
      </x:c>
      <x:c r="H20" s="156" t="n">
        <x:f>'Cloud Cohorts'!K9</x:f>
        <x:v>365103.13305640133</x:v>
      </x:c>
      <x:c r="I20" s="156" t="n">
        <x:f>'Cloud Cohorts'!L9</x:f>
        <x:v>804928.5995261336</x:v>
      </x:c>
      <x:c r="J20" s="156" t="n">
        <x:f>'Cloud Cohorts'!M9</x:f>
        <x:v>1714654.7259384403</x:v>
      </x:c>
      <x:c r="K20" s="156" t="n">
        <x:f>'Cloud Cohorts'!N9</x:f>
        <x:v>3035905.177189338</x:v>
      </x:c>
      <x:c r="L20" s="156" t="n">
        <x:f>'Cloud Cohorts'!O9</x:f>
        <x:v>4276622.628685523</x:v>
      </x:c>
      <x:c r="M20" s="156" t="n">
        <x:f>'Cloud Cohorts'!P9</x:f>
        <x:v>5402356.976001977</x:v>
      </x:c>
      <x:c r="N20" s="156" t="n">
        <x:f>'Cloud Cohorts'!Q9</x:f>
        <x:v>6422216.269652815</x:v>
      </x:c>
      <x:c r="O20" s="156" t="n">
        <x:f>'Cloud Cohorts'!R9</x:f>
        <x:v>7368667.837222757</x:v>
      </x:c>
      <x:c r="P20" s="156" t="n">
        <x:f>'Cloud Cohorts'!S9</x:f>
        <x:v>8295480.610110965</x:v>
      </x:c>
      <x:c r="Q20" s="156" t="n">
        <x:f>'Cloud Cohorts'!T9</x:f>
        <x:v>9244547.10598624</x:v>
      </x:c>
      <x:c r="R20" s="156" t="n">
        <x:f>'Cloud Cohorts'!U9</x:f>
        <x:v>10229860.468965393</x:v>
      </x:c>
      <x:c r="S20" s="156" t="n">
        <x:f>'Cloud Cohorts'!V9</x:f>
        <x:v>11254992.762636116</x:v>
      </x:c>
      <x:c r="T20" s="156" t="n">
        <x:f>'Cloud Cohorts'!W9</x:f>
        <x:v>12323129.501453733</x:v>
      </x:c>
      <x:c r="U20" s="156" t="n">
        <x:f>'Cloud Cohorts'!X9</x:f>
        <x:v>13438361.278546229</x:v>
      </x:c>
      <x:c r="V20" s="156" t="n">
        <x:f>'Cloud Cohorts'!Y9</x:f>
        <x:v>14606098.727175564</x:v>
      </x:c>
      <x:c r="W20" s="156" t="n">
        <x:f>'Cloud Cohorts'!Z9</x:f>
        <x:v>15832576.547302706</x:v>
      </x:c>
      <x:c r="X20" s="156" t="n">
        <x:f>'Cloud Cohorts'!AA9</x:f>
        <x:v>17126968.353984077</x:v>
      </x:c>
      <x:c r="Y20" s="156" t="n">
        <x:f>'Cloud Cohorts'!AB9</x:f>
        <x:v>18504748.120979577</x:v>
      </x:c>
      <x:c r="Z20" s="156" t="n">
        <x:f>'Cloud Cohorts'!AC9</x:f>
        <x:v>19985550.254704546</x:v>
      </x:c>
    </x:row>
    <x:row r="21" ht="28" customHeight="1">
      <x:c r="C21" s="187" t="str">
        <x:v>Fleet: asset-class depreciation</x:v>
      </x:c>
      <x:c r="D21" s="107" t="n">
        <x:f>'Cloud Cohorts'!G14</x:f>
        <x:v>0</x:v>
      </x:c>
      <x:c r="E21" s="107" t="n">
        <x:f>'Cloud Cohorts'!H14</x:f>
        <x:v>0</x:v>
      </x:c>
      <x:c r="F21" s="107" t="n">
        <x:f>'Cloud Cohorts'!I14</x:f>
        <x:v>7750.444253736374</x:v>
      </x:c>
      <x:c r="G21" s="107" t="n">
        <x:f>'Cloud Cohorts'!J14</x:f>
        <x:v>27954.422052161393</x:v>
      </x:c>
      <x:c r="H21" s="107" t="n">
        <x:f>'Cloud Cohorts'!K14</x:f>
        <x:v>62188.2246991748</x:v>
      </x:c>
      <x:c r="I21" s="107" t="n">
        <x:f>'Cloud Cohorts'!L14</x:f>
        <x:v>140079.23555261415</x:v>
      </x:c>
      <x:c r="J21" s="107" t="n">
        <x:f>'Cloud Cohorts'!M14</x:f>
        <x:v>302964.03786231054</x:v>
      </x:c>
      <x:c r="K21" s="107" t="n">
        <x:f>'Cloud Cohorts'!N14</x:f>
        <x:v>550253.2692218575</x:v>
      </x:c>
      <x:c r="L21" s="107" t="n">
        <x:f>'Cloud Cohorts'!O14</x:f>
        <x:v>813601.8583303314</x:v>
      </x:c>
      <x:c r="M21" s="107" t="n">
        <x:f>'Cloud Cohorts'!P14</x:f>
        <x:v>1087842.6800248863</x:v>
      </x:c>
      <x:c r="N21" s="107" t="n">
        <x:f>'Cloud Cohorts'!Q14</x:f>
        <x:v>1357585.0243006132</x:v>
      </x:c>
      <x:c r="O21" s="107" t="n">
        <x:f>'Cloud Cohorts'!R14</x:f>
        <x:v>1593469.8355168533</x:v>
      </x:c>
      <x:c r="P21" s="107" t="n">
        <x:f>'Cloud Cohorts'!S14</x:f>
        <x:v>1784379.253260666</x:v>
      </x:c>
      <x:c r="Q21" s="107" t="n">
        <x:f>'Cloud Cohorts'!T14</x:f>
        <x:v>1967480.3603070383</x:v>
      </x:c>
      <x:c r="R21" s="107" t="n">
        <x:f>'Cloud Cohorts'!U14</x:f>
        <x:v>2163884.9274783665</x:v>
      </x:c>
      <x:c r="S21" s="107" t="n">
        <x:f>'Cloud Cohorts'!V14</x:f>
        <x:v>2376001.8600234</x:v>
      </x:c>
      <x:c r="T21" s="107" t="n">
        <x:f>'Cloud Cohorts'!W14</x:f>
        <x:v>2605088.1471720366</x:v>
      </x:c>
      <x:c r="U21" s="107" t="n">
        <x:f>'Cloud Cohorts'!X14</x:f>
        <x:v>2851200.862260092</x:v>
      </x:c>
      <x:c r="V21" s="107" t="n">
        <x:f>'Cloud Cohorts'!Y14</x:f>
        <x:v>3115017.0091877338</x:v>
      </x:c>
      <x:c r="W21" s="107" t="n">
        <x:f>'Cloud Cohorts'!Z14</x:f>
        <x:v>3397855.540760993</x:v>
      </x:c>
      <x:c r="X21" s="107" t="n">
        <x:f>'Cloud Cohorts'!AA14</x:f>
        <x:v>3696455.2912955154</x:v>
      </x:c>
      <x:c r="Y21" s="107" t="n">
        <x:f>'Cloud Cohorts'!AB14</x:f>
        <x:v>4005727.1757662855</x:v>
      </x:c>
      <x:c r="Z21" s="107" t="n">
        <x:f>'Cloud Cohorts'!AC14</x:f>
        <x:v>4327029.917920794</x:v>
      </x:c>
    </x:row>
    <x:row r="22" ht="28" customHeight="1">
      <x:c r="C22" s="205" t="str">
        <x:v>Fleet revenue hurdle @ target A</x:v>
      </x:c>
      <x:c r="D22" s="161" t="n">
        <x:f>IF(AND($D$7&gt;0,$D$8&lt;1),($D$10*D20/(1-$D$8)+D21)/$D$7,0)</x:f>
        <x:v>0</x:v>
      </x:c>
      <x:c r="E22" s="161" t="n">
        <x:f>IF(AND($D$7&gt;0,$D$8&lt;1),($D$10*E20/(1-$D$8)+E21)/$D$7,0)</x:f>
        <x:v>0</x:v>
      </x:c>
      <x:c r="F22" s="161" t="n">
        <x:f>IF(AND($D$7&gt;0,$D$8&lt;1),($D$10*F20/(1-$D$8)+F21)/$D$7,0)</x:f>
        <x:v>18406.158215937532</x:v>
      </x:c>
      <x:c r="G22" s="161" t="n">
        <x:f>IF(AND($D$7&gt;0,$D$8&lt;1),($D$10*G20/(1-$D$8)+G21)/$D$7,0)</x:f>
        <x:v>64867.92081355447</x:v>
      </x:c>
      <x:c r="H22" s="161" t="n">
        <x:f>IF(AND($D$7&gt;0,$D$8&lt;1),($D$10*H20/(1-$D$8)+H21)/$D$7,0)</x:f>
        <x:v>140686.8770624298</x:v>
      </x:c>
      <x:c r="I22" s="161" t="n">
        <x:f>IF(AND($D$7&gt;0,$D$8&lt;1),($D$10*I20/(1-$D$8)+I21)/$D$7,0)</x:f>
        <x:v>313472.73222044716</x:v>
      </x:c>
      <x:c r="J22" s="161" t="n">
        <x:f>IF(AND($D$7&gt;0,$D$8&lt;1),($D$10*J20/(1-$D$8)+J21)/$D$7,0)</x:f>
        <x:v>672833.5177434378</x:v>
      </x:c>
      <x:c r="K22" s="161" t="n">
        <x:f>IF(AND($D$7&gt;0,$D$8&lt;1),($D$10*K20/(1-$D$8)+K21)/$D$7,0)</x:f>
        <x:v>1206668.0462967053</x:v>
      </x:c>
      <x:c r="L22" s="161" t="n">
        <x:f>IF(AND($D$7&gt;0,$D$8&lt;1),($D$10*L20/(1-$D$8)+L21)/$D$7,0)</x:f>
        <x:v>1742555.5214164834</x:v>
      </x:c>
      <x:c r="M22" s="161" t="n">
        <x:f>IF(AND($D$7&gt;0,$D$8&lt;1),($D$10*M20/(1-$D$8)+M21)/$D$7,0)</x:f>
        <x:v>2267999.7704855553</x:v>
      </x:c>
      <x:c r="N22" s="161" t="n">
        <x:f>IF(AND($D$7&gt;0,$D$8&lt;1),($D$10*N20/(1-$D$8)+N21)/$D$7,0)</x:f>
        <x:v>2767685.896867246</x:v>
      </x:c>
      <x:c r="O22" s="161" t="n">
        <x:f>IF(AND($D$7&gt;0,$D$8&lt;1),($D$10*O20/(1-$D$8)+O21)/$D$7,0)</x:f>
        <x:v>3215358.870291162</x:v>
      </x:c>
      <x:c r="P22" s="161" t="n">
        <x:f>IF(AND($D$7&gt;0,$D$8&lt;1),($D$10*P20/(1-$D$8)+P21)/$D$7,0)</x:f>
        <x:v>3609208.4402460274</x:v>
      </x:c>
      <x:c r="Q22" s="161" t="n">
        <x:f>IF(AND($D$7&gt;0,$D$8&lt;1),($D$10*Q20/(1-$D$8)+Q21)/$D$7,0)</x:f>
        <x:v>3998745.5845214617</x:v>
      </x:c>
      <x:c r="R22" s="161" t="n">
        <x:f>IF(AND($D$7&gt;0,$D$8&lt;1),($D$10*R20/(1-$D$8)+R21)/$D$7,0)</x:f>
        <x:v>4410171.580001856</x:v>
      </x:c>
      <x:c r="S22" s="161" t="n">
        <x:f>IF(AND($D$7&gt;0,$D$8&lt;1),($D$10*S20/(1-$D$8)+S21)/$D$7,0)</x:f>
        <x:v>4846863.392699747</x:v>
      </x:c>
      <x:c r="T22" s="161" t="n">
        <x:f>IF(AND($D$7&gt;0,$D$8&lt;1),($D$10*T20/(1-$D$8)+T21)/$D$7,0)</x:f>
        <x:v>5310842.287992537</x:v>
      </x:c>
      <x:c r="U22" s="161" t="n">
        <x:f>IF(AND($D$7&gt;0,$D$8&lt;1),($D$10*U20/(1-$D$8)+U21)/$D$7,0)</x:f>
        <x:v>5802973.757781715</x:v>
      </x:c>
      <x:c r="V22" s="161" t="n">
        <x:f>IF(AND($D$7&gt;0,$D$8&lt;1),($D$10*V20/(1-$D$8)+V21)/$D$7,0)</x:f>
        <x:v>6325070.937105763</x:v>
      </x:c>
      <x:c r="W22" s="161" t="n">
        <x:f>IF(AND($D$7&gt;0,$D$8&lt;1),($D$10*W20/(1-$D$8)+W21)/$D$7,0)</x:f>
        <x:v>6879821.819270915</x:v>
      </x:c>
      <x:c r="X22" s="161" t="n">
        <x:f>IF(AND($D$7&gt;0,$D$8&lt;1),($D$10*X20/(1-$D$8)+X21)/$D$7,0)</x:f>
        <x:v>7465401.634900392</x:v>
      </x:c>
      <x:c r="Y22" s="161" t="n">
        <x:f>IF(AND($D$7&gt;0,$D$8&lt;1),($D$10*Y20/(1-$D$8)+Y21)/$D$7,0)</x:f>
        <x:v>8079189.95757945</x:v>
      </x:c>
      <x:c r="Z22" s="161" t="n">
        <x:f>IF(AND($D$7&gt;0,$D$8&lt;1),($D$10*Z20/(1-$D$8)+Z21)/$D$7,0)</x:f>
        <x:v>8726546.363971708</x:v>
      </x:c>
    </x:row>
    <x:row r="23" ht="28" customHeight="1">
      <x:c r="C23" s="205" t="str">
        <x:v>Fleet revenue hurdle @ target B</x:v>
      </x:c>
      <x:c r="D23" s="161" t="n">
        <x:f>IF(AND($D$7&gt;0,$D$8&lt;1),($D$11*D20/(1-$D$8)+D21)/$D$7,0)</x:f>
        <x:v>0</x:v>
      </x:c>
      <x:c r="E23" s="161" t="n">
        <x:f>IF(AND($D$7&gt;0,$D$8&lt;1),($D$11*E20/(1-$D$8)+E21)/$D$7,0)</x:f>
        <x:v>0</x:v>
      </x:c>
      <x:c r="F23" s="161" t="n">
        <x:f>IF(AND($D$7&gt;0,$D$8&lt;1),($D$11*F20/(1-$D$8)+F21)/$D$7,0)</x:f>
        <x:v>21671.00937912546</x:v>
      </x:c>
      <x:c r="G23" s="161" t="n">
        <x:f>IF(AND($D$7&gt;0,$D$8&lt;1),($D$11*G20/(1-$D$8)+G21)/$D$7,0)</x:f>
        <x:v>76137.07143579063</x:v>
      </x:c>
      <x:c r="H23" s="161" t="n">
        <x:f>IF(AND($D$7&gt;0,$D$8&lt;1),($D$11*H20/(1-$D$8)+H21)/$D$7,0)</x:f>
        <x:v>164549.8269353972</x:v>
      </x:c>
      <x:c r="I23" s="161" t="n">
        <x:f>IF(AND($D$7&gt;0,$D$8&lt;1),($D$11*I20/(1-$D$8)+I21)/$D$7,0)</x:f>
        <x:v>366082.4446077761</x:v>
      </x:c>
      <x:c r="J23" s="161" t="n">
        <x:f>IF(AND($D$7&gt;0,$D$8&lt;1),($D$11*J20/(1-$D$8)+J21)/$D$7,0)</x:f>
        <x:v>784902.4540792838</x:v>
      </x:c>
      <x:c r="K23" s="161" t="n">
        <x:f>IF(AND($D$7&gt;0,$D$8&lt;1),($D$11*K20/(1-$D$8)+K21)/$D$7,0)</x:f>
        <x:v>1405093.2212764006</x:v>
      </x:c>
      <x:c r="L23" s="161" t="n">
        <x:f>IF(AND($D$7&gt;0,$D$8&lt;1),($D$11*L20/(1-$D$8)+L21)/$D$7,0)</x:f>
        <x:v>2022073.3402848186</x:v>
      </x:c>
      <x:c r="M23" s="161" t="n">
        <x:f>IF(AND($D$7&gt;0,$D$8&lt;1),($D$11*M20/(1-$D$8)+M21)/$D$7,0)</x:f>
        <x:v>2621094.9976752275</x:v>
      </x:c>
      <x:c r="N23" s="161" t="n">
        <x:f>IF(AND($D$7&gt;0,$D$8&lt;1),($D$11*N20/(1-$D$8)+N21)/$D$7,0)</x:f>
        <x:v>3187438.5942301755</x:v>
      </x:c>
      <x:c r="O23" s="161" t="n">
        <x:f>IF(AND($D$7&gt;0,$D$8&lt;1),($D$11*O20/(1-$D$8)+O21)/$D$7,0)</x:f>
        <x:v>3696971.147233826</x:v>
      </x:c>
      <x:c r="P23" s="161" t="n">
        <x:f>IF(AND($D$7&gt;0,$D$8&lt;1),($D$11*P20/(1-$D$8)+P21)/$D$7,0)</x:f>
        <x:v>4151396.715416678</x:v>
      </x:c>
      <x:c r="Q23" s="161" t="n">
        <x:f>IF(AND($D$7&gt;0,$D$8&lt;1),($D$11*Q20/(1-$D$8)+Q21)/$D$7,0)</x:f>
        <x:v>4602964.349618603</x:v>
      </x:c>
      <x:c r="R23" s="161" t="n">
        <x:f>IF(AND($D$7&gt;0,$D$8&lt;1),($D$11*R20/(1-$D$8)+R21)/$D$7,0)</x:f>
        <x:v>5078789.911306784</x:v>
      </x:c>
      <x:c r="S23" s="161" t="n">
        <x:f>IF(AND($D$7&gt;0,$D$8&lt;1),($D$11*S20/(1-$D$8)+S21)/$D$7,0)</x:f>
        <x:v>5582483.834702109</x:v>
      </x:c>
      <x:c r="T23" s="161" t="n">
        <x:f>IF(AND($D$7&gt;0,$D$8&lt;1),($D$11*T20/(1-$D$8)+T21)/$D$7,0)</x:f>
        <x:v>6116275.588741147</x:v>
      </x:c>
      <x:c r="U23" s="161" t="n">
        <x:f>IF(AND($D$7&gt;0,$D$8&lt;1),($D$11*U20/(1-$D$8)+U21)/$D$7,0)</x:f>
        <x:v>6681298.0243533645</x:v>
      </x:c>
      <x:c r="V23" s="161" t="n">
        <x:f>IF(AND($D$7&gt;0,$D$8&lt;1),($D$11*V20/(1-$D$8)+V21)/$D$7,0)</x:f>
        <x:v>7279717.912738154</x:v>
      </x:c>
      <x:c r="W23" s="161" t="n">
        <x:f>IF(AND($D$7&gt;0,$D$8&lt;1),($D$11*W20/(1-$D$8)+W21)/$D$7,0)</x:f>
        <x:v>7914630.743931223</x:v>
      </x:c>
      <x:c r="X23" s="161" t="n">
        <x:f>IF(AND($D$7&gt;0,$D$8&lt;1),($D$11*X20/(1-$D$8)+X21)/$D$7,0)</x:f>
        <x:v>8584811.33123922</x:v>
      </x:c>
      <x:c r="Y23" s="161" t="n">
        <x:f>IF(AND($D$7&gt;0,$D$8&lt;1),($D$11*Y20/(1-$D$8)+Y21)/$D$7,0)</x:f>
        <x:v>9288650.619081384</x:v>
      </x:c>
      <x:c r="Z23" s="161" t="n">
        <x:f>IF(AND($D$7&gt;0,$D$8&lt;1),($D$11*Z20/(1-$D$8)+Z21)/$D$7,0)</x:f>
        <x:v>10032791.478658281</x:v>
      </x:c>
    </x:row>
    <x:row r="24">
      <x:c r="D24" s="162"/>
      <x:c r="E24" s="162"/>
      <x:c r="F24" s="162"/>
      <x:c r="G24" s="162"/>
      <x:c r="H24" s="162"/>
      <x:c r="I24" s="162"/>
      <x:c r="J24" s="162"/>
      <x:c r="K24" s="162"/>
      <x:c r="L24" s="162"/>
      <x:c r="M24" s="162"/>
      <x:c r="N24" s="162"/>
      <x:c r="O24" s="162"/>
      <x:c r="P24" s="162"/>
      <x:c r="Q24" s="162"/>
      <x:c r="R24" s="162"/>
      <x:c r="S24" s="162"/>
      <x:c r="T24" s="162"/>
      <x:c r="U24" s="162"/>
      <x:c r="V24" s="162"/>
      <x:c r="W24" s="162"/>
      <x:c r="X24" s="162"/>
      <x:c r="Y24" s="162"/>
      <x:c r="Z24" s="162"/>
    </x:row>
    <x:row r="25" ht="36" customHeight="1">
      <x:c r="C25" s="204" t="str">
        <x:v>Demanda house (AI Labs MAP, logistica k=0.7; ESTATICA 28-ago-26)</x:v>
      </x:c>
      <x:c r="D25" s="163"/>
      <x:c r="E25" s="163"/>
      <x:c r="F25" s="163"/>
      <x:c r="G25" s="165" t="n">
        <x:v>140000</x:v>
      </x:c>
      <x:c r="H25" s="165" t="n">
        <x:v>256618</x:v>
      </x:c>
      <x:c r="I25" s="165" t="n">
        <x:v>437654</x:v>
      </x:c>
      <x:c r="J25" s="165" t="n">
        <x:v>673649</x:v>
      </x:c>
      <x:c r="K25" s="165" t="n">
        <x:v>920000</x:v>
      </x:c>
      <x:c r="L25" s="165" t="n">
        <x:v>1124144</x:v>
      </x:c>
      <x:c r="M25" s="165" t="n">
        <x:v>1263353</x:v>
      </x:c>
      <x:c r="N25" s="165" t="n">
        <x:v>1346133</x:v>
      </x:c>
      <x:c r="O25" s="163"/>
      <x:c r="P25" s="163"/>
      <x:c r="Q25" s="163"/>
      <x:c r="R25" s="163"/>
      <x:c r="S25" s="163"/>
      <x:c r="T25" s="163"/>
      <x:c r="U25" s="163"/>
      <x:c r="V25" s="163"/>
      <x:c r="W25" s="163"/>
      <x:c r="X25" s="163"/>
      <x:c r="Y25" s="163"/>
      <x:c r="Z25" s="163"/>
    </x:row>
    <x:row r="26" ht="28" customHeight="1">
      <x:c r="C26" s="187" t="str">
        <x:v>All-demand / single-vintage ROIC proxy</x:v>
      </x:c>
      <x:c r="G26" s="105" t="n">
        <x:f>IF(G16&gt;0,($D$7*G25/G16-$D$9)*(1-$D$8),0)</x:f>
        <x:v>0.6408763035544565</x:v>
      </x:c>
      <x:c r="H26" s="105" t="n">
        <x:f>IF(H16&gt;0,($D$7*H25/H16-$D$9)*(1-$D$8),0)</x:f>
        <x:v>0.7032996850576745</x:v>
      </x:c>
      <x:c r="I26" s="105" t="n">
        <x:f>IF(I16&gt;0,($D$7*I25/I16-$D$9)*(1-$D$8),0)</x:f>
        <x:v>0.49652164611475613</x:v>
      </x:c>
      <x:c r="J26" s="105" t="n">
        <x:f>IF(J16&gt;0,($D$7*J25/J16-$D$9)*(1-$D$8),0)</x:f>
        <x:v>0.33316256201680144</x:v>
      </x:c>
      <x:c r="K26" s="105" t="n">
        <x:f>IF(K16&gt;0,($D$7*K25/K16-$D$9)*(1-$D$8),0)</x:f>
        <x:v>0.2802752123976473</x:v>
      </x:c>
      <x:c r="L26" s="105" t="n">
        <x:f>IF(L16&gt;0,($D$7*L25/L16-$D$9)*(1-$D$8),0)</x:f>
        <x:v>0.3248961170984823</x:v>
      </x:c>
      <x:c r="M26" s="105" t="n">
        <x:f>IF(M16&gt;0,($D$7*M25/M16-$D$9)*(1-$D$8),0)</x:f>
        <x:v>0.3430507329476922</x:v>
      </x:c>
      <x:c r="N26" s="105" t="n">
        <x:f>IF(N16&gt;0,($D$7*N25/N16-$D$9)*(1-$D$8),0)</x:f>
        <x:v>0.33681213884603833</x:v>
      </x:c>
      <x:c r="O26" s="105"/>
      <x:c r="P26" s="105"/>
      <x:c r="Q26" s="105"/>
      <x:c r="R26" s="105"/>
      <x:c r="S26" s="105"/>
      <x:c r="T26" s="105"/>
      <x:c r="U26" s="105"/>
      <x:c r="V26" s="105"/>
      <x:c r="W26" s="105"/>
      <x:c r="X26" s="105"/>
      <x:c r="Y26" s="105"/>
      <x:c r="Z26" s="105"/>
    </x:row>
    <x:row r="27" ht="28" customHeight="1">
      <x:c r="C27" s="187" t="str">
        <x:v>Fleet ROIC: net assets in service</x:v>
      </x:c>
      <x:c r="G27" s="216" t="n">
        <x:f>($D$7*G25-G21)*(1-$D$8)/G20</x:f>
        <x:v>0.48335289280008276</x:v>
      </x:c>
      <x:c r="H27" s="216" t="n">
        <x:f>($D$7*H25-H21)*(1-$D$8)/H20</x:f>
        <x:v>0.3929102930583199</x:v>
      </x:c>
      <x:c r="I27" s="216" t="n">
        <x:f>($D$7*I25-I21)*(1-$D$8)/I20</x:f>
        <x:v>0.2680212380418391</x:v>
      </x:c>
      <x:c r="J27" s="216" t="n">
        <x:f>($D$7*J25-J21)*(1-$D$8)/J20</x:f>
        <x:v>0.15036383063997244</x:v>
      </x:c>
      <x:c r="K27" s="216" t="n">
        <x:f>($D$7*K25-K21)*(1-$D$8)/K20</x:f>
        <x:v>0.07776419465774947</x:v>
      </x:c>
      <x:c r="L27" s="216" t="n">
        <x:f>($D$7*L25-L21)*(1-$D$8)/L20</x:f>
        <x:v>0.03937887324675662</x:v>
      </x:c>
      <x:c r="M27" s="216" t="n">
        <x:f>($D$7*M25-M21)*(1-$D$8)/M20</x:f>
        <x:v>0.007737135321586963</x:v>
      </x:c>
      <x:c r="N27" s="216" t="n">
        <x:f>($D$7*N25-N21)*(1-$D$8)/N20</x:f>
        <x:v>-0.019332193193524007</x:v>
      </x:c>
      <x:c r="O27" s="105"/>
      <x:c r="P27" s="105"/>
      <x:c r="Q27" s="105"/>
      <x:c r="R27" s="105"/>
      <x:c r="S27" s="105"/>
      <x:c r="T27" s="105"/>
      <x:c r="U27" s="105"/>
      <x:c r="V27" s="105"/>
      <x:c r="W27" s="105"/>
      <x:c r="X27" s="105"/>
      <x:c r="Y27" s="105"/>
      <x:c r="Z27" s="105"/>
    </x:row>
    <x:row r="29">
      <x:c r="C29" s="150" t="str">
        <x:v>Por GW alugavel: receita necessaria/ano @15% p/ build $39 / $48 / $60bn por GW -&gt;</x:v>
      </x:c>
      <x:c r="D29" s="166" t="n">
        <x:f>39*$D$12</x:f>
        <x:v>13.886489002780857</x:v>
      </x:c>
      <x:c r="E29" s="166" t="n">
        <x:f>48*$D$12</x:f>
        <x:v>17.09106338803798</x:v>
      </x:c>
      <x:c r="F29" s="166" t="n">
        <x:f>60*$D$12</x:f>
        <x:v>21.363829235047472</x:v>
      </x:c>
      <x:c r="G29" s="168" t="str">
        <x:v>realizado hoje ($bn/GW-ano, assumptions.md rev-per-gw): Trainium &lt;10 - merchant 12-13 - MS TPU ~20 - GB300 IaaS 22.9 - premium ~25. NUNCA misturar base GW facility vs IT.</x:v>
      </x:c>
      <x:c r="H29" s="150"/>
      <x:c r="I29" s="150"/>
      <x:c r="J29" s="150"/>
      <x:c r="K29" s="150"/>
      <x:c r="L29" s="150"/>
      <x:c r="M29" s="150"/>
      <x:c r="N29" s="150"/>
      <x:c r="O29" s="150"/>
      <x:c r="P29" s="150"/>
      <x:c r="Q29" s="150"/>
      <x:c r="R29" s="150"/>
      <x:c r="S29" s="150"/>
      <x:c r="T29" s="150"/>
      <x:c r="U29" s="150"/>
      <x:c r="V29" s="150"/>
      <x:c r="W29" s="150"/>
      <x:c r="X29" s="150"/>
      <x:c r="Y29" s="150"/>
      <x:c r="Z29" s="150"/>
    </x:row>
    <x:row r="30">
      <x:c r="C30" s="27" t="str">
        <x:v>idem @20% -&gt;</x:v>
      </x:c>
      <x:c r="D30" s="155" t="n">
        <x:f>39*$D$13</x:f>
        <x:v>16.435508610623998</x:v>
      </x:c>
      <x:c r="E30" s="155" t="n">
        <x:f>48*$D$13</x:f>
        <x:v>20.228318289998764</x:v>
      </x:c>
      <x:c r="F30" s="155" t="n">
        <x:f>60*$D$13</x:f>
        <x:v>25.285397862498456</x:v>
      </x:c>
    </x:row>
    <x:row r="32" ht="44" customHeight="1">
      <x:c r="C32" s="203" t="str">
        <x:v>One commissioning-lag input (D40) drives both vintage and fleet calculations. Row 26 attributes all house demand to one vintage and is not a sector-wide return. Row 27 uses the whole in-service fleet.</x:v>
      </x:c>
      <x:c r="D32" s="204" t="str">
        <x:v>One commissioning-lag input (D40) drives both vintage and fleet calculations. Row 26 attributes all house demand to one vintage and is not a sector-wide return. Row 27 uses the whole in-service fleet.</x:v>
      </x:c>
      <x:c r="E32" s="204" t="str">
        <x:v>One commissioning-lag input (D40) drives both vintage and fleet calculations. Row 26 attributes all house demand to one vintage and is not a sector-wide return. Row 27 uses the whole in-service fleet.</x:v>
      </x:c>
      <x:c r="F32" s="204" t="str">
        <x:v>One commissioning-lag input (D40) drives both vintage and fleet calculations. Row 26 attributes all house demand to one vintage and is not a sector-wide return. Row 27 uses the whole in-service fleet.</x:v>
      </x:c>
      <x:c r="G32" s="204" t="str">
        <x:v>One commissioning-lag input (D40) drives both vintage and fleet calculations. Row 26 attributes all house demand to one vintage and is not a sector-wide return. Row 27 uses the whole in-service fleet.</x:v>
      </x:c>
      <x:c r="H32" s="204" t="str">
        <x:v>One commissioning-lag input (D40) drives both vintage and fleet calculations. Row 26 attributes all house demand to one vintage and is not a sector-wide return. Row 27 uses the whole in-service fleet.</x:v>
      </x:c>
      <x:c r="I32" s="204" t="str">
        <x:v>One commissioning-lag input (D40) drives both vintage and fleet calculations. Row 26 attributes all house demand to one vintage and is not a sector-wide return. Row 27 uses the whole in-service fleet.</x:v>
      </x:c>
      <x:c r="J32" s="204" t="str">
        <x:v>One commissioning-lag input (D40) drives both vintage and fleet calculations. Row 26 attributes all house demand to one vintage and is not a sector-wide return. Row 27 uses the whole in-service fleet.</x:v>
      </x:c>
      <x:c r="K32" s="204" t="str">
        <x:v>One commissioning-lag input (D40) drives both vintage and fleet calculations. Row 26 attributes all house demand to one vintage and is not a sector-wide return. Row 27 uses the whole in-service fleet.</x:v>
      </x:c>
      <x:c r="L32" s="204" t="str">
        <x:v>One commissioning-lag input (D40) drives both vintage and fleet calculations. Row 26 attributes all house demand to one vintage and is not a sector-wide return. Row 27 uses the whole in-service fleet.</x:v>
      </x:c>
      <x:c r="M32" s="204" t="str">
        <x:v>One commissioning-lag input (D40) drives both vintage and fleet calculations. Row 26 attributes all house demand to one vintage and is not a sector-wide return. Row 27 uses the whole in-service fleet.</x:v>
      </x:c>
      <x:c r="N32" s="204" t="str">
        <x:v>One commissioning-lag input (D40) drives both vintage and fleet calculations. Row 26 attributes all house demand to one vintage and is not a sector-wide return. Row 27 uses the whole in-service fleet.</x:v>
      </x:c>
      <x:c r="O32" s="204" t="str">
        <x:v>One commissioning-lag input (D40) drives both vintage and fleet calculations. Row 26 attributes all house demand to one vintage and is not a sector-wide return. Row 27 uses the whole in-service fleet.</x:v>
      </x:c>
      <x:c r="P32" s="204" t="str">
        <x:v>One commissioning-lag input (D40) drives both vintage and fleet calculations. Row 26 attributes all house demand to one vintage and is not a sector-wide return. Row 27 uses the whole in-service fleet.</x:v>
      </x:c>
      <x:c r="Q32" s="204" t="str">
        <x:v>One commissioning-lag input (D40) drives both vintage and fleet calculations. Row 26 attributes all house demand to one vintage and is not a sector-wide return. Row 27 uses the whole in-service fleet.</x:v>
      </x:c>
      <x:c r="R32" s="204" t="str">
        <x:v>One commissioning-lag input (D40) drives both vintage and fleet calculations. Row 26 attributes all house demand to one vintage and is not a sector-wide return. Row 27 uses the whole in-service fleet.</x:v>
      </x:c>
      <x:c r="S32" s="204" t="str">
        <x:v>One commissioning-lag input (D40) drives both vintage and fleet calculations. Row 26 attributes all house demand to one vintage and is not a sector-wide return. Row 27 uses the whole in-service fleet.</x:v>
      </x:c>
      <x:c r="T32" s="204" t="str">
        <x:v>One commissioning-lag input (D40) drives both vintage and fleet calculations. Row 26 attributes all house demand to one vintage and is not a sector-wide return. Row 27 uses the whole in-service fleet.</x:v>
      </x:c>
      <x:c r="U32" s="204" t="str">
        <x:v>One commissioning-lag input (D40) drives both vintage and fleet calculations. Row 26 attributes all house demand to one vintage and is not a sector-wide return. Row 27 uses the whole in-service fleet.</x:v>
      </x:c>
      <x:c r="V32" s="204" t="str">
        <x:v>One commissioning-lag input (D40) drives both vintage and fleet calculations. Row 26 attributes all house demand to one vintage and is not a sector-wide return. Row 27 uses the whole in-service fleet.</x:v>
      </x:c>
      <x:c r="W32" s="204" t="str">
        <x:v>One commissioning-lag input (D40) drives both vintage and fleet calculations. Row 26 attributes all house demand to one vintage and is not a sector-wide return. Row 27 uses the whole in-service fleet.</x:v>
      </x:c>
      <x:c r="X32" s="204" t="str">
        <x:v>One commissioning-lag input (D40) drives both vintage and fleet calculations. Row 26 attributes all house demand to one vintage and is not a sector-wide return. Row 27 uses the whole in-service fleet.</x:v>
      </x:c>
      <x:c r="Y32" s="204" t="str">
        <x:v>One commissioning-lag input (D40) drives both vintage and fleet calculations. Row 26 attributes all house demand to one vintage and is not a sector-wide return. Row 27 uses the whole in-service fleet.</x:v>
      </x:c>
      <x:c r="Z32" s="204" t="str">
        <x:v>One commissioning-lag input (D40) drives both vintage and fleet calculations. Row 26 attributes all house demand to one vintage and is not a sector-wide return. Row 27 uses the whole in-service fleet.</x:v>
      </x:c>
    </x:row>
    <x:row r="33" ht="44" customHeight="1">
      <x:c r="C33" s="190" t="str">
        <x:v>House-demand inputs remain the static 28-Aug-2026 scenario. They are not an independent validation of the capex forecast and exclude direct enterprise demand. Commercial inputs, including the current EBITDA margin, are unchanged.</x:v>
      </x:c>
      <x:c r="D33" s="184" t="str">
        <x:v>House-demand inputs remain the static 28-Aug-2026 scenario. They are not an independent validation of the capex forecast and exclude direct enterprise demand. Commercial inputs, including the current EBITDA margin, are unchanged.</x:v>
      </x:c>
      <x:c r="E33" s="184" t="str">
        <x:v>House-demand inputs remain the static 28-Aug-2026 scenario. They are not an independent validation of the capex forecast and exclude direct enterprise demand. Commercial inputs, including the current EBITDA margin, are unchanged.</x:v>
      </x:c>
      <x:c r="F33" s="184" t="str">
        <x:v>House-demand inputs remain the static 28-Aug-2026 scenario. They are not an independent validation of the capex forecast and exclude direct enterprise demand. Commercial inputs, including the current EBITDA margin, are unchanged.</x:v>
      </x:c>
      <x:c r="G33" s="184" t="str">
        <x:v>House-demand inputs remain the static 28-Aug-2026 scenario. They are not an independent validation of the capex forecast and exclude direct enterprise demand. Commercial inputs, including the current EBITDA margin, are unchanged.</x:v>
      </x:c>
      <x:c r="H33" s="184" t="str">
        <x:v>House-demand inputs remain the static 28-Aug-2026 scenario. They are not an independent validation of the capex forecast and exclude direct enterprise demand. Commercial inputs, including the current EBITDA margin, are unchanged.</x:v>
      </x:c>
      <x:c r="I33" s="184" t="str">
        <x:v>House-demand inputs remain the static 28-Aug-2026 scenario. They are not an independent validation of the capex forecast and exclude direct enterprise demand. Commercial inputs, including the current EBITDA margin, are unchanged.</x:v>
      </x:c>
      <x:c r="J33" s="184" t="str">
        <x:v>House-demand inputs remain the static 28-Aug-2026 scenario. They are not an independent validation of the capex forecast and exclude direct enterprise demand. Commercial inputs, including the current EBITDA margin, are unchanged.</x:v>
      </x:c>
      <x:c r="K33" s="184" t="str">
        <x:v>House-demand inputs remain the static 28-Aug-2026 scenario. They are not an independent validation of the capex forecast and exclude direct enterprise demand. Commercial inputs, including the current EBITDA margin, are unchanged.</x:v>
      </x:c>
      <x:c r="L33" s="184" t="str">
        <x:v>House-demand inputs remain the static 28-Aug-2026 scenario. They are not an independent validation of the capex forecast and exclude direct enterprise demand. Commercial inputs, including the current EBITDA margin, are unchanged.</x:v>
      </x:c>
      <x:c r="M33" s="184" t="str">
        <x:v>House-demand inputs remain the static 28-Aug-2026 scenario. They are not an independent validation of the capex forecast and exclude direct enterprise demand. Commercial inputs, including the current EBITDA margin, are unchanged.</x:v>
      </x:c>
      <x:c r="N33" s="184" t="str">
        <x:v>House-demand inputs remain the static 28-Aug-2026 scenario. They are not an independent validation of the capex forecast and exclude direct enterprise demand. Commercial inputs, including the current EBITDA margin, are unchanged.</x:v>
      </x:c>
      <x:c r="O33" s="184" t="str">
        <x:v>House-demand inputs remain the static 28-Aug-2026 scenario. They are not an independent validation of the capex forecast and exclude direct enterprise demand. Commercial inputs, including the current EBITDA margin, are unchanged.</x:v>
      </x:c>
      <x:c r="P33" s="184" t="str">
        <x:v>House-demand inputs remain the static 28-Aug-2026 scenario. They are not an independent validation of the capex forecast and exclude direct enterprise demand. Commercial inputs, including the current EBITDA margin, are unchanged.</x:v>
      </x:c>
      <x:c r="Q33" s="184" t="str">
        <x:v>House-demand inputs remain the static 28-Aug-2026 scenario. They are not an independent validation of the capex forecast and exclude direct enterprise demand. Commercial inputs, including the current EBITDA margin, are unchanged.</x:v>
      </x:c>
      <x:c r="R33" s="184" t="str">
        <x:v>House-demand inputs remain the static 28-Aug-2026 scenario. They are not an independent validation of the capex forecast and exclude direct enterprise demand. Commercial inputs, including the current EBITDA margin, are unchanged.</x:v>
      </x:c>
      <x:c r="S33" s="184" t="str">
        <x:v>House-demand inputs remain the static 28-Aug-2026 scenario. They are not an independent validation of the capex forecast and exclude direct enterprise demand. Commercial inputs, including the current EBITDA margin, are unchanged.</x:v>
      </x:c>
      <x:c r="T33" s="184" t="str">
        <x:v>House-demand inputs remain the static 28-Aug-2026 scenario. They are not an independent validation of the capex forecast and exclude direct enterprise demand. Commercial inputs, including the current EBITDA margin, are unchanged.</x:v>
      </x:c>
      <x:c r="U33" s="184" t="str">
        <x:v>House-demand inputs remain the static 28-Aug-2026 scenario. They are not an independent validation of the capex forecast and exclude direct enterprise demand. Commercial inputs, including the current EBITDA margin, are unchanged.</x:v>
      </x:c>
      <x:c r="V33" s="184" t="str">
        <x:v>House-demand inputs remain the static 28-Aug-2026 scenario. They are not an independent validation of the capex forecast and exclude direct enterprise demand. Commercial inputs, including the current EBITDA margin, are unchanged.</x:v>
      </x:c>
      <x:c r="W33" s="184" t="str">
        <x:v>House-demand inputs remain the static 28-Aug-2026 scenario. They are not an independent validation of the capex forecast and exclude direct enterprise demand. Commercial inputs, including the current EBITDA margin, are unchanged.</x:v>
      </x:c>
      <x:c r="X33" s="184" t="str">
        <x:v>House-demand inputs remain the static 28-Aug-2026 scenario. They are not an independent validation of the capex forecast and exclude direct enterprise demand. Commercial inputs, including the current EBITDA margin, are unchanged.</x:v>
      </x:c>
      <x:c r="Y33" s="184" t="str">
        <x:v>House-demand inputs remain the static 28-Aug-2026 scenario. They are not an independent validation of the capex forecast and exclude direct enterprise demand. Commercial inputs, including the current EBITDA margin, are unchanged.</x:v>
      </x:c>
      <x:c r="Z33" s="184" t="str">
        <x:v>House-demand inputs remain the static 28-Aug-2026 scenario. They are not an independent validation of the capex forecast and exclude direct enterprise demand. Commercial inputs, including the current EBITDA margin, are unchanged.</x:v>
      </x:c>
    </x:row>
    <x:row r="34" ht="42" customHeight="1">
      <x:c r="C34" s="190" t="str">
        <x:v>The former fixed numerical conclusions were removed because they described an older margin case. Read the live ROIC rows and Audit &amp; Checks. The input margin is not independently validated by this correction.</x:v>
      </x:c>
      <x:c r="D34" s="184" t="str">
        <x:v>The former fixed numerical conclusions were removed because they described an older margin case. Read the live ROIC rows and Audit &amp; Checks. The input margin is not independently validated by this correction.</x:v>
      </x:c>
      <x:c r="E34" s="184" t="str">
        <x:v>The former fixed numerical conclusions were removed because they described an older margin case. Read the live ROIC rows and Audit &amp; Checks. The input margin is not independently validated by this correction.</x:v>
      </x:c>
      <x:c r="F34" s="184" t="str">
        <x:v>The former fixed numerical conclusions were removed because they described an older margin case. Read the live ROIC rows and Audit &amp; Checks. The input margin is not independently validated by this correction.</x:v>
      </x:c>
      <x:c r="G34" s="184" t="str">
        <x:v>The former fixed numerical conclusions were removed because they described an older margin case. Read the live ROIC rows and Audit &amp; Checks. The input margin is not independently validated by this correction.</x:v>
      </x:c>
      <x:c r="H34" s="184" t="str">
        <x:v>The former fixed numerical conclusions were removed because they described an older margin case. Read the live ROIC rows and Audit &amp; Checks. The input margin is not independently validated by this correction.</x:v>
      </x:c>
      <x:c r="I34" s="184" t="str">
        <x:v>The former fixed numerical conclusions were removed because they described an older margin case. Read the live ROIC rows and Audit &amp; Checks. The input margin is not independently validated by this correction.</x:v>
      </x:c>
      <x:c r="J34" s="184" t="str">
        <x:v>The former fixed numerical conclusions were removed because they described an older margin case. Read the live ROIC rows and Audit &amp; Checks. The input margin is not independently validated by this correction.</x:v>
      </x:c>
      <x:c r="K34" s="184" t="str">
        <x:v>The former fixed numerical conclusions were removed because they described an older margin case. Read the live ROIC rows and Audit &amp; Checks. The input margin is not independently validated by this correction.</x:v>
      </x:c>
      <x:c r="L34" s="184" t="str">
        <x:v>The former fixed numerical conclusions were removed because they described an older margin case. Read the live ROIC rows and Audit &amp; Checks. The input margin is not independently validated by this correction.</x:v>
      </x:c>
      <x:c r="M34" s="184" t="str">
        <x:v>The former fixed numerical conclusions were removed because they described an older margin case. Read the live ROIC rows and Audit &amp; Checks. The input margin is not independently validated by this correction.</x:v>
      </x:c>
      <x:c r="N34" s="184" t="str">
        <x:v>The former fixed numerical conclusions were removed because they described an older margin case. Read the live ROIC rows and Audit &amp; Checks. The input margin is not independently validated by this correction.</x:v>
      </x:c>
      <x:c r="O34" s="184" t="str">
        <x:v>The former fixed numerical conclusions were removed because they described an older margin case. Read the live ROIC rows and Audit &amp; Checks. The input margin is not independently validated by this correction.</x:v>
      </x:c>
      <x:c r="P34" s="184" t="str">
        <x:v>The former fixed numerical conclusions were removed because they described an older margin case. Read the live ROIC rows and Audit &amp; Checks. The input margin is not independently validated by this correction.</x:v>
      </x:c>
      <x:c r="Q34" s="184" t="str">
        <x:v>The former fixed numerical conclusions were removed because they described an older margin case. Read the live ROIC rows and Audit &amp; Checks. The input margin is not independently validated by this correction.</x:v>
      </x:c>
      <x:c r="R34" s="184" t="str">
        <x:v>The former fixed numerical conclusions were removed because they described an older margin case. Read the live ROIC rows and Audit &amp; Checks. The input margin is not independently validated by this correction.</x:v>
      </x:c>
      <x:c r="S34" s="184" t="str">
        <x:v>The former fixed numerical conclusions were removed because they described an older margin case. Read the live ROIC rows and Audit &amp; Checks. The input margin is not independently validated by this correction.</x:v>
      </x:c>
      <x:c r="T34" s="184" t="str">
        <x:v>The former fixed numerical conclusions were removed because they described an older margin case. Read the live ROIC rows and Audit &amp; Checks. The input margin is not independently validated by this correction.</x:v>
      </x:c>
      <x:c r="U34" s="184" t="str">
        <x:v>The former fixed numerical conclusions were removed because they described an older margin case. Read the live ROIC rows and Audit &amp; Checks. The input margin is not independently validated by this correction.</x:v>
      </x:c>
      <x:c r="V34" s="184" t="str">
        <x:v>The former fixed numerical conclusions were removed because they described an older margin case. Read the live ROIC rows and Audit &amp; Checks. The input margin is not independently validated by this correction.</x:v>
      </x:c>
      <x:c r="W34" s="184" t="str">
        <x:v>The former fixed numerical conclusions were removed because they described an older margin case. Read the live ROIC rows and Audit &amp; Checks. The input margin is not independently validated by this correction.</x:v>
      </x:c>
      <x:c r="X34" s="184" t="str">
        <x:v>The former fixed numerical conclusions were removed because they described an older margin case. Read the live ROIC rows and Audit &amp; Checks. The input margin is not independently validated by this correction.</x:v>
      </x:c>
      <x:c r="Y34" s="184" t="str">
        <x:v>The former fixed numerical conclusions were removed because they described an older margin case. Read the live ROIC rows and Audit &amp; Checks. The input margin is not independently validated by this correction.</x:v>
      </x:c>
      <x:c r="Z34" s="184" t="str">
        <x:v>The former fixed numerical conclusions were removed because they described an older margin case. Read the live ROIC rows and Audit &amp; Checks. The input margin is not independently validated by this correction.</x:v>
      </x:c>
    </x:row>
    <x:row r="35">
      <x:c r="C35" s="127"/>
    </x:row>
    <x:row r="36" ht="42" customHeight="1">
      <x:c r="C36" s="190" t="str">
        <x:v>Separate asset lives prevent early retirement of hard assets. Construction capital is excluded from row 27 and explicitly included in row 54 below. No project-IRR equivalence is claimed.</x:v>
      </x:c>
      <x:c r="D36" s="184" t="str">
        <x:v>Separate asset lives prevent early retirement of hard assets. Construction capital is excluded from row 27 and explicitly included in row 54 below. No project-IRR equivalence is claimed.</x:v>
      </x:c>
      <x:c r="E36" s="184" t="str">
        <x:v>Separate asset lives prevent early retirement of hard assets. Construction capital is excluded from row 27 and explicitly included in row 54 below. No project-IRR equivalence is claimed.</x:v>
      </x:c>
      <x:c r="F36" s="184" t="str">
        <x:v>Separate asset lives prevent early retirement of hard assets. Construction capital is excluded from row 27 and explicitly included in row 54 below. No project-IRR equivalence is claimed.</x:v>
      </x:c>
      <x:c r="G36" s="184" t="str">
        <x:v>Separate asset lives prevent early retirement of hard assets. Construction capital is excluded from row 27 and explicitly included in row 54 below. No project-IRR equivalence is claimed.</x:v>
      </x:c>
      <x:c r="H36" s="184" t="str">
        <x:v>Separate asset lives prevent early retirement of hard assets. Construction capital is excluded from row 27 and explicitly included in row 54 below. No project-IRR equivalence is claimed.</x:v>
      </x:c>
      <x:c r="I36" s="184" t="str">
        <x:v>Separate asset lives prevent early retirement of hard assets. Construction capital is excluded from row 27 and explicitly included in row 54 below. No project-IRR equivalence is claimed.</x:v>
      </x:c>
      <x:c r="J36" s="184" t="str">
        <x:v>Separate asset lives prevent early retirement of hard assets. Construction capital is excluded from row 27 and explicitly included in row 54 below. No project-IRR equivalence is claimed.</x:v>
      </x:c>
      <x:c r="K36" s="184" t="str">
        <x:v>Separate asset lives prevent early retirement of hard assets. Construction capital is excluded from row 27 and explicitly included in row 54 below. No project-IRR equivalence is claimed.</x:v>
      </x:c>
      <x:c r="L36" s="184" t="str">
        <x:v>Separate asset lives prevent early retirement of hard assets. Construction capital is excluded from row 27 and explicitly included in row 54 below. No project-IRR equivalence is claimed.</x:v>
      </x:c>
      <x:c r="M36" s="184" t="str">
        <x:v>Separate asset lives prevent early retirement of hard assets. Construction capital is excluded from row 27 and explicitly included in row 54 below. No project-IRR equivalence is claimed.</x:v>
      </x:c>
      <x:c r="N36" s="184" t="str">
        <x:v>Separate asset lives prevent early retirement of hard assets. Construction capital is excluded from row 27 and explicitly included in row 54 below. No project-IRR equivalence is claimed.</x:v>
      </x:c>
      <x:c r="O36" s="184" t="str">
        <x:v>Separate asset lives prevent early retirement of hard assets. Construction capital is excluded from row 27 and explicitly included in row 54 below. No project-IRR equivalence is claimed.</x:v>
      </x:c>
      <x:c r="P36" s="184" t="str">
        <x:v>Separate asset lives prevent early retirement of hard assets. Construction capital is excluded from row 27 and explicitly included in row 54 below. No project-IRR equivalence is claimed.</x:v>
      </x:c>
      <x:c r="Q36" s="184" t="str">
        <x:v>Separate asset lives prevent early retirement of hard assets. Construction capital is excluded from row 27 and explicitly included in row 54 below. No project-IRR equivalence is claimed.</x:v>
      </x:c>
      <x:c r="R36" s="184" t="str">
        <x:v>Separate asset lives prevent early retirement of hard assets. Construction capital is excluded from row 27 and explicitly included in row 54 below. No project-IRR equivalence is claimed.</x:v>
      </x:c>
      <x:c r="S36" s="184" t="str">
        <x:v>Separate asset lives prevent early retirement of hard assets. Construction capital is excluded from row 27 and explicitly included in row 54 below. No project-IRR equivalence is claimed.</x:v>
      </x:c>
      <x:c r="T36" s="184" t="str">
        <x:v>Separate asset lives prevent early retirement of hard assets. Construction capital is excluded from row 27 and explicitly included in row 54 below. No project-IRR equivalence is claimed.</x:v>
      </x:c>
      <x:c r="U36" s="184" t="str">
        <x:v>Separate asset lives prevent early retirement of hard assets. Construction capital is excluded from row 27 and explicitly included in row 54 below. No project-IRR equivalence is claimed.</x:v>
      </x:c>
      <x:c r="V36" s="184" t="str">
        <x:v>Separate asset lives prevent early retirement of hard assets. Construction capital is excluded from row 27 and explicitly included in row 54 below. No project-IRR equivalence is claimed.</x:v>
      </x:c>
      <x:c r="W36" s="184" t="str">
        <x:v>Separate asset lives prevent early retirement of hard assets. Construction capital is excluded from row 27 and explicitly included in row 54 below. No project-IRR equivalence is claimed.</x:v>
      </x:c>
      <x:c r="X36" s="184" t="str">
        <x:v>Separate asset lives prevent early retirement of hard assets. Construction capital is excluded from row 27 and explicitly included in row 54 below. No project-IRR equivalence is claimed.</x:v>
      </x:c>
      <x:c r="Y36" s="184" t="str">
        <x:v>Separate asset lives prevent early retirement of hard assets. Construction capital is excluded from row 27 and explicitly included in row 54 below. No project-IRR equivalence is claimed.</x:v>
      </x:c>
      <x:c r="Z36" s="184" t="str">
        <x:v>Separate asset lives prevent early retirement of hard assets. Construction capital is excluded from row 27 and explicitly included in row 54 below. No project-IRR equivalence is claimed.</x:v>
      </x:c>
    </x:row>
    <x:row r="39" ht="30" customHeight="1">
      <x:c r="C39" s="194" t="str">
        <x:v>ASSET LIVES &amp; COMMISSIONING | editable controls</x:v>
      </x:c>
      <x:c r="D39" s="194" t="str">
        <x:v>ASSET LIVES &amp; COMMISSIONING | editable controls</x:v>
      </x:c>
      <x:c r="E39" s="194" t="str">
        <x:v>ASSET LIVES &amp; COMMISSIONING | editable controls</x:v>
      </x:c>
      <x:c r="F39" s="194" t="str">
        <x:v>ASSET LIVES &amp; COMMISSIONING | editable controls</x:v>
      </x:c>
      <x:c r="G39" s="194" t="str">
        <x:v>ASSET LIVES &amp; COMMISSIONING | editable controls</x:v>
      </x:c>
      <x:c r="H39" s="194" t="str">
        <x:v>ASSET LIVES &amp; COMMISSIONING | editable controls</x:v>
      </x:c>
      <x:c r="I39" s="194" t="str">
        <x:v>ASSET LIVES &amp; COMMISSIONING | editable controls</x:v>
      </x:c>
      <x:c r="J39" s="194" t="str">
        <x:v>ASSET LIVES &amp; COMMISSIONING | editable controls</x:v>
      </x:c>
    </x:row>
    <x:row r="40" ht="26" customHeight="1">
      <x:c r="C40" s="184" t="str">
        <x:v>Commissioning lag (years)</x:v>
      </x:c>
      <x:c r="D40" s="202" t="n">
        <x:v>2</x:v>
      </x:c>
      <x:c r="E40" s="184" t="str">
        <x:v>Two years preserves the original fleet convention. All vintages retain the original CY2027 asset mix. Assets enter service at the start of the commissioning year. Construction spending is assumed uniform within the capex year.</x:v>
      </x:c>
      <x:c r="F40" s="184" t="str">
        <x:v>Two years preserves the original fleet convention. All vintages retain the original CY2027 asset mix. Assets enter service at the start of the commissioning year. Construction spending is assumed uniform within the capex year.</x:v>
      </x:c>
      <x:c r="G40" s="184" t="str">
        <x:v>Two years preserves the original fleet convention. All vintages retain the original CY2027 asset mix. Assets enter service at the start of the commissioning year. Construction spending is assumed uniform within the capex year.</x:v>
      </x:c>
      <x:c r="H40" s="184" t="str">
        <x:v>Two years preserves the original fleet convention. All vintages retain the original CY2027 asset mix. Assets enter service at the start of the commissioning year. Construction spending is assumed uniform within the capex year.</x:v>
      </x:c>
      <x:c r="I40" s="184" t="str">
        <x:v>Two years preserves the original fleet convention. All vintages retain the original CY2027 asset mix. Assets enter service at the start of the commissioning year. Construction spending is assumed uniform within the capex year.</x:v>
      </x:c>
      <x:c r="J40" s="184" t="str">
        <x:v>Two years preserves the original fleet convention. All vintages retain the original CY2027 asset mix. Assets enter service at the start of the commissioning year. Construction spending is assumed uniform within the capex year.</x:v>
      </x:c>
    </x:row>
    <x:row r="41" ht="26" customHeight="1">
      <x:c r="C41" s="184" t="str">
        <x:v>Chip asset life (years)</x:v>
      </x:c>
      <x:c r="D41" s="202" t="n">
        <x:v>5</x:v>
      </x:c>
      <x:c r="E41" s="184" t="str">
        <x:v>Two years preserves the original fleet convention. All vintages retain the original CY2027 asset mix. Assets enter service at the start of the commissioning year. Construction spending is assumed uniform within the capex year.</x:v>
      </x:c>
      <x:c r="F41" s="184" t="str">
        <x:v>Two years preserves the original fleet convention. All vintages retain the original CY2027 asset mix. Assets enter service at the start of the commissioning year. Construction spending is assumed uniform within the capex year.</x:v>
      </x:c>
      <x:c r="G41" s="184" t="str">
        <x:v>Two years preserves the original fleet convention. All vintages retain the original CY2027 asset mix. Assets enter service at the start of the commissioning year. Construction spending is assumed uniform within the capex year.</x:v>
      </x:c>
      <x:c r="H41" s="184" t="str">
        <x:v>Two years preserves the original fleet convention. All vintages retain the original CY2027 asset mix. Assets enter service at the start of the commissioning year. Construction spending is assumed uniform within the capex year.</x:v>
      </x:c>
      <x:c r="I41" s="184" t="str">
        <x:v>Two years preserves the original fleet convention. All vintages retain the original CY2027 asset mix. Assets enter service at the start of the commissioning year. Construction spending is assumed uniform within the capex year.</x:v>
      </x:c>
      <x:c r="J41" s="184" t="str">
        <x:v>Two years preserves the original fleet convention. All vintages retain the original CY2027 asset mix. Assets enter service at the start of the commissioning year. Construction spending is assumed uniform within the capex year.</x:v>
      </x:c>
    </x:row>
    <x:row r="42" ht="26" customHeight="1">
      <x:c r="C42" s="184" t="str">
        <x:v>Networking / CPU life (years)</x:v>
      </x:c>
      <x:c r="D42" s="202" t="n">
        <x:v>6</x:v>
      </x:c>
      <x:c r="E42" s="184" t="str">
        <x:v>Two years preserves the original fleet convention. All vintages retain the original CY2027 asset mix. Assets enter service at the start of the commissioning year. Construction spending is assumed uniform within the capex year.</x:v>
      </x:c>
      <x:c r="F42" s="184" t="str">
        <x:v>Two years preserves the original fleet convention. All vintages retain the original CY2027 asset mix. Assets enter service at the start of the commissioning year. Construction spending is assumed uniform within the capex year.</x:v>
      </x:c>
      <x:c r="G42" s="184" t="str">
        <x:v>Two years preserves the original fleet convention. All vintages retain the original CY2027 asset mix. Assets enter service at the start of the commissioning year. Construction spending is assumed uniform within the capex year.</x:v>
      </x:c>
      <x:c r="H42" s="184" t="str">
        <x:v>Two years preserves the original fleet convention. All vintages retain the original CY2027 asset mix. Assets enter service at the start of the commissioning year. Construction spending is assumed uniform within the capex year.</x:v>
      </x:c>
      <x:c r="I42" s="184" t="str">
        <x:v>Two years preserves the original fleet convention. All vintages retain the original CY2027 asset mix. Assets enter service at the start of the commissioning year. Construction spending is assumed uniform within the capex year.</x:v>
      </x:c>
      <x:c r="J42" s="184" t="str">
        <x:v>Two years preserves the original fleet convention. All vintages retain the original CY2027 asset mix. Assets enter service at the start of the commissioning year. Construction spending is assumed uniform within the capex year.</x:v>
      </x:c>
    </x:row>
    <x:row r="43" ht="26" customHeight="1">
      <x:c r="C43" s="184" t="str">
        <x:v>Hard-asset life (years)</x:v>
      </x:c>
      <x:c r="D43" s="202" t="n">
        <x:v>15</x:v>
      </x:c>
      <x:c r="E43" s="184" t="str">
        <x:v>Two years preserves the original fleet convention. All vintages retain the original CY2027 asset mix. Assets enter service at the start of the commissioning year. Construction spending is assumed uniform within the capex year.</x:v>
      </x:c>
      <x:c r="F43" s="184" t="str">
        <x:v>Two years preserves the original fleet convention. All vintages retain the original CY2027 asset mix. Assets enter service at the start of the commissioning year. Construction spending is assumed uniform within the capex year.</x:v>
      </x:c>
      <x:c r="G43" s="184" t="str">
        <x:v>Two years preserves the original fleet convention. All vintages retain the original CY2027 asset mix. Assets enter service at the start of the commissioning year. Construction spending is assumed uniform within the capex year.</x:v>
      </x:c>
      <x:c r="H43" s="184" t="str">
        <x:v>Two years preserves the original fleet convention. All vintages retain the original CY2027 asset mix. Assets enter service at the start of the commissioning year. Construction spending is assumed uniform within the capex year.</x:v>
      </x:c>
      <x:c r="I43" s="184" t="str">
        <x:v>Two years preserves the original fleet convention. All vintages retain the original CY2027 asset mix. Assets enter service at the start of the commissioning year. Construction spending is assumed uniform within the capex year.</x:v>
      </x:c>
      <x:c r="J43" s="184" t="str">
        <x:v>Two years preserves the original fleet convention. All vintages retain the original CY2027 asset mix. Assets enter service at the start of the commissioning year. Construction spending is assumed uniform within the capex year.</x:v>
      </x:c>
    </x:row>
    <x:row r="44" ht="26" customHeight="1">
      <x:c r="C44" s="184" t="str">
        <x:v>Fixed capex-mix reference year</x:v>
      </x:c>
      <x:c r="D44" t="n">
        <x:v>2027</x:v>
      </x:c>
    </x:row>
    <x:row r="45" ht="26" customHeight="1">
      <x:c r="C45" s="184" t="str">
        <x:v>Chip share</x:v>
      </x:c>
      <x:c r="D45" s="174" t="n">
        <x:f>'Capa DCF - Base'!H12</x:f>
        <x:v>0.40680882189713197</x:v>
      </x:c>
      <x:c r="E45" s="184" t="str">
        <x:v>Life and lag inputs are editable. The first-year weighted D&amp;A rate is used only for the single-vintage hurdle; fleet depreciation is calculated separately for every asset class and investment year.</x:v>
      </x:c>
      <x:c r="F45" s="184" t="str">
        <x:v>Life and lag inputs are editable. The first-year weighted D&amp;A rate is used only for the single-vintage hurdle; fleet depreciation is calculated separately for every asset class and investment year.</x:v>
      </x:c>
      <x:c r="G45" s="184" t="str">
        <x:v>Life and lag inputs are editable. The first-year weighted D&amp;A rate is used only for the single-vintage hurdle; fleet depreciation is calculated separately for every asset class and investment year.</x:v>
      </x:c>
      <x:c r="H45" s="184" t="str">
        <x:v>Life and lag inputs are editable. The first-year weighted D&amp;A rate is used only for the single-vintage hurdle; fleet depreciation is calculated separately for every asset class and investment year.</x:v>
      </x:c>
      <x:c r="I45" s="184" t="str">
        <x:v>Life and lag inputs are editable. The first-year weighted D&amp;A rate is used only for the single-vintage hurdle; fleet depreciation is calculated separately for every asset class and investment year.</x:v>
      </x:c>
      <x:c r="J45" s="184" t="str">
        <x:v>Life and lag inputs are editable. The first-year weighted D&amp;A rate is used only for the single-vintage hurdle; fleet depreciation is calculated separately for every asset class and investment year.</x:v>
      </x:c>
    </x:row>
    <x:row r="46" ht="26" customHeight="1">
      <x:c r="C46" s="184" t="str">
        <x:v>Networking / CPU share</x:v>
      </x:c>
      <x:c r="D46" s="174" t="n">
        <x:f>'Capa DCF - Base'!H13</x:f>
        <x:v>0.23079007370800417</x:v>
      </x:c>
      <x:c r="E46" s="184" t="str">
        <x:v>Life and lag inputs are editable. The first-year weighted D&amp;A rate is used only for the single-vintage hurdle; fleet depreciation is calculated separately for every asset class and investment year.</x:v>
      </x:c>
      <x:c r="F46" s="184" t="str">
        <x:v>Life and lag inputs are editable. The first-year weighted D&amp;A rate is used only for the single-vintage hurdle; fleet depreciation is calculated separately for every asset class and investment year.</x:v>
      </x:c>
      <x:c r="G46" s="184" t="str">
        <x:v>Life and lag inputs are editable. The first-year weighted D&amp;A rate is used only for the single-vintage hurdle; fleet depreciation is calculated separately for every asset class and investment year.</x:v>
      </x:c>
      <x:c r="H46" s="184" t="str">
        <x:v>Life and lag inputs are editable. The first-year weighted D&amp;A rate is used only for the single-vintage hurdle; fleet depreciation is calculated separately for every asset class and investment year.</x:v>
      </x:c>
      <x:c r="I46" s="184" t="str">
        <x:v>Life and lag inputs are editable. The first-year weighted D&amp;A rate is used only for the single-vintage hurdle; fleet depreciation is calculated separately for every asset class and investment year.</x:v>
      </x:c>
      <x:c r="J46" s="184" t="str">
        <x:v>Life and lag inputs are editable. The first-year weighted D&amp;A rate is used only for the single-vintage hurdle; fleet depreciation is calculated separately for every asset class and investment year.</x:v>
      </x:c>
    </x:row>
    <x:row r="47" ht="26" customHeight="1">
      <x:c r="C47" s="184" t="str">
        <x:v>Hard-asset share</x:v>
      </x:c>
      <x:c r="D47" s="174" t="n">
        <x:f>'Capa DCF - Base'!H14</x:f>
        <x:v>0.36240110439486384</x:v>
      </x:c>
      <x:c r="E47" s="184" t="str">
        <x:v>Life and lag inputs are editable. The first-year weighted D&amp;A rate is used only for the single-vintage hurdle; fleet depreciation is calculated separately for every asset class and investment year.</x:v>
      </x:c>
      <x:c r="F47" s="184" t="str">
        <x:v>Life and lag inputs are editable. The first-year weighted D&amp;A rate is used only for the single-vintage hurdle; fleet depreciation is calculated separately for every asset class and investment year.</x:v>
      </x:c>
      <x:c r="G47" s="184" t="str">
        <x:v>Life and lag inputs are editable. The first-year weighted D&amp;A rate is used only for the single-vintage hurdle; fleet depreciation is calculated separately for every asset class and investment year.</x:v>
      </x:c>
      <x:c r="H47" s="184" t="str">
        <x:v>Life and lag inputs are editable. The first-year weighted D&amp;A rate is used only for the single-vintage hurdle; fleet depreciation is calculated separately for every asset class and investment year.</x:v>
      </x:c>
      <x:c r="I47" s="184" t="str">
        <x:v>Life and lag inputs are editable. The first-year weighted D&amp;A rate is used only for the single-vintage hurdle; fleet depreciation is calculated separately for every asset class and investment year.</x:v>
      </x:c>
      <x:c r="J47" s="184" t="str">
        <x:v>Life and lag inputs are editable. The first-year weighted D&amp;A rate is used only for the single-vintage hurdle; fleet depreciation is calculated separately for every asset class and investment year.</x:v>
      </x:c>
    </x:row>
    <x:row r="48" ht="26" customHeight="1">
      <x:c r="C48" s="184" t="str">
        <x:v>Asset weights sum</x:v>
      </x:c>
      <x:c r="D48" s="174" t="n">
        <x:f>SUM(D45:D47)</x:f>
        <x:v>1</x:v>
      </x:c>
      <x:c r="E48" s="184" t="str">
        <x:v>Life and lag inputs are editable. The first-year weighted D&amp;A rate is used only for the single-vintage hurdle; fleet depreciation is calculated separately for every asset class and investment year.</x:v>
      </x:c>
      <x:c r="F48" s="184" t="str">
        <x:v>Life and lag inputs are editable. The first-year weighted D&amp;A rate is used only for the single-vintage hurdle; fleet depreciation is calculated separately for every asset class and investment year.</x:v>
      </x:c>
      <x:c r="G48" s="184" t="str">
        <x:v>Life and lag inputs are editable. The first-year weighted D&amp;A rate is used only for the single-vintage hurdle; fleet depreciation is calculated separately for every asset class and investment year.</x:v>
      </x:c>
      <x:c r="H48" s="184" t="str">
        <x:v>Life and lag inputs are editable. The first-year weighted D&amp;A rate is used only for the single-vintage hurdle; fleet depreciation is calculated separately for every asset class and investment year.</x:v>
      </x:c>
      <x:c r="I48" s="184" t="str">
        <x:v>Life and lag inputs are editable. The first-year weighted D&amp;A rate is used only for the single-vintage hurdle; fleet depreciation is calculated separately for every asset class and investment year.</x:v>
      </x:c>
      <x:c r="J48" s="184" t="str">
        <x:v>Life and lag inputs are editable. The first-year weighted D&amp;A rate is used only for the single-vintage hurdle; fleet depreciation is calculated separately for every asset class and investment year.</x:v>
      </x:c>
    </x:row>
    <x:row r="51" ht="30" customHeight="1">
      <x:c r="C51" s="194" t="str">
        <x:v>CAPITAL SCOPE | supplemental construction-inclusive return</x:v>
      </x:c>
      <x:c r="D51" s="194" t="str">
        <x:v>CAPITAL SCOPE | supplemental construction-inclusive return</x:v>
      </x:c>
      <x:c r="E51" s="194" t="str">
        <x:v>CAPITAL SCOPE | supplemental construction-inclusive return</x:v>
      </x:c>
      <x:c r="F51" s="194" t="str">
        <x:v>CAPITAL SCOPE | supplemental construction-inclusive return</x:v>
      </x:c>
      <x:c r="G51" s="194" t="str">
        <x:v>CAPITAL SCOPE | supplemental construction-inclusive return</x:v>
      </x:c>
      <x:c r="H51" s="194" t="str">
        <x:v>CAPITAL SCOPE | supplemental construction-inclusive return</x:v>
      </x:c>
      <x:c r="I51" s="194" t="str">
        <x:v>CAPITAL SCOPE | supplemental construction-inclusive return</x:v>
      </x:c>
      <x:c r="J51" s="194" t="str">
        <x:v>CAPITAL SCOPE | supplemental construction-inclusive return</x:v>
      </x:c>
      <x:c r="K51" s="194" t="str">
        <x:v>CAPITAL SCOPE | supplemental construction-inclusive return</x:v>
      </x:c>
      <x:c r="L51" s="194" t="str">
        <x:v>CAPITAL SCOPE | supplemental construction-inclusive return</x:v>
      </x:c>
      <x:c r="M51" s="194" t="str">
        <x:v>CAPITAL SCOPE | supplemental construction-inclusive return</x:v>
      </x:c>
      <x:c r="N51" s="194" t="str">
        <x:v>CAPITAL SCOPE | supplemental construction-inclusive return</x:v>
      </x:c>
    </x:row>
    <x:row r="52" ht="28" customHeight="1">
      <x:c r="C52" s="184" t="str">
        <x:v>Average construction in progress</x:v>
      </x:c>
      <x:c r="D52" s="169" t="n">
        <x:f>'Cloud Cohorts'!G20</x:f>
        <x:v>26913.722461821737</x:v>
      </x:c>
      <x:c r="E52" s="169" t="n">
        <x:f>'Cloud Cohorts'!H20</x:f>
        <x:v>123986.55236183689</x:v>
      </x:c>
      <x:c r="F52" s="169" t="n">
        <x:f>'Cloud Cohorts'!I20</x:f>
        <x:v>259196.44083231495</x:v>
      </x:c>
      <x:c r="G52" s="169" t="n">
        <x:f>'Cloud Cohorts'!J20</x:f>
        <x:v>508236.05020966963</x:v>
      </x:c>
      <x:c r="H52" s="169" t="n">
        <x:f>'Cloud Cohorts'!K20</x:f>
        <x:v>1106583.0781555113</x:v>
      </x:c>
      <x:c r="I52" s="169" t="n">
        <x:f>'Cloud Cohorts'!L20</x:f>
        <x:v>2005177.31551626</x:v>
      </x:c>
      <x:c r="J52" s="169" t="n">
        <x:f>'Cloud Cohorts'!M20</x:f>
        <x:v>2709181.6124291215</x:v>
      </x:c>
      <x:c r="K52" s="169" t="n">
        <x:f>'Cloud Cohorts'!N20</x:f>
        <x:v>2960873.323519311</x:v>
      </x:c>
      <x:c r="L52" s="169" t="n">
        <x:f>'Cloud Cohorts'!O20</x:f>
        <x:v>3197743.1894008564</x:v>
      </x:c>
      <x:c r="M52" s="169" t="n">
        <x:f>'Cloud Cohorts'!P20</x:f>
        <x:v>3453562.6445529247</x:v>
      </x:c>
      <x:c r="N52" s="169" t="n">
        <x:f>'Cloud Cohorts'!Q20</x:f>
        <x:v>3729847.656117159</x:v>
      </x:c>
      <x:c r="O52" s="169" t="n">
        <x:f>'Cloud Cohorts'!R20</x:f>
        <x:v>4028235.4686065326</x:v>
      </x:c>
      <x:c r="P52" s="169" t="n">
        <x:f>'Cloud Cohorts'!S20</x:f>
        <x:v>4350494.306095054</x:v>
      </x:c>
      <x:c r="Q52" s="169" t="n">
        <x:f>'Cloud Cohorts'!T20</x:f>
        <x:v>4698533.850582659</x:v>
      </x:c>
      <x:c r="R52" s="169" t="n">
        <x:f>'Cloud Cohorts'!U20</x:f>
        <x:v>5074416.5586292725</x:v>
      </x:c>
      <x:c r="S52" s="169" t="n">
        <x:f>'Cloud Cohorts'!V20</x:f>
        <x:v>5480369.883319614</x:v>
      </x:c>
      <x:c r="T52" s="169" t="n">
        <x:f>'Cloud Cohorts'!W20</x:f>
        <x:v>5918799.473985184</x:v>
      </x:c>
      <x:c r="U52" s="169" t="n">
        <x:f>'Cloud Cohorts'!X20</x:f>
        <x:v>6392303.431903999</x:v>
      </x:c>
      <x:c r="V52" s="169" t="n">
        <x:f>'Cloud Cohorts'!Y20</x:f>
        <x:v>6903687.70645632</x:v>
      </x:c>
      <x:c r="W52" s="169" t="n">
        <x:f>'Cloud Cohorts'!Z20</x:f>
        <x:v>7455982.722972825</x:v>
      </x:c>
      <x:c r="X52" s="169" t="n">
        <x:f>'Cloud Cohorts'!AA20</x:f>
        <x:v>8052461.340810653</x:v>
      </x:c>
      <x:c r="Y52" s="169" t="n">
        <x:f>'Cloud Cohorts'!AB20</x:f>
        <x:v>8696658.248075506</x:v>
      </x:c>
      <x:c r="Z52" s="169" t="n">
        <x:f>'Cloud Cohorts'!AC20</x:f>
        <x:v>9392390.907921547</x:v>
      </x:c>
    </x:row>
    <x:row r="53" ht="28" customHeight="1">
      <x:c r="C53" s="184" t="str">
        <x:v>Average capital: service + construction</x:v>
      </x:c>
      <x:c r="D53" s="169" t="n">
        <x:f>SUM(D20,D52)</x:f>
        <x:v>26913.722461821737</x:v>
      </x:c>
      <x:c r="E53" s="169" t="n">
        <x:f>SUM(E20,E52)</x:f>
        <x:v>123986.55236183689</x:v>
      </x:c>
      <x:c r="F53" s="169" t="n">
        <x:f>SUM(F20,F52)</x:f>
        <x:v>309148.66362909024</x:v>
      </x:c>
      <x:c r="G53" s="169" t="n">
        <x:f>SUM(G20,G52)</x:f>
        <x:v>680654.0547298829</x:v>
      </x:c>
      <x:c r="H53" s="169" t="n">
        <x:f>SUM(H20,H52)</x:f>
        <x:v>1471686.2112119126</x:v>
      </x:c>
      <x:c r="I53" s="169" t="n">
        <x:f>SUM(I20,I52)</x:f>
        <x:v>2810105.915042394</x:v>
      </x:c>
      <x:c r="J53" s="169" t="n">
        <x:f>SUM(J20,J52)</x:f>
        <x:v>4423836.338367562</x:v>
      </x:c>
      <x:c r="K53" s="169" t="n">
        <x:f>SUM(K20,K52)</x:f>
        <x:v>5996778.500708649</x:v>
      </x:c>
      <x:c r="L53" s="169" t="n">
        <x:f>SUM(L20,L52)</x:f>
        <x:v>7474365.818086379</x:v>
      </x:c>
      <x:c r="M53" s="169" t="n">
        <x:f>SUM(M20,M52)</x:f>
        <x:v>8855919.620554902</x:v>
      </x:c>
      <x:c r="N53" s="169" t="n">
        <x:f>SUM(N20,N52)</x:f>
        <x:v>10152063.925769974</x:v>
      </x:c>
      <x:c r="O53" s="169" t="n">
        <x:f>SUM(O20,O52)</x:f>
        <x:v>11396903.30582929</x:v>
      </x:c>
      <x:c r="P53" s="169" t="n">
        <x:f>SUM(P20,P52)</x:f>
        <x:v>12645974.916206019</x:v>
      </x:c>
      <x:c r="Q53" s="169" t="n">
        <x:f>SUM(Q20,Q52)</x:f>
        <x:v>13943080.956568899</x:v>
      </x:c>
      <x:c r="R53" s="169" t="n">
        <x:f>SUM(R20,R52)</x:f>
        <x:v>15304277.027594665</x:v>
      </x:c>
      <x:c r="S53" s="169" t="n">
        <x:f>SUM(S20,S52)</x:f>
        <x:v>16735362.64595573</x:v>
      </x:c>
      <x:c r="T53" s="169" t="n">
        <x:f>SUM(T20,T52)</x:f>
        <x:v>18241928.975438915</x:v>
      </x:c>
      <x:c r="U53" s="169" t="n">
        <x:f>SUM(U20,U52)</x:f>
        <x:v>19830664.71045023</x:v>
      </x:c>
      <x:c r="V53" s="169" t="n">
        <x:f>SUM(V20,V52)</x:f>
        <x:v>21509786.433631882</x:v>
      </x:c>
      <x:c r="W53" s="169" t="n">
        <x:f>SUM(W20,W52)</x:f>
        <x:v>23288559.270275533</x:v>
      </x:c>
      <x:c r="X53" s="169" t="n">
        <x:f>SUM(X20,X52)</x:f>
        <x:v>25179429.69479473</x:v>
      </x:c>
      <x:c r="Y53" s="169" t="n">
        <x:f>SUM(Y20,Y52)</x:f>
        <x:v>27201406.369055085</x:v>
      </x:c>
      <x:c r="Z53" s="169" t="n">
        <x:f>SUM(Z20,Z52)</x:f>
        <x:v>29377941.162626095</x:v>
      </x:c>
    </x:row>
    <x:row r="54" ht="28" customHeight="1">
      <x:c r="C54" s="184" t="str">
        <x:v>ROIC including construction capital</x:v>
      </x:c>
      <x:c r="G54" s="174" t="n">
        <x:f>IF(G53&gt;0,($D$7*G25-G21)*(1-$D$8)/G53,0)</x:f>
        <x:v>0.12243920487439944</x:v>
      </x:c>
      <x:c r="H54" s="174" t="n">
        <x:f>IF(H53&gt;0,($D$7*H25-H21)*(1-$D$8)/H53,0)</x:f>
        <x:v>0.09747511250212103</x:v>
      </x:c>
      <x:c r="I54" s="174" t="n">
        <x:f>IF(I53&gt;0,($D$7*I25-I21)*(1-$D$8)/I53,0)</x:f>
        <x:v>0.07677218094358672</x:v>
      </x:c>
      <x:c r="J54" s="174" t="n">
        <x:f>IF(J53&gt;0,($D$7*J25-J21)*(1-$D$8)/J53,0)</x:f>
        <x:v>0.05828019689177173</x:v>
      </x:c>
      <x:c r="K54" s="174" t="n">
        <x:f>IF(K53&gt;0,($D$7*K25-K21)*(1-$D$8)/K53,0)</x:f>
        <x:v>0.03936859117499881</x:v>
      </x:c>
      <x:c r="L54" s="174" t="n">
        <x:f>IF(L53&gt;0,($D$7*L25-L21)*(1-$D$8)/L53,0)</x:f>
        <x:v>0.022531487556001775</x:v>
      </x:c>
      <x:c r="M54" s="174" t="n">
        <x:f>IF(M53&gt;0,($D$7*M25-M21)*(1-$D$8)/M53,0)</x:f>
        <x:v>0.004719867475064952</x:v>
      </x:c>
      <x:c r="N54" s="174" t="n">
        <x:f>IF(N53&gt;0,($D$7*N25-N21)*(1-$D$8)/N53,0)</x:f>
        <x:v>-0.012229584699557023</x:v>
      </x:c>
    </x:row>
    <x:row r="56" ht="24" customHeight="1">
      <x:c r="C56"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D56"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E56"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F56"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G56"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H56"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I56"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J56"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K56"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L56"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M56"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N56" s="184" t="str">
        <x:v>Construction-inclusive capital is an explicit supplemental definition: same in-service NOPAT / (average net operating assets + average construction capital). No pre-CY2023 capital stock is supplied. It is not a complete corporate invested-capital or cash-return measure.</x:v>
      </x:c>
    </x:row>
    <x:row r="57" ht="24" customHeight="1">
      <x:c r="C57"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D57"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E57"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F57"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G57"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H57"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I57"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J57"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K57"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L57"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M57" s="184" t="str">
        <x:v>Construction-inclusive capital is an explicit supplemental definition: same in-service NOPAT / (average net operating assets + average construction capital). No pre-CY2023 capital stock is supplied. It is not a complete corporate invested-capital or cash-return measure.</x:v>
      </x:c>
      <x:c r="N57" s="184" t="str">
        <x:v>Construction-inclusive capital is an explicit supplemental definition: same in-service NOPAT / (average net operating assets + average construction capital). No pre-CY2023 capital stock is supplied. It is not a complete corporate invested-capital or cash-return measure.</x:v>
      </x:c>
    </x:row>
  </x:sheetData>
  <x:mergeCells>
    <x:mergeCell ref="C2:Z2"/>
    <x:mergeCell ref="C3:Z3"/>
    <x:mergeCell ref="C39:J39"/>
    <x:mergeCell ref="C32:Z32"/>
    <x:mergeCell ref="C33:Z33"/>
    <x:mergeCell ref="C34:Z34"/>
    <x:mergeCell ref="C36:Z36"/>
    <x:mergeCell ref="E40:J43"/>
    <x:mergeCell ref="E45:J48"/>
    <x:mergeCell ref="C51:N51"/>
    <x:mergeCell ref="C56:N57"/>
  </x:mergeCells>
  <x:dataValidations count="3">
    <x:dataValidation type="whole" operator="between" sqref="D40">
      <x:formula1>1</x:formula1>
      <x:formula2>5</x:formula2>
    </x:dataValidation>
    <x:dataValidation type="whole" operator="between" sqref="D41:D43">
      <x:formula1>1</x:formula1>
      <x:formula2>30</x:formula2>
    </x:dataValidation>
    <x:dataValidation type="decimal" operator="between" sqref="D6:D8">
      <x:formula1>0</x:formula1>
      <x:formula2>1</x:formula2>
    </x:dataValidation>
  </x:dataValidations>
  <x:pageMargins left="0.7" right="0.7" top="0.75" bottom="0.75" header="0.3" footer="0.3"/>
  <x:legacyDrawing xmlns:r="http://schemas.openxmlformats.org/officeDocument/2006/relationships" r:id="R3d51353ce5bd4385"/>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7" hidden="0" customWidth="1"/>
    <x:col min="3" max="3" width="17" hidden="0" customWidth="1"/>
    <x:col min="4" max="4" width="17" hidden="0" customWidth="1"/>
    <x:col min="5" max="5" width="17" hidden="0" customWidth="1"/>
    <x:col min="6" max="6" width="20" hidden="0" customWidth="1"/>
    <x:col min="7" max="7" width="22" hidden="0" customWidth="1"/>
    <x:col min="8" max="8" width="22" hidden="0" customWidth="1"/>
  </x:cols>
  <x:sheetData>
    <x:row r="1" ht="30" customHeight="1">
      <x:c r="A1" s="172" t="str">
        <x:v>AUDIT &amp; CHECKS | corrected 31-Aug-2026</x:v>
      </x:c>
      <x:c r="B1" s="172" t="str">
        <x:v>AUDIT &amp; CHECKS | corrected 31-Aug-2026</x:v>
      </x:c>
      <x:c r="C1" s="172" t="str">
        <x:v>AUDIT &amp; CHECKS | corrected 31-Aug-2026</x:v>
      </x:c>
      <x:c r="D1" s="172" t="str">
        <x:v>AUDIT &amp; CHECKS | corrected 31-Aug-2026</x:v>
      </x:c>
      <x:c r="E1" s="172" t="str">
        <x:v>AUDIT &amp; CHECKS | corrected 31-Aug-2026</x:v>
      </x:c>
      <x:c r="F1" s="172" t="str">
        <x:v>AUDIT &amp; CHECKS | corrected 31-Aug-2026</x:v>
      </x:c>
      <x:c r="G1" s="172" t="str">
        <x:v>AUDIT &amp; CHECKS | corrected 31-Aug-2026</x:v>
      </x:c>
      <x:c r="H1" s="172" t="str">
        <x:v>AUDIT &amp; CHECKS | corrected 31-Aug-2026</x:v>
      </x:c>
      <x:c r="I1" s="169"/>
      <x:c r="J1" s="169"/>
      <x:c r="K1" s="169"/>
      <x:c r="L1" s="169"/>
      <x:c r="M1" s="169"/>
      <x:c r="N1" s="169"/>
      <x:c r="O1" s="169"/>
      <x:c r="P1" s="169"/>
      <x:c r="Q1" s="169"/>
      <x:c r="R1" s="169"/>
      <x:c r="S1" s="169"/>
      <x:c r="T1" s="169"/>
      <x:c r="U1" s="169"/>
      <x:c r="V1" s="169"/>
      <x:c r="W1" s="169"/>
      <x:c r="X1" s="169"/>
      <x:c r="Y1" s="169"/>
      <x:c r="Z1" s="169"/>
      <x:c r="AA1" s="169"/>
      <x:c r="AB1" s="169"/>
      <x:c r="AC1" s="169"/>
    </x:row>
    <x:row r="2" ht="21" customHeight="1">
      <x:c r="A2" s="170" t="str">
        <x:v>Formula corrections are complete. Commercial assumptions remain the user's inputs and are explicitly flagged below. The valuation date is preserved at 27-Aug-2026; change D5 to update all valuation outputs together.</x:v>
      </x:c>
      <x:c r="B2" s="170" t="str">
        <x:v>Formula corrections are complete. Commercial assumptions remain the user's inputs and are explicitly flagged below. The valuation date is preserved at 27-Aug-2026; change D5 to update all valuation outputs together.</x:v>
      </x:c>
      <x:c r="C2" s="170" t="str">
        <x:v>Formula corrections are complete. Commercial assumptions remain the user's inputs and are explicitly flagged below. The valuation date is preserved at 27-Aug-2026; change D5 to update all valuation outputs together.</x:v>
      </x:c>
      <x:c r="D2" s="170" t="str">
        <x:v>Formula corrections are complete. Commercial assumptions remain the user's inputs and are explicitly flagged below. The valuation date is preserved at 27-Aug-2026; change D5 to update all valuation outputs together.</x:v>
      </x:c>
      <x:c r="E2" s="170" t="str">
        <x:v>Formula corrections are complete. Commercial assumptions remain the user's inputs and are explicitly flagged below. The valuation date is preserved at 27-Aug-2026; change D5 to update all valuation outputs together.</x:v>
      </x:c>
      <x:c r="F2" s="170" t="str">
        <x:v>Formula corrections are complete. Commercial assumptions remain the user's inputs and are explicitly flagged below. The valuation date is preserved at 27-Aug-2026; change D5 to update all valuation outputs together.</x:v>
      </x:c>
      <x:c r="G2" s="170" t="str">
        <x:v>Formula corrections are complete. Commercial assumptions remain the user's inputs and are explicitly flagged below. The valuation date is preserved at 27-Aug-2026; change D5 to update all valuation outputs together.</x:v>
      </x:c>
      <x:c r="H2" s="170" t="str">
        <x:v>Formula corrections are complete. Commercial assumptions remain the user's inputs and are explicitly flagged below. The valuation date is preserved at 27-Aug-2026; change D5 to update all valuation outputs together.</x:v>
      </x:c>
      <x:c r="I2" s="169"/>
      <x:c r="J2" s="169"/>
      <x:c r="K2" s="169"/>
      <x:c r="L2" s="169"/>
      <x:c r="M2" s="169"/>
      <x:c r="N2" s="169"/>
      <x:c r="O2" s="169"/>
      <x:c r="P2" s="169"/>
      <x:c r="Q2" s="169"/>
      <x:c r="R2" s="169"/>
      <x:c r="S2" s="169"/>
      <x:c r="T2" s="169"/>
      <x:c r="U2" s="169"/>
      <x:c r="V2" s="169"/>
      <x:c r="W2" s="169"/>
      <x:c r="X2" s="169"/>
      <x:c r="Y2" s="169"/>
      <x:c r="Z2" s="169"/>
      <x:c r="AA2" s="169"/>
      <x:c r="AB2" s="169"/>
      <x:c r="AC2" s="169"/>
    </x:row>
    <x:row r="3" ht="21" customHeight="1">
      <x:c r="A3" s="170" t="str">
        <x:v>Formula corrections are complete. Commercial assumptions remain the user's inputs and are explicitly flagged below. The valuation date is preserved at 27-Aug-2026; change D5 to update all valuation outputs together.</x:v>
      </x:c>
      <x:c r="B3" s="170" t="str">
        <x:v>Formula corrections are complete. Commercial assumptions remain the user's inputs and are explicitly flagged below. The valuation date is preserved at 27-Aug-2026; change D5 to update all valuation outputs together.</x:v>
      </x:c>
      <x:c r="C3" s="170" t="str">
        <x:v>Formula corrections are complete. Commercial assumptions remain the user's inputs and are explicitly flagged below. The valuation date is preserved at 27-Aug-2026; change D5 to update all valuation outputs together.</x:v>
      </x:c>
      <x:c r="D3" s="170" t="str">
        <x:v>Formula corrections are complete. Commercial assumptions remain the user's inputs and are explicitly flagged below. The valuation date is preserved at 27-Aug-2026; change D5 to update all valuation outputs together.</x:v>
      </x:c>
      <x:c r="E3" s="170" t="str">
        <x:v>Formula corrections are complete. Commercial assumptions remain the user's inputs and are explicitly flagged below. The valuation date is preserved at 27-Aug-2026; change D5 to update all valuation outputs together.</x:v>
      </x:c>
      <x:c r="F3" s="170" t="str">
        <x:v>Formula corrections are complete. Commercial assumptions remain the user's inputs and are explicitly flagged below. The valuation date is preserved at 27-Aug-2026; change D5 to update all valuation outputs together.</x:v>
      </x:c>
      <x:c r="G3" s="170" t="str">
        <x:v>Formula corrections are complete. Commercial assumptions remain the user's inputs and are explicitly flagged below. The valuation date is preserved at 27-Aug-2026; change D5 to update all valuation outputs together.</x:v>
      </x:c>
      <x:c r="H3" s="170" t="str">
        <x:v>Formula corrections are complete. Commercial assumptions remain the user's inputs and are explicitly flagged below. The valuation date is preserved at 27-Aug-2026; change D5 to update all valuation outputs together.</x:v>
      </x:c>
      <x:c r="I3" s="169"/>
      <x:c r="J3" s="169"/>
      <x:c r="K3" s="169"/>
      <x:c r="L3" s="169"/>
      <x:c r="M3" s="169"/>
      <x:c r="N3" s="169"/>
      <x:c r="O3" s="169"/>
      <x:c r="P3" s="169"/>
      <x:c r="Q3" s="169"/>
      <x:c r="R3" s="169"/>
      <x:c r="S3" s="169"/>
      <x:c r="T3" s="169"/>
      <x:c r="U3" s="169"/>
      <x:c r="V3" s="169"/>
      <x:c r="W3" s="169"/>
      <x:c r="X3" s="169"/>
      <x:c r="Y3" s="169"/>
      <x:c r="Z3" s="169"/>
      <x:c r="AA3" s="169"/>
      <x:c r="AB3" s="169"/>
      <x:c r="AC3" s="169"/>
    </x:row>
    <x:row r="4" ht="18" customHeight="1">
      <x:c r="A4" s="169"/>
      <x:c r="B4" s="169"/>
      <x:c r="C4" s="169"/>
      <x:c r="D4" s="169"/>
      <x:c r="E4" s="169"/>
      <x:c r="F4" s="169"/>
      <x:c r="G4" s="169"/>
      <x:c r="H4" s="169"/>
      <x:c r="I4" s="169"/>
      <x:c r="J4" s="169"/>
      <x:c r="K4" s="169"/>
      <x:c r="L4" s="169"/>
      <x:c r="M4" s="169"/>
      <x:c r="N4" s="169"/>
      <x:c r="O4" s="169"/>
      <x:c r="P4" s="169"/>
      <x:c r="Q4" s="169"/>
      <x:c r="R4" s="169"/>
      <x:c r="S4" s="169"/>
      <x:c r="T4" s="169"/>
      <x:c r="U4" s="169"/>
      <x:c r="V4" s="169"/>
      <x:c r="W4" s="169"/>
      <x:c r="X4" s="169"/>
      <x:c r="Y4" s="169"/>
      <x:c r="Z4" s="169"/>
      <x:c r="AA4" s="169"/>
      <x:c r="AB4" s="169"/>
      <x:c r="AC4" s="169"/>
    </x:row>
    <x:row r="5" ht="15" customHeight="1">
      <x:c r="A5" s="169" t="str">
        <x:v>Valuation date</x:v>
      </x:c>
      <x:c r="B5" s="169"/>
      <x:c r="C5" s="169"/>
      <x:c r="D5" s="179" t="n">
        <x:v>46261</x:v>
      </x:c>
      <x:c r="E5" s="170" t="str">
        <x:v>Blue/yellow cells are retained inputs. All model schedules use the same date, terminal timing, asset lives, and commissioning-lag controls. Financial values are US$ millions unless labeled otherwise.</x:v>
      </x:c>
      <x:c r="F5" s="170" t="str">
        <x:v>Blue/yellow cells are retained inputs. All model schedules use the same date, terminal timing, asset lives, and commissioning-lag controls. Financial values are US$ millions unless labeled otherwise.</x:v>
      </x:c>
      <x:c r="G5" s="170" t="str">
        <x:v>Blue/yellow cells are retained inputs. All model schedules use the same date, terminal timing, asset lives, and commissioning-lag controls. Financial values are US$ millions unless labeled otherwise.</x:v>
      </x:c>
      <x:c r="H5" s="170" t="str">
        <x:v>Blue/yellow cells are retained inputs. All model schedules use the same date, terminal timing, asset lives, and commissioning-lag controls. Financial values are US$ millions unless labeled otherwise.</x:v>
      </x:c>
      <x:c r="I5" s="169"/>
      <x:c r="J5" s="169"/>
      <x:c r="K5" s="169"/>
      <x:c r="L5" s="169"/>
      <x:c r="M5" s="169"/>
      <x:c r="N5" s="169"/>
      <x:c r="O5" s="169"/>
      <x:c r="P5" s="169"/>
      <x:c r="Q5" s="169"/>
      <x:c r="R5" s="169"/>
      <x:c r="S5" s="169"/>
      <x:c r="T5" s="169"/>
      <x:c r="U5" s="169"/>
      <x:c r="V5" s="169"/>
      <x:c r="W5" s="169"/>
      <x:c r="X5" s="169"/>
      <x:c r="Y5" s="169"/>
      <x:c r="Z5" s="169"/>
      <x:c r="AA5" s="169"/>
      <x:c r="AB5" s="169"/>
      <x:c r="AC5" s="169"/>
    </x:row>
    <x:row r="6" ht="15" customHeight="1">
      <x:c r="A6" s="169" t="str">
        <x:v>Forecast reference date</x:v>
      </x:c>
      <x:c r="B6" s="169"/>
      <x:c r="C6" s="169"/>
      <x:c r="D6" s="179" t="n">
        <x:v>46023</x:v>
      </x:c>
      <x:c r="E6" s="170" t="str">
        <x:v>Blue/yellow cells are retained inputs. All model schedules use the same date, terminal timing, asset lives, and commissioning-lag controls. Financial values are US$ millions unless labeled otherwise.</x:v>
      </x:c>
      <x:c r="F6" s="170" t="str">
        <x:v>Blue/yellow cells are retained inputs. All model schedules use the same date, terminal timing, asset lives, and commissioning-lag controls. Financial values are US$ millions unless labeled otherwise.</x:v>
      </x:c>
      <x:c r="G6" s="170" t="str">
        <x:v>Blue/yellow cells are retained inputs. All model schedules use the same date, terminal timing, asset lives, and commissioning-lag controls. Financial values are US$ millions unless labeled otherwise.</x:v>
      </x:c>
      <x:c r="H6" s="170" t="str">
        <x:v>Blue/yellow cells are retained inputs. All model schedules use the same date, terminal timing, asset lives, and commissioning-lag controls. Financial values are US$ millions unless labeled otherwise.</x:v>
      </x:c>
      <x:c r="I6" s="169"/>
      <x:c r="J6" s="169"/>
      <x:c r="K6" s="169"/>
      <x:c r="L6" s="169"/>
      <x:c r="M6" s="169"/>
      <x:c r="N6" s="169"/>
      <x:c r="O6" s="169"/>
      <x:c r="P6" s="169"/>
      <x:c r="Q6" s="169"/>
      <x:c r="R6" s="169"/>
      <x:c r="S6" s="169"/>
      <x:c r="T6" s="169"/>
      <x:c r="U6" s="169"/>
      <x:c r="V6" s="169"/>
      <x:c r="W6" s="169"/>
      <x:c r="X6" s="169"/>
      <x:c r="Y6" s="169"/>
      <x:c r="Z6" s="169"/>
      <x:c r="AA6" s="169"/>
      <x:c r="AB6" s="169"/>
      <x:c r="AC6" s="169"/>
    </x:row>
    <x:row r="7" ht="15" customHeight="1">
      <x:c r="A7" s="169" t="str">
        <x:v>Forecast discount periods</x:v>
      </x:c>
      <x:c r="B7" s="169"/>
      <x:c r="C7" s="169"/>
      <x:c r="D7" s="169" t="n">
        <x:f>COLUMNS('Capa DCF - Base'!G79:Z79)</x:f>
        <x:v>20</x:v>
      </x:c>
      <x:c r="E7" s="170" t="str">
        <x:v>Blue/yellow cells are retained inputs. All model schedules use the same date, terminal timing, asset lives, and commissioning-lag controls. Financial values are US$ millions unless labeled otherwise.</x:v>
      </x:c>
      <x:c r="F7" s="170" t="str">
        <x:v>Blue/yellow cells are retained inputs. All model schedules use the same date, terminal timing, asset lives, and commissioning-lag controls. Financial values are US$ millions unless labeled otherwise.</x:v>
      </x:c>
      <x:c r="G7" s="170" t="str">
        <x:v>Blue/yellow cells are retained inputs. All model schedules use the same date, terminal timing, asset lives, and commissioning-lag controls. Financial values are US$ millions unless labeled otherwise.</x:v>
      </x:c>
      <x:c r="H7" s="170" t="str">
        <x:v>Blue/yellow cells are retained inputs. All model schedules use the same date, terminal timing, asset lives, and commissioning-lag controls. Financial values are US$ millions unless labeled otherwise.</x:v>
      </x:c>
      <x:c r="I7" s="169"/>
      <x:c r="J7" s="169"/>
      <x:c r="K7" s="169"/>
      <x:c r="L7" s="169"/>
      <x:c r="M7" s="169"/>
      <x:c r="N7" s="169"/>
      <x:c r="O7" s="169"/>
      <x:c r="P7" s="169"/>
      <x:c r="Q7" s="169"/>
      <x:c r="R7" s="169"/>
      <x:c r="S7" s="169"/>
      <x:c r="T7" s="169"/>
      <x:c r="U7" s="169"/>
      <x:c r="V7" s="169"/>
      <x:c r="W7" s="169"/>
      <x:c r="X7" s="169"/>
      <x:c r="Y7" s="169"/>
      <x:c r="Z7" s="169"/>
      <x:c r="AA7" s="169"/>
      <x:c r="AB7" s="169"/>
      <x:c r="AC7" s="169"/>
    </x:row>
    <x:row r="8" ht="15" customHeight="1">
      <x:c r="A8" s="169" t="str">
        <x:v>Years from reference to valuation</x:v>
      </x:c>
      <x:c r="B8" s="169"/>
      <x:c r="C8" s="169"/>
      <x:c r="D8" s="180" t="n">
        <x:f>(D5-D6)/365</x:f>
        <x:v>0.6520547945205479</x:v>
      </x:c>
      <x:c r="E8" s="170" t="str">
        <x:v>Blue/yellow cells are retained inputs. All model schedules use the same date, terminal timing, asset lives, and commissioning-lag controls. Financial values are US$ millions unless labeled otherwise.</x:v>
      </x:c>
      <x:c r="F8" s="170" t="str">
        <x:v>Blue/yellow cells are retained inputs. All model schedules use the same date, terminal timing, asset lives, and commissioning-lag controls. Financial values are US$ millions unless labeled otherwise.</x:v>
      </x:c>
      <x:c r="G8" s="170" t="str">
        <x:v>Blue/yellow cells are retained inputs. All model schedules use the same date, terminal timing, asset lives, and commissioning-lag controls. Financial values are US$ millions unless labeled otherwise.</x:v>
      </x:c>
      <x:c r="H8" s="170" t="str">
        <x:v>Blue/yellow cells are retained inputs. All model schedules use the same date, terminal timing, asset lives, and commissioning-lag controls. Financial values are US$ millions unless labeled otherwise.</x:v>
      </x:c>
      <x:c r="I8" s="169"/>
      <x:c r="J8" s="169"/>
      <x:c r="K8" s="169"/>
      <x:c r="L8" s="169"/>
      <x:c r="M8" s="169"/>
      <x:c r="N8" s="169"/>
      <x:c r="O8" s="169"/>
      <x:c r="P8" s="169"/>
      <x:c r="Q8" s="169"/>
      <x:c r="R8" s="169"/>
      <x:c r="S8" s="169"/>
      <x:c r="T8" s="169"/>
      <x:c r="U8" s="169"/>
      <x:c r="V8" s="169"/>
      <x:c r="W8" s="169"/>
      <x:c r="X8" s="169"/>
      <x:c r="Y8" s="169"/>
      <x:c r="Z8" s="169"/>
      <x:c r="AA8" s="169"/>
      <x:c r="AB8" s="169"/>
      <x:c r="AC8" s="169"/>
    </x:row>
    <x:row r="9" ht="15" customHeight="1">
      <x:c r="A9" s="169" t="str">
        <x:v>Valuation roll-forward factor</x:v>
      </x:c>
      <x:c r="B9" s="169"/>
      <x:c r="C9" s="169"/>
      <x:c r="D9" s="180" t="n">
        <x:f>(1+'Capa DCF - Base'!D81)^D8</x:f>
        <x:v>1.0641192478728991</x:v>
      </x:c>
      <x:c r="E9" s="170" t="str">
        <x:v>Blue/yellow cells are retained inputs. All model schedules use the same date, terminal timing, asset lives, and commissioning-lag controls. Financial values are US$ millions unless labeled otherwise.</x:v>
      </x:c>
      <x:c r="F9" s="170" t="str">
        <x:v>Blue/yellow cells are retained inputs. All model schedules use the same date, terminal timing, asset lives, and commissioning-lag controls. Financial values are US$ millions unless labeled otherwise.</x:v>
      </x:c>
      <x:c r="G9" s="170" t="str">
        <x:v>Blue/yellow cells are retained inputs. All model schedules use the same date, terminal timing, asset lives, and commissioning-lag controls. Financial values are US$ millions unless labeled otherwise.</x:v>
      </x:c>
      <x:c r="H9" s="170" t="str">
        <x:v>Blue/yellow cells are retained inputs. All model schedules use the same date, terminal timing, asset lives, and commissioning-lag controls. Financial values are US$ millions unless labeled otherwise.</x:v>
      </x:c>
      <x:c r="I9" s="169"/>
      <x:c r="J9" s="169"/>
      <x:c r="K9" s="169"/>
      <x:c r="L9" s="169"/>
      <x:c r="M9" s="169"/>
      <x:c r="N9" s="169"/>
      <x:c r="O9" s="169"/>
      <x:c r="P9" s="169"/>
      <x:c r="Q9" s="169"/>
      <x:c r="R9" s="169"/>
      <x:c r="S9" s="169"/>
      <x:c r="T9" s="169"/>
      <x:c r="U9" s="169"/>
      <x:c r="V9" s="169"/>
      <x:c r="W9" s="169"/>
      <x:c r="X9" s="169"/>
      <x:c r="Y9" s="169"/>
      <x:c r="Z9" s="169"/>
      <x:c r="AA9" s="169"/>
      <x:c r="AB9" s="169"/>
      <x:c r="AC9" s="169"/>
    </x:row>
    <x:row r="10" ht="18" customHeight="1">
      <x:c r="A10" s="169" t="str">
        <x:v>Valuation inputs valid (1=yes)</x:v>
      </x:c>
      <x:c r="B10" s="169"/>
      <x:c r="C10" s="169"/>
      <x:c r="D10" s="169" t="n">
        <x:f>IF(AND('Capa DCF - Base'!D81&gt;'Capa DCF - Base'!D83,'Capa DCF - Base'!D81&gt;-1,'Capa DCF - Base'!D86&gt;0),1,0)</x:f>
        <x:v>1</x:v>
      </x:c>
      <x:c r="E10" s="169"/>
      <x:c r="F10" s="169"/>
      <x:c r="G10" s="169"/>
      <x:c r="H10" s="169"/>
      <x:c r="I10" s="169"/>
      <x:c r="J10" s="169"/>
      <x:c r="K10" s="169"/>
      <x:c r="L10" s="169"/>
      <x:c r="M10" s="169"/>
      <x:c r="N10" s="169"/>
      <x:c r="O10" s="169"/>
      <x:c r="P10" s="169"/>
      <x:c r="Q10" s="169"/>
      <x:c r="R10" s="169"/>
      <x:c r="S10" s="169"/>
      <x:c r="T10" s="169"/>
      <x:c r="U10" s="169"/>
      <x:c r="V10" s="169"/>
      <x:c r="W10" s="169"/>
      <x:c r="X10" s="169"/>
      <x:c r="Y10" s="169"/>
      <x:c r="Z10" s="169"/>
      <x:c r="AA10" s="169"/>
      <x:c r="AB10" s="169"/>
      <x:c r="AC10" s="169"/>
    </x:row>
    <x:row r="11" ht="16" customHeight="1">
      <x:c r="A11" s="169" t="str">
        <x:v>PV of forecast distributions at reference</x:v>
      </x:c>
      <x:c r="B11" s="169"/>
      <x:c r="C11" s="169"/>
      <x:c r="D11" s="169" t="n">
        <x:f>NPV('Capa DCF - Base'!D81,'Capa DCF - Base'!G79:Z79)</x:f>
        <x:v>3942694.7787533966</x:v>
      </x:c>
      <x:c r="E11" s="170" t="str">
        <x:v>Valuation is a NOPAT × payout proxy. No unmodeled debt, cash, capex, working-capital or financing adjustment has been invented. A 100% terminal payout and positive perpetual growth require a separate reinvestment rationale.</x:v>
      </x:c>
      <x:c r="F11" s="170" t="str">
        <x:v>Valuation is a NOPAT × payout proxy. No unmodeled debt, cash, capex, working-capital or financing adjustment has been invented. A 100% terminal payout and positive perpetual growth require a separate reinvestment rationale.</x:v>
      </x:c>
      <x:c r="G11" s="170" t="str">
        <x:v>Valuation is a NOPAT × payout proxy. No unmodeled debt, cash, capex, working-capital or financing adjustment has been invented. A 100% terminal payout and positive perpetual growth require a separate reinvestment rationale.</x:v>
      </x:c>
      <x:c r="H11" s="170" t="str">
        <x:v>Valuation is a NOPAT × payout proxy. No unmodeled debt, cash, capex, working-capital or financing adjustment has been invented. A 100% terminal payout and positive perpetual growth require a separate reinvestment rationale.</x:v>
      </x:c>
      <x:c r="I11" s="169"/>
      <x:c r="J11" s="169"/>
      <x:c r="K11" s="169"/>
      <x:c r="L11" s="169"/>
      <x:c r="M11" s="169"/>
      <x:c r="N11" s="169"/>
      <x:c r="O11" s="169"/>
      <x:c r="P11" s="169"/>
      <x:c r="Q11" s="169"/>
      <x:c r="R11" s="169"/>
      <x:c r="S11" s="169"/>
      <x:c r="T11" s="169"/>
      <x:c r="U11" s="169"/>
      <x:c r="V11" s="169"/>
      <x:c r="W11" s="169"/>
      <x:c r="X11" s="169"/>
      <x:c r="Y11" s="169"/>
      <x:c r="Z11" s="169"/>
      <x:c r="AA11" s="169"/>
      <x:c r="AB11" s="169"/>
      <x:c r="AC11" s="169"/>
    </x:row>
    <x:row r="12" ht="16" customHeight="1">
      <x:c r="A12" s="169" t="str">
        <x:v>PV of terminal value at reference</x:v>
      </x:c>
      <x:c r="B12" s="169"/>
      <x:c r="C12" s="169"/>
      <x:c r="D12" s="169" t="n">
        <x:f>IF(D10=1,'Capa DCF - Base'!AA79/(1+'Capa DCF - Base'!D81)^D7,0)</x:f>
        <x:v>2778507.1640597116</x:v>
      </x:c>
      <x:c r="E12" s="170" t="str">
        <x:v>Valuation is a NOPAT × payout proxy. No unmodeled debt, cash, capex, working-capital or financing adjustment has been invented. A 100% terminal payout and positive perpetual growth require a separate reinvestment rationale.</x:v>
      </x:c>
      <x:c r="F12" s="170" t="str">
        <x:v>Valuation is a NOPAT × payout proxy. No unmodeled debt, cash, capex, working-capital or financing adjustment has been invented. A 100% terminal payout and positive perpetual growth require a separate reinvestment rationale.</x:v>
      </x:c>
      <x:c r="G12" s="170" t="str">
        <x:v>Valuation is a NOPAT × payout proxy. No unmodeled debt, cash, capex, working-capital or financing adjustment has been invented. A 100% terminal payout and positive perpetual growth require a separate reinvestment rationale.</x:v>
      </x:c>
      <x:c r="H12" s="170" t="str">
        <x:v>Valuation is a NOPAT × payout proxy. No unmodeled debt, cash, capex, working-capital or financing adjustment has been invented. A 100% terminal payout and positive perpetual growth require a separate reinvestment rationale.</x:v>
      </x:c>
      <x:c r="I12" s="169"/>
      <x:c r="J12" s="169"/>
      <x:c r="K12" s="169"/>
      <x:c r="L12" s="169"/>
      <x:c r="M12" s="169"/>
      <x:c r="N12" s="169"/>
      <x:c r="O12" s="169"/>
      <x:c r="P12" s="169"/>
      <x:c r="Q12" s="169"/>
      <x:c r="R12" s="169"/>
      <x:c r="S12" s="169"/>
      <x:c r="T12" s="169"/>
      <x:c r="U12" s="169"/>
      <x:c r="V12" s="169"/>
      <x:c r="W12" s="169"/>
      <x:c r="X12" s="169"/>
      <x:c r="Y12" s="169"/>
      <x:c r="Z12" s="169"/>
      <x:c r="AA12" s="169"/>
      <x:c r="AB12" s="169"/>
      <x:c r="AC12" s="169"/>
    </x:row>
    <x:row r="13" ht="16" customHeight="1">
      <x:c r="A13" s="169" t="str">
        <x:v>Equity payout-proxy PV at valuation date</x:v>
      </x:c>
      <x:c r="B13" s="169"/>
      <x:c r="C13" s="169"/>
      <x:c r="D13" s="169" t="n">
        <x:f>IF(D10=1,SUM(D11:D12)*D9,0)</x:f>
        <x:v>7152160.356188153</x:v>
      </x:c>
      <x:c r="E13" s="170" t="str">
        <x:v>Valuation is a NOPAT × payout proxy. No unmodeled debt, cash, capex, working-capital or financing adjustment has been invented. A 100% terminal payout and positive perpetual growth require a separate reinvestment rationale.</x:v>
      </x:c>
      <x:c r="F13" s="170" t="str">
        <x:v>Valuation is a NOPAT × payout proxy. No unmodeled debt, cash, capex, working-capital or financing adjustment has been invented. A 100% terminal payout and positive perpetual growth require a separate reinvestment rationale.</x:v>
      </x:c>
      <x:c r="G13" s="170" t="str">
        <x:v>Valuation is a NOPAT × payout proxy. No unmodeled debt, cash, capex, working-capital or financing adjustment has been invented. A 100% terminal payout and positive perpetual growth require a separate reinvestment rationale.</x:v>
      </x:c>
      <x:c r="H13" s="170" t="str">
        <x:v>Valuation is a NOPAT × payout proxy. No unmodeled debt, cash, capex, working-capital or financing adjustment has been invented. A 100% terminal payout and positive perpetual growth require a separate reinvestment rationale.</x:v>
      </x:c>
      <x:c r="I13" s="169"/>
      <x:c r="J13" s="169"/>
      <x:c r="K13" s="169"/>
      <x:c r="L13" s="169"/>
      <x:c r="M13" s="169"/>
      <x:c r="N13" s="169"/>
      <x:c r="O13" s="169"/>
      <x:c r="P13" s="169"/>
      <x:c r="Q13" s="169"/>
      <x:c r="R13" s="169"/>
      <x:c r="S13" s="169"/>
      <x:c r="T13" s="169"/>
      <x:c r="U13" s="169"/>
      <x:c r="V13" s="169"/>
      <x:c r="W13" s="169"/>
      <x:c r="X13" s="169"/>
      <x:c r="Y13" s="169"/>
      <x:c r="Z13" s="169"/>
      <x:c r="AA13" s="169"/>
      <x:c r="AB13" s="169"/>
      <x:c r="AC13" s="169"/>
    </x:row>
    <x:row r="14" ht="16" customHeight="1">
      <x:c r="A14" s="169" t="str">
        <x:v>Value per share</x:v>
      </x:c>
      <x:c r="B14" s="169"/>
      <x:c r="C14" s="169"/>
      <x:c r="D14" s="173" t="n">
        <x:f>IF(D10=1,D13/'Capa DCF - Base'!D86,0)</x:f>
        <x:v>296.7701392609192</x:v>
      </x:c>
      <x:c r="E14" s="170" t="str">
        <x:v>Valuation is a NOPAT × payout proxy. No unmodeled debt, cash, capex, working-capital or financing adjustment has been invented. A 100% terminal payout and positive perpetual growth require a separate reinvestment rationale.</x:v>
      </x:c>
      <x:c r="F14" s="170" t="str">
        <x:v>Valuation is a NOPAT × payout proxy. No unmodeled debt, cash, capex, working-capital or financing adjustment has been invented. A 100% terminal payout and positive perpetual growth require a separate reinvestment rationale.</x:v>
      </x:c>
      <x:c r="G14" s="170" t="str">
        <x:v>Valuation is a NOPAT × payout proxy. No unmodeled debt, cash, capex, working-capital or financing adjustment has been invented. A 100% terminal payout and positive perpetual growth require a separate reinvestment rationale.</x:v>
      </x:c>
      <x:c r="H14" s="170" t="str">
        <x:v>Valuation is a NOPAT × payout proxy. No unmodeled debt, cash, capex, working-capital or financing adjustment has been invented. A 100% terminal payout and positive perpetual growth require a separate reinvestment rationale.</x:v>
      </x:c>
      <x:c r="I14" s="169"/>
      <x:c r="J14" s="169"/>
      <x:c r="K14" s="169"/>
      <x:c r="L14" s="169"/>
      <x:c r="M14" s="169"/>
      <x:c r="N14" s="169"/>
      <x:c r="O14" s="169"/>
      <x:c r="P14" s="169"/>
      <x:c r="Q14" s="169"/>
      <x:c r="R14" s="169"/>
      <x:c r="S14" s="169"/>
      <x:c r="T14" s="169"/>
      <x:c r="U14" s="169"/>
      <x:c r="V14" s="169"/>
      <x:c r="W14" s="169"/>
      <x:c r="X14" s="169"/>
      <x:c r="Y14" s="169"/>
      <x:c r="Z14" s="169"/>
      <x:c r="AA14" s="169"/>
      <x:c r="AB14" s="169"/>
      <x:c r="AC14" s="169"/>
    </x:row>
    <x:row r="15" ht="16" customHeight="1">
      <x:c r="A15" s="169"/>
      <x:c r="B15" s="169"/>
      <x:c r="C15" s="169"/>
      <x:c r="D15" s="169"/>
      <x:c r="E15" s="170" t="str">
        <x:v>Valuation is a NOPAT × payout proxy. No unmodeled debt, cash, capex, working-capital or financing adjustment has been invented. A 100% terminal payout and positive perpetual growth require a separate reinvestment rationale.</x:v>
      </x:c>
      <x:c r="F15" s="170" t="str">
        <x:v>Valuation is a NOPAT × payout proxy. No unmodeled debt, cash, capex, working-capital or financing adjustment has been invented. A 100% terminal payout and positive perpetual growth require a separate reinvestment rationale.</x:v>
      </x:c>
      <x:c r="G15" s="170" t="str">
        <x:v>Valuation is a NOPAT × payout proxy. No unmodeled debt, cash, capex, working-capital or financing adjustment has been invented. A 100% terminal payout and positive perpetual growth require a separate reinvestment rationale.</x:v>
      </x:c>
      <x:c r="H15" s="170" t="str">
        <x:v>Valuation is a NOPAT × payout proxy. No unmodeled debt, cash, capex, working-capital or financing adjustment has been invented. A 100% terminal payout and positive perpetual growth require a separate reinvestment rationale.</x:v>
      </x:c>
      <x:c r="I15" s="169"/>
      <x:c r="J15" s="169"/>
      <x:c r="K15" s="169"/>
      <x:c r="L15" s="169"/>
      <x:c r="M15" s="169"/>
      <x:c r="N15" s="169"/>
      <x:c r="O15" s="169"/>
      <x:c r="P15" s="169"/>
      <x:c r="Q15" s="169"/>
      <x:c r="R15" s="169"/>
      <x:c r="S15" s="169"/>
      <x:c r="T15" s="169"/>
      <x:c r="U15" s="169"/>
      <x:c r="V15" s="169"/>
      <x:c r="W15" s="169"/>
      <x:c r="X15" s="169"/>
      <x:c r="Y15" s="169"/>
      <x:c r="Z15" s="169"/>
      <x:c r="AA15" s="169"/>
      <x:c r="AB15" s="169"/>
      <x:c r="AC15" s="169"/>
    </x:row>
    <x:row r="16" ht="16" customHeight="1">
      <x:c r="A16" s="169" t="str">
        <x:v>Payout in CY2045 and perpetuity</x:v>
      </x:c>
      <x:c r="B16" s="169"/>
      <x:c r="C16" s="169"/>
      <x:c r="D16" s="183" t="n">
        <x:v>1</x:v>
      </x:c>
      <x:c r="E16" s="170" t="str">
        <x:v>Valuation is a NOPAT × payout proxy. No unmodeled debt, cash, capex, working-capital or financing adjustment has been invented. A 100% terminal payout and positive perpetual growth require a separate reinvestment rationale.</x:v>
      </x:c>
      <x:c r="F16" s="170" t="str">
        <x:v>Valuation is a NOPAT × payout proxy. No unmodeled debt, cash, capex, working-capital or financing adjustment has been invented. A 100% terminal payout and positive perpetual growth require a separate reinvestment rationale.</x:v>
      </x:c>
      <x:c r="G16" s="170" t="str">
        <x:v>Valuation is a NOPAT × payout proxy. No unmodeled debt, cash, capex, working-capital or financing adjustment has been invented. A 100% terminal payout and positive perpetual growth require a separate reinvestment rationale.</x:v>
      </x:c>
      <x:c r="H16" s="170" t="str">
        <x:v>Valuation is a NOPAT × payout proxy. No unmodeled debt, cash, capex, working-capital or financing adjustment has been invented. A 100% terminal payout and positive perpetual growth require a separate reinvestment rationale.</x:v>
      </x:c>
      <x:c r="I16" s="169"/>
      <x:c r="J16" s="169"/>
      <x:c r="K16" s="169"/>
      <x:c r="L16" s="169"/>
      <x:c r="M16" s="169"/>
      <x:c r="N16" s="169"/>
      <x:c r="O16" s="169"/>
      <x:c r="P16" s="169"/>
      <x:c r="Q16" s="169"/>
      <x:c r="R16" s="169"/>
      <x:c r="S16" s="169"/>
      <x:c r="T16" s="169"/>
      <x:c r="U16" s="169"/>
      <x:c r="V16" s="169"/>
      <x:c r="W16" s="169"/>
      <x:c r="X16" s="169"/>
      <x:c r="Y16" s="169"/>
      <x:c r="Z16" s="169"/>
      <x:c r="AA16" s="169"/>
      <x:c r="AB16" s="169"/>
      <x:c r="AC16" s="169"/>
    </x:row>
    <x:row r="17" ht="18" customHeight="1">
      <x:c r="A17" s="169"/>
      <x:c r="B17" s="169"/>
      <x:c r="C17" s="169"/>
      <x:c r="D17" s="169"/>
      <x:c r="E17" s="169"/>
      <x:c r="F17" s="169"/>
      <x:c r="G17" s="169"/>
      <x:c r="H17" s="169"/>
      <x:c r="I17" s="169"/>
      <x:c r="J17" s="169"/>
      <x:c r="K17" s="169"/>
      <x:c r="L17" s="169"/>
      <x:c r="M17" s="169"/>
      <x:c r="N17" s="169"/>
      <x:c r="O17" s="169"/>
      <x:c r="P17" s="169"/>
      <x:c r="Q17" s="169"/>
      <x:c r="R17" s="169"/>
      <x:c r="S17" s="169"/>
      <x:c r="T17" s="169"/>
      <x:c r="U17" s="169"/>
      <x:c r="V17" s="169"/>
      <x:c r="W17" s="169"/>
      <x:c r="X17" s="169"/>
      <x:c r="Y17" s="169"/>
      <x:c r="Z17" s="169"/>
      <x:c r="AA17" s="169"/>
      <x:c r="AB17" s="169"/>
      <x:c r="AC17" s="169"/>
    </x:row>
    <x:row r="18" ht="18" customHeight="1">
      <x:c r="A18" s="169" t="str">
        <x:v>Annual gross-margin fade</x:v>
      </x:c>
      <x:c r="B18" s="169"/>
      <x:c r="C18" s="169"/>
      <x:c r="D18" s="183" t="n">
        <x:v>0.02</x:v>
      </x:c>
      <x:c r="E18" s="169"/>
      <x:c r="F18" s="169"/>
      <x:c r="G18" s="169"/>
      <x:c r="H18" s="169"/>
      <x:c r="I18" s="169"/>
      <x:c r="J18" s="169"/>
      <x:c r="K18" s="169"/>
      <x:c r="L18" s="169"/>
      <x:c r="M18" s="169"/>
      <x:c r="N18" s="169"/>
      <x:c r="O18" s="169"/>
      <x:c r="P18" s="169"/>
      <x:c r="Q18" s="169"/>
      <x:c r="R18" s="169"/>
      <x:c r="S18" s="169"/>
      <x:c r="T18" s="169"/>
      <x:c r="U18" s="169"/>
      <x:c r="V18" s="169"/>
      <x:c r="W18" s="169"/>
      <x:c r="X18" s="169"/>
      <x:c r="Y18" s="169"/>
      <x:c r="Z18" s="169"/>
      <x:c r="AA18" s="169"/>
      <x:c r="AB18" s="169"/>
      <x:c r="AC18" s="169"/>
    </x:row>
    <x:row r="19" ht="18" customHeight="1">
      <x:c r="A19" s="169" t="str">
        <x:v>Networking / chips from CY2027</x:v>
      </x:c>
      <x:c r="B19" s="169"/>
      <x:c r="C19" s="169"/>
      <x:c r="D19" s="183" t="n">
        <x:v>0.25</x:v>
      </x:c>
      <x:c r="E19" s="169"/>
      <x:c r="F19" s="169"/>
      <x:c r="G19" s="169"/>
      <x:c r="H19" s="169"/>
      <x:c r="I19" s="169"/>
      <x:c r="J19" s="169"/>
      <x:c r="K19" s="169"/>
      <x:c r="L19" s="169"/>
      <x:c r="M19" s="169"/>
      <x:c r="N19" s="169"/>
      <x:c r="O19" s="169"/>
      <x:c r="P19" s="169"/>
      <x:c r="Q19" s="169"/>
      <x:c r="R19" s="169"/>
      <x:c r="S19" s="169"/>
      <x:c r="T19" s="169"/>
      <x:c r="U19" s="169"/>
      <x:c r="V19" s="169"/>
      <x:c r="W19" s="169"/>
      <x:c r="X19" s="169"/>
      <x:c r="Y19" s="169"/>
      <x:c r="Z19" s="169"/>
      <x:c r="AA19" s="169"/>
      <x:c r="AB19" s="169"/>
      <x:c r="AC19" s="169"/>
    </x:row>
    <x:row r="20" ht="18" customHeight="1">
      <x:c r="A20" s="169"/>
      <x:c r="B20" s="169"/>
      <x:c r="C20" s="169"/>
      <x:c r="D20" s="169"/>
      <x:c r="E20" s="169"/>
      <x:c r="F20" s="169"/>
      <x:c r="G20" s="169"/>
      <x:c r="H20" s="169"/>
      <x:c r="I20" s="169"/>
      <x:c r="J20" s="169"/>
      <x:c r="K20" s="169"/>
      <x:c r="L20" s="169"/>
      <x:c r="M20" s="169"/>
      <x:c r="N20" s="169"/>
      <x:c r="O20" s="169"/>
      <x:c r="P20" s="169"/>
      <x:c r="Q20" s="169"/>
      <x:c r="R20" s="169"/>
      <x:c r="S20" s="169"/>
      <x:c r="T20" s="169"/>
      <x:c r="U20" s="169"/>
      <x:c r="V20" s="169"/>
      <x:c r="W20" s="169"/>
      <x:c r="X20" s="169"/>
      <x:c r="Y20" s="169"/>
      <x:c r="Z20" s="169"/>
      <x:c r="AA20" s="169"/>
      <x:c r="AB20" s="169"/>
      <x:c r="AC20" s="169"/>
    </x:row>
    <x:row r="21" ht="18" customHeight="1">
      <x:c r="A21" s="169" t="str">
        <x:v>Networking / chips CY2025</x:v>
      </x:c>
      <x:c r="B21" s="169"/>
      <x:c r="C21" s="169"/>
      <x:c r="D21" s="183" t="n">
        <x:v>0.13</x:v>
      </x:c>
      <x:c r="E21" s="169"/>
      <x:c r="F21" s="169"/>
      <x:c r="G21" s="169"/>
      <x:c r="H21" s="169"/>
      <x:c r="I21" s="169"/>
      <x:c r="J21" s="169"/>
      <x:c r="K21" s="169"/>
      <x:c r="L21" s="169"/>
      <x:c r="M21" s="169"/>
      <x:c r="N21" s="169"/>
      <x:c r="O21" s="169"/>
      <x:c r="P21" s="169"/>
      <x:c r="Q21" s="169"/>
      <x:c r="R21" s="169"/>
      <x:c r="S21" s="169"/>
      <x:c r="T21" s="169"/>
      <x:c r="U21" s="169"/>
      <x:c r="V21" s="169"/>
      <x:c r="W21" s="169"/>
      <x:c r="X21" s="169"/>
      <x:c r="Y21" s="169"/>
      <x:c r="Z21" s="169"/>
      <x:c r="AA21" s="169"/>
      <x:c r="AB21" s="169"/>
      <x:c r="AC21" s="169"/>
    </x:row>
    <x:row r="22" ht="18" customHeight="1">
      <x:c r="A22" s="169" t="str">
        <x:v>Networking / chips CY2026</x:v>
      </x:c>
      <x:c r="B22" s="169"/>
      <x:c r="C22" s="169"/>
      <x:c r="D22" s="183" t="n">
        <x:v>0.19</x:v>
      </x:c>
      <x:c r="E22" s="169"/>
      <x:c r="F22" s="169"/>
      <x:c r="G22" s="169"/>
      <x:c r="H22" s="169"/>
      <x:c r="I22" s="169"/>
      <x:c r="J22" s="169"/>
      <x:c r="K22" s="169"/>
      <x:c r="L22" s="169"/>
      <x:c r="M22" s="169"/>
      <x:c r="N22" s="169"/>
      <x:c r="O22" s="169"/>
      <x:c r="P22" s="169"/>
      <x:c r="Q22" s="169"/>
      <x:c r="R22" s="169"/>
      <x:c r="S22" s="169"/>
      <x:c r="T22" s="169"/>
      <x:c r="U22" s="169"/>
      <x:c r="V22" s="169"/>
      <x:c r="W22" s="169"/>
      <x:c r="X22" s="169"/>
      <x:c r="Y22" s="169"/>
      <x:c r="Z22" s="169"/>
      <x:c r="AA22" s="169"/>
      <x:c r="AB22" s="169"/>
      <x:c r="AC22" s="169"/>
    </x:row>
    <x:row r="23" ht="26" customHeight="1">
      <x:c r="A23" s="170" t="str">
        <x:v>Calculation status</x:v>
      </x:c>
      <x:c r="B23" s="170" t="str">
        <x:v>Calculation status</x:v>
      </x:c>
      <x:c r="C23" s="170" t="str">
        <x:v>Calculation status</x:v>
      </x:c>
      <x:c r="D23" s="170" t="str">
        <x:v>Calculation status</x:v>
      </x:c>
      <x:c r="E23" s="170" t="str">
        <x:v>Calculation status</x:v>
      </x:c>
      <x:c r="F23" s="169" t="str">
        <x:f>IF(COUNTIF(F27:F46,"FAIL")=0,"AUDIT CHECKS OK","CHECK FAILURES")</x:f>
        <x:v>AUDIT CHECKS OK</x:v>
      </x:c>
      <x:c r="G23" s="169"/>
      <x:c r="H23" s="169"/>
      <x:c r="I23" s="169"/>
      <x:c r="J23" s="169"/>
      <x:c r="K23" s="169"/>
      <x:c r="L23" s="169"/>
      <x:c r="M23" s="169"/>
      <x:c r="N23" s="169"/>
      <x:c r="O23" s="169"/>
      <x:c r="P23" s="169"/>
      <x:c r="Q23" s="169"/>
      <x:c r="R23" s="169"/>
      <x:c r="S23" s="169"/>
      <x:c r="T23" s="169"/>
      <x:c r="U23" s="169"/>
      <x:c r="V23" s="169"/>
      <x:c r="W23" s="169"/>
      <x:c r="X23" s="169"/>
      <x:c r="Y23" s="169"/>
      <x:c r="Z23" s="169"/>
      <x:c r="AA23" s="169"/>
      <x:c r="AB23" s="169"/>
      <x:c r="AC23" s="169"/>
    </x:row>
    <x:row r="24" ht="18" customHeight="1">
      <x:c r="A24" s="169"/>
      <x:c r="B24" s="169"/>
      <x:c r="C24" s="169"/>
      <x:c r="D24" s="169"/>
      <x:c r="E24" s="169"/>
      <x:c r="F24" s="169"/>
      <x:c r="G24" s="169"/>
      <x:c r="H24" s="169"/>
      <x:c r="I24" s="169"/>
      <x:c r="J24" s="169"/>
      <x:c r="K24" s="169"/>
      <x:c r="L24" s="169"/>
      <x:c r="M24" s="169"/>
      <x:c r="N24" s="169"/>
      <x:c r="O24" s="169"/>
      <x:c r="P24" s="169"/>
      <x:c r="Q24" s="169"/>
      <x:c r="R24" s="169"/>
      <x:c r="S24" s="169"/>
      <x:c r="T24" s="169"/>
      <x:c r="U24" s="169"/>
      <x:c r="V24" s="169"/>
      <x:c r="W24" s="169"/>
      <x:c r="X24" s="169"/>
      <x:c r="Y24" s="169"/>
      <x:c r="Z24" s="169"/>
      <x:c r="AA24" s="169"/>
      <x:c r="AB24" s="169"/>
      <x:c r="AC24" s="169"/>
    </x:row>
    <x:row r="25" ht="30" customHeight="1">
      <x:c r="A25" s="172" t="str">
        <x:v>CALCULATION CHECKS | live assertions</x:v>
      </x:c>
      <x:c r="B25" s="172" t="str">
        <x:v>CALCULATION CHECKS | live assertions</x:v>
      </x:c>
      <x:c r="C25" s="172" t="str">
        <x:v>CALCULATION CHECKS | live assertions</x:v>
      </x:c>
      <x:c r="D25" s="172" t="str">
        <x:v>CALCULATION CHECKS | live assertions</x:v>
      </x:c>
      <x:c r="E25" s="172" t="str">
        <x:v>CALCULATION CHECKS | live assertions</x:v>
      </x:c>
      <x:c r="F25" s="172" t="str">
        <x:v>CALCULATION CHECKS | live assertions</x:v>
      </x:c>
      <x:c r="G25" s="172" t="str">
        <x:v>CALCULATION CHECKS | live assertions</x:v>
      </x:c>
      <x:c r="H25" s="172" t="str">
        <x:v>CALCULATION CHECKS | live assertions</x:v>
      </x:c>
      <x:c r="I25" s="169"/>
      <x:c r="J25" s="169"/>
      <x:c r="K25" s="169"/>
      <x:c r="L25" s="169"/>
      <x:c r="M25" s="169"/>
      <x:c r="N25" s="169"/>
      <x:c r="O25" s="169"/>
      <x:c r="P25" s="169"/>
      <x:c r="Q25" s="169"/>
      <x:c r="R25" s="169"/>
      <x:c r="S25" s="169"/>
      <x:c r="T25" s="169"/>
      <x:c r="U25" s="169"/>
      <x:c r="V25" s="169"/>
      <x:c r="W25" s="169"/>
      <x:c r="X25" s="169"/>
      <x:c r="Y25" s="169"/>
      <x:c r="Z25" s="169"/>
      <x:c r="AA25" s="169"/>
      <x:c r="AB25" s="169"/>
      <x:c r="AC25" s="169"/>
    </x:row>
    <x:row r="26" ht="18" customHeight="1">
      <x:c r="A26" s="170" t="str">
        <x:v>Check</x:v>
      </x:c>
      <x:c r="B26" s="170" t="str">
        <x:v>Actual</x:v>
      </x:c>
      <x:c r="C26" s="170" t="str">
        <x:v>Expected</x:v>
      </x:c>
      <x:c r="D26" s="170" t="str">
        <x:v>Difference</x:v>
      </x:c>
      <x:c r="E26" s="170" t="str">
        <x:v>Tolerance</x:v>
      </x:c>
      <x:c r="F26" s="170" t="str">
        <x:v>Status</x:v>
      </x:c>
      <x:c r="G26" s="170" t="str">
        <x:v>Notes</x:v>
      </x:c>
      <x:c r="H26" s="170" t="str"/>
      <x:c r="I26" s="169"/>
      <x:c r="J26" s="169"/>
      <x:c r="K26" s="169"/>
      <x:c r="L26" s="169"/>
      <x:c r="M26" s="169"/>
      <x:c r="N26" s="169"/>
      <x:c r="O26" s="169"/>
      <x:c r="P26" s="169"/>
      <x:c r="Q26" s="169"/>
      <x:c r="R26" s="169"/>
      <x:c r="S26" s="169"/>
      <x:c r="T26" s="169"/>
      <x:c r="U26" s="169"/>
      <x:c r="V26" s="169"/>
      <x:c r="W26" s="169"/>
      <x:c r="X26" s="169"/>
      <x:c r="Y26" s="169"/>
      <x:c r="Z26" s="169"/>
      <x:c r="AA26" s="169"/>
      <x:c r="AB26" s="169"/>
      <x:c r="AC26" s="169"/>
    </x:row>
    <x:row r="27" ht="40" customHeight="1">
      <x:c r="A27" s="170" t="str">
        <x:v>Valuation inputs valid</x:v>
      </x:c>
      <x:c r="B27" s="210" t="n">
        <x:f>'Audit &amp; Checks'!D10</x:f>
        <x:v>1</x:v>
      </x:c>
      <x:c r="C27" s="210" t="n">
        <x:f>1</x:f>
        <x:v>1</x:v>
      </x:c>
      <x:c r="D27" s="210" t="n">
        <x:f>B27-C27</x:f>
        <x:v>0</x:v>
      </x:c>
      <x:c r="E27" s="209" t="n">
        <x:v>0.000001</x:v>
      </x:c>
      <x:c r="F27" s="170" t="str">
        <x:f>IF(ABS(D27)&lt;=E27,"OK","FAIL")</x:f>
        <x:v>OK</x:v>
      </x:c>
      <x:c r="G27" s="170" t="str">
        <x:v>Use Ke &gt; growth, positive shares.</x:v>
      </x:c>
      <x:c r="H27" s="170"/>
      <x:c r="I27" s="169"/>
      <x:c r="J27" s="169"/>
      <x:c r="K27" s="169"/>
      <x:c r="L27" s="169"/>
      <x:c r="M27" s="169"/>
      <x:c r="N27" s="169"/>
      <x:c r="O27" s="169"/>
      <x:c r="P27" s="169"/>
      <x:c r="Q27" s="169"/>
      <x:c r="R27" s="169"/>
      <x:c r="S27" s="169"/>
      <x:c r="T27" s="169"/>
      <x:c r="U27" s="169"/>
      <x:c r="V27" s="169"/>
      <x:c r="W27" s="169"/>
      <x:c r="X27" s="169"/>
      <x:c r="Y27" s="169"/>
      <x:c r="Z27" s="169"/>
      <x:c r="AA27" s="169"/>
      <x:c r="AB27" s="169"/>
      <x:c r="AC27" s="169"/>
    </x:row>
    <x:row r="28" ht="40" customHeight="1">
      <x:c r="A28" s="170" t="str">
        <x:v>Scenario engine reproduces base</x:v>
      </x:c>
      <x:c r="B28" s="210" t="n">
        <x:f>'Sensitivity Engine'!I43</x:f>
        <x:v>296.77013926091934</x:v>
      </x:c>
      <x:c r="C28" s="210" t="n">
        <x:f>'Capa DCF - Base'!D88</x:f>
        <x:v>296.7701392609192</x:v>
      </x:c>
      <x:c r="D28" s="210" t="n">
        <x:f>B28-C28</x:f>
        <x:v>1.1368683772161603e-13</x:v>
      </x:c>
      <x:c r="E28" s="209" t="n">
        <x:v>0.000001</x:v>
      </x:c>
      <x:c r="F28" s="170" t="str">
        <x:f>IF(ABS(D28)&lt;=E28,"OK","FAIL")</x:f>
        <x:v>OK</x:v>
      </x:c>
      <x:c r="G28" s="170" t="str">
        <x:v>Same date, timing and current share/margin inputs.</x:v>
      </x:c>
      <x:c r="H28" s="170"/>
      <x:c r="I28" s="169"/>
      <x:c r="J28" s="169"/>
      <x:c r="K28" s="169"/>
      <x:c r="L28" s="169"/>
      <x:c r="M28" s="169"/>
      <x:c r="N28" s="169"/>
      <x:c r="O28" s="169"/>
      <x:c r="P28" s="169"/>
      <x:c r="Q28" s="169"/>
      <x:c r="R28" s="169"/>
      <x:c r="S28" s="169"/>
      <x:c r="T28" s="169"/>
      <x:c r="U28" s="169"/>
      <x:c r="V28" s="169"/>
      <x:c r="W28" s="169"/>
      <x:c r="X28" s="169"/>
      <x:c r="Y28" s="169"/>
      <x:c r="Z28" s="169"/>
      <x:c r="AA28" s="169"/>
      <x:c r="AB28" s="169"/>
      <x:c r="AC28" s="169"/>
    </x:row>
    <x:row r="29" ht="40" customHeight="1">
      <x:c r="A29" s="170" t="str">
        <x:v>Main value reconciles to PV</x:v>
      </x:c>
      <x:c r="B29" s="210" t="n">
        <x:f>'Capa DCF - Base'!D88</x:f>
        <x:v>296.7701392609192</x:v>
      </x:c>
      <x:c r="C29" s="210" t="n">
        <x:f>'Audit &amp; Checks'!D13/'Capa DCF - Base'!D86</x:f>
        <x:v>296.7701392609192</x:v>
      </x:c>
      <x:c r="D29" s="210" t="n">
        <x:f>B29-C29</x:f>
        <x:v>0</x:v>
      </x:c>
      <x:c r="E29" s="209" t="n">
        <x:v>0.000001</x:v>
      </x:c>
      <x:c r="F29" s="170" t="str">
        <x:f>IF(ABS(D29)&lt;=E29,"OK","FAIL")</x:f>
        <x:v>OK</x:v>
      </x:c>
      <x:c r="G29" s="170" t="str">
        <x:v>One canonical valuation output.</x:v>
      </x:c>
      <x:c r="H29" s="170"/>
      <x:c r="I29" s="169"/>
      <x:c r="J29" s="169"/>
      <x:c r="K29" s="169"/>
      <x:c r="L29" s="169"/>
      <x:c r="M29" s="169"/>
      <x:c r="N29" s="169"/>
      <x:c r="O29" s="169"/>
      <x:c r="P29" s="169"/>
      <x:c r="Q29" s="169"/>
      <x:c r="R29" s="169"/>
      <x:c r="S29" s="169"/>
      <x:c r="T29" s="169"/>
      <x:c r="U29" s="169"/>
      <x:c r="V29" s="169"/>
      <x:c r="W29" s="169"/>
      <x:c r="X29" s="169"/>
      <x:c r="Y29" s="169"/>
      <x:c r="Z29" s="169"/>
      <x:c r="AA29" s="169"/>
      <x:c r="AB29" s="169"/>
      <x:c r="AC29" s="169"/>
    </x:row>
    <x:row r="30" ht="40" customHeight="1">
      <x:c r="A30" s="170" t="str">
        <x:v>Revenue CY2026 unchanged</x:v>
      </x:c>
      <x:c r="B30" s="210" t="n">
        <x:f>'Capa DCF - Base'!G59</x:f>
        <x:v>398875.21588105615</x:v>
      </x:c>
      <x:c r="C30" s="210" t="n">
        <x:f>'Source Inputs'!D18</x:f>
        <x:v>398875.21588105615</x:v>
      </x:c>
      <x:c r="D30" s="210" t="n">
        <x:f>B30-C30</x:f>
        <x:v>0</x:v>
      </x:c>
      <x:c r="E30" s="209" t="n">
        <x:v>0.000001</x:v>
      </x:c>
      <x:c r="F30" s="170" t="str">
        <x:f>IF(ABS(D30)&lt;=E30,"OK","FAIL")</x:f>
        <x:v>OK</x:v>
      </x:c>
      <x:c r="G30" s="170" t="str">
        <x:v>Commercial forecast retained.</x:v>
      </x:c>
      <x:c r="H30" s="170"/>
      <x:c r="I30" s="169"/>
      <x:c r="J30" s="169"/>
      <x:c r="K30" s="169"/>
      <x:c r="L30" s="169"/>
      <x:c r="M30" s="169"/>
      <x:c r="N30" s="169"/>
      <x:c r="O30" s="169"/>
      <x:c r="P30" s="169"/>
      <x:c r="Q30" s="169"/>
      <x:c r="R30" s="169"/>
      <x:c r="S30" s="169"/>
      <x:c r="T30" s="169"/>
      <x:c r="U30" s="169"/>
      <x:c r="V30" s="169"/>
      <x:c r="W30" s="169"/>
      <x:c r="X30" s="169"/>
      <x:c r="Y30" s="169"/>
      <x:c r="Z30" s="169"/>
      <x:c r="AA30" s="169"/>
      <x:c r="AB30" s="169"/>
      <x:c r="AC30" s="169"/>
    </x:row>
    <x:row r="31" ht="40" customHeight="1">
      <x:c r="A31" s="170" t="str">
        <x:v>Revenue CY2027 unchanged</x:v>
      </x:c>
      <x:c r="B31" s="210" t="n">
        <x:f>'Capa DCF - Base'!H59</x:f>
        <x:v>754850.636454282</x:v>
      </x:c>
      <x:c r="C31" s="210" t="n">
        <x:f>'Source Inputs'!D19</x:f>
        <x:v>754850.636454282</x:v>
      </x:c>
      <x:c r="D31" s="210" t="n">
        <x:f>B31-C31</x:f>
        <x:v>0</x:v>
      </x:c>
      <x:c r="E31" s="209" t="n">
        <x:v>0.000001</x:v>
      </x:c>
      <x:c r="F31" s="170" t="str">
        <x:f>IF(ABS(D31)&lt;=E31,"OK","FAIL")</x:f>
        <x:v>OK</x:v>
      </x:c>
      <x:c r="G31" s="170" t="str">
        <x:v>Commercial forecast retained.</x:v>
      </x:c>
      <x:c r="H31" s="170"/>
      <x:c r="I31" s="169"/>
      <x:c r="J31" s="169"/>
      <x:c r="K31" s="169"/>
      <x:c r="L31" s="169"/>
      <x:c r="M31" s="169"/>
      <x:c r="N31" s="169"/>
      <x:c r="O31" s="169"/>
      <x:c r="P31" s="169"/>
      <x:c r="Q31" s="169"/>
      <x:c r="R31" s="169"/>
      <x:c r="S31" s="169"/>
      <x:c r="T31" s="169"/>
      <x:c r="U31" s="169"/>
      <x:c r="V31" s="169"/>
      <x:c r="W31" s="169"/>
      <x:c r="X31" s="169"/>
      <x:c r="Y31" s="169"/>
      <x:c r="Z31" s="169"/>
      <x:c r="AA31" s="169"/>
      <x:c r="AB31" s="169"/>
      <x:c r="AC31" s="169"/>
    </x:row>
    <x:row r="32" ht="40" customHeight="1">
      <x:c r="A32" s="170" t="str">
        <x:v>Revenue CY2028 unchanged</x:v>
      </x:c>
      <x:c r="B32" s="210" t="n">
        <x:f>'Capa DCF - Base'!I59</x:f>
        <x:v>1011591.9328664042</x:v>
      </x:c>
      <x:c r="C32" s="210" t="n">
        <x:f>'Source Inputs'!D20</x:f>
        <x:v>1011591.9328664042</x:v>
      </x:c>
      <x:c r="D32" s="210" t="n">
        <x:f>B32-C32</x:f>
        <x:v>0</x:v>
      </x:c>
      <x:c r="E32" s="209" t="n">
        <x:v>0.000001</x:v>
      </x:c>
      <x:c r="F32" s="170" t="str">
        <x:f>IF(ABS(D32)&lt;=E32,"OK","FAIL")</x:f>
        <x:v>OK</x:v>
      </x:c>
      <x:c r="G32" s="170" t="str">
        <x:v>Commercial forecast retained.</x:v>
      </x:c>
      <x:c r="H32" s="170"/>
      <x:c r="I32" s="169"/>
      <x:c r="J32" s="169"/>
      <x:c r="K32" s="169"/>
      <x:c r="L32" s="169"/>
      <x:c r="M32" s="169"/>
      <x:c r="N32" s="169"/>
      <x:c r="O32" s="169"/>
      <x:c r="P32" s="169"/>
      <x:c r="Q32" s="169"/>
      <x:c r="R32" s="169"/>
      <x:c r="S32" s="169"/>
      <x:c r="T32" s="169"/>
      <x:c r="U32" s="169"/>
      <x:c r="V32" s="169"/>
      <x:c r="W32" s="169"/>
      <x:c r="X32" s="169"/>
      <x:c r="Y32" s="169"/>
      <x:c r="Z32" s="169"/>
      <x:c r="AA32" s="169"/>
      <x:c r="AB32" s="169"/>
      <x:c r="AC32" s="169"/>
    </x:row>
    <x:row r="33" ht="40" customHeight="1">
      <x:c r="A33" s="170" t="str">
        <x:v>CY2027 capex components</x:v>
      </x:c>
      <x:c r="B33" s="210" t="n">
        <x:f>'Capa DCF - Base'!H6</x:f>
        <x:v>1885412.9385329485</x:v>
      </x:c>
      <x:c r="C33" s="210" t="n">
        <x:f>SUM('Capa DCF - Base'!H7:H9)</x:f>
        <x:v>1885412.9385329485</x:v>
      </x:c>
      <x:c r="D33" s="210" t="n">
        <x:f>B33-C33</x:f>
        <x:v>0</x:v>
      </x:c>
      <x:c r="E33" s="209" t="n">
        <x:v>0.000001</x:v>
      </x:c>
      <x:c r="F33" s="170" t="str">
        <x:f>IF(ABS(D33)&lt;=E33,"OK","FAIL")</x:f>
        <x:v>OK</x:v>
      </x:c>
      <x:c r="G33" s="170" t="str">
        <x:v>Total equals components.</x:v>
      </x:c>
      <x:c r="H33" s="170"/>
      <x:c r="I33" s="169"/>
      <x:c r="J33" s="169"/>
      <x:c r="K33" s="169"/>
      <x:c r="L33" s="169"/>
      <x:c r="M33" s="169"/>
      <x:c r="N33" s="169"/>
      <x:c r="O33" s="169"/>
      <x:c r="P33" s="169"/>
      <x:c r="Q33" s="169"/>
      <x:c r="R33" s="169"/>
      <x:c r="S33" s="169"/>
      <x:c r="T33" s="169"/>
      <x:c r="U33" s="169"/>
      <x:c r="V33" s="169"/>
      <x:c r="W33" s="169"/>
      <x:c r="X33" s="169"/>
      <x:c r="Y33" s="169"/>
      <x:c r="Z33" s="169"/>
      <x:c r="AA33" s="169"/>
      <x:c r="AB33" s="169"/>
      <x:c r="AC33" s="169"/>
    </x:row>
    <x:row r="34" ht="40" customHeight="1">
      <x:c r="A34" s="170" t="str">
        <x:v>CY2027 designer total</x:v>
      </x:c>
      <x:c r="B34" s="210" t="n">
        <x:f>'Capa DCF - Base'!H40</x:f>
        <x:v>767002.6163141985</x:v>
      </x:c>
      <x:c r="C34" s="210" t="n">
        <x:f>'Capa DCF - Base'!H7</x:f>
        <x:v>767002.6163141985</x:v>
      </x:c>
      <x:c r="D34" s="210" t="n">
        <x:f>B34-C34</x:f>
        <x:v>0</x:v>
      </x:c>
      <x:c r="E34" s="209" t="n">
        <x:v>0.000001</x:v>
      </x:c>
      <x:c r="F34" s="170" t="str">
        <x:f>IF(ABS(D34)&lt;=E34,"OK","FAIL")</x:f>
        <x:v>OK</x:v>
      </x:c>
      <x:c r="G34" s="170" t="str">
        <x:v>No Alchip double count in total.</x:v>
      </x:c>
      <x:c r="H34" s="170"/>
      <x:c r="I34" s="169"/>
      <x:c r="J34" s="169"/>
      <x:c r="K34" s="169"/>
      <x:c r="L34" s="169"/>
      <x:c r="M34" s="169"/>
      <x:c r="N34" s="169"/>
      <x:c r="O34" s="169"/>
      <x:c r="P34" s="169"/>
      <x:c r="Q34" s="169"/>
      <x:c r="R34" s="169"/>
      <x:c r="S34" s="169"/>
      <x:c r="T34" s="169"/>
      <x:c r="U34" s="169"/>
      <x:c r="V34" s="169"/>
      <x:c r="W34" s="169"/>
      <x:c r="X34" s="169"/>
      <x:c r="Y34" s="169"/>
      <x:c r="Z34" s="169"/>
      <x:c r="AA34" s="169"/>
      <x:c r="AB34" s="169"/>
      <x:c r="AC34" s="169"/>
    </x:row>
    <x:row r="35" ht="40" customHeight="1">
      <x:c r="A35" s="170" t="str">
        <x:v>MRVL CY2027 preserved</x:v>
      </x:c>
      <x:c r="B35" s="210" t="n">
        <x:f>'Capa DCF - Base'!H46</x:f>
        <x:v>9289.13965369327</x:v>
      </x:c>
      <x:c r="C35" s="210" t="n">
        <x:f>'Source Inputs'!D25</x:f>
        <x:v>9289.13965369327</x:v>
      </x:c>
      <x:c r="D35" s="210" t="n">
        <x:f>B35-C35</x:f>
        <x:v>0</x:v>
      </x:c>
      <x:c r="E35" s="209" t="n">
        <x:v>0.000001</x:v>
      </x:c>
      <x:c r="F35" s="170" t="str">
        <x:f>IF(ABS(D35)&lt;=E35,"OK","FAIL")</x:f>
        <x:v>OK</x:v>
      </x:c>
      <x:c r="G35" s="170" t="str">
        <x:v>Explicit allocation deduction.</x:v>
      </x:c>
      <x:c r="H35" s="170"/>
      <x:c r="I35" s="169"/>
      <x:c r="J35" s="169"/>
      <x:c r="K35" s="169"/>
      <x:c r="L35" s="169"/>
      <x:c r="M35" s="169"/>
      <x:c r="N35" s="169"/>
      <x:c r="O35" s="169"/>
      <x:c r="P35" s="169"/>
      <x:c r="Q35" s="169"/>
      <x:c r="R35" s="169"/>
      <x:c r="S35" s="169"/>
      <x:c r="T35" s="169"/>
      <x:c r="U35" s="169"/>
      <x:c r="V35" s="169"/>
      <x:c r="W35" s="169"/>
      <x:c r="X35" s="169"/>
      <x:c r="Y35" s="169"/>
      <x:c r="Z35" s="169"/>
      <x:c r="AA35" s="169"/>
      <x:c r="AB35" s="169"/>
      <x:c r="AC35" s="169"/>
    </x:row>
    <x:row r="36" ht="40" customHeight="1">
      <x:c r="A36" s="170" t="str">
        <x:v>MRVL CY2028 preserved</x:v>
      </x:c>
      <x:c r="B36" s="210" t="n">
        <x:f>'Capa DCF - Base'!I46</x:f>
        <x:v>13286.017232405842</x:v>
      </x:c>
      <x:c r="C36" s="210" t="n">
        <x:f>'Source Inputs'!D26</x:f>
        <x:v>13286.017232405844</x:v>
      </x:c>
      <x:c r="D36" s="210" t="n">
        <x:f>B36-C36</x:f>
        <x:v>-1.8189894035458565e-12</x:v>
      </x:c>
      <x:c r="E36" s="209" t="n">
        <x:v>0.000001</x:v>
      </x:c>
      <x:c r="F36" s="170" t="str">
        <x:f>IF(ABS(D36)&lt;=E36,"OK","FAIL")</x:f>
        <x:v>OK</x:v>
      </x:c>
      <x:c r="G36" s="170" t="str">
        <x:v>Explicit allocation deduction.</x:v>
      </x:c>
      <x:c r="H36" s="170"/>
      <x:c r="I36" s="169"/>
      <x:c r="J36" s="169"/>
      <x:c r="K36" s="169"/>
      <x:c r="L36" s="169"/>
      <x:c r="M36" s="169"/>
      <x:c r="N36" s="169"/>
      <x:c r="O36" s="169"/>
      <x:c r="P36" s="169"/>
      <x:c r="Q36" s="169"/>
      <x:c r="R36" s="169"/>
      <x:c r="S36" s="169"/>
      <x:c r="T36" s="169"/>
      <x:c r="U36" s="169"/>
      <x:c r="V36" s="169"/>
      <x:c r="W36" s="169"/>
      <x:c r="X36" s="169"/>
      <x:c r="Y36" s="169"/>
      <x:c r="Z36" s="169"/>
      <x:c r="AA36" s="169"/>
      <x:c r="AB36" s="169"/>
      <x:c r="AC36" s="169"/>
    </x:row>
    <x:row r="37" ht="40" customHeight="1">
      <x:c r="A37" s="170" t="str">
        <x:v>Asset weights sum</x:v>
      </x:c>
      <x:c r="B37" s="210" t="n">
        <x:f>'ROIC Cloud'!D48</x:f>
        <x:v>1</x:v>
      </x:c>
      <x:c r="C37" s="210" t="n">
        <x:f>1</x:f>
        <x:v>1</x:v>
      </x:c>
      <x:c r="D37" s="210" t="n">
        <x:f>B37-C37</x:f>
        <x:v>0</x:v>
      </x:c>
      <x:c r="E37" s="209" t="n">
        <x:v>0.000001</x:v>
      </x:c>
      <x:c r="F37" s="170" t="str">
        <x:f>IF(ABS(D37)&lt;=E37,"OK","FAIL")</x:f>
        <x:v>OK</x:v>
      </x:c>
      <x:c r="G37" s="170" t="str">
        <x:v>Fixed CY2027 mix.</x:v>
      </x:c>
      <x:c r="H37" s="170"/>
      <x:c r="I37" s="169"/>
      <x:c r="J37" s="169"/>
      <x:c r="K37" s="169"/>
      <x:c r="L37" s="169"/>
      <x:c r="M37" s="169"/>
      <x:c r="N37" s="169"/>
      <x:c r="O37" s="169"/>
      <x:c r="P37" s="169"/>
      <x:c r="Q37" s="169"/>
      <x:c r="R37" s="169"/>
      <x:c r="S37" s="169"/>
      <x:c r="T37" s="169"/>
      <x:c r="U37" s="169"/>
      <x:c r="V37" s="169"/>
      <x:c r="W37" s="169"/>
      <x:c r="X37" s="169"/>
      <x:c r="Y37" s="169"/>
      <x:c r="Z37" s="169"/>
      <x:c r="AA37" s="169"/>
      <x:c r="AB37" s="169"/>
      <x:c r="AC37" s="169"/>
    </x:row>
    <x:row r="38" ht="40" customHeight="1">
      <x:c r="A38" s="170" t="str">
        <x:v>CY2029 vintage lag aligned</x:v>
      </x:c>
      <x:c r="B38" s="210" t="n">
        <x:f>'ROIC Cloud'!J16</x:f>
        <x:v>1131247.763119769</x:v>
      </x:c>
      <x:c r="C38" s="210" t="n">
        <x:f>INDEX('ROIC Cloud'!D15:Z15,1,7-'ROIC Cloud'!D40)</x:f>
        <x:v>1131247.763119769</x:v>
      </x:c>
      <x:c r="D38" s="210" t="n">
        <x:f>B38-C38</x:f>
        <x:v>0</x:v>
      </x:c>
      <x:c r="E38" s="209" t="n">
        <x:v>0.000001</x:v>
      </x:c>
      <x:c r="F38" s="170" t="str">
        <x:f>IF(ABS(D38)&lt;=E38,"OK","FAIL")</x:f>
        <x:v>OK</x:v>
      </x:c>
      <x:c r="G38" s="170" t="str">
        <x:v>Same lag input used by cohorts.</x:v>
      </x:c>
      <x:c r="H38" s="170"/>
      <x:c r="I38" s="169"/>
      <x:c r="J38" s="169"/>
      <x:c r="K38" s="169"/>
      <x:c r="L38" s="169"/>
      <x:c r="M38" s="169"/>
      <x:c r="N38" s="169"/>
      <x:c r="O38" s="169"/>
      <x:c r="P38" s="169"/>
      <x:c r="Q38" s="169"/>
      <x:c r="R38" s="169"/>
      <x:c r="S38" s="169"/>
      <x:c r="T38" s="169"/>
      <x:c r="U38" s="169"/>
      <x:c r="V38" s="169"/>
      <x:c r="W38" s="169"/>
      <x:c r="X38" s="169"/>
      <x:c r="Y38" s="169"/>
      <x:c r="Z38" s="169"/>
      <x:c r="AA38" s="169"/>
      <x:c r="AB38" s="169"/>
      <x:c r="AC38" s="169"/>
    </x:row>
    <x:row r="39" ht="40" customHeight="1">
      <x:c r="A39" s="170" t="str">
        <x:v>CY2029 target-A inversion</x:v>
      </x:c>
      <x:c r="B39" s="210" t="n">
        <x:f>('ROIC Cloud'!D7*'ROIC Cloud'!J22-'ROIC Cloud'!J21)*(1-'ROIC Cloud'!D8)/'ROIC Cloud'!J20</x:f>
        <x:v>0.14999999999999994</x:v>
      </x:c>
      <x:c r="C39" s="210" t="n">
        <x:f>'ROIC Cloud'!D10</x:f>
        <x:v>0.15</x:v>
      </x:c>
      <x:c r="D39" s="210" t="n">
        <x:f>B39-C39</x:f>
        <x:v>-5.551115123125783e-17</x:v>
      </x:c>
      <x:c r="E39" s="209" t="n">
        <x:v>0.000001</x:v>
      </x:c>
      <x:c r="F39" s="170" t="str">
        <x:f>IF(ABS(D39)&lt;=E39,"OK","FAIL")</x:f>
        <x:v>OK</x:v>
      </x:c>
      <x:c r="G39" s="170" t="str">
        <x:v>Revenue hurdle reproduces target return.</x:v>
      </x:c>
      <x:c r="H39" s="170"/>
      <x:c r="I39" s="169"/>
      <x:c r="J39" s="169"/>
      <x:c r="K39" s="169"/>
      <x:c r="L39" s="169"/>
      <x:c r="M39" s="169"/>
      <x:c r="N39" s="169"/>
      <x:c r="O39" s="169"/>
      <x:c r="P39" s="169"/>
      <x:c r="Q39" s="169"/>
      <x:c r="R39" s="169"/>
      <x:c r="S39" s="169"/>
      <x:c r="T39" s="169"/>
      <x:c r="U39" s="169"/>
      <x:c r="V39" s="169"/>
      <x:c r="W39" s="169"/>
      <x:c r="X39" s="169"/>
      <x:c r="Y39" s="169"/>
      <x:c r="Z39" s="169"/>
      <x:c r="AA39" s="169"/>
      <x:c r="AB39" s="169"/>
      <x:c r="AC39" s="169"/>
    </x:row>
    <x:row r="40" ht="40" customHeight="1">
      <x:c r="A40" s="170" t="str">
        <x:v>CY2030 target-B inversion</x:v>
      </x:c>
      <x:c r="B40" s="210" t="n">
        <x:f>('ROIC Cloud'!D7*'ROIC Cloud'!K23-'ROIC Cloud'!K21)*(1-'ROIC Cloud'!D8)/'ROIC Cloud'!K20</x:f>
        <x:v>0.2</x:v>
      </x:c>
      <x:c r="C40" s="210" t="n">
        <x:f>'ROIC Cloud'!D11</x:f>
        <x:v>0.2</x:v>
      </x:c>
      <x:c r="D40" s="210" t="n">
        <x:f>B40-C40</x:f>
        <x:v>0</x:v>
      </x:c>
      <x:c r="E40" s="209" t="n">
        <x:v>0.000001</x:v>
      </x:c>
      <x:c r="F40" s="170" t="str">
        <x:f>IF(ABS(D40)&lt;=E40,"OK","FAIL")</x:f>
        <x:v>OK</x:v>
      </x:c>
      <x:c r="G40" s="170" t="str">
        <x:v>Revenue hurdle reproduces target return.</x:v>
      </x:c>
      <x:c r="H40" s="170"/>
      <x:c r="I40" s="169"/>
      <x:c r="J40" s="169"/>
      <x:c r="K40" s="169"/>
      <x:c r="L40" s="169"/>
      <x:c r="M40" s="169"/>
      <x:c r="N40" s="169"/>
      <x:c r="O40" s="169"/>
      <x:c r="P40" s="169"/>
      <x:c r="Q40" s="169"/>
      <x:c r="R40" s="169"/>
      <x:c r="S40" s="169"/>
      <x:c r="T40" s="169"/>
      <x:c r="U40" s="169"/>
      <x:c r="V40" s="169"/>
      <x:c r="W40" s="169"/>
      <x:c r="X40" s="169"/>
      <x:c r="Y40" s="169"/>
      <x:c r="Z40" s="169"/>
      <x:c r="AA40" s="169"/>
      <x:c r="AB40" s="169"/>
      <x:c r="AC40" s="169"/>
    </x:row>
    <x:row r="41" ht="40" customHeight="1">
      <x:c r="A41" s="170" t="str">
        <x:v>CY2033 fleet assets balance</x:v>
      </x:c>
      <x:c r="B41" s="210" t="n">
        <x:f>'Cloud Cohorts'!Q19</x:f>
        <x:v>9.313225746154785e-10</x:v>
      </x:c>
      <x:c r="C41" s="210" t="n">
        <x:f>0</x:f>
        <x:v>0</x:v>
      </x:c>
      <x:c r="D41" s="210" t="n">
        <x:f>B41-C41</x:f>
        <x:v>9.313225746154785e-10</x:v>
      </x:c>
      <x:c r="E41" s="209" t="n">
        <x:v>0.000001</x:v>
      </x:c>
      <x:c r="F41" s="170" t="str">
        <x:f>IF(ABS(D41)&lt;=E41,"OK","FAIL")</x:f>
        <x:v>OK</x:v>
      </x:c>
      <x:c r="G41" s="170" t="str">
        <x:v>Opening less depreciation = closing.</x:v>
      </x:c>
      <x:c r="H41" s="170"/>
      <x:c r="I41" s="169"/>
      <x:c r="J41" s="169"/>
      <x:c r="K41" s="169"/>
      <x:c r="L41" s="169"/>
      <x:c r="M41" s="169"/>
      <x:c r="N41" s="169"/>
      <x:c r="O41" s="169"/>
      <x:c r="P41" s="169"/>
      <x:c r="Q41" s="169"/>
      <x:c r="R41" s="169"/>
      <x:c r="S41" s="169"/>
      <x:c r="T41" s="169"/>
      <x:c r="U41" s="169"/>
      <x:c r="V41" s="169"/>
      <x:c r="W41" s="169"/>
      <x:c r="X41" s="169"/>
      <x:c r="Y41" s="169"/>
      <x:c r="Z41" s="169"/>
      <x:c r="AA41" s="169"/>
      <x:c r="AB41" s="169"/>
      <x:c r="AC41" s="169"/>
    </x:row>
    <x:row r="42" ht="40" customHeight="1">
      <x:c r="A42" s="170" t="str">
        <x:v>CY2045 fleet assets balance</x:v>
      </x:c>
      <x:c r="B42" s="210" t="n">
        <x:f>'Cloud Cohorts'!AC19</x:f>
        <x:v>0</x:v>
      </x:c>
      <x:c r="C42" s="210" t="n">
        <x:f>0</x:f>
        <x:v>0</x:v>
      </x:c>
      <x:c r="D42" s="210" t="n">
        <x:f>B42-C42</x:f>
        <x:v>0</x:v>
      </x:c>
      <x:c r="E42" s="209" t="n">
        <x:v>0.000001</x:v>
      </x:c>
      <x:c r="F42" s="170" t="str">
        <x:f>IF(ABS(D42)&lt;=E42,"OK","FAIL")</x:f>
        <x:v>OK</x:v>
      </x:c>
      <x:c r="G42" s="170" t="str">
        <x:v>No blended retirement shortcut.</x:v>
      </x:c>
      <x:c r="H42" s="170"/>
      <x:c r="I42" s="169"/>
      <x:c r="J42" s="169"/>
      <x:c r="K42" s="169"/>
      <x:c r="L42" s="169"/>
      <x:c r="M42" s="169"/>
      <x:c r="N42" s="169"/>
      <x:c r="O42" s="169"/>
      <x:c r="P42" s="169"/>
      <x:c r="Q42" s="169"/>
      <x:c r="R42" s="169"/>
      <x:c r="S42" s="169"/>
      <x:c r="T42" s="169"/>
      <x:c r="U42" s="169"/>
      <x:c r="V42" s="169"/>
      <x:c r="W42" s="169"/>
      <x:c r="X42" s="169"/>
      <x:c r="Y42" s="169"/>
      <x:c r="Z42" s="169"/>
      <x:c r="AA42" s="169"/>
      <x:c r="AB42" s="169"/>
      <x:c r="AC42" s="169"/>
    </x:row>
    <x:row r="43" ht="40" customHeight="1">
      <x:c r="A43" s="170" t="str">
        <x:v>CY2023 chip cumulative depreciation</x:v>
      </x:c>
      <x:c r="B43" s="210" t="n">
        <x:f>SUM('Cloud Cohorts'!G24:AC24)</x:f>
        <x:v>21897.47945512016</x:v>
      </x:c>
      <x:c r="C43" s="210" t="n">
        <x:f>'Cloud Cohorts'!C23*MIN(1,MAX(0,('Cloud Cohorts'!AC4-'Cloud Cohorts'!B23-'ROIC Cloud'!D40+1)/'ROIC Cloud'!D41))</x:f>
        <x:v>21897.47945512016</x:v>
      </x:c>
      <x:c r="D43" s="210" t="n">
        <x:f>B43-C43</x:f>
        <x:v>0</x:v>
      </x:c>
      <x:c r="E43" s="209" t="n">
        <x:v>0.000001</x:v>
      </x:c>
      <x:c r="F43" s="170" t="str">
        <x:f>IF(ABS(D43)&lt;=E43,"OK","FAIL")</x:f>
        <x:v>OK</x:v>
      </x:c>
      <x:c r="G43" s="170" t="str">
        <x:v>Closed-form lifetime cap through the model horizon.</x:v>
      </x:c>
      <x:c r="H43" s="170"/>
      <x:c r="I43" s="169"/>
      <x:c r="J43" s="169"/>
      <x:c r="K43" s="169"/>
      <x:c r="L43" s="169"/>
      <x:c r="M43" s="169"/>
      <x:c r="N43" s="169"/>
      <x:c r="O43" s="169"/>
      <x:c r="P43" s="169"/>
      <x:c r="Q43" s="169"/>
      <x:c r="R43" s="169"/>
      <x:c r="S43" s="169"/>
      <x:c r="T43" s="169"/>
      <x:c r="U43" s="169"/>
      <x:c r="V43" s="169"/>
      <x:c r="W43" s="169"/>
      <x:c r="X43" s="169"/>
      <x:c r="Y43" s="169"/>
      <x:c r="Z43" s="169"/>
      <x:c r="AA43" s="169"/>
      <x:c r="AB43" s="169"/>
      <x:c r="AC43" s="169"/>
    </x:row>
    <x:row r="44" ht="40" customHeight="1">
      <x:c r="A44" s="170" t="str">
        <x:v>CY2023 hard-asset cost conservation</x:v>
      </x:c>
      <x:c r="B44" s="210" t="n">
        <x:f>SUM('Cloud Cohorts'!G208:AC208)+'Cloud Cohorts'!AC209</x:f>
        <x:v>19507.125487082103</x:v>
      </x:c>
      <x:c r="C44" s="210" t="n">
        <x:f>'Cloud Cohorts'!C207</x:f>
        <x:v>19507.125487082103</x:v>
      </x:c>
      <x:c r="D44" s="210" t="n">
        <x:f>B44-C44</x:f>
        <x:v>0</x:v>
      </x:c>
      <x:c r="E44" s="209" t="n">
        <x:v>0.000001</x:v>
      </x:c>
      <x:c r="F44" s="170" t="str">
        <x:f>IF(ABS(D44)&lt;=E44,"OK","FAIL")</x:f>
        <x:v>OK</x:v>
      </x:c>
      <x:c r="G44" s="170" t="str">
        <x:v>Cumulative depreciation plus remaining value equals original cost.</x:v>
      </x:c>
      <x:c r="H44" s="170"/>
      <x:c r="I44" s="169"/>
      <x:c r="J44" s="169"/>
      <x:c r="K44" s="169"/>
      <x:c r="L44" s="169"/>
      <x:c r="M44" s="169"/>
      <x:c r="N44" s="169"/>
      <x:c r="O44" s="169"/>
      <x:c r="P44" s="169"/>
      <x:c r="Q44" s="169"/>
      <x:c r="R44" s="169"/>
      <x:c r="S44" s="169"/>
      <x:c r="T44" s="169"/>
      <x:c r="U44" s="169"/>
      <x:c r="V44" s="169"/>
      <x:c r="W44" s="169"/>
      <x:c r="X44" s="169"/>
      <x:c r="Y44" s="169"/>
      <x:c r="Z44" s="169"/>
      <x:c r="AA44" s="169"/>
      <x:c r="AB44" s="169"/>
      <x:c r="AC44" s="169"/>
    </x:row>
    <x:row r="45" ht="40" customHeight="1">
      <x:c r="A45" s="170" t="str">
        <x:v>CAGR engine endpoint reconciliation</x:v>
      </x:c>
      <x:c r="B45" s="210" t="n">
        <x:f>MAX('Capa DCF - Base'!AA118:AA142)</x:f>
        <x:v>1.6763806343078613e-8</x:v>
      </x:c>
      <x:c r="C45" s="210" t="n">
        <x:f>0</x:f>
        <x:v>0</x:v>
      </x:c>
      <x:c r="D45" s="210" t="n">
        <x:f>B45-C45</x:f>
        <x:v>1.6763806343078613e-8</x:v>
      </x:c>
      <x:c r="E45" s="209" t="n">
        <x:v>0.000001</x:v>
      </x:c>
      <x:c r="F45" s="170" t="str">
        <x:f>IF(ABS(D45)&lt;=E45,"OK","FAIL")</x:f>
        <x:v>OK</x:v>
      </x:c>
      <x:c r="G45" s="170" t="str">
        <x:v>Every scenario delivers its specified revenue CAGR.</x:v>
      </x:c>
      <x:c r="H45" s="170"/>
      <x:c r="I45" s="169"/>
      <x:c r="J45" s="169"/>
      <x:c r="K45" s="169"/>
      <x:c r="L45" s="169"/>
      <x:c r="M45" s="169"/>
      <x:c r="N45" s="169"/>
      <x:c r="O45" s="169"/>
      <x:c r="P45" s="169"/>
      <x:c r="Q45" s="169"/>
      <x:c r="R45" s="169"/>
      <x:c r="S45" s="169"/>
      <x:c r="T45" s="169"/>
      <x:c r="U45" s="169"/>
      <x:c r="V45" s="169"/>
      <x:c r="W45" s="169"/>
      <x:c r="X45" s="169"/>
      <x:c r="Y45" s="169"/>
      <x:c r="Z45" s="169"/>
      <x:c r="AA45" s="169"/>
      <x:c r="AB45" s="169"/>
      <x:c r="AC45" s="169"/>
    </x:row>
    <x:row r="46" ht="40" customHeight="1">
      <x:c r="A46" s="170" t="str">
        <x:v>Second grid lookup reconciliation</x:v>
      </x:c>
      <x:c r="B46" s="210" t="n">
        <x:f>'Capa DCF - Base'!F110</x:f>
        <x:v>334.6866662132283</x:v>
      </x:c>
      <x:c r="C46" s="210" t="n">
        <x:f>'Capa DCF - Base'!X129/'Capa DCF - Base'!D86</x:f>
        <x:v>334.6866662132283</x:v>
      </x:c>
      <x:c r="D46" s="210" t="n">
        <x:f>B46-C46</x:f>
        <x:v>0</x:v>
      </x:c>
      <x:c r="E46" s="209" t="n">
        <x:v>0.000001</x:v>
      </x:c>
      <x:c r="F46" s="170" t="str">
        <x:f>IF(ABS(D46)&lt;=E46,"OK","FAIL")</x:f>
        <x:v>OK</x:v>
      </x:c>
      <x:c r="G46" s="170" t="str">
        <x:v>Output retrieves the correct 7.5% / 50% case.</x:v>
      </x:c>
      <x:c r="H46" s="170"/>
      <x:c r="I46" s="169"/>
      <x:c r="J46" s="169"/>
      <x:c r="K46" s="169"/>
      <x:c r="L46" s="169"/>
      <x:c r="M46" s="169"/>
      <x:c r="N46" s="169"/>
      <x:c r="O46" s="169"/>
      <x:c r="P46" s="169"/>
      <x:c r="Q46" s="169"/>
      <x:c r="R46" s="169"/>
      <x:c r="S46" s="169"/>
      <x:c r="T46" s="169"/>
      <x:c r="U46" s="169"/>
      <x:c r="V46" s="169"/>
      <x:c r="W46" s="169"/>
      <x:c r="X46" s="169"/>
      <x:c r="Y46" s="169"/>
      <x:c r="Z46" s="169"/>
      <x:c r="AA46" s="169"/>
      <x:c r="AB46" s="169"/>
      <x:c r="AC46" s="169"/>
    </x:row>
    <x:row r="47" ht="30" customHeight="1">
      <x:c r="A47" s="172" t="str">
        <x:v>ASSUMPTIONS / SOURCE LIMITATIONS | not concealed by passing math checks</x:v>
      </x:c>
      <x:c r="B47" s="172" t="str">
        <x:v>ASSUMPTIONS / SOURCE LIMITATIONS | not concealed by passing math checks</x:v>
      </x:c>
      <x:c r="C47" s="172" t="str">
        <x:v>ASSUMPTIONS / SOURCE LIMITATIONS | not concealed by passing math checks</x:v>
      </x:c>
      <x:c r="D47" s="172" t="str">
        <x:v>ASSUMPTIONS / SOURCE LIMITATIONS | not concealed by passing math checks</x:v>
      </x:c>
      <x:c r="E47" s="172" t="str">
        <x:v>ASSUMPTIONS / SOURCE LIMITATIONS | not concealed by passing math checks</x:v>
      </x:c>
      <x:c r="F47" s="172" t="str">
        <x:v>ASSUMPTIONS / SOURCE LIMITATIONS | not concealed by passing math checks</x:v>
      </x:c>
      <x:c r="G47" s="172" t="str">
        <x:v>ASSUMPTIONS / SOURCE LIMITATIONS | not concealed by passing math checks</x:v>
      </x:c>
      <x:c r="H47" s="172" t="str">
        <x:v>ASSUMPTIONS / SOURCE LIMITATIONS | not concealed by passing math checks</x:v>
      </x:c>
      <x:c r="I47" s="169"/>
      <x:c r="J47" s="169"/>
      <x:c r="K47" s="169"/>
      <x:c r="L47" s="169"/>
      <x:c r="M47" s="169"/>
      <x:c r="N47" s="169"/>
      <x:c r="O47" s="169"/>
      <x:c r="P47" s="169"/>
      <x:c r="Q47" s="169"/>
      <x:c r="R47" s="169"/>
      <x:c r="S47" s="169"/>
      <x:c r="T47" s="169"/>
      <x:c r="U47" s="169"/>
      <x:c r="V47" s="169"/>
      <x:c r="W47" s="169"/>
      <x:c r="X47" s="169"/>
      <x:c r="Y47" s="169"/>
      <x:c r="Z47" s="169"/>
      <x:c r="AA47" s="169"/>
      <x:c r="AB47" s="169"/>
      <x:c r="AC47" s="169"/>
    </x:row>
    <x:row r="48" ht="18" customHeight="1">
      <x:c r="A48" s="169"/>
      <x:c r="B48" s="169"/>
      <x:c r="C48" s="169"/>
      <x:c r="D48" s="169"/>
      <x:c r="E48" s="169"/>
      <x:c r="F48" s="169"/>
      <x:c r="G48" s="169"/>
      <x:c r="H48" s="169"/>
      <x:c r="I48" s="169"/>
      <x:c r="J48" s="169"/>
      <x:c r="K48" s="169"/>
      <x:c r="L48" s="169"/>
      <x:c r="M48" s="169"/>
      <x:c r="N48" s="169"/>
      <x:c r="O48" s="169"/>
      <x:c r="P48" s="169"/>
      <x:c r="Q48" s="169"/>
      <x:c r="R48" s="169"/>
      <x:c r="S48" s="169"/>
      <x:c r="T48" s="169"/>
      <x:c r="U48" s="169"/>
      <x:c r="V48" s="169"/>
      <x:c r="W48" s="169"/>
      <x:c r="X48" s="169"/>
      <x:c r="Y48" s="169"/>
      <x:c r="Z48" s="169"/>
      <x:c r="AA48" s="169"/>
      <x:c r="AB48" s="169"/>
      <x:c r="AC48" s="169"/>
    </x:row>
    <x:row r="49" ht="42" customHeight="1">
      <x:c r="A49" s="208" t="str">
        <x:v>Cloud margin</x:v>
      </x:c>
      <x:c r="B49" s="208" t="str">
        <x:v>90% retained. Commercial assumption not independently validated.</x:v>
      </x:c>
      <x:c r="C49" s="208"/>
      <x:c r="D49" s="208"/>
      <x:c r="E49" s="208"/>
      <x:c r="F49" s="208"/>
      <x:c r="G49" s="208"/>
      <x:c r="H49" s="208"/>
      <x:c r="I49" s="169"/>
      <x:c r="J49" s="169"/>
      <x:c r="K49" s="169"/>
      <x:c r="L49" s="169"/>
      <x:c r="M49" s="169"/>
      <x:c r="N49" s="169"/>
      <x:c r="O49" s="169"/>
      <x:c r="P49" s="169"/>
      <x:c r="Q49" s="169"/>
      <x:c r="R49" s="169"/>
      <x:c r="S49" s="169"/>
      <x:c r="T49" s="169"/>
      <x:c r="U49" s="169"/>
      <x:c r="V49" s="169"/>
      <x:c r="W49" s="169"/>
      <x:c r="X49" s="169"/>
      <x:c r="Y49" s="169"/>
      <x:c r="Z49" s="169"/>
      <x:c r="AA49" s="169"/>
      <x:c r="AB49" s="169"/>
      <x:c r="AC49" s="169"/>
    </x:row>
    <x:row r="50" ht="42" customHeight="1">
      <x:c r="A50" s="208" t="str">
        <x:v>Terminal payout / growth</x:v>
      </x:c>
      <x:c r="B50" s="208" t="str">
        <x:v>100% payout retained with 2.5% perpetual growth; no reinvestment bridge supplied.</x:v>
      </x:c>
      <x:c r="C50" s="208"/>
      <x:c r="D50" s="208"/>
      <x:c r="E50" s="208"/>
      <x:c r="F50" s="208"/>
      <x:c r="G50" s="208"/>
      <x:c r="H50" s="208"/>
      <x:c r="I50" s="169"/>
      <x:c r="J50" s="169"/>
      <x:c r="K50" s="169"/>
      <x:c r="L50" s="169"/>
      <x:c r="M50" s="169"/>
      <x:c r="N50" s="169"/>
      <x:c r="O50" s="169"/>
      <x:c r="P50" s="169"/>
      <x:c r="Q50" s="169"/>
      <x:c r="R50" s="169"/>
      <x:c r="S50" s="169"/>
      <x:c r="T50" s="169"/>
      <x:c r="U50" s="169"/>
      <x:c r="V50" s="169"/>
      <x:c r="W50" s="169"/>
      <x:c r="X50" s="169"/>
      <x:c r="Y50" s="169"/>
      <x:c r="Z50" s="169"/>
      <x:c r="AA50" s="169"/>
      <x:c r="AB50" s="169"/>
      <x:c r="AC50" s="169"/>
    </x:row>
    <x:row r="51" ht="42" customHeight="1">
      <x:c r="A51" s="208" t="str">
        <x:v>Cash-flow definition</x:v>
      </x:c>
      <x:c r="B51" s="208" t="str">
        <x:v>NOPAT × payout proxy. Not a reconciled FCFE or full corporate cash-flow model.</x:v>
      </x:c>
      <x:c r="C51" s="208"/>
      <x:c r="D51" s="208"/>
      <x:c r="E51" s="208"/>
      <x:c r="F51" s="208"/>
      <x:c r="G51" s="208"/>
      <x:c r="H51" s="208"/>
      <x:c r="I51" s="169"/>
      <x:c r="J51" s="169"/>
      <x:c r="K51" s="169"/>
      <x:c r="L51" s="169"/>
      <x:c r="M51" s="169"/>
      <x:c r="N51" s="169"/>
      <x:c r="O51" s="169"/>
      <x:c r="P51" s="169"/>
      <x:c r="Q51" s="169"/>
      <x:c r="R51" s="169"/>
      <x:c r="S51" s="169"/>
      <x:c r="T51" s="169"/>
      <x:c r="U51" s="169"/>
      <x:c r="V51" s="169"/>
      <x:c r="W51" s="169"/>
      <x:c r="X51" s="169"/>
      <x:c r="Y51" s="169"/>
      <x:c r="Z51" s="169"/>
      <x:c r="AA51" s="169"/>
      <x:c r="AB51" s="169"/>
      <x:c r="AC51" s="169"/>
    </x:row>
    <x:row r="52" ht="42" customHeight="1">
      <x:c r="A52" s="208" t="str">
        <x:v>Historical networking</x:v>
      </x:c>
      <x:c r="B52" s="208" t="str">
        <x:v>CY2023/24 not supplied; historical modeled revenue may be incomplete. No impact on forecast value.</x:v>
      </x:c>
      <x:c r="C52" s="208"/>
      <x:c r="D52" s="208"/>
      <x:c r="E52" s="208"/>
      <x:c r="F52" s="208"/>
      <x:c r="G52" s="208"/>
      <x:c r="H52" s="208"/>
      <x:c r="I52" s="169"/>
      <x:c r="J52" s="169"/>
      <x:c r="K52" s="169"/>
      <x:c r="L52" s="169"/>
      <x:c r="M52" s="169"/>
      <x:c r="N52" s="169"/>
      <x:c r="O52" s="169"/>
      <x:c r="P52" s="169"/>
      <x:c r="Q52" s="169"/>
      <x:c r="R52" s="169"/>
      <x:c r="S52" s="169"/>
      <x:c r="T52" s="169"/>
      <x:c r="U52" s="169"/>
      <x:c r="V52" s="169"/>
      <x:c r="W52" s="169"/>
      <x:c r="X52" s="169"/>
      <x:c r="Y52" s="169"/>
      <x:c r="Z52" s="169"/>
      <x:c r="AA52" s="169"/>
      <x:c r="AB52" s="169"/>
      <x:c r="AC52" s="169"/>
    </x:row>
    <x:row r="53" ht="42" customHeight="1">
      <x:c r="A53" s="208" t="str">
        <x:v>Negative capex residuals</x:v>
      </x:c>
      <x:c r="B53" s="208" t="str">
        <x:v>Original negative residuals retained and relabeled; do not interpret as literal negative spending.</x:v>
      </x:c>
      <x:c r="C53" s="208"/>
      <x:c r="D53" s="208"/>
      <x:c r="E53" s="208"/>
      <x:c r="F53" s="208"/>
      <x:c r="G53" s="208"/>
      <x:c r="H53" s="208"/>
      <x:c r="I53" s="169"/>
      <x:c r="J53" s="169"/>
      <x:c r="K53" s="169"/>
      <x:c r="L53" s="169"/>
      <x:c r="M53" s="169"/>
      <x:c r="N53" s="169"/>
      <x:c r="O53" s="169"/>
      <x:c r="P53" s="169"/>
      <x:c r="Q53" s="169"/>
      <x:c r="R53" s="169"/>
      <x:c r="S53" s="169"/>
      <x:c r="T53" s="169"/>
      <x:c r="U53" s="169"/>
      <x:c r="V53" s="169"/>
      <x:c r="W53" s="169"/>
      <x:c r="X53" s="169"/>
      <x:c r="Y53" s="169"/>
      <x:c r="Z53" s="169"/>
      <x:c r="AA53" s="169"/>
      <x:c r="AB53" s="169"/>
      <x:c r="AC53" s="169"/>
    </x:row>
    <x:row r="54" ht="42" customHeight="1">
      <x:c r="A54" s="208" t="str">
        <x:v>Gross capex / double counting</x:v>
      </x:c>
      <x:c r="B54" s="208" t="str">
        <x:v>Original C30 comment (26-Jun-2026) warns of lease/BYOC double counting; no source-supported eliminations supplied.</x:v>
      </x:c>
      <x:c r="C54" s="208"/>
      <x:c r="D54" s="208"/>
      <x:c r="E54" s="208"/>
      <x:c r="F54" s="208"/>
      <x:c r="G54" s="208"/>
      <x:c r="H54" s="208"/>
      <x:c r="I54" s="169"/>
      <x:c r="J54" s="169"/>
      <x:c r="K54" s="169"/>
      <x:c r="L54" s="169"/>
      <x:c r="M54" s="169"/>
      <x:c r="N54" s="169"/>
      <x:c r="O54" s="169"/>
      <x:c r="P54" s="169"/>
      <x:c r="Q54" s="169"/>
      <x:c r="R54" s="169"/>
      <x:c r="S54" s="169"/>
      <x:c r="T54" s="169"/>
      <x:c r="U54" s="169"/>
      <x:c r="V54" s="169"/>
      <x:c r="W54" s="169"/>
      <x:c r="X54" s="169"/>
      <x:c r="Y54" s="169"/>
      <x:c r="Z54" s="169"/>
      <x:c r="AA54" s="169"/>
      <x:c r="AB54" s="169"/>
      <x:c r="AC54" s="169"/>
    </x:row>
    <x:row r="55" ht="42" customHeight="1">
      <x:c r="A55" s="208" t="str">
        <x:v>Hyperscaler reconciliation</x:v>
      </x:c>
      <x:c r="B55" s="208" t="str">
        <x:v>AI bottom-up and total-capex builds differ; CY2027 ratio exceeds 100%. Distinct input builds, not a formula error.</x:v>
      </x:c>
      <x:c r="C55" s="208"/>
      <x:c r="D55" s="208"/>
      <x:c r="E55" s="208"/>
      <x:c r="F55" s="208"/>
      <x:c r="G55" s="208"/>
      <x:c r="H55" s="208"/>
      <x:c r="I55" s="169"/>
      <x:c r="J55" s="169"/>
      <x:c r="K55" s="169"/>
      <x:c r="L55" s="169"/>
      <x:c r="M55" s="169"/>
      <x:c r="N55" s="169"/>
      <x:c r="O55" s="169"/>
      <x:c r="P55" s="169"/>
      <x:c r="Q55" s="169"/>
      <x:c r="R55" s="169"/>
      <x:c r="S55" s="169"/>
      <x:c r="T55" s="169"/>
      <x:c r="U55" s="169"/>
      <x:c r="V55" s="169"/>
      <x:c r="W55" s="169"/>
      <x:c r="X55" s="169"/>
      <x:c r="Y55" s="169"/>
      <x:c r="Z55" s="169"/>
      <x:c r="AA55" s="169"/>
      <x:c r="AB55" s="169"/>
      <x:c r="AC55" s="169"/>
    </x:row>
    <x:row r="56" ht="42" customHeight="1">
      <x:c r="A56" s="208" t="str">
        <x:v>Demand coverage</x:v>
      </x:c>
      <x:c r="B56" s="208" t="str">
        <x:v>Static house demand from 28-Aug-2026; direct enterprise demand and pre-CY2023 capital stock are not supplied.</x:v>
      </x:c>
      <x:c r="C56" s="208"/>
      <x:c r="D56" s="208"/>
      <x:c r="E56" s="208"/>
      <x:c r="F56" s="208"/>
      <x:c r="G56" s="208"/>
      <x:c r="H56" s="208"/>
      <x:c r="I56" s="169"/>
      <x:c r="J56" s="169"/>
      <x:c r="K56" s="169"/>
      <x:c r="L56" s="169"/>
      <x:c r="M56" s="169"/>
      <x:c r="N56" s="169"/>
      <x:c r="O56" s="169"/>
      <x:c r="P56" s="169"/>
      <x:c r="Q56" s="169"/>
      <x:c r="R56" s="169"/>
      <x:c r="S56" s="169"/>
      <x:c r="T56" s="169"/>
      <x:c r="U56" s="169"/>
      <x:c r="V56" s="169"/>
      <x:c r="W56" s="169"/>
      <x:c r="X56" s="169"/>
      <x:c r="Y56" s="169"/>
      <x:c r="Z56" s="169"/>
      <x:c r="AA56" s="169"/>
      <x:c r="AB56" s="169"/>
      <x:c r="AC56" s="169"/>
    </x:row>
    <x:row r="57" ht="42" customHeight="1">
      <x:c r="A57" s="208" t="str">
        <x:v>Capital scope</x:v>
      </x:c>
      <x:c r="B57" s="208" t="str">
        <x:v>Main cloud ROIC uses net assets in service. Supplemental row 54 includes construction with an explicit spend-timing assumption.</x:v>
      </x:c>
      <x:c r="C57" s="208"/>
      <x:c r="D57" s="208"/>
      <x:c r="E57" s="208"/>
      <x:c r="F57" s="208"/>
      <x:c r="G57" s="208"/>
      <x:c r="H57" s="208"/>
      <x:c r="I57" s="169"/>
      <x:c r="J57" s="169"/>
      <x:c r="K57" s="169"/>
      <x:c r="L57" s="169"/>
      <x:c r="M57" s="169"/>
      <x:c r="N57" s="169"/>
      <x:c r="O57" s="169"/>
      <x:c r="P57" s="169"/>
      <x:c r="Q57" s="169"/>
      <x:c r="R57" s="169"/>
      <x:c r="S57" s="169"/>
      <x:c r="T57" s="169"/>
      <x:c r="U57" s="169"/>
      <x:c r="V57" s="169"/>
      <x:c r="W57" s="169"/>
      <x:c r="X57" s="169"/>
      <x:c r="Y57" s="169"/>
      <x:c r="Z57" s="169"/>
      <x:c r="AA57" s="169"/>
      <x:c r="AB57" s="169"/>
      <x:c r="AC57" s="169"/>
    </x:row>
    <x:row r="58" ht="42" customHeight="1">
      <x:c r="A58" s="208" t="str">
        <x:v>Source links</x:v>
      </x:c>
      <x:c r="B58" s="208" t="str">
        <x:v>24 inputs underlying six external formulas are dated internal snapshots. No live upstream refresh occurs in this copy.</x:v>
      </x:c>
      <x:c r="C58" s="208"/>
      <x:c r="D58" s="208"/>
      <x:c r="E58" s="208"/>
      <x:c r="F58" s="208"/>
      <x:c r="G58" s="208"/>
      <x:c r="H58" s="208"/>
      <x:c r="I58" s="169"/>
      <x:c r="J58" s="169"/>
      <x:c r="K58" s="169"/>
      <x:c r="L58" s="169"/>
      <x:c r="M58" s="169"/>
      <x:c r="N58" s="169"/>
      <x:c r="O58" s="169"/>
      <x:c r="P58" s="169"/>
      <x:c r="Q58" s="169"/>
      <x:c r="R58" s="169"/>
      <x:c r="S58" s="169"/>
      <x:c r="T58" s="169"/>
      <x:c r="U58" s="169"/>
      <x:c r="V58" s="169"/>
      <x:c r="W58" s="169"/>
      <x:c r="X58" s="169"/>
      <x:c r="Y58" s="169"/>
      <x:c r="Z58" s="169"/>
      <x:c r="AA58" s="169"/>
      <x:c r="AB58" s="169"/>
      <x:c r="AC58" s="169"/>
    </x:row>
    <x:row r="59" ht="18" customHeight="1">
      <x:c r="A59" s="169"/>
      <x:c r="B59" s="169"/>
      <x:c r="C59" s="169"/>
      <x:c r="D59" s="169"/>
      <x:c r="E59" s="169"/>
      <x:c r="F59" s="169"/>
      <x:c r="G59" s="169"/>
      <x:c r="H59" s="169"/>
      <x:c r="I59" s="169"/>
      <x:c r="J59" s="169"/>
      <x:c r="K59" s="169"/>
      <x:c r="L59" s="169"/>
      <x:c r="M59" s="169"/>
      <x:c r="N59" s="169"/>
      <x:c r="O59" s="169"/>
      <x:c r="P59" s="169"/>
      <x:c r="Q59" s="169"/>
      <x:c r="R59" s="169"/>
      <x:c r="S59" s="169"/>
      <x:c r="T59" s="169"/>
      <x:c r="U59" s="169"/>
      <x:c r="V59" s="169"/>
      <x:c r="W59" s="169"/>
      <x:c r="X59" s="169"/>
      <x:c r="Y59" s="169"/>
      <x:c r="Z59" s="169"/>
      <x:c r="AA59" s="169"/>
      <x:c r="AB59" s="169"/>
      <x:c r="AC59" s="169"/>
    </x:row>
    <x:row r="60" ht="18" customHeight="1">
      <x:c r="A60" s="169"/>
      <x:c r="B60" s="169"/>
      <x:c r="C60" s="169"/>
      <x:c r="D60" s="169"/>
      <x:c r="E60" s="169"/>
      <x:c r="F60" s="169"/>
      <x:c r="G60" s="169"/>
      <x:c r="H60" s="169"/>
      <x:c r="I60" s="169"/>
      <x:c r="J60" s="169"/>
      <x:c r="K60" s="169"/>
      <x:c r="L60" s="169"/>
      <x:c r="M60" s="169"/>
      <x:c r="N60" s="169"/>
      <x:c r="O60" s="169"/>
      <x:c r="P60" s="169"/>
      <x:c r="Q60" s="169"/>
      <x:c r="R60" s="169"/>
      <x:c r="S60" s="169"/>
      <x:c r="T60" s="169"/>
      <x:c r="U60" s="169"/>
      <x:c r="V60" s="169"/>
      <x:c r="W60" s="169"/>
      <x:c r="X60" s="169"/>
      <x:c r="Y60" s="169"/>
      <x:c r="Z60" s="169"/>
      <x:c r="AA60" s="169"/>
      <x:c r="AB60" s="169"/>
      <x:c r="AC60" s="169"/>
    </x:row>
    <x:row r="61" ht="30" customHeight="1">
      <x:c r="A61" s="172" t="str">
        <x:v>CHANGE LOG | audit date 31-Aug-2026</x:v>
      </x:c>
      <x:c r="B61" s="172" t="str">
        <x:v>CHANGE LOG | audit date 31-Aug-2026</x:v>
      </x:c>
      <x:c r="C61" s="172" t="str">
        <x:v>CHANGE LOG | audit date 31-Aug-2026</x:v>
      </x:c>
      <x:c r="D61" s="172" t="str">
        <x:v>CHANGE LOG | audit date 31-Aug-2026</x:v>
      </x:c>
      <x:c r="E61" s="172" t="str">
        <x:v>CHANGE LOG | audit date 31-Aug-2026</x:v>
      </x:c>
      <x:c r="F61" s="172" t="str">
        <x:v>CHANGE LOG | audit date 31-Aug-2026</x:v>
      </x:c>
      <x:c r="G61" s="172" t="str">
        <x:v>CHANGE LOG | audit date 31-Aug-2026</x:v>
      </x:c>
      <x:c r="H61" s="172" t="str">
        <x:v>CHANGE LOG | audit date 31-Aug-2026</x:v>
      </x:c>
      <x:c r="I61" s="169"/>
      <x:c r="J61" s="169"/>
      <x:c r="K61" s="169"/>
      <x:c r="L61" s="169"/>
      <x:c r="M61" s="169"/>
      <x:c r="N61" s="169"/>
      <x:c r="O61" s="169"/>
      <x:c r="P61" s="169"/>
      <x:c r="Q61" s="169"/>
      <x:c r="R61" s="169"/>
      <x:c r="S61" s="169"/>
      <x:c r="T61" s="169"/>
      <x:c r="U61" s="169"/>
      <x:c r="V61" s="169"/>
      <x:c r="W61" s="169"/>
      <x:c r="X61" s="169"/>
      <x:c r="Y61" s="169"/>
      <x:c r="Z61" s="169"/>
      <x:c r="AA61" s="169"/>
      <x:c r="AB61" s="169"/>
      <x:c r="AC61" s="169"/>
    </x:row>
    <x:row r="62" ht="18" customHeight="1">
      <x:c r="A62" s="169"/>
      <x:c r="B62" s="169"/>
      <x:c r="C62" s="169"/>
      <x:c r="D62" s="169"/>
      <x:c r="E62" s="169"/>
      <x:c r="F62" s="169"/>
      <x:c r="G62" s="169"/>
      <x:c r="H62" s="169"/>
      <x:c r="I62" s="169"/>
      <x:c r="J62" s="169"/>
      <x:c r="K62" s="169"/>
      <x:c r="L62" s="169"/>
      <x:c r="M62" s="169"/>
      <x:c r="N62" s="169"/>
      <x:c r="O62" s="169"/>
      <x:c r="P62" s="169"/>
      <x:c r="Q62" s="169"/>
      <x:c r="R62" s="169"/>
      <x:c r="S62" s="169"/>
      <x:c r="T62" s="169"/>
      <x:c r="U62" s="169"/>
      <x:c r="V62" s="169"/>
      <x:c r="W62" s="169"/>
      <x:c r="X62" s="169"/>
      <x:c r="Y62" s="169"/>
      <x:c r="Z62" s="169"/>
      <x:c r="AA62" s="169"/>
      <x:c r="AB62" s="169"/>
      <x:c r="AC62" s="169"/>
    </x:row>
    <x:row r="63" ht="40" customHeight="1">
      <x:c r="A63" s="170" t="str">
        <x:v>Valuation timing</x:v>
      </x:c>
      <x:c r="B63" s="170" t="str">
        <x:v>Terminal value discounted at year 20; same original August 27 date everywhere.</x:v>
      </x:c>
      <x:c r="C63" s="170"/>
      <x:c r="D63" s="170"/>
      <x:c r="E63" s="170"/>
      <x:c r="F63" s="170"/>
      <x:c r="G63" s="170"/>
      <x:c r="H63" s="170"/>
      <x:c r="I63" s="169"/>
      <x:c r="J63" s="169"/>
      <x:c r="K63" s="169"/>
      <x:c r="L63" s="169"/>
      <x:c r="M63" s="169"/>
      <x:c r="N63" s="169"/>
      <x:c r="O63" s="169"/>
      <x:c r="P63" s="169"/>
      <x:c r="Q63" s="169"/>
      <x:c r="R63" s="169"/>
      <x:c r="S63" s="169"/>
      <x:c r="T63" s="169"/>
      <x:c r="U63" s="169"/>
      <x:c r="V63" s="169"/>
      <x:c r="W63" s="169"/>
      <x:c r="X63" s="169"/>
      <x:c r="Y63" s="169"/>
      <x:c r="Z63" s="169"/>
      <x:c r="AA63" s="169"/>
      <x:c r="AB63" s="169"/>
      <x:c r="AC63" s="169"/>
    </x:row>
    <x:row r="64" ht="40" customHeight="1">
      <x:c r="A64" s="170" t="str">
        <x:v>Main price / multiples</x:v>
      </x:c>
      <x:c r="B64" s="170" t="str">
        <x:v>One canonical price; multiples correctly labeled price / NOPAT per share.</x:v>
      </x:c>
      <x:c r="C64" s="170"/>
      <x:c r="D64" s="170"/>
      <x:c r="E64" s="170"/>
      <x:c r="F64" s="170"/>
      <x:c r="G64" s="170"/>
      <x:c r="H64" s="170"/>
      <x:c r="I64" s="169"/>
      <x:c r="J64" s="169"/>
      <x:c r="K64" s="169"/>
      <x:c r="L64" s="169"/>
      <x:c r="M64" s="169"/>
      <x:c r="N64" s="169"/>
      <x:c r="O64" s="169"/>
      <x:c r="P64" s="169"/>
      <x:c r="Q64" s="169"/>
      <x:c r="R64" s="169"/>
      <x:c r="S64" s="169"/>
      <x:c r="T64" s="169"/>
      <x:c r="U64" s="169"/>
      <x:c r="V64" s="169"/>
      <x:c r="W64" s="169"/>
      <x:c r="X64" s="169"/>
      <x:c r="Y64" s="169"/>
      <x:c r="Z64" s="169"/>
      <x:c r="AA64" s="169"/>
      <x:c r="AB64" s="169"/>
      <x:c r="AC64" s="169"/>
    </x:row>
    <x:row r="65" ht="40" customHeight="1">
      <x:c r="A65" s="170" t="str">
        <x:v>Sensitivity grids</x:v>
      </x:c>
      <x:c r="B65" s="170" t="str">
        <x:v>Both use corrected timing; first grid is explicit formulas, second retains its conditional CAGR meaning.</x:v>
      </x:c>
      <x:c r="C65" s="170"/>
      <x:c r="D65" s="170"/>
      <x:c r="E65" s="170"/>
      <x:c r="F65" s="170"/>
      <x:c r="G65" s="170"/>
      <x:c r="H65" s="170"/>
      <x:c r="I65" s="169"/>
      <x:c r="J65" s="169"/>
      <x:c r="K65" s="169"/>
      <x:c r="L65" s="169"/>
      <x:c r="M65" s="169"/>
      <x:c r="N65" s="169"/>
      <x:c r="O65" s="169"/>
      <x:c r="P65" s="169"/>
      <x:c r="Q65" s="169"/>
      <x:c r="R65" s="169"/>
      <x:c r="S65" s="169"/>
      <x:c r="T65" s="169"/>
      <x:c r="U65" s="169"/>
      <x:c r="V65" s="169"/>
      <x:c r="W65" s="169"/>
      <x:c r="X65" s="169"/>
      <x:c r="Y65" s="169"/>
      <x:c r="Z65" s="169"/>
      <x:c r="AA65" s="169"/>
      <x:c r="AB65" s="169"/>
      <x:c r="AC65" s="169"/>
    </x:row>
    <x:row r="66" ht="40" customHeight="1">
      <x:c r="A66" s="170" t="str">
        <x:v>Cloud lag</x:v>
      </x:c>
      <x:c r="B66" s="170" t="str">
        <x:v>Single-vintage calculations aligned with original two-year fleet convention; editable D40.</x:v>
      </x:c>
      <x:c r="C66" s="170"/>
      <x:c r="D66" s="170"/>
      <x:c r="E66" s="170"/>
      <x:c r="F66" s="170"/>
      <x:c r="G66" s="170"/>
      <x:c r="H66" s="170"/>
      <x:c r="I66" s="169"/>
      <x:c r="J66" s="169"/>
      <x:c r="K66" s="169"/>
      <x:c r="L66" s="169"/>
      <x:c r="M66" s="169"/>
      <x:c r="N66" s="169"/>
      <x:c r="O66" s="169"/>
      <x:c r="P66" s="169"/>
      <x:c r="Q66" s="169"/>
      <x:c r="R66" s="169"/>
      <x:c r="S66" s="169"/>
      <x:c r="T66" s="169"/>
      <x:c r="U66" s="169"/>
      <x:c r="V66" s="169"/>
      <x:c r="W66" s="169"/>
      <x:c r="X66" s="169"/>
      <x:c r="Y66" s="169"/>
      <x:c r="Z66" s="169"/>
      <x:c r="AA66" s="169"/>
      <x:c r="AB66" s="169"/>
      <x:c r="AC66" s="169"/>
    </x:row>
    <x:row r="67" ht="40" customHeight="1">
      <x:c r="A67" s="170" t="str">
        <x:v>Cloud asset lives</x:v>
      </x:c>
      <x:c r="B67" s="170" t="str">
        <x:v>Separate 5/6/15-year asset schedules; exact average opening/closing balances.</x:v>
      </x:c>
      <x:c r="C67" s="170"/>
      <x:c r="D67" s="170"/>
      <x:c r="E67" s="170"/>
      <x:c r="F67" s="170"/>
      <x:c r="G67" s="170"/>
      <x:c r="H67" s="170"/>
      <x:c r="I67" s="169"/>
      <x:c r="J67" s="169"/>
      <x:c r="K67" s="169"/>
      <x:c r="L67" s="169"/>
      <x:c r="M67" s="169"/>
      <x:c r="N67" s="169"/>
      <x:c r="O67" s="169"/>
      <x:c r="P67" s="169"/>
      <x:c r="Q67" s="169"/>
      <x:c r="R67" s="169"/>
      <x:c r="S67" s="169"/>
      <x:c r="T67" s="169"/>
      <x:c r="U67" s="169"/>
      <x:c r="V67" s="169"/>
      <x:c r="W67" s="169"/>
      <x:c r="X67" s="169"/>
      <x:c r="Y67" s="169"/>
      <x:c r="Z67" s="169"/>
      <x:c r="AA67" s="169"/>
      <x:c r="AB67" s="169"/>
      <x:c r="AC67" s="169"/>
    </x:row>
    <x:row r="68" ht="40" customHeight="1">
      <x:c r="A68" s="170" t="str">
        <x:v>Construction capital</x:v>
      </x:c>
      <x:c r="B68" s="170" t="str">
        <x:v>Added supplemental denominator and ROIC; main in-service definition remains explicit.</x:v>
      </x:c>
      <x:c r="C68" s="170"/>
      <x:c r="D68" s="170"/>
      <x:c r="E68" s="170"/>
      <x:c r="F68" s="170"/>
      <x:c r="G68" s="170"/>
      <x:c r="H68" s="170"/>
      <x:c r="I68" s="169"/>
      <x:c r="J68" s="169"/>
      <x:c r="K68" s="169"/>
      <x:c r="L68" s="169"/>
      <x:c r="M68" s="169"/>
      <x:c r="N68" s="169"/>
      <x:c r="O68" s="169"/>
      <x:c r="P68" s="169"/>
      <x:c r="Q68" s="169"/>
      <x:c r="R68" s="169"/>
      <x:c r="S68" s="169"/>
      <x:c r="T68" s="169"/>
      <x:c r="U68" s="169"/>
      <x:c r="V68" s="169"/>
      <x:c r="W68" s="169"/>
      <x:c r="X68" s="169"/>
      <x:c r="Y68" s="169"/>
      <x:c r="Z68" s="169"/>
      <x:c r="AA68" s="169"/>
      <x:c r="AB68" s="169"/>
      <x:c r="AC68" s="169"/>
    </x:row>
    <x:row r="69" ht="40" customHeight="1">
      <x:c r="A69" s="170" t="str">
        <x:v>MRVL / Alchip</x:v>
      </x:c>
      <x:c r="B69" s="170" t="str">
        <x:v>Added a visible arithmetic allocation bridge without changing supplied company totals.</x:v>
      </x:c>
      <x:c r="C69" s="170"/>
      <x:c r="D69" s="170"/>
      <x:c r="E69" s="170"/>
      <x:c r="F69" s="170"/>
      <x:c r="G69" s="170"/>
      <x:c r="H69" s="170"/>
      <x:c r="I69" s="169"/>
      <x:c r="J69" s="169"/>
      <x:c r="K69" s="169"/>
      <x:c r="L69" s="169"/>
      <x:c r="M69" s="169"/>
      <x:c r="N69" s="169"/>
      <x:c r="O69" s="169"/>
      <x:c r="P69" s="169"/>
      <x:c r="Q69" s="169"/>
      <x:c r="R69" s="169"/>
      <x:c r="S69" s="169"/>
      <x:c r="T69" s="169"/>
      <x:c r="U69" s="169"/>
      <x:c r="V69" s="169"/>
      <x:c r="W69" s="169"/>
      <x:c r="X69" s="169"/>
      <x:c r="Y69" s="169"/>
      <x:c r="Z69" s="169"/>
      <x:c r="AA69" s="169"/>
      <x:c r="AB69" s="169"/>
      <x:c r="AC69" s="169"/>
    </x:row>
    <x:row r="70" ht="40" customHeight="1">
      <x:c r="A70" s="170" t="str">
        <x:v>Narrative / metadata</x:v>
      </x:c>
      <x:c r="B70" s="170" t="str">
        <x:v>Removed stale numeric conclusions and unused broken names; source comments retained.</x:v>
      </x:c>
      <x:c r="C70" s="170"/>
      <x:c r="D70" s="170"/>
      <x:c r="E70" s="170"/>
      <x:c r="F70" s="170"/>
      <x:c r="G70" s="170"/>
      <x:c r="H70" s="170"/>
      <x:c r="I70" s="169"/>
      <x:c r="J70" s="169"/>
      <x:c r="K70" s="169"/>
      <x:c r="L70" s="169"/>
      <x:c r="M70" s="169"/>
      <x:c r="N70" s="169"/>
      <x:c r="O70" s="169"/>
      <x:c r="P70" s="169"/>
      <x:c r="Q70" s="169"/>
      <x:c r="R70" s="169"/>
      <x:c r="S70" s="169"/>
      <x:c r="T70" s="169"/>
      <x:c r="U70" s="169"/>
      <x:c r="V70" s="169"/>
      <x:c r="W70" s="169"/>
      <x:c r="X70" s="169"/>
      <x:c r="Y70" s="169"/>
      <x:c r="Z70" s="169"/>
      <x:c r="AA70" s="169"/>
      <x:c r="AB70" s="169"/>
      <x:c r="AC70" s="169"/>
    </x:row>
    <x:row r="71" ht="40" customHeight="1">
      <x:c r="A71" s="170" t="str">
        <x:v>Commercial assumptions</x:v>
      </x:c>
      <x:c r="B71" s="170" t="str">
        <x:v>No changes to capex, demand, market share, margin, tax, shares, discount rate, or terminal payout.</x:v>
      </x:c>
      <x:c r="C71" s="170"/>
      <x:c r="D71" s="170"/>
      <x:c r="E71" s="170"/>
      <x:c r="F71" s="170"/>
      <x:c r="G71" s="170"/>
      <x:c r="H71" s="170"/>
      <x:c r="I71" s="169"/>
      <x:c r="J71" s="169"/>
      <x:c r="K71" s="169"/>
      <x:c r="L71" s="169"/>
      <x:c r="M71" s="169"/>
      <x:c r="N71" s="169"/>
      <x:c r="O71" s="169"/>
      <x:c r="P71" s="169"/>
      <x:c r="Q71" s="169"/>
      <x:c r="R71" s="169"/>
      <x:c r="S71" s="169"/>
      <x:c r="T71" s="169"/>
      <x:c r="U71" s="169"/>
      <x:c r="V71" s="169"/>
      <x:c r="W71" s="169"/>
      <x:c r="X71" s="169"/>
      <x:c r="Y71" s="169"/>
      <x:c r="Z71" s="169"/>
      <x:c r="AA71" s="169"/>
      <x:c r="AB71" s="169"/>
      <x:c r="AC71" s="169"/>
    </x:row>
    <x:row r="72" ht="18" customHeight="1">
      <x:c r="A72" s="169"/>
      <x:c r="B72" s="169"/>
      <x:c r="C72" s="169"/>
      <x:c r="D72" s="169"/>
      <x:c r="E72" s="169"/>
      <x:c r="F72" s="169"/>
      <x:c r="G72" s="169"/>
      <x:c r="H72" s="169"/>
      <x:c r="I72" s="169"/>
      <x:c r="J72" s="169"/>
      <x:c r="K72" s="169"/>
      <x:c r="L72" s="169"/>
      <x:c r="M72" s="169"/>
      <x:c r="N72" s="169"/>
      <x:c r="O72" s="169"/>
      <x:c r="P72" s="169"/>
      <x:c r="Q72" s="169"/>
      <x:c r="R72" s="169"/>
      <x:c r="S72" s="169"/>
      <x:c r="T72" s="169"/>
      <x:c r="U72" s="169"/>
      <x:c r="V72" s="169"/>
      <x:c r="W72" s="169"/>
      <x:c r="X72" s="169"/>
      <x:c r="Y72" s="169"/>
      <x:c r="Z72" s="169"/>
      <x:c r="AA72" s="169"/>
      <x:c r="AB72" s="169"/>
      <x:c r="AC72" s="169"/>
    </x:row>
    <x:row r="73" ht="18" customHeight="1">
      <x:c r="A73" s="169"/>
      <x:c r="B73" s="169"/>
      <x:c r="C73" s="169"/>
      <x:c r="D73" s="169"/>
      <x:c r="E73" s="169"/>
      <x:c r="F73" s="169"/>
      <x:c r="G73" s="169"/>
      <x:c r="H73" s="169"/>
      <x:c r="I73" s="169"/>
      <x:c r="J73" s="169"/>
      <x:c r="K73" s="169"/>
      <x:c r="L73" s="169"/>
      <x:c r="M73" s="169"/>
      <x:c r="N73" s="169"/>
      <x:c r="O73" s="169"/>
      <x:c r="P73" s="169"/>
      <x:c r="Q73" s="169"/>
      <x:c r="R73" s="169"/>
      <x:c r="S73" s="169"/>
      <x:c r="T73" s="169"/>
      <x:c r="U73" s="169"/>
      <x:c r="V73" s="169"/>
      <x:c r="W73" s="169"/>
      <x:c r="X73" s="169"/>
      <x:c r="Y73" s="169"/>
      <x:c r="Z73" s="169"/>
      <x:c r="AA73" s="169"/>
      <x:c r="AB73" s="169"/>
      <x:c r="AC73" s="169"/>
    </x:row>
    <x:row r="74" ht="18" customHeight="1">
      <x:c r="A74" s="169" t="str">
        <x:v>Timing methodology: https://support.microsoft.com/en-us/excel/functions/npv-function</x:v>
      </x:c>
      <x:c r="B74" s="169"/>
      <x:c r="C74" s="169"/>
      <x:c r="D74" s="169"/>
      <x:c r="E74" s="169"/>
      <x:c r="F74" s="169"/>
      <x:c r="G74" s="169"/>
      <x:c r="H74" s="169"/>
      <x:c r="I74" s="169"/>
      <x:c r="J74" s="169"/>
      <x:c r="K74" s="169"/>
      <x:c r="L74" s="169"/>
      <x:c r="M74" s="169"/>
      <x:c r="N74" s="169"/>
      <x:c r="O74" s="169"/>
      <x:c r="P74" s="169"/>
      <x:c r="Q74" s="169"/>
      <x:c r="R74" s="169"/>
      <x:c r="S74" s="169"/>
      <x:c r="T74" s="169"/>
      <x:c r="U74" s="169"/>
      <x:c r="V74" s="169"/>
      <x:c r="W74" s="169"/>
      <x:c r="X74" s="169"/>
      <x:c r="Y74" s="169"/>
      <x:c r="Z74" s="169"/>
      <x:c r="AA74" s="169"/>
      <x:c r="AB74" s="169"/>
      <x:c r="AC74" s="169"/>
    </x:row>
    <x:row r="75" ht="18" customHeight="1">
      <x:c r="A75" s="169" t="str">
        <x:v>Cash-flow definitions: https://pages.stern.nyu.edu/~adamodar/New_Home_Page/littlebook/cashflows.htm</x:v>
      </x:c>
      <x:c r="B75" s="169"/>
      <x:c r="C75" s="169"/>
      <x:c r="D75" s="169"/>
      <x:c r="E75" s="169"/>
      <x:c r="F75" s="169"/>
      <x:c r="G75" s="169"/>
      <x:c r="H75" s="169"/>
      <x:c r="I75" s="169"/>
      <x:c r="J75" s="169"/>
      <x:c r="K75" s="169"/>
      <x:c r="L75" s="169"/>
      <x:c r="M75" s="169"/>
      <x:c r="N75" s="169"/>
      <x:c r="O75" s="169"/>
      <x:c r="P75" s="169"/>
      <x:c r="Q75" s="169"/>
      <x:c r="R75" s="169"/>
      <x:c r="S75" s="169"/>
      <x:c r="T75" s="169"/>
      <x:c r="U75" s="169"/>
      <x:c r="V75" s="169"/>
      <x:c r="W75" s="169"/>
      <x:c r="X75" s="169"/>
      <x:c r="Y75" s="169"/>
      <x:c r="Z75" s="169"/>
      <x:c r="AA75" s="169"/>
      <x:c r="AB75" s="169"/>
      <x:c r="AC75" s="169"/>
    </x:row>
    <x:row r="76" ht="18" customHeight="1">
      <x:c r="A76" s="169"/>
      <x:c r="B76" s="169"/>
      <x:c r="C76" s="169"/>
      <x:c r="D76" s="169"/>
      <x:c r="E76" s="169"/>
      <x:c r="F76" s="169"/>
      <x:c r="G76" s="169"/>
      <x:c r="H76" s="169"/>
      <x:c r="I76" s="169"/>
      <x:c r="J76" s="169"/>
      <x:c r="K76" s="169"/>
      <x:c r="L76" s="169"/>
      <x:c r="M76" s="169"/>
      <x:c r="N76" s="169"/>
      <x:c r="O76" s="169"/>
      <x:c r="P76" s="169"/>
      <x:c r="Q76" s="169"/>
      <x:c r="R76" s="169"/>
      <x:c r="S76" s="169"/>
      <x:c r="T76" s="169"/>
      <x:c r="U76" s="169"/>
      <x:c r="V76" s="169"/>
      <x:c r="W76" s="169"/>
      <x:c r="X76" s="169"/>
      <x:c r="Y76" s="169"/>
      <x:c r="Z76" s="169"/>
      <x:c r="AA76" s="169"/>
      <x:c r="AB76" s="169"/>
      <x:c r="AC76" s="169"/>
    </x:row>
  </x:sheetData>
  <x:mergeCells>
    <x:mergeCell ref="A1:H1"/>
    <x:mergeCell ref="A2:H3"/>
    <x:mergeCell ref="A5:C5"/>
    <x:mergeCell ref="A6:C6"/>
    <x:mergeCell ref="A7:C7"/>
    <x:mergeCell ref="A8:C8"/>
    <x:mergeCell ref="A9:C9"/>
    <x:mergeCell ref="A10:C10"/>
    <x:mergeCell ref="A11:C11"/>
    <x:mergeCell ref="A12:C12"/>
    <x:mergeCell ref="A13:C13"/>
    <x:mergeCell ref="A14:C14"/>
    <x:mergeCell ref="A16:C16"/>
    <x:mergeCell ref="A18:C18"/>
    <x:mergeCell ref="A19:C19"/>
    <x:mergeCell ref="A21:C21"/>
    <x:mergeCell ref="A22:C22"/>
    <x:mergeCell ref="E5:H9"/>
    <x:mergeCell ref="E11:H16"/>
    <x:mergeCell ref="A25:H25"/>
    <x:mergeCell ref="G27:H27"/>
    <x:mergeCell ref="G28:H28"/>
    <x:mergeCell ref="G29:H29"/>
    <x:mergeCell ref="G30:H30"/>
    <x:mergeCell ref="G31:H31"/>
    <x:mergeCell ref="G32:H32"/>
    <x:mergeCell ref="G33:H33"/>
    <x:mergeCell ref="G34:H34"/>
    <x:mergeCell ref="G35:H35"/>
    <x:mergeCell ref="G36:H36"/>
    <x:mergeCell ref="G37:H37"/>
    <x:mergeCell ref="G38:H38"/>
    <x:mergeCell ref="G39:H39"/>
    <x:mergeCell ref="G40:H40"/>
    <x:mergeCell ref="G41:H41"/>
    <x:mergeCell ref="G42:H42"/>
    <x:mergeCell ref="G43:H43"/>
    <x:mergeCell ref="G44:H44"/>
    <x:mergeCell ref="G45:H45"/>
    <x:mergeCell ref="G46:H46"/>
    <x:mergeCell ref="A23:E23"/>
    <x:mergeCell ref="A47:H47"/>
    <x:mergeCell ref="B49:H49"/>
    <x:mergeCell ref="B50:H50"/>
    <x:mergeCell ref="B51:H51"/>
    <x:mergeCell ref="B52:H52"/>
    <x:mergeCell ref="B53:H53"/>
    <x:mergeCell ref="B54:H54"/>
    <x:mergeCell ref="B55:H55"/>
    <x:mergeCell ref="B56:H56"/>
    <x:mergeCell ref="B57:H57"/>
    <x:mergeCell ref="B58:H58"/>
    <x:mergeCell ref="A61:H61"/>
    <x:mergeCell ref="B63:H63"/>
    <x:mergeCell ref="B64:H64"/>
    <x:mergeCell ref="B65:H65"/>
    <x:mergeCell ref="B66:H66"/>
    <x:mergeCell ref="B67:H67"/>
    <x:mergeCell ref="B68:H68"/>
    <x:mergeCell ref="B69:H69"/>
    <x:mergeCell ref="B70:H70"/>
    <x:mergeCell ref="B71:H71"/>
    <x:mergeCell ref="A74:H74"/>
    <x:mergeCell ref="A75:H75"/>
  </x:mergeCells>
  <x:conditionalFormatting sqref="F27:F46">
    <x:cfRule type="cellIs" dxfId="0" priority="1" operator="equal">
      <x:formula>"FAIL"</x:formula>
    </x:cfRule>
    <x:cfRule type="cellIs" dxfId="1" priority="2" operator="equal">
      <x:formula>"OK"</x:formula>
    </x:cfRule>
  </x:conditionalFormatting>
  <x:pageMargins left="0.7" right="0.7" top="0.75" bottom="0.75" header="0.3" footer="0.3"/>
  <x:legacyDrawing xmlns:r="http://schemas.openxmlformats.org/officeDocument/2006/relationships" r:id="R577bfcd5d5784f86"/>
</x:worksheet>
</file>

<file path=xl/worksheets/sheet4.xml><?xml version="1.0" encoding="utf-8"?>
<x:worksheet xmlns:x="http://schemas.openxmlformats.org/spreadsheetml/2006/main">
  <x:sheetViews>
    <x:sheetView showGridLines="0" workbookViewId="0"/>
  </x:sheetViews>
  <x:sheetFormatPr defaultRowHeight="15"/>
  <x:cols>
    <x:col min="1" max="1" width="29" hidden="0" customWidth="1"/>
    <x:col min="2" max="2" width="21" hidden="0" customWidth="1"/>
    <x:col min="3" max="3" width="21"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5" hidden="0" customWidth="1"/>
    <x:col min="11" max="11" width="15" hidden="0" customWidth="1"/>
    <x:col min="12" max="12" width="15" hidden="0" customWidth="1"/>
  </x:cols>
  <x:sheetData>
    <x:row r="1" ht="30" customHeight="1">
      <x:c r="A1" s="172" t="str">
        <x:v>SOURCE INPUTS | original values retained</x:v>
      </x:c>
      <x:c r="B1" s="172" t="str">
        <x:v>SOURCE INPUTS | original values retained</x:v>
      </x:c>
      <x:c r="C1" s="172" t="str">
        <x:v>SOURCE INPUTS | original values retained</x:v>
      </x:c>
      <x:c r="D1" s="172" t="str">
        <x:v>SOURCE INPUTS | original values retained</x:v>
      </x:c>
      <x:c r="E1" s="172" t="str">
        <x:v>SOURCE INPUTS | original values retained</x:v>
      </x:c>
      <x:c r="F1" s="172" t="str">
        <x:v>SOURCE INPUTS | original values retained</x:v>
      </x:c>
      <x:c r="G1" s="172" t="str">
        <x:v>SOURCE INPUTS | original values retained</x:v>
      </x:c>
      <x:c r="H1" s="172" t="str">
        <x:v>SOURCE INPUTS | original values retained</x:v>
      </x:c>
      <x:c r="I1" s="172" t="str">
        <x:v>SOURCE INPUTS | original values retained</x:v>
      </x:c>
      <x:c r="J1" s="172" t="str">
        <x:v>SOURCE INPUTS | original values retained</x:v>
      </x:c>
      <x:c r="K1" s="172" t="str">
        <x:v>SOURCE INPUTS | original values retained</x:v>
      </x:c>
      <x:c r="L1" s="172" t="str">
        <x:v>SOURCE INPUTS | original values retained</x:v>
      </x:c>
      <x:c r="M1" s="169"/>
      <x:c r="N1" s="169"/>
      <x:c r="O1" s="169"/>
      <x:c r="P1" s="169"/>
      <x:c r="Q1" s="169"/>
      <x:c r="R1" s="169"/>
      <x:c r="S1" s="169"/>
      <x:c r="T1" s="169"/>
      <x:c r="U1" s="169"/>
      <x:c r="V1" s="169"/>
      <x:c r="W1" s="169"/>
      <x:c r="X1" s="169"/>
      <x:c r="Y1" s="169"/>
      <x:c r="Z1" s="169"/>
      <x:c r="AA1" s="169"/>
      <x:c r="AB1" s="169"/>
      <x:c r="AC1" s="169"/>
    </x:row>
    <x:row r="2" ht="20" customHeight="1">
      <x:c r="A2" s="170" t="str">
        <x:v>Frozen source values: R:/Modelo Felipe NVDA .xlsx, Total rev; source saved 27-Aug-2026, checked 31-Aug-2026. No live external links. Refresh this clearly identified block when inputs change.</x:v>
      </x:c>
      <x:c r="B2" s="170" t="str">
        <x:v>Frozen source values: R:/Modelo Felipe NVDA .xlsx, Total rev; source saved 27-Aug-2026, checked 31-Aug-2026. No live external links. Refresh this clearly identified block when inputs change.</x:v>
      </x:c>
      <x:c r="C2" s="170" t="str">
        <x:v>Frozen source values: R:/Modelo Felipe NVDA .xlsx, Total rev; source saved 27-Aug-2026, checked 31-Aug-2026. No live external links. Refresh this clearly identified block when inputs change.</x:v>
      </x:c>
      <x:c r="D2" s="170" t="str">
        <x:v>Frozen source values: R:/Modelo Felipe NVDA .xlsx, Total rev; source saved 27-Aug-2026, checked 31-Aug-2026. No live external links. Refresh this clearly identified block when inputs change.</x:v>
      </x:c>
      <x:c r="E2" s="170" t="str">
        <x:v>Frozen source values: R:/Modelo Felipe NVDA .xlsx, Total rev; source saved 27-Aug-2026, checked 31-Aug-2026. No live external links. Refresh this clearly identified block when inputs change.</x:v>
      </x:c>
      <x:c r="F2" s="170" t="str">
        <x:v>Frozen source values: R:/Modelo Felipe NVDA .xlsx, Total rev; source saved 27-Aug-2026, checked 31-Aug-2026. No live external links. Refresh this clearly identified block when inputs change.</x:v>
      </x:c>
      <x:c r="G2" s="170" t="str">
        <x:v>Frozen source values: R:/Modelo Felipe NVDA .xlsx, Total rev; source saved 27-Aug-2026, checked 31-Aug-2026. No live external links. Refresh this clearly identified block when inputs change.</x:v>
      </x:c>
      <x:c r="H2" s="170" t="str">
        <x:v>Frozen source values: R:/Modelo Felipe NVDA .xlsx, Total rev; source saved 27-Aug-2026, checked 31-Aug-2026. No live external links. Refresh this clearly identified block when inputs change.</x:v>
      </x:c>
      <x:c r="I2" s="170" t="str">
        <x:v>Frozen source values: R:/Modelo Felipe NVDA .xlsx, Total rev; source saved 27-Aug-2026, checked 31-Aug-2026. No live external links. Refresh this clearly identified block when inputs change.</x:v>
      </x:c>
      <x:c r="J2" s="170" t="str">
        <x:v>Frozen source values: R:/Modelo Felipe NVDA .xlsx, Total rev; source saved 27-Aug-2026, checked 31-Aug-2026. No live external links. Refresh this clearly identified block when inputs change.</x:v>
      </x:c>
      <x:c r="K2" s="170" t="str">
        <x:v>Frozen source values: R:/Modelo Felipe NVDA .xlsx, Total rev; source saved 27-Aug-2026, checked 31-Aug-2026. No live external links. Refresh this clearly identified block when inputs change.</x:v>
      </x:c>
      <x:c r="L2" s="170" t="str">
        <x:v>Frozen source values: R:/Modelo Felipe NVDA .xlsx, Total rev; source saved 27-Aug-2026, checked 31-Aug-2026. No live external links. Refresh this clearly identified block when inputs change.</x:v>
      </x:c>
      <x:c r="M2" s="169"/>
      <x:c r="N2" s="169"/>
      <x:c r="O2" s="169"/>
      <x:c r="P2" s="169"/>
      <x:c r="Q2" s="169"/>
      <x:c r="R2" s="169"/>
      <x:c r="S2" s="169"/>
      <x:c r="T2" s="169"/>
      <x:c r="U2" s="169"/>
      <x:c r="V2" s="169"/>
      <x:c r="W2" s="169"/>
      <x:c r="X2" s="169"/>
      <x:c r="Y2" s="169"/>
      <x:c r="Z2" s="169"/>
      <x:c r="AA2" s="169"/>
      <x:c r="AB2" s="169"/>
      <x:c r="AC2" s="169"/>
    </x:row>
    <x:row r="3" ht="20" customHeight="1">
      <x:c r="A3" s="170" t="str">
        <x:v>Frozen source values: R:/Modelo Felipe NVDA .xlsx, Total rev; source saved 27-Aug-2026, checked 31-Aug-2026. No live external links. Refresh this clearly identified block when inputs change.</x:v>
      </x:c>
      <x:c r="B3" s="170" t="str">
        <x:v>Frozen source values: R:/Modelo Felipe NVDA .xlsx, Total rev; source saved 27-Aug-2026, checked 31-Aug-2026. No live external links. Refresh this clearly identified block when inputs change.</x:v>
      </x:c>
      <x:c r="C3" s="170" t="str">
        <x:v>Frozen source values: R:/Modelo Felipe NVDA .xlsx, Total rev; source saved 27-Aug-2026, checked 31-Aug-2026. No live external links. Refresh this clearly identified block when inputs change.</x:v>
      </x:c>
      <x:c r="D3" s="170" t="str">
        <x:v>Frozen source values: R:/Modelo Felipe NVDA .xlsx, Total rev; source saved 27-Aug-2026, checked 31-Aug-2026. No live external links. Refresh this clearly identified block when inputs change.</x:v>
      </x:c>
      <x:c r="E3" s="170" t="str">
        <x:v>Frozen source values: R:/Modelo Felipe NVDA .xlsx, Total rev; source saved 27-Aug-2026, checked 31-Aug-2026. No live external links. Refresh this clearly identified block when inputs change.</x:v>
      </x:c>
      <x:c r="F3" s="170" t="str">
        <x:v>Frozen source values: R:/Modelo Felipe NVDA .xlsx, Total rev; source saved 27-Aug-2026, checked 31-Aug-2026. No live external links. Refresh this clearly identified block when inputs change.</x:v>
      </x:c>
      <x:c r="G3" s="170" t="str">
        <x:v>Frozen source values: R:/Modelo Felipe NVDA .xlsx, Total rev; source saved 27-Aug-2026, checked 31-Aug-2026. No live external links. Refresh this clearly identified block when inputs change.</x:v>
      </x:c>
      <x:c r="H3" s="170" t="str">
        <x:v>Frozen source values: R:/Modelo Felipe NVDA .xlsx, Total rev; source saved 27-Aug-2026, checked 31-Aug-2026. No live external links. Refresh this clearly identified block when inputs change.</x:v>
      </x:c>
      <x:c r="I3" s="170" t="str">
        <x:v>Frozen source values: R:/Modelo Felipe NVDA .xlsx, Total rev; source saved 27-Aug-2026, checked 31-Aug-2026. No live external links. Refresh this clearly identified block when inputs change.</x:v>
      </x:c>
      <x:c r="J3" s="170" t="str">
        <x:v>Frozen source values: R:/Modelo Felipe NVDA .xlsx, Total rev; source saved 27-Aug-2026, checked 31-Aug-2026. No live external links. Refresh this clearly identified block when inputs change.</x:v>
      </x:c>
      <x:c r="K3" s="170" t="str">
        <x:v>Frozen source values: R:/Modelo Felipe NVDA .xlsx, Total rev; source saved 27-Aug-2026, checked 31-Aug-2026. No live external links. Refresh this clearly identified block when inputs change.</x:v>
      </x:c>
      <x:c r="L3" s="170" t="str">
        <x:v>Frozen source values: R:/Modelo Felipe NVDA .xlsx, Total rev; source saved 27-Aug-2026, checked 31-Aug-2026. No live external links. Refresh this clearly identified block when inputs change.</x:v>
      </x:c>
      <x:c r="M3" s="169"/>
      <x:c r="N3" s="169"/>
      <x:c r="O3" s="169"/>
      <x:c r="P3" s="169"/>
      <x:c r="Q3" s="169"/>
      <x:c r="R3" s="169"/>
      <x:c r="S3" s="169"/>
      <x:c r="T3" s="169"/>
      <x:c r="U3" s="169"/>
      <x:c r="V3" s="169"/>
      <x:c r="W3" s="169"/>
      <x:c r="X3" s="169"/>
      <x:c r="Y3" s="169"/>
      <x:c r="Z3" s="169"/>
      <x:c r="AA3" s="169"/>
      <x:c r="AB3" s="169"/>
      <x:c r="AC3" s="169"/>
    </x:row>
    <x:row r="4" ht="18" customHeight="1">
      <x:c r="A4" s="211"/>
      <x:c r="B4" s="211"/>
      <x:c r="C4" s="211"/>
      <x:c r="D4" s="211"/>
      <x:c r="E4" s="211"/>
      <x:c r="F4" s="211"/>
      <x:c r="G4" s="211"/>
      <x:c r="H4" s="211"/>
      <x:c r="I4" s="211"/>
      <x:c r="J4" s="169"/>
      <x:c r="K4" s="169"/>
      <x:c r="L4" s="169"/>
      <x:c r="M4" s="169"/>
      <x:c r="N4" s="169"/>
      <x:c r="O4" s="169"/>
      <x:c r="P4" s="169"/>
      <x:c r="Q4" s="169"/>
      <x:c r="R4" s="169"/>
      <x:c r="S4" s="169"/>
      <x:c r="T4" s="169"/>
      <x:c r="U4" s="169"/>
      <x:c r="V4" s="169"/>
      <x:c r="W4" s="169"/>
      <x:c r="X4" s="169"/>
      <x:c r="Y4" s="169"/>
      <x:c r="Z4" s="169"/>
      <x:c r="AA4" s="169"/>
      <x:c r="AB4" s="169"/>
      <x:c r="AC4" s="169"/>
    </x:row>
    <x:row r="5" ht="18" customHeight="1">
      <x:c r="A5" s="169" t="str">
        <x:v>Metric</x:v>
      </x:c>
      <x:c r="B5" s="169" t="str">
        <x:v>Source rows</x:v>
      </x:c>
      <x:c r="C5" s="169" t="str">
        <x:v>Source date</x:v>
      </x:c>
      <x:c r="D5" s="200" t="n">
        <x:v>2023</x:v>
      </x:c>
      <x:c r="E5" s="200" t="n">
        <x:v>2024</x:v>
      </x:c>
      <x:c r="F5" s="200" t="n">
        <x:v>2025</x:v>
      </x:c>
      <x:c r="G5" s="200" t="n">
        <x:v>2026</x:v>
      </x:c>
      <x:c r="H5" s="200" t="n">
        <x:v>2027</x:v>
      </x:c>
      <x:c r="I5" s="200" t="n">
        <x:v>2028</x:v>
      </x:c>
      <x:c r="J5" s="169"/>
      <x:c r="K5" s="169"/>
      <x:c r="L5" s="169"/>
      <x:c r="M5" s="169"/>
      <x:c r="N5" s="169"/>
      <x:c r="O5" s="169"/>
      <x:c r="P5" s="169"/>
      <x:c r="Q5" s="169"/>
      <x:c r="R5" s="169"/>
      <x:c r="S5" s="169"/>
      <x:c r="T5" s="169"/>
      <x:c r="U5" s="169"/>
      <x:c r="V5" s="169"/>
      <x:c r="W5" s="169"/>
      <x:c r="X5" s="169"/>
      <x:c r="Y5" s="169"/>
      <x:c r="Z5" s="169"/>
      <x:c r="AA5" s="169"/>
      <x:c r="AB5" s="169"/>
      <x:c r="AC5" s="169"/>
    </x:row>
    <x:row r="6" ht="18" customHeight="1">
      <x:c r="A6" s="169" t="str">
        <x:v>Gaming</x:v>
      </x:c>
      <x:c r="B6" s="169" t="str">
        <x:v>Total rev!EV:FA, row 7</x:v>
      </x:c>
      <x:c r="C6" s="169" t="str">
        <x:v>2026-08-27</x:v>
      </x:c>
      <x:c r="D6" s="169" t="n">
        <x:v>10447</x:v>
      </x:c>
      <x:c r="E6" s="169" t="n">
        <x:v>11350</x:v>
      </x:c>
      <x:c r="F6" s="169" t="n">
        <x:v>16921.2</x:v>
      </x:c>
      <x:c r="G6" s="169" t="n">
        <x:v>20845.962663750008</x:v>
      </x:c>
      <x:c r="H6" s="169" t="n">
        <x:v>23537.852842718938</x:v>
      </x:c>
      <x:c r="I6" s="169" t="n">
        <x:v>23537.852842718938</x:v>
      </x:c>
      <x:c r="J6" s="169"/>
      <x:c r="K6" s="169"/>
      <x:c r="L6" s="169"/>
      <x:c r="M6" s="169"/>
      <x:c r="N6" s="169"/>
      <x:c r="O6" s="169"/>
      <x:c r="P6" s="169"/>
      <x:c r="Q6" s="169"/>
      <x:c r="R6" s="169"/>
      <x:c r="S6" s="169"/>
      <x:c r="T6" s="169"/>
      <x:c r="U6" s="169"/>
      <x:c r="V6" s="169"/>
      <x:c r="W6" s="169"/>
      <x:c r="X6" s="169"/>
      <x:c r="Y6" s="169"/>
      <x:c r="Z6" s="169"/>
      <x:c r="AA6" s="169"/>
      <x:c r="AB6" s="169"/>
      <x:c r="AC6" s="169"/>
    </x:row>
    <x:row r="7" ht="18" customHeight="1">
      <x:c r="A7" s="169" t="str">
        <x:v>Pro visualization</x:v>
      </x:c>
      <x:c r="B7" s="169" t="str">
        <x:v>Total rev!EV:FA, row 11</x:v>
      </x:c>
      <x:c r="C7" s="169" t="str">
        <x:v>2026-08-27</x:v>
      </x:c>
      <x:c r="D7" s="169" t="n">
        <x:v>1553</x:v>
      </x:c>
      <x:c r="E7" s="169" t="n">
        <x:v>1878</x:v>
      </x:c>
      <x:c r="F7" s="169" t="n">
        <x:v>2645.2</x:v>
      </x:c>
      <x:c r="G7" s="169" t="n">
        <x:v>3296.6780011200003</x:v>
      </x:c>
      <x:c r="H7" s="169" t="n">
        <x:v>3702.336207164617</x:v>
      </x:c>
      <x:c r="I7" s="169" t="n">
        <x:v>3702.336207164617</x:v>
      </x:c>
      <x:c r="J7" s="169"/>
      <x:c r="K7" s="169"/>
      <x:c r="L7" s="169"/>
      <x:c r="M7" s="169"/>
      <x:c r="N7" s="169"/>
      <x:c r="O7" s="169"/>
      <x:c r="P7" s="169"/>
      <x:c r="Q7" s="169"/>
      <x:c r="R7" s="169"/>
      <x:c r="S7" s="169"/>
      <x:c r="T7" s="169"/>
      <x:c r="U7" s="169"/>
      <x:c r="V7" s="169"/>
      <x:c r="W7" s="169"/>
      <x:c r="X7" s="169"/>
      <x:c r="Y7" s="169"/>
      <x:c r="Z7" s="169"/>
      <x:c r="AA7" s="169"/>
      <x:c r="AB7" s="169"/>
      <x:c r="AC7" s="169"/>
    </x:row>
    <x:row r="8" ht="18" customHeight="1">
      <x:c r="A8" s="169" t="str">
        <x:v>Automotive</x:v>
      </x:c>
      <x:c r="B8" s="169" t="str">
        <x:v>Total rev!EV:FA, row 15</x:v>
      </x:c>
      <x:c r="C8" s="169" t="str">
        <x:v>2026-08-27</x:v>
      </x:c>
      <x:c r="D8" s="169" t="n">
        <x:v>1091</x:v>
      </x:c>
      <x:c r="E8" s="169" t="n">
        <x:v>1694</x:v>
      </x:c>
      <x:c r="F8" s="169" t="n">
        <x:v>2354.76</x:v>
      </x:c>
      <x:c r="G8" s="169" t="n">
        <x:v>2944.414941696</x:v>
      </x:c>
      <x:c r="H8" s="169" t="n">
        <x:v>3613.5916357384576</x:v>
      </x:c>
      <x:c r="I8" s="169" t="n">
        <x:v>3613.5916357384576</x:v>
      </x:c>
      <x:c r="J8" s="169"/>
      <x:c r="K8" s="169"/>
      <x:c r="L8" s="169"/>
      <x:c r="M8" s="169"/>
      <x:c r="N8" s="169"/>
      <x:c r="O8" s="169"/>
      <x:c r="P8" s="169"/>
      <x:c r="Q8" s="169"/>
      <x:c r="R8" s="169"/>
      <x:c r="S8" s="169"/>
      <x:c r="T8" s="169"/>
      <x:c r="U8" s="169"/>
      <x:c r="V8" s="169"/>
      <x:c r="W8" s="169"/>
      <x:c r="X8" s="169"/>
      <x:c r="Y8" s="169"/>
      <x:c r="Z8" s="169"/>
      <x:c r="AA8" s="169"/>
      <x:c r="AB8" s="169"/>
      <x:c r="AC8" s="169"/>
    </x:row>
    <x:row r="9" ht="18" customHeight="1">
      <x:c r="A9" s="169" t="str">
        <x:v>OEM &amp; Other</x:v>
      </x:c>
      <x:c r="B9" s="169" t="str">
        <x:v>Total rev!EV:FA, row 17</x:v>
      </x:c>
      <x:c r="C9" s="169" t="str">
        <x:v>2026-08-27</x:v>
      </x:c>
      <x:c r="D9" s="169" t="n">
        <x:v>306</x:v>
      </x:c>
      <x:c r="E9" s="169" t="n">
        <x:v>389</x:v>
      </x:c>
      <x:c r="F9" s="169" t="n">
        <x:v>630.2252</x:v>
      </x:c>
      <x:c r="G9" s="169" t="n">
        <x:v>727.6950207595067</x:v>
      </x:c>
      <x:c r="H9" s="169" t="n">
        <x:v>779.7990314001572</x:v>
      </x:c>
      <x:c r="I9" s="169" t="n">
        <x:v>779.7990314001572</x:v>
      </x:c>
      <x:c r="J9" s="169"/>
      <x:c r="K9" s="169"/>
      <x:c r="L9" s="169"/>
      <x:c r="M9" s="169"/>
      <x:c r="N9" s="169"/>
      <x:c r="O9" s="169"/>
      <x:c r="P9" s="169"/>
      <x:c r="Q9" s="169"/>
      <x:c r="R9" s="169"/>
      <x:c r="S9" s="169"/>
      <x:c r="T9" s="169"/>
      <x:c r="U9" s="169"/>
      <x:c r="V9" s="169"/>
      <x:c r="W9" s="169"/>
      <x:c r="X9" s="169"/>
      <x:c r="Y9" s="169"/>
      <x:c r="Z9" s="169"/>
      <x:c r="AA9" s="169"/>
      <x:c r="AB9" s="169"/>
      <x:c r="AC9" s="169"/>
    </x:row>
    <x:row r="10" ht="18" customHeight="1">
      <x:c r="A10" s="169" t="str">
        <x:v>Other NVIDIA revenue total</x:v>
      </x:c>
      <x:c r="B10" s="169"/>
      <x:c r="C10" s="169"/>
      <x:c r="D10" s="169" t="n">
        <x:f>SUM(D6:D9)</x:f>
        <x:v>13397</x:v>
      </x:c>
      <x:c r="E10" s="169" t="n">
        <x:f>SUM(E6:E9)</x:f>
        <x:v>15311</x:v>
      </x:c>
      <x:c r="F10" s="169" t="n">
        <x:f>SUM(F6:F9)</x:f>
        <x:v>22551.385200000004</x:v>
      </x:c>
      <x:c r="G10" s="169" t="n">
        <x:f>SUM(G6:G9)</x:f>
        <x:v>27814.750627325513</x:v>
      </x:c>
      <x:c r="H10" s="169" t="n">
        <x:f>SUM(H6:H9)</x:f>
        <x:v>31633.57971702217</x:v>
      </x:c>
      <x:c r="I10" s="169" t="n">
        <x:f>SUM(I6:I9)</x:f>
        <x:v>31633.57971702217</x:v>
      </x:c>
      <x:c r="J10" s="169"/>
      <x:c r="K10" s="169"/>
      <x:c r="L10" s="169"/>
      <x:c r="M10" s="169"/>
      <x:c r="N10" s="169"/>
      <x:c r="O10" s="169"/>
      <x:c r="P10" s="169"/>
      <x:c r="Q10" s="169"/>
      <x:c r="R10" s="169"/>
      <x:c r="S10" s="169"/>
      <x:c r="T10" s="169"/>
      <x:c r="U10" s="169"/>
      <x:c r="V10" s="169"/>
      <x:c r="W10" s="169"/>
      <x:c r="X10" s="169"/>
      <x:c r="Y10" s="169"/>
      <x:c r="Z10" s="169"/>
      <x:c r="AA10" s="169"/>
      <x:c r="AB10" s="169"/>
      <x:c r="AC10" s="169"/>
    </x:row>
    <x:row r="11" ht="18" customHeight="1">
      <x:c r="A11" s="169"/>
      <x:c r="B11" s="169"/>
      <x:c r="C11" s="169"/>
      <x:c r="D11" s="169"/>
      <x:c r="E11" s="169"/>
      <x:c r="F11" s="169"/>
      <x:c r="G11" s="169"/>
      <x:c r="H11" s="169"/>
      <x:c r="I11" s="169"/>
      <x:c r="J11" s="169"/>
      <x:c r="K11" s="169"/>
      <x:c r="L11" s="169"/>
      <x:c r="M11" s="169"/>
      <x:c r="N11" s="169"/>
      <x:c r="O11" s="169"/>
      <x:c r="P11" s="169"/>
      <x:c r="Q11" s="169"/>
      <x:c r="R11" s="169"/>
      <x:c r="S11" s="169"/>
      <x:c r="T11" s="169"/>
      <x:c r="U11" s="169"/>
      <x:c r="V11" s="169"/>
      <x:c r="W11" s="169"/>
      <x:c r="X11" s="169"/>
      <x:c r="Y11" s="169"/>
      <x:c r="Z11" s="169"/>
      <x:c r="AA11" s="169"/>
      <x:c r="AB11" s="169"/>
      <x:c r="AC11" s="169"/>
    </x:row>
    <x:row r="12" ht="18" customHeight="1">
      <x:c r="A12" s="169"/>
      <x:c r="B12" s="169"/>
      <x:c r="C12" s="169"/>
      <x:c r="D12" s="169"/>
      <x:c r="E12" s="169"/>
      <x:c r="F12" s="169"/>
      <x:c r="G12" s="169"/>
      <x:c r="H12" s="169"/>
      <x:c r="I12" s="169"/>
      <x:c r="J12" s="169"/>
      <x:c r="K12" s="169"/>
      <x:c r="L12" s="169"/>
      <x:c r="M12" s="169"/>
      <x:c r="N12" s="169"/>
      <x:c r="O12" s="169"/>
      <x:c r="P12" s="169"/>
      <x:c r="Q12" s="169"/>
      <x:c r="R12" s="169"/>
      <x:c r="S12" s="169"/>
      <x:c r="T12" s="169"/>
      <x:c r="U12" s="169"/>
      <x:c r="V12" s="169"/>
      <x:c r="W12" s="169"/>
      <x:c r="X12" s="169"/>
      <x:c r="Y12" s="169"/>
      <x:c r="Z12" s="169"/>
      <x:c r="AA12" s="169"/>
      <x:c r="AB12" s="169"/>
      <x:c r="AC12" s="169"/>
    </x:row>
    <x:row r="13" ht="18" customHeight="1">
      <x:c r="A13" s="169"/>
      <x:c r="B13" s="169"/>
      <x:c r="C13" s="169"/>
      <x:c r="D13" s="169"/>
      <x:c r="E13" s="169"/>
      <x:c r="F13" s="169"/>
      <x:c r="G13" s="169"/>
      <x:c r="H13" s="169"/>
      <x:c r="I13" s="169"/>
      <x:c r="J13" s="169"/>
      <x:c r="K13" s="169"/>
      <x:c r="L13" s="169"/>
      <x:c r="M13" s="169"/>
      <x:c r="N13" s="169"/>
      <x:c r="O13" s="169"/>
      <x:c r="P13" s="169"/>
      <x:c r="Q13" s="169"/>
      <x:c r="R13" s="169"/>
      <x:c r="S13" s="169"/>
      <x:c r="T13" s="169"/>
      <x:c r="U13" s="169"/>
      <x:c r="V13" s="169"/>
      <x:c r="W13" s="169"/>
      <x:c r="X13" s="169"/>
      <x:c r="Y13" s="169"/>
      <x:c r="Z13" s="169"/>
      <x:c r="AA13" s="169"/>
      <x:c r="AB13" s="169"/>
      <x:c r="AC13" s="169"/>
    </x:row>
    <x:row r="14" ht="30" customHeight="1">
      <x:c r="A14" s="172" t="str">
        <x:v>ORIGINAL OUTPUTS | immutable audit snapshot</x:v>
      </x:c>
      <x:c r="B14" s="172" t="str">
        <x:v>ORIGINAL OUTPUTS | immutable audit snapshot</x:v>
      </x:c>
      <x:c r="C14" s="172" t="str">
        <x:v>ORIGINAL OUTPUTS | immutable audit snapshot</x:v>
      </x:c>
      <x:c r="D14" s="172" t="str">
        <x:v>ORIGINAL OUTPUTS | immutable audit snapshot</x:v>
      </x:c>
      <x:c r="E14" s="172" t="str">
        <x:v>ORIGINAL OUTPUTS | immutable audit snapshot</x:v>
      </x:c>
      <x:c r="F14" s="172" t="str">
        <x:v>ORIGINAL OUTPUTS | immutable audit snapshot</x:v>
      </x:c>
      <x:c r="G14" s="172" t="str">
        <x:v>ORIGINAL OUTPUTS | immutable audit snapshot</x:v>
      </x:c>
      <x:c r="H14" s="172" t="str">
        <x:v>ORIGINAL OUTPUTS | immutable audit snapshot</x:v>
      </x:c>
      <x:c r="I14" s="172" t="str">
        <x:v>ORIGINAL OUTPUTS | immutable audit snapshot</x:v>
      </x:c>
      <x:c r="J14" s="169"/>
      <x:c r="K14" s="169"/>
      <x:c r="L14" s="169"/>
      <x:c r="M14" s="169"/>
      <x:c r="N14" s="169"/>
      <x:c r="O14" s="169"/>
      <x:c r="P14" s="169"/>
      <x:c r="Q14" s="169"/>
      <x:c r="R14" s="169"/>
      <x:c r="S14" s="169"/>
      <x:c r="T14" s="169"/>
      <x:c r="U14" s="169"/>
      <x:c r="V14" s="169"/>
      <x:c r="W14" s="169"/>
      <x:c r="X14" s="169"/>
      <x:c r="Y14" s="169"/>
      <x:c r="Z14" s="169"/>
      <x:c r="AA14" s="169"/>
      <x:c r="AB14" s="169"/>
      <x:c r="AC14" s="169"/>
    </x:row>
    <x:row r="15" ht="18" customHeight="1">
      <x:c r="A15" s="170" t="str">
        <x:v>Metric</x:v>
      </x:c>
      <x:c r="B15" s="170" t="str">
        <x:v>Units</x:v>
      </x:c>
      <x:c r="C15" s="170" t="str">
        <x:v>Period</x:v>
      </x:c>
      <x:c r="D15" s="170" t="str">
        <x:v>Original value</x:v>
      </x:c>
      <x:c r="E15" s="170" t="str">
        <x:v>Original cell</x:v>
      </x:c>
      <x:c r="F15" s="170" t="str">
        <x:v>Source</x:v>
      </x:c>
      <x:c r="G15" s="169"/>
      <x:c r="H15" s="169"/>
      <x:c r="I15" s="169"/>
      <x:c r="J15" s="169"/>
      <x:c r="K15" s="169"/>
      <x:c r="L15" s="169"/>
      <x:c r="M15" s="169"/>
      <x:c r="N15" s="169"/>
      <x:c r="O15" s="169"/>
      <x:c r="P15" s="169"/>
      <x:c r="Q15" s="169"/>
      <x:c r="R15" s="169"/>
      <x:c r="S15" s="169"/>
      <x:c r="T15" s="169"/>
      <x:c r="U15" s="169"/>
      <x:c r="V15" s="169"/>
      <x:c r="W15" s="169"/>
      <x:c r="X15" s="169"/>
      <x:c r="Y15" s="169"/>
      <x:c r="Z15" s="169"/>
      <x:c r="AA15" s="169"/>
      <x:c r="AB15" s="169"/>
      <x:c r="AC15" s="169"/>
    </x:row>
    <x:row r="16" ht="32" customHeight="1">
      <x:c r="A16" s="170" t="str">
        <x:v>Old main value</x:v>
      </x:c>
      <x:c r="B16" s="170" t="str">
        <x:v>US$/share</x:v>
      </x:c>
      <x:c r="C16" s="170" t="str">
        <x:v>2026-01-01</x:v>
      </x:c>
      <x:c r="D16" s="175" t="n">
        <x:v>268.40706981095616</x:v>
      </x:c>
      <x:c r="E16" s="170" t="str">
        <x:v>D88</x:v>
      </x:c>
      <x:c r="F16" s="170" t="str">
        <x:v>Supplied workbook, 31-Aug-2026</x:v>
      </x:c>
      <x:c r="G16" s="169"/>
      <x:c r="H16" s="169"/>
      <x:c r="I16" s="169"/>
      <x:c r="J16" s="169"/>
      <x:c r="K16" s="169"/>
      <x:c r="L16" s="169"/>
      <x:c r="M16" s="169"/>
      <x:c r="N16" s="169"/>
      <x:c r="O16" s="169"/>
      <x:c r="P16" s="169"/>
      <x:c r="Q16" s="169"/>
      <x:c r="R16" s="169"/>
      <x:c r="S16" s="169"/>
      <x:c r="T16" s="169"/>
      <x:c r="U16" s="169"/>
      <x:c r="V16" s="169"/>
      <x:c r="W16" s="169"/>
      <x:c r="X16" s="169"/>
      <x:c r="Y16" s="169"/>
      <x:c r="Z16" s="169"/>
      <x:c r="AA16" s="169"/>
      <x:c r="AB16" s="169"/>
      <x:c r="AC16" s="169"/>
    </x:row>
    <x:row r="17" ht="32" customHeight="1">
      <x:c r="A17" s="170" t="str">
        <x:v>Original corrected value</x:v>
      </x:c>
      <x:c r="B17" s="170" t="str">
        <x:v>US$/share</x:v>
      </x:c>
      <x:c r="C17" s="170" t="str">
        <x:v>2026-08-27</x:v>
      </x:c>
      <x:c r="D17" s="175" t="n">
        <x:v>296.7701392609193</x:v>
      </x:c>
      <x:c r="E17" s="170" t="str">
        <x:v>E88</x:v>
      </x:c>
      <x:c r="F17" s="170" t="str">
        <x:v>Supplied workbook, 31-Aug-2026</x:v>
      </x:c>
      <x:c r="G17" s="169"/>
      <x:c r="H17" s="169"/>
      <x:c r="I17" s="169"/>
      <x:c r="J17" s="169"/>
      <x:c r="K17" s="169"/>
      <x:c r="L17" s="169"/>
      <x:c r="M17" s="169"/>
      <x:c r="N17" s="169"/>
      <x:c r="O17" s="169"/>
      <x:c r="P17" s="169"/>
      <x:c r="Q17" s="169"/>
      <x:c r="R17" s="169"/>
      <x:c r="S17" s="169"/>
      <x:c r="T17" s="169"/>
      <x:c r="U17" s="169"/>
      <x:c r="V17" s="169"/>
      <x:c r="W17" s="169"/>
      <x:c r="X17" s="169"/>
      <x:c r="Y17" s="169"/>
      <x:c r="Z17" s="169"/>
      <x:c r="AA17" s="169"/>
      <x:c r="AB17" s="169"/>
      <x:c r="AC17" s="169"/>
    </x:row>
    <x:row r="18" ht="32" customHeight="1">
      <x:c r="A18" s="170" t="str">
        <x:v>Revenue CY2026</x:v>
      </x:c>
      <x:c r="B18" s="170" t="str">
        <x:v>US$ mm</x:v>
      </x:c>
      <x:c r="C18" s="170" t="n">
        <x:v>2026</x:v>
      </x:c>
      <x:c r="D18" s="170" t="n">
        <x:v>398875.21588105615</x:v>
      </x:c>
      <x:c r="E18" s="170" t="str">
        <x:v>G59</x:v>
      </x:c>
      <x:c r="F18" s="170" t="str">
        <x:v>Supplied workbook, 31-Aug-2026</x:v>
      </x:c>
      <x:c r="G18" s="169"/>
      <x:c r="H18" s="169"/>
      <x:c r="I18" s="169"/>
      <x:c r="J18" s="169"/>
      <x:c r="K18" s="169"/>
      <x:c r="L18" s="169"/>
      <x:c r="M18" s="169"/>
      <x:c r="N18" s="169"/>
      <x:c r="O18" s="169"/>
      <x:c r="P18" s="169"/>
      <x:c r="Q18" s="169"/>
      <x:c r="R18" s="169"/>
      <x:c r="S18" s="169"/>
      <x:c r="T18" s="169"/>
      <x:c r="U18" s="169"/>
      <x:c r="V18" s="169"/>
      <x:c r="W18" s="169"/>
      <x:c r="X18" s="169"/>
      <x:c r="Y18" s="169"/>
      <x:c r="Z18" s="169"/>
      <x:c r="AA18" s="169"/>
      <x:c r="AB18" s="169"/>
      <x:c r="AC18" s="169"/>
    </x:row>
    <x:row r="19" ht="32" customHeight="1">
      <x:c r="A19" s="170" t="str">
        <x:v>Revenue CY2027</x:v>
      </x:c>
      <x:c r="B19" s="170" t="str">
        <x:v>US$ mm</x:v>
      </x:c>
      <x:c r="C19" s="170" t="n">
        <x:v>2027</x:v>
      </x:c>
      <x:c r="D19" s="170" t="n">
        <x:v>754850.636454282</x:v>
      </x:c>
      <x:c r="E19" s="170" t="str">
        <x:v>H59</x:v>
      </x:c>
      <x:c r="F19" s="170" t="str">
        <x:v>Supplied workbook, 31-Aug-2026</x:v>
      </x:c>
      <x:c r="G19" s="169"/>
      <x:c r="H19" s="169"/>
      <x:c r="I19" s="169"/>
      <x:c r="J19" s="169"/>
      <x:c r="K19" s="169"/>
      <x:c r="L19" s="169"/>
      <x:c r="M19" s="169"/>
      <x:c r="N19" s="169"/>
      <x:c r="O19" s="169"/>
      <x:c r="P19" s="169"/>
      <x:c r="Q19" s="169"/>
      <x:c r="R19" s="169"/>
      <x:c r="S19" s="169"/>
      <x:c r="T19" s="169"/>
      <x:c r="U19" s="169"/>
      <x:c r="V19" s="169"/>
      <x:c r="W19" s="169"/>
      <x:c r="X19" s="169"/>
      <x:c r="Y19" s="169"/>
      <x:c r="Z19" s="169"/>
      <x:c r="AA19" s="169"/>
      <x:c r="AB19" s="169"/>
      <x:c r="AC19" s="169"/>
    </x:row>
    <x:row r="20" ht="32" customHeight="1">
      <x:c r="A20" s="170" t="str">
        <x:v>Revenue CY2028</x:v>
      </x:c>
      <x:c r="B20" s="170" t="str">
        <x:v>US$ mm</x:v>
      </x:c>
      <x:c r="C20" s="170" t="n">
        <x:v>2028</x:v>
      </x:c>
      <x:c r="D20" s="170" t="n">
        <x:v>1011591.9328664042</x:v>
      </x:c>
      <x:c r="E20" s="170" t="str">
        <x:v>I59</x:v>
      </x:c>
      <x:c r="F20" s="170" t="str">
        <x:v>Supplied workbook, 31-Aug-2026</x:v>
      </x:c>
      <x:c r="G20" s="169"/>
      <x:c r="H20" s="169"/>
      <x:c r="I20" s="169"/>
      <x:c r="J20" s="169"/>
      <x:c r="K20" s="169"/>
      <x:c r="L20" s="169"/>
      <x:c r="M20" s="169"/>
      <x:c r="N20" s="169"/>
      <x:c r="O20" s="169"/>
      <x:c r="P20" s="169"/>
      <x:c r="Q20" s="169"/>
      <x:c r="R20" s="169"/>
      <x:c r="S20" s="169"/>
      <x:c r="T20" s="169"/>
      <x:c r="U20" s="169"/>
      <x:c r="V20" s="169"/>
      <x:c r="W20" s="169"/>
      <x:c r="X20" s="169"/>
      <x:c r="Y20" s="169"/>
      <x:c r="Z20" s="169"/>
      <x:c r="AA20" s="169"/>
      <x:c r="AB20" s="169"/>
      <x:c r="AC20" s="169"/>
    </x:row>
    <x:row r="21" ht="32" customHeight="1">
      <x:c r="A21" s="170" t="str">
        <x:v>Terminal payout</x:v>
      </x:c>
      <x:c r="B21" s="170" t="str">
        <x:v>ratio</x:v>
      </x:c>
      <x:c r="C21" s="170" t="n">
        <x:v>2045</x:v>
      </x:c>
      <x:c r="D21" s="176" t="n">
        <x:v>1</x:v>
      </x:c>
      <x:c r="E21" s="170" t="str">
        <x:v>Z78</x:v>
      </x:c>
      <x:c r="F21" s="170" t="str">
        <x:v>Retained assumption</x:v>
      </x:c>
      <x:c r="G21" s="169"/>
      <x:c r="H21" s="169"/>
      <x:c r="I21" s="169"/>
      <x:c r="J21" s="169"/>
      <x:c r="K21" s="169"/>
      <x:c r="L21" s="169"/>
      <x:c r="M21" s="169"/>
      <x:c r="N21" s="169"/>
      <x:c r="O21" s="169"/>
      <x:c r="P21" s="169"/>
      <x:c r="Q21" s="169"/>
      <x:c r="R21" s="169"/>
      <x:c r="S21" s="169"/>
      <x:c r="T21" s="169"/>
      <x:c r="U21" s="169"/>
      <x:c r="V21" s="169"/>
      <x:c r="W21" s="169"/>
      <x:c r="X21" s="169"/>
      <x:c r="Y21" s="169"/>
      <x:c r="Z21" s="169"/>
      <x:c r="AA21" s="169"/>
      <x:c r="AB21" s="169"/>
      <x:c r="AC21" s="169"/>
    </x:row>
    <x:row r="22" ht="32" customHeight="1">
      <x:c r="A22" s="170" t="str">
        <x:v>Cloud EBITDA margin</x:v>
      </x:c>
      <x:c r="B22" s="170" t="str">
        <x:v>ratio</x:v>
      </x:c>
      <x:c r="C22" s="170" t="str">
        <x:v>All years</x:v>
      </x:c>
      <x:c r="D22" s="176" t="n">
        <x:v>0.9</x:v>
      </x:c>
      <x:c r="E22" s="170" t="str">
        <x:v>ROIC Cloud!D7</x:v>
      </x:c>
      <x:c r="F22" s="170" t="str">
        <x:v>Retained assumption</x:v>
      </x:c>
      <x:c r="G22" s="169"/>
      <x:c r="H22" s="169"/>
      <x:c r="I22" s="169"/>
      <x:c r="J22" s="169"/>
      <x:c r="K22" s="169"/>
      <x:c r="L22" s="169"/>
      <x:c r="M22" s="169"/>
      <x:c r="N22" s="169"/>
      <x:c r="O22" s="169"/>
      <x:c r="P22" s="169"/>
      <x:c r="Q22" s="169"/>
      <x:c r="R22" s="169"/>
      <x:c r="S22" s="169"/>
      <x:c r="T22" s="169"/>
      <x:c r="U22" s="169"/>
      <x:c r="V22" s="169"/>
      <x:c r="W22" s="169"/>
      <x:c r="X22" s="169"/>
      <x:c r="Y22" s="169"/>
      <x:c r="Z22" s="169"/>
      <x:c r="AA22" s="169"/>
      <x:c r="AB22" s="169"/>
      <x:c r="AC22" s="169"/>
    </x:row>
    <x:row r="23" ht="32" customHeight="1">
      <x:c r="A23" s="170" t="str">
        <x:v>House demand CY2029</x:v>
      </x:c>
      <x:c r="B23" s="170" t="str">
        <x:v>US$ mm</x:v>
      </x:c>
      <x:c r="C23" s="170" t="n">
        <x:v>2029</x:v>
      </x:c>
      <x:c r="D23" s="170" t="n">
        <x:v>673649</x:v>
      </x:c>
      <x:c r="E23" s="170" t="str">
        <x:v>ROIC Cloud!J25</x:v>
      </x:c>
      <x:c r="F23" s="170" t="str">
        <x:v>Static 28-Aug-2026 demand inputs</x:v>
      </x:c>
      <x:c r="G23" s="169"/>
      <x:c r="H23" s="169"/>
      <x:c r="I23" s="169"/>
      <x:c r="J23" s="169"/>
      <x:c r="K23" s="169"/>
      <x:c r="L23" s="169"/>
      <x:c r="M23" s="169"/>
      <x:c r="N23" s="169"/>
      <x:c r="O23" s="169"/>
      <x:c r="P23" s="169"/>
      <x:c r="Q23" s="169"/>
      <x:c r="R23" s="169"/>
      <x:c r="S23" s="169"/>
      <x:c r="T23" s="169"/>
      <x:c r="U23" s="169"/>
      <x:c r="V23" s="169"/>
      <x:c r="W23" s="169"/>
      <x:c r="X23" s="169"/>
      <x:c r="Y23" s="169"/>
      <x:c r="Z23" s="169"/>
      <x:c r="AA23" s="169"/>
      <x:c r="AB23" s="169"/>
      <x:c r="AC23" s="169"/>
    </x:row>
    <x:row r="24" ht="32" customHeight="1">
      <x:c r="A24" s="170" t="str">
        <x:v>Designer total CY2027</x:v>
      </x:c>
      <x:c r="B24" s="170" t="str">
        <x:v>US$ mm</x:v>
      </x:c>
      <x:c r="C24" s="170" t="n">
        <x:v>2027</x:v>
      </x:c>
      <x:c r="D24" s="170" t="n">
        <x:v>767002.6163141985</x:v>
      </x:c>
      <x:c r="E24" s="170" t="str">
        <x:v>H40</x:v>
      </x:c>
      <x:c r="F24" s="170" t="str">
        <x:v>Supplied workbook, 31-Aug-2026</x:v>
      </x:c>
      <x:c r="G24" s="169"/>
      <x:c r="H24" s="169"/>
      <x:c r="I24" s="169"/>
      <x:c r="J24" s="169"/>
      <x:c r="K24" s="169"/>
      <x:c r="L24" s="169"/>
      <x:c r="M24" s="169"/>
      <x:c r="N24" s="169"/>
      <x:c r="O24" s="169"/>
      <x:c r="P24" s="169"/>
      <x:c r="Q24" s="169"/>
      <x:c r="R24" s="169"/>
      <x:c r="S24" s="169"/>
      <x:c r="T24" s="169"/>
      <x:c r="U24" s="169"/>
      <x:c r="V24" s="169"/>
      <x:c r="W24" s="169"/>
      <x:c r="X24" s="169"/>
      <x:c r="Y24" s="169"/>
      <x:c r="Z24" s="169"/>
      <x:c r="AA24" s="169"/>
      <x:c r="AB24" s="169"/>
      <x:c r="AC24" s="169"/>
    </x:row>
    <x:row r="25" ht="32" customHeight="1">
      <x:c r="A25" s="170" t="str">
        <x:v>MRVL CY2027</x:v>
      </x:c>
      <x:c r="B25" s="170" t="str">
        <x:v>US$ mm</x:v>
      </x:c>
      <x:c r="C25" s="170" t="n">
        <x:v>2027</x:v>
      </x:c>
      <x:c r="D25" s="170" t="n">
        <x:v>9289.13965369327</x:v>
      </x:c>
      <x:c r="E25" s="170" t="str">
        <x:v>H46</x:v>
      </x:c>
      <x:c r="F25" s="170" t="str">
        <x:v>Supplied workbook, 31-Aug-2026</x:v>
      </x:c>
      <x:c r="G25" s="169"/>
      <x:c r="H25" s="169"/>
      <x:c r="I25" s="169"/>
      <x:c r="J25" s="169"/>
      <x:c r="K25" s="169"/>
      <x:c r="L25" s="169"/>
      <x:c r="M25" s="169"/>
      <x:c r="N25" s="169"/>
      <x:c r="O25" s="169"/>
      <x:c r="P25" s="169"/>
      <x:c r="Q25" s="169"/>
      <x:c r="R25" s="169"/>
      <x:c r="S25" s="169"/>
      <x:c r="T25" s="169"/>
      <x:c r="U25" s="169"/>
      <x:c r="V25" s="169"/>
      <x:c r="W25" s="169"/>
      <x:c r="X25" s="169"/>
      <x:c r="Y25" s="169"/>
      <x:c r="Z25" s="169"/>
      <x:c r="AA25" s="169"/>
      <x:c r="AB25" s="169"/>
      <x:c r="AC25" s="169"/>
    </x:row>
    <x:row r="26" ht="32" customHeight="1">
      <x:c r="A26" s="170" t="str">
        <x:v>MRVL CY2028</x:v>
      </x:c>
      <x:c r="B26" s="170" t="str">
        <x:v>US$ mm</x:v>
      </x:c>
      <x:c r="C26" s="170" t="n">
        <x:v>2028</x:v>
      </x:c>
      <x:c r="D26" s="170" t="n">
        <x:v>13286.017232405844</x:v>
      </x:c>
      <x:c r="E26" s="170" t="str">
        <x:v>I46</x:v>
      </x:c>
      <x:c r="F26" s="170" t="str">
        <x:v>Supplied workbook, 31-Aug-2026</x:v>
      </x:c>
      <x:c r="G26" s="169"/>
      <x:c r="H26" s="169"/>
      <x:c r="I26" s="169"/>
      <x:c r="J26" s="169"/>
      <x:c r="K26" s="169"/>
      <x:c r="L26" s="169"/>
      <x:c r="M26" s="169"/>
      <x:c r="N26" s="169"/>
      <x:c r="O26" s="169"/>
      <x:c r="P26" s="169"/>
      <x:c r="Q26" s="169"/>
      <x:c r="R26" s="169"/>
      <x:c r="S26" s="169"/>
      <x:c r="T26" s="169"/>
      <x:c r="U26" s="169"/>
      <x:c r="V26" s="169"/>
      <x:c r="W26" s="169"/>
      <x:c r="X26" s="169"/>
      <x:c r="Y26" s="169"/>
      <x:c r="Z26" s="169"/>
      <x:c r="AA26" s="169"/>
      <x:c r="AB26" s="169"/>
      <x:c r="AC26" s="169"/>
    </x:row>
    <x:row r="27" ht="18" customHeight="1">
      <x:c r="A27" s="169"/>
      <x:c r="B27" s="169"/>
      <x:c r="C27" s="169"/>
      <x:c r="D27" s="169"/>
      <x:c r="E27" s="169"/>
      <x:c r="F27" s="169"/>
      <x:c r="G27" s="169"/>
      <x:c r="H27" s="169"/>
      <x:c r="I27" s="169"/>
      <x:c r="J27" s="169"/>
      <x:c r="K27" s="169"/>
      <x:c r="L27" s="169"/>
      <x:c r="M27" s="169"/>
      <x:c r="N27" s="169"/>
      <x:c r="O27" s="169"/>
      <x:c r="P27" s="169"/>
      <x:c r="Q27" s="169"/>
      <x:c r="R27" s="169"/>
      <x:c r="S27" s="169"/>
      <x:c r="T27" s="169"/>
      <x:c r="U27" s="169"/>
      <x:c r="V27" s="169"/>
      <x:c r="W27" s="169"/>
      <x:c r="X27" s="169"/>
      <x:c r="Y27" s="169"/>
      <x:c r="Z27" s="169"/>
      <x:c r="AA27" s="169"/>
      <x:c r="AB27" s="169"/>
      <x:c r="AC27" s="169"/>
    </x:row>
    <x:row r="28" ht="18" customHeight="1">
      <x:c r="A28" s="169"/>
      <x:c r="B28" s="169"/>
      <x:c r="C28" s="169"/>
      <x:c r="D28" s="169"/>
      <x:c r="E28" s="169"/>
      <x:c r="F28" s="169"/>
      <x:c r="G28" s="169"/>
      <x:c r="H28" s="169"/>
      <x:c r="I28" s="169"/>
      <x:c r="J28" s="169"/>
      <x:c r="K28" s="169"/>
      <x:c r="L28" s="169"/>
      <x:c r="M28" s="169"/>
      <x:c r="N28" s="169"/>
      <x:c r="O28" s="169"/>
      <x:c r="P28" s="169"/>
      <x:c r="Q28" s="169"/>
      <x:c r="R28" s="169"/>
      <x:c r="S28" s="169"/>
      <x:c r="T28" s="169"/>
      <x:c r="U28" s="169"/>
      <x:c r="V28" s="169"/>
      <x:c r="W28" s="169"/>
      <x:c r="X28" s="169"/>
      <x:c r="Y28" s="169"/>
      <x:c r="Z28" s="169"/>
      <x:c r="AA28" s="169"/>
      <x:c r="AB28" s="169"/>
      <x:c r="AC28" s="169"/>
    </x:row>
    <x:row r="29" ht="18" customHeight="1">
      <x:c r="A29" s="169"/>
      <x:c r="B29" s="169"/>
      <x:c r="C29" s="169"/>
      <x:c r="D29" s="169"/>
      <x:c r="E29" s="169"/>
      <x:c r="F29" s="169"/>
      <x:c r="G29" s="169"/>
      <x:c r="H29" s="169"/>
      <x:c r="I29" s="169"/>
      <x:c r="J29" s="169"/>
      <x:c r="K29" s="169"/>
      <x:c r="L29" s="169"/>
      <x:c r="M29" s="169"/>
      <x:c r="N29" s="169"/>
      <x:c r="O29" s="169"/>
      <x:c r="P29" s="169"/>
      <x:c r="Q29" s="169"/>
      <x:c r="R29" s="169"/>
      <x:c r="S29" s="169"/>
      <x:c r="T29" s="169"/>
      <x:c r="U29" s="169"/>
      <x:c r="V29" s="169"/>
      <x:c r="W29" s="169"/>
      <x:c r="X29" s="169"/>
      <x:c r="Y29" s="169"/>
      <x:c r="Z29" s="169"/>
      <x:c r="AA29" s="169"/>
      <x:c r="AB29" s="169"/>
      <x:c r="AC29" s="169"/>
    </x:row>
    <x:row r="30" ht="18.33333396911621" customHeight="1">
      <x:c r="A30"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B30"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C30"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D30"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E30"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F30"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G30"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H30"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I30"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J30"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K30"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L30"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M30" s="169"/>
      <x:c r="N30" s="169"/>
      <x:c r="O30" s="169"/>
      <x:c r="P30" s="169"/>
      <x:c r="Q30" s="169"/>
      <x:c r="R30" s="169"/>
      <x:c r="S30" s="169"/>
      <x:c r="T30" s="169"/>
      <x:c r="U30" s="169"/>
      <x:c r="V30" s="169"/>
      <x:c r="W30" s="169"/>
      <x:c r="X30" s="169"/>
      <x:c r="Y30" s="169"/>
      <x:c r="Z30" s="169"/>
      <x:c r="AA30" s="169"/>
      <x:c r="AB30" s="169"/>
      <x:c r="AC30" s="169"/>
    </x:row>
    <x:row r="31" ht="18.33333396911621" customHeight="1">
      <x:c r="A31"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B31"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C31"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D31"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E31"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F31"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G31"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H31"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I31"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J31"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K31"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L31"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M31" s="169"/>
      <x:c r="N31" s="169"/>
      <x:c r="O31" s="169"/>
      <x:c r="P31" s="169"/>
      <x:c r="Q31" s="169"/>
      <x:c r="R31" s="169"/>
      <x:c r="S31" s="169"/>
      <x:c r="T31" s="169"/>
      <x:c r="U31" s="169"/>
      <x:c r="V31" s="169"/>
      <x:c r="W31" s="169"/>
      <x:c r="X31" s="169"/>
      <x:c r="Y31" s="169"/>
      <x:c r="Z31" s="169"/>
      <x:c r="AA31" s="169"/>
      <x:c r="AB31" s="169"/>
      <x:c r="AC31" s="169"/>
    </x:row>
    <x:row r="32" ht="18.33333396911621" customHeight="1">
      <x:c r="A32"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B32"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C32"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D32"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E32"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F32"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G32"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H32"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I32"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J32"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K32"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L32" s="170" t="str">
        <x:v>Original commercial inputs are preserved. This copy corrects formulas and their definitions; it does not certify capex forecasts, a 90% cloud margin, a 100% terminal payout, or the absence of lease/BYOC double counting. The original 42,403 unused defined names and 90 external-link records were not carried into this clean copy.</x:v>
      </x:c>
      <x:c r="M32" s="169"/>
      <x:c r="N32" s="169"/>
      <x:c r="O32" s="169"/>
      <x:c r="P32" s="169"/>
      <x:c r="Q32" s="169"/>
      <x:c r="R32" s="169"/>
      <x:c r="S32" s="169"/>
      <x:c r="T32" s="169"/>
      <x:c r="U32" s="169"/>
      <x:c r="V32" s="169"/>
      <x:c r="W32" s="169"/>
      <x:c r="X32" s="169"/>
      <x:c r="Y32" s="169"/>
      <x:c r="Z32" s="169"/>
      <x:c r="AA32" s="169"/>
      <x:c r="AB32" s="169"/>
      <x:c r="AC32" s="169"/>
    </x:row>
    <x:row r="33" ht="18" customHeight="1">
      <x:c r="A33" s="169"/>
      <x:c r="B33" s="169"/>
      <x:c r="C33" s="169"/>
      <x:c r="D33" s="169"/>
      <x:c r="E33" s="169"/>
      <x:c r="F33" s="169"/>
      <x:c r="G33" s="169"/>
      <x:c r="H33" s="169"/>
      <x:c r="I33" s="169"/>
      <x:c r="J33" s="169"/>
      <x:c r="K33" s="169"/>
      <x:c r="L33" s="169"/>
      <x:c r="M33" s="169"/>
      <x:c r="N33" s="169"/>
      <x:c r="O33" s="169"/>
      <x:c r="P33" s="169"/>
      <x:c r="Q33" s="169"/>
      <x:c r="R33" s="169"/>
      <x:c r="S33" s="169"/>
      <x:c r="T33" s="169"/>
      <x:c r="U33" s="169"/>
      <x:c r="V33" s="169"/>
      <x:c r="W33" s="169"/>
      <x:c r="X33" s="169"/>
      <x:c r="Y33" s="169"/>
      <x:c r="Z33" s="169"/>
      <x:c r="AA33" s="169"/>
      <x:c r="AB33" s="169"/>
      <x:c r="AC33" s="169"/>
    </x:row>
    <x:row r="34" ht="18" customHeight="1">
      <x:c r="A34" s="169"/>
      <x:c r="B34" s="169"/>
      <x:c r="C34" s="169"/>
      <x:c r="D34" s="169"/>
      <x:c r="E34" s="169"/>
      <x:c r="F34" s="169"/>
      <x:c r="G34" s="169"/>
      <x:c r="H34" s="169"/>
      <x:c r="I34" s="169"/>
      <x:c r="J34" s="169"/>
      <x:c r="K34" s="169"/>
      <x:c r="L34" s="169"/>
      <x:c r="M34" s="169"/>
      <x:c r="N34" s="169"/>
      <x:c r="O34" s="169"/>
      <x:c r="P34" s="169"/>
      <x:c r="Q34" s="169"/>
      <x:c r="R34" s="169"/>
      <x:c r="S34" s="169"/>
      <x:c r="T34" s="169"/>
      <x:c r="U34" s="169"/>
      <x:c r="V34" s="169"/>
      <x:c r="W34" s="169"/>
      <x:c r="X34" s="169"/>
      <x:c r="Y34" s="169"/>
      <x:c r="Z34" s="169"/>
      <x:c r="AA34" s="169"/>
      <x:c r="AB34" s="169"/>
      <x:c r="AC34" s="169"/>
    </x:row>
  </x:sheetData>
  <x:mergeCells>
    <x:mergeCell ref="A1:L1"/>
    <x:mergeCell ref="A2:L3"/>
    <x:mergeCell ref="A14:I14"/>
    <x:mergeCell ref="A30:L32"/>
  </x:mergeCells>
  <x:pageMargins left="0.7" right="0.7" top="0.75" bottom="0.75" header="0.3" footer="0.3"/>
  <x:legacyDrawing xmlns:r="http://schemas.openxmlformats.org/officeDocument/2006/relationships" r:id="R52cb3503dea44197"/>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10" hidden="0" customWidth="1"/>
    <x:col min="3" max="3" width="17" hidden="0" customWidth="1"/>
    <x:col min="4" max="4" width="11" hidden="0" customWidth="1"/>
    <x:col min="5" max="5" width="11" hidden="0" customWidth="1"/>
    <x:col min="6" max="6" width="19"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s>
  <x:sheetData>
    <x:row r="1" ht="30" customHeight="1">
      <x:c r="A1" s="172" t="str">
        <x:v>CLOUD COHORTS | straight-line depreciation by asset and vintage</x:v>
      </x:c>
      <x:c r="B1" s="172" t="str">
        <x:v>CLOUD COHORTS | straight-line depreciation by asset and vintage</x:v>
      </x:c>
      <x:c r="C1" s="172" t="str">
        <x:v>CLOUD COHORTS | straight-line depreciation by asset and vintage</x:v>
      </x:c>
      <x:c r="D1" s="172" t="str">
        <x:v>CLOUD COHORTS | straight-line depreciation by asset and vintage</x:v>
      </x:c>
      <x:c r="E1" s="172" t="str">
        <x:v>CLOUD COHORTS | straight-line depreciation by asset and vintage</x:v>
      </x:c>
      <x:c r="F1" s="172" t="str">
        <x:v>CLOUD COHORTS | straight-line depreciation by asset and vintage</x:v>
      </x:c>
      <x:c r="G1" s="172" t="str">
        <x:v>CLOUD COHORTS | straight-line depreciation by asset and vintage</x:v>
      </x:c>
      <x:c r="H1" s="172" t="str">
        <x:v>CLOUD COHORTS | straight-line depreciation by asset and vintage</x:v>
      </x:c>
      <x:c r="I1" s="172" t="str">
        <x:v>CLOUD COHORTS | straight-line depreciation by asset and vintage</x:v>
      </x:c>
      <x:c r="J1" s="172" t="str">
        <x:v>CLOUD COHORTS | straight-line depreciation by asset and vintage</x:v>
      </x:c>
      <x:c r="K1" s="172" t="str">
        <x:v>CLOUD COHORTS | straight-line depreciation by asset and vintage</x:v>
      </x:c>
      <x:c r="L1" s="172" t="str">
        <x:v>CLOUD COHORTS | straight-line depreciation by asset and vintage</x:v>
      </x:c>
      <x:c r="M1" s="172" t="str">
        <x:v>CLOUD COHORTS | straight-line depreciation by asset and vintage</x:v>
      </x:c>
      <x:c r="N1" s="172" t="str">
        <x:v>CLOUD COHORTS | straight-line depreciation by asset and vintage</x:v>
      </x:c>
      <x:c r="O1" s="172" t="str">
        <x:v>CLOUD COHORTS | straight-line depreciation by asset and vintage</x:v>
      </x:c>
      <x:c r="P1" s="172" t="str">
        <x:v>CLOUD COHORTS | straight-line depreciation by asset and vintage</x:v>
      </x:c>
      <x:c r="Q1" s="172" t="str">
        <x:v>CLOUD COHORTS | straight-line depreciation by asset and vintage</x:v>
      </x:c>
      <x:c r="R1" s="172" t="str">
        <x:v>CLOUD COHORTS | straight-line depreciation by asset and vintage</x:v>
      </x:c>
      <x:c r="S1" s="172" t="str">
        <x:v>CLOUD COHORTS | straight-line depreciation by asset and vintage</x:v>
      </x:c>
      <x:c r="T1" s="172" t="str">
        <x:v>CLOUD COHORTS | straight-line depreciation by asset and vintage</x:v>
      </x:c>
      <x:c r="U1" s="172" t="str">
        <x:v>CLOUD COHORTS | straight-line depreciation by asset and vintage</x:v>
      </x:c>
      <x:c r="V1" s="172" t="str">
        <x:v>CLOUD COHORTS | straight-line depreciation by asset and vintage</x:v>
      </x:c>
      <x:c r="W1" s="172" t="str">
        <x:v>CLOUD COHORTS | straight-line depreciation by asset and vintage</x:v>
      </x:c>
      <x:c r="X1" s="172" t="str">
        <x:v>CLOUD COHORTS | straight-line depreciation by asset and vintage</x:v>
      </x:c>
      <x:c r="Y1" s="172" t="str">
        <x:v>CLOUD COHORTS | straight-line depreciation by asset and vintage</x:v>
      </x:c>
      <x:c r="Z1" s="172" t="str">
        <x:v>CLOUD COHORTS | straight-line depreciation by asset and vintage</x:v>
      </x:c>
      <x:c r="AA1" s="172" t="str">
        <x:v>CLOUD COHORTS | straight-line depreciation by asset and vintage</x:v>
      </x:c>
      <x:c r="AB1" s="172" t="str">
        <x:v>CLOUD COHORTS | straight-line depreciation by asset and vintage</x:v>
      </x:c>
      <x:c r="AC1" s="172" t="str">
        <x:v>CLOUD COHORTS | straight-line depreciation by asset and vintage</x:v>
      </x:c>
    </x:row>
    <x:row r="2" ht="21" customHeight="1">
      <x:c r="A2" s="170" t="str">
        <x:v>All monetary values are US$ millions. Separate asset lives; no blended retirement shortcut. Opening/closing balances are floored individually before averaging. Source capex: ROIC Cloud row 15; fixed weights: D45:D47.</x:v>
      </x:c>
      <x:c r="B2" s="170" t="str">
        <x:v>All monetary values are US$ millions. Separate asset lives; no blended retirement shortcut. Opening/closing balances are floored individually before averaging. Source capex: ROIC Cloud row 15; fixed weights: D45:D47.</x:v>
      </x:c>
      <x:c r="C2" s="170" t="str">
        <x:v>All monetary values are US$ millions. Separate asset lives; no blended retirement shortcut. Opening/closing balances are floored individually before averaging. Source capex: ROIC Cloud row 15; fixed weights: D45:D47.</x:v>
      </x:c>
      <x:c r="D2" s="170" t="str">
        <x:v>All monetary values are US$ millions. Separate asset lives; no blended retirement shortcut. Opening/closing balances are floored individually before averaging. Source capex: ROIC Cloud row 15; fixed weights: D45:D47.</x:v>
      </x:c>
      <x:c r="E2" s="170" t="str">
        <x:v>All monetary values are US$ millions. Separate asset lives; no blended retirement shortcut. Opening/closing balances are floored individually before averaging. Source capex: ROIC Cloud row 15; fixed weights: D45:D47.</x:v>
      </x:c>
      <x:c r="F2" s="170" t="str">
        <x:v>All monetary values are US$ millions. Separate asset lives; no blended retirement shortcut. Opening/closing balances are floored individually before averaging. Source capex: ROIC Cloud row 15; fixed weights: D45:D47.</x:v>
      </x:c>
      <x:c r="G2" s="170" t="str">
        <x:v>All monetary values are US$ millions. Separate asset lives; no blended retirement shortcut. Opening/closing balances are floored individually before averaging. Source capex: ROIC Cloud row 15; fixed weights: D45:D47.</x:v>
      </x:c>
      <x:c r="H2" s="170" t="str">
        <x:v>All monetary values are US$ millions. Separate asset lives; no blended retirement shortcut. Opening/closing balances are floored individually before averaging. Source capex: ROIC Cloud row 15; fixed weights: D45:D47.</x:v>
      </x:c>
      <x:c r="I2" s="170" t="str">
        <x:v>All monetary values are US$ millions. Separate asset lives; no blended retirement shortcut. Opening/closing balances are floored individually before averaging. Source capex: ROIC Cloud row 15; fixed weights: D45:D47.</x:v>
      </x:c>
      <x:c r="J2" s="170" t="str">
        <x:v>All monetary values are US$ millions. Separate asset lives; no blended retirement shortcut. Opening/closing balances are floored individually before averaging. Source capex: ROIC Cloud row 15; fixed weights: D45:D47.</x:v>
      </x:c>
      <x:c r="K2" s="170" t="str">
        <x:v>All monetary values are US$ millions. Separate asset lives; no blended retirement shortcut. Opening/closing balances are floored individually before averaging. Source capex: ROIC Cloud row 15; fixed weights: D45:D47.</x:v>
      </x:c>
      <x:c r="L2" s="170" t="str">
        <x:v>All monetary values are US$ millions. Separate asset lives; no blended retirement shortcut. Opening/closing balances are floored individually before averaging. Source capex: ROIC Cloud row 15; fixed weights: D45:D47.</x:v>
      </x:c>
      <x:c r="M2" s="170" t="str">
        <x:v>All monetary values are US$ millions. Separate asset lives; no blended retirement shortcut. Opening/closing balances are floored individually before averaging. Source capex: ROIC Cloud row 15; fixed weights: D45:D47.</x:v>
      </x:c>
      <x:c r="N2" s="170" t="str">
        <x:v>All monetary values are US$ millions. Separate asset lives; no blended retirement shortcut. Opening/closing balances are floored individually before averaging. Source capex: ROIC Cloud row 15; fixed weights: D45:D47.</x:v>
      </x:c>
      <x:c r="O2" s="170" t="str">
        <x:v>All monetary values are US$ millions. Separate asset lives; no blended retirement shortcut. Opening/closing balances are floored individually before averaging. Source capex: ROIC Cloud row 15; fixed weights: D45:D47.</x:v>
      </x:c>
      <x:c r="P2" s="170" t="str">
        <x:v>All monetary values are US$ millions. Separate asset lives; no blended retirement shortcut. Opening/closing balances are floored individually before averaging. Source capex: ROIC Cloud row 15; fixed weights: D45:D47.</x:v>
      </x:c>
      <x:c r="Q2" s="170" t="str">
        <x:v>All monetary values are US$ millions. Separate asset lives; no blended retirement shortcut. Opening/closing balances are floored individually before averaging. Source capex: ROIC Cloud row 15; fixed weights: D45:D47.</x:v>
      </x:c>
      <x:c r="R2" s="170" t="str">
        <x:v>All monetary values are US$ millions. Separate asset lives; no blended retirement shortcut. Opening/closing balances are floored individually before averaging. Source capex: ROIC Cloud row 15; fixed weights: D45:D47.</x:v>
      </x:c>
      <x:c r="S2" s="170" t="str">
        <x:v>All monetary values are US$ millions. Separate asset lives; no blended retirement shortcut. Opening/closing balances are floored individually before averaging. Source capex: ROIC Cloud row 15; fixed weights: D45:D47.</x:v>
      </x:c>
      <x:c r="T2" s="170" t="str">
        <x:v>All monetary values are US$ millions. Separate asset lives; no blended retirement shortcut. Opening/closing balances are floored individually before averaging. Source capex: ROIC Cloud row 15; fixed weights: D45:D47.</x:v>
      </x:c>
      <x:c r="U2" s="170" t="str">
        <x:v>All monetary values are US$ millions. Separate asset lives; no blended retirement shortcut. Opening/closing balances are floored individually before averaging. Source capex: ROIC Cloud row 15; fixed weights: D45:D47.</x:v>
      </x:c>
      <x:c r="V2" s="170" t="str">
        <x:v>All monetary values are US$ millions. Separate asset lives; no blended retirement shortcut. Opening/closing balances are floored individually before averaging. Source capex: ROIC Cloud row 15; fixed weights: D45:D47.</x:v>
      </x:c>
      <x:c r="W2" s="170" t="str">
        <x:v>All monetary values are US$ millions. Separate asset lives; no blended retirement shortcut. Opening/closing balances are floored individually before averaging. Source capex: ROIC Cloud row 15; fixed weights: D45:D47.</x:v>
      </x:c>
      <x:c r="X2" s="170" t="str">
        <x:v>All monetary values are US$ millions. Separate asset lives; no blended retirement shortcut. Opening/closing balances are floored individually before averaging. Source capex: ROIC Cloud row 15; fixed weights: D45:D47.</x:v>
      </x:c>
      <x:c r="Y2" s="170" t="str">
        <x:v>All monetary values are US$ millions. Separate asset lives; no blended retirement shortcut. Opening/closing balances are floored individually before averaging. Source capex: ROIC Cloud row 15; fixed weights: D45:D47.</x:v>
      </x:c>
      <x:c r="Z2" s="170" t="str">
        <x:v>All monetary values are US$ millions. Separate asset lives; no blended retirement shortcut. Opening/closing balances are floored individually before averaging. Source capex: ROIC Cloud row 15; fixed weights: D45:D47.</x:v>
      </x:c>
      <x:c r="AA2" s="170" t="str">
        <x:v>All monetary values are US$ millions. Separate asset lives; no blended retirement shortcut. Opening/closing balances are floored individually before averaging. Source capex: ROIC Cloud row 15; fixed weights: D45:D47.</x:v>
      </x:c>
      <x:c r="AB2" s="170" t="str">
        <x:v>All monetary values are US$ millions. Separate asset lives; no blended retirement shortcut. Opening/closing balances are floored individually before averaging. Source capex: ROIC Cloud row 15; fixed weights: D45:D47.</x:v>
      </x:c>
      <x:c r="AC2" s="170" t="str">
        <x:v>All monetary values are US$ millions. Separate asset lives; no blended retirement shortcut. Opening/closing balances are floored individually before averaging. Source capex: ROIC Cloud row 15; fixed weights: D45:D47.</x:v>
      </x:c>
    </x:row>
    <x:row r="3" ht="21" customHeight="1">
      <x:c r="A3" s="170" t="str">
        <x:v>All monetary values are US$ millions. Separate asset lives; no blended retirement shortcut. Opening/closing balances are floored individually before averaging. Source capex: ROIC Cloud row 15; fixed weights: D45:D47.</x:v>
      </x:c>
      <x:c r="B3" s="170" t="str">
        <x:v>All monetary values are US$ millions. Separate asset lives; no blended retirement shortcut. Opening/closing balances are floored individually before averaging. Source capex: ROIC Cloud row 15; fixed weights: D45:D47.</x:v>
      </x:c>
      <x:c r="C3" s="170" t="str">
        <x:v>All monetary values are US$ millions. Separate asset lives; no blended retirement shortcut. Opening/closing balances are floored individually before averaging. Source capex: ROIC Cloud row 15; fixed weights: D45:D47.</x:v>
      </x:c>
      <x:c r="D3" s="170" t="str">
        <x:v>All monetary values are US$ millions. Separate asset lives; no blended retirement shortcut. Opening/closing balances are floored individually before averaging. Source capex: ROIC Cloud row 15; fixed weights: D45:D47.</x:v>
      </x:c>
      <x:c r="E3" s="170" t="str">
        <x:v>All monetary values are US$ millions. Separate asset lives; no blended retirement shortcut. Opening/closing balances are floored individually before averaging. Source capex: ROIC Cloud row 15; fixed weights: D45:D47.</x:v>
      </x:c>
      <x:c r="F3" s="170" t="str">
        <x:v>All monetary values are US$ millions. Separate asset lives; no blended retirement shortcut. Opening/closing balances are floored individually before averaging. Source capex: ROIC Cloud row 15; fixed weights: D45:D47.</x:v>
      </x:c>
      <x:c r="G3" s="170" t="str">
        <x:v>All monetary values are US$ millions. Separate asset lives; no blended retirement shortcut. Opening/closing balances are floored individually before averaging. Source capex: ROIC Cloud row 15; fixed weights: D45:D47.</x:v>
      </x:c>
      <x:c r="H3" s="170" t="str">
        <x:v>All monetary values are US$ millions. Separate asset lives; no blended retirement shortcut. Opening/closing balances are floored individually before averaging. Source capex: ROIC Cloud row 15; fixed weights: D45:D47.</x:v>
      </x:c>
      <x:c r="I3" s="170" t="str">
        <x:v>All monetary values are US$ millions. Separate asset lives; no blended retirement shortcut. Opening/closing balances are floored individually before averaging. Source capex: ROIC Cloud row 15; fixed weights: D45:D47.</x:v>
      </x:c>
      <x:c r="J3" s="170" t="str">
        <x:v>All monetary values are US$ millions. Separate asset lives; no blended retirement shortcut. Opening/closing balances are floored individually before averaging. Source capex: ROIC Cloud row 15; fixed weights: D45:D47.</x:v>
      </x:c>
      <x:c r="K3" s="170" t="str">
        <x:v>All monetary values are US$ millions. Separate asset lives; no blended retirement shortcut. Opening/closing balances are floored individually before averaging. Source capex: ROIC Cloud row 15; fixed weights: D45:D47.</x:v>
      </x:c>
      <x:c r="L3" s="170" t="str">
        <x:v>All monetary values are US$ millions. Separate asset lives; no blended retirement shortcut. Opening/closing balances are floored individually before averaging. Source capex: ROIC Cloud row 15; fixed weights: D45:D47.</x:v>
      </x:c>
      <x:c r="M3" s="170" t="str">
        <x:v>All monetary values are US$ millions. Separate asset lives; no blended retirement shortcut. Opening/closing balances are floored individually before averaging. Source capex: ROIC Cloud row 15; fixed weights: D45:D47.</x:v>
      </x:c>
      <x:c r="N3" s="170" t="str">
        <x:v>All monetary values are US$ millions. Separate asset lives; no blended retirement shortcut. Opening/closing balances are floored individually before averaging. Source capex: ROIC Cloud row 15; fixed weights: D45:D47.</x:v>
      </x:c>
      <x:c r="O3" s="170" t="str">
        <x:v>All monetary values are US$ millions. Separate asset lives; no blended retirement shortcut. Opening/closing balances are floored individually before averaging. Source capex: ROIC Cloud row 15; fixed weights: D45:D47.</x:v>
      </x:c>
      <x:c r="P3" s="170" t="str">
        <x:v>All monetary values are US$ millions. Separate asset lives; no blended retirement shortcut. Opening/closing balances are floored individually before averaging. Source capex: ROIC Cloud row 15; fixed weights: D45:D47.</x:v>
      </x:c>
      <x:c r="Q3" s="170" t="str">
        <x:v>All monetary values are US$ millions. Separate asset lives; no blended retirement shortcut. Opening/closing balances are floored individually before averaging. Source capex: ROIC Cloud row 15; fixed weights: D45:D47.</x:v>
      </x:c>
      <x:c r="R3" s="170" t="str">
        <x:v>All monetary values are US$ millions. Separate asset lives; no blended retirement shortcut. Opening/closing balances are floored individually before averaging. Source capex: ROIC Cloud row 15; fixed weights: D45:D47.</x:v>
      </x:c>
      <x:c r="S3" s="170" t="str">
        <x:v>All monetary values are US$ millions. Separate asset lives; no blended retirement shortcut. Opening/closing balances are floored individually before averaging. Source capex: ROIC Cloud row 15; fixed weights: D45:D47.</x:v>
      </x:c>
      <x:c r="T3" s="170" t="str">
        <x:v>All monetary values are US$ millions. Separate asset lives; no blended retirement shortcut. Opening/closing balances are floored individually before averaging. Source capex: ROIC Cloud row 15; fixed weights: D45:D47.</x:v>
      </x:c>
      <x:c r="U3" s="170" t="str">
        <x:v>All monetary values are US$ millions. Separate asset lives; no blended retirement shortcut. Opening/closing balances are floored individually before averaging. Source capex: ROIC Cloud row 15; fixed weights: D45:D47.</x:v>
      </x:c>
      <x:c r="V3" s="170" t="str">
        <x:v>All monetary values are US$ millions. Separate asset lives; no blended retirement shortcut. Opening/closing balances are floored individually before averaging. Source capex: ROIC Cloud row 15; fixed weights: D45:D47.</x:v>
      </x:c>
      <x:c r="W3" s="170" t="str">
        <x:v>All monetary values are US$ millions. Separate asset lives; no blended retirement shortcut. Opening/closing balances are floored individually before averaging. Source capex: ROIC Cloud row 15; fixed weights: D45:D47.</x:v>
      </x:c>
      <x:c r="X3" s="170" t="str">
        <x:v>All monetary values are US$ millions. Separate asset lives; no blended retirement shortcut. Opening/closing balances are floored individually before averaging. Source capex: ROIC Cloud row 15; fixed weights: D45:D47.</x:v>
      </x:c>
      <x:c r="Y3" s="170" t="str">
        <x:v>All monetary values are US$ millions. Separate asset lives; no blended retirement shortcut. Opening/closing balances are floored individually before averaging. Source capex: ROIC Cloud row 15; fixed weights: D45:D47.</x:v>
      </x:c>
      <x:c r="Z3" s="170" t="str">
        <x:v>All monetary values are US$ millions. Separate asset lives; no blended retirement shortcut. Opening/closing balances are floored individually before averaging. Source capex: ROIC Cloud row 15; fixed weights: D45:D47.</x:v>
      </x:c>
      <x:c r="AA3" s="170" t="str">
        <x:v>All monetary values are US$ millions. Separate asset lives; no blended retirement shortcut. Opening/closing balances are floored individually before averaging. Source capex: ROIC Cloud row 15; fixed weights: D45:D47.</x:v>
      </x:c>
      <x:c r="AB3" s="170" t="str">
        <x:v>All monetary values are US$ millions. Separate asset lives; no blended retirement shortcut. Opening/closing balances are floored individually before averaging. Source capex: ROIC Cloud row 15; fixed weights: D45:D47.</x:v>
      </x:c>
      <x:c r="AC3" s="170" t="str">
        <x:v>All monetary values are US$ millions. Separate asset lives; no blended retirement shortcut. Opening/closing balances are floored individually before averaging. Source capex: ROIC Cloud row 15; fixed weights: D45:D47.</x:v>
      </x:c>
    </x:row>
    <x:row r="4" ht="32" customHeight="1">
      <x:c r="A4" s="212" t="str">
        <x:v>Asset / metric</x:v>
      </x:c>
      <x:c r="B4" s="212" t="str">
        <x:v>Vintage</x:v>
      </x:c>
      <x:c r="C4" s="212" t="str">
        <x:v>Gross cost</x:v>
      </x:c>
      <x:c r="D4" s="212" t="str">
        <x:v>Life (yrs)</x:v>
      </x:c>
      <x:c r="E4" s="212" t="str">
        <x:v>Service year</x:v>
      </x:c>
      <x:c r="F4" s="212" t="str">
        <x:v>Measure</x:v>
      </x:c>
      <x:c r="G4" s="213" t="n">
        <x:v>2023</x:v>
      </x:c>
      <x:c r="H4" s="213" t="n">
        <x:v>2024</x:v>
      </x:c>
      <x:c r="I4" s="213" t="n">
        <x:v>2025</x:v>
      </x:c>
      <x:c r="J4" s="213" t="n">
        <x:v>2026</x:v>
      </x:c>
      <x:c r="K4" s="213" t="n">
        <x:v>2027</x:v>
      </x:c>
      <x:c r="L4" s="213" t="n">
        <x:v>2028</x:v>
      </x:c>
      <x:c r="M4" s="213" t="n">
        <x:v>2029</x:v>
      </x:c>
      <x:c r="N4" s="213" t="n">
        <x:v>2030</x:v>
      </x:c>
      <x:c r="O4" s="213" t="n">
        <x:v>2031</x:v>
      </x:c>
      <x:c r="P4" s="213" t="n">
        <x:v>2032</x:v>
      </x:c>
      <x:c r="Q4" s="213" t="n">
        <x:v>2033</x:v>
      </x:c>
      <x:c r="R4" s="213" t="n">
        <x:v>2034</x:v>
      </x:c>
      <x:c r="S4" s="213" t="n">
        <x:v>2035</x:v>
      </x:c>
      <x:c r="T4" s="213" t="n">
        <x:v>2036</x:v>
      </x:c>
      <x:c r="U4" s="213" t="n">
        <x:v>2037</x:v>
      </x:c>
      <x:c r="V4" s="213" t="n">
        <x:v>2038</x:v>
      </x:c>
      <x:c r="W4" s="213" t="n">
        <x:v>2039</x:v>
      </x:c>
      <x:c r="X4" s="213" t="n">
        <x:v>2040</x:v>
      </x:c>
      <x:c r="Y4" s="213" t="n">
        <x:v>2041</x:v>
      </x:c>
      <x:c r="Z4" s="213" t="n">
        <x:v>2042</x:v>
      </x:c>
      <x:c r="AA4" s="213" t="n">
        <x:v>2043</x:v>
      </x:c>
      <x:c r="AB4" s="213" t="n">
        <x:v>2044</x:v>
      </x:c>
      <x:c r="AC4" s="213" t="n">
        <x:v>2045</x:v>
      </x:c>
    </x:row>
    <x:row r="5" ht="18" customHeight="1">
      <x:c r="A5" s="169"/>
      <x:c r="B5" s="169"/>
      <x:c r="C5" s="169"/>
      <x:c r="D5" s="169"/>
      <x:c r="E5" s="169"/>
      <x:c r="F5" s="169"/>
      <x:c r="G5" s="169"/>
      <x:c r="H5" s="169"/>
      <x:c r="I5" s="169"/>
      <x:c r="J5" s="169"/>
      <x:c r="K5" s="169"/>
      <x:c r="L5" s="169"/>
      <x:c r="M5" s="169"/>
      <x:c r="N5" s="169"/>
      <x:c r="O5" s="169"/>
      <x:c r="P5" s="169"/>
      <x:c r="Q5" s="169"/>
      <x:c r="R5" s="169"/>
      <x:c r="S5" s="169"/>
      <x:c r="T5" s="169"/>
      <x:c r="U5" s="169"/>
      <x:c r="V5" s="169"/>
      <x:c r="W5" s="169"/>
      <x:c r="X5" s="169"/>
      <x:c r="Y5" s="169"/>
      <x:c r="Z5" s="169"/>
      <x:c r="AA5" s="169"/>
      <x:c r="AB5" s="169"/>
      <x:c r="AC5" s="169"/>
    </x:row>
    <x:row r="6" ht="18" customHeight="1">
      <x:c r="A6" s="169" t="str">
        <x:v>Average net: chips</x:v>
      </x:c>
      <x:c r="B6" s="169"/>
      <x:c r="C6" s="169"/>
      <x:c r="D6" s="169"/>
      <x:c r="E6" s="169"/>
      <x:c r="F6" s="169"/>
      <x:c r="G6" s="169" t="n">
        <x:f>SUM(G26,G30,G34,G38,G42,G46,G50,G54,G58,G62,G66,G70,G74,G78,G82,G86,G90,G94,G98,G102,G106,G110,G114)</x:f>
        <x:v>0</x:v>
      </x:c>
      <x:c r="H6" s="169" t="n">
        <x:f>SUM(H26,H30,H34,H38,H42,H46,H50,H54,H58,H62,H66,H70,H74,H78,H82,H86,H90,H94,H98,H102,H106,H110,H114)</x:f>
        <x:v>0</x:v>
      </x:c>
      <x:c r="I6" s="169" t="n">
        <x:f>SUM(I26,I30,I34,I38,I42,I46,I50,I54,I58,I62,I66,I70,I74,I78,I82,I86,I90,I94,I98,I102,I106,I110,I114)</x:f>
        <x:v>19707.731509608144</x:v>
      </x:c>
      <x:c r="J6" s="169" t="n">
        <x:f>SUM(J26,J30,J34,J38,J42,J46,J50,J54,J58,J62,J66,J70,J74,J78,J82,J86,J90,J94,J98,J102,J106,J110,J114)</x:f>
        <x:v>66702.6545346985</x:v>
      </x:c>
      <x:c r="K6" s="169" t="n">
        <x:f>SUM(K26,K30,K34,K38,K42,K46,K50,K54,K58,K62,K66,K70,K74,K78,K82,K86,K90,K94,K98,K102,K106,K110,K114)</x:f>
        <x:v>137955.90099739406</x:v>
      </x:c>
      <x:c r="L6" s="169" t="n">
        <x:f>SUM(L26,L30,L34,L38,L42,L46,L50,L54,L58,L62,L66,L70,L74,L78,L82,L86,L90,L94,L98,L102,L106,L110,L114)</x:f>
        <x:v>300875.8592646522</x:v>
      </x:c>
      <x:c r="M6" s="169" t="n">
        <x:f>SUM(M26,M30,M34,M38,M42,M46,M50,M54,M58,M62,M66,M70,M74,M78,M82,M86,M90,M94,M98,M102,M106,M110,M114)</x:f>
        <x:v>635903.559533943</x:v>
      </x:c>
      <x:c r="N6" s="169" t="n">
        <x:f>SUM(N26,N30,N34,N38,N42,N46,N50,N54,N58,N62,N66,N70,N74,N78,N82,N86,N90,N94,N98,N102,N106,N110,N114)</x:f>
        <x:v>1106839.3339180825</x:v>
      </x:c>
      <x:c r="O6" s="169" t="n">
        <x:f>SUM(O26,O30,O34,O38,O42,O46,O50,O54,O58,O62,O66,O70,O74,O78,O82,O86,O90,O94,O98,O102,O106,O110,O114)</x:f>
        <x:v>1507458.2296572602</x:v>
      </x:c>
      <x:c r="P6" s="169" t="n">
        <x:f>SUM(P26,P30,P34,P38,P42,P46,P50,P54,P58,P62,P66,P70,P74,P78,P82,P86,P90,P94,P98,P102,P106,P110,P114)</x:f>
        <x:v>1823342.4703155342</x:v>
      </x:c>
      <x:c r="Q6" s="169" t="n">
        <x:f>SUM(Q26,Q30,Q34,Q38,Q42,Q46,Q50,Q54,Q58,Q62,Q66,Q70,Q74,Q78,Q82,Q86,Q90,Q94,Q98,Q102,Q106,Q110,Q114)</x:f>
        <x:v>2062781.2791858409</x:v>
      </x:c>
      <x:c r="R6" s="169" t="n">
        <x:f>SUM(R26,R30,R34,R38,R42,R46,R50,R54,R58,R62,R66,R70,R74,R78,R82,R86,R90,R94,R98,R102,R106,R110,R114)</x:f>
        <x:v>2253472.7293294272</x:v>
      </x:c>
      <x:c r="S6" s="169" t="n">
        <x:f>SUM(S26,S30,S34,S38,S42,S46,S50,S54,S58,S62,S66,S70,S74,S78,S82,S86,S90,S94,S98,S102,S106,S110,S114)</x:f>
        <x:v>2435172.6366823073</x:v>
      </x:c>
      <x:c r="T6" s="169" t="n">
        <x:f>SUM(T26,T30,T34,T38,T42,T46,T50,T54,T58,T62,T66,T70,T74,T78,T82,T86,T90,T94,T98,T102,T106,T110,T114)</x:f>
        <x:v>2629986.4476168924</x:v>
      </x:c>
      <x:c r="U6" s="169" t="n">
        <x:f>SUM(U26,U30,U34,U38,U42,U46,U50,U54,U58,U62,U66,U70,U74,U78,U82,U86,U90,U94,U98,U102,U106,U110,U114)</x:f>
        <x:v>2840385.363426244</x:v>
      </x:c>
      <x:c r="V6" s="169" t="n">
        <x:f>SUM(V26,V30,V34,V38,V42,V46,V50,V54,V58,V62,V66,V70,V74,V78,V82,V86,V90,V94,V98,V102,V106,V110,V114)</x:f>
        <x:v>3067616.1925003435</x:v>
      </x:c>
      <x:c r="W6" s="169" t="n">
        <x:f>SUM(W26,W30,W34,W38,W42,W46,W50,W54,W58,W62,W66,W70,W74,W78,W82,W86,W90,W94,W98,W102,W106,W110,W114)</x:f>
        <x:v>3313025.487900371</x:v>
      </x:c>
      <x:c r="X6" s="169" t="n">
        <x:f>SUM(X26,X30,X34,X38,X42,X46,X50,X54,X58,X62,X66,X70,X74,X78,X82,X86,X90,X94,X98,X102,X106,X110,X114)</x:f>
        <x:v>3578067.5269324007</x:v>
      </x:c>
      <x:c r="Y6" s="169" t="n">
        <x:f>SUM(Y26,Y30,Y34,Y38,Y42,Y46,Y50,Y54,Y58,Y62,Y66,Y70,Y74,Y78,Y82,Y86,Y90,Y94,Y98,Y102,Y106,Y110,Y114)</x:f>
        <x:v>3864312.9290869934</x:v>
      </x:c>
      <x:c r="Z6" s="169" t="n">
        <x:f>SUM(Z26,Z30,Z34,Z38,Z42,Z46,Z50,Z54,Z58,Z62,Z66,Z70,Z74,Z78,Z82,Z86,Z90,Z94,Z98,Z102,Z106,Z110,Z114)</x:f>
        <x:v>4173457.963413954</x:v>
      </x:c>
      <x:c r="AA6" s="169" t="n">
        <x:f>SUM(AA26,AA30,AA34,AA38,AA42,AA46,AA50,AA54,AA58,AA62,AA66,AA70,AA74,AA78,AA82,AA86,AA90,AA94,AA98,AA102,AA106,AA110,AA114)</x:f>
        <x:v>4507334.600487069</x:v>
      </x:c>
      <x:c r="AB6" s="169" t="n">
        <x:f>SUM(AB26,AB30,AB34,AB38,AB42,AB46,AB50,AB54,AB58,AB62,AB66,AB70,AB74,AB78,AB82,AB86,AB90,AB94,AB98,AB102,AB106,AB110,AB114)</x:f>
        <x:v>4867921.368526036</x:v>
      </x:c>
      <x:c r="AC6" s="169" t="n">
        <x:f>SUM(AC26,AC30,AC34,AC38,AC42,AC46,AC50,AC54,AC58,AC62,AC66,AC70,AC74,AC78,AC82,AC86,AC90,AC94,AC98,AC102,AC106,AC110,AC114)</x:f>
        <x:v>5257355.078008119</x:v>
      </x:c>
    </x:row>
    <x:row r="7" ht="18" customHeight="1">
      <x:c r="A7" s="169" t="str">
        <x:v>Average net: networking/CPU</x:v>
      </x:c>
      <x:c r="B7" s="169"/>
      <x:c r="C7" s="169"/>
      <x:c r="D7" s="169"/>
      <x:c r="E7" s="169"/>
      <x:c r="F7" s="169"/>
      <x:c r="G7" s="169" t="n">
        <x:f>SUM(G118,G122,G126,G130,G134,G138,G142,G146,G150,G154,G158,G162,G166,G170,G174,G178,G182,G186,G190,G194,G198,G202,G206)</x:f>
        <x:v>0</x:v>
      </x:c>
      <x:c r="H7" s="169" t="n">
        <x:f>SUM(H118,H122,H126,H130,H134,H138,H142,H146,H150,H154,H158,H162,H166,H170,H174,H178,H182,H186,H190,H194,H198,H202,H206)</x:f>
        <x:v>0</x:v>
      </x:c>
      <x:c r="I7" s="169" t="n">
        <x:f>SUM(I118,I122,I126,I130,I134,I138,I142,I146,I150,I154,I158,I162,I166,I170,I174,I178,I182,I186,I190,I194,I198,I202,I206)</x:f>
        <x:v>11387.60331632111</x:v>
      </x:c>
      <x:c r="J7" s="169" t="n">
        <x:f>SUM(J118,J122,J126,J130,J134,J138,J142,J146,J150,J154,J158,J162,J166,J170,J174,J178,J182,J186,J190,J194,J198,J202,J206)</x:f>
        <x:v>39002.51021048638</x:v>
      </x:c>
      <x:c r="K7" s="169" t="n">
        <x:f>SUM(K118,K122,K126,K130,K134,K138,K142,K146,K150,K154,K158,K162,K166,K170,K174,K178,K182,K186,K190,K194,K198,K202,K206)</x:f>
        <x:v>81833.87166077997</x:v>
      </x:c>
      <x:c r="L7" s="169" t="n">
        <x:f>SUM(L118,L122,L126,L130,L134,L138,L142,L146,L150,L154,L158,L162,L166,L170,L174,L178,L182,L186,L190,L194,L198,L202,L206)</x:f>
        <x:v>179664.76341205862</x:v>
      </x:c>
      <x:c r="M7" s="169" t="n">
        <x:f>SUM(M118,M122,M126,M130,M134,M138,M142,M146,M150,M154,M158,M162,M166,M170,M174,M178,M182,M186,M190,M194,M198,M202,M206)</x:f>
        <x:v>381567.66631645674</x:v>
      </x:c>
      <x:c r="N7" s="169" t="n">
        <x:f>SUM(N118,N122,N126,N130,N134,N138,N142,N146,N150,N154,N158,N162,N166,N170,N174,N178,N182,N186,N190,N194,N198,N202,N206)</x:f>
        <x:v>670405.9056932399</x:v>
      </x:c>
      <x:c r="O7" s="169" t="n">
        <x:f>SUM(O118,O122,O126,O130,O134,O138,O142,O146,O150,O154,O158,O162,O166,O170,O174,O178,O182,O186,O190,O194,O198,O202,O206)</x:f>
        <x:v>930025.2418631648</x:v>
      </x:c>
      <x:c r="P7" s="169" t="n">
        <x:f>SUM(P118,P122,P126,P130,P134,P138,P142,P146,P150,P154,P158,P162,P166,P170,P174,P178,P182,P186,P190,P194,P198,P202,P206)</x:f>
        <x:v>1151963.9297140595</x:v>
      </x:c>
      <x:c r="Q7" s="169" t="n">
        <x:f>SUM(Q118,Q122,Q126,Q130,Q134,Q138,Q142,Q146,Q150,Q154,Q158,Q162,Q166,Q170,Q174,Q178,Q182,Q186,Q190,Q194,Q198,Q202,Q206)</x:f>
        <x:v>1336446.2205294874</x:v>
      </x:c>
      <x:c r="R7" s="169" t="n">
        <x:f>SUM(R118,R122,R126,R130,R134,R138,R142,R146,R150,R154,R158,R162,R166,R170,R174,R178,R182,R186,R190,R194,R198,R202,R206)</x:f>
        <x:v>1487599.226820295</x:v>
      </x:c>
      <x:c r="S7" s="169" t="n">
        <x:f>SUM(S118,S122,S126,S130,S134,S138,S142,S146,S150,S154,S158,S162,S166,S170,S174,S178,S182,S186,S190,S194,S198,S202,S206)</x:f>
        <x:v>1618742.550675997</x:v>
      </x:c>
      <x:c r="T7" s="169" t="n">
        <x:f>SUM(T118,T122,T126,T130,T134,T138,T142,T146,T150,T154,T158,T162,T166,T170,T174,T178,T182,T186,T190,T194,T198,T202,T206)</x:f>
        <x:v>1748914.2689494544</x:v>
      </x:c>
      <x:c r="U7" s="169" t="n">
        <x:f>SUM(U118,U122,U126,U130,U134,U138,U142,U146,U150,U154,U158,U162,U166,U170,U174,U178,U182,U186,U190,U194,U198,U202,U206)</x:f>
        <x:v>1888827.4104654107</x:v>
      </x:c>
      <x:c r="V7" s="169" t="n">
        <x:f>SUM(V118,V122,V126,V130,V134,V138,V142,V146,V150,V154,V158,V162,V166,V170,V174,V178,V182,V186,V190,V194,V198,V202,V206)</x:f>
        <x:v>2039933.6033026436</x:v>
      </x:c>
      <x:c r="W7" s="169" t="n">
        <x:f>SUM(W118,W122,W126,W130,W134,W138,W142,W146,W150,W154,W158,W162,W166,W170,W174,W178,W182,W186,W190,W194,W198,W202,W206)</x:f>
        <x:v>2203128.2915668553</x:v>
      </x:c>
      <x:c r="X7" s="169" t="n">
        <x:f>SUM(X118,X122,X126,X130,X134,X138,X142,X146,X150,X154,X158,X162,X166,X170,X174,X178,X182,X186,X190,X194,X198,X202,X206)</x:f>
        <x:v>2379378.554892204</x:v>
      </x:c>
      <x:c r="Y7" s="169" t="n">
        <x:f>SUM(Y118,Y122,Y126,Y130,Y134,Y138,Y142,Y146,Y150,Y154,Y158,Y162,Y166,Y170,Y174,Y178,Y182,Y186,Y190,Y194,Y198,Y202,Y206)</x:f>
        <x:v>2569728.83928358</x:v>
      </x:c>
      <x:c r="Z7" s="169" t="n">
        <x:f>SUM(Z118,Z122,Z126,Z130,Z134,Z138,Z142,Z146,Z150,Z154,Z158,Z162,Z166,Z170,Z174,Z178,Z182,Z186,Z190,Z194,Z198,Z202,Z206)</x:f>
        <x:v>2775307.1464262665</x:v>
      </x:c>
      <x:c r="AA7" s="169" t="n">
        <x:f>SUM(AA118,AA122,AA126,AA130,AA134,AA138,AA142,AA146,AA150,AA154,AA158,AA162,AA166,AA170,AA174,AA178,AA182,AA186,AA190,AA194,AA198,AA202,AA206)</x:f>
        <x:v>2997331.7181403683</x:v>
      </x:c>
      <x:c r="AB7" s="169" t="n">
        <x:f>SUM(AB118,AB122,AB126,AB130,AB134,AB138,AB142,AB146,AB150,AB154,AB158,AB162,AB166,AB170,AB174,AB178,AB182,AB186,AB190,AB194,AB198,AB202,AB206)</x:f>
        <x:v>3237118.2555915983</x:v>
      </x:c>
      <x:c r="AC7" s="169" t="n">
        <x:f>SUM(AC118,AC122,AC126,AC130,AC134,AC138,AC142,AC146,AC150,AC154,AC158,AC162,AC166,AC170,AC174,AC178,AC182,AC186,AC190,AC194,AC198,AC202,AC206)</x:f>
        <x:v>3496087.7160389265</x:v>
      </x:c>
    </x:row>
    <x:row r="8" ht="18" customHeight="1">
      <x:c r="A8" s="169" t="str">
        <x:v>Average net: hard assets</x:v>
      </x:c>
      <x:c r="B8" s="169"/>
      <x:c r="C8" s="169"/>
      <x:c r="D8" s="169"/>
      <x:c r="E8" s="169"/>
      <x:c r="F8" s="169"/>
      <x:c r="G8" s="169" t="n">
        <x:f>SUM(G210,G214,G218,G222,G226,G230,G234,G238,G242,G246,G250,G254,G258,G262,G266,G270,G274,G278,G282,G286,G290,G294,G298)</x:f>
        <x:v>0</x:v>
      </x:c>
      <x:c r="H8" s="169" t="n">
        <x:f>SUM(H210,H214,H218,H222,H226,H230,H234,H238,H242,H246,H250,H254,H258,H262,H266,H270,H274,H278,H282,H286,H290,H294,H298)</x:f>
        <x:v>0</x:v>
      </x:c>
      <x:c r="I8" s="169" t="n">
        <x:f>SUM(I210,I214,I218,I222,I226,I230,I234,I238,I242,I246,I250,I254,I258,I262,I266,I270,I274,I278,I282,I286,I290,I294,I298)</x:f>
        <x:v>18856.887970846034</x:v>
      </x:c>
      <x:c r="J8" s="169" t="n">
        <x:f>SUM(J210,J214,J218,J222,J226,J230,J234,J238,J242,J246,J250,J254,J258,J262,J266,J270,J274,J278,J282,J286,J290,J294,J298)</x:f>
        <x:v>66712.83977502835</x:v>
      </x:c>
      <x:c r="K8" s="169" t="n">
        <x:f>SUM(K210,K214,K218,K222,K226,K230,K234,K238,K242,K246,K250,K254,K258,K262,K266,K270,K274,K278,K282,K286,K290,K294,K298)</x:f>
        <x:v>145313.3603982273</x:v>
      </x:c>
      <x:c r="L8" s="169" t="n">
        <x:f>SUM(L210,L214,L218,L222,L226,L230,L234,L238,L242,L246,L250,L254,L258,L262,L266,L270,L274,L278,L282,L286,L290,L294,L298)</x:f>
        <x:v>324387.97684942285</x:v>
      </x:c>
      <x:c r="M8" s="169" t="n">
        <x:f>SUM(M210,M214,M218,M222,M226,M230,M234,M238,M242,M246,M250,M254,M258,M262,M266,M270,M274,M278,M282,M286,M290,M294,M298)</x:f>
        <x:v>697183.5000880407</x:v>
      </x:c>
      <x:c r="N8" s="169" t="n">
        <x:f>SUM(N210,N214,N218,N222,N226,N230,N234,N238,N242,N246,N250,N254,N258,N262,N266,N270,N274,N278,N282,N286,N290,N294,N298)</x:f>
        <x:v>1258659.9375780155</x:v>
      </x:c>
      <x:c r="O8" s="169" t="n">
        <x:f>SUM(O210,O214,O218,O222,O226,O230,O234,O238,O242,O246,O250,O254,O258,O262,O266,O270,O274,O278,O282,O286,O290,O294,O298)</x:f>
        <x:v>1839139.1571650982</x:v>
      </x:c>
      <x:c r="P8" s="169" t="n">
        <x:f>SUM(P210,P214,P218,P222,P226,P230,P234,P238,P242,P246,P250,P254,P258,P262,P266,P270,P274,P278,P282,P286,P290,P294,P298)</x:f>
        <x:v>2427050.5759723834</x:v>
      </x:c>
      <x:c r="Q8" s="169" t="n">
        <x:f>SUM(Q210,Q214,Q218,Q222,Q226,Q230,Q234,Q238,Q242,Q246,Q250,Q254,Q258,Q262,Q266,Q270,Q274,Q278,Q282,Q286,Q290,Q294,Q298)</x:f>
        <x:v>3022988.7699374864</x:v>
      </x:c>
      <x:c r="R8" s="169" t="n">
        <x:f>SUM(R210,R214,R218,R222,R226,R230,R234,R238,R242,R246,R250,R254,R258,R262,R266,R270,R274,R278,R282,R286,R290,R294,R298)</x:f>
        <x:v>3627595.8810730344</x:v>
      </x:c>
      <x:c r="S8" s="169" t="n">
        <x:f>SUM(S210,S214,S218,S222,S226,S230,S234,S238,S242,S246,S250,S254,S258,S262,S266,S270,S274,S278,S282,S286,S290,S294,S298)</x:f>
        <x:v>4241565.422752661</x:v>
      </x:c>
      <x:c r="T8" s="169" t="n">
        <x:f>SUM(T210,T214,T218,T222,T226,T230,T234,T238,T242,T246,T250,T254,T258,T262,T266,T270,T274,T278,T282,T286,T290,T294,T298)</x:f>
        <x:v>4865646.389419893</x:v>
      </x:c>
      <x:c r="U8" s="169" t="n">
        <x:f>SUM(U210,U214,U218,U222,U226,U230,U234,U238,U242,U246,U250,U254,U258,U262,U266,U270,U274,U278,U282,U286,U290,U294,U298)</x:f>
        <x:v>5500647.695073739</x:v>
      </x:c>
      <x:c r="V8" s="169" t="n">
        <x:f>SUM(V210,V214,V218,V222,V226,V230,V234,V238,V242,V246,V250,V254,V258,V262,V266,V270,V274,V278,V282,V286,V290,V294,V298)</x:f>
        <x:v>6147442.966833129</x:v>
      </x:c>
      <x:c r="W8" s="169" t="n">
        <x:f>SUM(W210,W214,W218,W222,W226,W230,W234,W238,W242,W246,W250,W254,W258,W262,W266,W270,W274,W278,W282,W286,W290,W294,W298)</x:f>
        <x:v>6806975.721986506</x:v>
      </x:c>
      <x:c r="X8" s="169" t="n">
        <x:f>SUM(X210,X214,X218,X222,X226,X230,X234,X238,X242,X246,X250,X254,X258,X262,X266,X270,X274,X278,X282,X286,X290,X294,X298)</x:f>
        <x:v>7480915.196721625</x:v>
      </x:c>
      <x:c r="Y8" s="169" t="n">
        <x:f>SUM(Y210,Y214,Y218,Y222,Y226,Y230,Y234,Y238,Y242,Y246,Y250,Y254,Y258,Y262,Y266,Y270,Y274,Y278,Y282,Y286,Y290,Y294,Y298)</x:f>
        <x:v>8172056.958804989</x:v>
      </x:c>
      <x:c r="Z8" s="169" t="n">
        <x:f>SUM(Z210,Z214,Z218,Z222,Z226,Z230,Z234,Z238,Z242,Z246,Z250,Z254,Z258,Z262,Z266,Z270,Z274,Z278,Z282,Z286,Z290,Z294,Z298)</x:f>
        <x:v>8883811.437462486</x:v>
      </x:c>
      <x:c r="AA8" s="169" t="n">
        <x:f>SUM(AA210,AA214,AA218,AA222,AA226,AA230,AA234,AA238,AA242,AA246,AA250,AA254,AA258,AA262,AA266,AA270,AA274,AA278,AA282,AA286,AA290,AA294,AA298)</x:f>
        <x:v>9622302.035356639</x:v>
      </x:c>
      <x:c r="AB8" s="169" t="n">
        <x:f>SUM(AB210,AB214,AB218,AB222,AB226,AB230,AB234,AB238,AB242,AB246,AB250,AB254,AB258,AB262,AB266,AB270,AB274,AB278,AB282,AB286,AB290,AB294,AB298)</x:f>
        <x:v>10399708.496861944</x:v>
      </x:c>
      <x:c r="AC8" s="169" t="n">
        <x:f>SUM(AC210,AC214,AC218,AC222,AC226,AC230,AC234,AC238,AC242,AC246,AC250,AC254,AC258,AC262,AC266,AC270,AC274,AC278,AC282,AC286,AC290,AC294,AC298)</x:f>
        <x:v>11232107.4606575</x:v>
      </x:c>
    </x:row>
    <x:row r="9" ht="18" customHeight="1">
      <x:c r="A9" s="169" t="str">
        <x:v>Average net assets: total</x:v>
      </x:c>
      <x:c r="B9" s="169"/>
      <x:c r="C9" s="169"/>
      <x:c r="D9" s="169"/>
      <x:c r="E9" s="169"/>
      <x:c r="F9" s="169"/>
      <x:c r="G9" s="169" t="n">
        <x:f>SUM(G6:G8)</x:f>
        <x:v>0</x:v>
      </x:c>
      <x:c r="H9" s="169" t="n">
        <x:f>SUM(H6:H8)</x:f>
        <x:v>0</x:v>
      </x:c>
      <x:c r="I9" s="169" t="n">
        <x:f>SUM(I6:I8)</x:f>
        <x:v>49952.222796775284</x:v>
      </x:c>
      <x:c r="J9" s="169" t="n">
        <x:f>SUM(J6:J8)</x:f>
        <x:v>172418.00452021323</x:v>
      </x:c>
      <x:c r="K9" s="169" t="n">
        <x:f>SUM(K6:K8)</x:f>
        <x:v>365103.13305640133</x:v>
      </x:c>
      <x:c r="L9" s="169" t="n">
        <x:f>SUM(L6:L8)</x:f>
        <x:v>804928.5995261336</x:v>
      </x:c>
      <x:c r="M9" s="169" t="n">
        <x:f>SUM(M6:M8)</x:f>
        <x:v>1714654.7259384403</x:v>
      </x:c>
      <x:c r="N9" s="169" t="n">
        <x:f>SUM(N6:N8)</x:f>
        <x:v>3035905.177189338</x:v>
      </x:c>
      <x:c r="O9" s="169" t="n">
        <x:f>SUM(O6:O8)</x:f>
        <x:v>4276622.628685523</x:v>
      </x:c>
      <x:c r="P9" s="169" t="n">
        <x:f>SUM(P6:P8)</x:f>
        <x:v>5402356.976001977</x:v>
      </x:c>
      <x:c r="Q9" s="169" t="n">
        <x:f>SUM(Q6:Q8)</x:f>
        <x:v>6422216.269652815</x:v>
      </x:c>
      <x:c r="R9" s="169" t="n">
        <x:f>SUM(R6:R8)</x:f>
        <x:v>7368667.837222757</x:v>
      </x:c>
      <x:c r="S9" s="169" t="n">
        <x:f>SUM(S6:S8)</x:f>
        <x:v>8295480.610110965</x:v>
      </x:c>
      <x:c r="T9" s="169" t="n">
        <x:f>SUM(T6:T8)</x:f>
        <x:v>9244547.10598624</x:v>
      </x:c>
      <x:c r="U9" s="169" t="n">
        <x:f>SUM(U6:U8)</x:f>
        <x:v>10229860.468965393</x:v>
      </x:c>
      <x:c r="V9" s="169" t="n">
        <x:f>SUM(V6:V8)</x:f>
        <x:v>11254992.762636116</x:v>
      </x:c>
      <x:c r="W9" s="169" t="n">
        <x:f>SUM(W6:W8)</x:f>
        <x:v>12323129.501453733</x:v>
      </x:c>
      <x:c r="X9" s="169" t="n">
        <x:f>SUM(X6:X8)</x:f>
        <x:v>13438361.278546229</x:v>
      </x:c>
      <x:c r="Y9" s="169" t="n">
        <x:f>SUM(Y6:Y8)</x:f>
        <x:v>14606098.727175564</x:v>
      </x:c>
      <x:c r="Z9" s="169" t="n">
        <x:f>SUM(Z6:Z8)</x:f>
        <x:v>15832576.547302706</x:v>
      </x:c>
      <x:c r="AA9" s="169" t="n">
        <x:f>SUM(AA6:AA8)</x:f>
        <x:v>17126968.353984077</x:v>
      </x:c>
      <x:c r="AB9" s="169" t="n">
        <x:f>SUM(AB6:AB8)</x:f>
        <x:v>18504748.120979577</x:v>
      </x:c>
      <x:c r="AC9" s="169" t="n">
        <x:f>SUM(AC6:AC8)</x:f>
        <x:v>19985550.254704546</x:v>
      </x:c>
    </x:row>
    <x:row r="10" ht="18" customHeight="1">
      <x:c r="A10" s="169"/>
      <x:c r="B10" s="169"/>
      <x:c r="C10" s="169"/>
      <x:c r="D10" s="169"/>
      <x:c r="E10" s="169"/>
      <x:c r="F10" s="169"/>
      <x:c r="G10" s="169"/>
      <x:c r="H10" s="169"/>
      <x:c r="I10" s="169"/>
      <x:c r="J10" s="169"/>
      <x:c r="K10" s="169"/>
      <x:c r="L10" s="169"/>
      <x:c r="M10" s="169"/>
      <x:c r="N10" s="169"/>
      <x:c r="O10" s="169"/>
      <x:c r="P10" s="169"/>
      <x:c r="Q10" s="169"/>
      <x:c r="R10" s="169"/>
      <x:c r="S10" s="169"/>
      <x:c r="T10" s="169"/>
      <x:c r="U10" s="169"/>
      <x:c r="V10" s="169"/>
      <x:c r="W10" s="169"/>
      <x:c r="X10" s="169"/>
      <x:c r="Y10" s="169"/>
      <x:c r="Z10" s="169"/>
      <x:c r="AA10" s="169"/>
      <x:c r="AB10" s="169"/>
      <x:c r="AC10" s="169"/>
    </x:row>
    <x:row r="11" ht="18" customHeight="1">
      <x:c r="A11" s="169" t="str">
        <x:v>Depreciation: chips</x:v>
      </x:c>
      <x:c r="B11" s="169"/>
      <x:c r="C11" s="169"/>
      <x:c r="D11" s="169"/>
      <x:c r="E11" s="169"/>
      <x:c r="F11" s="169"/>
      <x:c r="G11" s="169" t="n">
        <x:f>SUM(G24,G28,G32,G36,G40,G44,G48,G52,G56,G60,G64,G68,G72,G76,G80,G84,G88,G92,G96,G100,G104,G108,G112)</x:f>
        <x:v>0</x:v>
      </x:c>
      <x:c r="H11" s="169" t="n">
        <x:f>SUM(H24,H28,H32,H36,H40,H44,H48,H52,H56,H60,H64,H68,H72,H76,H80,H84,H88,H92,H96,H100,H104,H108,H112)</x:f>
        <x:v>0</x:v>
      </x:c>
      <x:c r="I11" s="169" t="n">
        <x:f>SUM(I24,I28,I32,I36,I40,I44,I48,I52,I56,I60,I64,I68,I72,I76,I80,I84,I88,I92,I96,I100,I104,I108,I112)</x:f>
        <x:v>4379.495891024032</x:v>
      </x:c>
      <x:c r="J11" s="169" t="n">
        <x:f>SUM(J24,J28,J32,J36,J40,J44,J48,J52,J56,J60,J64,J68,J72,J76,J80,J84,J88,J92,J96,J100,J104,J108,J112)</x:f>
        <x:v>15796.033427938342</x:v>
      </x:c>
      <x:c r="K11" s="169" t="n">
        <x:f>SUM(K24,K28,K32,K36,K40,K44,K48,K52,K56,K60,K64,K68,K72,K76,K80,K84,K88,K92,K96,K100,K104,K108,K112)</x:f>
        <x:v>35140.31784807921</x:v>
      </x:c>
      <x:c r="L11" s="169" t="n">
        <x:f>SUM(L24,L28,L32,L36,L40,L44,L48,L52,L56,L60,L64,L68,L72,L76,L80,L84,L88,L92,L96,L100,L104,L108,L112)</x:f>
        <x:v>79153.71254037641</x:v>
      </x:c>
      <x:c r="M11" s="169" t="n">
        <x:f>SUM(M24,M28,M32,M36,M40,M44,M48,M52,M56,M60,M64,M68,M72,M76,M80,M84,M88,M92,M96,M100,M104,M108,M112)</x:f>
        <x:v>171194.0264980802</x:v>
      </x:c>
      <x:c r="N11" s="169" t="n">
        <x:f>SUM(N24,N28,N32,N36,N40,N44,N48,N52,N56,N60,N64,N68,N72,N76,N80,N84,N88,N92,N96,N100,N104,N108,N112)</x:f>
        <x:v>309023.43125965784</x:v>
      </x:c>
      <x:c r="O11" s="169" t="n">
        <x:f>SUM(O24,O28,O32,O36,O40,O44,O48,O52,O56,O60,O64,O68,O72,O76,O80,O84,O88,O92,O96,O100,O104,O108,O112)</x:f>
        <x:v>454036.6844406055</x:v>
      </x:c>
      <x:c r="P11" s="169" t="n">
        <x:f>SUM(P24,P28,P32,P36,P40,P44,P48,P52,P56,P60,P64,P68,P72,P76,P80,P84,P88,P92,P96,P100,P104,P108,P112)</x:f>
        <x:v>603636.5739957555</x:v>
      </x:c>
      <x:c r="Q11" s="169" t="n">
        <x:f>SUM(Q24,Q28,Q32,Q36,Q40,Q44,Q48,Q52,Q56,Q60,Q64,Q68,Q72,Q76,Q80,Q84,Q88,Q92,Q96,Q100,Q104,Q108,Q112)</x:f>
        <x:v>742082.8871967723</x:v>
      </x:c>
      <x:c r="R11" s="169" t="n">
        <x:f>SUM(R24,R28,R32,R36,R40,R44,R48,R52,R56,R60,R64,R68,R72,R76,R80,R84,R88,R92,R96,R100,R104,R108,R112)</x:f>
        <x:v>847099.0577638478</x:v>
      </x:c>
      <x:c r="S11" s="169" t="n">
        <x:f>SUM(S24,S28,S32,S36,S40,S44,S48,S52,S56,S60,S64,S68,S72,S76,S80,S84,S88,S92,S96,S100,S104,S108,S112)</x:f>
        <x:v>917711.1603980078</x:v>
      </x:c>
      <x:c r="T11" s="169" t="n">
        <x:f>SUM(T24,T28,T32,T36,T40,T44,T48,T52,T56,T60,T64,T68,T72,T76,T80,T84,T88,T92,T96,T100,T104,T108,T112)</x:f>
        <x:v>991128.0532298484</x:v>
      </x:c>
      <x:c r="U11" s="169" t="n">
        <x:f>SUM(U24,U28,U32,U36,U40,U44,U48,U52,U56,U60,U64,U68,U72,U76,U80,U84,U88,U92,U96,U100,U104,U108,U112)</x:f>
        <x:v>1070418.2974882366</x:v>
      </x:c>
      <x:c r="V11" s="169" t="n">
        <x:f>SUM(V24,V28,V32,V36,V40,V44,V48,V52,V56,V60,V64,V68,V72,V76,V80,V84,V88,V92,V96,V100,V104,V108,V112)</x:f>
        <x:v>1156051.7612872953</x:v>
      </x:c>
      <x:c r="W11" s="169" t="n">
        <x:f>SUM(W24,W28,W32,W36,W40,W44,W48,W52,W56,W60,W64,W68,W72,W76,W80,W84,W88,W92,W96,W100,W104,W108,W112)</x:f>
        <x:v>1248535.9021902792</x:v>
      </x:c>
      <x:c r="X11" s="169" t="n">
        <x:f>SUM(X24,X28,X32,X36,X40,X44,X48,X52,X56,X60,X64,X68,X72,X76,X80,X84,X88,X92,X96,X100,X104,X108,X112)</x:f>
        <x:v>1348418.7743655015</x:v>
      </x:c>
      <x:c r="Y11" s="169" t="n">
        <x:f>SUM(Y24,Y28,Y32,Y36,Y40,Y44,Y48,Y52,Y56,Y60,Y64,Y68,Y72,Y76,Y80,Y84,Y88,Y92,Y96,Y100,Y104,Y108,Y112)</x:f>
        <x:v>1456292.2763147415</x:v>
      </x:c>
      <x:c r="Z11" s="169" t="n">
        <x:f>SUM(Z24,Z28,Z32,Z36,Z40,Z44,Z48,Z52,Z56,Z60,Z64,Z68,Z72,Z76,Z80,Z84,Z88,Z92,Z96,Z100,Z104,Z108,Z112)</x:f>
        <x:v>1572795.658419921</x:v>
      </x:c>
      <x:c r="AA11" s="169" t="n">
        <x:f>SUM(AA24,AA28,AA32,AA36,AA40,AA44,AA48,AA52,AA56,AA60,AA64,AA68,AA72,AA76,AA80,AA84,AA88,AA92,AA96,AA100,AA104,AA108,AA112)</x:f>
        <x:v>1698619.3110935148</x:v>
      </x:c>
      <x:c r="AB11" s="169" t="n">
        <x:f>SUM(AB24,AB28,AB32,AB36,AB40,AB44,AB48,AB52,AB56,AB60,AB64,AB68,AB72,AB76,AB80,AB84,AB88,AB92,AB96,AB100,AB104,AB108,AB112)</x:f>
        <x:v>1834508.855980996</x:v>
      </x:c>
      <x:c r="AC11" s="169" t="n">
        <x:f>SUM(AC24,AC28,AC32,AC36,AC40,AC44,AC48,AC52,AC56,AC60,AC64,AC68,AC72,AC76,AC80,AC84,AC88,AC92,AC96,AC100,AC104,AC108,AC112)</x:f>
        <x:v>1981269.564459476</x:v>
      </x:c>
    </x:row>
    <x:row r="12" ht="18" customHeight="1">
      <x:c r="A12" s="169" t="str">
        <x:v>Depreciation: networking/CPU</x:v>
      </x:c>
      <x:c r="B12" s="169"/>
      <x:c r="C12" s="169"/>
      <x:c r="D12" s="169"/>
      <x:c r="E12" s="169"/>
      <x:c r="F12" s="169"/>
      <x:c r="G12" s="169" t="n">
        <x:f>SUM(G116,G120,G124,G128,G132,G136,G140,G144,G148,G152,G156,G160,G164,G168,G172,G176,G180,G184,G188,G192,G196,G200,G204)</x:f>
        <x:v>0</x:v>
      </x:c>
      <x:c r="H12" s="169" t="n">
        <x:f>SUM(H116,H120,H124,H128,H132,H136,H140,H144,H148,H152,H156,H160,H164,H168,H172,H176,H180,H184,H188,H192,H196,H200,H204)</x:f>
        <x:v>0</x:v>
      </x:c>
      <x:c r="I12" s="169" t="n">
        <x:f>SUM(I116,I120,I124,I128,I132,I136,I140,I144,I148,I152,I156,I160,I164,I168,I172,I176,I180,I184,I188,I192,I196,I200,I204)</x:f>
        <x:v>2070.473330240202</x:v>
      </x:c>
      <x:c r="J12" s="169" t="n">
        <x:f>SUM(J116,J120,J124,J128,J132,J136,J140,J144,J148,J152,J156,J160,J164,J168,J172,J176,J180,J184,J188,J192,J196,J200,J204)</x:f>
        <x:v>7467.815189223015</x:v>
      </x:c>
      <x:c r="K12" s="169" t="n">
        <x:f>SUM(K116,K120,K124,K128,K132,K136,K140,K144,K148,K152,K156,K160,K164,K168,K172,K176,K180,K184,K188,K192,K196,K200,K204)</x:f>
        <x:v>16613.12003277149</x:v>
      </x:c>
      <x:c r="L12" s="169" t="n">
        <x:f>SUM(L116,L120,L124,L128,L132,L136,L140,L144,L148,L152,L156,L160,L164,L168,L172,L176,L180,L184,L188,L192,L196,L200,L204)</x:f>
        <x:v>37421.12217532606</x:v>
      </x:c>
      <x:c r="M12" s="169" t="n">
        <x:f>SUM(M116,M120,M124,M128,M132,M136,M140,M144,M148,M152,M156,M160,M164,M168,M172,M176,M180,M184,M188,M192,M196,M200,M204)</x:f>
        <x:v>80934.58128073046</x:v>
      </x:c>
      <x:c r="N12" s="169" t="n">
        <x:f>SUM(N116,N120,N124,N128,N132,N136,N140,N144,N148,N152,N156,N160,N164,N168,N172,N176,N180,N184,N188,N192,N196,N200,N204)</x:f>
        <x:v>148166.0032184602</x:v>
      </x:c>
      <x:c r="O12" s="169" t="n">
        <x:f>SUM(O116,O120,O124,O128,O132,O136,O140,O144,O148,O152,O156,O160,O164,O168,O172,O176,O180,O184,O188,O192,O196,O200,O204)</x:f>
        <x:v>220050.09401972272</x:v>
      </x:c>
      <x:c r="P12" s="169" t="n">
        <x:f>SUM(P116,P120,P124,P128,P132,P136,P140,P144,P148,P152,P156,P160,P164,P168,P172,P176,P180,P184,P188,P192,P196,P200,P204)</x:f>
        <x:v>294523.6814227628</x:v>
      </x:c>
      <x:c r="Q12" s="169" t="n">
        <x:f>SUM(Q116,Q120,Q124,Q128,Q132,Q136,Q140,Q144,Q148,Q152,Q156,Q160,Q164,Q168,Q172,Q176,Q180,Q184,Q188,Q192,Q196,Q200,Q204)</x:f>
        <x:v>371638.98018219916</x:v>
      </x:c>
      <x:c r="R12" s="169" t="n">
        <x:f>SUM(R116,R120,R124,R128,R132,R136,R140,R144,R148,R152,R156,R160,R164,R168,R172,R176,R180,R184,R188,R192,R196,R200,R204)</x:f>
        <x:v>443992.4299308681</x:v>
      </x:c>
      <x:c r="S12" s="169" t="n">
        <x:f>SUM(S116,S120,S124,S128,S132,S136,S140,S144,S148,S152,S156,S160,S164,S168,S172,S176,S180,S184,S188,S192,S196,S200,S204)</x:f>
        <x:v>501093.33886798524</x:v>
      </x:c>
      <x:c r="T12" s="169" t="n">
        <x:f>SUM(T116,T120,T124,T128,T132,T136,T140,T144,T148,T152,T156,T160,T164,T168,T172,T176,T180,T184,T188,T192,T196,T200,T204)</x:f>
        <x:v>542525.4344161786</x:v>
      </x:c>
      <x:c r="U12" s="169" t="n">
        <x:f>SUM(U116,U120,U124,U128,U132,U136,U140,U144,U148,U152,U156,U160,U164,U168,U172,U176,U180,U184,U188,U192,U196,U200,U204)</x:f>
        <x:v>585927.4691694729</x:v>
      </x:c>
      <x:c r="V12" s="169" t="n">
        <x:f>SUM(V116,V120,V124,V128,V132,V136,V140,V144,V148,V152,V156,V160,V164,V168,V172,V176,V180,V184,V188,V192,V196,V200,V204)</x:f>
        <x:v>632801.6667030308</x:v>
      </x:c>
      <x:c r="W12" s="169" t="n">
        <x:f>SUM(W116,W120,W124,W128,W132,W136,W140,W144,W148,W152,W156,W160,W164,W168,W172,W176,W180,W184,W188,W192,W196,W200,W204)</x:f>
        <x:v>683425.8000392732</x:v>
      </x:c>
      <x:c r="X12" s="169" t="n">
        <x:f>SUM(X116,X120,X124,X128,X132,X136,X140,X144,X148,X152,X156,X160,X164,X168,X172,X176,X180,X184,X188,X192,X196,X200,X204)</x:f>
        <x:v>738099.8640424152</x:v>
      </x:c>
      <x:c r="Y12" s="169" t="n">
        <x:f>SUM(Y116,Y120,Y124,Y128,Y132,Y136,Y140,Y144,Y148,Y152,Y156,Y160,Y164,Y168,Y172,Y176,Y180,Y184,Y188,Y192,Y196,Y200,Y204)</x:f>
        <x:v>797147.8531658085</x:v>
      </x:c>
      <x:c r="Z12" s="169" t="n">
        <x:f>SUM(Z116,Z120,Z124,Z128,Z132,Z136,Z140,Z144,Z148,Z152,Z156,Z160,Z164,Z168,Z172,Z176,Z180,Z184,Z188,Z192,Z196,Z200,Z204)</x:f>
        <x:v>860919.6814190731</x:v>
      </x:c>
      <x:c r="AA12" s="169" t="n">
        <x:f>SUM(AA116,AA120,AA124,AA128,AA132,AA136,AA140,AA144,AA148,AA152,AA156,AA160,AA164,AA168,AA172,AA176,AA180,AA184,AA188,AA192,AA196,AA200,AA204)</x:f>
        <x:v>929793.2559325991</x:v>
      </x:c>
      <x:c r="AB12" s="169" t="n">
        <x:f>SUM(AB116,AB120,AB124,AB128,AB132,AB136,AB140,AB144,AB148,AB152,AB156,AB160,AB164,AB168,AB172,AB176,AB180,AB184,AB188,AB192,AB196,AB200,AB204)</x:f>
        <x:v>1004176.7164072071</x:v>
      </x:c>
      <x:c r="AC12" s="169" t="n">
        <x:f>SUM(AC116,AC120,AC124,AC128,AC132,AC136,AC140,AC144,AC148,AC152,AC156,AC160,AC164,AC168,AC172,AC176,AC180,AC184,AC188,AC192,AC196,AC200,AC204)</x:f>
        <x:v>1084510.8537197837</x:v>
      </x:c>
    </x:row>
    <x:row r="13" ht="18" customHeight="1">
      <x:c r="A13" s="169" t="str">
        <x:v>Depreciation: hard assets</x:v>
      </x:c>
      <x:c r="B13" s="169"/>
      <x:c r="C13" s="169"/>
      <x:c r="D13" s="169"/>
      <x:c r="E13" s="169"/>
      <x:c r="F13" s="169"/>
      <x:c r="G13" s="169" t="n">
        <x:f>SUM(G208,G212,G216,G220,G224,G228,G232,G236,G240,G244,G248,G252,G256,G260,G264,G268,G272,G276,G280,G284,G288,G292,G296)</x:f>
        <x:v>0</x:v>
      </x:c>
      <x:c r="H13" s="169" t="n">
        <x:f>SUM(H208,H212,H216,H220,H224,H228,H232,H236,H240,H244,H248,H252,H256,H260,H264,H268,H272,H276,H280,H284,H288,H292,H296)</x:f>
        <x:v>0</x:v>
      </x:c>
      <x:c r="I13" s="169" t="n">
        <x:f>SUM(I208,I212,I216,I220,I224,I228,I232,I236,I240,I244,I248,I252,I256,I260,I264,I268,I272,I276,I280,I284,I288,I292,I296)</x:f>
        <x:v>1300.4750324721401</x:v>
      </x:c>
      <x:c r="J13" s="169" t="n">
        <x:f>SUM(J208,J212,J216,J220,J224,J228,J232,J236,J240,J244,J248,J252,J256,J260,J264,J268,J272,J276,J280,J284,J288,J292,J296)</x:f>
        <x:v>4690.573435000034</x:v>
      </x:c>
      <x:c r="K13" s="169" t="n">
        <x:f>SUM(K208,K212,K216,K220,K224,K228,K232,K236,K240,K244,K248,K252,K256,K260,K264,K268,K272,K276,K280,K284,K288,K292,K296)</x:f>
        <x:v>10434.786818324103</x:v>
      </x:c>
      <x:c r="L13" s="169" t="n">
        <x:f>SUM(L208,L212,L216,L220,L224,L228,L232,L236,L240,L244,L248,L252,L256,L260,L264,L268,L272,L276,L280,L284,L288,L292,L296)</x:f>
        <x:v>23504.400836911664</x:v>
      </x:c>
      <x:c r="M13" s="169" t="n">
        <x:f>SUM(M208,M212,M216,M220,M224,M228,M232,M236,M240,M244,M248,M252,M256,M260,M264,M268,M272,M276,M280,M284,M288,M292,M296)</x:f>
        <x:v>50835.4300834999</x:v>
      </x:c>
      <x:c r="N13" s="169" t="n">
        <x:f>SUM(N208,N212,N216,N220,N224,N228,N232,N236,N240,N244,N248,N252,N256,N260,N264,N268,N272,N276,N280,N284,N288,N292,N296)</x:f>
        <x:v>93063.83474373954</x:v>
      </x:c>
      <x:c r="O13" s="169" t="n">
        <x:f>SUM(O208,O212,O216,O220,O224,O228,O232,O236,O240,O244,O248,O252,O256,O260,O264,O268,O272,O276,O280,O284,O288,O292,O296)</x:f>
        <x:v>139515.07987000316</x:v>
      </x:c>
      <x:c r="P13" s="169" t="n">
        <x:f>SUM(P208,P212,P216,P220,P224,P228,P232,P236,P240,P244,P248,P252,P256,P260,P264,P268,P272,P276,P280,P284,P288,P292,P296)</x:f>
        <x:v>189682.42460636786</x:v>
      </x:c>
      <x:c r="Q13" s="169" t="n">
        <x:f>SUM(Q208,Q212,Q216,Q220,Q224,Q228,Q232,Q236,Q240,Q244,Q248,Q252,Q256,Q260,Q264,Q268,Q272,Q276,Q280,Q284,Q288,Q292,Q296)</x:f>
        <x:v>243863.15692164173</x:v>
      </x:c>
      <x:c r="R13" s="169" t="n">
        <x:f>SUM(R208,R212,R216,R220,R224,R228,R232,R236,R240,R244,R248,R252,R256,R260,R264,R268,R272,R276,R280,R284,R288,R292,R296)</x:f>
        <x:v>302378.3478221375</x:v>
      </x:c>
      <x:c r="S13" s="169" t="n">
        <x:f>SUM(S208,S212,S216,S220,S224,S228,S232,S236,S240,S244,S248,S252,S256,S260,S264,S268,S272,S276,S280,S284,S288,S292,S296)</x:f>
        <x:v>365574.75399467297</x:v>
      </x:c>
      <x:c r="T13" s="169" t="n">
        <x:f>SUM(T208,T212,T216,T220,T224,T228,T232,T236,T240,T244,T248,T252,T256,T260,T264,T268,T272,T276,T280,T284,T288,T292,T296)</x:f>
        <x:v>433826.8726610113</x:v>
      </x:c>
      <x:c r="U13" s="169" t="n">
        <x:f>SUM(U208,U212,U216,U220,U224,U228,U232,U236,U240,U244,U248,U252,U256,U260,U264,U268,U272,U276,U280,U284,U288,U292,U296)</x:f>
        <x:v>507539.1608206567</x:v>
      </x:c>
      <x:c r="V13" s="169" t="n">
        <x:f>SUM(V208,V212,V216,V220,V224,V228,V232,V236,V240,V244,V248,V252,V256,V260,V264,V268,V272,V276,V280,V284,V288,V292,V296)</x:f>
        <x:v>587148.4320330736</x:v>
      </x:c>
      <x:c r="W13" s="169" t="n">
        <x:f>SUM(W208,W212,W216,W220,W224,W228,W232,W236,W240,W244,W248,W252,W256,W260,W264,W268,W272,W276,W280,W284,W288,W292,W296)</x:f>
        <x:v>673126.444942484</x:v>
      </x:c>
      <x:c r="X13" s="169" t="n">
        <x:f>SUM(X208,X212,X216,X220,X224,X228,X232,X236,X240,X244,X248,X252,X256,X260,X264,X268,X272,X276,X280,X284,X288,X292,X296)</x:f>
        <x:v>764682.2238521752</x:v>
      </x:c>
      <x:c r="Y13" s="169" t="n">
        <x:f>SUM(Y208,Y212,Y216,Y220,Y224,Y228,Y232,Y236,Y240,Y244,Y248,Y252,Y256,Y260,Y264,Y268,Y272,Y276,Y280,Y284,Y288,Y292,Y296)</x:f>
        <x:v>861576.8797071836</x:v>
      </x:c>
      <x:c r="Z13" s="169" t="n">
        <x:f>SUM(Z208,Z212,Z216,Z220,Z224,Z228,Z232,Z236,Z240,Z244,Z248,Z252,Z256,Z260,Z264,Z268,Z272,Z276,Z280,Z284,Z288,Z292,Z296)</x:f>
        <x:v>964140.2009219986</x:v>
      </x:c>
      <x:c r="AA13" s="169" t="n">
        <x:f>SUM(AA208,AA212,AA216,AA220,AA224,AA228,AA232,AA236,AA240,AA244,AA248,AA252,AA256,AA260,AA264,AA268,AA272,AA276,AA280,AA284,AA288,AA292,AA296)</x:f>
        <x:v>1068042.7242694013</x:v>
      </x:c>
      <x:c r="AB13" s="169" t="n">
        <x:f>SUM(AB208,AB212,AB216,AB220,AB224,AB228,AB232,AB236,AB240,AB244,AB248,AB252,AB256,AB260,AB264,AB268,AB272,AB276,AB280,AB284,AB288,AB292,AB296)</x:f>
        <x:v>1167041.6033780826</x:v>
      </x:c>
      <x:c r="AC13" s="169" t="n">
        <x:f>SUM(AC208,AC212,AC216,AC220,AC224,AC228,AC232,AC236,AC240,AC244,AC248,AC252,AC256,AC260,AC264,AC268,AC272,AC276,AC280,AC284,AC288,AC292,AC296)</x:f>
        <x:v>1261249.4997415342</x:v>
      </x:c>
    </x:row>
    <x:row r="14" ht="18" customHeight="1">
      <x:c r="A14" s="169" t="str">
        <x:v>Depreciation: total</x:v>
      </x:c>
      <x:c r="B14" s="169"/>
      <x:c r="C14" s="169"/>
      <x:c r="D14" s="169"/>
      <x:c r="E14" s="169"/>
      <x:c r="F14" s="169"/>
      <x:c r="G14" s="169" t="n">
        <x:f>SUM(G11:G13)</x:f>
        <x:v>0</x:v>
      </x:c>
      <x:c r="H14" s="169" t="n">
        <x:f>SUM(H11:H13)</x:f>
        <x:v>0</x:v>
      </x:c>
      <x:c r="I14" s="169" t="n">
        <x:f>SUM(I11:I13)</x:f>
        <x:v>7750.444253736374</x:v>
      </x:c>
      <x:c r="J14" s="169" t="n">
        <x:f>SUM(J11:J13)</x:f>
        <x:v>27954.422052161393</x:v>
      </x:c>
      <x:c r="K14" s="169" t="n">
        <x:f>SUM(K11:K13)</x:f>
        <x:v>62188.2246991748</x:v>
      </x:c>
      <x:c r="L14" s="169" t="n">
        <x:f>SUM(L11:L13)</x:f>
        <x:v>140079.23555261415</x:v>
      </x:c>
      <x:c r="M14" s="169" t="n">
        <x:f>SUM(M11:M13)</x:f>
        <x:v>302964.03786231054</x:v>
      </x:c>
      <x:c r="N14" s="169" t="n">
        <x:f>SUM(N11:N13)</x:f>
        <x:v>550253.2692218575</x:v>
      </x:c>
      <x:c r="O14" s="169" t="n">
        <x:f>SUM(O11:O13)</x:f>
        <x:v>813601.8583303314</x:v>
      </x:c>
      <x:c r="P14" s="169" t="n">
        <x:f>SUM(P11:P13)</x:f>
        <x:v>1087842.6800248863</x:v>
      </x:c>
      <x:c r="Q14" s="169" t="n">
        <x:f>SUM(Q11:Q13)</x:f>
        <x:v>1357585.0243006132</x:v>
      </x:c>
      <x:c r="R14" s="169" t="n">
        <x:f>SUM(R11:R13)</x:f>
        <x:v>1593469.8355168533</x:v>
      </x:c>
      <x:c r="S14" s="169" t="n">
        <x:f>SUM(S11:S13)</x:f>
        <x:v>1784379.253260666</x:v>
      </x:c>
      <x:c r="T14" s="169" t="n">
        <x:f>SUM(T11:T13)</x:f>
        <x:v>1967480.3603070383</x:v>
      </x:c>
      <x:c r="U14" s="169" t="n">
        <x:f>SUM(U11:U13)</x:f>
        <x:v>2163884.9274783665</x:v>
      </x:c>
      <x:c r="V14" s="169" t="n">
        <x:f>SUM(V11:V13)</x:f>
        <x:v>2376001.8600234</x:v>
      </x:c>
      <x:c r="W14" s="169" t="n">
        <x:f>SUM(W11:W13)</x:f>
        <x:v>2605088.1471720366</x:v>
      </x:c>
      <x:c r="X14" s="169" t="n">
        <x:f>SUM(X11:X13)</x:f>
        <x:v>2851200.862260092</x:v>
      </x:c>
      <x:c r="Y14" s="169" t="n">
        <x:f>SUM(Y11:Y13)</x:f>
        <x:v>3115017.0091877338</x:v>
      </x:c>
      <x:c r="Z14" s="169" t="n">
        <x:f>SUM(Z11:Z13)</x:f>
        <x:v>3397855.540760993</x:v>
      </x:c>
      <x:c r="AA14" s="169" t="n">
        <x:f>SUM(AA11:AA13)</x:f>
        <x:v>3696455.2912955154</x:v>
      </x:c>
      <x:c r="AB14" s="169" t="n">
        <x:f>SUM(AB11:AB13)</x:f>
        <x:v>4005727.1757662855</x:v>
      </x:c>
      <x:c r="AC14" s="169" t="n">
        <x:f>SUM(AC11:AC13)</x:f>
        <x:v>4327029.917920794</x:v>
      </x:c>
    </x:row>
    <x:row r="15" ht="18" customHeight="1">
      <x:c r="A15" s="169"/>
      <x:c r="B15" s="169"/>
      <x:c r="C15" s="169"/>
      <x:c r="D15" s="169"/>
      <x:c r="E15" s="169"/>
      <x:c r="F15" s="169"/>
      <x:c r="G15" s="169"/>
      <x:c r="H15" s="169"/>
      <x:c r="I15" s="169"/>
      <x:c r="J15" s="169"/>
      <x:c r="K15" s="169"/>
      <x:c r="L15" s="169"/>
      <x:c r="M15" s="169"/>
      <x:c r="N15" s="169"/>
      <x:c r="O15" s="169"/>
      <x:c r="P15" s="169"/>
      <x:c r="Q15" s="169"/>
      <x:c r="R15" s="169"/>
      <x:c r="S15" s="169"/>
      <x:c r="T15" s="169"/>
      <x:c r="U15" s="169"/>
      <x:c r="V15" s="169"/>
      <x:c r="W15" s="169"/>
      <x:c r="X15" s="169"/>
      <x:c r="Y15" s="169"/>
      <x:c r="Z15" s="169"/>
      <x:c r="AA15" s="169"/>
      <x:c r="AB15" s="169"/>
      <x:c r="AC15" s="169"/>
    </x:row>
    <x:row r="16" ht="18" customHeight="1">
      <x:c r="A16" s="169" t="str">
        <x:v>Opening net assets</x:v>
      </x:c>
      <x:c r="B16" s="169"/>
      <x:c r="C16" s="169"/>
      <x:c r="D16" s="169"/>
      <x:c r="E16" s="169"/>
      <x:c r="F16" s="169"/>
      <x:c r="G16" s="169" t="n">
        <x:f>SUM(G23,G27,G31,G35,G39,G43,G47,G51,G55,G59,G63,G67,G71,G75,G79,G83,G87,G91,G95,G99,G103,G107,G111,G115,G119,G123,G127,G131,G135,G139,G143,G147,G151,G155,G159,G163,G167,G171,G175,G179,G183,G187,G191,G195,G199,G203,G207,G211,G215,G219,G223,G227,G231,G235,G239,G243,G247,G251,G255,G259,G263,G267,G271,G275,G279,G283,G287,G291,G295)</x:f>
        <x:v>0</x:v>
      </x:c>
      <x:c r="H16" s="169" t="n">
        <x:f>SUM(H23,H27,H31,H35,H39,H43,H47,H51,H55,H59,H63,H67,H71,H75,H79,H83,H87,H91,H95,H99,H103,H107,H111,H115,H119,H123,H127,H131,H135,H139,H143,H147,H151,H155,H159,H163,H167,H171,H175,H179,H183,H187,H191,H195,H199,H203,H207,H211,H215,H219,H223,H227,H231,H235,H239,H243,H247,H251,H255,H259,H263,H267,H271,H275,H279,H283,H287,H291,H295)</x:f>
        <x:v>0</x:v>
      </x:c>
      <x:c r="I16" s="169" t="n">
        <x:f>SUM(I23,I27,I31,I35,I39,I43,I47,I51,I55,I59,I63,I67,I71,I75,I79,I83,I87,I91,I95,I99,I103,I107,I111,I115,I119,I123,I127,I131,I135,I139,I143,I147,I151,I155,I159,I163,I167,I171,I175,I179,I183,I187,I191,I195,I199,I203,I207,I211,I215,I219,I223,I227,I231,I235,I239,I243,I247,I251,I255,I259,I263,I267,I271,I275,I279,I283,I287,I291,I295)</x:f>
        <x:v>53827.444923643474</x:v>
      </x:c>
      <x:c r="J16" s="169" t="n">
        <x:f>SUM(J23,J27,J31,J35,J39,J43,J47,J51,J55,J59,J63,J67,J71,J75,J79,J83,J87,J91,J95,J99,J103,J107,J111,J115,J119,J123,J127,J131,J135,J139,J143,J147,J151,J155,J159,J163,J167,J171,J175,J179,J183,J187,J191,J195,J199,J203,J207,J211,J215,J219,J223,J227,J231,J235,J239,J243,J247,J251,J255,J259,J263,J267,J271,J275,J279,J283,J287,J291,J295)</x:f>
        <x:v>186395.21554629394</x:v>
      </x:c>
      <x:c r="K16" s="169" t="n">
        <x:f>SUM(K23,K27,K31,K35,K39,K43,K47,K51,K55,K59,K63,K67,K71,K75,K79,K83,K87,K91,K95,K99,K103,K107,K111,K115,K119,K123,K127,K131,K135,K139,K143,K147,K151,K155,K159,K163,K167,K171,K175,K179,K183,K187,K191,K195,K199,K203,K207,K211,K215,K219,K223,K227,K231,K235,K239,K243,K247,K251,K255,K259,K263,K267,K271,K275,K279,K283,K287,K291,K295)</x:f>
        <x:v>396197.24540598877</x:v>
      </x:c>
      <x:c r="L16" s="169" t="n">
        <x:f>SUM(L23,L27,L31,L35,L39,L43,L47,L51,L55,L59,L63,L67,L71,L75,L79,L83,L87,L91,L95,L99,L103,L107,L111,L115,L119,L123,L127,L131,L135,L139,L143,L147,L151,L155,L159,L163,L167,L171,L175,L179,L183,L187,L191,L195,L199,L203,L207,L211,L215,L219,L223,L227,L231,L235,L239,L243,L247,L251,L255,L259,L263,L267,L271,L275,L279,L283,L287,L291,L295)</x:f>
        <x:v>874968.2173024407</x:v>
      </x:c>
      <x:c r="M16" s="169" t="n">
        <x:f>SUM(M23,M27,M31,M35,M39,M43,M47,M51,M55,M59,M63,M67,M71,M75,M79,M83,M87,M91,M95,M99,M103,M107,M111,M115,M119,M123,M127,M131,M135,M139,M143,M147,M151,M155,M159,M163,M167,M171,M175,M179,M183,M187,M191,M195,M199,M203,M207,M211,M215,M219,M223,M227,M231,M235,M239,M243,M247,M251,M255,M259,M263,M267,M271,M275,M279,M283,M287,M291,M295)</x:f>
        <x:v>1866136.7448695956</x:v>
      </x:c>
      <x:c r="N16" s="169" t="n">
        <x:f>SUM(N23,N27,N31,N35,N39,N43,N47,N51,N55,N59,N63,N67,N71,N75,N79,N83,N87,N91,N95,N99,N103,N107,N111,N115,N119,N123,N127,N131,N135,N139,N143,N147,N151,N155,N159,N163,N167,N171,N175,N179,N183,N187,N191,N195,N199,N203,N207,N211,N215,N219,N223,N227,N231,N235,N239,N243,N247,N251,N255,N259,N263,N267,N271,N275,N279,N283,N287,N291,N295)</x:f>
        <x:v>3311031.8118002666</x:v>
      </x:c>
      <x:c r="O16" s="169" t="n">
        <x:f>SUM(O23,O27,O31,O35,O39,O43,O47,O51,O55,O59,O63,O67,O71,O75,O79,O83,O87,O91,O95,O99,O103,O107,O111,O115,O119,O123,O127,O131,O135,O139,O143,O147,O151,O155,O159,O163,O167,O171,O175,O179,O183,O187,O191,O195,O199,O203,O207,O211,O215,O219,O223,O227,O231,O235,O239,O243,O247,O251,O255,O259,O263,O267,O271,O275,O279,O283,O287,O291,O295)</x:f>
        <x:v>4683423.557850689</x:v>
      </x:c>
      <x:c r="P16" s="169" t="n">
        <x:f>SUM(P23,P27,P31,P35,P39,P43,P47,P51,P55,P59,P63,P67,P71,P75,P79,P83,P87,P91,P95,P99,P103,P107,P111,P115,P119,P123,P127,P131,P135,P139,P143,P147,P151,P155,P159,P163,P167,P171,P175,P179,P183,P187,P191,P195,P199,P203,P207,P211,P215,P219,P223,P227,P231,P235,P239,P243,P247,P251,P255,P259,P263,P267,P271,P275,P279,P283,P287,P291,P295)</x:f>
        <x:v>5946278.31601442</x:v>
      </x:c>
      <x:c r="Q16" s="169" t="n">
        <x:f>SUM(Q23,Q27,Q31,Q35,Q39,Q43,Q47,Q51,Q55,Q59,Q63,Q67,Q71,Q75,Q79,Q83,Q87,Q91,Q95,Q99,Q103,Q107,Q111,Q115,Q119,Q123,Q127,Q131,Q135,Q139,Q143,Q147,Q151,Q155,Q159,Q163,Q167,Q171,Q175,Q179,Q183,Q187,Q191,Q195,Q199,Q203,Q207,Q211,Q215,Q219,Q223,Q227,Q231,Q235,Q239,Q243,Q247,Q251,Q255,Q259,Q263,Q267,Q271,Q275,Q279,Q283,Q287,Q291,Q295)</x:f>
        <x:v>7101008.781803122</x:v>
      </x:c>
      <x:c r="R16" s="169" t="n">
        <x:f>SUM(R23,R27,R31,R35,R39,R43,R47,R51,R55,R59,R63,R67,R71,R75,R79,R83,R87,R91,R95,R99,R103,R107,R111,R115,R119,R123,R127,R131,R135,R139,R143,R147,R151,R155,R159,R163,R167,R171,R175,R179,R183,R187,R191,R195,R199,R203,R207,R211,R215,R219,R223,R227,R231,R235,R239,R243,R247,R251,R255,R259,R263,R267,R271,R275,R279,R283,R287,R291,R295)</x:f>
        <x:v>8165402.754981184</x:v>
      </x:c>
      <x:c r="S16" s="169" t="n">
        <x:f>SUM(S23,S27,S31,S35,S39,S43,S47,S51,S55,S59,S63,S67,S71,S75,S79,S83,S87,S91,S95,S99,S103,S107,S111,S115,S119,S123,S127,S131,S135,S139,S143,S147,S151,S155,S159,S163,S167,S171,S175,S179,S183,S187,S191,S195,S199,S203,S207,S211,S215,S219,S223,S227,S231,S235,S239,S243,S247,S251,S255,S259,S263,S267,S271,S275,S279,S283,S287,S291,S295)</x:f>
        <x:v>9187670.236741297</x:v>
      </x:c>
      <x:c r="T16" s="169" t="n">
        <x:f>SUM(T23,T27,T31,T35,T39,T43,T47,T51,T55,T59,T63,T67,T71,T75,T79,T83,T87,T91,T95,T99,T103,T107,T111,T115,T119,T123,T127,T131,T135,T139,T143,T147,T151,T155,T159,T163,T167,T171,T175,T179,T183,T187,T191,T195,T199,T203,T207,T211,T215,T219,T223,T227,T231,T235,T239,T243,T247,T251,T255,T259,T263,T267,T271,T275,T279,T283,T287,T291,T295)</x:f>
        <x:v>10228287.286139758</x:v>
      </x:c>
      <x:c r="U16" s="169" t="n">
        <x:f>SUM(U23,U27,U31,U35,U39,U43,U47,U51,U55,U59,U63,U67,U71,U75,U79,U83,U87,U91,U95,U99,U103,U107,U111,U115,U119,U123,U127,U131,U135,U139,U143,U147,U151,U155,U159,U163,U167,U171,U175,U179,U183,U187,U191,U195,U199,U203,U207,U211,U215,U219,U223,U227,U231,U235,U239,U243,U247,U251,U255,U259,U263,U267,U271,U275,U279,U283,U287,U291,U295)</x:f>
        <x:v>11311802.932704575</x:v>
      </x:c>
      <x:c r="V16" s="169" t="n">
        <x:f>SUM(V23,V27,V31,V35,V39,V43,V47,V51,V55,V59,V63,V67,V71,V75,V79,V83,V87,V91,V95,V99,V103,V107,V111,V115,V119,V123,V127,V131,V135,V139,V143,V147,V151,V155,V159,V163,V167,V171,V175,V179,V183,V187,V191,V195,V199,V203,V207,V211,V215,V219,V223,V227,V231,V235,V239,V243,V247,V251,V255,V259,V263,V267,V271,V275,V279,V283,V287,V291,V295)</x:f>
        <x:v>12442993.692647813</x:v>
      </x:c>
      <x:c r="W16" s="169" t="n">
        <x:f>SUM(W23,W27,W31,W35,W39,W43,W47,W51,W55,W59,W63,W67,W71,W75,W79,W83,W87,W91,W95,W99,W103,W107,W111,W115,W119,W123,W127,W131,W135,W139,W143,W147,W151,W155,W159,W163,W167,W171,W175,W179,W183,W187,W191,W195,W199,W203,W207,W211,W215,W219,W223,W227,W231,W235,W239,W243,W247,W251,W255,W259,W263,W267,W271,W275,W279,W283,W287,W291,W295)</x:f>
        <x:v>13625673.57503975</x:v>
      </x:c>
      <x:c r="X16" s="169" t="n">
        <x:f>SUM(X23,X27,X31,X35,X39,X43,X47,X51,X55,X59,X63,X67,X71,X75,X79,X83,X87,X91,X95,X99,X103,X107,X111,X115,X119,X123,X127,X131,X135,X139,X143,X147,X151,X155,X159,X163,X167,X171,X175,X179,X183,X187,X191,X195,X199,X203,X207,X211,X215,X219,X223,X227,X231,X235,X239,X243,X247,X251,X255,X259,X263,X267,X271,X275,X279,X283,X287,X291,X295)</x:f>
        <x:v>14863961.709676273</x:v>
      </x:c>
      <x:c r="Y16" s="169" t="n">
        <x:f>SUM(Y23,Y27,Y31,Y35,Y39,Y43,Y47,Y51,Y55,Y59,Y63,Y67,Y71,Y75,Y79,Y83,Y87,Y91,Y95,Y99,Y103,Y107,Y111,Y115,Y119,Y123,Y127,Y131,Y135,Y139,Y143,Y147,Y151,Y155,Y159,Y163,Y167,Y171,Y175,Y179,Y183,Y187,Y191,Y195,Y199,Y203,Y207,Y211,Y215,Y219,Y223,Y227,Y231,Y235,Y239,Y243,Y247,Y251,Y255,Y259,Y263,Y267,Y271,Y275,Y279,Y283,Y287,Y291,Y295)</x:f>
        <x:v>16163607.23176943</x:v>
      </x:c>
      <x:c r="Z16" s="169" t="n">
        <x:f>SUM(Z23,Z27,Z31,Z35,Z39,Z43,Z47,Z51,Z55,Z59,Z63,Z67,Z71,Z75,Z79,Z83,Z87,Z91,Z95,Z99,Z103,Z107,Z111,Z115,Z119,Z123,Z127,Z131,Z135,Z139,Z143,Z147,Z151,Z155,Z159,Z163,Z167,Z171,Z175,Z179,Z183,Z187,Z191,Z195,Z199,Z203,Z207,Z211,Z215,Z219,Z223,Z227,Z231,Z235,Z239,Z243,Z247,Z251,Z255,Z259,Z263,Z267,Z271,Z275,Z279,Z283,Z287,Z291,Z295)</x:f>
        <x:v>17531504.317683198</x:v>
      </x:c>
      <x:c r="AA16" s="169" t="n">
        <x:f>SUM(AA23,AA27,AA31,AA35,AA39,AA43,AA47,AA51,AA55,AA59,AA63,AA67,AA71,AA75,AA79,AA83,AA87,AA91,AA95,AA99,AA103,AA107,AA111,AA115,AA119,AA123,AA127,AA131,AA135,AA139,AA143,AA147,AA151,AA155,AA159,AA163,AA167,AA171,AA175,AA179,AA183,AA187,AA191,AA195,AA199,AA203,AA207,AA211,AA215,AA219,AA223,AA227,AA231,AA235,AA239,AA243,AA247,AA251,AA255,AA259,AA263,AA267,AA271,AA275,AA279,AA283,AA287,AA291,AA295)</x:f>
        <x:v>18975195.999631837</x:v>
      </x:c>
      <x:c r="AB16" s="169" t="n">
        <x:f>SUM(AB23,AB27,AB31,AB35,AB39,AB43,AB47,AB51,AB55,AB59,AB63,AB67,AB71,AB75,AB79,AB83,AB87,AB91,AB95,AB99,AB103,AB107,AB111,AB115,AB119,AB123,AB127,AB131,AB135,AB139,AB143,AB147,AB151,AB155,AB159,AB163,AB167,AB171,AB175,AB179,AB183,AB187,AB191,AB195,AB199,AB203,AB207,AB211,AB215,AB219,AB223,AB227,AB231,AB235,AB239,AB243,AB247,AB251,AB255,AB259,AB263,AB267,AB271,AB275,AB279,AB283,AB287,AB291,AB295)</x:f>
        <x:v>20507611.708862714</x:v>
      </x:c>
      <x:c r="AC16" s="169" t="n">
        <x:f>SUM(AC23,AC27,AC31,AC35,AC39,AC43,AC47,AC51,AC55,AC59,AC63,AC67,AC71,AC75,AC79,AC83,AC87,AC91,AC95,AC99,AC103,AC107,AC111,AC115,AC119,AC123,AC127,AC131,AC135,AC139,AC143,AC147,AC151,AC155,AC159,AC163,AC167,AC171,AC175,AC179,AC183,AC187,AC191,AC195,AC199,AC203,AC207,AC211,AC215,AC219,AC223,AC227,AC231,AC235,AC239,AC243,AC247,AC251,AC255,AC259,AC263,AC267,AC271,AC275,AC279,AC283,AC287,AC291,AC295)</x:f>
        <x:v>22149065.213664945</x:v>
      </x:c>
    </x:row>
    <x:row r="17" ht="18" customHeight="1">
      <x:c r="A17" s="169" t="str">
        <x:v>Closing net assets</x:v>
      </x:c>
      <x:c r="B17" s="169"/>
      <x:c r="C17" s="169"/>
      <x:c r="D17" s="169"/>
      <x:c r="E17" s="169"/>
      <x:c r="F17" s="169"/>
      <x:c r="G17" s="169" t="n">
        <x:f>SUM(G25,G29,G33,G37,G41,G45,G49,G53,G57,G61,G65,G69,G73,G77,G81,G85,G89,G93,G97,G101,G105,G109,G113,G117,G121,G125,G129,G133,G137,G141,G145,G149,G153,G157,G161,G165,G169,G173,G177,G181,G185,G189,G193,G197,G201,G205,G209,G213,G217,G221,G225,G229,G233,G237,G241,G245,G249,G253,G257,G261,G265,G269,G273,G277,G281,G285,G289,G293,G297)</x:f>
        <x:v>0</x:v>
      </x:c>
      <x:c r="H17" s="169" t="n">
        <x:f>SUM(H25,H29,H33,H37,H41,H45,H49,H53,H57,H61,H65,H69,H73,H77,H81,H85,H89,H93,H97,H101,H105,H109,H113,H117,H121,H125,H129,H133,H137,H141,H145,H149,H153,H157,H161,H165,H169,H173,H177,H181,H185,H189,H193,H197,H201,H205,H209,H213,H217,H221,H225,H229,H233,H237,H241,H245,H249,H253,H257,H261,H265,H269,H273,H277,H281,H285,H289,H293,H297)</x:f>
        <x:v>0</x:v>
      </x:c>
      <x:c r="I17" s="169" t="n">
        <x:f>SUM(I25,I29,I33,I37,I41,I45,I49,I53,I57,I61,I65,I69,I73,I77,I81,I85,I89,I93,I97,I101,I105,I109,I113,I117,I121,I125,I129,I133,I137,I141,I145,I149,I153,I157,I161,I165,I169,I173,I177,I181,I185,I189,I193,I197,I201,I205,I209,I213,I217,I221,I225,I229,I233,I237,I241,I245,I249,I253,I257,I261,I265,I269,I273,I277,I281,I285,I289,I293,I297)</x:f>
        <x:v>46077.0006699071</x:v>
      </x:c>
      <x:c r="J17" s="169" t="n">
        <x:f>SUM(J25,J29,J33,J37,J41,J45,J49,J53,J57,J61,J65,J69,J73,J77,J81,J85,J89,J93,J97,J101,J105,J109,J113,J117,J121,J125,J129,J133,J137,J141,J145,J149,J153,J157,J161,J165,J169,J173,J177,J181,J185,J189,J193,J197,J201,J205,J209,J213,J217,J221,J225,J229,J233,J237,J241,J245,J249,J253,J257,J261,J265,J269,J273,J277,J281,J285,J289,J293,J297)</x:f>
        <x:v>158440.79349413252</x:v>
      </x:c>
      <x:c r="K17" s="169" t="n">
        <x:f>SUM(K25,K29,K33,K37,K41,K45,K49,K53,K57,K61,K65,K69,K73,K77,K81,K85,K89,K93,K97,K101,K105,K109,K113,K117,K121,K125,K129,K133,K137,K141,K145,K149,K153,K157,K161,K165,K169,K173,K177,K181,K185,K189,K193,K197,K201,K205,K209,K213,K217,K221,K225,K229,K233,K237,K241,K245,K249,K253,K257,K261,K265,K269,K273,K277,K281,K285,K289,K293,K297)</x:f>
        <x:v>334009.02070681396</x:v>
      </x:c>
      <x:c r="L17" s="169" t="n">
        <x:f>SUM(L25,L29,L33,L37,L41,L45,L49,L53,L57,L61,L65,L69,L73,L77,L81,L85,L89,L93,L97,L101,L105,L109,L113,L117,L121,L125,L129,L133,L137,L141,L145,L149,L153,L157,L161,L165,L169,L173,L177,L181,L185,L189,L193,L197,L201,L205,L209,L213,L217,L221,L225,L229,L233,L237,L241,L245,L249,L253,L257,L261,L265,L269,L273,L277,L281,L285,L289,L293,L297)</x:f>
        <x:v>734888.9817498266</x:v>
      </x:c>
      <x:c r="M17" s="169" t="n">
        <x:f>SUM(M25,M29,M33,M37,M41,M45,M49,M53,M57,M61,M65,M69,M73,M77,M81,M85,M89,M93,M97,M101,M105,M109,M113,M117,M121,M125,M129,M133,M137,M141,M145,M149,M153,M157,M161,M165,M169,M173,M177,M181,M185,M189,M193,M197,M201,M205,M209,M213,M217,M221,M225,M229,M233,M237,M241,M245,M249,M253,M257,M261,M265,M269,M273,M277,M281,M285,M289,M293,M297)</x:f>
        <x:v>1563172.707007285</x:v>
      </x:c>
      <x:c r="N17" s="169" t="n">
        <x:f>SUM(N25,N29,N33,N37,N41,N45,N49,N53,N57,N61,N65,N69,N73,N77,N81,N85,N89,N93,N97,N101,N105,N109,N113,N117,N121,N125,N129,N133,N137,N141,N145,N149,N153,N157,N161,N165,N169,N173,N177,N181,N185,N189,N193,N197,N201,N205,N209,N213,N217,N221,N225,N229,N233,N237,N241,N245,N249,N253,N257,N261,N265,N269,N273,N277,N281,N285,N289,N293,N297)</x:f>
        <x:v>2760778.542578409</x:v>
      </x:c>
      <x:c r="O17" s="169" t="n">
        <x:f>SUM(O25,O29,O33,O37,O41,O45,O49,O53,O57,O61,O65,O69,O73,O77,O81,O85,O89,O93,O97,O101,O105,O109,O113,O117,O121,O125,O129,O133,O137,O141,O145,O149,O153,O157,O161,O165,O169,O173,O177,O181,O185,O189,O193,O197,O201,O205,O209,O213,O217,O221,O225,O229,O233,O237,O241,O245,O249,O253,O257,O261,O265,O269,O273,O277,O281,O285,O289,O293,O297)</x:f>
        <x:v>3869821.699520358</x:v>
      </x:c>
      <x:c r="P17" s="169" t="n">
        <x:f>SUM(P25,P29,P33,P37,P41,P45,P49,P53,P57,P61,P65,P69,P73,P77,P81,P85,P89,P93,P97,P101,P105,P109,P113,P117,P121,P125,P129,P133,P137,P141,P145,P149,P153,P157,P161,P165,P169,P173,P177,P181,P185,P189,P193,P197,P201,P205,P209,P213,P217,P221,P225,P229,P233,P237,P241,P245,P249,P253,P257,P261,P265,P269,P273,P277,P281,P285,P289,P293,P297)</x:f>
        <x:v>4858435.635989534</x:v>
      </x:c>
      <x:c r="Q17" s="169" t="n">
        <x:f>SUM(Q25,Q29,Q33,Q37,Q41,Q45,Q49,Q53,Q57,Q61,Q65,Q69,Q73,Q77,Q81,Q85,Q89,Q93,Q97,Q101,Q105,Q109,Q113,Q117,Q121,Q125,Q129,Q133,Q137,Q141,Q145,Q149,Q153,Q157,Q161,Q165,Q169,Q173,Q177,Q181,Q185,Q189,Q193,Q197,Q201,Q205,Q209,Q213,Q217,Q221,Q225,Q229,Q233,Q237,Q241,Q245,Q249,Q253,Q257,Q261,Q265,Q269,Q273,Q277,Q281,Q285,Q289,Q293,Q297)</x:f>
        <x:v>5743423.757502507</x:v>
      </x:c>
      <x:c r="R17" s="169" t="n">
        <x:f>SUM(R25,R29,R33,R37,R41,R45,R49,R53,R57,R61,R65,R69,R73,R77,R81,R85,R89,R93,R97,R101,R105,R109,R113,R117,R121,R125,R129,R133,R137,R141,R145,R149,R153,R157,R161,R165,R169,R173,R177,R181,R185,R189,R193,R197,R201,R205,R209,R213,R217,R221,R225,R229,R233,R237,R241,R245,R249,R253,R257,R261,R265,R269,R273,R277,R281,R285,R289,R293,R297)</x:f>
        <x:v>6571932.919464328</x:v>
      </x:c>
      <x:c r="S17" s="169" t="n">
        <x:f>SUM(S25,S29,S33,S37,S41,S45,S49,S53,S57,S61,S65,S69,S73,S77,S81,S85,S89,S93,S97,S101,S105,S109,S113,S117,S121,S125,S129,S133,S137,S141,S145,S149,S153,S157,S161,S165,S169,S173,S177,S181,S185,S189,S193,S197,S201,S205,S209,S213,S217,S221,S225,S229,S233,S237,S241,S245,S249,S253,S257,S261,S265,S269,S273,S277,S281,S285,S289,S293,S297)</x:f>
        <x:v>7403290.983480632</x:v>
      </x:c>
      <x:c r="T17" s="169" t="n">
        <x:f>SUM(T25,T29,T33,T37,T41,T45,T49,T53,T57,T61,T65,T69,T73,T77,T81,T85,T89,T93,T97,T101,T105,T109,T113,T117,T121,T125,T129,T133,T137,T141,T145,T149,T153,T157,T161,T165,T169,T173,T177,T181,T185,T189,T193,T197,T201,T205,T209,T213,T217,T221,T225,T229,T233,T237,T241,T245,T249,T253,T257,T261,T265,T269,T273,T277,T281,T285,T289,T293,T297)</x:f>
        <x:v>8260806.9258327205</x:v>
      </x:c>
      <x:c r="U17" s="169" t="n">
        <x:f>SUM(U25,U29,U33,U37,U41,U45,U49,U53,U57,U61,U65,U69,U73,U77,U81,U85,U89,U93,U97,U101,U105,U109,U113,U117,U121,U125,U129,U133,U137,U141,U145,U149,U153,U157,U161,U165,U169,U173,U177,U181,U185,U189,U193,U197,U201,U205,U209,U213,U217,U221,U225,U229,U233,U237,U241,U245,U249,U253,U257,U261,U265,U269,U273,U277,U281,U285,U289,U293,U297)</x:f>
        <x:v>9147918.00522621</x:v>
      </x:c>
      <x:c r="V17" s="169" t="n">
        <x:f>SUM(V25,V29,V33,V37,V41,V45,V49,V53,V57,V61,V65,V69,V73,V77,V81,V85,V89,V93,V97,V101,V105,V109,V113,V117,V121,V125,V129,V133,V137,V141,V145,V149,V153,V157,V161,V165,V169,V173,V177,V181,V185,V189,V193,V197,V201,V205,V209,V213,V217,V221,V225,V229,V233,V237,V241,V245,V249,V253,V257,V261,V265,V269,V273,V277,V281,V285,V289,V293,V297)</x:f>
        <x:v>10066991.832624417</x:v>
      </x:c>
      <x:c r="W17" s="169" t="n">
        <x:f>SUM(W25,W29,W33,W37,W41,W45,W49,W53,W57,W61,W65,W69,W73,W77,W81,W85,W89,W93,W97,W101,W105,W109,W113,W117,W121,W125,W129,W133,W137,W141,W145,W149,W153,W157,W161,W165,W169,W173,W177,W181,W185,W189,W193,W197,W201,W205,W209,W213,W217,W221,W225,W229,W233,W237,W241,W245,W249,W253,W257,W261,W265,W269,W273,W277,W281,W285,W289,W293,W297)</x:f>
        <x:v>11020585.427867714</x:v>
      </x:c>
      <x:c r="X17" s="169" t="n">
        <x:f>SUM(X25,X29,X33,X37,X41,X45,X49,X53,X57,X61,X65,X69,X73,X77,X81,X85,X89,X93,X97,X101,X105,X109,X113,X117,X121,X125,X129,X133,X137,X141,X145,X149,X153,X157,X161,X165,X169,X173,X177,X181,X185,X189,X193,X197,X201,X205,X209,X213,X217,X221,X225,X229,X233,X237,X241,X245,X249,X253,X257,X261,X265,X269,X273,X277,X281,X285,X289,X293,X297)</x:f>
        <x:v>12012760.847416181</x:v>
      </x:c>
      <x:c r="Y17" s="169" t="n">
        <x:f>SUM(Y25,Y29,Y33,Y37,Y41,Y45,Y49,Y53,Y57,Y61,Y65,Y69,Y73,Y77,Y81,Y85,Y89,Y93,Y97,Y101,Y105,Y109,Y113,Y117,Y121,Y125,Y129,Y133,Y137,Y141,Y145,Y149,Y153,Y157,Y161,Y165,Y169,Y173,Y177,Y181,Y185,Y189,Y193,Y197,Y201,Y205,Y209,Y213,Y217,Y221,Y225,Y229,Y233,Y237,Y241,Y245,Y249,Y253,Y257,Y261,Y265,Y269,Y273,Y277,Y281,Y285,Y289,Y293,Y297)</x:f>
        <x:v>13048590.222581696</x:v>
      </x:c>
      <x:c r="Z17" s="169" t="n">
        <x:f>SUM(Z25,Z29,Z33,Z37,Z41,Z45,Z49,Z53,Z57,Z61,Z65,Z69,Z73,Z77,Z81,Z85,Z89,Z93,Z97,Z101,Z105,Z109,Z113,Z117,Z121,Z125,Z129,Z133,Z137,Z141,Z145,Z149,Z153,Z157,Z161,Z165,Z169,Z173,Z177,Z181,Z185,Z189,Z193,Z197,Z201,Z205,Z209,Z213,Z217,Z221,Z225,Z229,Z233,Z237,Z241,Z245,Z249,Z253,Z257,Z261,Z265,Z269,Z273,Z277,Z281,Z285,Z289,Z293,Z297)</x:f>
        <x:v>14133648.776922211</x:v>
      </x:c>
      <x:c r="AA17" s="169" t="n">
        <x:f>SUM(AA25,AA29,AA33,AA37,AA41,AA45,AA49,AA53,AA57,AA61,AA65,AA69,AA73,AA77,AA81,AA85,AA89,AA93,AA97,AA101,AA105,AA109,AA113,AA117,AA121,AA125,AA129,AA133,AA137,AA141,AA145,AA149,AA153,AA157,AA161,AA165,AA169,AA173,AA177,AA181,AA185,AA189,AA193,AA197,AA201,AA205,AA209,AA213,AA217,AA221,AA225,AA229,AA233,AA237,AA241,AA245,AA249,AA253,AA257,AA261,AA265,AA269,AA273,AA277,AA281,AA285,AA289,AA293,AA297)</x:f>
        <x:v>15278740.70833632</x:v>
      </x:c>
      <x:c r="AB17" s="169" t="n">
        <x:f>SUM(AB25,AB29,AB33,AB37,AB41,AB45,AB49,AB53,AB57,AB61,AB65,AB69,AB73,AB77,AB81,AB85,AB89,AB93,AB97,AB101,AB105,AB109,AB113,AB117,AB121,AB125,AB129,AB133,AB137,AB141,AB145,AB149,AB153,AB157,AB161,AB165,AB169,AB173,AB177,AB181,AB185,AB189,AB193,AB197,AB201,AB205,AB209,AB213,AB217,AB221,AB225,AB229,AB233,AB237,AB241,AB245,AB249,AB253,AB257,AB261,AB265,AB269,AB273,AB277,AB281,AB285,AB289,AB293,AB297)</x:f>
        <x:v>16501884.533096433</x:v>
      </x:c>
      <x:c r="AC17" s="169" t="n">
        <x:f>SUM(AC25,AC29,AC33,AC37,AC41,AC45,AC49,AC53,AC57,AC61,AC65,AC69,AC73,AC77,AC81,AC85,AC89,AC93,AC97,AC101,AC105,AC109,AC113,AC117,AC121,AC125,AC129,AC133,AC137,AC141,AC145,AC149,AC153,AC157,AC161,AC165,AC169,AC173,AC177,AC181,AC185,AC189,AC193,AC197,AC201,AC205,AC209,AC213,AC217,AC221,AC225,AC229,AC233,AC237,AC241,AC245,AC249,AC253,AC257,AC261,AC265,AC269,AC273,AC277,AC281,AC285,AC289,AC293,AC297)</x:f>
        <x:v>17822035.29574415</x:v>
      </x:c>
    </x:row>
    <x:row r="18" ht="18" customHeight="1">
      <x:c r="A18" s="169" t="str">
        <x:v>Newly commissioned gross assets</x:v>
      </x:c>
      <x:c r="B18" s="169"/>
      <x:c r="C18" s="169"/>
      <x:c r="D18" s="169"/>
      <x:c r="E18" s="169"/>
      <x:c r="F18" s="169"/>
      <x:c r="G18" s="169" t="n">
        <x:f>SUM(IF(G$4=$E23,$C23,0),IF(G$4=$E27,$C27,0),IF(G$4=$E31,$C31,0),IF(G$4=$E35,$C35,0),IF(G$4=$E39,$C39,0),IF(G$4=$E43,$C43,0),IF(G$4=$E47,$C47,0),IF(G$4=$E51,$C51,0),IF(G$4=$E55,$C55,0),IF(G$4=$E59,$C59,0),IF(G$4=$E63,$C63,0),IF(G$4=$E67,$C67,0),IF(G$4=$E71,$C71,0),IF(G$4=$E75,$C75,0),IF(G$4=$E79,$C79,0),IF(G$4=$E83,$C83,0),IF(G$4=$E87,$C87,0),IF(G$4=$E91,$C91,0),IF(G$4=$E95,$C95,0),IF(G$4=$E99,$C99,0),IF(G$4=$E103,$C103,0),IF(G$4=$E107,$C107,0),IF(G$4=$E111,$C111,0),IF(G$4=$E115,$C115,0),IF(G$4=$E119,$C119,0),IF(G$4=$E123,$C123,0),IF(G$4=$E127,$C127,0),IF(G$4=$E131,$C131,0),IF(G$4=$E135,$C135,0),IF(G$4=$E139,$C139,0),IF(G$4=$E143,$C143,0),IF(G$4=$E147,$C147,0),IF(G$4=$E151,$C151,0),IF(G$4=$E155,$C155,0),IF(G$4=$E159,$C159,0),IF(G$4=$E163,$C163,0),IF(G$4=$E167,$C167,0),IF(G$4=$E171,$C171,0),IF(G$4=$E175,$C175,0),IF(G$4=$E179,$C179,0),IF(G$4=$E183,$C183,0),IF(G$4=$E187,$C187,0),IF(G$4=$E191,$C191,0),IF(G$4=$E195,$C195,0),IF(G$4=$E199,$C199,0),IF(G$4=$E203,$C203,0),IF(G$4=$E207,$C207,0),IF(G$4=$E211,$C211,0),IF(G$4=$E215,$C215,0),IF(G$4=$E219,$C219,0),IF(G$4=$E223,$C223,0),IF(G$4=$E227,$C227,0),IF(G$4=$E231,$C231,0),IF(G$4=$E235,$C235,0),IF(G$4=$E239,$C239,0),IF(G$4=$E243,$C243,0),IF(G$4=$E247,$C247,0),IF(G$4=$E251,$C251,0),IF(G$4=$E255,$C255,0),IF(G$4=$E259,$C259,0),IF(G$4=$E263,$C263,0),IF(G$4=$E267,$C267,0),IF(G$4=$E271,$C271,0),IF(G$4=$E275,$C275,0),IF(G$4=$E279,$C279,0),IF(G$4=$E283,$C283,0),IF(G$4=$E287,$C287,0),IF(G$4=$E291,$C291,0),IF(G$4=$E295,$C295,0))</x:f>
        <x:v>0</x:v>
      </x:c>
      <x:c r="H18" s="169" t="n">
        <x:f>SUM(IF(H$4=$E23,$C23,0),IF(H$4=$E27,$C27,0),IF(H$4=$E31,$C31,0),IF(H$4=$E35,$C35,0),IF(H$4=$E39,$C39,0),IF(H$4=$E43,$C43,0),IF(H$4=$E47,$C47,0),IF(H$4=$E51,$C51,0),IF(H$4=$E55,$C55,0),IF(H$4=$E59,$C59,0),IF(H$4=$E63,$C63,0),IF(H$4=$E67,$C67,0),IF(H$4=$E71,$C71,0),IF(H$4=$E75,$C75,0),IF(H$4=$E79,$C79,0),IF(H$4=$E83,$C83,0),IF(H$4=$E87,$C87,0),IF(H$4=$E91,$C91,0),IF(H$4=$E95,$C95,0),IF(H$4=$E99,$C99,0),IF(H$4=$E103,$C103,0),IF(H$4=$E107,$C107,0),IF(H$4=$E111,$C111,0),IF(H$4=$E115,$C115,0),IF(H$4=$E119,$C119,0),IF(H$4=$E123,$C123,0),IF(H$4=$E127,$C127,0),IF(H$4=$E131,$C131,0),IF(H$4=$E135,$C135,0),IF(H$4=$E139,$C139,0),IF(H$4=$E143,$C143,0),IF(H$4=$E147,$C147,0),IF(H$4=$E151,$C151,0),IF(H$4=$E155,$C155,0),IF(H$4=$E159,$C159,0),IF(H$4=$E163,$C163,0),IF(H$4=$E167,$C167,0),IF(H$4=$E171,$C171,0),IF(H$4=$E175,$C175,0),IF(H$4=$E179,$C179,0),IF(H$4=$E183,$C183,0),IF(H$4=$E187,$C187,0),IF(H$4=$E191,$C191,0),IF(H$4=$E195,$C195,0),IF(H$4=$E199,$C199,0),IF(H$4=$E203,$C203,0),IF(H$4=$E207,$C207,0),IF(H$4=$E211,$C211,0),IF(H$4=$E215,$C215,0),IF(H$4=$E219,$C219,0),IF(H$4=$E223,$C223,0),IF(H$4=$E227,$C227,0),IF(H$4=$E231,$C231,0),IF(H$4=$E235,$C235,0),IF(H$4=$E239,$C239,0),IF(H$4=$E243,$C243,0),IF(H$4=$E247,$C247,0),IF(H$4=$E251,$C251,0),IF(H$4=$E255,$C255,0),IF(H$4=$E259,$C259,0),IF(H$4=$E263,$C263,0),IF(H$4=$E267,$C267,0),IF(H$4=$E271,$C271,0),IF(H$4=$E275,$C275,0),IF(H$4=$E279,$C279,0),IF(H$4=$E283,$C283,0),IF(H$4=$E287,$C287,0),IF(H$4=$E291,$C291,0),IF(H$4=$E295,$C295,0))</x:f>
        <x:v>0</x:v>
      </x:c>
      <x:c r="I18" s="169" t="n">
        <x:f>SUM(IF(I$4=$E23,$C23,0),IF(I$4=$E27,$C27,0),IF(I$4=$E31,$C31,0),IF(I$4=$E35,$C35,0),IF(I$4=$E39,$C39,0),IF(I$4=$E43,$C43,0),IF(I$4=$E47,$C47,0),IF(I$4=$E51,$C51,0),IF(I$4=$E55,$C55,0),IF(I$4=$E59,$C59,0),IF(I$4=$E63,$C63,0),IF(I$4=$E67,$C67,0),IF(I$4=$E71,$C71,0),IF(I$4=$E75,$C75,0),IF(I$4=$E79,$C79,0),IF(I$4=$E83,$C83,0),IF(I$4=$E87,$C87,0),IF(I$4=$E91,$C91,0),IF(I$4=$E95,$C95,0),IF(I$4=$E99,$C99,0),IF(I$4=$E103,$C103,0),IF(I$4=$E107,$C107,0),IF(I$4=$E111,$C111,0),IF(I$4=$E115,$C115,0),IF(I$4=$E119,$C119,0),IF(I$4=$E123,$C123,0),IF(I$4=$E127,$C127,0),IF(I$4=$E131,$C131,0),IF(I$4=$E135,$C135,0),IF(I$4=$E139,$C139,0),IF(I$4=$E143,$C143,0),IF(I$4=$E147,$C147,0),IF(I$4=$E151,$C151,0),IF(I$4=$E155,$C155,0),IF(I$4=$E159,$C159,0),IF(I$4=$E163,$C163,0),IF(I$4=$E167,$C167,0),IF(I$4=$E171,$C171,0),IF(I$4=$E175,$C175,0),IF(I$4=$E179,$C179,0),IF(I$4=$E183,$C183,0),IF(I$4=$E187,$C187,0),IF(I$4=$E191,$C191,0),IF(I$4=$E195,$C195,0),IF(I$4=$E199,$C199,0),IF(I$4=$E203,$C203,0),IF(I$4=$E207,$C207,0),IF(I$4=$E211,$C211,0),IF(I$4=$E215,$C215,0),IF(I$4=$E219,$C219,0),IF(I$4=$E223,$C223,0),IF(I$4=$E227,$C227,0),IF(I$4=$E231,$C231,0),IF(I$4=$E235,$C235,0),IF(I$4=$E239,$C239,0),IF(I$4=$E243,$C243,0),IF(I$4=$E247,$C247,0),IF(I$4=$E251,$C251,0),IF(I$4=$E255,$C255,0),IF(I$4=$E259,$C259,0),IF(I$4=$E263,$C263,0),IF(I$4=$E267,$C267,0),IF(I$4=$E271,$C271,0),IF(I$4=$E275,$C275,0),IF(I$4=$E279,$C279,0),IF(I$4=$E283,$C283,0),IF(I$4=$E287,$C287,0),IF(I$4=$E291,$C291,0),IF(I$4=$E295,$C295,0))</x:f>
        <x:v>53827.444923643474</x:v>
      </x:c>
      <x:c r="J18" s="169" t="n">
        <x:f>SUM(IF(J$4=$E23,$C23,0),IF(J$4=$E27,$C27,0),IF(J$4=$E31,$C31,0),IF(J$4=$E35,$C35,0),IF(J$4=$E39,$C39,0),IF(J$4=$E43,$C43,0),IF(J$4=$E47,$C47,0),IF(J$4=$E51,$C51,0),IF(J$4=$E55,$C55,0),IF(J$4=$E59,$C59,0),IF(J$4=$E63,$C63,0),IF(J$4=$E67,$C67,0),IF(J$4=$E71,$C71,0),IF(J$4=$E75,$C75,0),IF(J$4=$E79,$C79,0),IF(J$4=$E83,$C83,0),IF(J$4=$E87,$C87,0),IF(J$4=$E91,$C91,0),IF(J$4=$E95,$C95,0),IF(J$4=$E99,$C99,0),IF(J$4=$E103,$C103,0),IF(J$4=$E107,$C107,0),IF(J$4=$E111,$C111,0),IF(J$4=$E115,$C115,0),IF(J$4=$E119,$C119,0),IF(J$4=$E123,$C123,0),IF(J$4=$E127,$C127,0),IF(J$4=$E131,$C131,0),IF(J$4=$E135,$C135,0),IF(J$4=$E139,$C139,0),IF(J$4=$E143,$C143,0),IF(J$4=$E147,$C147,0),IF(J$4=$E151,$C151,0),IF(J$4=$E155,$C155,0),IF(J$4=$E159,$C159,0),IF(J$4=$E163,$C163,0),IF(J$4=$E167,$C167,0),IF(J$4=$E171,$C171,0),IF(J$4=$E175,$C175,0),IF(J$4=$E179,$C179,0),IF(J$4=$E183,$C183,0),IF(J$4=$E187,$C187,0),IF(J$4=$E191,$C191,0),IF(J$4=$E195,$C195,0),IF(J$4=$E199,$C199,0),IF(J$4=$E203,$C203,0),IF(J$4=$E207,$C207,0),IF(J$4=$E211,$C211,0),IF(J$4=$E215,$C215,0),IF(J$4=$E219,$C219,0),IF(J$4=$E223,$C223,0),IF(J$4=$E227,$C227,0),IF(J$4=$E231,$C231,0),IF(J$4=$E235,$C235,0),IF(J$4=$E239,$C239,0),IF(J$4=$E243,$C243,0),IF(J$4=$E247,$C247,0),IF(J$4=$E251,$C251,0),IF(J$4=$E255,$C255,0),IF(J$4=$E259,$C259,0),IF(J$4=$E263,$C263,0),IF(J$4=$E267,$C267,0),IF(J$4=$E271,$C271,0),IF(J$4=$E275,$C275,0),IF(J$4=$E279,$C279,0),IF(J$4=$E283,$C283,0),IF(J$4=$E287,$C287,0),IF(J$4=$E291,$C291,0),IF(J$4=$E295,$C295,0))</x:f>
        <x:v>140318.21487638683</x:v>
      </x:c>
      <x:c r="K18" s="169" t="n">
        <x:f>SUM(IF(K$4=$E23,$C23,0),IF(K$4=$E27,$C27,0),IF(K$4=$E31,$C31,0),IF(K$4=$E35,$C35,0),IF(K$4=$E39,$C39,0),IF(K$4=$E43,$C43,0),IF(K$4=$E47,$C47,0),IF(K$4=$E51,$C51,0),IF(K$4=$E55,$C55,0),IF(K$4=$E59,$C59,0),IF(K$4=$E63,$C63,0),IF(K$4=$E67,$C67,0),IF(K$4=$E71,$C71,0),IF(K$4=$E75,$C75,0),IF(K$4=$E79,$C79,0),IF(K$4=$E83,$C83,0),IF(K$4=$E87,$C87,0),IF(K$4=$E91,$C91,0),IF(K$4=$E95,$C95,0),IF(K$4=$E99,$C99,0),IF(K$4=$E103,$C103,0),IF(K$4=$E107,$C107,0),IF(K$4=$E111,$C111,0),IF(K$4=$E115,$C115,0),IF(K$4=$E119,$C119,0),IF(K$4=$E123,$C123,0),IF(K$4=$E127,$C127,0),IF(K$4=$E131,$C131,0),IF(K$4=$E135,$C135,0),IF(K$4=$E139,$C139,0),IF(K$4=$E143,$C143,0),IF(K$4=$E147,$C147,0),IF(K$4=$E151,$C151,0),IF(K$4=$E155,$C155,0),IF(K$4=$E159,$C159,0),IF(K$4=$E163,$C163,0),IF(K$4=$E167,$C167,0),IF(K$4=$E171,$C171,0),IF(K$4=$E175,$C175,0),IF(K$4=$E179,$C179,0),IF(K$4=$E183,$C183,0),IF(K$4=$E187,$C187,0),IF(K$4=$E191,$C191,0),IF(K$4=$E195,$C195,0),IF(K$4=$E199,$C199,0),IF(K$4=$E203,$C203,0),IF(K$4=$E207,$C207,0),IF(K$4=$E211,$C211,0),IF(K$4=$E215,$C215,0),IF(K$4=$E219,$C219,0),IF(K$4=$E223,$C223,0),IF(K$4=$E227,$C227,0),IF(K$4=$E231,$C231,0),IF(K$4=$E235,$C235,0),IF(K$4=$E239,$C239,0),IF(K$4=$E243,$C243,0),IF(K$4=$E247,$C247,0),IF(K$4=$E251,$C251,0),IF(K$4=$E255,$C255,0),IF(K$4=$E259,$C259,0),IF(K$4=$E263,$C263,0),IF(K$4=$E267,$C267,0),IF(K$4=$E271,$C271,0),IF(K$4=$E275,$C275,0),IF(K$4=$E279,$C279,0),IF(K$4=$E283,$C283,0),IF(K$4=$E287,$C287,0),IF(K$4=$E291,$C291,0),IF(K$4=$E295,$C295,0))</x:f>
        <x:v>237756.4519118562</x:v>
      </x:c>
      <x:c r="L18" s="169" t="n">
        <x:f>SUM(IF(L$4=$E23,$C23,0),IF(L$4=$E27,$C27,0),IF(L$4=$E31,$C31,0),IF(L$4=$E35,$C35,0),IF(L$4=$E39,$C39,0),IF(L$4=$E43,$C43,0),IF(L$4=$E47,$C47,0),IF(L$4=$E51,$C51,0),IF(L$4=$E55,$C55,0),IF(L$4=$E59,$C59,0),IF(L$4=$E63,$C63,0),IF(L$4=$E67,$C67,0),IF(L$4=$E71,$C71,0),IF(L$4=$E75,$C75,0),IF(L$4=$E79,$C79,0),IF(L$4=$E83,$C83,0),IF(L$4=$E87,$C87,0),IF(L$4=$E91,$C91,0),IF(L$4=$E95,$C95,0),IF(L$4=$E99,$C99,0),IF(L$4=$E103,$C103,0),IF(L$4=$E107,$C107,0),IF(L$4=$E111,$C111,0),IF(L$4=$E115,$C115,0),IF(L$4=$E119,$C119,0),IF(L$4=$E123,$C123,0),IF(L$4=$E127,$C127,0),IF(L$4=$E131,$C131,0),IF(L$4=$E135,$C135,0),IF(L$4=$E139,$C139,0),IF(L$4=$E143,$C143,0),IF(L$4=$E147,$C147,0),IF(L$4=$E151,$C151,0),IF(L$4=$E155,$C155,0),IF(L$4=$E159,$C159,0),IF(L$4=$E163,$C163,0),IF(L$4=$E167,$C167,0),IF(L$4=$E171,$C171,0),IF(L$4=$E175,$C175,0),IF(L$4=$E179,$C179,0),IF(L$4=$E183,$C183,0),IF(L$4=$E187,$C187,0),IF(L$4=$E191,$C191,0),IF(L$4=$E195,$C195,0),IF(L$4=$E199,$C199,0),IF(L$4=$E203,$C203,0),IF(L$4=$E207,$C207,0),IF(L$4=$E211,$C211,0),IF(L$4=$E215,$C215,0),IF(L$4=$E219,$C219,0),IF(L$4=$E223,$C223,0),IF(L$4=$E227,$C227,0),IF(L$4=$E231,$C231,0),IF(L$4=$E235,$C235,0),IF(L$4=$E239,$C239,0),IF(L$4=$E243,$C243,0),IF(L$4=$E247,$C247,0),IF(L$4=$E251,$C251,0),IF(L$4=$E255,$C255,0),IF(L$4=$E259,$C259,0),IF(L$4=$E263,$C263,0),IF(L$4=$E267,$C267,0),IF(L$4=$E271,$C271,0),IF(L$4=$E275,$C275,0),IF(L$4=$E279,$C279,0),IF(L$4=$E283,$C283,0),IF(L$4=$E287,$C287,0),IF(L$4=$E291,$C291,0),IF(L$4=$E295,$C295,0))</x:f>
        <x:v>540959.1965956268</x:v>
      </x:c>
      <x:c r="M18" s="169" t="n">
        <x:f>SUM(IF(M$4=$E23,$C23,0),IF(M$4=$E27,$C27,0),IF(M$4=$E31,$C31,0),IF(M$4=$E35,$C35,0),IF(M$4=$E39,$C39,0),IF(M$4=$E43,$C43,0),IF(M$4=$E47,$C47,0),IF(M$4=$E51,$C51,0),IF(M$4=$E55,$C55,0),IF(M$4=$E59,$C59,0),IF(M$4=$E63,$C63,0),IF(M$4=$E67,$C67,0),IF(M$4=$E71,$C71,0),IF(M$4=$E75,$C75,0),IF(M$4=$E79,$C79,0),IF(M$4=$E83,$C83,0),IF(M$4=$E87,$C87,0),IF(M$4=$E91,$C91,0),IF(M$4=$E95,$C95,0),IF(M$4=$E99,$C99,0),IF(M$4=$E103,$C103,0),IF(M$4=$E107,$C107,0),IF(M$4=$E111,$C111,0),IF(M$4=$E115,$C115,0),IF(M$4=$E119,$C119,0),IF(M$4=$E123,$C123,0),IF(M$4=$E127,$C127,0),IF(M$4=$E131,$C131,0),IF(M$4=$E135,$C135,0),IF(M$4=$E139,$C139,0),IF(M$4=$E143,$C143,0),IF(M$4=$E147,$C147,0),IF(M$4=$E151,$C151,0),IF(M$4=$E155,$C155,0),IF(M$4=$E159,$C159,0),IF(M$4=$E163,$C163,0),IF(M$4=$E167,$C167,0),IF(M$4=$E171,$C171,0),IF(M$4=$E175,$C175,0),IF(M$4=$E179,$C179,0),IF(M$4=$E183,$C183,0),IF(M$4=$E187,$C187,0),IF(M$4=$E191,$C191,0),IF(M$4=$E195,$C195,0),IF(M$4=$E199,$C199,0),IF(M$4=$E203,$C203,0),IF(M$4=$E207,$C207,0),IF(M$4=$E211,$C211,0),IF(M$4=$E215,$C215,0),IF(M$4=$E219,$C219,0),IF(M$4=$E223,$C223,0),IF(M$4=$E227,$C227,0),IF(M$4=$E231,$C231,0),IF(M$4=$E235,$C235,0),IF(M$4=$E239,$C239,0),IF(M$4=$E243,$C243,0),IF(M$4=$E247,$C247,0),IF(M$4=$E251,$C251,0),IF(M$4=$E255,$C255,0),IF(M$4=$E259,$C259,0),IF(M$4=$E263,$C263,0),IF(M$4=$E267,$C267,0),IF(M$4=$E271,$C271,0),IF(M$4=$E275,$C275,0),IF(M$4=$E279,$C279,0),IF(M$4=$E283,$C283,0),IF(M$4=$E287,$C287,0),IF(M$4=$E291,$C291,0),IF(M$4=$E295,$C295,0))</x:f>
        <x:v>1131247.763119769</x:v>
      </x:c>
      <x:c r="N18" s="169" t="n">
        <x:f>SUM(IF(N$4=$E23,$C23,0),IF(N$4=$E27,$C27,0),IF(N$4=$E31,$C31,0),IF(N$4=$E35,$C35,0),IF(N$4=$E39,$C39,0),IF(N$4=$E43,$C43,0),IF(N$4=$E47,$C47,0),IF(N$4=$E51,$C51,0),IF(N$4=$E55,$C55,0),IF(N$4=$E59,$C59,0),IF(N$4=$E63,$C63,0),IF(N$4=$E67,$C67,0),IF(N$4=$E71,$C71,0),IF(N$4=$E75,$C75,0),IF(N$4=$E79,$C79,0),IF(N$4=$E83,$C83,0),IF(N$4=$E87,$C87,0),IF(N$4=$E91,$C91,0),IF(N$4=$E95,$C95,0),IF(N$4=$E99,$C99,0),IF(N$4=$E103,$C103,0),IF(N$4=$E107,$C107,0),IF(N$4=$E111,$C111,0),IF(N$4=$E115,$C115,0),IF(N$4=$E119,$C119,0),IF(N$4=$E123,$C123,0),IF(N$4=$E127,$C127,0),IF(N$4=$E131,$C131,0),IF(N$4=$E135,$C135,0),IF(N$4=$E139,$C139,0),IF(N$4=$E143,$C143,0),IF(N$4=$E147,$C147,0),IF(N$4=$E151,$C151,0),IF(N$4=$E155,$C155,0),IF(N$4=$E159,$C159,0),IF(N$4=$E163,$C163,0),IF(N$4=$E167,$C167,0),IF(N$4=$E171,$C171,0),IF(N$4=$E175,$C175,0),IF(N$4=$E179,$C179,0),IF(N$4=$E183,$C183,0),IF(N$4=$E187,$C187,0),IF(N$4=$E191,$C191,0),IF(N$4=$E195,$C195,0),IF(N$4=$E199,$C199,0),IF(N$4=$E203,$C203,0),IF(N$4=$E207,$C207,0),IF(N$4=$E211,$C211,0),IF(N$4=$E215,$C215,0),IF(N$4=$E219,$C219,0),IF(N$4=$E223,$C223,0),IF(N$4=$E227,$C227,0),IF(N$4=$E231,$C231,0),IF(N$4=$E235,$C235,0),IF(N$4=$E239,$C239,0),IF(N$4=$E243,$C243,0),IF(N$4=$E247,$C247,0),IF(N$4=$E251,$C251,0),IF(N$4=$E255,$C255,0),IF(N$4=$E259,$C259,0),IF(N$4=$E263,$C263,0),IF(N$4=$E267,$C267,0),IF(N$4=$E271,$C271,0),IF(N$4=$E275,$C275,0),IF(N$4=$E279,$C279,0),IF(N$4=$E283,$C283,0),IF(N$4=$E287,$C287,0),IF(N$4=$E291,$C291,0),IF(N$4=$E295,$C295,0))</x:f>
        <x:v>1747859.1047929814</x:v>
      </x:c>
      <x:c r="O18" s="169" t="n">
        <x:f>SUM(IF(O$4=$E23,$C23,0),IF(O$4=$E27,$C27,0),IF(O$4=$E31,$C31,0),IF(O$4=$E35,$C35,0),IF(O$4=$E39,$C39,0),IF(O$4=$E43,$C43,0),IF(O$4=$E47,$C47,0),IF(O$4=$E51,$C51,0),IF(O$4=$E55,$C55,0),IF(O$4=$E59,$C59,0),IF(O$4=$E63,$C63,0),IF(O$4=$E67,$C67,0),IF(O$4=$E71,$C71,0),IF(O$4=$E75,$C75,0),IF(O$4=$E79,$C79,0),IF(O$4=$E83,$C83,0),IF(O$4=$E87,$C87,0),IF(O$4=$E91,$C91,0),IF(O$4=$E95,$C95,0),IF(O$4=$E99,$C99,0),IF(O$4=$E103,$C103,0),IF(O$4=$E107,$C107,0),IF(O$4=$E111,$C111,0),IF(O$4=$E115,$C115,0),IF(O$4=$E119,$C119,0),IF(O$4=$E123,$C123,0),IF(O$4=$E127,$C127,0),IF(O$4=$E131,$C131,0),IF(O$4=$E135,$C135,0),IF(O$4=$E139,$C139,0),IF(O$4=$E143,$C143,0),IF(O$4=$E147,$C147,0),IF(O$4=$E151,$C151,0),IF(O$4=$E155,$C155,0),IF(O$4=$E159,$C159,0),IF(O$4=$E163,$C163,0),IF(O$4=$E167,$C167,0),IF(O$4=$E171,$C171,0),IF(O$4=$E175,$C175,0),IF(O$4=$E179,$C179,0),IF(O$4=$E183,$C183,0),IF(O$4=$E187,$C187,0),IF(O$4=$E191,$C191,0),IF(O$4=$E195,$C195,0),IF(O$4=$E199,$C199,0),IF(O$4=$E203,$C203,0),IF(O$4=$E207,$C207,0),IF(O$4=$E211,$C211,0),IF(O$4=$E215,$C215,0),IF(O$4=$E219,$C219,0),IF(O$4=$E223,$C223,0),IF(O$4=$E227,$C227,0),IF(O$4=$E231,$C231,0),IF(O$4=$E235,$C235,0),IF(O$4=$E239,$C239,0),IF(O$4=$E243,$C243,0),IF(O$4=$E247,$C247,0),IF(O$4=$E251,$C251,0),IF(O$4=$E255,$C255,0),IF(O$4=$E259,$C259,0),IF(O$4=$E263,$C263,0),IF(O$4=$E267,$C267,0),IF(O$4=$E271,$C271,0),IF(O$4=$E275,$C275,0),IF(O$4=$E279,$C279,0),IF(O$4=$E283,$C283,0),IF(O$4=$E287,$C287,0),IF(O$4=$E291,$C291,0),IF(O$4=$E295,$C295,0))</x:f>
        <x:v>1922645.01527228</x:v>
      </x:c>
      <x:c r="P18" s="169" t="n">
        <x:f>SUM(IF(P$4=$E23,$C23,0),IF(P$4=$E27,$C27,0),IF(P$4=$E31,$C31,0),IF(P$4=$E35,$C35,0),IF(P$4=$E39,$C39,0),IF(P$4=$E43,$C43,0),IF(P$4=$E47,$C47,0),IF(P$4=$E51,$C51,0),IF(P$4=$E55,$C55,0),IF(P$4=$E59,$C59,0),IF(P$4=$E63,$C63,0),IF(P$4=$E67,$C67,0),IF(P$4=$E71,$C71,0),IF(P$4=$E75,$C75,0),IF(P$4=$E79,$C79,0),IF(P$4=$E83,$C83,0),IF(P$4=$E87,$C87,0),IF(P$4=$E91,$C91,0),IF(P$4=$E95,$C95,0),IF(P$4=$E99,$C99,0),IF(P$4=$E103,$C103,0),IF(P$4=$E107,$C107,0),IF(P$4=$E111,$C111,0),IF(P$4=$E115,$C115,0),IF(P$4=$E119,$C119,0),IF(P$4=$E123,$C123,0),IF(P$4=$E127,$C127,0),IF(P$4=$E131,$C131,0),IF(P$4=$E135,$C135,0),IF(P$4=$E139,$C139,0),IF(P$4=$E143,$C143,0),IF(P$4=$E147,$C147,0),IF(P$4=$E151,$C151,0),IF(P$4=$E155,$C155,0),IF(P$4=$E159,$C159,0),IF(P$4=$E163,$C163,0),IF(P$4=$E167,$C167,0),IF(P$4=$E171,$C171,0),IF(P$4=$E175,$C175,0),IF(P$4=$E179,$C179,0),IF(P$4=$E183,$C183,0),IF(P$4=$E187,$C187,0),IF(P$4=$E191,$C191,0),IF(P$4=$E195,$C195,0),IF(P$4=$E199,$C199,0),IF(P$4=$E203,$C203,0),IF(P$4=$E207,$C207,0),IF(P$4=$E211,$C211,0),IF(P$4=$E215,$C215,0),IF(P$4=$E219,$C219,0),IF(P$4=$E223,$C223,0),IF(P$4=$E227,$C227,0),IF(P$4=$E231,$C231,0),IF(P$4=$E235,$C235,0),IF(P$4=$E239,$C239,0),IF(P$4=$E243,$C243,0),IF(P$4=$E247,$C247,0),IF(P$4=$E251,$C251,0),IF(P$4=$E255,$C255,0),IF(P$4=$E259,$C259,0),IF(P$4=$E263,$C263,0),IF(P$4=$E267,$C267,0),IF(P$4=$E271,$C271,0),IF(P$4=$E275,$C275,0),IF(P$4=$E279,$C279,0),IF(P$4=$E283,$C283,0),IF(P$4=$E287,$C287,0),IF(P$4=$E291,$C291,0),IF(P$4=$E295,$C295,0))</x:f>
        <x:v>2076456.6164940624</x:v>
      </x:c>
      <x:c r="Q18" s="169" t="n">
        <x:f>SUM(IF(Q$4=$E23,$C23,0),IF(Q$4=$E27,$C27,0),IF(Q$4=$E31,$C31,0),IF(Q$4=$E35,$C35,0),IF(Q$4=$E39,$C39,0),IF(Q$4=$E43,$C43,0),IF(Q$4=$E47,$C47,0),IF(Q$4=$E51,$C51,0),IF(Q$4=$E55,$C55,0),IF(Q$4=$E59,$C59,0),IF(Q$4=$E63,$C63,0),IF(Q$4=$E67,$C67,0),IF(Q$4=$E71,$C71,0),IF(Q$4=$E75,$C75,0),IF(Q$4=$E79,$C79,0),IF(Q$4=$E83,$C83,0),IF(Q$4=$E87,$C87,0),IF(Q$4=$E91,$C91,0),IF(Q$4=$E95,$C95,0),IF(Q$4=$E99,$C99,0),IF(Q$4=$E103,$C103,0),IF(Q$4=$E107,$C107,0),IF(Q$4=$E111,$C111,0),IF(Q$4=$E115,$C115,0),IF(Q$4=$E119,$C119,0),IF(Q$4=$E123,$C123,0),IF(Q$4=$E127,$C127,0),IF(Q$4=$E131,$C131,0),IF(Q$4=$E135,$C135,0),IF(Q$4=$E139,$C139,0),IF(Q$4=$E143,$C143,0),IF(Q$4=$E147,$C147,0),IF(Q$4=$E151,$C151,0),IF(Q$4=$E155,$C155,0),IF(Q$4=$E159,$C159,0),IF(Q$4=$E163,$C163,0),IF(Q$4=$E167,$C167,0),IF(Q$4=$E171,$C171,0),IF(Q$4=$E175,$C175,0),IF(Q$4=$E179,$C179,0),IF(Q$4=$E183,$C183,0),IF(Q$4=$E187,$C187,0),IF(Q$4=$E191,$C191,0),IF(Q$4=$E195,$C195,0),IF(Q$4=$E199,$C199,0),IF(Q$4=$E203,$C203,0),IF(Q$4=$E207,$C207,0),IF(Q$4=$E211,$C211,0),IF(Q$4=$E215,$C215,0),IF(Q$4=$E219,$C219,0),IF(Q$4=$E223,$C223,0),IF(Q$4=$E227,$C227,0),IF(Q$4=$E231,$C231,0),IF(Q$4=$E235,$C235,0),IF(Q$4=$E239,$C239,0),IF(Q$4=$E243,$C243,0),IF(Q$4=$E247,$C247,0),IF(Q$4=$E251,$C251,0),IF(Q$4=$E255,$C255,0),IF(Q$4=$E259,$C259,0),IF(Q$4=$E263,$C263,0),IF(Q$4=$E267,$C267,0),IF(Q$4=$E271,$C271,0),IF(Q$4=$E275,$C275,0),IF(Q$4=$E279,$C279,0),IF(Q$4=$E283,$C283,0),IF(Q$4=$E287,$C287,0),IF(Q$4=$E291,$C291,0),IF(Q$4=$E295,$C295,0))</x:f>
        <x:v>2242573.1458135876</x:v>
      </x:c>
      <x:c r="R18" s="169" t="n">
        <x:f>SUM(IF(R$4=$E23,$C23,0),IF(R$4=$E27,$C27,0),IF(R$4=$E31,$C31,0),IF(R$4=$E35,$C35,0),IF(R$4=$E39,$C39,0),IF(R$4=$E43,$C43,0),IF(R$4=$E47,$C47,0),IF(R$4=$E51,$C51,0),IF(R$4=$E55,$C55,0),IF(R$4=$E59,$C59,0),IF(R$4=$E63,$C63,0),IF(R$4=$E67,$C67,0),IF(R$4=$E71,$C71,0),IF(R$4=$E75,$C75,0),IF(R$4=$E79,$C79,0),IF(R$4=$E83,$C83,0),IF(R$4=$E87,$C87,0),IF(R$4=$E91,$C91,0),IF(R$4=$E95,$C95,0),IF(R$4=$E99,$C99,0),IF(R$4=$E103,$C103,0),IF(R$4=$E107,$C107,0),IF(R$4=$E111,$C111,0),IF(R$4=$E115,$C115,0),IF(R$4=$E119,$C119,0),IF(R$4=$E123,$C123,0),IF(R$4=$E127,$C127,0),IF(R$4=$E131,$C131,0),IF(R$4=$E135,$C135,0),IF(R$4=$E139,$C139,0),IF(R$4=$E143,$C143,0),IF(R$4=$E147,$C147,0),IF(R$4=$E151,$C151,0),IF(R$4=$E155,$C155,0),IF(R$4=$E159,$C159,0),IF(R$4=$E163,$C163,0),IF(R$4=$E167,$C167,0),IF(R$4=$E171,$C171,0),IF(R$4=$E175,$C175,0),IF(R$4=$E179,$C179,0),IF(R$4=$E183,$C183,0),IF(R$4=$E187,$C187,0),IF(R$4=$E191,$C191,0),IF(R$4=$E195,$C195,0),IF(R$4=$E199,$C199,0),IF(R$4=$E203,$C203,0),IF(R$4=$E207,$C207,0),IF(R$4=$E211,$C211,0),IF(R$4=$E215,$C215,0),IF(R$4=$E219,$C219,0),IF(R$4=$E223,$C223,0),IF(R$4=$E227,$C227,0),IF(R$4=$E231,$C231,0),IF(R$4=$E235,$C235,0),IF(R$4=$E239,$C239,0),IF(R$4=$E243,$C243,0),IF(R$4=$E247,$C247,0),IF(R$4=$E251,$C251,0),IF(R$4=$E255,$C255,0),IF(R$4=$E259,$C259,0),IF(R$4=$E263,$C263,0),IF(R$4=$E267,$C267,0),IF(R$4=$E271,$C271,0),IF(R$4=$E275,$C275,0),IF(R$4=$E279,$C279,0),IF(R$4=$E283,$C283,0),IF(R$4=$E287,$C287,0),IF(R$4=$E291,$C291,0),IF(R$4=$E295,$C295,0))</x:f>
        <x:v>2421978.997478674</x:v>
      </x:c>
      <x:c r="S18" s="169" t="n">
        <x:f>SUM(IF(S$4=$E23,$C23,0),IF(S$4=$E27,$C27,0),IF(S$4=$E31,$C31,0),IF(S$4=$E35,$C35,0),IF(S$4=$E39,$C39,0),IF(S$4=$E43,$C43,0),IF(S$4=$E47,$C47,0),IF(S$4=$E51,$C51,0),IF(S$4=$E55,$C55,0),IF(S$4=$E59,$C59,0),IF(S$4=$E63,$C63,0),IF(S$4=$E67,$C67,0),IF(S$4=$E71,$C71,0),IF(S$4=$E75,$C75,0),IF(S$4=$E79,$C79,0),IF(S$4=$E83,$C83,0),IF(S$4=$E87,$C87,0),IF(S$4=$E91,$C91,0),IF(S$4=$E95,$C95,0),IF(S$4=$E99,$C99,0),IF(S$4=$E103,$C103,0),IF(S$4=$E107,$C107,0),IF(S$4=$E111,$C111,0),IF(S$4=$E115,$C115,0),IF(S$4=$E119,$C119,0),IF(S$4=$E123,$C123,0),IF(S$4=$E127,$C127,0),IF(S$4=$E131,$C131,0),IF(S$4=$E135,$C135,0),IF(S$4=$E139,$C139,0),IF(S$4=$E143,$C143,0),IF(S$4=$E147,$C147,0),IF(S$4=$E151,$C151,0),IF(S$4=$E155,$C155,0),IF(S$4=$E159,$C159,0),IF(S$4=$E163,$C163,0),IF(S$4=$E167,$C167,0),IF(S$4=$E171,$C171,0),IF(S$4=$E175,$C175,0),IF(S$4=$E179,$C179,0),IF(S$4=$E183,$C183,0),IF(S$4=$E187,$C187,0),IF(S$4=$E191,$C191,0),IF(S$4=$E195,$C195,0),IF(S$4=$E199,$C199,0),IF(S$4=$E203,$C203,0),IF(S$4=$E207,$C207,0),IF(S$4=$E211,$C211,0),IF(S$4=$E215,$C215,0),IF(S$4=$E219,$C219,0),IF(S$4=$E223,$C223,0),IF(S$4=$E227,$C227,0),IF(S$4=$E231,$C231,0),IF(S$4=$E235,$C235,0),IF(S$4=$E239,$C239,0),IF(S$4=$E243,$C243,0),IF(S$4=$E247,$C247,0),IF(S$4=$E251,$C251,0),IF(S$4=$E255,$C255,0),IF(S$4=$E259,$C259,0),IF(S$4=$E263,$C263,0),IF(S$4=$E267,$C267,0),IF(S$4=$E271,$C271,0),IF(S$4=$E275,$C275,0),IF(S$4=$E279,$C279,0),IF(S$4=$E283,$C283,0),IF(S$4=$E287,$C287,0),IF(S$4=$E291,$C291,0),IF(S$4=$E295,$C295,0))</x:f>
        <x:v>2615737.3172769686</x:v>
      </x:c>
      <x:c r="T18" s="169" t="n">
        <x:f>SUM(IF(T$4=$E23,$C23,0),IF(T$4=$E27,$C27,0),IF(T$4=$E31,$C31,0),IF(T$4=$E35,$C35,0),IF(T$4=$E39,$C39,0),IF(T$4=$E43,$C43,0),IF(T$4=$E47,$C47,0),IF(T$4=$E51,$C51,0),IF(T$4=$E55,$C55,0),IF(T$4=$E59,$C59,0),IF(T$4=$E63,$C63,0),IF(T$4=$E67,$C67,0),IF(T$4=$E71,$C71,0),IF(T$4=$E75,$C75,0),IF(T$4=$E79,$C79,0),IF(T$4=$E83,$C83,0),IF(T$4=$E87,$C87,0),IF(T$4=$E91,$C91,0),IF(T$4=$E95,$C95,0),IF(T$4=$E99,$C99,0),IF(T$4=$E103,$C103,0),IF(T$4=$E107,$C107,0),IF(T$4=$E111,$C111,0),IF(T$4=$E115,$C115,0),IF(T$4=$E119,$C119,0),IF(T$4=$E123,$C123,0),IF(T$4=$E127,$C127,0),IF(T$4=$E131,$C131,0),IF(T$4=$E135,$C135,0),IF(T$4=$E139,$C139,0),IF(T$4=$E143,$C143,0),IF(T$4=$E147,$C147,0),IF(T$4=$E151,$C151,0),IF(T$4=$E155,$C155,0),IF(T$4=$E159,$C159,0),IF(T$4=$E163,$C163,0),IF(T$4=$E167,$C167,0),IF(T$4=$E171,$C171,0),IF(T$4=$E175,$C175,0),IF(T$4=$E179,$C179,0),IF(T$4=$E183,$C183,0),IF(T$4=$E187,$C187,0),IF(T$4=$E191,$C191,0),IF(T$4=$E195,$C195,0),IF(T$4=$E199,$C199,0),IF(T$4=$E203,$C203,0),IF(T$4=$E207,$C207,0),IF(T$4=$E211,$C211,0),IF(T$4=$E215,$C215,0),IF(T$4=$E219,$C219,0),IF(T$4=$E223,$C223,0),IF(T$4=$E227,$C227,0),IF(T$4=$E231,$C231,0),IF(T$4=$E235,$C235,0),IF(T$4=$E239,$C239,0),IF(T$4=$E243,$C243,0),IF(T$4=$E247,$C247,0),IF(T$4=$E251,$C251,0),IF(T$4=$E255,$C255,0),IF(T$4=$E259,$C259,0),IF(T$4=$E263,$C263,0),IF(T$4=$E267,$C267,0),IF(T$4=$E271,$C271,0),IF(T$4=$E275,$C275,0),IF(T$4=$E279,$C279,0),IF(T$4=$E283,$C283,0),IF(T$4=$E287,$C287,0),IF(T$4=$E291,$C291,0),IF(T$4=$E295,$C295,0))</x:f>
        <x:v>2824996.3026591265</x:v>
      </x:c>
      <x:c r="U18" s="169" t="n">
        <x:f>SUM(IF(U$4=$E23,$C23,0),IF(U$4=$E27,$C27,0),IF(U$4=$E31,$C31,0),IF(U$4=$E35,$C35,0),IF(U$4=$E39,$C39,0),IF(U$4=$E43,$C43,0),IF(U$4=$E47,$C47,0),IF(U$4=$E51,$C51,0),IF(U$4=$E55,$C55,0),IF(U$4=$E59,$C59,0),IF(U$4=$E63,$C63,0),IF(U$4=$E67,$C67,0),IF(U$4=$E71,$C71,0),IF(U$4=$E75,$C75,0),IF(U$4=$E79,$C79,0),IF(U$4=$E83,$C83,0),IF(U$4=$E87,$C87,0),IF(U$4=$E91,$C91,0),IF(U$4=$E95,$C95,0),IF(U$4=$E99,$C99,0),IF(U$4=$E103,$C103,0),IF(U$4=$E107,$C107,0),IF(U$4=$E111,$C111,0),IF(U$4=$E115,$C115,0),IF(U$4=$E119,$C119,0),IF(U$4=$E123,$C123,0),IF(U$4=$E127,$C127,0),IF(U$4=$E131,$C131,0),IF(U$4=$E135,$C135,0),IF(U$4=$E139,$C139,0),IF(U$4=$E143,$C143,0),IF(U$4=$E147,$C147,0),IF(U$4=$E151,$C151,0),IF(U$4=$E155,$C155,0),IF(U$4=$E159,$C159,0),IF(U$4=$E163,$C163,0),IF(U$4=$E167,$C167,0),IF(U$4=$E171,$C171,0),IF(U$4=$E175,$C175,0),IF(U$4=$E179,$C179,0),IF(U$4=$E183,$C183,0),IF(U$4=$E187,$C187,0),IF(U$4=$E191,$C191,0),IF(U$4=$E195,$C195,0),IF(U$4=$E199,$C199,0),IF(U$4=$E203,$C203,0),IF(U$4=$E207,$C207,0),IF(U$4=$E211,$C211,0),IF(U$4=$E215,$C215,0),IF(U$4=$E219,$C219,0),IF(U$4=$E223,$C223,0),IF(U$4=$E227,$C227,0),IF(U$4=$E231,$C231,0),IF(U$4=$E235,$C235,0),IF(U$4=$E239,$C239,0),IF(U$4=$E243,$C243,0),IF(U$4=$E247,$C247,0),IF(U$4=$E251,$C251,0),IF(U$4=$E255,$C255,0),IF(U$4=$E259,$C259,0),IF(U$4=$E263,$C263,0),IF(U$4=$E267,$C267,0),IF(U$4=$E271,$C271,0),IF(U$4=$E275,$C275,0),IF(U$4=$E279,$C279,0),IF(U$4=$E283,$C283,0),IF(U$4=$E287,$C287,0),IF(U$4=$E291,$C291,0),IF(U$4=$E295,$C295,0))</x:f>
        <x:v>3050996.0068718567</x:v>
      </x:c>
      <x:c r="V18" s="169" t="n">
        <x:f>SUM(IF(V$4=$E23,$C23,0),IF(V$4=$E27,$C27,0),IF(V$4=$E31,$C31,0),IF(V$4=$E35,$C35,0),IF(V$4=$E39,$C39,0),IF(V$4=$E43,$C43,0),IF(V$4=$E47,$C47,0),IF(V$4=$E51,$C51,0),IF(V$4=$E55,$C55,0),IF(V$4=$E59,$C59,0),IF(V$4=$E63,$C63,0),IF(V$4=$E67,$C67,0),IF(V$4=$E71,$C71,0),IF(V$4=$E75,$C75,0),IF(V$4=$E79,$C79,0),IF(V$4=$E83,$C83,0),IF(V$4=$E87,$C87,0),IF(V$4=$E91,$C91,0),IF(V$4=$E95,$C95,0),IF(V$4=$E99,$C99,0),IF(V$4=$E103,$C103,0),IF(V$4=$E107,$C107,0),IF(V$4=$E111,$C111,0),IF(V$4=$E115,$C115,0),IF(V$4=$E119,$C119,0),IF(V$4=$E123,$C123,0),IF(V$4=$E127,$C127,0),IF(V$4=$E131,$C131,0),IF(V$4=$E135,$C135,0),IF(V$4=$E139,$C139,0),IF(V$4=$E143,$C143,0),IF(V$4=$E147,$C147,0),IF(V$4=$E151,$C151,0),IF(V$4=$E155,$C155,0),IF(V$4=$E159,$C159,0),IF(V$4=$E163,$C163,0),IF(V$4=$E167,$C167,0),IF(V$4=$E171,$C171,0),IF(V$4=$E175,$C175,0),IF(V$4=$E179,$C179,0),IF(V$4=$E183,$C183,0),IF(V$4=$E187,$C187,0),IF(V$4=$E191,$C191,0),IF(V$4=$E195,$C195,0),IF(V$4=$E199,$C199,0),IF(V$4=$E203,$C203,0),IF(V$4=$E207,$C207,0),IF(V$4=$E211,$C211,0),IF(V$4=$E215,$C215,0),IF(V$4=$E219,$C219,0),IF(V$4=$E223,$C223,0),IF(V$4=$E227,$C227,0),IF(V$4=$E231,$C231,0),IF(V$4=$E235,$C235,0),IF(V$4=$E239,$C239,0),IF(V$4=$E243,$C243,0),IF(V$4=$E247,$C247,0),IF(V$4=$E251,$C251,0),IF(V$4=$E255,$C255,0),IF(V$4=$E259,$C259,0),IF(V$4=$E263,$C263,0),IF(V$4=$E267,$C267,0),IF(V$4=$E271,$C271,0),IF(V$4=$E275,$C275,0),IF(V$4=$E279,$C279,0),IF(V$4=$E283,$C283,0),IF(V$4=$E287,$C287,0),IF(V$4=$E291,$C291,0),IF(V$4=$E295,$C295,0))</x:f>
        <x:v>3295075.687421606</x:v>
      </x:c>
      <x:c r="W18" s="169" t="n">
        <x:f>SUM(IF(W$4=$E23,$C23,0),IF(W$4=$E27,$C27,0),IF(W$4=$E31,$C31,0),IF(W$4=$E35,$C35,0),IF(W$4=$E39,$C39,0),IF(W$4=$E43,$C43,0),IF(W$4=$E47,$C47,0),IF(W$4=$E51,$C51,0),IF(W$4=$E55,$C55,0),IF(W$4=$E59,$C59,0),IF(W$4=$E63,$C63,0),IF(W$4=$E67,$C67,0),IF(W$4=$E71,$C71,0),IF(W$4=$E75,$C75,0),IF(W$4=$E79,$C79,0),IF(W$4=$E83,$C83,0),IF(W$4=$E87,$C87,0),IF(W$4=$E91,$C91,0),IF(W$4=$E95,$C95,0),IF(W$4=$E99,$C99,0),IF(W$4=$E103,$C103,0),IF(W$4=$E107,$C107,0),IF(W$4=$E111,$C111,0),IF(W$4=$E115,$C115,0),IF(W$4=$E119,$C119,0),IF(W$4=$E123,$C123,0),IF(W$4=$E127,$C127,0),IF(W$4=$E131,$C131,0),IF(W$4=$E135,$C135,0),IF(W$4=$E139,$C139,0),IF(W$4=$E143,$C143,0),IF(W$4=$E147,$C147,0),IF(W$4=$E151,$C151,0),IF(W$4=$E155,$C155,0),IF(W$4=$E159,$C159,0),IF(W$4=$E163,$C163,0),IF(W$4=$E167,$C167,0),IF(W$4=$E171,$C171,0),IF(W$4=$E175,$C175,0),IF(W$4=$E179,$C179,0),IF(W$4=$E183,$C183,0),IF(W$4=$E187,$C187,0),IF(W$4=$E191,$C191,0),IF(W$4=$E195,$C195,0),IF(W$4=$E199,$C199,0),IF(W$4=$E203,$C203,0),IF(W$4=$E207,$C207,0),IF(W$4=$E211,$C211,0),IF(W$4=$E215,$C215,0),IF(W$4=$E219,$C219,0),IF(W$4=$E223,$C223,0),IF(W$4=$E227,$C227,0),IF(W$4=$E231,$C231,0),IF(W$4=$E235,$C235,0),IF(W$4=$E239,$C239,0),IF(W$4=$E243,$C243,0),IF(W$4=$E247,$C247,0),IF(W$4=$E251,$C251,0),IF(W$4=$E255,$C255,0),IF(W$4=$E259,$C259,0),IF(W$4=$E263,$C263,0),IF(W$4=$E267,$C267,0),IF(W$4=$E271,$C271,0),IF(W$4=$E275,$C275,0),IF(W$4=$E279,$C279,0),IF(W$4=$E283,$C283,0),IF(W$4=$E287,$C287,0),IF(W$4=$E291,$C291,0),IF(W$4=$E295,$C295,0))</x:f>
        <x:v>3558681.742415334</x:v>
      </x:c>
      <x:c r="X18" s="169" t="n">
        <x:f>SUM(IF(X$4=$E23,$C23,0),IF(X$4=$E27,$C27,0),IF(X$4=$E31,$C31,0),IF(X$4=$E35,$C35,0),IF(X$4=$E39,$C39,0),IF(X$4=$E43,$C43,0),IF(X$4=$E47,$C47,0),IF(X$4=$E51,$C51,0),IF(X$4=$E55,$C55,0),IF(X$4=$E59,$C59,0),IF(X$4=$E63,$C63,0),IF(X$4=$E67,$C67,0),IF(X$4=$E71,$C71,0),IF(X$4=$E75,$C75,0),IF(X$4=$E79,$C79,0),IF(X$4=$E83,$C83,0),IF(X$4=$E87,$C87,0),IF(X$4=$E91,$C91,0),IF(X$4=$E95,$C95,0),IF(X$4=$E99,$C99,0),IF(X$4=$E103,$C103,0),IF(X$4=$E107,$C107,0),IF(X$4=$E111,$C111,0),IF(X$4=$E115,$C115,0),IF(X$4=$E119,$C119,0),IF(X$4=$E123,$C123,0),IF(X$4=$E127,$C127,0),IF(X$4=$E131,$C131,0),IF(X$4=$E135,$C135,0),IF(X$4=$E139,$C139,0),IF(X$4=$E143,$C143,0),IF(X$4=$E147,$C147,0),IF(X$4=$E151,$C151,0),IF(X$4=$E155,$C155,0),IF(X$4=$E159,$C159,0),IF(X$4=$E163,$C163,0),IF(X$4=$E167,$C167,0),IF(X$4=$E171,$C171,0),IF(X$4=$E175,$C175,0),IF(X$4=$E179,$C179,0),IF(X$4=$E183,$C183,0),IF(X$4=$E187,$C187,0),IF(X$4=$E191,$C191,0),IF(X$4=$E195,$C195,0),IF(X$4=$E199,$C199,0),IF(X$4=$E203,$C203,0),IF(X$4=$E207,$C207,0),IF(X$4=$E211,$C211,0),IF(X$4=$E215,$C215,0),IF(X$4=$E219,$C219,0),IF(X$4=$E223,$C223,0),IF(X$4=$E227,$C227,0),IF(X$4=$E231,$C231,0),IF(X$4=$E235,$C235,0),IF(X$4=$E239,$C239,0),IF(X$4=$E243,$C243,0),IF(X$4=$E247,$C247,0),IF(X$4=$E251,$C251,0),IF(X$4=$E255,$C255,0),IF(X$4=$E259,$C259,0),IF(X$4=$E263,$C263,0),IF(X$4=$E267,$C267,0),IF(X$4=$E271,$C271,0),IF(X$4=$E275,$C275,0),IF(X$4=$E279,$C279,0),IF(X$4=$E283,$C283,0),IF(X$4=$E287,$C287,0),IF(X$4=$E291,$C291,0),IF(X$4=$E295,$C295,0))</x:f>
        <x:v>3843376.281808561</x:v>
      </x:c>
      <x:c r="Y18" s="169" t="n">
        <x:f>SUM(IF(Y$4=$E23,$C23,0),IF(Y$4=$E27,$C27,0),IF(Y$4=$E31,$C31,0),IF(Y$4=$E35,$C35,0),IF(Y$4=$E39,$C39,0),IF(Y$4=$E43,$C43,0),IF(Y$4=$E47,$C47,0),IF(Y$4=$E51,$C51,0),IF(Y$4=$E55,$C55,0),IF(Y$4=$E59,$C59,0),IF(Y$4=$E63,$C63,0),IF(Y$4=$E67,$C67,0),IF(Y$4=$E71,$C71,0),IF(Y$4=$E75,$C75,0),IF(Y$4=$E79,$C79,0),IF(Y$4=$E83,$C83,0),IF(Y$4=$E87,$C87,0),IF(Y$4=$E91,$C91,0),IF(Y$4=$E95,$C95,0),IF(Y$4=$E99,$C99,0),IF(Y$4=$E103,$C103,0),IF(Y$4=$E107,$C107,0),IF(Y$4=$E111,$C111,0),IF(Y$4=$E115,$C115,0),IF(Y$4=$E119,$C119,0),IF(Y$4=$E123,$C123,0),IF(Y$4=$E127,$C127,0),IF(Y$4=$E131,$C131,0),IF(Y$4=$E135,$C135,0),IF(Y$4=$E139,$C139,0),IF(Y$4=$E143,$C143,0),IF(Y$4=$E147,$C147,0),IF(Y$4=$E151,$C151,0),IF(Y$4=$E155,$C155,0),IF(Y$4=$E159,$C159,0),IF(Y$4=$E163,$C163,0),IF(Y$4=$E167,$C167,0),IF(Y$4=$E171,$C171,0),IF(Y$4=$E175,$C175,0),IF(Y$4=$E179,$C179,0),IF(Y$4=$E183,$C183,0),IF(Y$4=$E187,$C187,0),IF(Y$4=$E191,$C191,0),IF(Y$4=$E195,$C195,0),IF(Y$4=$E199,$C199,0),IF(Y$4=$E203,$C203,0),IF(Y$4=$E207,$C207,0),IF(Y$4=$E211,$C211,0),IF(Y$4=$E215,$C215,0),IF(Y$4=$E219,$C219,0),IF(Y$4=$E223,$C223,0),IF(Y$4=$E227,$C227,0),IF(Y$4=$E231,$C231,0),IF(Y$4=$E235,$C235,0),IF(Y$4=$E239,$C239,0),IF(Y$4=$E243,$C243,0),IF(Y$4=$E247,$C247,0),IF(Y$4=$E251,$C251,0),IF(Y$4=$E255,$C255,0),IF(Y$4=$E259,$C259,0),IF(Y$4=$E263,$C263,0),IF(Y$4=$E267,$C267,0),IF(Y$4=$E271,$C271,0),IF(Y$4=$E275,$C275,0),IF(Y$4=$E279,$C279,0),IF(Y$4=$E283,$C283,0),IF(Y$4=$E287,$C287,0),IF(Y$4=$E291,$C291,0),IF(Y$4=$E295,$C295,0))</x:f>
        <x:v>4150846.3843532456</x:v>
      </x:c>
      <x:c r="Z18" s="169" t="n">
        <x:f>SUM(IF(Z$4=$E23,$C23,0),IF(Z$4=$E27,$C27,0),IF(Z$4=$E31,$C31,0),IF(Z$4=$E35,$C35,0),IF(Z$4=$E39,$C39,0),IF(Z$4=$E43,$C43,0),IF(Z$4=$E47,$C47,0),IF(Z$4=$E51,$C51,0),IF(Z$4=$E55,$C55,0),IF(Z$4=$E59,$C59,0),IF(Z$4=$E63,$C63,0),IF(Z$4=$E67,$C67,0),IF(Z$4=$E71,$C71,0),IF(Z$4=$E75,$C75,0),IF(Z$4=$E79,$C79,0),IF(Z$4=$E83,$C83,0),IF(Z$4=$E87,$C87,0),IF(Z$4=$E91,$C91,0),IF(Z$4=$E95,$C95,0),IF(Z$4=$E99,$C99,0),IF(Z$4=$E103,$C103,0),IF(Z$4=$E107,$C107,0),IF(Z$4=$E111,$C111,0),IF(Z$4=$E115,$C115,0),IF(Z$4=$E119,$C119,0),IF(Z$4=$E123,$C123,0),IF(Z$4=$E127,$C127,0),IF(Z$4=$E131,$C131,0),IF(Z$4=$E135,$C135,0),IF(Z$4=$E139,$C139,0),IF(Z$4=$E143,$C143,0),IF(Z$4=$E147,$C147,0),IF(Z$4=$E151,$C151,0),IF(Z$4=$E155,$C155,0),IF(Z$4=$E159,$C159,0),IF(Z$4=$E163,$C163,0),IF(Z$4=$E167,$C167,0),IF(Z$4=$E171,$C171,0),IF(Z$4=$E175,$C175,0),IF(Z$4=$E179,$C179,0),IF(Z$4=$E183,$C183,0),IF(Z$4=$E187,$C187,0),IF(Z$4=$E191,$C191,0),IF(Z$4=$E195,$C195,0),IF(Z$4=$E199,$C199,0),IF(Z$4=$E203,$C203,0),IF(Z$4=$E207,$C207,0),IF(Z$4=$E211,$C211,0),IF(Z$4=$E215,$C215,0),IF(Z$4=$E219,$C219,0),IF(Z$4=$E223,$C223,0),IF(Z$4=$E227,$C227,0),IF(Z$4=$E231,$C231,0),IF(Z$4=$E235,$C235,0),IF(Z$4=$E239,$C239,0),IF(Z$4=$E243,$C243,0),IF(Z$4=$E247,$C247,0),IF(Z$4=$E251,$C251,0),IF(Z$4=$E255,$C255,0),IF(Z$4=$E259,$C259,0),IF(Z$4=$E263,$C263,0),IF(Z$4=$E267,$C267,0),IF(Z$4=$E271,$C271,0),IF(Z$4=$E275,$C275,0),IF(Z$4=$E279,$C279,0),IF(Z$4=$E283,$C283,0),IF(Z$4=$E287,$C287,0),IF(Z$4=$E291,$C291,0),IF(Z$4=$E295,$C295,0))</x:f>
        <x:v>4482914.095101506</x:v>
      </x:c>
      <x:c r="AA18" s="169" t="n">
        <x:f>SUM(IF(AA$4=$E23,$C23,0),IF(AA$4=$E27,$C27,0),IF(AA$4=$E31,$C31,0),IF(AA$4=$E35,$C35,0),IF(AA$4=$E39,$C39,0),IF(AA$4=$E43,$C43,0),IF(AA$4=$E47,$C47,0),IF(AA$4=$E51,$C51,0),IF(AA$4=$E55,$C55,0),IF(AA$4=$E59,$C59,0),IF(AA$4=$E63,$C63,0),IF(AA$4=$E67,$C67,0),IF(AA$4=$E71,$C71,0),IF(AA$4=$E75,$C75,0),IF(AA$4=$E79,$C79,0),IF(AA$4=$E83,$C83,0),IF(AA$4=$E87,$C87,0),IF(AA$4=$E91,$C91,0),IF(AA$4=$E95,$C95,0),IF(AA$4=$E99,$C99,0),IF(AA$4=$E103,$C103,0),IF(AA$4=$E107,$C107,0),IF(AA$4=$E111,$C111,0),IF(AA$4=$E115,$C115,0),IF(AA$4=$E119,$C119,0),IF(AA$4=$E123,$C123,0),IF(AA$4=$E127,$C127,0),IF(AA$4=$E131,$C131,0),IF(AA$4=$E135,$C135,0),IF(AA$4=$E139,$C139,0),IF(AA$4=$E143,$C143,0),IF(AA$4=$E147,$C147,0),IF(AA$4=$E151,$C151,0),IF(AA$4=$E155,$C155,0),IF(AA$4=$E159,$C159,0),IF(AA$4=$E163,$C163,0),IF(AA$4=$E167,$C167,0),IF(AA$4=$E171,$C171,0),IF(AA$4=$E175,$C175,0),IF(AA$4=$E179,$C179,0),IF(AA$4=$E183,$C183,0),IF(AA$4=$E187,$C187,0),IF(AA$4=$E191,$C191,0),IF(AA$4=$E195,$C195,0),IF(AA$4=$E199,$C199,0),IF(AA$4=$E203,$C203,0),IF(AA$4=$E207,$C207,0),IF(AA$4=$E211,$C211,0),IF(AA$4=$E215,$C215,0),IF(AA$4=$E219,$C219,0),IF(AA$4=$E223,$C223,0),IF(AA$4=$E227,$C227,0),IF(AA$4=$E231,$C231,0),IF(AA$4=$E235,$C235,0),IF(AA$4=$E239,$C239,0),IF(AA$4=$E243,$C243,0),IF(AA$4=$E247,$C247,0),IF(AA$4=$E251,$C251,0),IF(AA$4=$E255,$C255,0),IF(AA$4=$E259,$C259,0),IF(AA$4=$E263,$C263,0),IF(AA$4=$E267,$C267,0),IF(AA$4=$E271,$C271,0),IF(AA$4=$E275,$C275,0),IF(AA$4=$E279,$C279,0),IF(AA$4=$E283,$C283,0),IF(AA$4=$E287,$C287,0),IF(AA$4=$E291,$C291,0),IF(AA$4=$E295,$C295,0))</x:f>
        <x:v>4841547.222709627</x:v>
      </x:c>
      <x:c r="AB18" s="169" t="n">
        <x:f>SUM(IF(AB$4=$E23,$C23,0),IF(AB$4=$E27,$C27,0),IF(AB$4=$E31,$C31,0),IF(AB$4=$E35,$C35,0),IF(AB$4=$E39,$C39,0),IF(AB$4=$E43,$C43,0),IF(AB$4=$E47,$C47,0),IF(AB$4=$E51,$C51,0),IF(AB$4=$E55,$C55,0),IF(AB$4=$E59,$C59,0),IF(AB$4=$E63,$C63,0),IF(AB$4=$E67,$C67,0),IF(AB$4=$E71,$C71,0),IF(AB$4=$E75,$C75,0),IF(AB$4=$E79,$C79,0),IF(AB$4=$E83,$C83,0),IF(AB$4=$E87,$C87,0),IF(AB$4=$E91,$C91,0),IF(AB$4=$E95,$C95,0),IF(AB$4=$E99,$C99,0),IF(AB$4=$E103,$C103,0),IF(AB$4=$E107,$C107,0),IF(AB$4=$E111,$C111,0),IF(AB$4=$E115,$C115,0),IF(AB$4=$E119,$C119,0),IF(AB$4=$E123,$C123,0),IF(AB$4=$E127,$C127,0),IF(AB$4=$E131,$C131,0),IF(AB$4=$E135,$C135,0),IF(AB$4=$E139,$C139,0),IF(AB$4=$E143,$C143,0),IF(AB$4=$E147,$C147,0),IF(AB$4=$E151,$C151,0),IF(AB$4=$E155,$C155,0),IF(AB$4=$E159,$C159,0),IF(AB$4=$E163,$C163,0),IF(AB$4=$E167,$C167,0),IF(AB$4=$E171,$C171,0),IF(AB$4=$E175,$C175,0),IF(AB$4=$E179,$C179,0),IF(AB$4=$E183,$C183,0),IF(AB$4=$E187,$C187,0),IF(AB$4=$E191,$C191,0),IF(AB$4=$E195,$C195,0),IF(AB$4=$E199,$C199,0),IF(AB$4=$E203,$C203,0),IF(AB$4=$E207,$C207,0),IF(AB$4=$E211,$C211,0),IF(AB$4=$E215,$C215,0),IF(AB$4=$E219,$C219,0),IF(AB$4=$E223,$C223,0),IF(AB$4=$E227,$C227,0),IF(AB$4=$E231,$C231,0),IF(AB$4=$E235,$C235,0),IF(AB$4=$E239,$C239,0),IF(AB$4=$E243,$C243,0),IF(AB$4=$E247,$C247,0),IF(AB$4=$E251,$C251,0),IF(AB$4=$E255,$C255,0),IF(AB$4=$E259,$C259,0),IF(AB$4=$E263,$C263,0),IF(AB$4=$E267,$C267,0),IF(AB$4=$E271,$C271,0),IF(AB$4=$E275,$C275,0),IF(AB$4=$E279,$C279,0),IF(AB$4=$E283,$C283,0),IF(AB$4=$E287,$C287,0),IF(AB$4=$E291,$C291,0),IF(AB$4=$E295,$C295,0))</x:f>
        <x:v>5228871.0005263975</x:v>
      </x:c>
      <x:c r="AC18" s="169" t="n">
        <x:f>SUM(IF(AC$4=$E23,$C23,0),IF(AC$4=$E27,$C27,0),IF(AC$4=$E31,$C31,0),IF(AC$4=$E35,$C35,0),IF(AC$4=$E39,$C39,0),IF(AC$4=$E43,$C43,0),IF(AC$4=$E47,$C47,0),IF(AC$4=$E51,$C51,0),IF(AC$4=$E55,$C55,0),IF(AC$4=$E59,$C59,0),IF(AC$4=$E63,$C63,0),IF(AC$4=$E67,$C67,0),IF(AC$4=$E71,$C71,0),IF(AC$4=$E75,$C75,0),IF(AC$4=$E79,$C79,0),IF(AC$4=$E83,$C83,0),IF(AC$4=$E87,$C87,0),IF(AC$4=$E91,$C91,0),IF(AC$4=$E95,$C95,0),IF(AC$4=$E99,$C99,0),IF(AC$4=$E103,$C103,0),IF(AC$4=$E107,$C107,0),IF(AC$4=$E111,$C111,0),IF(AC$4=$E115,$C115,0),IF(AC$4=$E119,$C119,0),IF(AC$4=$E123,$C123,0),IF(AC$4=$E127,$C127,0),IF(AC$4=$E131,$C131,0),IF(AC$4=$E135,$C135,0),IF(AC$4=$E139,$C139,0),IF(AC$4=$E143,$C143,0),IF(AC$4=$E147,$C147,0),IF(AC$4=$E151,$C151,0),IF(AC$4=$E155,$C155,0),IF(AC$4=$E159,$C159,0),IF(AC$4=$E163,$C163,0),IF(AC$4=$E167,$C167,0),IF(AC$4=$E171,$C171,0),IF(AC$4=$E175,$C175,0),IF(AC$4=$E179,$C179,0),IF(AC$4=$E183,$C183,0),IF(AC$4=$E187,$C187,0),IF(AC$4=$E191,$C191,0),IF(AC$4=$E195,$C195,0),IF(AC$4=$E199,$C199,0),IF(AC$4=$E203,$C203,0),IF(AC$4=$E207,$C207,0),IF(AC$4=$E211,$C211,0),IF(AC$4=$E215,$C215,0),IF(AC$4=$E219,$C219,0),IF(AC$4=$E223,$C223,0),IF(AC$4=$E227,$C227,0),IF(AC$4=$E231,$C231,0),IF(AC$4=$E235,$C235,0),IF(AC$4=$E239,$C239,0),IF(AC$4=$E243,$C243,0),IF(AC$4=$E247,$C247,0),IF(AC$4=$E251,$C251,0),IF(AC$4=$E255,$C255,0),IF(AC$4=$E259,$C259,0),IF(AC$4=$E263,$C263,0),IF(AC$4=$E267,$C267,0),IF(AC$4=$E271,$C271,0),IF(AC$4=$E275,$C275,0),IF(AC$4=$E279,$C279,0),IF(AC$4=$E283,$C283,0),IF(AC$4=$E287,$C287,0),IF(AC$4=$E291,$C291,0),IF(AC$4=$E295,$C295,0))</x:f>
        <x:v>5647180.68056851</x:v>
      </x:c>
    </x:row>
    <x:row r="19" ht="18" customHeight="1">
      <x:c r="A19" s="169" t="str">
        <x:v>Roll-forward check (zero)</x:v>
      </x:c>
      <x:c r="B19" s="169"/>
      <x:c r="C19" s="169"/>
      <x:c r="D19" s="169"/>
      <x:c r="E19" s="169"/>
      <x:c r="F19" s="169"/>
      <x:c r="G19" s="169" t="n">
        <x:f>G16-G14-G17</x:f>
        <x:v>0</x:v>
      </x:c>
      <x:c r="H19" s="169" t="n">
        <x:f>H16-H14-H17</x:f>
        <x:v>0</x:v>
      </x:c>
      <x:c r="I19" s="169" t="n">
        <x:f>I16-I14-I17</x:f>
        <x:v>0</x:v>
      </x:c>
      <x:c r="J19" s="169" t="n">
        <x:f>J16-J14-J17</x:f>
        <x:v>2.9103830456733704e-11</x:v>
      </x:c>
      <x:c r="K19" s="169" t="n">
        <x:f>K16-K14-K17</x:f>
        <x:v>0</x:v>
      </x:c>
      <x:c r="L19" s="169" t="n">
        <x:f>L16-L14-L17</x:f>
        <x:v>0</x:v>
      </x:c>
      <x:c r="M19" s="169" t="n">
        <x:f>M16-M14-M17</x:f>
        <x:v>2.3283064365386963e-10</x:v>
      </x:c>
      <x:c r="N19" s="169" t="n">
        <x:f>N16-N14-N17</x:f>
        <x:v>0</x:v>
      </x:c>
      <x:c r="O19" s="169" t="n">
        <x:f>O16-O14-O17</x:f>
        <x:v>-4.656612873077393e-10</x:v>
      </x:c>
      <x:c r="P19" s="169" t="n">
        <x:f>P16-P14-P17</x:f>
        <x:v>0</x:v>
      </x:c>
      <x:c r="Q19" s="169" t="n">
        <x:f>Q16-Q14-Q17</x:f>
        <x:v>9.313225746154785e-10</x:v>
      </x:c>
      <x:c r="R19" s="169" t="n">
        <x:f>R16-R14-R17</x:f>
        <x:v>2.7939677238464355e-9</x:v>
      </x:c>
      <x:c r="S19" s="169" t="n">
        <x:f>S16-S14-S17</x:f>
        <x:v>-1.862645149230957e-9</x:v>
      </x:c>
      <x:c r="T19" s="169" t="n">
        <x:f>T16-T14-T17</x:f>
        <x:v>0</x:v>
      </x:c>
      <x:c r="U19" s="169" t="n">
        <x:f>U16-U14-U17</x:f>
        <x:v>0</x:v>
      </x:c>
      <x:c r="V19" s="169" t="n">
        <x:f>V16-V14-V17</x:f>
        <x:v>-3.725290298461914e-9</x:v>
      </x:c>
      <x:c r="W19" s="169" t="n">
        <x:f>W16-W14-W17</x:f>
        <x:v>0</x:v>
      </x:c>
      <x:c r="X19" s="169" t="n">
        <x:f>X16-X14-X17</x:f>
        <x:v>0</x:v>
      </x:c>
      <x:c r="Y19" s="169" t="n">
        <x:f>Y16-Y14-Y17</x:f>
        <x:v>0</x:v>
      </x:c>
      <x:c r="Z19" s="169" t="n">
        <x:f>Z16-Z14-Z17</x:f>
        <x:v>-7.450580596923828e-9</x:v>
      </x:c>
      <x:c r="AA19" s="169" t="n">
        <x:f>AA16-AA14-AA17</x:f>
        <x:v>1.862645149230957e-9</x:v>
      </x:c>
      <x:c r="AB19" s="169" t="n">
        <x:f>AB16-AB14-AB17</x:f>
        <x:v>-3.725290298461914e-9</x:v>
      </x:c>
      <x:c r="AC19" s="169" t="n">
        <x:f>AC16-AC14-AC17</x:f>
        <x:v>0</x:v>
      </x:c>
    </x:row>
    <x:row r="20" ht="18" customHeight="1">
      <x:c r="A20" s="169" t="str">
        <x:v>Average construction in progress</x:v>
      </x:c>
      <x:c r="B20" s="169"/>
      <x:c r="C20" s="169"/>
      <x:c r="D20" s="169"/>
      <x:c r="E20" s="169"/>
      <x:c r="F20" s="169"/>
      <x:c r="G20" s="169" t="n">
        <x:f>SUM(G302:G324)</x:f>
        <x:v>26913.722461821737</x:v>
      </x:c>
      <x:c r="H20" s="169" t="n">
        <x:f>SUM(H302:H324)</x:f>
        <x:v>123986.55236183689</x:v>
      </x:c>
      <x:c r="I20" s="169" t="n">
        <x:f>SUM(I302:I324)</x:f>
        <x:v>259196.44083231495</x:v>
      </x:c>
      <x:c r="J20" s="169" t="n">
        <x:f>SUM(J302:J324)</x:f>
        <x:v>508236.05020966963</x:v>
      </x:c>
      <x:c r="K20" s="169" t="n">
        <x:f>SUM(K302:K324)</x:f>
        <x:v>1106583.0781555113</x:v>
      </x:c>
      <x:c r="L20" s="169" t="n">
        <x:f>SUM(L302:L324)</x:f>
        <x:v>2005177.31551626</x:v>
      </x:c>
      <x:c r="M20" s="169" t="n">
        <x:f>SUM(M302:M324)</x:f>
        <x:v>2709181.6124291215</x:v>
      </x:c>
      <x:c r="N20" s="169" t="n">
        <x:f>SUM(N302:N324)</x:f>
        <x:v>2960873.323519311</x:v>
      </x:c>
      <x:c r="O20" s="169" t="n">
        <x:f>SUM(O302:O324)</x:f>
        <x:v>3197743.1894008564</x:v>
      </x:c>
      <x:c r="P20" s="169" t="n">
        <x:f>SUM(P302:P324)</x:f>
        <x:v>3453562.6445529247</x:v>
      </x:c>
      <x:c r="Q20" s="169" t="n">
        <x:f>SUM(Q302:Q324)</x:f>
        <x:v>3729847.656117159</x:v>
      </x:c>
      <x:c r="R20" s="169" t="n">
        <x:f>SUM(R302:R324)</x:f>
        <x:v>4028235.4686065326</x:v>
      </x:c>
      <x:c r="S20" s="169" t="n">
        <x:f>SUM(S302:S324)</x:f>
        <x:v>4350494.306095054</x:v>
      </x:c>
      <x:c r="T20" s="169" t="n">
        <x:f>SUM(T302:T324)</x:f>
        <x:v>4698533.850582659</x:v>
      </x:c>
      <x:c r="U20" s="169" t="n">
        <x:f>SUM(U302:U324)</x:f>
        <x:v>5074416.5586292725</x:v>
      </x:c>
      <x:c r="V20" s="169" t="n">
        <x:f>SUM(V302:V324)</x:f>
        <x:v>5480369.883319614</x:v>
      </x:c>
      <x:c r="W20" s="169" t="n">
        <x:f>SUM(W302:W324)</x:f>
        <x:v>5918799.473985184</x:v>
      </x:c>
      <x:c r="X20" s="169" t="n">
        <x:f>SUM(X302:X324)</x:f>
        <x:v>6392303.431903999</x:v>
      </x:c>
      <x:c r="Y20" s="169" t="n">
        <x:f>SUM(Y302:Y324)</x:f>
        <x:v>6903687.70645632</x:v>
      </x:c>
      <x:c r="Z20" s="169" t="n">
        <x:f>SUM(Z302:Z324)</x:f>
        <x:v>7455982.722972825</x:v>
      </x:c>
      <x:c r="AA20" s="169" t="n">
        <x:f>SUM(AA302:AA324)</x:f>
        <x:v>8052461.340810653</x:v>
      </x:c>
      <x:c r="AB20" s="169" t="n">
        <x:f>SUM(AB302:AB324)</x:f>
        <x:v>8696658.248075506</x:v>
      </x:c>
      <x:c r="AC20" s="169" t="n">
        <x:f>SUM(AC302:AC324)</x:f>
        <x:v>9392390.907921547</x:v>
      </x:c>
    </x:row>
    <x:row r="21" ht="18" customHeight="1">
      <x:c r="A21" s="169"/>
      <x:c r="B21" s="169"/>
      <x:c r="C21" s="169"/>
      <x:c r="D21" s="169"/>
      <x:c r="E21" s="169"/>
      <x:c r="F21" s="169"/>
      <x:c r="G21" s="169"/>
      <x:c r="H21" s="169"/>
      <x:c r="I21" s="169"/>
      <x:c r="J21" s="169"/>
      <x:c r="K21" s="169"/>
      <x:c r="L21" s="169"/>
      <x:c r="M21" s="169"/>
      <x:c r="N21" s="169"/>
      <x:c r="O21" s="169"/>
      <x:c r="P21" s="169"/>
      <x:c r="Q21" s="169"/>
      <x:c r="R21" s="169"/>
      <x:c r="S21" s="169"/>
      <x:c r="T21" s="169"/>
      <x:c r="U21" s="169"/>
      <x:c r="V21" s="169"/>
      <x:c r="W21" s="169"/>
      <x:c r="X21" s="169"/>
      <x:c r="Y21" s="169"/>
      <x:c r="Z21" s="169"/>
      <x:c r="AA21" s="169"/>
      <x:c r="AB21" s="169"/>
      <x:c r="AC21" s="169"/>
    </x:row>
    <x:row r="22" ht="18" customHeight="1">
      <x:c r="A22" s="169"/>
      <x:c r="B22" s="169"/>
      <x:c r="C22" s="169"/>
      <x:c r="D22" s="169"/>
      <x:c r="E22" s="169"/>
      <x:c r="F22" s="169"/>
      <x:c r="G22" s="169"/>
      <x:c r="H22" s="169"/>
      <x:c r="I22" s="169"/>
      <x:c r="J22" s="169"/>
      <x:c r="K22" s="169"/>
      <x:c r="L22" s="169"/>
      <x:c r="M22" s="169"/>
      <x:c r="N22" s="169"/>
      <x:c r="O22" s="169"/>
      <x:c r="P22" s="169"/>
      <x:c r="Q22" s="169"/>
      <x:c r="R22" s="169"/>
      <x:c r="S22" s="169"/>
      <x:c r="T22" s="169"/>
      <x:c r="U22" s="169"/>
      <x:c r="V22" s="169"/>
      <x:c r="W22" s="169"/>
      <x:c r="X22" s="169"/>
      <x:c r="Y22" s="169"/>
      <x:c r="Z22" s="169"/>
      <x:c r="AA22" s="169"/>
      <x:c r="AB22" s="169"/>
      <x:c r="AC22" s="169"/>
    </x:row>
    <x:row r="23" ht="20" customHeight="1">
      <x:c r="A23" s="170" t="str">
        <x:v>Chips</x:v>
      </x:c>
      <x:c r="B23" s="214" t="n">
        <x:v>2023</x:v>
      </x:c>
      <x:c r="C23" s="170" t="n">
        <x:f>'ROIC Cloud'!D$15*'ROIC Cloud'!$D$45</x:f>
        <x:v>21897.47945512016</x:v>
      </x:c>
      <x:c r="D23" s="214" t="n">
        <x:f>'ROIC Cloud'!$D$41</x:f>
        <x:v>5</x:v>
      </x:c>
      <x:c r="E23" s="214" t="n">
        <x:f>B23+'ROIC Cloud'!$D$40</x:f>
        <x:v>2025</x:v>
      </x:c>
      <x:c r="F23" s="170" t="str">
        <x:v>Opening NBV</x:v>
      </x:c>
      <x:c r="G23" s="169" t="n">
        <x:f>IF(G$4&gt;=$E23,$C23*MAX(0,1-(G$4-$E23)/$D23),0)</x:f>
        <x:v>0</x:v>
      </x:c>
      <x:c r="H23" s="169" t="n">
        <x:f>IF(H$4&gt;=$E23,$C23*MAX(0,1-(H$4-$E23)/$D23),0)</x:f>
        <x:v>0</x:v>
      </x:c>
      <x:c r="I23" s="169" t="n">
        <x:f>IF(I$4&gt;=$E23,$C23*MAX(0,1-(I$4-$E23)/$D23),0)</x:f>
        <x:v>21897.47945512016</x:v>
      </x:c>
      <x:c r="J23" s="169" t="n">
        <x:f>IF(J$4&gt;=$E23,$C23*MAX(0,1-(J$4-$E23)/$D23),0)</x:f>
        <x:v>17517.98356409613</x:v>
      </x:c>
      <x:c r="K23" s="169" t="n">
        <x:f>IF(K$4&gt;=$E23,$C23*MAX(0,1-(K$4-$E23)/$D23),0)</x:f>
        <x:v>13138.487673072095</x:v>
      </x:c>
      <x:c r="L23" s="169" t="n">
        <x:f>IF(L$4&gt;=$E23,$C23*MAX(0,1-(L$4-$E23)/$D23),0)</x:f>
        <x:v>8758.991782048064</x:v>
      </x:c>
      <x:c r="M23" s="169" t="n">
        <x:f>IF(M$4&gt;=$E23,$C23*MAX(0,1-(M$4-$E23)/$D23),0)</x:f>
        <x:v>4379.495891024031</x:v>
      </x:c>
      <x:c r="N23" s="169" t="n">
        <x:f>IF(N$4&gt;=$E23,$C23*MAX(0,1-(N$4-$E23)/$D23),0)</x:f>
        <x:v>0</x:v>
      </x:c>
      <x:c r="O23" s="169" t="n">
        <x:f>IF(O$4&gt;=$E23,$C23*MAX(0,1-(O$4-$E23)/$D23),0)</x:f>
        <x:v>0</x:v>
      </x:c>
      <x:c r="P23" s="169" t="n">
        <x:f>IF(P$4&gt;=$E23,$C23*MAX(0,1-(P$4-$E23)/$D23),0)</x:f>
        <x:v>0</x:v>
      </x:c>
      <x:c r="Q23" s="169" t="n">
        <x:f>IF(Q$4&gt;=$E23,$C23*MAX(0,1-(Q$4-$E23)/$D23),0)</x:f>
        <x:v>0</x:v>
      </x:c>
      <x:c r="R23" s="169" t="n">
        <x:f>IF(R$4&gt;=$E23,$C23*MAX(0,1-(R$4-$E23)/$D23),0)</x:f>
        <x:v>0</x:v>
      </x:c>
      <x:c r="S23" s="169" t="n">
        <x:f>IF(S$4&gt;=$E23,$C23*MAX(0,1-(S$4-$E23)/$D23),0)</x:f>
        <x:v>0</x:v>
      </x:c>
      <x:c r="T23" s="169" t="n">
        <x:f>IF(T$4&gt;=$E23,$C23*MAX(0,1-(T$4-$E23)/$D23),0)</x:f>
        <x:v>0</x:v>
      </x:c>
      <x:c r="U23" s="169" t="n">
        <x:f>IF(U$4&gt;=$E23,$C23*MAX(0,1-(U$4-$E23)/$D23),0)</x:f>
        <x:v>0</x:v>
      </x:c>
      <x:c r="V23" s="169" t="n">
        <x:f>IF(V$4&gt;=$E23,$C23*MAX(0,1-(V$4-$E23)/$D23),0)</x:f>
        <x:v>0</x:v>
      </x:c>
      <x:c r="W23" s="169" t="n">
        <x:f>IF(W$4&gt;=$E23,$C23*MAX(0,1-(W$4-$E23)/$D23),0)</x:f>
        <x:v>0</x:v>
      </x:c>
      <x:c r="X23" s="169" t="n">
        <x:f>IF(X$4&gt;=$E23,$C23*MAX(0,1-(X$4-$E23)/$D23),0)</x:f>
        <x:v>0</x:v>
      </x:c>
      <x:c r="Y23" s="169" t="n">
        <x:f>IF(Y$4&gt;=$E23,$C23*MAX(0,1-(Y$4-$E23)/$D23),0)</x:f>
        <x:v>0</x:v>
      </x:c>
      <x:c r="Z23" s="169" t="n">
        <x:f>IF(Z$4&gt;=$E23,$C23*MAX(0,1-(Z$4-$E23)/$D23),0)</x:f>
        <x:v>0</x:v>
      </x:c>
      <x:c r="AA23" s="169" t="n">
        <x:f>IF(AA$4&gt;=$E23,$C23*MAX(0,1-(AA$4-$E23)/$D23),0)</x:f>
        <x:v>0</x:v>
      </x:c>
      <x:c r="AB23" s="169" t="n">
        <x:f>IF(AB$4&gt;=$E23,$C23*MAX(0,1-(AB$4-$E23)/$D23),0)</x:f>
        <x:v>0</x:v>
      </x:c>
      <x:c r="AC23" s="169" t="n">
        <x:f>IF(AC$4&gt;=$E23,$C23*MAX(0,1-(AC$4-$E23)/$D23),0)</x:f>
        <x:v>0</x:v>
      </x:c>
    </x:row>
    <x:row r="24" ht="20" customHeight="1">
      <x:c r="A24" s="170" t="str">
        <x:v>Chips</x:v>
      </x:c>
      <x:c r="B24" s="214" t="n">
        <x:v>2023</x:v>
      </x:c>
      <x:c r="C24" s="170" t="n">
        <x:f>'ROIC Cloud'!D$15*'ROIC Cloud'!$D$45</x:f>
        <x:v>21897.47945512016</x:v>
      </x:c>
      <x:c r="D24" s="214" t="n">
        <x:f>'ROIC Cloud'!$D$41</x:f>
        <x:v>5</x:v>
      </x:c>
      <x:c r="E24" s="214" t="n">
        <x:f>B24+'ROIC Cloud'!$D$40</x:f>
        <x:v>2025</x:v>
      </x:c>
      <x:c r="F24" s="170" t="str">
        <x:v>Depreciation</x:v>
      </x:c>
      <x:c r="G24" s="169" t="n">
        <x:f>IF(G$4&gt;=$E23,MIN($C23/$D23,G23),0)</x:f>
        <x:v>0</x:v>
      </x:c>
      <x:c r="H24" s="169" t="n">
        <x:f>IF(H$4&gt;=$E23,MIN($C23/$D23,H23),0)</x:f>
        <x:v>0</x:v>
      </x:c>
      <x:c r="I24" s="169" t="n">
        <x:f>IF(I$4&gt;=$E23,MIN($C23/$D23,I23),0)</x:f>
        <x:v>4379.495891024032</x:v>
      </x:c>
      <x:c r="J24" s="169" t="n">
        <x:f>IF(J$4&gt;=$E23,MIN($C23/$D23,J23),0)</x:f>
        <x:v>4379.495891024032</x:v>
      </x:c>
      <x:c r="K24" s="169" t="n">
        <x:f>IF(K$4&gt;=$E23,MIN($C23/$D23,K23),0)</x:f>
        <x:v>4379.495891024032</x:v>
      </x:c>
      <x:c r="L24" s="169" t="n">
        <x:f>IF(L$4&gt;=$E23,MIN($C23/$D23,L23),0)</x:f>
        <x:v>4379.495891024032</x:v>
      </x:c>
      <x:c r="M24" s="169" t="n">
        <x:f>IF(M$4&gt;=$E23,MIN($C23/$D23,M23),0)</x:f>
        <x:v>4379.495891024031</x:v>
      </x:c>
      <x:c r="N24" s="169" t="n">
        <x:f>IF(N$4&gt;=$E23,MIN($C23/$D23,N23),0)</x:f>
        <x:v>0</x:v>
      </x:c>
      <x:c r="O24" s="169" t="n">
        <x:f>IF(O$4&gt;=$E23,MIN($C23/$D23,O23),0)</x:f>
        <x:v>0</x:v>
      </x:c>
      <x:c r="P24" s="169" t="n">
        <x:f>IF(P$4&gt;=$E23,MIN($C23/$D23,P23),0)</x:f>
        <x:v>0</x:v>
      </x:c>
      <x:c r="Q24" s="169" t="n">
        <x:f>IF(Q$4&gt;=$E23,MIN($C23/$D23,Q23),0)</x:f>
        <x:v>0</x:v>
      </x:c>
      <x:c r="R24" s="169" t="n">
        <x:f>IF(R$4&gt;=$E23,MIN($C23/$D23,R23),0)</x:f>
        <x:v>0</x:v>
      </x:c>
      <x:c r="S24" s="169" t="n">
        <x:f>IF(S$4&gt;=$E23,MIN($C23/$D23,S23),0)</x:f>
        <x:v>0</x:v>
      </x:c>
      <x:c r="T24" s="169" t="n">
        <x:f>IF(T$4&gt;=$E23,MIN($C23/$D23,T23),0)</x:f>
        <x:v>0</x:v>
      </x:c>
      <x:c r="U24" s="169" t="n">
        <x:f>IF(U$4&gt;=$E23,MIN($C23/$D23,U23),0)</x:f>
        <x:v>0</x:v>
      </x:c>
      <x:c r="V24" s="169" t="n">
        <x:f>IF(V$4&gt;=$E23,MIN($C23/$D23,V23),0)</x:f>
        <x:v>0</x:v>
      </x:c>
      <x:c r="W24" s="169" t="n">
        <x:f>IF(W$4&gt;=$E23,MIN($C23/$D23,W23),0)</x:f>
        <x:v>0</x:v>
      </x:c>
      <x:c r="X24" s="169" t="n">
        <x:f>IF(X$4&gt;=$E23,MIN($C23/$D23,X23),0)</x:f>
        <x:v>0</x:v>
      </x:c>
      <x:c r="Y24" s="169" t="n">
        <x:f>IF(Y$4&gt;=$E23,MIN($C23/$D23,Y23),0)</x:f>
        <x:v>0</x:v>
      </x:c>
      <x:c r="Z24" s="169" t="n">
        <x:f>IF(Z$4&gt;=$E23,MIN($C23/$D23,Z23),0)</x:f>
        <x:v>0</x:v>
      </x:c>
      <x:c r="AA24" s="169" t="n">
        <x:f>IF(AA$4&gt;=$E23,MIN($C23/$D23,AA23),0)</x:f>
        <x:v>0</x:v>
      </x:c>
      <x:c r="AB24" s="169" t="n">
        <x:f>IF(AB$4&gt;=$E23,MIN($C23/$D23,AB23),0)</x:f>
        <x:v>0</x:v>
      </x:c>
      <x:c r="AC24" s="169" t="n">
        <x:f>IF(AC$4&gt;=$E23,MIN($C23/$D23,AC23),0)</x:f>
        <x:v>0</x:v>
      </x:c>
    </x:row>
    <x:row r="25" ht="20" customHeight="1">
      <x:c r="A25" s="170" t="str">
        <x:v>Chips</x:v>
      </x:c>
      <x:c r="B25" s="214" t="n">
        <x:v>2023</x:v>
      </x:c>
      <x:c r="C25" s="170" t="n">
        <x:f>'ROIC Cloud'!D$15*'ROIC Cloud'!$D$45</x:f>
        <x:v>21897.47945512016</x:v>
      </x:c>
      <x:c r="D25" s="214" t="n">
        <x:f>'ROIC Cloud'!$D$41</x:f>
        <x:v>5</x:v>
      </x:c>
      <x:c r="E25" s="214" t="n">
        <x:f>B25+'ROIC Cloud'!$D$40</x:f>
        <x:v>2025</x:v>
      </x:c>
      <x:c r="F25" s="170" t="str">
        <x:v>Closing NBV</x:v>
      </x:c>
      <x:c r="G25" s="169" t="n">
        <x:f>MAX(0,G23-G24)</x:f>
        <x:v>0</x:v>
      </x:c>
      <x:c r="H25" s="169" t="n">
        <x:f>MAX(0,H23-H24)</x:f>
        <x:v>0</x:v>
      </x:c>
      <x:c r="I25" s="169" t="n">
        <x:f>MAX(0,I23-I24)</x:f>
        <x:v>17517.98356409613</x:v>
      </x:c>
      <x:c r="J25" s="169" t="n">
        <x:f>MAX(0,J23-J24)</x:f>
        <x:v>13138.487673072097</x:v>
      </x:c>
      <x:c r="K25" s="169" t="n">
        <x:f>MAX(0,K23-K24)</x:f>
        <x:v>8758.991782048062</x:v>
      </x:c>
      <x:c r="L25" s="169" t="n">
        <x:f>MAX(0,L23-L24)</x:f>
        <x:v>4379.495891024032</x:v>
      </x:c>
      <x:c r="M25" s="169" t="n">
        <x:f>MAX(0,M23-M24)</x:f>
        <x:v>0</x:v>
      </x:c>
      <x:c r="N25" s="169" t="n">
        <x:f>MAX(0,N23-N24)</x:f>
        <x:v>0</x:v>
      </x:c>
      <x:c r="O25" s="169" t="n">
        <x:f>MAX(0,O23-O24)</x:f>
        <x:v>0</x:v>
      </x:c>
      <x:c r="P25" s="169" t="n">
        <x:f>MAX(0,P23-P24)</x:f>
        <x:v>0</x:v>
      </x:c>
      <x:c r="Q25" s="169" t="n">
        <x:f>MAX(0,Q23-Q24)</x:f>
        <x:v>0</x:v>
      </x:c>
      <x:c r="R25" s="169" t="n">
        <x:f>MAX(0,R23-R24)</x:f>
        <x:v>0</x:v>
      </x:c>
      <x:c r="S25" s="169" t="n">
        <x:f>MAX(0,S23-S24)</x:f>
        <x:v>0</x:v>
      </x:c>
      <x:c r="T25" s="169" t="n">
        <x:f>MAX(0,T23-T24)</x:f>
        <x:v>0</x:v>
      </x:c>
      <x:c r="U25" s="169" t="n">
        <x:f>MAX(0,U23-U24)</x:f>
        <x:v>0</x:v>
      </x:c>
      <x:c r="V25" s="169" t="n">
        <x:f>MAX(0,V23-V24)</x:f>
        <x:v>0</x:v>
      </x:c>
      <x:c r="W25" s="169" t="n">
        <x:f>MAX(0,W23-W24)</x:f>
        <x:v>0</x:v>
      </x:c>
      <x:c r="X25" s="169" t="n">
        <x:f>MAX(0,X23-X24)</x:f>
        <x:v>0</x:v>
      </x:c>
      <x:c r="Y25" s="169" t="n">
        <x:f>MAX(0,Y23-Y24)</x:f>
        <x:v>0</x:v>
      </x:c>
      <x:c r="Z25" s="169" t="n">
        <x:f>MAX(0,Z23-Z24)</x:f>
        <x:v>0</x:v>
      </x:c>
      <x:c r="AA25" s="169" t="n">
        <x:f>MAX(0,AA23-AA24)</x:f>
        <x:v>0</x:v>
      </x:c>
      <x:c r="AB25" s="169" t="n">
        <x:f>MAX(0,AB23-AB24)</x:f>
        <x:v>0</x:v>
      </x:c>
      <x:c r="AC25" s="169" t="n">
        <x:f>MAX(0,AC23-AC24)</x:f>
        <x:v>0</x:v>
      </x:c>
    </x:row>
    <x:row r="26" ht="20" customHeight="1">
      <x:c r="A26" s="170" t="str">
        <x:v>Chips</x:v>
      </x:c>
      <x:c r="B26" s="214" t="n">
        <x:v>2023</x:v>
      </x:c>
      <x:c r="C26" s="170" t="n">
        <x:f>'ROIC Cloud'!D$15*'ROIC Cloud'!$D$45</x:f>
        <x:v>21897.47945512016</x:v>
      </x:c>
      <x:c r="D26" s="214" t="n">
        <x:f>'ROIC Cloud'!$D$41</x:f>
        <x:v>5</x:v>
      </x:c>
      <x:c r="E26" s="214" t="n">
        <x:f>B26+'ROIC Cloud'!$D$40</x:f>
        <x:v>2025</x:v>
      </x:c>
      <x:c r="F26" s="170" t="str">
        <x:v>Average NBV</x:v>
      </x:c>
      <x:c r="G26" s="169" t="n">
        <x:f>(G23+G25)/2</x:f>
        <x:v>0</x:v>
      </x:c>
      <x:c r="H26" s="169" t="n">
        <x:f>(H23+H25)/2</x:f>
        <x:v>0</x:v>
      </x:c>
      <x:c r="I26" s="169" t="n">
        <x:f>(I23+I25)/2</x:f>
        <x:v>19707.731509608144</x:v>
      </x:c>
      <x:c r="J26" s="169" t="n">
        <x:f>(J23+J25)/2</x:f>
        <x:v>15328.235618584113</x:v>
      </x:c>
      <x:c r="K26" s="169" t="n">
        <x:f>(K23+K25)/2</x:f>
        <x:v>10948.739727560078</x:v>
      </x:c>
      <x:c r="L26" s="169" t="n">
        <x:f>(L23+L25)/2</x:f>
        <x:v>6569.243836536049</x:v>
      </x:c>
      <x:c r="M26" s="169" t="n">
        <x:f>(M23+M25)/2</x:f>
        <x:v>2189.7479455120156</x:v>
      </x:c>
      <x:c r="N26" s="169" t="n">
        <x:f>(N23+N25)/2</x:f>
        <x:v>0</x:v>
      </x:c>
      <x:c r="O26" s="169" t="n">
        <x:f>(O23+O25)/2</x:f>
        <x:v>0</x:v>
      </x:c>
      <x:c r="P26" s="169" t="n">
        <x:f>(P23+P25)/2</x:f>
        <x:v>0</x:v>
      </x:c>
      <x:c r="Q26" s="169" t="n">
        <x:f>(Q23+Q25)/2</x:f>
        <x:v>0</x:v>
      </x:c>
      <x:c r="R26" s="169" t="n">
        <x:f>(R23+R25)/2</x:f>
        <x:v>0</x:v>
      </x:c>
      <x:c r="S26" s="169" t="n">
        <x:f>(S23+S25)/2</x:f>
        <x:v>0</x:v>
      </x:c>
      <x:c r="T26" s="169" t="n">
        <x:f>(T23+T25)/2</x:f>
        <x:v>0</x:v>
      </x:c>
      <x:c r="U26" s="169" t="n">
        <x:f>(U23+U25)/2</x:f>
        <x:v>0</x:v>
      </x:c>
      <x:c r="V26" s="169" t="n">
        <x:f>(V23+V25)/2</x:f>
        <x:v>0</x:v>
      </x:c>
      <x:c r="W26" s="169" t="n">
        <x:f>(W23+W25)/2</x:f>
        <x:v>0</x:v>
      </x:c>
      <x:c r="X26" s="169" t="n">
        <x:f>(X23+X25)/2</x:f>
        <x:v>0</x:v>
      </x:c>
      <x:c r="Y26" s="169" t="n">
        <x:f>(Y23+Y25)/2</x:f>
        <x:v>0</x:v>
      </x:c>
      <x:c r="Z26" s="169" t="n">
        <x:f>(Z23+Z25)/2</x:f>
        <x:v>0</x:v>
      </x:c>
      <x:c r="AA26" s="169" t="n">
        <x:f>(AA23+AA25)/2</x:f>
        <x:v>0</x:v>
      </x:c>
      <x:c r="AB26" s="169" t="n">
        <x:f>(AB23+AB25)/2</x:f>
        <x:v>0</x:v>
      </x:c>
      <x:c r="AC26" s="169" t="n">
        <x:f>(AC23+AC25)/2</x:f>
        <x:v>0</x:v>
      </x:c>
    </x:row>
    <x:row r="27" ht="20" customHeight="1">
      <x:c r="A27" s="170" t="str">
        <x:v>Chips</x:v>
      </x:c>
      <x:c r="B27" s="214" t="n">
        <x:v>2024</x:v>
      </x:c>
      <x:c r="C27" s="170" t="n">
        <x:f>'ROIC Cloud'!E$15*'ROIC Cloud'!$D$45</x:f>
        <x:v>57082.687684571545</x:v>
      </x:c>
      <x:c r="D27" s="214" t="n">
        <x:f>'ROIC Cloud'!$D$41</x:f>
        <x:v>5</x:v>
      </x:c>
      <x:c r="E27" s="214" t="n">
        <x:f>B27+'ROIC Cloud'!$D$40</x:f>
        <x:v>2026</x:v>
      </x:c>
      <x:c r="F27" s="170" t="str">
        <x:v>Opening NBV</x:v>
      </x:c>
      <x:c r="G27" s="169" t="n">
        <x:f>IF(G$4&gt;=$E27,$C27*MAX(0,1-(G$4-$E27)/$D27),0)</x:f>
        <x:v>0</x:v>
      </x:c>
      <x:c r="H27" s="169" t="n">
        <x:f>IF(H$4&gt;=$E27,$C27*MAX(0,1-(H$4-$E27)/$D27),0)</x:f>
        <x:v>0</x:v>
      </x:c>
      <x:c r="I27" s="169" t="n">
        <x:f>IF(I$4&gt;=$E27,$C27*MAX(0,1-(I$4-$E27)/$D27),0)</x:f>
        <x:v>0</x:v>
      </x:c>
      <x:c r="J27" s="169" t="n">
        <x:f>IF(J$4&gt;=$E27,$C27*MAX(0,1-(J$4-$E27)/$D27),0)</x:f>
        <x:v>57082.687684571545</x:v>
      </x:c>
      <x:c r="K27" s="169" t="n">
        <x:f>IF(K$4&gt;=$E27,$C27*MAX(0,1-(K$4-$E27)/$D27),0)</x:f>
        <x:v>45666.15014765724</x:v>
      </x:c>
      <x:c r="L27" s="169" t="n">
        <x:f>IF(L$4&gt;=$E27,$C27*MAX(0,1-(L$4-$E27)/$D27),0)</x:f>
        <x:v>34249.61261074292</x:v>
      </x:c>
      <x:c r="M27" s="169" t="n">
        <x:f>IF(M$4&gt;=$E27,$C27*MAX(0,1-(M$4-$E27)/$D27),0)</x:f>
        <x:v>22833.07507382862</x:v>
      </x:c>
      <x:c r="N27" s="169" t="n">
        <x:f>IF(N$4&gt;=$E27,$C27*MAX(0,1-(N$4-$E27)/$D27),0)</x:f>
        <x:v>11416.537536914306</x:v>
      </x:c>
      <x:c r="O27" s="169" t="n">
        <x:f>IF(O$4&gt;=$E27,$C27*MAX(0,1-(O$4-$E27)/$D27),0)</x:f>
        <x:v>0</x:v>
      </x:c>
      <x:c r="P27" s="169" t="n">
        <x:f>IF(P$4&gt;=$E27,$C27*MAX(0,1-(P$4-$E27)/$D27),0)</x:f>
        <x:v>0</x:v>
      </x:c>
      <x:c r="Q27" s="169" t="n">
        <x:f>IF(Q$4&gt;=$E27,$C27*MAX(0,1-(Q$4-$E27)/$D27),0)</x:f>
        <x:v>0</x:v>
      </x:c>
      <x:c r="R27" s="169" t="n">
        <x:f>IF(R$4&gt;=$E27,$C27*MAX(0,1-(R$4-$E27)/$D27),0)</x:f>
        <x:v>0</x:v>
      </x:c>
      <x:c r="S27" s="169" t="n">
        <x:f>IF(S$4&gt;=$E27,$C27*MAX(0,1-(S$4-$E27)/$D27),0)</x:f>
        <x:v>0</x:v>
      </x:c>
      <x:c r="T27" s="169" t="n">
        <x:f>IF(T$4&gt;=$E27,$C27*MAX(0,1-(T$4-$E27)/$D27),0)</x:f>
        <x:v>0</x:v>
      </x:c>
      <x:c r="U27" s="169" t="n">
        <x:f>IF(U$4&gt;=$E27,$C27*MAX(0,1-(U$4-$E27)/$D27),0)</x:f>
        <x:v>0</x:v>
      </x:c>
      <x:c r="V27" s="169" t="n">
        <x:f>IF(V$4&gt;=$E27,$C27*MAX(0,1-(V$4-$E27)/$D27),0)</x:f>
        <x:v>0</x:v>
      </x:c>
      <x:c r="W27" s="169" t="n">
        <x:f>IF(W$4&gt;=$E27,$C27*MAX(0,1-(W$4-$E27)/$D27),0)</x:f>
        <x:v>0</x:v>
      </x:c>
      <x:c r="X27" s="169" t="n">
        <x:f>IF(X$4&gt;=$E27,$C27*MAX(0,1-(X$4-$E27)/$D27),0)</x:f>
        <x:v>0</x:v>
      </x:c>
      <x:c r="Y27" s="169" t="n">
        <x:f>IF(Y$4&gt;=$E27,$C27*MAX(0,1-(Y$4-$E27)/$D27),0)</x:f>
        <x:v>0</x:v>
      </x:c>
      <x:c r="Z27" s="169" t="n">
        <x:f>IF(Z$4&gt;=$E27,$C27*MAX(0,1-(Z$4-$E27)/$D27),0)</x:f>
        <x:v>0</x:v>
      </x:c>
      <x:c r="AA27" s="169" t="n">
        <x:f>IF(AA$4&gt;=$E27,$C27*MAX(0,1-(AA$4-$E27)/$D27),0)</x:f>
        <x:v>0</x:v>
      </x:c>
      <x:c r="AB27" s="169" t="n">
        <x:f>IF(AB$4&gt;=$E27,$C27*MAX(0,1-(AB$4-$E27)/$D27),0)</x:f>
        <x:v>0</x:v>
      </x:c>
      <x:c r="AC27" s="169" t="n">
        <x:f>IF(AC$4&gt;=$E27,$C27*MAX(0,1-(AC$4-$E27)/$D27),0)</x:f>
        <x:v>0</x:v>
      </x:c>
    </x:row>
    <x:row r="28" ht="20" customHeight="1">
      <x:c r="A28" s="170" t="str">
        <x:v>Chips</x:v>
      </x:c>
      <x:c r="B28" s="214" t="n">
        <x:v>2024</x:v>
      </x:c>
      <x:c r="C28" s="170" t="n">
        <x:f>'ROIC Cloud'!E$15*'ROIC Cloud'!$D$45</x:f>
        <x:v>57082.687684571545</x:v>
      </x:c>
      <x:c r="D28" s="214" t="n">
        <x:f>'ROIC Cloud'!$D$41</x:f>
        <x:v>5</x:v>
      </x:c>
      <x:c r="E28" s="214" t="n">
        <x:f>B28+'ROIC Cloud'!$D$40</x:f>
        <x:v>2026</x:v>
      </x:c>
      <x:c r="F28" s="170" t="str">
        <x:v>Depreciation</x:v>
      </x:c>
      <x:c r="G28" s="169" t="n">
        <x:f>IF(G$4&gt;=$E27,MIN($C27/$D27,G27),0)</x:f>
        <x:v>0</x:v>
      </x:c>
      <x:c r="H28" s="169" t="n">
        <x:f>IF(H$4&gt;=$E27,MIN($C27/$D27,H27),0)</x:f>
        <x:v>0</x:v>
      </x:c>
      <x:c r="I28" s="169" t="n">
        <x:f>IF(I$4&gt;=$E27,MIN($C27/$D27,I27),0)</x:f>
        <x:v>0</x:v>
      </x:c>
      <x:c r="J28" s="169" t="n">
        <x:f>IF(J$4&gt;=$E27,MIN($C27/$D27,J27),0)</x:f>
        <x:v>11416.53753691431</x:v>
      </x:c>
      <x:c r="K28" s="169" t="n">
        <x:f>IF(K$4&gt;=$E27,MIN($C27/$D27,K27),0)</x:f>
        <x:v>11416.53753691431</x:v>
      </x:c>
      <x:c r="L28" s="169" t="n">
        <x:f>IF(L$4&gt;=$E27,MIN($C27/$D27,L27),0)</x:f>
        <x:v>11416.53753691431</x:v>
      </x:c>
      <x:c r="M28" s="169" t="n">
        <x:f>IF(M$4&gt;=$E27,MIN($C27/$D27,M27),0)</x:f>
        <x:v>11416.53753691431</x:v>
      </x:c>
      <x:c r="N28" s="169" t="n">
        <x:f>IF(N$4&gt;=$E27,MIN($C27/$D27,N27),0)</x:f>
        <x:v>11416.537536914306</x:v>
      </x:c>
      <x:c r="O28" s="169" t="n">
        <x:f>IF(O$4&gt;=$E27,MIN($C27/$D27,O27),0)</x:f>
        <x:v>0</x:v>
      </x:c>
      <x:c r="P28" s="169" t="n">
        <x:f>IF(P$4&gt;=$E27,MIN($C27/$D27,P27),0)</x:f>
        <x:v>0</x:v>
      </x:c>
      <x:c r="Q28" s="169" t="n">
        <x:f>IF(Q$4&gt;=$E27,MIN($C27/$D27,Q27),0)</x:f>
        <x:v>0</x:v>
      </x:c>
      <x:c r="R28" s="169" t="n">
        <x:f>IF(R$4&gt;=$E27,MIN($C27/$D27,R27),0)</x:f>
        <x:v>0</x:v>
      </x:c>
      <x:c r="S28" s="169" t="n">
        <x:f>IF(S$4&gt;=$E27,MIN($C27/$D27,S27),0)</x:f>
        <x:v>0</x:v>
      </x:c>
      <x:c r="T28" s="169" t="n">
        <x:f>IF(T$4&gt;=$E27,MIN($C27/$D27,T27),0)</x:f>
        <x:v>0</x:v>
      </x:c>
      <x:c r="U28" s="169" t="n">
        <x:f>IF(U$4&gt;=$E27,MIN($C27/$D27,U27),0)</x:f>
        <x:v>0</x:v>
      </x:c>
      <x:c r="V28" s="169" t="n">
        <x:f>IF(V$4&gt;=$E27,MIN($C27/$D27,V27),0)</x:f>
        <x:v>0</x:v>
      </x:c>
      <x:c r="W28" s="169" t="n">
        <x:f>IF(W$4&gt;=$E27,MIN($C27/$D27,W27),0)</x:f>
        <x:v>0</x:v>
      </x:c>
      <x:c r="X28" s="169" t="n">
        <x:f>IF(X$4&gt;=$E27,MIN($C27/$D27,X27),0)</x:f>
        <x:v>0</x:v>
      </x:c>
      <x:c r="Y28" s="169" t="n">
        <x:f>IF(Y$4&gt;=$E27,MIN($C27/$D27,Y27),0)</x:f>
        <x:v>0</x:v>
      </x:c>
      <x:c r="Z28" s="169" t="n">
        <x:f>IF(Z$4&gt;=$E27,MIN($C27/$D27,Z27),0)</x:f>
        <x:v>0</x:v>
      </x:c>
      <x:c r="AA28" s="169" t="n">
        <x:f>IF(AA$4&gt;=$E27,MIN($C27/$D27,AA27),0)</x:f>
        <x:v>0</x:v>
      </x:c>
      <x:c r="AB28" s="169" t="n">
        <x:f>IF(AB$4&gt;=$E27,MIN($C27/$D27,AB27),0)</x:f>
        <x:v>0</x:v>
      </x:c>
      <x:c r="AC28" s="169" t="n">
        <x:f>IF(AC$4&gt;=$E27,MIN($C27/$D27,AC27),0)</x:f>
        <x:v>0</x:v>
      </x:c>
    </x:row>
    <x:row r="29" ht="20" customHeight="1">
      <x:c r="A29" s="170" t="str">
        <x:v>Chips</x:v>
      </x:c>
      <x:c r="B29" s="214" t="n">
        <x:v>2024</x:v>
      </x:c>
      <x:c r="C29" s="170" t="n">
        <x:f>'ROIC Cloud'!E$15*'ROIC Cloud'!$D$45</x:f>
        <x:v>57082.687684571545</x:v>
      </x:c>
      <x:c r="D29" s="214" t="n">
        <x:f>'ROIC Cloud'!$D$41</x:f>
        <x:v>5</x:v>
      </x:c>
      <x:c r="E29" s="214" t="n">
        <x:f>B29+'ROIC Cloud'!$D$40</x:f>
        <x:v>2026</x:v>
      </x:c>
      <x:c r="F29" s="170" t="str">
        <x:v>Closing NBV</x:v>
      </x:c>
      <x:c r="G29" s="169" t="n">
        <x:f>MAX(0,G27-G28)</x:f>
        <x:v>0</x:v>
      </x:c>
      <x:c r="H29" s="169" t="n">
        <x:f>MAX(0,H27-H28)</x:f>
        <x:v>0</x:v>
      </x:c>
      <x:c r="I29" s="169" t="n">
        <x:f>MAX(0,I27-I28)</x:f>
        <x:v>0</x:v>
      </x:c>
      <x:c r="J29" s="169" t="n">
        <x:f>MAX(0,J27-J28)</x:f>
        <x:v>45666.15014765724</x:v>
      </x:c>
      <x:c r="K29" s="169" t="n">
        <x:f>MAX(0,K27-K28)</x:f>
        <x:v>34249.61261074293</x:v>
      </x:c>
      <x:c r="L29" s="169" t="n">
        <x:f>MAX(0,L27-L28)</x:f>
        <x:v>22833.075073828615</x:v>
      </x:c>
      <x:c r="M29" s="169" t="n">
        <x:f>MAX(0,M27-M28)</x:f>
        <x:v>11416.53753691431</x:v>
      </x:c>
      <x:c r="N29" s="169" t="n">
        <x:f>MAX(0,N27-N28)</x:f>
        <x:v>0</x:v>
      </x:c>
      <x:c r="O29" s="169" t="n">
        <x:f>MAX(0,O27-O28)</x:f>
        <x:v>0</x:v>
      </x:c>
      <x:c r="P29" s="169" t="n">
        <x:f>MAX(0,P27-P28)</x:f>
        <x:v>0</x:v>
      </x:c>
      <x:c r="Q29" s="169" t="n">
        <x:f>MAX(0,Q27-Q28)</x:f>
        <x:v>0</x:v>
      </x:c>
      <x:c r="R29" s="169" t="n">
        <x:f>MAX(0,R27-R28)</x:f>
        <x:v>0</x:v>
      </x:c>
      <x:c r="S29" s="169" t="n">
        <x:f>MAX(0,S27-S28)</x:f>
        <x:v>0</x:v>
      </x:c>
      <x:c r="T29" s="169" t="n">
        <x:f>MAX(0,T27-T28)</x:f>
        <x:v>0</x:v>
      </x:c>
      <x:c r="U29" s="169" t="n">
        <x:f>MAX(0,U27-U28)</x:f>
        <x:v>0</x:v>
      </x:c>
      <x:c r="V29" s="169" t="n">
        <x:f>MAX(0,V27-V28)</x:f>
        <x:v>0</x:v>
      </x:c>
      <x:c r="W29" s="169" t="n">
        <x:f>MAX(0,W27-W28)</x:f>
        <x:v>0</x:v>
      </x:c>
      <x:c r="X29" s="169" t="n">
        <x:f>MAX(0,X27-X28)</x:f>
        <x:v>0</x:v>
      </x:c>
      <x:c r="Y29" s="169" t="n">
        <x:f>MAX(0,Y27-Y28)</x:f>
        <x:v>0</x:v>
      </x:c>
      <x:c r="Z29" s="169" t="n">
        <x:f>MAX(0,Z27-Z28)</x:f>
        <x:v>0</x:v>
      </x:c>
      <x:c r="AA29" s="169" t="n">
        <x:f>MAX(0,AA27-AA28)</x:f>
        <x:v>0</x:v>
      </x:c>
      <x:c r="AB29" s="169" t="n">
        <x:f>MAX(0,AB27-AB28)</x:f>
        <x:v>0</x:v>
      </x:c>
      <x:c r="AC29" s="169" t="n">
        <x:f>MAX(0,AC27-AC28)</x:f>
        <x:v>0</x:v>
      </x:c>
    </x:row>
    <x:row r="30" ht="20" customHeight="1">
      <x:c r="A30" s="170" t="str">
        <x:v>Chips</x:v>
      </x:c>
      <x:c r="B30" s="214" t="n">
        <x:v>2024</x:v>
      </x:c>
      <x:c r="C30" s="170" t="n">
        <x:f>'ROIC Cloud'!E$15*'ROIC Cloud'!$D$45</x:f>
        <x:v>57082.687684571545</x:v>
      </x:c>
      <x:c r="D30" s="214" t="n">
        <x:f>'ROIC Cloud'!$D$41</x:f>
        <x:v>5</x:v>
      </x:c>
      <x:c r="E30" s="214" t="n">
        <x:f>B30+'ROIC Cloud'!$D$40</x:f>
        <x:v>2026</x:v>
      </x:c>
      <x:c r="F30" s="170" t="str">
        <x:v>Average NBV</x:v>
      </x:c>
      <x:c r="G30" s="169" t="n">
        <x:f>(G27+G29)/2</x:f>
        <x:v>0</x:v>
      </x:c>
      <x:c r="H30" s="169" t="n">
        <x:f>(H27+H29)/2</x:f>
        <x:v>0</x:v>
      </x:c>
      <x:c r="I30" s="169" t="n">
        <x:f>(I27+I29)/2</x:f>
        <x:v>0</x:v>
      </x:c>
      <x:c r="J30" s="169" t="n">
        <x:f>(J27+J29)/2</x:f>
        <x:v>51374.41891611439</x:v>
      </x:c>
      <x:c r="K30" s="169" t="n">
        <x:f>(K27+K29)/2</x:f>
        <x:v>39957.88137920009</x:v>
      </x:c>
      <x:c r="L30" s="169" t="n">
        <x:f>(L27+L29)/2</x:f>
        <x:v>28541.34384228577</x:v>
      </x:c>
      <x:c r="M30" s="169" t="n">
        <x:f>(M27+M29)/2</x:f>
        <x:v>17124.806305371465</x:v>
      </x:c>
      <x:c r="N30" s="169" t="n">
        <x:f>(N27+N29)/2</x:f>
        <x:v>5708.268768457153</x:v>
      </x:c>
      <x:c r="O30" s="169" t="n">
        <x:f>(O27+O29)/2</x:f>
        <x:v>0</x:v>
      </x:c>
      <x:c r="P30" s="169" t="n">
        <x:f>(P27+P29)/2</x:f>
        <x:v>0</x:v>
      </x:c>
      <x:c r="Q30" s="169" t="n">
        <x:f>(Q27+Q29)/2</x:f>
        <x:v>0</x:v>
      </x:c>
      <x:c r="R30" s="169" t="n">
        <x:f>(R27+R29)/2</x:f>
        <x:v>0</x:v>
      </x:c>
      <x:c r="S30" s="169" t="n">
        <x:f>(S27+S29)/2</x:f>
        <x:v>0</x:v>
      </x:c>
      <x:c r="T30" s="169" t="n">
        <x:f>(T27+T29)/2</x:f>
        <x:v>0</x:v>
      </x:c>
      <x:c r="U30" s="169" t="n">
        <x:f>(U27+U29)/2</x:f>
        <x:v>0</x:v>
      </x:c>
      <x:c r="V30" s="169" t="n">
        <x:f>(V27+V29)/2</x:f>
        <x:v>0</x:v>
      </x:c>
      <x:c r="W30" s="169" t="n">
        <x:f>(W27+W29)/2</x:f>
        <x:v>0</x:v>
      </x:c>
      <x:c r="X30" s="169" t="n">
        <x:f>(X27+X29)/2</x:f>
        <x:v>0</x:v>
      </x:c>
      <x:c r="Y30" s="169" t="n">
        <x:f>(Y27+Y29)/2</x:f>
        <x:v>0</x:v>
      </x:c>
      <x:c r="Z30" s="169" t="n">
        <x:f>(Z27+Z29)/2</x:f>
        <x:v>0</x:v>
      </x:c>
      <x:c r="AA30" s="169" t="n">
        <x:f>(AA27+AA29)/2</x:f>
        <x:v>0</x:v>
      </x:c>
      <x:c r="AB30" s="169" t="n">
        <x:f>(AB27+AB29)/2</x:f>
        <x:v>0</x:v>
      </x:c>
      <x:c r="AC30" s="169" t="n">
        <x:f>(AC27+AC29)/2</x:f>
        <x:v>0</x:v>
      </x:c>
    </x:row>
    <x:row r="31" ht="20" customHeight="1">
      <x:c r="A31" s="170" t="str">
        <x:v>Chips</x:v>
      </x:c>
      <x:c r="B31" s="214" t="n">
        <x:v>2025</x:v>
      </x:c>
      <x:c r="C31" s="170" t="n">
        <x:f>'ROIC Cloud'!F$15*'ROIC Cloud'!$D$45</x:f>
        <x:v>96721.42210070434</x:v>
      </x:c>
      <x:c r="D31" s="214" t="n">
        <x:f>'ROIC Cloud'!$D$41</x:f>
        <x:v>5</x:v>
      </x:c>
      <x:c r="E31" s="214" t="n">
        <x:f>B31+'ROIC Cloud'!$D$40</x:f>
        <x:v>2027</x:v>
      </x:c>
      <x:c r="F31" s="170" t="str">
        <x:v>Opening NBV</x:v>
      </x:c>
      <x:c r="G31" s="169" t="n">
        <x:f>IF(G$4&gt;=$E31,$C31*MAX(0,1-(G$4-$E31)/$D31),0)</x:f>
        <x:v>0</x:v>
      </x:c>
      <x:c r="H31" s="169" t="n">
        <x:f>IF(H$4&gt;=$E31,$C31*MAX(0,1-(H$4-$E31)/$D31),0)</x:f>
        <x:v>0</x:v>
      </x:c>
      <x:c r="I31" s="169" t="n">
        <x:f>IF(I$4&gt;=$E31,$C31*MAX(0,1-(I$4-$E31)/$D31),0)</x:f>
        <x:v>0</x:v>
      </x:c>
      <x:c r="J31" s="169" t="n">
        <x:f>IF(J$4&gt;=$E31,$C31*MAX(0,1-(J$4-$E31)/$D31),0)</x:f>
        <x:v>0</x:v>
      </x:c>
      <x:c r="K31" s="169" t="n">
        <x:f>IF(K$4&gt;=$E31,$C31*MAX(0,1-(K$4-$E31)/$D31),0)</x:f>
        <x:v>96721.42210070434</x:v>
      </x:c>
      <x:c r="L31" s="169" t="n">
        <x:f>IF(L$4&gt;=$E31,$C31*MAX(0,1-(L$4-$E31)/$D31),0)</x:f>
        <x:v>77377.13768056348</x:v>
      </x:c>
      <x:c r="M31" s="169" t="n">
        <x:f>IF(M$4&gt;=$E31,$C31*MAX(0,1-(M$4-$E31)/$D31),0)</x:f>
        <x:v>58032.8532604226</x:v>
      </x:c>
      <x:c r="N31" s="169" t="n">
        <x:f>IF(N$4&gt;=$E31,$C31*MAX(0,1-(N$4-$E31)/$D31),0)</x:f>
        <x:v>38688.56884028174</x:v>
      </x:c>
      <x:c r="O31" s="169" t="n">
        <x:f>IF(O$4&gt;=$E31,$C31*MAX(0,1-(O$4-$E31)/$D31),0)</x:f>
        <x:v>19344.284420140862</x:v>
      </x:c>
      <x:c r="P31" s="169" t="n">
        <x:f>IF(P$4&gt;=$E31,$C31*MAX(0,1-(P$4-$E31)/$D31),0)</x:f>
        <x:v>0</x:v>
      </x:c>
      <x:c r="Q31" s="169" t="n">
        <x:f>IF(Q$4&gt;=$E31,$C31*MAX(0,1-(Q$4-$E31)/$D31),0)</x:f>
        <x:v>0</x:v>
      </x:c>
      <x:c r="R31" s="169" t="n">
        <x:f>IF(R$4&gt;=$E31,$C31*MAX(0,1-(R$4-$E31)/$D31),0)</x:f>
        <x:v>0</x:v>
      </x:c>
      <x:c r="S31" s="169" t="n">
        <x:f>IF(S$4&gt;=$E31,$C31*MAX(0,1-(S$4-$E31)/$D31),0)</x:f>
        <x:v>0</x:v>
      </x:c>
      <x:c r="T31" s="169" t="n">
        <x:f>IF(T$4&gt;=$E31,$C31*MAX(0,1-(T$4-$E31)/$D31),0)</x:f>
        <x:v>0</x:v>
      </x:c>
      <x:c r="U31" s="169" t="n">
        <x:f>IF(U$4&gt;=$E31,$C31*MAX(0,1-(U$4-$E31)/$D31),0)</x:f>
        <x:v>0</x:v>
      </x:c>
      <x:c r="V31" s="169" t="n">
        <x:f>IF(V$4&gt;=$E31,$C31*MAX(0,1-(V$4-$E31)/$D31),0)</x:f>
        <x:v>0</x:v>
      </x:c>
      <x:c r="W31" s="169" t="n">
        <x:f>IF(W$4&gt;=$E31,$C31*MAX(0,1-(W$4-$E31)/$D31),0)</x:f>
        <x:v>0</x:v>
      </x:c>
      <x:c r="X31" s="169" t="n">
        <x:f>IF(X$4&gt;=$E31,$C31*MAX(0,1-(X$4-$E31)/$D31),0)</x:f>
        <x:v>0</x:v>
      </x:c>
      <x:c r="Y31" s="169" t="n">
        <x:f>IF(Y$4&gt;=$E31,$C31*MAX(0,1-(Y$4-$E31)/$D31),0)</x:f>
        <x:v>0</x:v>
      </x:c>
      <x:c r="Z31" s="169" t="n">
        <x:f>IF(Z$4&gt;=$E31,$C31*MAX(0,1-(Z$4-$E31)/$D31),0)</x:f>
        <x:v>0</x:v>
      </x:c>
      <x:c r="AA31" s="169" t="n">
        <x:f>IF(AA$4&gt;=$E31,$C31*MAX(0,1-(AA$4-$E31)/$D31),0)</x:f>
        <x:v>0</x:v>
      </x:c>
      <x:c r="AB31" s="169" t="n">
        <x:f>IF(AB$4&gt;=$E31,$C31*MAX(0,1-(AB$4-$E31)/$D31),0)</x:f>
        <x:v>0</x:v>
      </x:c>
      <x:c r="AC31" s="169" t="n">
        <x:f>IF(AC$4&gt;=$E31,$C31*MAX(0,1-(AC$4-$E31)/$D31),0)</x:f>
        <x:v>0</x:v>
      </x:c>
    </x:row>
    <x:row r="32" ht="20" customHeight="1">
      <x:c r="A32" s="170" t="str">
        <x:v>Chips</x:v>
      </x:c>
      <x:c r="B32" s="214" t="n">
        <x:v>2025</x:v>
      </x:c>
      <x:c r="C32" s="170" t="n">
        <x:f>'ROIC Cloud'!F$15*'ROIC Cloud'!$D$45</x:f>
        <x:v>96721.42210070434</x:v>
      </x:c>
      <x:c r="D32" s="214" t="n">
        <x:f>'ROIC Cloud'!$D$41</x:f>
        <x:v>5</x:v>
      </x:c>
      <x:c r="E32" s="214" t="n">
        <x:f>B32+'ROIC Cloud'!$D$40</x:f>
        <x:v>2027</x:v>
      </x:c>
      <x:c r="F32" s="170" t="str">
        <x:v>Depreciation</x:v>
      </x:c>
      <x:c r="G32" s="169" t="n">
        <x:f>IF(G$4&gt;=$E31,MIN($C31/$D31,G31),0)</x:f>
        <x:v>0</x:v>
      </x:c>
      <x:c r="H32" s="169" t="n">
        <x:f>IF(H$4&gt;=$E31,MIN($C31/$D31,H31),0)</x:f>
        <x:v>0</x:v>
      </x:c>
      <x:c r="I32" s="169" t="n">
        <x:f>IF(I$4&gt;=$E31,MIN($C31/$D31,I31),0)</x:f>
        <x:v>0</x:v>
      </x:c>
      <x:c r="J32" s="169" t="n">
        <x:f>IF(J$4&gt;=$E31,MIN($C31/$D31,J31),0)</x:f>
        <x:v>0</x:v>
      </x:c>
      <x:c r="K32" s="169" t="n">
        <x:f>IF(K$4&gt;=$E31,MIN($C31/$D31,K31),0)</x:f>
        <x:v>19344.284420140866</x:v>
      </x:c>
      <x:c r="L32" s="169" t="n">
        <x:f>IF(L$4&gt;=$E31,MIN($C31/$D31,L31),0)</x:f>
        <x:v>19344.284420140866</x:v>
      </x:c>
      <x:c r="M32" s="169" t="n">
        <x:f>IF(M$4&gt;=$E31,MIN($C31/$D31,M31),0)</x:f>
        <x:v>19344.284420140866</x:v>
      </x:c>
      <x:c r="N32" s="169" t="n">
        <x:f>IF(N$4&gt;=$E31,MIN($C31/$D31,N31),0)</x:f>
        <x:v>19344.284420140866</x:v>
      </x:c>
      <x:c r="O32" s="169" t="n">
        <x:f>IF(O$4&gt;=$E31,MIN($C31/$D31,O31),0)</x:f>
        <x:v>19344.284420140862</x:v>
      </x:c>
      <x:c r="P32" s="169" t="n">
        <x:f>IF(P$4&gt;=$E31,MIN($C31/$D31,P31),0)</x:f>
        <x:v>0</x:v>
      </x:c>
      <x:c r="Q32" s="169" t="n">
        <x:f>IF(Q$4&gt;=$E31,MIN($C31/$D31,Q31),0)</x:f>
        <x:v>0</x:v>
      </x:c>
      <x:c r="R32" s="169" t="n">
        <x:f>IF(R$4&gt;=$E31,MIN($C31/$D31,R31),0)</x:f>
        <x:v>0</x:v>
      </x:c>
      <x:c r="S32" s="169" t="n">
        <x:f>IF(S$4&gt;=$E31,MIN($C31/$D31,S31),0)</x:f>
        <x:v>0</x:v>
      </x:c>
      <x:c r="T32" s="169" t="n">
        <x:f>IF(T$4&gt;=$E31,MIN($C31/$D31,T31),0)</x:f>
        <x:v>0</x:v>
      </x:c>
      <x:c r="U32" s="169" t="n">
        <x:f>IF(U$4&gt;=$E31,MIN($C31/$D31,U31),0)</x:f>
        <x:v>0</x:v>
      </x:c>
      <x:c r="V32" s="169" t="n">
        <x:f>IF(V$4&gt;=$E31,MIN($C31/$D31,V31),0)</x:f>
        <x:v>0</x:v>
      </x:c>
      <x:c r="W32" s="169" t="n">
        <x:f>IF(W$4&gt;=$E31,MIN($C31/$D31,W31),0)</x:f>
        <x:v>0</x:v>
      </x:c>
      <x:c r="X32" s="169" t="n">
        <x:f>IF(X$4&gt;=$E31,MIN($C31/$D31,X31),0)</x:f>
        <x:v>0</x:v>
      </x:c>
      <x:c r="Y32" s="169" t="n">
        <x:f>IF(Y$4&gt;=$E31,MIN($C31/$D31,Y31),0)</x:f>
        <x:v>0</x:v>
      </x:c>
      <x:c r="Z32" s="169" t="n">
        <x:f>IF(Z$4&gt;=$E31,MIN($C31/$D31,Z31),0)</x:f>
        <x:v>0</x:v>
      </x:c>
      <x:c r="AA32" s="169" t="n">
        <x:f>IF(AA$4&gt;=$E31,MIN($C31/$D31,AA31),0)</x:f>
        <x:v>0</x:v>
      </x:c>
      <x:c r="AB32" s="169" t="n">
        <x:f>IF(AB$4&gt;=$E31,MIN($C31/$D31,AB31),0)</x:f>
        <x:v>0</x:v>
      </x:c>
      <x:c r="AC32" s="169" t="n">
        <x:f>IF(AC$4&gt;=$E31,MIN($C31/$D31,AC31),0)</x:f>
        <x:v>0</x:v>
      </x:c>
    </x:row>
    <x:row r="33" ht="20" customHeight="1">
      <x:c r="A33" s="170" t="str">
        <x:v>Chips</x:v>
      </x:c>
      <x:c r="B33" s="214" t="n">
        <x:v>2025</x:v>
      </x:c>
      <x:c r="C33" s="170" t="n">
        <x:f>'ROIC Cloud'!F$15*'ROIC Cloud'!$D$45</x:f>
        <x:v>96721.42210070434</x:v>
      </x:c>
      <x:c r="D33" s="214" t="n">
        <x:f>'ROIC Cloud'!$D$41</x:f>
        <x:v>5</x:v>
      </x:c>
      <x:c r="E33" s="214" t="n">
        <x:f>B33+'ROIC Cloud'!$D$40</x:f>
        <x:v>2027</x:v>
      </x:c>
      <x:c r="F33" s="170" t="str">
        <x:v>Closing NBV</x:v>
      </x:c>
      <x:c r="G33" s="169" t="n">
        <x:f>MAX(0,G31-G32)</x:f>
        <x:v>0</x:v>
      </x:c>
      <x:c r="H33" s="169" t="n">
        <x:f>MAX(0,H31-H32)</x:f>
        <x:v>0</x:v>
      </x:c>
      <x:c r="I33" s="169" t="n">
        <x:f>MAX(0,I31-I32)</x:f>
        <x:v>0</x:v>
      </x:c>
      <x:c r="J33" s="169" t="n">
        <x:f>MAX(0,J31-J32)</x:f>
        <x:v>0</x:v>
      </x:c>
      <x:c r="K33" s="169" t="n">
        <x:f>MAX(0,K31-K32)</x:f>
        <x:v>77377.13768056346</x:v>
      </x:c>
      <x:c r="L33" s="169" t="n">
        <x:f>MAX(0,L31-L32)</x:f>
        <x:v>58032.85326042261</x:v>
      </x:c>
      <x:c r="M33" s="169" t="n">
        <x:f>MAX(0,M31-M32)</x:f>
        <x:v>38688.56884028173</x:v>
      </x:c>
      <x:c r="N33" s="169" t="n">
        <x:f>MAX(0,N31-N32)</x:f>
        <x:v>19344.284420140873</x:v>
      </x:c>
      <x:c r="O33" s="169" t="n">
        <x:f>MAX(0,O31-O32)</x:f>
        <x:v>0</x:v>
      </x:c>
      <x:c r="P33" s="169" t="n">
        <x:f>MAX(0,P31-P32)</x:f>
        <x:v>0</x:v>
      </x:c>
      <x:c r="Q33" s="169" t="n">
        <x:f>MAX(0,Q31-Q32)</x:f>
        <x:v>0</x:v>
      </x:c>
      <x:c r="R33" s="169" t="n">
        <x:f>MAX(0,R31-R32)</x:f>
        <x:v>0</x:v>
      </x:c>
      <x:c r="S33" s="169" t="n">
        <x:f>MAX(0,S31-S32)</x:f>
        <x:v>0</x:v>
      </x:c>
      <x:c r="T33" s="169" t="n">
        <x:f>MAX(0,T31-T32)</x:f>
        <x:v>0</x:v>
      </x:c>
      <x:c r="U33" s="169" t="n">
        <x:f>MAX(0,U31-U32)</x:f>
        <x:v>0</x:v>
      </x:c>
      <x:c r="V33" s="169" t="n">
        <x:f>MAX(0,V31-V32)</x:f>
        <x:v>0</x:v>
      </x:c>
      <x:c r="W33" s="169" t="n">
        <x:f>MAX(0,W31-W32)</x:f>
        <x:v>0</x:v>
      </x:c>
      <x:c r="X33" s="169" t="n">
        <x:f>MAX(0,X31-X32)</x:f>
        <x:v>0</x:v>
      </x:c>
      <x:c r="Y33" s="169" t="n">
        <x:f>MAX(0,Y31-Y32)</x:f>
        <x:v>0</x:v>
      </x:c>
      <x:c r="Z33" s="169" t="n">
        <x:f>MAX(0,Z31-Z32)</x:f>
        <x:v>0</x:v>
      </x:c>
      <x:c r="AA33" s="169" t="n">
        <x:f>MAX(0,AA31-AA32)</x:f>
        <x:v>0</x:v>
      </x:c>
      <x:c r="AB33" s="169" t="n">
        <x:f>MAX(0,AB31-AB32)</x:f>
        <x:v>0</x:v>
      </x:c>
      <x:c r="AC33" s="169" t="n">
        <x:f>MAX(0,AC31-AC32)</x:f>
        <x:v>0</x:v>
      </x:c>
    </x:row>
    <x:row r="34" ht="20" customHeight="1">
      <x:c r="A34" s="170" t="str">
        <x:v>Chips</x:v>
      </x:c>
      <x:c r="B34" s="214" t="n">
        <x:v>2025</x:v>
      </x:c>
      <x:c r="C34" s="170" t="n">
        <x:f>'ROIC Cloud'!F$15*'ROIC Cloud'!$D$45</x:f>
        <x:v>96721.42210070434</x:v>
      </x:c>
      <x:c r="D34" s="214" t="n">
        <x:f>'ROIC Cloud'!$D$41</x:f>
        <x:v>5</x:v>
      </x:c>
      <x:c r="E34" s="214" t="n">
        <x:f>B34+'ROIC Cloud'!$D$40</x:f>
        <x:v>2027</x:v>
      </x:c>
      <x:c r="F34" s="170" t="str">
        <x:v>Average NBV</x:v>
      </x:c>
      <x:c r="G34" s="169" t="n">
        <x:f>(G31+G33)/2</x:f>
        <x:v>0</x:v>
      </x:c>
      <x:c r="H34" s="169" t="n">
        <x:f>(H31+H33)/2</x:f>
        <x:v>0</x:v>
      </x:c>
      <x:c r="I34" s="169" t="n">
        <x:f>(I31+I33)/2</x:f>
        <x:v>0</x:v>
      </x:c>
      <x:c r="J34" s="169" t="n">
        <x:f>(J31+J33)/2</x:f>
        <x:v>0</x:v>
      </x:c>
      <x:c r="K34" s="169" t="n">
        <x:f>(K31+K33)/2</x:f>
        <x:v>87049.2798906339</x:v>
      </x:c>
      <x:c r="L34" s="169" t="n">
        <x:f>(L31+L33)/2</x:f>
        <x:v>67704.99547049304</x:v>
      </x:c>
      <x:c r="M34" s="169" t="n">
        <x:f>(M31+M33)/2</x:f>
        <x:v>48360.71105035217</x:v>
      </x:c>
      <x:c r="N34" s="169" t="n">
        <x:f>(N31+N33)/2</x:f>
        <x:v>29016.426630211306</x:v>
      </x:c>
      <x:c r="O34" s="169" t="n">
        <x:f>(O31+O33)/2</x:f>
        <x:v>9672.142210070431</x:v>
      </x:c>
      <x:c r="P34" s="169" t="n">
        <x:f>(P31+P33)/2</x:f>
        <x:v>0</x:v>
      </x:c>
      <x:c r="Q34" s="169" t="n">
        <x:f>(Q31+Q33)/2</x:f>
        <x:v>0</x:v>
      </x:c>
      <x:c r="R34" s="169" t="n">
        <x:f>(R31+R33)/2</x:f>
        <x:v>0</x:v>
      </x:c>
      <x:c r="S34" s="169" t="n">
        <x:f>(S31+S33)/2</x:f>
        <x:v>0</x:v>
      </x:c>
      <x:c r="T34" s="169" t="n">
        <x:f>(T31+T33)/2</x:f>
        <x:v>0</x:v>
      </x:c>
      <x:c r="U34" s="169" t="n">
        <x:f>(U31+U33)/2</x:f>
        <x:v>0</x:v>
      </x:c>
      <x:c r="V34" s="169" t="n">
        <x:f>(V31+V33)/2</x:f>
        <x:v>0</x:v>
      </x:c>
      <x:c r="W34" s="169" t="n">
        <x:f>(W31+W33)/2</x:f>
        <x:v>0</x:v>
      </x:c>
      <x:c r="X34" s="169" t="n">
        <x:f>(X31+X33)/2</x:f>
        <x:v>0</x:v>
      </x:c>
      <x:c r="Y34" s="169" t="n">
        <x:f>(Y31+Y33)/2</x:f>
        <x:v>0</x:v>
      </x:c>
      <x:c r="Z34" s="169" t="n">
        <x:f>(Z31+Z33)/2</x:f>
        <x:v>0</x:v>
      </x:c>
      <x:c r="AA34" s="169" t="n">
        <x:f>(AA31+AA33)/2</x:f>
        <x:v>0</x:v>
      </x:c>
      <x:c r="AB34" s="169" t="n">
        <x:f>(AB31+AB33)/2</x:f>
        <x:v>0</x:v>
      </x:c>
      <x:c r="AC34" s="169" t="n">
        <x:f>(AC31+AC33)/2</x:f>
        <x:v>0</x:v>
      </x:c>
    </x:row>
    <x:row r="35" ht="20" customHeight="1">
      <x:c r="A35" s="170" t="str">
        <x:v>Chips</x:v>
      </x:c>
      <x:c r="B35" s="214" t="n">
        <x:v>2026</x:v>
      </x:c>
      <x:c r="C35" s="170" t="n">
        <x:f>'ROIC Cloud'!G$15*'ROIC Cloud'!$D$45</x:f>
        <x:v>220066.97346148593</x:v>
      </x:c>
      <x:c r="D35" s="214" t="n">
        <x:f>'ROIC Cloud'!$D$41</x:f>
        <x:v>5</x:v>
      </x:c>
      <x:c r="E35" s="214" t="n">
        <x:f>B35+'ROIC Cloud'!$D$40</x:f>
        <x:v>2028</x:v>
      </x:c>
      <x:c r="F35" s="170" t="str">
        <x:v>Opening NBV</x:v>
      </x:c>
      <x:c r="G35" s="169" t="n">
        <x:f>IF(G$4&gt;=$E35,$C35*MAX(0,1-(G$4-$E35)/$D35),0)</x:f>
        <x:v>0</x:v>
      </x:c>
      <x:c r="H35" s="169" t="n">
        <x:f>IF(H$4&gt;=$E35,$C35*MAX(0,1-(H$4-$E35)/$D35),0)</x:f>
        <x:v>0</x:v>
      </x:c>
      <x:c r="I35" s="169" t="n">
        <x:f>IF(I$4&gt;=$E35,$C35*MAX(0,1-(I$4-$E35)/$D35),0)</x:f>
        <x:v>0</x:v>
      </x:c>
      <x:c r="J35" s="169" t="n">
        <x:f>IF(J$4&gt;=$E35,$C35*MAX(0,1-(J$4-$E35)/$D35),0)</x:f>
        <x:v>0</x:v>
      </x:c>
      <x:c r="K35" s="169" t="n">
        <x:f>IF(K$4&gt;=$E35,$C35*MAX(0,1-(K$4-$E35)/$D35),0)</x:f>
        <x:v>0</x:v>
      </x:c>
      <x:c r="L35" s="169" t="n">
        <x:f>IF(L$4&gt;=$E35,$C35*MAX(0,1-(L$4-$E35)/$D35),0)</x:f>
        <x:v>220066.97346148593</x:v>
      </x:c>
      <x:c r="M35" s="169" t="n">
        <x:f>IF(M$4&gt;=$E35,$C35*MAX(0,1-(M$4-$E35)/$D35),0)</x:f>
        <x:v>176053.57876918875</x:v>
      </x:c>
      <x:c r="N35" s="169" t="n">
        <x:f>IF(N$4&gt;=$E35,$C35*MAX(0,1-(N$4-$E35)/$D35),0)</x:f>
        <x:v>132040.18407689154</x:v>
      </x:c>
      <x:c r="O35" s="169" t="n">
        <x:f>IF(O$4&gt;=$E35,$C35*MAX(0,1-(O$4-$E35)/$D35),0)</x:f>
        <x:v>88026.78938459438</x:v>
      </x:c>
      <x:c r="P35" s="169" t="n">
        <x:f>IF(P$4&gt;=$E35,$C35*MAX(0,1-(P$4-$E35)/$D35),0)</x:f>
        <x:v>44013.39469229717</x:v>
      </x:c>
      <x:c r="Q35" s="169" t="n">
        <x:f>IF(Q$4&gt;=$E35,$C35*MAX(0,1-(Q$4-$E35)/$D35),0)</x:f>
        <x:v>0</x:v>
      </x:c>
      <x:c r="R35" s="169" t="n">
        <x:f>IF(R$4&gt;=$E35,$C35*MAX(0,1-(R$4-$E35)/$D35),0)</x:f>
        <x:v>0</x:v>
      </x:c>
      <x:c r="S35" s="169" t="n">
        <x:f>IF(S$4&gt;=$E35,$C35*MAX(0,1-(S$4-$E35)/$D35),0)</x:f>
        <x:v>0</x:v>
      </x:c>
      <x:c r="T35" s="169" t="n">
        <x:f>IF(T$4&gt;=$E35,$C35*MAX(0,1-(T$4-$E35)/$D35),0)</x:f>
        <x:v>0</x:v>
      </x:c>
      <x:c r="U35" s="169" t="n">
        <x:f>IF(U$4&gt;=$E35,$C35*MAX(0,1-(U$4-$E35)/$D35),0)</x:f>
        <x:v>0</x:v>
      </x:c>
      <x:c r="V35" s="169" t="n">
        <x:f>IF(V$4&gt;=$E35,$C35*MAX(0,1-(V$4-$E35)/$D35),0)</x:f>
        <x:v>0</x:v>
      </x:c>
      <x:c r="W35" s="169" t="n">
        <x:f>IF(W$4&gt;=$E35,$C35*MAX(0,1-(W$4-$E35)/$D35),0)</x:f>
        <x:v>0</x:v>
      </x:c>
      <x:c r="X35" s="169" t="n">
        <x:f>IF(X$4&gt;=$E35,$C35*MAX(0,1-(X$4-$E35)/$D35),0)</x:f>
        <x:v>0</x:v>
      </x:c>
      <x:c r="Y35" s="169" t="n">
        <x:f>IF(Y$4&gt;=$E35,$C35*MAX(0,1-(Y$4-$E35)/$D35),0)</x:f>
        <x:v>0</x:v>
      </x:c>
      <x:c r="Z35" s="169" t="n">
        <x:f>IF(Z$4&gt;=$E35,$C35*MAX(0,1-(Z$4-$E35)/$D35),0)</x:f>
        <x:v>0</x:v>
      </x:c>
      <x:c r="AA35" s="169" t="n">
        <x:f>IF(AA$4&gt;=$E35,$C35*MAX(0,1-(AA$4-$E35)/$D35),0)</x:f>
        <x:v>0</x:v>
      </x:c>
      <x:c r="AB35" s="169" t="n">
        <x:f>IF(AB$4&gt;=$E35,$C35*MAX(0,1-(AB$4-$E35)/$D35),0)</x:f>
        <x:v>0</x:v>
      </x:c>
      <x:c r="AC35" s="169" t="n">
        <x:f>IF(AC$4&gt;=$E35,$C35*MAX(0,1-(AC$4-$E35)/$D35),0)</x:f>
        <x:v>0</x:v>
      </x:c>
    </x:row>
    <x:row r="36" ht="20" customHeight="1">
      <x:c r="A36" s="170" t="str">
        <x:v>Chips</x:v>
      </x:c>
      <x:c r="B36" s="214" t="n">
        <x:v>2026</x:v>
      </x:c>
      <x:c r="C36" s="170" t="n">
        <x:f>'ROIC Cloud'!G$15*'ROIC Cloud'!$D$45</x:f>
        <x:v>220066.97346148593</x:v>
      </x:c>
      <x:c r="D36" s="214" t="n">
        <x:f>'ROIC Cloud'!$D$41</x:f>
        <x:v>5</x:v>
      </x:c>
      <x:c r="E36" s="214" t="n">
        <x:f>B36+'ROIC Cloud'!$D$40</x:f>
        <x:v>2028</x:v>
      </x:c>
      <x:c r="F36" s="170" t="str">
        <x:v>Depreciation</x:v>
      </x:c>
      <x:c r="G36" s="169" t="n">
        <x:f>IF(G$4&gt;=$E35,MIN($C35/$D35,G35),0)</x:f>
        <x:v>0</x:v>
      </x:c>
      <x:c r="H36" s="169" t="n">
        <x:f>IF(H$4&gt;=$E35,MIN($C35/$D35,H35),0)</x:f>
        <x:v>0</x:v>
      </x:c>
      <x:c r="I36" s="169" t="n">
        <x:f>IF(I$4&gt;=$E35,MIN($C35/$D35,I35),0)</x:f>
        <x:v>0</x:v>
      </x:c>
      <x:c r="J36" s="169" t="n">
        <x:f>IF(J$4&gt;=$E35,MIN($C35/$D35,J35),0)</x:f>
        <x:v>0</x:v>
      </x:c>
      <x:c r="K36" s="169" t="n">
        <x:f>IF(K$4&gt;=$E35,MIN($C35/$D35,K35),0)</x:f>
        <x:v>0</x:v>
      </x:c>
      <x:c r="L36" s="169" t="n">
        <x:f>IF(L$4&gt;=$E35,MIN($C35/$D35,L35),0)</x:f>
        <x:v>44013.39469229719</x:v>
      </x:c>
      <x:c r="M36" s="169" t="n">
        <x:f>IF(M$4&gt;=$E35,MIN($C35/$D35,M35),0)</x:f>
        <x:v>44013.39469229719</x:v>
      </x:c>
      <x:c r="N36" s="169" t="n">
        <x:f>IF(N$4&gt;=$E35,MIN($C35/$D35,N35),0)</x:f>
        <x:v>44013.39469229719</x:v>
      </x:c>
      <x:c r="O36" s="169" t="n">
        <x:f>IF(O$4&gt;=$E35,MIN($C35/$D35,O35),0)</x:f>
        <x:v>44013.39469229719</x:v>
      </x:c>
      <x:c r="P36" s="169" t="n">
        <x:f>IF(P$4&gt;=$E35,MIN($C35/$D35,P35),0)</x:f>
        <x:v>44013.39469229717</x:v>
      </x:c>
      <x:c r="Q36" s="169" t="n">
        <x:f>IF(Q$4&gt;=$E35,MIN($C35/$D35,Q35),0)</x:f>
        <x:v>0</x:v>
      </x:c>
      <x:c r="R36" s="169" t="n">
        <x:f>IF(R$4&gt;=$E35,MIN($C35/$D35,R35),0)</x:f>
        <x:v>0</x:v>
      </x:c>
      <x:c r="S36" s="169" t="n">
        <x:f>IF(S$4&gt;=$E35,MIN($C35/$D35,S35),0)</x:f>
        <x:v>0</x:v>
      </x:c>
      <x:c r="T36" s="169" t="n">
        <x:f>IF(T$4&gt;=$E35,MIN($C35/$D35,T35),0)</x:f>
        <x:v>0</x:v>
      </x:c>
      <x:c r="U36" s="169" t="n">
        <x:f>IF(U$4&gt;=$E35,MIN($C35/$D35,U35),0)</x:f>
        <x:v>0</x:v>
      </x:c>
      <x:c r="V36" s="169" t="n">
        <x:f>IF(V$4&gt;=$E35,MIN($C35/$D35,V35),0)</x:f>
        <x:v>0</x:v>
      </x:c>
      <x:c r="W36" s="169" t="n">
        <x:f>IF(W$4&gt;=$E35,MIN($C35/$D35,W35),0)</x:f>
        <x:v>0</x:v>
      </x:c>
      <x:c r="X36" s="169" t="n">
        <x:f>IF(X$4&gt;=$E35,MIN($C35/$D35,X35),0)</x:f>
        <x:v>0</x:v>
      </x:c>
      <x:c r="Y36" s="169" t="n">
        <x:f>IF(Y$4&gt;=$E35,MIN($C35/$D35,Y35),0)</x:f>
        <x:v>0</x:v>
      </x:c>
      <x:c r="Z36" s="169" t="n">
        <x:f>IF(Z$4&gt;=$E35,MIN($C35/$D35,Z35),0)</x:f>
        <x:v>0</x:v>
      </x:c>
      <x:c r="AA36" s="169" t="n">
        <x:f>IF(AA$4&gt;=$E35,MIN($C35/$D35,AA35),0)</x:f>
        <x:v>0</x:v>
      </x:c>
      <x:c r="AB36" s="169" t="n">
        <x:f>IF(AB$4&gt;=$E35,MIN($C35/$D35,AB35),0)</x:f>
        <x:v>0</x:v>
      </x:c>
      <x:c r="AC36" s="169" t="n">
        <x:f>IF(AC$4&gt;=$E35,MIN($C35/$D35,AC35),0)</x:f>
        <x:v>0</x:v>
      </x:c>
    </x:row>
    <x:row r="37" ht="20" customHeight="1">
      <x:c r="A37" s="170" t="str">
        <x:v>Chips</x:v>
      </x:c>
      <x:c r="B37" s="214" t="n">
        <x:v>2026</x:v>
      </x:c>
      <x:c r="C37" s="170" t="n">
        <x:f>'ROIC Cloud'!G$15*'ROIC Cloud'!$D$45</x:f>
        <x:v>220066.97346148593</x:v>
      </x:c>
      <x:c r="D37" s="214" t="n">
        <x:f>'ROIC Cloud'!$D$41</x:f>
        <x:v>5</x:v>
      </x:c>
      <x:c r="E37" s="214" t="n">
        <x:f>B37+'ROIC Cloud'!$D$40</x:f>
        <x:v>2028</x:v>
      </x:c>
      <x:c r="F37" s="170" t="str">
        <x:v>Closing NBV</x:v>
      </x:c>
      <x:c r="G37" s="169" t="n">
        <x:f>MAX(0,G35-G36)</x:f>
        <x:v>0</x:v>
      </x:c>
      <x:c r="H37" s="169" t="n">
        <x:f>MAX(0,H35-H36)</x:f>
        <x:v>0</x:v>
      </x:c>
      <x:c r="I37" s="169" t="n">
        <x:f>MAX(0,I35-I36)</x:f>
        <x:v>0</x:v>
      </x:c>
      <x:c r="J37" s="169" t="n">
        <x:f>MAX(0,J35-J36)</x:f>
        <x:v>0</x:v>
      </x:c>
      <x:c r="K37" s="169" t="n">
        <x:f>MAX(0,K35-K36)</x:f>
        <x:v>0</x:v>
      </x:c>
      <x:c r="L37" s="169" t="n">
        <x:f>MAX(0,L35-L36)</x:f>
        <x:v>176053.57876918875</x:v>
      </x:c>
      <x:c r="M37" s="169" t="n">
        <x:f>MAX(0,M35-M36)</x:f>
        <x:v>132040.18407689157</x:v>
      </x:c>
      <x:c r="N37" s="169" t="n">
        <x:f>MAX(0,N35-N36)</x:f>
        <x:v>88026.78938459436</x:v>
      </x:c>
      <x:c r="O37" s="169" t="n">
        <x:f>MAX(0,O35-O36)</x:f>
        <x:v>44013.39469229719</x:v>
      </x:c>
      <x:c r="P37" s="169" t="n">
        <x:f>MAX(0,P35-P36)</x:f>
        <x:v>0</x:v>
      </x:c>
      <x:c r="Q37" s="169" t="n">
        <x:f>MAX(0,Q35-Q36)</x:f>
        <x:v>0</x:v>
      </x:c>
      <x:c r="R37" s="169" t="n">
        <x:f>MAX(0,R35-R36)</x:f>
        <x:v>0</x:v>
      </x:c>
      <x:c r="S37" s="169" t="n">
        <x:f>MAX(0,S35-S36)</x:f>
        <x:v>0</x:v>
      </x:c>
      <x:c r="T37" s="169" t="n">
        <x:f>MAX(0,T35-T36)</x:f>
        <x:v>0</x:v>
      </x:c>
      <x:c r="U37" s="169" t="n">
        <x:f>MAX(0,U35-U36)</x:f>
        <x:v>0</x:v>
      </x:c>
      <x:c r="V37" s="169" t="n">
        <x:f>MAX(0,V35-V36)</x:f>
        <x:v>0</x:v>
      </x:c>
      <x:c r="W37" s="169" t="n">
        <x:f>MAX(0,W35-W36)</x:f>
        <x:v>0</x:v>
      </x:c>
      <x:c r="X37" s="169" t="n">
        <x:f>MAX(0,X35-X36)</x:f>
        <x:v>0</x:v>
      </x:c>
      <x:c r="Y37" s="169" t="n">
        <x:f>MAX(0,Y35-Y36)</x:f>
        <x:v>0</x:v>
      </x:c>
      <x:c r="Z37" s="169" t="n">
        <x:f>MAX(0,Z35-Z36)</x:f>
        <x:v>0</x:v>
      </x:c>
      <x:c r="AA37" s="169" t="n">
        <x:f>MAX(0,AA35-AA36)</x:f>
        <x:v>0</x:v>
      </x:c>
      <x:c r="AB37" s="169" t="n">
        <x:f>MAX(0,AB35-AB36)</x:f>
        <x:v>0</x:v>
      </x:c>
      <x:c r="AC37" s="169" t="n">
        <x:f>MAX(0,AC35-AC36)</x:f>
        <x:v>0</x:v>
      </x:c>
    </x:row>
    <x:row r="38" ht="20" customHeight="1">
      <x:c r="A38" s="170" t="str">
        <x:v>Chips</x:v>
      </x:c>
      <x:c r="B38" s="214" t="n">
        <x:v>2026</x:v>
      </x:c>
      <x:c r="C38" s="170" t="n">
        <x:f>'ROIC Cloud'!G$15*'ROIC Cloud'!$D$45</x:f>
        <x:v>220066.97346148593</x:v>
      </x:c>
      <x:c r="D38" s="214" t="n">
        <x:f>'ROIC Cloud'!$D$41</x:f>
        <x:v>5</x:v>
      </x:c>
      <x:c r="E38" s="214" t="n">
        <x:f>B38+'ROIC Cloud'!$D$40</x:f>
        <x:v>2028</x:v>
      </x:c>
      <x:c r="F38" s="170" t="str">
        <x:v>Average NBV</x:v>
      </x:c>
      <x:c r="G38" s="169" t="n">
        <x:f>(G35+G37)/2</x:f>
        <x:v>0</x:v>
      </x:c>
      <x:c r="H38" s="169" t="n">
        <x:f>(H35+H37)/2</x:f>
        <x:v>0</x:v>
      </x:c>
      <x:c r="I38" s="169" t="n">
        <x:f>(I35+I37)/2</x:f>
        <x:v>0</x:v>
      </x:c>
      <x:c r="J38" s="169" t="n">
        <x:f>(J35+J37)/2</x:f>
        <x:v>0</x:v>
      </x:c>
      <x:c r="K38" s="169" t="n">
        <x:f>(K35+K37)/2</x:f>
        <x:v>0</x:v>
      </x:c>
      <x:c r="L38" s="169" t="n">
        <x:f>(L35+L37)/2</x:f>
        <x:v>198060.27611533733</x:v>
      </x:c>
      <x:c r="M38" s="169" t="n">
        <x:f>(M35+M37)/2</x:f>
        <x:v>154046.88142304018</x:v>
      </x:c>
      <x:c r="N38" s="169" t="n">
        <x:f>(N35+N37)/2</x:f>
        <x:v>110033.48673074295</x:v>
      </x:c>
      <x:c r="O38" s="169" t="n">
        <x:f>(O35+O37)/2</x:f>
        <x:v>66020.09203844579</x:v>
      </x:c>
      <x:c r="P38" s="169" t="n">
        <x:f>(P35+P37)/2</x:f>
        <x:v>22006.697346148587</x:v>
      </x:c>
      <x:c r="Q38" s="169" t="n">
        <x:f>(Q35+Q37)/2</x:f>
        <x:v>0</x:v>
      </x:c>
      <x:c r="R38" s="169" t="n">
        <x:f>(R35+R37)/2</x:f>
        <x:v>0</x:v>
      </x:c>
      <x:c r="S38" s="169" t="n">
        <x:f>(S35+S37)/2</x:f>
        <x:v>0</x:v>
      </x:c>
      <x:c r="T38" s="169" t="n">
        <x:f>(T35+T37)/2</x:f>
        <x:v>0</x:v>
      </x:c>
      <x:c r="U38" s="169" t="n">
        <x:f>(U35+U37)/2</x:f>
        <x:v>0</x:v>
      </x:c>
      <x:c r="V38" s="169" t="n">
        <x:f>(V35+V37)/2</x:f>
        <x:v>0</x:v>
      </x:c>
      <x:c r="W38" s="169" t="n">
        <x:f>(W35+W37)/2</x:f>
        <x:v>0</x:v>
      </x:c>
      <x:c r="X38" s="169" t="n">
        <x:f>(X35+X37)/2</x:f>
        <x:v>0</x:v>
      </x:c>
      <x:c r="Y38" s="169" t="n">
        <x:f>(Y35+Y37)/2</x:f>
        <x:v>0</x:v>
      </x:c>
      <x:c r="Z38" s="169" t="n">
        <x:f>(Z35+Z37)/2</x:f>
        <x:v>0</x:v>
      </x:c>
      <x:c r="AA38" s="169" t="n">
        <x:f>(AA35+AA37)/2</x:f>
        <x:v>0</x:v>
      </x:c>
      <x:c r="AB38" s="169" t="n">
        <x:f>(AB35+AB37)/2</x:f>
        <x:v>0</x:v>
      </x:c>
      <x:c r="AC38" s="169" t="n">
        <x:f>(AC35+AC37)/2</x:f>
        <x:v>0</x:v>
      </x:c>
    </x:row>
    <x:row r="39" ht="20" customHeight="1">
      <x:c r="A39" s="170" t="str">
        <x:v>Chips</x:v>
      </x:c>
      <x:c r="B39" s="214" t="n">
        <x:v>2027</x:v>
      </x:c>
      <x:c r="C39" s="170" t="n">
        <x:f>'ROIC Cloud'!H$15*'ROIC Cloud'!$D$45</x:f>
        <x:v>460201.56978851906</x:v>
      </x:c>
      <x:c r="D39" s="214" t="n">
        <x:f>'ROIC Cloud'!$D$41</x:f>
        <x:v>5</x:v>
      </x:c>
      <x:c r="E39" s="214" t="n">
        <x:f>B39+'ROIC Cloud'!$D$40</x:f>
        <x:v>2029</x:v>
      </x:c>
      <x:c r="F39" s="170" t="str">
        <x:v>Opening NBV</x:v>
      </x:c>
      <x:c r="G39" s="169" t="n">
        <x:f>IF(G$4&gt;=$E39,$C39*MAX(0,1-(G$4-$E39)/$D39),0)</x:f>
        <x:v>0</x:v>
      </x:c>
      <x:c r="H39" s="169" t="n">
        <x:f>IF(H$4&gt;=$E39,$C39*MAX(0,1-(H$4-$E39)/$D39),0)</x:f>
        <x:v>0</x:v>
      </x:c>
      <x:c r="I39" s="169" t="n">
        <x:f>IF(I$4&gt;=$E39,$C39*MAX(0,1-(I$4-$E39)/$D39),0)</x:f>
        <x:v>0</x:v>
      </x:c>
      <x:c r="J39" s="169" t="n">
        <x:f>IF(J$4&gt;=$E39,$C39*MAX(0,1-(J$4-$E39)/$D39),0)</x:f>
        <x:v>0</x:v>
      </x:c>
      <x:c r="K39" s="169" t="n">
        <x:f>IF(K$4&gt;=$E39,$C39*MAX(0,1-(K$4-$E39)/$D39),0)</x:f>
        <x:v>0</x:v>
      </x:c>
      <x:c r="L39" s="169" t="n">
        <x:f>IF(L$4&gt;=$E39,$C39*MAX(0,1-(L$4-$E39)/$D39),0)</x:f>
        <x:v>0</x:v>
      </x:c>
      <x:c r="M39" s="169" t="n">
        <x:f>IF(M$4&gt;=$E39,$C39*MAX(0,1-(M$4-$E39)/$D39),0)</x:f>
        <x:v>460201.56978851906</x:v>
      </x:c>
      <x:c r="N39" s="169" t="n">
        <x:f>IF(N$4&gt;=$E39,$C39*MAX(0,1-(N$4-$E39)/$D39),0)</x:f>
        <x:v>368161.2558308153</x:v>
      </x:c>
      <x:c r="O39" s="169" t="n">
        <x:f>IF(O$4&gt;=$E39,$C39*MAX(0,1-(O$4-$E39)/$D39),0)</x:f>
        <x:v>276120.9418731114</x:v>
      </x:c>
      <x:c r="P39" s="169" t="n">
        <x:f>IF(P$4&gt;=$E39,$C39*MAX(0,1-(P$4-$E39)/$D39),0)</x:f>
        <x:v>184080.62791540765</x:v>
      </x:c>
      <x:c r="Q39" s="169" t="n">
        <x:f>IF(Q$4&gt;=$E39,$C39*MAX(0,1-(Q$4-$E39)/$D39),0)</x:f>
        <x:v>92040.3139577038</x:v>
      </x:c>
      <x:c r="R39" s="169" t="n">
        <x:f>IF(R$4&gt;=$E39,$C39*MAX(0,1-(R$4-$E39)/$D39),0)</x:f>
        <x:v>0</x:v>
      </x:c>
      <x:c r="S39" s="169" t="n">
        <x:f>IF(S$4&gt;=$E39,$C39*MAX(0,1-(S$4-$E39)/$D39),0)</x:f>
        <x:v>0</x:v>
      </x:c>
      <x:c r="T39" s="169" t="n">
        <x:f>IF(T$4&gt;=$E39,$C39*MAX(0,1-(T$4-$E39)/$D39),0)</x:f>
        <x:v>0</x:v>
      </x:c>
      <x:c r="U39" s="169" t="n">
        <x:f>IF(U$4&gt;=$E39,$C39*MAX(0,1-(U$4-$E39)/$D39),0)</x:f>
        <x:v>0</x:v>
      </x:c>
      <x:c r="V39" s="169" t="n">
        <x:f>IF(V$4&gt;=$E39,$C39*MAX(0,1-(V$4-$E39)/$D39),0)</x:f>
        <x:v>0</x:v>
      </x:c>
      <x:c r="W39" s="169" t="n">
        <x:f>IF(W$4&gt;=$E39,$C39*MAX(0,1-(W$4-$E39)/$D39),0)</x:f>
        <x:v>0</x:v>
      </x:c>
      <x:c r="X39" s="169" t="n">
        <x:f>IF(X$4&gt;=$E39,$C39*MAX(0,1-(X$4-$E39)/$D39),0)</x:f>
        <x:v>0</x:v>
      </x:c>
      <x:c r="Y39" s="169" t="n">
        <x:f>IF(Y$4&gt;=$E39,$C39*MAX(0,1-(Y$4-$E39)/$D39),0)</x:f>
        <x:v>0</x:v>
      </x:c>
      <x:c r="Z39" s="169" t="n">
        <x:f>IF(Z$4&gt;=$E39,$C39*MAX(0,1-(Z$4-$E39)/$D39),0)</x:f>
        <x:v>0</x:v>
      </x:c>
      <x:c r="AA39" s="169" t="n">
        <x:f>IF(AA$4&gt;=$E39,$C39*MAX(0,1-(AA$4-$E39)/$D39),0)</x:f>
        <x:v>0</x:v>
      </x:c>
      <x:c r="AB39" s="169" t="n">
        <x:f>IF(AB$4&gt;=$E39,$C39*MAX(0,1-(AB$4-$E39)/$D39),0)</x:f>
        <x:v>0</x:v>
      </x:c>
      <x:c r="AC39" s="169" t="n">
        <x:f>IF(AC$4&gt;=$E39,$C39*MAX(0,1-(AC$4-$E39)/$D39),0)</x:f>
        <x:v>0</x:v>
      </x:c>
    </x:row>
    <x:row r="40" ht="20" customHeight="1">
      <x:c r="A40" s="170" t="str">
        <x:v>Chips</x:v>
      </x:c>
      <x:c r="B40" s="214" t="n">
        <x:v>2027</x:v>
      </x:c>
      <x:c r="C40" s="170" t="n">
        <x:f>'ROIC Cloud'!H$15*'ROIC Cloud'!$D$45</x:f>
        <x:v>460201.56978851906</x:v>
      </x:c>
      <x:c r="D40" s="214" t="n">
        <x:f>'ROIC Cloud'!$D$41</x:f>
        <x:v>5</x:v>
      </x:c>
      <x:c r="E40" s="214" t="n">
        <x:f>B40+'ROIC Cloud'!$D$40</x:f>
        <x:v>2029</x:v>
      </x:c>
      <x:c r="F40" s="170" t="str">
        <x:v>Depreciation</x:v>
      </x:c>
      <x:c r="G40" s="169" t="n">
        <x:f>IF(G$4&gt;=$E39,MIN($C39/$D39,G39),0)</x:f>
        <x:v>0</x:v>
      </x:c>
      <x:c r="H40" s="169" t="n">
        <x:f>IF(H$4&gt;=$E39,MIN($C39/$D39,H39),0)</x:f>
        <x:v>0</x:v>
      </x:c>
      <x:c r="I40" s="169" t="n">
        <x:f>IF(I$4&gt;=$E39,MIN($C39/$D39,I39),0)</x:f>
        <x:v>0</x:v>
      </x:c>
      <x:c r="J40" s="169" t="n">
        <x:f>IF(J$4&gt;=$E39,MIN($C39/$D39,J39),0)</x:f>
        <x:v>0</x:v>
      </x:c>
      <x:c r="K40" s="169" t="n">
        <x:f>IF(K$4&gt;=$E39,MIN($C39/$D39,K39),0)</x:f>
        <x:v>0</x:v>
      </x:c>
      <x:c r="L40" s="169" t="n">
        <x:f>IF(L$4&gt;=$E39,MIN($C39/$D39,L39),0)</x:f>
        <x:v>0</x:v>
      </x:c>
      <x:c r="M40" s="169" t="n">
        <x:f>IF(M$4&gt;=$E39,MIN($C39/$D39,M39),0)</x:f>
        <x:v>92040.31395770381</x:v>
      </x:c>
      <x:c r="N40" s="169" t="n">
        <x:f>IF(N$4&gt;=$E39,MIN($C39/$D39,N39),0)</x:f>
        <x:v>92040.31395770381</x:v>
      </x:c>
      <x:c r="O40" s="169" t="n">
        <x:f>IF(O$4&gt;=$E39,MIN($C39/$D39,O39),0)</x:f>
        <x:v>92040.31395770381</x:v>
      </x:c>
      <x:c r="P40" s="169" t="n">
        <x:f>IF(P$4&gt;=$E39,MIN($C39/$D39,P39),0)</x:f>
        <x:v>92040.31395770381</x:v>
      </x:c>
      <x:c r="Q40" s="169" t="n">
        <x:f>IF(Q$4&gt;=$E39,MIN($C39/$D39,Q39),0)</x:f>
        <x:v>92040.3139577038</x:v>
      </x:c>
      <x:c r="R40" s="169" t="n">
        <x:f>IF(R$4&gt;=$E39,MIN($C39/$D39,R39),0)</x:f>
        <x:v>0</x:v>
      </x:c>
      <x:c r="S40" s="169" t="n">
        <x:f>IF(S$4&gt;=$E39,MIN($C39/$D39,S39),0)</x:f>
        <x:v>0</x:v>
      </x:c>
      <x:c r="T40" s="169" t="n">
        <x:f>IF(T$4&gt;=$E39,MIN($C39/$D39,T39),0)</x:f>
        <x:v>0</x:v>
      </x:c>
      <x:c r="U40" s="169" t="n">
        <x:f>IF(U$4&gt;=$E39,MIN($C39/$D39,U39),0)</x:f>
        <x:v>0</x:v>
      </x:c>
      <x:c r="V40" s="169" t="n">
        <x:f>IF(V$4&gt;=$E39,MIN($C39/$D39,V39),0)</x:f>
        <x:v>0</x:v>
      </x:c>
      <x:c r="W40" s="169" t="n">
        <x:f>IF(W$4&gt;=$E39,MIN($C39/$D39,W39),0)</x:f>
        <x:v>0</x:v>
      </x:c>
      <x:c r="X40" s="169" t="n">
        <x:f>IF(X$4&gt;=$E39,MIN($C39/$D39,X39),0)</x:f>
        <x:v>0</x:v>
      </x:c>
      <x:c r="Y40" s="169" t="n">
        <x:f>IF(Y$4&gt;=$E39,MIN($C39/$D39,Y39),0)</x:f>
        <x:v>0</x:v>
      </x:c>
      <x:c r="Z40" s="169" t="n">
        <x:f>IF(Z$4&gt;=$E39,MIN($C39/$D39,Z39),0)</x:f>
        <x:v>0</x:v>
      </x:c>
      <x:c r="AA40" s="169" t="n">
        <x:f>IF(AA$4&gt;=$E39,MIN($C39/$D39,AA39),0)</x:f>
        <x:v>0</x:v>
      </x:c>
      <x:c r="AB40" s="169" t="n">
        <x:f>IF(AB$4&gt;=$E39,MIN($C39/$D39,AB39),0)</x:f>
        <x:v>0</x:v>
      </x:c>
      <x:c r="AC40" s="169" t="n">
        <x:f>IF(AC$4&gt;=$E39,MIN($C39/$D39,AC39),0)</x:f>
        <x:v>0</x:v>
      </x:c>
    </x:row>
    <x:row r="41" ht="20" customHeight="1">
      <x:c r="A41" s="170" t="str">
        <x:v>Chips</x:v>
      </x:c>
      <x:c r="B41" s="214" t="n">
        <x:v>2027</x:v>
      </x:c>
      <x:c r="C41" s="170" t="n">
        <x:f>'ROIC Cloud'!H$15*'ROIC Cloud'!$D$45</x:f>
        <x:v>460201.56978851906</x:v>
      </x:c>
      <x:c r="D41" s="214" t="n">
        <x:f>'ROIC Cloud'!$D$41</x:f>
        <x:v>5</x:v>
      </x:c>
      <x:c r="E41" s="214" t="n">
        <x:f>B41+'ROIC Cloud'!$D$40</x:f>
        <x:v>2029</x:v>
      </x:c>
      <x:c r="F41" s="170" t="str">
        <x:v>Closing NBV</x:v>
      </x:c>
      <x:c r="G41" s="169" t="n">
        <x:f>MAX(0,G39-G40)</x:f>
        <x:v>0</x:v>
      </x:c>
      <x:c r="H41" s="169" t="n">
        <x:f>MAX(0,H39-H40)</x:f>
        <x:v>0</x:v>
      </x:c>
      <x:c r="I41" s="169" t="n">
        <x:f>MAX(0,I39-I40)</x:f>
        <x:v>0</x:v>
      </x:c>
      <x:c r="J41" s="169" t="n">
        <x:f>MAX(0,J39-J40)</x:f>
        <x:v>0</x:v>
      </x:c>
      <x:c r="K41" s="169" t="n">
        <x:f>MAX(0,K39-K40)</x:f>
        <x:v>0</x:v>
      </x:c>
      <x:c r="L41" s="169" t="n">
        <x:f>MAX(0,L39-L40)</x:f>
        <x:v>0</x:v>
      </x:c>
      <x:c r="M41" s="169" t="n">
        <x:f>MAX(0,M39-M40)</x:f>
        <x:v>368161.25583081524</x:v>
      </x:c>
      <x:c r="N41" s="169" t="n">
        <x:f>MAX(0,N39-N40)</x:f>
        <x:v>276120.9418731115</x:v>
      </x:c>
      <x:c r="O41" s="169" t="n">
        <x:f>MAX(0,O39-O40)</x:f>
        <x:v>184080.6279154076</x:v>
      </x:c>
      <x:c r="P41" s="169" t="n">
        <x:f>MAX(0,P39-P40)</x:f>
        <x:v>92040.31395770384</x:v>
      </x:c>
      <x:c r="Q41" s="169" t="n">
        <x:f>MAX(0,Q39-Q40)</x:f>
        <x:v>0</x:v>
      </x:c>
      <x:c r="R41" s="169" t="n">
        <x:f>MAX(0,R39-R40)</x:f>
        <x:v>0</x:v>
      </x:c>
      <x:c r="S41" s="169" t="n">
        <x:f>MAX(0,S39-S40)</x:f>
        <x:v>0</x:v>
      </x:c>
      <x:c r="T41" s="169" t="n">
        <x:f>MAX(0,T39-T40)</x:f>
        <x:v>0</x:v>
      </x:c>
      <x:c r="U41" s="169" t="n">
        <x:f>MAX(0,U39-U40)</x:f>
        <x:v>0</x:v>
      </x:c>
      <x:c r="V41" s="169" t="n">
        <x:f>MAX(0,V39-V40)</x:f>
        <x:v>0</x:v>
      </x:c>
      <x:c r="W41" s="169" t="n">
        <x:f>MAX(0,W39-W40)</x:f>
        <x:v>0</x:v>
      </x:c>
      <x:c r="X41" s="169" t="n">
        <x:f>MAX(0,X39-X40)</x:f>
        <x:v>0</x:v>
      </x:c>
      <x:c r="Y41" s="169" t="n">
        <x:f>MAX(0,Y39-Y40)</x:f>
        <x:v>0</x:v>
      </x:c>
      <x:c r="Z41" s="169" t="n">
        <x:f>MAX(0,Z39-Z40)</x:f>
        <x:v>0</x:v>
      </x:c>
      <x:c r="AA41" s="169" t="n">
        <x:f>MAX(0,AA39-AA40)</x:f>
        <x:v>0</x:v>
      </x:c>
      <x:c r="AB41" s="169" t="n">
        <x:f>MAX(0,AB39-AB40)</x:f>
        <x:v>0</x:v>
      </x:c>
      <x:c r="AC41" s="169" t="n">
        <x:f>MAX(0,AC39-AC40)</x:f>
        <x:v>0</x:v>
      </x:c>
    </x:row>
    <x:row r="42" ht="20" customHeight="1">
      <x:c r="A42" s="170" t="str">
        <x:v>Chips</x:v>
      </x:c>
      <x:c r="B42" s="214" t="n">
        <x:v>2027</x:v>
      </x:c>
      <x:c r="C42" s="170" t="n">
        <x:f>'ROIC Cloud'!H$15*'ROIC Cloud'!$D$45</x:f>
        <x:v>460201.56978851906</x:v>
      </x:c>
      <x:c r="D42" s="214" t="n">
        <x:f>'ROIC Cloud'!$D$41</x:f>
        <x:v>5</x:v>
      </x:c>
      <x:c r="E42" s="214" t="n">
        <x:f>B42+'ROIC Cloud'!$D$40</x:f>
        <x:v>2029</x:v>
      </x:c>
      <x:c r="F42" s="170" t="str">
        <x:v>Average NBV</x:v>
      </x:c>
      <x:c r="G42" s="169" t="n">
        <x:f>(G39+G41)/2</x:f>
        <x:v>0</x:v>
      </x:c>
      <x:c r="H42" s="169" t="n">
        <x:f>(H39+H41)/2</x:f>
        <x:v>0</x:v>
      </x:c>
      <x:c r="I42" s="169" t="n">
        <x:f>(I39+I41)/2</x:f>
        <x:v>0</x:v>
      </x:c>
      <x:c r="J42" s="169" t="n">
        <x:f>(J39+J41)/2</x:f>
        <x:v>0</x:v>
      </x:c>
      <x:c r="K42" s="169" t="n">
        <x:f>(K39+K41)/2</x:f>
        <x:v>0</x:v>
      </x:c>
      <x:c r="L42" s="169" t="n">
        <x:f>(L39+L41)/2</x:f>
        <x:v>0</x:v>
      </x:c>
      <x:c r="M42" s="169" t="n">
        <x:f>(M39+M41)/2</x:f>
        <x:v>414181.4128096672</x:v>
      </x:c>
      <x:c r="N42" s="169" t="n">
        <x:f>(N39+N41)/2</x:f>
        <x:v>322141.0988519634</x:v>
      </x:c>
      <x:c r="O42" s="169" t="n">
        <x:f>(O39+O41)/2</x:f>
        <x:v>230100.7848942595</x:v>
      </x:c>
      <x:c r="P42" s="169" t="n">
        <x:f>(P39+P41)/2</x:f>
        <x:v>138060.47093655574</x:v>
      </x:c>
      <x:c r="Q42" s="169" t="n">
        <x:f>(Q39+Q41)/2</x:f>
        <x:v>46020.1569788519</x:v>
      </x:c>
      <x:c r="R42" s="169" t="n">
        <x:f>(R39+R41)/2</x:f>
        <x:v>0</x:v>
      </x:c>
      <x:c r="S42" s="169" t="n">
        <x:f>(S39+S41)/2</x:f>
        <x:v>0</x:v>
      </x:c>
      <x:c r="T42" s="169" t="n">
        <x:f>(T39+T41)/2</x:f>
        <x:v>0</x:v>
      </x:c>
      <x:c r="U42" s="169" t="n">
        <x:f>(U39+U41)/2</x:f>
        <x:v>0</x:v>
      </x:c>
      <x:c r="V42" s="169" t="n">
        <x:f>(V39+V41)/2</x:f>
        <x:v>0</x:v>
      </x:c>
      <x:c r="W42" s="169" t="n">
        <x:f>(W39+W41)/2</x:f>
        <x:v>0</x:v>
      </x:c>
      <x:c r="X42" s="169" t="n">
        <x:f>(X39+X41)/2</x:f>
        <x:v>0</x:v>
      </x:c>
      <x:c r="Y42" s="169" t="n">
        <x:f>(Y39+Y41)/2</x:f>
        <x:v>0</x:v>
      </x:c>
      <x:c r="Z42" s="169" t="n">
        <x:f>(Z39+Z41)/2</x:f>
        <x:v>0</x:v>
      </x:c>
      <x:c r="AA42" s="169" t="n">
        <x:f>(AA39+AA41)/2</x:f>
        <x:v>0</x:v>
      </x:c>
      <x:c r="AB42" s="169" t="n">
        <x:f>(AB39+AB41)/2</x:f>
        <x:v>0</x:v>
      </x:c>
      <x:c r="AC42" s="169" t="n">
        <x:f>(AC39+AC41)/2</x:f>
        <x:v>0</x:v>
      </x:c>
    </x:row>
    <x:row r="43" ht="20" customHeight="1">
      <x:c r="A43" s="170" t="str">
        <x:v>Chips</x:v>
      </x:c>
      <x:c r="B43" s="214" t="n">
        <x:v>2028</x:v>
      </x:c>
      <x:c r="C43" s="170" t="n">
        <x:f>'ROIC Cloud'!I$15*'ROIC Cloud'!$D$45</x:f>
        <x:v>711044.5032630085</x:v>
      </x:c>
      <x:c r="D43" s="214" t="n">
        <x:f>'ROIC Cloud'!$D$41</x:f>
        <x:v>5</x:v>
      </x:c>
      <x:c r="E43" s="214" t="n">
        <x:f>B43+'ROIC Cloud'!$D$40</x:f>
        <x:v>2030</x:v>
      </x:c>
      <x:c r="F43" s="170" t="str">
        <x:v>Opening NBV</x:v>
      </x:c>
      <x:c r="G43" s="169" t="n">
        <x:f>IF(G$4&gt;=$E43,$C43*MAX(0,1-(G$4-$E43)/$D43),0)</x:f>
        <x:v>0</x:v>
      </x:c>
      <x:c r="H43" s="169" t="n">
        <x:f>IF(H$4&gt;=$E43,$C43*MAX(0,1-(H$4-$E43)/$D43),0)</x:f>
        <x:v>0</x:v>
      </x:c>
      <x:c r="I43" s="169" t="n">
        <x:f>IF(I$4&gt;=$E43,$C43*MAX(0,1-(I$4-$E43)/$D43),0)</x:f>
        <x:v>0</x:v>
      </x:c>
      <x:c r="J43" s="169" t="n">
        <x:f>IF(J$4&gt;=$E43,$C43*MAX(0,1-(J$4-$E43)/$D43),0)</x:f>
        <x:v>0</x:v>
      </x:c>
      <x:c r="K43" s="169" t="n">
        <x:f>IF(K$4&gt;=$E43,$C43*MAX(0,1-(K$4-$E43)/$D43),0)</x:f>
        <x:v>0</x:v>
      </x:c>
      <x:c r="L43" s="169" t="n">
        <x:f>IF(L$4&gt;=$E43,$C43*MAX(0,1-(L$4-$E43)/$D43),0)</x:f>
        <x:v>0</x:v>
      </x:c>
      <x:c r="M43" s="169" t="n">
        <x:f>IF(M$4&gt;=$E43,$C43*MAX(0,1-(M$4-$E43)/$D43),0)</x:f>
        <x:v>0</x:v>
      </x:c>
      <x:c r="N43" s="169" t="n">
        <x:f>IF(N$4&gt;=$E43,$C43*MAX(0,1-(N$4-$E43)/$D43),0)</x:f>
        <x:v>711044.5032630085</x:v>
      </x:c>
      <x:c r="O43" s="169" t="n">
        <x:f>IF(O$4&gt;=$E43,$C43*MAX(0,1-(O$4-$E43)/$D43),0)</x:f>
        <x:v>568835.6026104068</x:v>
      </x:c>
      <x:c r="P43" s="169" t="n">
        <x:f>IF(P$4&gt;=$E43,$C43*MAX(0,1-(P$4-$E43)/$D43),0)</x:f>
        <x:v>426626.70195780514</x:v>
      </x:c>
      <x:c r="Q43" s="169" t="n">
        <x:f>IF(Q$4&gt;=$E43,$C43*MAX(0,1-(Q$4-$E43)/$D43),0)</x:f>
        <x:v>284417.8013052034</x:v>
      </x:c>
      <x:c r="R43" s="169" t="n">
        <x:f>IF(R$4&gt;=$E43,$C43*MAX(0,1-(R$4-$E43)/$D43),0)</x:f>
        <x:v>142208.90065260167</x:v>
      </x:c>
      <x:c r="S43" s="169" t="n">
        <x:f>IF(S$4&gt;=$E43,$C43*MAX(0,1-(S$4-$E43)/$D43),0)</x:f>
        <x:v>0</x:v>
      </x:c>
      <x:c r="T43" s="169" t="n">
        <x:f>IF(T$4&gt;=$E43,$C43*MAX(0,1-(T$4-$E43)/$D43),0)</x:f>
        <x:v>0</x:v>
      </x:c>
      <x:c r="U43" s="169" t="n">
        <x:f>IF(U$4&gt;=$E43,$C43*MAX(0,1-(U$4-$E43)/$D43),0)</x:f>
        <x:v>0</x:v>
      </x:c>
      <x:c r="V43" s="169" t="n">
        <x:f>IF(V$4&gt;=$E43,$C43*MAX(0,1-(V$4-$E43)/$D43),0)</x:f>
        <x:v>0</x:v>
      </x:c>
      <x:c r="W43" s="169" t="n">
        <x:f>IF(W$4&gt;=$E43,$C43*MAX(0,1-(W$4-$E43)/$D43),0)</x:f>
        <x:v>0</x:v>
      </x:c>
      <x:c r="X43" s="169" t="n">
        <x:f>IF(X$4&gt;=$E43,$C43*MAX(0,1-(X$4-$E43)/$D43),0)</x:f>
        <x:v>0</x:v>
      </x:c>
      <x:c r="Y43" s="169" t="n">
        <x:f>IF(Y$4&gt;=$E43,$C43*MAX(0,1-(Y$4-$E43)/$D43),0)</x:f>
        <x:v>0</x:v>
      </x:c>
      <x:c r="Z43" s="169" t="n">
        <x:f>IF(Z$4&gt;=$E43,$C43*MAX(0,1-(Z$4-$E43)/$D43),0)</x:f>
        <x:v>0</x:v>
      </x:c>
      <x:c r="AA43" s="169" t="n">
        <x:f>IF(AA$4&gt;=$E43,$C43*MAX(0,1-(AA$4-$E43)/$D43),0)</x:f>
        <x:v>0</x:v>
      </x:c>
      <x:c r="AB43" s="169" t="n">
        <x:f>IF(AB$4&gt;=$E43,$C43*MAX(0,1-(AB$4-$E43)/$D43),0)</x:f>
        <x:v>0</x:v>
      </x:c>
      <x:c r="AC43" s="169" t="n">
        <x:f>IF(AC$4&gt;=$E43,$C43*MAX(0,1-(AC$4-$E43)/$D43),0)</x:f>
        <x:v>0</x:v>
      </x:c>
    </x:row>
    <x:row r="44" ht="20" customHeight="1">
      <x:c r="A44" s="170" t="str">
        <x:v>Chips</x:v>
      </x:c>
      <x:c r="B44" s="214" t="n">
        <x:v>2028</x:v>
      </x:c>
      <x:c r="C44" s="170" t="n">
        <x:f>'ROIC Cloud'!I$15*'ROIC Cloud'!$D$45</x:f>
        <x:v>711044.5032630085</x:v>
      </x:c>
      <x:c r="D44" s="214" t="n">
        <x:f>'ROIC Cloud'!$D$41</x:f>
        <x:v>5</x:v>
      </x:c>
      <x:c r="E44" s="214" t="n">
        <x:f>B44+'ROIC Cloud'!$D$40</x:f>
        <x:v>2030</x:v>
      </x:c>
      <x:c r="F44" s="170" t="str">
        <x:v>Depreciation</x:v>
      </x:c>
      <x:c r="G44" s="169" t="n">
        <x:f>IF(G$4&gt;=$E43,MIN($C43/$D43,G43),0)</x:f>
        <x:v>0</x:v>
      </x:c>
      <x:c r="H44" s="169" t="n">
        <x:f>IF(H$4&gt;=$E43,MIN($C43/$D43,H43),0)</x:f>
        <x:v>0</x:v>
      </x:c>
      <x:c r="I44" s="169" t="n">
        <x:f>IF(I$4&gt;=$E43,MIN($C43/$D43,I43),0)</x:f>
        <x:v>0</x:v>
      </x:c>
      <x:c r="J44" s="169" t="n">
        <x:f>IF(J$4&gt;=$E43,MIN($C43/$D43,J43),0)</x:f>
        <x:v>0</x:v>
      </x:c>
      <x:c r="K44" s="169" t="n">
        <x:f>IF(K$4&gt;=$E43,MIN($C43/$D43,K43),0)</x:f>
        <x:v>0</x:v>
      </x:c>
      <x:c r="L44" s="169" t="n">
        <x:f>IF(L$4&gt;=$E43,MIN($C43/$D43,L43),0)</x:f>
        <x:v>0</x:v>
      </x:c>
      <x:c r="M44" s="169" t="n">
        <x:f>IF(M$4&gt;=$E43,MIN($C43/$D43,M43),0)</x:f>
        <x:v>0</x:v>
      </x:c>
      <x:c r="N44" s="169" t="n">
        <x:f>IF(N$4&gt;=$E43,MIN($C43/$D43,N43),0)</x:f>
        <x:v>142208.9006526017</x:v>
      </x:c>
      <x:c r="O44" s="169" t="n">
        <x:f>IF(O$4&gt;=$E43,MIN($C43/$D43,O43),0)</x:f>
        <x:v>142208.9006526017</x:v>
      </x:c>
      <x:c r="P44" s="169" t="n">
        <x:f>IF(P$4&gt;=$E43,MIN($C43/$D43,P43),0)</x:f>
        <x:v>142208.9006526017</x:v>
      </x:c>
      <x:c r="Q44" s="169" t="n">
        <x:f>IF(Q$4&gt;=$E43,MIN($C43/$D43,Q43),0)</x:f>
        <x:v>142208.9006526017</x:v>
      </x:c>
      <x:c r="R44" s="169" t="n">
        <x:f>IF(R$4&gt;=$E43,MIN($C43/$D43,R43),0)</x:f>
        <x:v>142208.90065260167</x:v>
      </x:c>
      <x:c r="S44" s="169" t="n">
        <x:f>IF(S$4&gt;=$E43,MIN($C43/$D43,S43),0)</x:f>
        <x:v>0</x:v>
      </x:c>
      <x:c r="T44" s="169" t="n">
        <x:f>IF(T$4&gt;=$E43,MIN($C43/$D43,T43),0)</x:f>
        <x:v>0</x:v>
      </x:c>
      <x:c r="U44" s="169" t="n">
        <x:f>IF(U$4&gt;=$E43,MIN($C43/$D43,U43),0)</x:f>
        <x:v>0</x:v>
      </x:c>
      <x:c r="V44" s="169" t="n">
        <x:f>IF(V$4&gt;=$E43,MIN($C43/$D43,V43),0)</x:f>
        <x:v>0</x:v>
      </x:c>
      <x:c r="W44" s="169" t="n">
        <x:f>IF(W$4&gt;=$E43,MIN($C43/$D43,W43),0)</x:f>
        <x:v>0</x:v>
      </x:c>
      <x:c r="X44" s="169" t="n">
        <x:f>IF(X$4&gt;=$E43,MIN($C43/$D43,X43),0)</x:f>
        <x:v>0</x:v>
      </x:c>
      <x:c r="Y44" s="169" t="n">
        <x:f>IF(Y$4&gt;=$E43,MIN($C43/$D43,Y43),0)</x:f>
        <x:v>0</x:v>
      </x:c>
      <x:c r="Z44" s="169" t="n">
        <x:f>IF(Z$4&gt;=$E43,MIN($C43/$D43,Z43),0)</x:f>
        <x:v>0</x:v>
      </x:c>
      <x:c r="AA44" s="169" t="n">
        <x:f>IF(AA$4&gt;=$E43,MIN($C43/$D43,AA43),0)</x:f>
        <x:v>0</x:v>
      </x:c>
      <x:c r="AB44" s="169" t="n">
        <x:f>IF(AB$4&gt;=$E43,MIN($C43/$D43,AB43),0)</x:f>
        <x:v>0</x:v>
      </x:c>
      <x:c r="AC44" s="169" t="n">
        <x:f>IF(AC$4&gt;=$E43,MIN($C43/$D43,AC43),0)</x:f>
        <x:v>0</x:v>
      </x:c>
    </x:row>
    <x:row r="45" ht="20" customHeight="1">
      <x:c r="A45" s="170" t="str">
        <x:v>Chips</x:v>
      </x:c>
      <x:c r="B45" s="214" t="n">
        <x:v>2028</x:v>
      </x:c>
      <x:c r="C45" s="170" t="n">
        <x:f>'ROIC Cloud'!I$15*'ROIC Cloud'!$D$45</x:f>
        <x:v>711044.5032630085</x:v>
      </x:c>
      <x:c r="D45" s="214" t="n">
        <x:f>'ROIC Cloud'!$D$41</x:f>
        <x:v>5</x:v>
      </x:c>
      <x:c r="E45" s="214" t="n">
        <x:f>B45+'ROIC Cloud'!$D$40</x:f>
        <x:v>2030</x:v>
      </x:c>
      <x:c r="F45" s="170" t="str">
        <x:v>Closing NBV</x:v>
      </x:c>
      <x:c r="G45" s="169" t="n">
        <x:f>MAX(0,G43-G44)</x:f>
        <x:v>0</x:v>
      </x:c>
      <x:c r="H45" s="169" t="n">
        <x:f>MAX(0,H43-H44)</x:f>
        <x:v>0</x:v>
      </x:c>
      <x:c r="I45" s="169" t="n">
        <x:f>MAX(0,I43-I44)</x:f>
        <x:v>0</x:v>
      </x:c>
      <x:c r="J45" s="169" t="n">
        <x:f>MAX(0,J43-J44)</x:f>
        <x:v>0</x:v>
      </x:c>
      <x:c r="K45" s="169" t="n">
        <x:f>MAX(0,K43-K44)</x:f>
        <x:v>0</x:v>
      </x:c>
      <x:c r="L45" s="169" t="n">
        <x:f>MAX(0,L43-L44)</x:f>
        <x:v>0</x:v>
      </x:c>
      <x:c r="M45" s="169" t="n">
        <x:f>MAX(0,M43-M44)</x:f>
        <x:v>0</x:v>
      </x:c>
      <x:c r="N45" s="169" t="n">
        <x:f>MAX(0,N43-N44)</x:f>
        <x:v>568835.6026104068</x:v>
      </x:c>
      <x:c r="O45" s="169" t="n">
        <x:f>MAX(0,O43-O44)</x:f>
        <x:v>426626.7019578051</x:v>
      </x:c>
      <x:c r="P45" s="169" t="n">
        <x:f>MAX(0,P43-P44)</x:f>
        <x:v>284417.80130520347</x:v>
      </x:c>
      <x:c r="Q45" s="169" t="n">
        <x:f>MAX(0,Q43-Q44)</x:f>
        <x:v>142208.9006526017</x:v>
      </x:c>
      <x:c r="R45" s="169" t="n">
        <x:f>MAX(0,R43-R44)</x:f>
        <x:v>0</x:v>
      </x:c>
      <x:c r="S45" s="169" t="n">
        <x:f>MAX(0,S43-S44)</x:f>
        <x:v>0</x:v>
      </x:c>
      <x:c r="T45" s="169" t="n">
        <x:f>MAX(0,T43-T44)</x:f>
        <x:v>0</x:v>
      </x:c>
      <x:c r="U45" s="169" t="n">
        <x:f>MAX(0,U43-U44)</x:f>
        <x:v>0</x:v>
      </x:c>
      <x:c r="V45" s="169" t="n">
        <x:f>MAX(0,V43-V44)</x:f>
        <x:v>0</x:v>
      </x:c>
      <x:c r="W45" s="169" t="n">
        <x:f>MAX(0,W43-W44)</x:f>
        <x:v>0</x:v>
      </x:c>
      <x:c r="X45" s="169" t="n">
        <x:f>MAX(0,X43-X44)</x:f>
        <x:v>0</x:v>
      </x:c>
      <x:c r="Y45" s="169" t="n">
        <x:f>MAX(0,Y43-Y44)</x:f>
        <x:v>0</x:v>
      </x:c>
      <x:c r="Z45" s="169" t="n">
        <x:f>MAX(0,Z43-Z44)</x:f>
        <x:v>0</x:v>
      </x:c>
      <x:c r="AA45" s="169" t="n">
        <x:f>MAX(0,AA43-AA44)</x:f>
        <x:v>0</x:v>
      </x:c>
      <x:c r="AB45" s="169" t="n">
        <x:f>MAX(0,AB43-AB44)</x:f>
        <x:v>0</x:v>
      </x:c>
      <x:c r="AC45" s="169" t="n">
        <x:f>MAX(0,AC43-AC44)</x:f>
        <x:v>0</x:v>
      </x:c>
    </x:row>
    <x:row r="46" ht="20" customHeight="1">
      <x:c r="A46" s="170" t="str">
        <x:v>Chips</x:v>
      </x:c>
      <x:c r="B46" s="214" t="n">
        <x:v>2028</x:v>
      </x:c>
      <x:c r="C46" s="170" t="n">
        <x:f>'ROIC Cloud'!I$15*'ROIC Cloud'!$D$45</x:f>
        <x:v>711044.5032630085</x:v>
      </x:c>
      <x:c r="D46" s="214" t="n">
        <x:f>'ROIC Cloud'!$D$41</x:f>
        <x:v>5</x:v>
      </x:c>
      <x:c r="E46" s="214" t="n">
        <x:f>B46+'ROIC Cloud'!$D$40</x:f>
        <x:v>2030</x:v>
      </x:c>
      <x:c r="F46" s="170" t="str">
        <x:v>Average NBV</x:v>
      </x:c>
      <x:c r="G46" s="169" t="n">
        <x:f>(G43+G45)/2</x:f>
        <x:v>0</x:v>
      </x:c>
      <x:c r="H46" s="169" t="n">
        <x:f>(H43+H45)/2</x:f>
        <x:v>0</x:v>
      </x:c>
      <x:c r="I46" s="169" t="n">
        <x:f>(I43+I45)/2</x:f>
        <x:v>0</x:v>
      </x:c>
      <x:c r="J46" s="169" t="n">
        <x:f>(J43+J45)/2</x:f>
        <x:v>0</x:v>
      </x:c>
      <x:c r="K46" s="169" t="n">
        <x:f>(K43+K45)/2</x:f>
        <x:v>0</x:v>
      </x:c>
      <x:c r="L46" s="169" t="n">
        <x:f>(L43+L45)/2</x:f>
        <x:v>0</x:v>
      </x:c>
      <x:c r="M46" s="169" t="n">
        <x:f>(M43+M45)/2</x:f>
        <x:v>0</x:v>
      </x:c>
      <x:c r="N46" s="169" t="n">
        <x:f>(N43+N45)/2</x:f>
        <x:v>639940.0529367076</x:v>
      </x:c>
      <x:c r="O46" s="169" t="n">
        <x:f>(O43+O45)/2</x:f>
        <x:v>497731.15228410595</x:v>
      </x:c>
      <x:c r="P46" s="169" t="n">
        <x:f>(P43+P45)/2</x:f>
        <x:v>355522.2516315043</x:v>
      </x:c>
      <x:c r="Q46" s="169" t="n">
        <x:f>(Q43+Q45)/2</x:f>
        <x:v>213313.35097890254</x:v>
      </x:c>
      <x:c r="R46" s="169" t="n">
        <x:f>(R43+R45)/2</x:f>
        <x:v>71104.45032630084</x:v>
      </x:c>
      <x:c r="S46" s="169" t="n">
        <x:f>(S43+S45)/2</x:f>
        <x:v>0</x:v>
      </x:c>
      <x:c r="T46" s="169" t="n">
        <x:f>(T43+T45)/2</x:f>
        <x:v>0</x:v>
      </x:c>
      <x:c r="U46" s="169" t="n">
        <x:f>(U43+U45)/2</x:f>
        <x:v>0</x:v>
      </x:c>
      <x:c r="V46" s="169" t="n">
        <x:f>(V43+V45)/2</x:f>
        <x:v>0</x:v>
      </x:c>
      <x:c r="W46" s="169" t="n">
        <x:f>(W43+W45)/2</x:f>
        <x:v>0</x:v>
      </x:c>
      <x:c r="X46" s="169" t="n">
        <x:f>(X43+X45)/2</x:f>
        <x:v>0</x:v>
      </x:c>
      <x:c r="Y46" s="169" t="n">
        <x:f>(Y43+Y45)/2</x:f>
        <x:v>0</x:v>
      </x:c>
      <x:c r="Z46" s="169" t="n">
        <x:f>(Z43+Z45)/2</x:f>
        <x:v>0</x:v>
      </x:c>
      <x:c r="AA46" s="169" t="n">
        <x:f>(AA43+AA45)/2</x:f>
        <x:v>0</x:v>
      </x:c>
      <x:c r="AB46" s="169" t="n">
        <x:f>(AB43+AB45)/2</x:f>
        <x:v>0</x:v>
      </x:c>
      <x:c r="AC46" s="169" t="n">
        <x:f>(AC43+AC45)/2</x:f>
        <x:v>0</x:v>
      </x:c>
    </x:row>
    <x:row r="47" ht="20" customHeight="1">
      <x:c r="A47" s="170" t="str">
        <x:v>Chips</x:v>
      </x:c>
      <x:c r="B47" s="214" t="n">
        <x:v>2029</x:v>
      </x:c>
      <x:c r="C47" s="170" t="n">
        <x:f>'ROIC Cloud'!J$15*'ROIC Cloud'!$D$45</x:f>
        <x:v>782148.9535893095</x:v>
      </x:c>
      <x:c r="D47" s="214" t="n">
        <x:f>'ROIC Cloud'!$D$41</x:f>
        <x:v>5</x:v>
      </x:c>
      <x:c r="E47" s="214" t="n">
        <x:f>B47+'ROIC Cloud'!$D$40</x:f>
        <x:v>2031</x:v>
      </x:c>
      <x:c r="F47" s="170" t="str">
        <x:v>Opening NBV</x:v>
      </x:c>
      <x:c r="G47" s="169" t="n">
        <x:f>IF(G$4&gt;=$E47,$C47*MAX(0,1-(G$4-$E47)/$D47),0)</x:f>
        <x:v>0</x:v>
      </x:c>
      <x:c r="H47" s="169" t="n">
        <x:f>IF(H$4&gt;=$E47,$C47*MAX(0,1-(H$4-$E47)/$D47),0)</x:f>
        <x:v>0</x:v>
      </x:c>
      <x:c r="I47" s="169" t="n">
        <x:f>IF(I$4&gt;=$E47,$C47*MAX(0,1-(I$4-$E47)/$D47),0)</x:f>
        <x:v>0</x:v>
      </x:c>
      <x:c r="J47" s="169" t="n">
        <x:f>IF(J$4&gt;=$E47,$C47*MAX(0,1-(J$4-$E47)/$D47),0)</x:f>
        <x:v>0</x:v>
      </x:c>
      <x:c r="K47" s="169" t="n">
        <x:f>IF(K$4&gt;=$E47,$C47*MAX(0,1-(K$4-$E47)/$D47),0)</x:f>
        <x:v>0</x:v>
      </x:c>
      <x:c r="L47" s="169" t="n">
        <x:f>IF(L$4&gt;=$E47,$C47*MAX(0,1-(L$4-$E47)/$D47),0)</x:f>
        <x:v>0</x:v>
      </x:c>
      <x:c r="M47" s="169" t="n">
        <x:f>IF(M$4&gt;=$E47,$C47*MAX(0,1-(M$4-$E47)/$D47),0)</x:f>
        <x:v>0</x:v>
      </x:c>
      <x:c r="N47" s="169" t="n">
        <x:f>IF(N$4&gt;=$E47,$C47*MAX(0,1-(N$4-$E47)/$D47),0)</x:f>
        <x:v>0</x:v>
      </x:c>
      <x:c r="O47" s="169" t="n">
        <x:f>IF(O$4&gt;=$E47,$C47*MAX(0,1-(O$4-$E47)/$D47),0)</x:f>
        <x:v>782148.9535893095</x:v>
      </x:c>
      <x:c r="P47" s="169" t="n">
        <x:f>IF(P$4&gt;=$E47,$C47*MAX(0,1-(P$4-$E47)/$D47),0)</x:f>
        <x:v>625719.1628714476</x:v>
      </x:c>
      <x:c r="Q47" s="169" t="n">
        <x:f>IF(Q$4&gt;=$E47,$C47*MAX(0,1-(Q$4-$E47)/$D47),0)</x:f>
        <x:v>469289.37215358566</x:v>
      </x:c>
      <x:c r="R47" s="169" t="n">
        <x:f>IF(R$4&gt;=$E47,$C47*MAX(0,1-(R$4-$E47)/$D47),0)</x:f>
        <x:v>312859.5814357238</x:v>
      </x:c>
      <x:c r="S47" s="169" t="n">
        <x:f>IF(S$4&gt;=$E47,$C47*MAX(0,1-(S$4-$E47)/$D47),0)</x:f>
        <x:v>156429.79071786185</x:v>
      </x:c>
      <x:c r="T47" s="169" t="n">
        <x:f>IF(T$4&gt;=$E47,$C47*MAX(0,1-(T$4-$E47)/$D47),0)</x:f>
        <x:v>0</x:v>
      </x:c>
      <x:c r="U47" s="169" t="n">
        <x:f>IF(U$4&gt;=$E47,$C47*MAX(0,1-(U$4-$E47)/$D47),0)</x:f>
        <x:v>0</x:v>
      </x:c>
      <x:c r="V47" s="169" t="n">
        <x:f>IF(V$4&gt;=$E47,$C47*MAX(0,1-(V$4-$E47)/$D47),0)</x:f>
        <x:v>0</x:v>
      </x:c>
      <x:c r="W47" s="169" t="n">
        <x:f>IF(W$4&gt;=$E47,$C47*MAX(0,1-(W$4-$E47)/$D47),0)</x:f>
        <x:v>0</x:v>
      </x:c>
      <x:c r="X47" s="169" t="n">
        <x:f>IF(X$4&gt;=$E47,$C47*MAX(0,1-(X$4-$E47)/$D47),0)</x:f>
        <x:v>0</x:v>
      </x:c>
      <x:c r="Y47" s="169" t="n">
        <x:f>IF(Y$4&gt;=$E47,$C47*MAX(0,1-(Y$4-$E47)/$D47),0)</x:f>
        <x:v>0</x:v>
      </x:c>
      <x:c r="Z47" s="169" t="n">
        <x:f>IF(Z$4&gt;=$E47,$C47*MAX(0,1-(Z$4-$E47)/$D47),0)</x:f>
        <x:v>0</x:v>
      </x:c>
      <x:c r="AA47" s="169" t="n">
        <x:f>IF(AA$4&gt;=$E47,$C47*MAX(0,1-(AA$4-$E47)/$D47),0)</x:f>
        <x:v>0</x:v>
      </x:c>
      <x:c r="AB47" s="169" t="n">
        <x:f>IF(AB$4&gt;=$E47,$C47*MAX(0,1-(AB$4-$E47)/$D47),0)</x:f>
        <x:v>0</x:v>
      </x:c>
      <x:c r="AC47" s="169" t="n">
        <x:f>IF(AC$4&gt;=$E47,$C47*MAX(0,1-(AC$4-$E47)/$D47),0)</x:f>
        <x:v>0</x:v>
      </x:c>
    </x:row>
    <x:row r="48" ht="20" customHeight="1">
      <x:c r="A48" s="170" t="str">
        <x:v>Chips</x:v>
      </x:c>
      <x:c r="B48" s="214" t="n">
        <x:v>2029</x:v>
      </x:c>
      <x:c r="C48" s="170" t="n">
        <x:f>'ROIC Cloud'!J$15*'ROIC Cloud'!$D$45</x:f>
        <x:v>782148.9535893095</x:v>
      </x:c>
      <x:c r="D48" s="214" t="n">
        <x:f>'ROIC Cloud'!$D$41</x:f>
        <x:v>5</x:v>
      </x:c>
      <x:c r="E48" s="214" t="n">
        <x:f>B48+'ROIC Cloud'!$D$40</x:f>
        <x:v>2031</x:v>
      </x:c>
      <x:c r="F48" s="170" t="str">
        <x:v>Depreciation</x:v>
      </x:c>
      <x:c r="G48" s="169" t="n">
        <x:f>IF(G$4&gt;=$E47,MIN($C47/$D47,G47),0)</x:f>
        <x:v>0</x:v>
      </x:c>
      <x:c r="H48" s="169" t="n">
        <x:f>IF(H$4&gt;=$E47,MIN($C47/$D47,H47),0)</x:f>
        <x:v>0</x:v>
      </x:c>
      <x:c r="I48" s="169" t="n">
        <x:f>IF(I$4&gt;=$E47,MIN($C47/$D47,I47),0)</x:f>
        <x:v>0</x:v>
      </x:c>
      <x:c r="J48" s="169" t="n">
        <x:f>IF(J$4&gt;=$E47,MIN($C47/$D47,J47),0)</x:f>
        <x:v>0</x:v>
      </x:c>
      <x:c r="K48" s="169" t="n">
        <x:f>IF(K$4&gt;=$E47,MIN($C47/$D47,K47),0)</x:f>
        <x:v>0</x:v>
      </x:c>
      <x:c r="L48" s="169" t="n">
        <x:f>IF(L$4&gt;=$E47,MIN($C47/$D47,L47),0)</x:f>
        <x:v>0</x:v>
      </x:c>
      <x:c r="M48" s="169" t="n">
        <x:f>IF(M$4&gt;=$E47,MIN($C47/$D47,M47),0)</x:f>
        <x:v>0</x:v>
      </x:c>
      <x:c r="N48" s="169" t="n">
        <x:f>IF(N$4&gt;=$E47,MIN($C47/$D47,N47),0)</x:f>
        <x:v>0</x:v>
      </x:c>
      <x:c r="O48" s="169" t="n">
        <x:f>IF(O$4&gt;=$E47,MIN($C47/$D47,O47),0)</x:f>
        <x:v>156429.7907178619</x:v>
      </x:c>
      <x:c r="P48" s="169" t="n">
        <x:f>IF(P$4&gt;=$E47,MIN($C47/$D47,P47),0)</x:f>
        <x:v>156429.7907178619</x:v>
      </x:c>
      <x:c r="Q48" s="169" t="n">
        <x:f>IF(Q$4&gt;=$E47,MIN($C47/$D47,Q47),0)</x:f>
        <x:v>156429.7907178619</x:v>
      </x:c>
      <x:c r="R48" s="169" t="n">
        <x:f>IF(R$4&gt;=$E47,MIN($C47/$D47,R47),0)</x:f>
        <x:v>156429.7907178619</x:v>
      </x:c>
      <x:c r="S48" s="169" t="n">
        <x:f>IF(S$4&gt;=$E47,MIN($C47/$D47,S47),0)</x:f>
        <x:v>156429.79071786185</x:v>
      </x:c>
      <x:c r="T48" s="169" t="n">
        <x:f>IF(T$4&gt;=$E47,MIN($C47/$D47,T47),0)</x:f>
        <x:v>0</x:v>
      </x:c>
      <x:c r="U48" s="169" t="n">
        <x:f>IF(U$4&gt;=$E47,MIN($C47/$D47,U47),0)</x:f>
        <x:v>0</x:v>
      </x:c>
      <x:c r="V48" s="169" t="n">
        <x:f>IF(V$4&gt;=$E47,MIN($C47/$D47,V47),0)</x:f>
        <x:v>0</x:v>
      </x:c>
      <x:c r="W48" s="169" t="n">
        <x:f>IF(W$4&gt;=$E47,MIN($C47/$D47,W47),0)</x:f>
        <x:v>0</x:v>
      </x:c>
      <x:c r="X48" s="169" t="n">
        <x:f>IF(X$4&gt;=$E47,MIN($C47/$D47,X47),0)</x:f>
        <x:v>0</x:v>
      </x:c>
      <x:c r="Y48" s="169" t="n">
        <x:f>IF(Y$4&gt;=$E47,MIN($C47/$D47,Y47),0)</x:f>
        <x:v>0</x:v>
      </x:c>
      <x:c r="Z48" s="169" t="n">
        <x:f>IF(Z$4&gt;=$E47,MIN($C47/$D47,Z47),0)</x:f>
        <x:v>0</x:v>
      </x:c>
      <x:c r="AA48" s="169" t="n">
        <x:f>IF(AA$4&gt;=$E47,MIN($C47/$D47,AA47),0)</x:f>
        <x:v>0</x:v>
      </x:c>
      <x:c r="AB48" s="169" t="n">
        <x:f>IF(AB$4&gt;=$E47,MIN($C47/$D47,AB47),0)</x:f>
        <x:v>0</x:v>
      </x:c>
      <x:c r="AC48" s="169" t="n">
        <x:f>IF(AC$4&gt;=$E47,MIN($C47/$D47,AC47),0)</x:f>
        <x:v>0</x:v>
      </x:c>
    </x:row>
    <x:row r="49" ht="20" customHeight="1">
      <x:c r="A49" s="170" t="str">
        <x:v>Chips</x:v>
      </x:c>
      <x:c r="B49" s="214" t="n">
        <x:v>2029</x:v>
      </x:c>
      <x:c r="C49" s="170" t="n">
        <x:f>'ROIC Cloud'!J$15*'ROIC Cloud'!$D$45</x:f>
        <x:v>782148.9535893095</x:v>
      </x:c>
      <x:c r="D49" s="214" t="n">
        <x:f>'ROIC Cloud'!$D$41</x:f>
        <x:v>5</x:v>
      </x:c>
      <x:c r="E49" s="214" t="n">
        <x:f>B49+'ROIC Cloud'!$D$40</x:f>
        <x:v>2031</x:v>
      </x:c>
      <x:c r="F49" s="170" t="str">
        <x:v>Closing NBV</x:v>
      </x:c>
      <x:c r="G49" s="169" t="n">
        <x:f>MAX(0,G47-G48)</x:f>
        <x:v>0</x:v>
      </x:c>
      <x:c r="H49" s="169" t="n">
        <x:f>MAX(0,H47-H48)</x:f>
        <x:v>0</x:v>
      </x:c>
      <x:c r="I49" s="169" t="n">
        <x:f>MAX(0,I47-I48)</x:f>
        <x:v>0</x:v>
      </x:c>
      <x:c r="J49" s="169" t="n">
        <x:f>MAX(0,J47-J48)</x:f>
        <x:v>0</x:v>
      </x:c>
      <x:c r="K49" s="169" t="n">
        <x:f>MAX(0,K47-K48)</x:f>
        <x:v>0</x:v>
      </x:c>
      <x:c r="L49" s="169" t="n">
        <x:f>MAX(0,L47-L48)</x:f>
        <x:v>0</x:v>
      </x:c>
      <x:c r="M49" s="169" t="n">
        <x:f>MAX(0,M47-M48)</x:f>
        <x:v>0</x:v>
      </x:c>
      <x:c r="N49" s="169" t="n">
        <x:f>MAX(0,N47-N48)</x:f>
        <x:v>0</x:v>
      </x:c>
      <x:c r="O49" s="169" t="n">
        <x:f>MAX(0,O47-O48)</x:f>
        <x:v>625719.1628714476</x:v>
      </x:c>
      <x:c r="P49" s="169" t="n">
        <x:f>MAX(0,P47-P48)</x:f>
        <x:v>469289.3721535857</x:v>
      </x:c>
      <x:c r="Q49" s="169" t="n">
        <x:f>MAX(0,Q47-Q48)</x:f>
        <x:v>312859.58143572375</x:v>
      </x:c>
      <x:c r="R49" s="169" t="n">
        <x:f>MAX(0,R47-R48)</x:f>
        <x:v>156429.7907178619</x:v>
      </x:c>
      <x:c r="S49" s="169" t="n">
        <x:f>MAX(0,S47-S48)</x:f>
        <x:v>0</x:v>
      </x:c>
      <x:c r="T49" s="169" t="n">
        <x:f>MAX(0,T47-T48)</x:f>
        <x:v>0</x:v>
      </x:c>
      <x:c r="U49" s="169" t="n">
        <x:f>MAX(0,U47-U48)</x:f>
        <x:v>0</x:v>
      </x:c>
      <x:c r="V49" s="169" t="n">
        <x:f>MAX(0,V47-V48)</x:f>
        <x:v>0</x:v>
      </x:c>
      <x:c r="W49" s="169" t="n">
        <x:f>MAX(0,W47-W48)</x:f>
        <x:v>0</x:v>
      </x:c>
      <x:c r="X49" s="169" t="n">
        <x:f>MAX(0,X47-X48)</x:f>
        <x:v>0</x:v>
      </x:c>
      <x:c r="Y49" s="169" t="n">
        <x:f>MAX(0,Y47-Y48)</x:f>
        <x:v>0</x:v>
      </x:c>
      <x:c r="Z49" s="169" t="n">
        <x:f>MAX(0,Z47-Z48)</x:f>
        <x:v>0</x:v>
      </x:c>
      <x:c r="AA49" s="169" t="n">
        <x:f>MAX(0,AA47-AA48)</x:f>
        <x:v>0</x:v>
      </x:c>
      <x:c r="AB49" s="169" t="n">
        <x:f>MAX(0,AB47-AB48)</x:f>
        <x:v>0</x:v>
      </x:c>
      <x:c r="AC49" s="169" t="n">
        <x:f>MAX(0,AC47-AC48)</x:f>
        <x:v>0</x:v>
      </x:c>
    </x:row>
    <x:row r="50" ht="20" customHeight="1">
      <x:c r="A50" s="170" t="str">
        <x:v>Chips</x:v>
      </x:c>
      <x:c r="B50" s="214" t="n">
        <x:v>2029</x:v>
      </x:c>
      <x:c r="C50" s="170" t="n">
        <x:f>'ROIC Cloud'!J$15*'ROIC Cloud'!$D$45</x:f>
        <x:v>782148.9535893095</x:v>
      </x:c>
      <x:c r="D50" s="214" t="n">
        <x:f>'ROIC Cloud'!$D$41</x:f>
        <x:v>5</x:v>
      </x:c>
      <x:c r="E50" s="214" t="n">
        <x:f>B50+'ROIC Cloud'!$D$40</x:f>
        <x:v>2031</x:v>
      </x:c>
      <x:c r="F50" s="170" t="str">
        <x:v>Average NBV</x:v>
      </x:c>
      <x:c r="G50" s="169" t="n">
        <x:f>(G47+G49)/2</x:f>
        <x:v>0</x:v>
      </x:c>
      <x:c r="H50" s="169" t="n">
        <x:f>(H47+H49)/2</x:f>
        <x:v>0</x:v>
      </x:c>
      <x:c r="I50" s="169" t="n">
        <x:f>(I47+I49)/2</x:f>
        <x:v>0</x:v>
      </x:c>
      <x:c r="J50" s="169" t="n">
        <x:f>(J47+J49)/2</x:f>
        <x:v>0</x:v>
      </x:c>
      <x:c r="K50" s="169" t="n">
        <x:f>(K47+K49)/2</x:f>
        <x:v>0</x:v>
      </x:c>
      <x:c r="L50" s="169" t="n">
        <x:f>(L47+L49)/2</x:f>
        <x:v>0</x:v>
      </x:c>
      <x:c r="M50" s="169" t="n">
        <x:f>(M47+M49)/2</x:f>
        <x:v>0</x:v>
      </x:c>
      <x:c r="N50" s="169" t="n">
        <x:f>(N47+N49)/2</x:f>
        <x:v>0</x:v>
      </x:c>
      <x:c r="O50" s="169" t="n">
        <x:f>(O47+O49)/2</x:f>
        <x:v>703934.0582303785</x:v>
      </x:c>
      <x:c r="P50" s="169" t="n">
        <x:f>(P47+P49)/2</x:f>
        <x:v>547504.2675125167</x:v>
      </x:c>
      <x:c r="Q50" s="169" t="n">
        <x:f>(Q47+Q49)/2</x:f>
        <x:v>391074.47679465474</x:v>
      </x:c>
      <x:c r="R50" s="169" t="n">
        <x:f>(R47+R49)/2</x:f>
        <x:v>234644.68607679286</x:v>
      </x:c>
      <x:c r="S50" s="169" t="n">
        <x:f>(S47+S49)/2</x:f>
        <x:v>78214.89535893092</x:v>
      </x:c>
      <x:c r="T50" s="169" t="n">
        <x:f>(T47+T49)/2</x:f>
        <x:v>0</x:v>
      </x:c>
      <x:c r="U50" s="169" t="n">
        <x:f>(U47+U49)/2</x:f>
        <x:v>0</x:v>
      </x:c>
      <x:c r="V50" s="169" t="n">
        <x:f>(V47+V49)/2</x:f>
        <x:v>0</x:v>
      </x:c>
      <x:c r="W50" s="169" t="n">
        <x:f>(W47+W49)/2</x:f>
        <x:v>0</x:v>
      </x:c>
      <x:c r="X50" s="169" t="n">
        <x:f>(X47+X49)/2</x:f>
        <x:v>0</x:v>
      </x:c>
      <x:c r="Y50" s="169" t="n">
        <x:f>(Y47+Y49)/2</x:f>
        <x:v>0</x:v>
      </x:c>
      <x:c r="Z50" s="169" t="n">
        <x:f>(Z47+Z49)/2</x:f>
        <x:v>0</x:v>
      </x:c>
      <x:c r="AA50" s="169" t="n">
        <x:f>(AA47+AA49)/2</x:f>
        <x:v>0</x:v>
      </x:c>
      <x:c r="AB50" s="169" t="n">
        <x:f>(AB47+AB49)/2</x:f>
        <x:v>0</x:v>
      </x:c>
      <x:c r="AC50" s="169" t="n">
        <x:f>(AC47+AC49)/2</x:f>
        <x:v>0</x:v>
      </x:c>
    </x:row>
    <x:row r="51" ht="20" customHeight="1">
      <x:c r="A51" s="170" t="str">
        <x:v>Chips</x:v>
      </x:c>
      <x:c r="B51" s="214" t="n">
        <x:v>2030</x:v>
      </x:c>
      <x:c r="C51" s="170" t="n">
        <x:f>'ROIC Cloud'!K$15*'ROIC Cloud'!$D$45</x:f>
        <x:v>844720.8698764542</x:v>
      </x:c>
      <x:c r="D51" s="214" t="n">
        <x:f>'ROIC Cloud'!$D$41</x:f>
        <x:v>5</x:v>
      </x:c>
      <x:c r="E51" s="214" t="n">
        <x:f>B51+'ROIC Cloud'!$D$40</x:f>
        <x:v>2032</x:v>
      </x:c>
      <x:c r="F51" s="170" t="str">
        <x:v>Opening NBV</x:v>
      </x:c>
      <x:c r="G51" s="169" t="n">
        <x:f>IF(G$4&gt;=$E51,$C51*MAX(0,1-(G$4-$E51)/$D51),0)</x:f>
        <x:v>0</x:v>
      </x:c>
      <x:c r="H51" s="169" t="n">
        <x:f>IF(H$4&gt;=$E51,$C51*MAX(0,1-(H$4-$E51)/$D51),0)</x:f>
        <x:v>0</x:v>
      </x:c>
      <x:c r="I51" s="169" t="n">
        <x:f>IF(I$4&gt;=$E51,$C51*MAX(0,1-(I$4-$E51)/$D51),0)</x:f>
        <x:v>0</x:v>
      </x:c>
      <x:c r="J51" s="169" t="n">
        <x:f>IF(J$4&gt;=$E51,$C51*MAX(0,1-(J$4-$E51)/$D51),0)</x:f>
        <x:v>0</x:v>
      </x:c>
      <x:c r="K51" s="169" t="n">
        <x:f>IF(K$4&gt;=$E51,$C51*MAX(0,1-(K$4-$E51)/$D51),0)</x:f>
        <x:v>0</x:v>
      </x:c>
      <x:c r="L51" s="169" t="n">
        <x:f>IF(L$4&gt;=$E51,$C51*MAX(0,1-(L$4-$E51)/$D51),0)</x:f>
        <x:v>0</x:v>
      </x:c>
      <x:c r="M51" s="169" t="n">
        <x:f>IF(M$4&gt;=$E51,$C51*MAX(0,1-(M$4-$E51)/$D51),0)</x:f>
        <x:v>0</x:v>
      </x:c>
      <x:c r="N51" s="169" t="n">
        <x:f>IF(N$4&gt;=$E51,$C51*MAX(0,1-(N$4-$E51)/$D51),0)</x:f>
        <x:v>0</x:v>
      </x:c>
      <x:c r="O51" s="169" t="n">
        <x:f>IF(O$4&gt;=$E51,$C51*MAX(0,1-(O$4-$E51)/$D51),0)</x:f>
        <x:v>0</x:v>
      </x:c>
      <x:c r="P51" s="169" t="n">
        <x:f>IF(P$4&gt;=$E51,$C51*MAX(0,1-(P$4-$E51)/$D51),0)</x:f>
        <x:v>844720.8698764542</x:v>
      </x:c>
      <x:c r="Q51" s="169" t="n">
        <x:f>IF(Q$4&gt;=$E51,$C51*MAX(0,1-(Q$4-$E51)/$D51),0)</x:f>
        <x:v>675776.6959011634</x:v>
      </x:c>
      <x:c r="R51" s="169" t="n">
        <x:f>IF(R$4&gt;=$E51,$C51*MAX(0,1-(R$4-$E51)/$D51),0)</x:f>
        <x:v>506832.52192587254</x:v>
      </x:c>
      <x:c r="S51" s="169" t="n">
        <x:f>IF(S$4&gt;=$E51,$C51*MAX(0,1-(S$4-$E51)/$D51),0)</x:f>
        <x:v>337888.3479505817</x:v>
      </x:c>
      <x:c r="T51" s="169" t="n">
        <x:f>IF(T$4&gt;=$E51,$C51*MAX(0,1-(T$4-$E51)/$D51),0)</x:f>
        <x:v>168944.17397529082</x:v>
      </x:c>
      <x:c r="U51" s="169" t="n">
        <x:f>IF(U$4&gt;=$E51,$C51*MAX(0,1-(U$4-$E51)/$D51),0)</x:f>
        <x:v>0</x:v>
      </x:c>
      <x:c r="V51" s="169" t="n">
        <x:f>IF(V$4&gt;=$E51,$C51*MAX(0,1-(V$4-$E51)/$D51),0)</x:f>
        <x:v>0</x:v>
      </x:c>
      <x:c r="W51" s="169" t="n">
        <x:f>IF(W$4&gt;=$E51,$C51*MAX(0,1-(W$4-$E51)/$D51),0)</x:f>
        <x:v>0</x:v>
      </x:c>
      <x:c r="X51" s="169" t="n">
        <x:f>IF(X$4&gt;=$E51,$C51*MAX(0,1-(X$4-$E51)/$D51),0)</x:f>
        <x:v>0</x:v>
      </x:c>
      <x:c r="Y51" s="169" t="n">
        <x:f>IF(Y$4&gt;=$E51,$C51*MAX(0,1-(Y$4-$E51)/$D51),0)</x:f>
        <x:v>0</x:v>
      </x:c>
      <x:c r="Z51" s="169" t="n">
        <x:f>IF(Z$4&gt;=$E51,$C51*MAX(0,1-(Z$4-$E51)/$D51),0)</x:f>
        <x:v>0</x:v>
      </x:c>
      <x:c r="AA51" s="169" t="n">
        <x:f>IF(AA$4&gt;=$E51,$C51*MAX(0,1-(AA$4-$E51)/$D51),0)</x:f>
        <x:v>0</x:v>
      </x:c>
      <x:c r="AB51" s="169" t="n">
        <x:f>IF(AB$4&gt;=$E51,$C51*MAX(0,1-(AB$4-$E51)/$D51),0)</x:f>
        <x:v>0</x:v>
      </x:c>
      <x:c r="AC51" s="169" t="n">
        <x:f>IF(AC$4&gt;=$E51,$C51*MAX(0,1-(AC$4-$E51)/$D51),0)</x:f>
        <x:v>0</x:v>
      </x:c>
    </x:row>
    <x:row r="52" ht="20" customHeight="1">
      <x:c r="A52" s="170" t="str">
        <x:v>Chips</x:v>
      </x:c>
      <x:c r="B52" s="214" t="n">
        <x:v>2030</x:v>
      </x:c>
      <x:c r="C52" s="170" t="n">
        <x:f>'ROIC Cloud'!K$15*'ROIC Cloud'!$D$45</x:f>
        <x:v>844720.8698764542</x:v>
      </x:c>
      <x:c r="D52" s="214" t="n">
        <x:f>'ROIC Cloud'!$D$41</x:f>
        <x:v>5</x:v>
      </x:c>
      <x:c r="E52" s="214" t="n">
        <x:f>B52+'ROIC Cloud'!$D$40</x:f>
        <x:v>2032</x:v>
      </x:c>
      <x:c r="F52" s="170" t="str">
        <x:v>Depreciation</x:v>
      </x:c>
      <x:c r="G52" s="169" t="n">
        <x:f>IF(G$4&gt;=$E51,MIN($C51/$D51,G51),0)</x:f>
        <x:v>0</x:v>
      </x:c>
      <x:c r="H52" s="169" t="n">
        <x:f>IF(H$4&gt;=$E51,MIN($C51/$D51,H51),0)</x:f>
        <x:v>0</x:v>
      </x:c>
      <x:c r="I52" s="169" t="n">
        <x:f>IF(I$4&gt;=$E51,MIN($C51/$D51,I51),0)</x:f>
        <x:v>0</x:v>
      </x:c>
      <x:c r="J52" s="169" t="n">
        <x:f>IF(J$4&gt;=$E51,MIN($C51/$D51,J51),0)</x:f>
        <x:v>0</x:v>
      </x:c>
      <x:c r="K52" s="169" t="n">
        <x:f>IF(K$4&gt;=$E51,MIN($C51/$D51,K51),0)</x:f>
        <x:v>0</x:v>
      </x:c>
      <x:c r="L52" s="169" t="n">
        <x:f>IF(L$4&gt;=$E51,MIN($C51/$D51,L51),0)</x:f>
        <x:v>0</x:v>
      </x:c>
      <x:c r="M52" s="169" t="n">
        <x:f>IF(M$4&gt;=$E51,MIN($C51/$D51,M51),0)</x:f>
        <x:v>0</x:v>
      </x:c>
      <x:c r="N52" s="169" t="n">
        <x:f>IF(N$4&gt;=$E51,MIN($C51/$D51,N51),0)</x:f>
        <x:v>0</x:v>
      </x:c>
      <x:c r="O52" s="169" t="n">
        <x:f>IF(O$4&gt;=$E51,MIN($C51/$D51,O51),0)</x:f>
        <x:v>0</x:v>
      </x:c>
      <x:c r="P52" s="169" t="n">
        <x:f>IF(P$4&gt;=$E51,MIN($C51/$D51,P51),0)</x:f>
        <x:v>168944.17397529085</x:v>
      </x:c>
      <x:c r="Q52" s="169" t="n">
        <x:f>IF(Q$4&gt;=$E51,MIN($C51/$D51,Q51),0)</x:f>
        <x:v>168944.17397529085</x:v>
      </x:c>
      <x:c r="R52" s="169" t="n">
        <x:f>IF(R$4&gt;=$E51,MIN($C51/$D51,R51),0)</x:f>
        <x:v>168944.17397529085</x:v>
      </x:c>
      <x:c r="S52" s="169" t="n">
        <x:f>IF(S$4&gt;=$E51,MIN($C51/$D51,S51),0)</x:f>
        <x:v>168944.17397529085</x:v>
      </x:c>
      <x:c r="T52" s="169" t="n">
        <x:f>IF(T$4&gt;=$E51,MIN($C51/$D51,T51),0)</x:f>
        <x:v>168944.17397529082</x:v>
      </x:c>
      <x:c r="U52" s="169" t="n">
        <x:f>IF(U$4&gt;=$E51,MIN($C51/$D51,U51),0)</x:f>
        <x:v>0</x:v>
      </x:c>
      <x:c r="V52" s="169" t="n">
        <x:f>IF(V$4&gt;=$E51,MIN($C51/$D51,V51),0)</x:f>
        <x:v>0</x:v>
      </x:c>
      <x:c r="W52" s="169" t="n">
        <x:f>IF(W$4&gt;=$E51,MIN($C51/$D51,W51),0)</x:f>
        <x:v>0</x:v>
      </x:c>
      <x:c r="X52" s="169" t="n">
        <x:f>IF(X$4&gt;=$E51,MIN($C51/$D51,X51),0)</x:f>
        <x:v>0</x:v>
      </x:c>
      <x:c r="Y52" s="169" t="n">
        <x:f>IF(Y$4&gt;=$E51,MIN($C51/$D51,Y51),0)</x:f>
        <x:v>0</x:v>
      </x:c>
      <x:c r="Z52" s="169" t="n">
        <x:f>IF(Z$4&gt;=$E51,MIN($C51/$D51,Z51),0)</x:f>
        <x:v>0</x:v>
      </x:c>
      <x:c r="AA52" s="169" t="n">
        <x:f>IF(AA$4&gt;=$E51,MIN($C51/$D51,AA51),0)</x:f>
        <x:v>0</x:v>
      </x:c>
      <x:c r="AB52" s="169" t="n">
        <x:f>IF(AB$4&gt;=$E51,MIN($C51/$D51,AB51),0)</x:f>
        <x:v>0</x:v>
      </x:c>
      <x:c r="AC52" s="169" t="n">
        <x:f>IF(AC$4&gt;=$E51,MIN($C51/$D51,AC51),0)</x:f>
        <x:v>0</x:v>
      </x:c>
    </x:row>
    <x:row r="53" ht="20" customHeight="1">
      <x:c r="A53" s="170" t="str">
        <x:v>Chips</x:v>
      </x:c>
      <x:c r="B53" s="214" t="n">
        <x:v>2030</x:v>
      </x:c>
      <x:c r="C53" s="170" t="n">
        <x:f>'ROIC Cloud'!K$15*'ROIC Cloud'!$D$45</x:f>
        <x:v>844720.8698764542</x:v>
      </x:c>
      <x:c r="D53" s="214" t="n">
        <x:f>'ROIC Cloud'!$D$41</x:f>
        <x:v>5</x:v>
      </x:c>
      <x:c r="E53" s="214" t="n">
        <x:f>B53+'ROIC Cloud'!$D$40</x:f>
        <x:v>2032</x:v>
      </x:c>
      <x:c r="F53" s="170" t="str">
        <x:v>Closing NBV</x:v>
      </x:c>
      <x:c r="G53" s="169" t="n">
        <x:f>MAX(0,G51-G52)</x:f>
        <x:v>0</x:v>
      </x:c>
      <x:c r="H53" s="169" t="n">
        <x:f>MAX(0,H51-H52)</x:f>
        <x:v>0</x:v>
      </x:c>
      <x:c r="I53" s="169" t="n">
        <x:f>MAX(0,I51-I52)</x:f>
        <x:v>0</x:v>
      </x:c>
      <x:c r="J53" s="169" t="n">
        <x:f>MAX(0,J51-J52)</x:f>
        <x:v>0</x:v>
      </x:c>
      <x:c r="K53" s="169" t="n">
        <x:f>MAX(0,K51-K52)</x:f>
        <x:v>0</x:v>
      </x:c>
      <x:c r="L53" s="169" t="n">
        <x:f>MAX(0,L51-L52)</x:f>
        <x:v>0</x:v>
      </x:c>
      <x:c r="M53" s="169" t="n">
        <x:f>MAX(0,M51-M52)</x:f>
        <x:v>0</x:v>
      </x:c>
      <x:c r="N53" s="169" t="n">
        <x:f>MAX(0,N51-N52)</x:f>
        <x:v>0</x:v>
      </x:c>
      <x:c r="O53" s="169" t="n">
        <x:f>MAX(0,O51-O52)</x:f>
        <x:v>0</x:v>
      </x:c>
      <x:c r="P53" s="169" t="n">
        <x:f>MAX(0,P51-P52)</x:f>
        <x:v>675776.6959011634</x:v>
      </x:c>
      <x:c r="Q53" s="169" t="n">
        <x:f>MAX(0,Q51-Q52)</x:f>
        <x:v>506832.52192587254</x:v>
      </x:c>
      <x:c r="R53" s="169" t="n">
        <x:f>MAX(0,R51-R52)</x:f>
        <x:v>337888.3479505817</x:v>
      </x:c>
      <x:c r="S53" s="169" t="n">
        <x:f>MAX(0,S51-S52)</x:f>
        <x:v>168944.17397529085</x:v>
      </x:c>
      <x:c r="T53" s="169" t="n">
        <x:f>MAX(0,T51-T52)</x:f>
        <x:v>0</x:v>
      </x:c>
      <x:c r="U53" s="169" t="n">
        <x:f>MAX(0,U51-U52)</x:f>
        <x:v>0</x:v>
      </x:c>
      <x:c r="V53" s="169" t="n">
        <x:f>MAX(0,V51-V52)</x:f>
        <x:v>0</x:v>
      </x:c>
      <x:c r="W53" s="169" t="n">
        <x:f>MAX(0,W51-W52)</x:f>
        <x:v>0</x:v>
      </x:c>
      <x:c r="X53" s="169" t="n">
        <x:f>MAX(0,X51-X52)</x:f>
        <x:v>0</x:v>
      </x:c>
      <x:c r="Y53" s="169" t="n">
        <x:f>MAX(0,Y51-Y52)</x:f>
        <x:v>0</x:v>
      </x:c>
      <x:c r="Z53" s="169" t="n">
        <x:f>MAX(0,Z51-Z52)</x:f>
        <x:v>0</x:v>
      </x:c>
      <x:c r="AA53" s="169" t="n">
        <x:f>MAX(0,AA51-AA52)</x:f>
        <x:v>0</x:v>
      </x:c>
      <x:c r="AB53" s="169" t="n">
        <x:f>MAX(0,AB51-AB52)</x:f>
        <x:v>0</x:v>
      </x:c>
      <x:c r="AC53" s="169" t="n">
        <x:f>MAX(0,AC51-AC52)</x:f>
        <x:v>0</x:v>
      </x:c>
    </x:row>
    <x:row r="54" ht="20" customHeight="1">
      <x:c r="A54" s="170" t="str">
        <x:v>Chips</x:v>
      </x:c>
      <x:c r="B54" s="214" t="n">
        <x:v>2030</x:v>
      </x:c>
      <x:c r="C54" s="170" t="n">
        <x:f>'ROIC Cloud'!K$15*'ROIC Cloud'!$D$45</x:f>
        <x:v>844720.8698764542</x:v>
      </x:c>
      <x:c r="D54" s="214" t="n">
        <x:f>'ROIC Cloud'!$D$41</x:f>
        <x:v>5</x:v>
      </x:c>
      <x:c r="E54" s="214" t="n">
        <x:f>B54+'ROIC Cloud'!$D$40</x:f>
        <x:v>2032</x:v>
      </x:c>
      <x:c r="F54" s="170" t="str">
        <x:v>Average NBV</x:v>
      </x:c>
      <x:c r="G54" s="169" t="n">
        <x:f>(G51+G53)/2</x:f>
        <x:v>0</x:v>
      </x:c>
      <x:c r="H54" s="169" t="n">
        <x:f>(H51+H53)/2</x:f>
        <x:v>0</x:v>
      </x:c>
      <x:c r="I54" s="169" t="n">
        <x:f>(I51+I53)/2</x:f>
        <x:v>0</x:v>
      </x:c>
      <x:c r="J54" s="169" t="n">
        <x:f>(J51+J53)/2</x:f>
        <x:v>0</x:v>
      </x:c>
      <x:c r="K54" s="169" t="n">
        <x:f>(K51+K53)/2</x:f>
        <x:v>0</x:v>
      </x:c>
      <x:c r="L54" s="169" t="n">
        <x:f>(L51+L53)/2</x:f>
        <x:v>0</x:v>
      </x:c>
      <x:c r="M54" s="169" t="n">
        <x:f>(M51+M53)/2</x:f>
        <x:v>0</x:v>
      </x:c>
      <x:c r="N54" s="169" t="n">
        <x:f>(N51+N53)/2</x:f>
        <x:v>0</x:v>
      </x:c>
      <x:c r="O54" s="169" t="n">
        <x:f>(O51+O53)/2</x:f>
        <x:v>0</x:v>
      </x:c>
      <x:c r="P54" s="169" t="n">
        <x:f>(P51+P53)/2</x:f>
        <x:v>760248.7828888088</x:v>
      </x:c>
      <x:c r="Q54" s="169" t="n">
        <x:f>(Q51+Q53)/2</x:f>
        <x:v>591304.608913518</x:v>
      </x:c>
      <x:c r="R54" s="169" t="n">
        <x:f>(R51+R53)/2</x:f>
        <x:v>422360.4349382271</x:v>
      </x:c>
      <x:c r="S54" s="169" t="n">
        <x:f>(S51+S53)/2</x:f>
        <x:v>253416.26096293627</x:v>
      </x:c>
      <x:c r="T54" s="169" t="n">
        <x:f>(T51+T53)/2</x:f>
        <x:v>84472.08698764541</x:v>
      </x:c>
      <x:c r="U54" s="169" t="n">
        <x:f>(U51+U53)/2</x:f>
        <x:v>0</x:v>
      </x:c>
      <x:c r="V54" s="169" t="n">
        <x:f>(V51+V53)/2</x:f>
        <x:v>0</x:v>
      </x:c>
      <x:c r="W54" s="169" t="n">
        <x:f>(W51+W53)/2</x:f>
        <x:v>0</x:v>
      </x:c>
      <x:c r="X54" s="169" t="n">
        <x:f>(X51+X53)/2</x:f>
        <x:v>0</x:v>
      </x:c>
      <x:c r="Y54" s="169" t="n">
        <x:f>(Y51+Y53)/2</x:f>
        <x:v>0</x:v>
      </x:c>
      <x:c r="Z54" s="169" t="n">
        <x:f>(Z51+Z53)/2</x:f>
        <x:v>0</x:v>
      </x:c>
      <x:c r="AA54" s="169" t="n">
        <x:f>(AA51+AA53)/2</x:f>
        <x:v>0</x:v>
      </x:c>
      <x:c r="AB54" s="169" t="n">
        <x:f>(AB51+AB53)/2</x:f>
        <x:v>0</x:v>
      </x:c>
      <x:c r="AC54" s="169" t="n">
        <x:f>(AC51+AC53)/2</x:f>
        <x:v>0</x:v>
      </x:c>
    </x:row>
    <x:row r="55" ht="20" customHeight="1">
      <x:c r="A55" s="170" t="str">
        <x:v>Chips</x:v>
      </x:c>
      <x:c r="B55" s="214" t="n">
        <x:v>2031</x:v>
      </x:c>
      <x:c r="C55" s="170" t="n">
        <x:f>'ROIC Cloud'!L$15*'ROIC Cloud'!$D$45</x:f>
        <x:v>912298.5394665707</x:v>
      </x:c>
      <x:c r="D55" s="214" t="n">
        <x:f>'ROIC Cloud'!$D$41</x:f>
        <x:v>5</x:v>
      </x:c>
      <x:c r="E55" s="214" t="n">
        <x:f>B55+'ROIC Cloud'!$D$40</x:f>
        <x:v>2033</x:v>
      </x:c>
      <x:c r="F55" s="170" t="str">
        <x:v>Opening NBV</x:v>
      </x:c>
      <x:c r="G55" s="169" t="n">
        <x:f>IF(G$4&gt;=$E55,$C55*MAX(0,1-(G$4-$E55)/$D55),0)</x:f>
        <x:v>0</x:v>
      </x:c>
      <x:c r="H55" s="169" t="n">
        <x:f>IF(H$4&gt;=$E55,$C55*MAX(0,1-(H$4-$E55)/$D55),0)</x:f>
        <x:v>0</x:v>
      </x:c>
      <x:c r="I55" s="169" t="n">
        <x:f>IF(I$4&gt;=$E55,$C55*MAX(0,1-(I$4-$E55)/$D55),0)</x:f>
        <x:v>0</x:v>
      </x:c>
      <x:c r="J55" s="169" t="n">
        <x:f>IF(J$4&gt;=$E55,$C55*MAX(0,1-(J$4-$E55)/$D55),0)</x:f>
        <x:v>0</x:v>
      </x:c>
      <x:c r="K55" s="169" t="n">
        <x:f>IF(K$4&gt;=$E55,$C55*MAX(0,1-(K$4-$E55)/$D55),0)</x:f>
        <x:v>0</x:v>
      </x:c>
      <x:c r="L55" s="169" t="n">
        <x:f>IF(L$4&gt;=$E55,$C55*MAX(0,1-(L$4-$E55)/$D55),0)</x:f>
        <x:v>0</x:v>
      </x:c>
      <x:c r="M55" s="169" t="n">
        <x:f>IF(M$4&gt;=$E55,$C55*MAX(0,1-(M$4-$E55)/$D55),0)</x:f>
        <x:v>0</x:v>
      </x:c>
      <x:c r="N55" s="169" t="n">
        <x:f>IF(N$4&gt;=$E55,$C55*MAX(0,1-(N$4-$E55)/$D55),0)</x:f>
        <x:v>0</x:v>
      </x:c>
      <x:c r="O55" s="169" t="n">
        <x:f>IF(O$4&gt;=$E55,$C55*MAX(0,1-(O$4-$E55)/$D55),0)</x:f>
        <x:v>0</x:v>
      </x:c>
      <x:c r="P55" s="169" t="n">
        <x:f>IF(P$4&gt;=$E55,$C55*MAX(0,1-(P$4-$E55)/$D55),0)</x:f>
        <x:v>0</x:v>
      </x:c>
      <x:c r="Q55" s="169" t="n">
        <x:f>IF(Q$4&gt;=$E55,$C55*MAX(0,1-(Q$4-$E55)/$D55),0)</x:f>
        <x:v>912298.5394665707</x:v>
      </x:c>
      <x:c r="R55" s="169" t="n">
        <x:f>IF(R$4&gt;=$E55,$C55*MAX(0,1-(R$4-$E55)/$D55),0)</x:f>
        <x:v>729838.8315732566</x:v>
      </x:c>
      <x:c r="S55" s="169" t="n">
        <x:f>IF(S$4&gt;=$E55,$C55*MAX(0,1-(S$4-$E55)/$D55),0)</x:f>
        <x:v>547379.1236799425</x:v>
      </x:c>
      <x:c r="T55" s="169" t="n">
        <x:f>IF(T$4&gt;=$E55,$C55*MAX(0,1-(T$4-$E55)/$D55),0)</x:f>
        <x:v>364919.4157866283</x:v>
      </x:c>
      <x:c r="U55" s="169" t="n">
        <x:f>IF(U$4&gt;=$E55,$C55*MAX(0,1-(U$4-$E55)/$D55),0)</x:f>
        <x:v>182459.7078933141</x:v>
      </x:c>
      <x:c r="V55" s="169" t="n">
        <x:f>IF(V$4&gt;=$E55,$C55*MAX(0,1-(V$4-$E55)/$D55),0)</x:f>
        <x:v>0</x:v>
      </x:c>
      <x:c r="W55" s="169" t="n">
        <x:f>IF(W$4&gt;=$E55,$C55*MAX(0,1-(W$4-$E55)/$D55),0)</x:f>
        <x:v>0</x:v>
      </x:c>
      <x:c r="X55" s="169" t="n">
        <x:f>IF(X$4&gt;=$E55,$C55*MAX(0,1-(X$4-$E55)/$D55),0)</x:f>
        <x:v>0</x:v>
      </x:c>
      <x:c r="Y55" s="169" t="n">
        <x:f>IF(Y$4&gt;=$E55,$C55*MAX(0,1-(Y$4-$E55)/$D55),0)</x:f>
        <x:v>0</x:v>
      </x:c>
      <x:c r="Z55" s="169" t="n">
        <x:f>IF(Z$4&gt;=$E55,$C55*MAX(0,1-(Z$4-$E55)/$D55),0)</x:f>
        <x:v>0</x:v>
      </x:c>
      <x:c r="AA55" s="169" t="n">
        <x:f>IF(AA$4&gt;=$E55,$C55*MAX(0,1-(AA$4-$E55)/$D55),0)</x:f>
        <x:v>0</x:v>
      </x:c>
      <x:c r="AB55" s="169" t="n">
        <x:f>IF(AB$4&gt;=$E55,$C55*MAX(0,1-(AB$4-$E55)/$D55),0)</x:f>
        <x:v>0</x:v>
      </x:c>
      <x:c r="AC55" s="169" t="n">
        <x:f>IF(AC$4&gt;=$E55,$C55*MAX(0,1-(AC$4-$E55)/$D55),0)</x:f>
        <x:v>0</x:v>
      </x:c>
    </x:row>
    <x:row r="56" ht="20" customHeight="1">
      <x:c r="A56" s="170" t="str">
        <x:v>Chips</x:v>
      </x:c>
      <x:c r="B56" s="214" t="n">
        <x:v>2031</x:v>
      </x:c>
      <x:c r="C56" s="170" t="n">
        <x:f>'ROIC Cloud'!L$15*'ROIC Cloud'!$D$45</x:f>
        <x:v>912298.5394665707</x:v>
      </x:c>
      <x:c r="D56" s="214" t="n">
        <x:f>'ROIC Cloud'!$D$41</x:f>
        <x:v>5</x:v>
      </x:c>
      <x:c r="E56" s="214" t="n">
        <x:f>B56+'ROIC Cloud'!$D$40</x:f>
        <x:v>2033</x:v>
      </x:c>
      <x:c r="F56" s="170" t="str">
        <x:v>Depreciation</x:v>
      </x:c>
      <x:c r="G56" s="169" t="n">
        <x:f>IF(G$4&gt;=$E55,MIN($C55/$D55,G55),0)</x:f>
        <x:v>0</x:v>
      </x:c>
      <x:c r="H56" s="169" t="n">
        <x:f>IF(H$4&gt;=$E55,MIN($C55/$D55,H55),0)</x:f>
        <x:v>0</x:v>
      </x:c>
      <x:c r="I56" s="169" t="n">
        <x:f>IF(I$4&gt;=$E55,MIN($C55/$D55,I55),0)</x:f>
        <x:v>0</x:v>
      </x:c>
      <x:c r="J56" s="169" t="n">
        <x:f>IF(J$4&gt;=$E55,MIN($C55/$D55,J55),0)</x:f>
        <x:v>0</x:v>
      </x:c>
      <x:c r="K56" s="169" t="n">
        <x:f>IF(K$4&gt;=$E55,MIN($C55/$D55,K55),0)</x:f>
        <x:v>0</x:v>
      </x:c>
      <x:c r="L56" s="169" t="n">
        <x:f>IF(L$4&gt;=$E55,MIN($C55/$D55,L55),0)</x:f>
        <x:v>0</x:v>
      </x:c>
      <x:c r="M56" s="169" t="n">
        <x:f>IF(M$4&gt;=$E55,MIN($C55/$D55,M55),0)</x:f>
        <x:v>0</x:v>
      </x:c>
      <x:c r="N56" s="169" t="n">
        <x:f>IF(N$4&gt;=$E55,MIN($C55/$D55,N55),0)</x:f>
        <x:v>0</x:v>
      </x:c>
      <x:c r="O56" s="169" t="n">
        <x:f>IF(O$4&gt;=$E55,MIN($C55/$D55,O55),0)</x:f>
        <x:v>0</x:v>
      </x:c>
      <x:c r="P56" s="169" t="n">
        <x:f>IF(P$4&gt;=$E55,MIN($C55/$D55,P55),0)</x:f>
        <x:v>0</x:v>
      </x:c>
      <x:c r="Q56" s="169" t="n">
        <x:f>IF(Q$4&gt;=$E55,MIN($C55/$D55,Q55),0)</x:f>
        <x:v>182459.70789331413</x:v>
      </x:c>
      <x:c r="R56" s="169" t="n">
        <x:f>IF(R$4&gt;=$E55,MIN($C55/$D55,R55),0)</x:f>
        <x:v>182459.70789331413</x:v>
      </x:c>
      <x:c r="S56" s="169" t="n">
        <x:f>IF(S$4&gt;=$E55,MIN($C55/$D55,S55),0)</x:f>
        <x:v>182459.70789331413</x:v>
      </x:c>
      <x:c r="T56" s="169" t="n">
        <x:f>IF(T$4&gt;=$E55,MIN($C55/$D55,T55),0)</x:f>
        <x:v>182459.70789331413</x:v>
      </x:c>
      <x:c r="U56" s="169" t="n">
        <x:f>IF(U$4&gt;=$E55,MIN($C55/$D55,U55),0)</x:f>
        <x:v>182459.7078933141</x:v>
      </x:c>
      <x:c r="V56" s="169" t="n">
        <x:f>IF(V$4&gt;=$E55,MIN($C55/$D55,V55),0)</x:f>
        <x:v>0</x:v>
      </x:c>
      <x:c r="W56" s="169" t="n">
        <x:f>IF(W$4&gt;=$E55,MIN($C55/$D55,W55),0)</x:f>
        <x:v>0</x:v>
      </x:c>
      <x:c r="X56" s="169" t="n">
        <x:f>IF(X$4&gt;=$E55,MIN($C55/$D55,X55),0)</x:f>
        <x:v>0</x:v>
      </x:c>
      <x:c r="Y56" s="169" t="n">
        <x:f>IF(Y$4&gt;=$E55,MIN($C55/$D55,Y55),0)</x:f>
        <x:v>0</x:v>
      </x:c>
      <x:c r="Z56" s="169" t="n">
        <x:f>IF(Z$4&gt;=$E55,MIN($C55/$D55,Z55),0)</x:f>
        <x:v>0</x:v>
      </x:c>
      <x:c r="AA56" s="169" t="n">
        <x:f>IF(AA$4&gt;=$E55,MIN($C55/$D55,AA55),0)</x:f>
        <x:v>0</x:v>
      </x:c>
      <x:c r="AB56" s="169" t="n">
        <x:f>IF(AB$4&gt;=$E55,MIN($C55/$D55,AB55),0)</x:f>
        <x:v>0</x:v>
      </x:c>
      <x:c r="AC56" s="169" t="n">
        <x:f>IF(AC$4&gt;=$E55,MIN($C55/$D55,AC55),0)</x:f>
        <x:v>0</x:v>
      </x:c>
    </x:row>
    <x:row r="57" ht="20" customHeight="1">
      <x:c r="A57" s="170" t="str">
        <x:v>Chips</x:v>
      </x:c>
      <x:c r="B57" s="214" t="n">
        <x:v>2031</x:v>
      </x:c>
      <x:c r="C57" s="170" t="n">
        <x:f>'ROIC Cloud'!L$15*'ROIC Cloud'!$D$45</x:f>
        <x:v>912298.5394665707</x:v>
      </x:c>
      <x:c r="D57" s="214" t="n">
        <x:f>'ROIC Cloud'!$D$41</x:f>
        <x:v>5</x:v>
      </x:c>
      <x:c r="E57" s="214" t="n">
        <x:f>B57+'ROIC Cloud'!$D$40</x:f>
        <x:v>2033</x:v>
      </x:c>
      <x:c r="F57" s="170" t="str">
        <x:v>Closing NBV</x:v>
      </x:c>
      <x:c r="G57" s="169" t="n">
        <x:f>MAX(0,G55-G56)</x:f>
        <x:v>0</x:v>
      </x:c>
      <x:c r="H57" s="169" t="n">
        <x:f>MAX(0,H55-H56)</x:f>
        <x:v>0</x:v>
      </x:c>
      <x:c r="I57" s="169" t="n">
        <x:f>MAX(0,I55-I56)</x:f>
        <x:v>0</x:v>
      </x:c>
      <x:c r="J57" s="169" t="n">
        <x:f>MAX(0,J55-J56)</x:f>
        <x:v>0</x:v>
      </x:c>
      <x:c r="K57" s="169" t="n">
        <x:f>MAX(0,K55-K56)</x:f>
        <x:v>0</x:v>
      </x:c>
      <x:c r="L57" s="169" t="n">
        <x:f>MAX(0,L55-L56)</x:f>
        <x:v>0</x:v>
      </x:c>
      <x:c r="M57" s="169" t="n">
        <x:f>MAX(0,M55-M56)</x:f>
        <x:v>0</x:v>
      </x:c>
      <x:c r="N57" s="169" t="n">
        <x:f>MAX(0,N55-N56)</x:f>
        <x:v>0</x:v>
      </x:c>
      <x:c r="O57" s="169" t="n">
        <x:f>MAX(0,O55-O56)</x:f>
        <x:v>0</x:v>
      </x:c>
      <x:c r="P57" s="169" t="n">
        <x:f>MAX(0,P55-P56)</x:f>
        <x:v>0</x:v>
      </x:c>
      <x:c r="Q57" s="169" t="n">
        <x:f>MAX(0,Q55-Q56)</x:f>
        <x:v>729838.8315732565</x:v>
      </x:c>
      <x:c r="R57" s="169" t="n">
        <x:f>MAX(0,R55-R56)</x:f>
        <x:v>547379.1236799425</x:v>
      </x:c>
      <x:c r="S57" s="169" t="n">
        <x:f>MAX(0,S55-S56)</x:f>
        <x:v>364919.4157866283</x:v>
      </x:c>
      <x:c r="T57" s="169" t="n">
        <x:f>MAX(0,T55-T56)</x:f>
        <x:v>182459.7078933142</x:v>
      </x:c>
      <x:c r="U57" s="169" t="n">
        <x:f>MAX(0,U55-U56)</x:f>
        <x:v>0</x:v>
      </x:c>
      <x:c r="V57" s="169" t="n">
        <x:f>MAX(0,V55-V56)</x:f>
        <x:v>0</x:v>
      </x:c>
      <x:c r="W57" s="169" t="n">
        <x:f>MAX(0,W55-W56)</x:f>
        <x:v>0</x:v>
      </x:c>
      <x:c r="X57" s="169" t="n">
        <x:f>MAX(0,X55-X56)</x:f>
        <x:v>0</x:v>
      </x:c>
      <x:c r="Y57" s="169" t="n">
        <x:f>MAX(0,Y55-Y56)</x:f>
        <x:v>0</x:v>
      </x:c>
      <x:c r="Z57" s="169" t="n">
        <x:f>MAX(0,Z55-Z56)</x:f>
        <x:v>0</x:v>
      </x:c>
      <x:c r="AA57" s="169" t="n">
        <x:f>MAX(0,AA55-AA56)</x:f>
        <x:v>0</x:v>
      </x:c>
      <x:c r="AB57" s="169" t="n">
        <x:f>MAX(0,AB55-AB56)</x:f>
        <x:v>0</x:v>
      </x:c>
      <x:c r="AC57" s="169" t="n">
        <x:f>MAX(0,AC55-AC56)</x:f>
        <x:v>0</x:v>
      </x:c>
    </x:row>
    <x:row r="58" ht="20" customHeight="1">
      <x:c r="A58" s="170" t="str">
        <x:v>Chips</x:v>
      </x:c>
      <x:c r="B58" s="214" t="n">
        <x:v>2031</x:v>
      </x:c>
      <x:c r="C58" s="170" t="n">
        <x:f>'ROIC Cloud'!L$15*'ROIC Cloud'!$D$45</x:f>
        <x:v>912298.5394665707</x:v>
      </x:c>
      <x:c r="D58" s="214" t="n">
        <x:f>'ROIC Cloud'!$D$41</x:f>
        <x:v>5</x:v>
      </x:c>
      <x:c r="E58" s="214" t="n">
        <x:f>B58+'ROIC Cloud'!$D$40</x:f>
        <x:v>2033</x:v>
      </x:c>
      <x:c r="F58" s="170" t="str">
        <x:v>Average NBV</x:v>
      </x:c>
      <x:c r="G58" s="169" t="n">
        <x:f>(G55+G57)/2</x:f>
        <x:v>0</x:v>
      </x:c>
      <x:c r="H58" s="169" t="n">
        <x:f>(H55+H57)/2</x:f>
        <x:v>0</x:v>
      </x:c>
      <x:c r="I58" s="169" t="n">
        <x:f>(I55+I57)/2</x:f>
        <x:v>0</x:v>
      </x:c>
      <x:c r="J58" s="169" t="n">
        <x:f>(J55+J57)/2</x:f>
        <x:v>0</x:v>
      </x:c>
      <x:c r="K58" s="169" t="n">
        <x:f>(K55+K57)/2</x:f>
        <x:v>0</x:v>
      </x:c>
      <x:c r="L58" s="169" t="n">
        <x:f>(L55+L57)/2</x:f>
        <x:v>0</x:v>
      </x:c>
      <x:c r="M58" s="169" t="n">
        <x:f>(M55+M57)/2</x:f>
        <x:v>0</x:v>
      </x:c>
      <x:c r="N58" s="169" t="n">
        <x:f>(N55+N57)/2</x:f>
        <x:v>0</x:v>
      </x:c>
      <x:c r="O58" s="169" t="n">
        <x:f>(O55+O57)/2</x:f>
        <x:v>0</x:v>
      </x:c>
      <x:c r="P58" s="169" t="n">
        <x:f>(P55+P57)/2</x:f>
        <x:v>0</x:v>
      </x:c>
      <x:c r="Q58" s="169" t="n">
        <x:f>(Q55+Q57)/2</x:f>
        <x:v>821068.6855199137</x:v>
      </x:c>
      <x:c r="R58" s="169" t="n">
        <x:f>(R55+R57)/2</x:f>
        <x:v>638608.9776265996</x:v>
      </x:c>
      <x:c r="S58" s="169" t="n">
        <x:f>(S55+S57)/2</x:f>
        <x:v>456149.2697332854</x:v>
      </x:c>
      <x:c r="T58" s="169" t="n">
        <x:f>(T55+T57)/2</x:f>
        <x:v>273689.5618399712</x:v>
      </x:c>
      <x:c r="U58" s="169" t="n">
        <x:f>(U55+U57)/2</x:f>
        <x:v>91229.85394665705</x:v>
      </x:c>
      <x:c r="V58" s="169" t="n">
        <x:f>(V55+V57)/2</x:f>
        <x:v>0</x:v>
      </x:c>
      <x:c r="W58" s="169" t="n">
        <x:f>(W55+W57)/2</x:f>
        <x:v>0</x:v>
      </x:c>
      <x:c r="X58" s="169" t="n">
        <x:f>(X55+X57)/2</x:f>
        <x:v>0</x:v>
      </x:c>
      <x:c r="Y58" s="169" t="n">
        <x:f>(Y55+Y57)/2</x:f>
        <x:v>0</x:v>
      </x:c>
      <x:c r="Z58" s="169" t="n">
        <x:f>(Z55+Z57)/2</x:f>
        <x:v>0</x:v>
      </x:c>
      <x:c r="AA58" s="169" t="n">
        <x:f>(AA55+AA57)/2</x:f>
        <x:v>0</x:v>
      </x:c>
      <x:c r="AB58" s="169" t="n">
        <x:f>(AB55+AB57)/2</x:f>
        <x:v>0</x:v>
      </x:c>
      <x:c r="AC58" s="169" t="n">
        <x:f>(AC55+AC57)/2</x:f>
        <x:v>0</x:v>
      </x:c>
    </x:row>
    <x:row r="59" ht="20" customHeight="1">
      <x:c r="A59" s="170" t="str">
        <x:v>Chips</x:v>
      </x:c>
      <x:c r="B59" s="214" t="n">
        <x:v>2032</x:v>
      </x:c>
      <x:c r="C59" s="170" t="n">
        <x:f>'ROIC Cloud'!M$15*'ROIC Cloud'!$D$45</x:f>
        <x:v>985282.4226238964</x:v>
      </x:c>
      <x:c r="D59" s="214" t="n">
        <x:f>'ROIC Cloud'!$D$41</x:f>
        <x:v>5</x:v>
      </x:c>
      <x:c r="E59" s="214" t="n">
        <x:f>B59+'ROIC Cloud'!$D$40</x:f>
        <x:v>2034</x:v>
      </x:c>
      <x:c r="F59" s="170" t="str">
        <x:v>Opening NBV</x:v>
      </x:c>
      <x:c r="G59" s="169" t="n">
        <x:f>IF(G$4&gt;=$E59,$C59*MAX(0,1-(G$4-$E59)/$D59),0)</x:f>
        <x:v>0</x:v>
      </x:c>
      <x:c r="H59" s="169" t="n">
        <x:f>IF(H$4&gt;=$E59,$C59*MAX(0,1-(H$4-$E59)/$D59),0)</x:f>
        <x:v>0</x:v>
      </x:c>
      <x:c r="I59" s="169" t="n">
        <x:f>IF(I$4&gt;=$E59,$C59*MAX(0,1-(I$4-$E59)/$D59),0)</x:f>
        <x:v>0</x:v>
      </x:c>
      <x:c r="J59" s="169" t="n">
        <x:f>IF(J$4&gt;=$E59,$C59*MAX(0,1-(J$4-$E59)/$D59),0)</x:f>
        <x:v>0</x:v>
      </x:c>
      <x:c r="K59" s="169" t="n">
        <x:f>IF(K$4&gt;=$E59,$C59*MAX(0,1-(K$4-$E59)/$D59),0)</x:f>
        <x:v>0</x:v>
      </x:c>
      <x:c r="L59" s="169" t="n">
        <x:f>IF(L$4&gt;=$E59,$C59*MAX(0,1-(L$4-$E59)/$D59),0)</x:f>
        <x:v>0</x:v>
      </x:c>
      <x:c r="M59" s="169" t="n">
        <x:f>IF(M$4&gt;=$E59,$C59*MAX(0,1-(M$4-$E59)/$D59),0)</x:f>
        <x:v>0</x:v>
      </x:c>
      <x:c r="N59" s="169" t="n">
        <x:f>IF(N$4&gt;=$E59,$C59*MAX(0,1-(N$4-$E59)/$D59),0)</x:f>
        <x:v>0</x:v>
      </x:c>
      <x:c r="O59" s="169" t="n">
        <x:f>IF(O$4&gt;=$E59,$C59*MAX(0,1-(O$4-$E59)/$D59),0)</x:f>
        <x:v>0</x:v>
      </x:c>
      <x:c r="P59" s="169" t="n">
        <x:f>IF(P$4&gt;=$E59,$C59*MAX(0,1-(P$4-$E59)/$D59),0)</x:f>
        <x:v>0</x:v>
      </x:c>
      <x:c r="Q59" s="169" t="n">
        <x:f>IF(Q$4&gt;=$E59,$C59*MAX(0,1-(Q$4-$E59)/$D59),0)</x:f>
        <x:v>0</x:v>
      </x:c>
      <x:c r="R59" s="169" t="n">
        <x:f>IF(R$4&gt;=$E59,$C59*MAX(0,1-(R$4-$E59)/$D59),0)</x:f>
        <x:v>985282.4226238964</x:v>
      </x:c>
      <x:c r="S59" s="169" t="n">
        <x:f>IF(S$4&gt;=$E59,$C59*MAX(0,1-(S$4-$E59)/$D59),0)</x:f>
        <x:v>788225.9380991171</x:v>
      </x:c>
      <x:c r="T59" s="169" t="n">
        <x:f>IF(T$4&gt;=$E59,$C59*MAX(0,1-(T$4-$E59)/$D59),0)</x:f>
        <x:v>591169.4535743378</x:v>
      </x:c>
      <x:c r="U59" s="169" t="n">
        <x:f>IF(U$4&gt;=$E59,$C59*MAX(0,1-(U$4-$E59)/$D59),0)</x:f>
        <x:v>394112.96904955857</x:v>
      </x:c>
      <x:c r="V59" s="169" t="n">
        <x:f>IF(V$4&gt;=$E59,$C59*MAX(0,1-(V$4-$E59)/$D59),0)</x:f>
        <x:v>197056.48452477923</x:v>
      </x:c>
      <x:c r="W59" s="169" t="n">
        <x:f>IF(W$4&gt;=$E59,$C59*MAX(0,1-(W$4-$E59)/$D59),0)</x:f>
        <x:v>0</x:v>
      </x:c>
      <x:c r="X59" s="169" t="n">
        <x:f>IF(X$4&gt;=$E59,$C59*MAX(0,1-(X$4-$E59)/$D59),0)</x:f>
        <x:v>0</x:v>
      </x:c>
      <x:c r="Y59" s="169" t="n">
        <x:f>IF(Y$4&gt;=$E59,$C59*MAX(0,1-(Y$4-$E59)/$D59),0)</x:f>
        <x:v>0</x:v>
      </x:c>
      <x:c r="Z59" s="169" t="n">
        <x:f>IF(Z$4&gt;=$E59,$C59*MAX(0,1-(Z$4-$E59)/$D59),0)</x:f>
        <x:v>0</x:v>
      </x:c>
      <x:c r="AA59" s="169" t="n">
        <x:f>IF(AA$4&gt;=$E59,$C59*MAX(0,1-(AA$4-$E59)/$D59),0)</x:f>
        <x:v>0</x:v>
      </x:c>
      <x:c r="AB59" s="169" t="n">
        <x:f>IF(AB$4&gt;=$E59,$C59*MAX(0,1-(AB$4-$E59)/$D59),0)</x:f>
        <x:v>0</x:v>
      </x:c>
      <x:c r="AC59" s="169" t="n">
        <x:f>IF(AC$4&gt;=$E59,$C59*MAX(0,1-(AC$4-$E59)/$D59),0)</x:f>
        <x:v>0</x:v>
      </x:c>
    </x:row>
    <x:row r="60" ht="20" customHeight="1">
      <x:c r="A60" s="170" t="str">
        <x:v>Chips</x:v>
      </x:c>
      <x:c r="B60" s="214" t="n">
        <x:v>2032</x:v>
      </x:c>
      <x:c r="C60" s="170" t="n">
        <x:f>'ROIC Cloud'!M$15*'ROIC Cloud'!$D$45</x:f>
        <x:v>985282.4226238964</x:v>
      </x:c>
      <x:c r="D60" s="214" t="n">
        <x:f>'ROIC Cloud'!$D$41</x:f>
        <x:v>5</x:v>
      </x:c>
      <x:c r="E60" s="214" t="n">
        <x:f>B60+'ROIC Cloud'!$D$40</x:f>
        <x:v>2034</x:v>
      </x:c>
      <x:c r="F60" s="170" t="str">
        <x:v>Depreciation</x:v>
      </x:c>
      <x:c r="G60" s="169" t="n">
        <x:f>IF(G$4&gt;=$E59,MIN($C59/$D59,G59),0)</x:f>
        <x:v>0</x:v>
      </x:c>
      <x:c r="H60" s="169" t="n">
        <x:f>IF(H$4&gt;=$E59,MIN($C59/$D59,H59),0)</x:f>
        <x:v>0</x:v>
      </x:c>
      <x:c r="I60" s="169" t="n">
        <x:f>IF(I$4&gt;=$E59,MIN($C59/$D59,I59),0)</x:f>
        <x:v>0</x:v>
      </x:c>
      <x:c r="J60" s="169" t="n">
        <x:f>IF(J$4&gt;=$E59,MIN($C59/$D59,J59),0)</x:f>
        <x:v>0</x:v>
      </x:c>
      <x:c r="K60" s="169" t="n">
        <x:f>IF(K$4&gt;=$E59,MIN($C59/$D59,K59),0)</x:f>
        <x:v>0</x:v>
      </x:c>
      <x:c r="L60" s="169" t="n">
        <x:f>IF(L$4&gt;=$E59,MIN($C59/$D59,L59),0)</x:f>
        <x:v>0</x:v>
      </x:c>
      <x:c r="M60" s="169" t="n">
        <x:f>IF(M$4&gt;=$E59,MIN($C59/$D59,M59),0)</x:f>
        <x:v>0</x:v>
      </x:c>
      <x:c r="N60" s="169" t="n">
        <x:f>IF(N$4&gt;=$E59,MIN($C59/$D59,N59),0)</x:f>
        <x:v>0</x:v>
      </x:c>
      <x:c r="O60" s="169" t="n">
        <x:f>IF(O$4&gt;=$E59,MIN($C59/$D59,O59),0)</x:f>
        <x:v>0</x:v>
      </x:c>
      <x:c r="P60" s="169" t="n">
        <x:f>IF(P$4&gt;=$E59,MIN($C59/$D59,P59),0)</x:f>
        <x:v>0</x:v>
      </x:c>
      <x:c r="Q60" s="169" t="n">
        <x:f>IF(Q$4&gt;=$E59,MIN($C59/$D59,Q59),0)</x:f>
        <x:v>0</x:v>
      </x:c>
      <x:c r="R60" s="169" t="n">
        <x:f>IF(R$4&gt;=$E59,MIN($C59/$D59,R59),0)</x:f>
        <x:v>197056.48452477928</x:v>
      </x:c>
      <x:c r="S60" s="169" t="n">
        <x:f>IF(S$4&gt;=$E59,MIN($C59/$D59,S59),0)</x:f>
        <x:v>197056.48452477928</x:v>
      </x:c>
      <x:c r="T60" s="169" t="n">
        <x:f>IF(T$4&gt;=$E59,MIN($C59/$D59,T59),0)</x:f>
        <x:v>197056.48452477928</x:v>
      </x:c>
      <x:c r="U60" s="169" t="n">
        <x:f>IF(U$4&gt;=$E59,MIN($C59/$D59,U59),0)</x:f>
        <x:v>197056.48452477928</x:v>
      </x:c>
      <x:c r="V60" s="169" t="n">
        <x:f>IF(V$4&gt;=$E59,MIN($C59/$D59,V59),0)</x:f>
        <x:v>197056.48452477923</x:v>
      </x:c>
      <x:c r="W60" s="169" t="n">
        <x:f>IF(W$4&gt;=$E59,MIN($C59/$D59,W59),0)</x:f>
        <x:v>0</x:v>
      </x:c>
      <x:c r="X60" s="169" t="n">
        <x:f>IF(X$4&gt;=$E59,MIN($C59/$D59,X59),0)</x:f>
        <x:v>0</x:v>
      </x:c>
      <x:c r="Y60" s="169" t="n">
        <x:f>IF(Y$4&gt;=$E59,MIN($C59/$D59,Y59),0)</x:f>
        <x:v>0</x:v>
      </x:c>
      <x:c r="Z60" s="169" t="n">
        <x:f>IF(Z$4&gt;=$E59,MIN($C59/$D59,Z59),0)</x:f>
        <x:v>0</x:v>
      </x:c>
      <x:c r="AA60" s="169" t="n">
        <x:f>IF(AA$4&gt;=$E59,MIN($C59/$D59,AA59),0)</x:f>
        <x:v>0</x:v>
      </x:c>
      <x:c r="AB60" s="169" t="n">
        <x:f>IF(AB$4&gt;=$E59,MIN($C59/$D59,AB59),0)</x:f>
        <x:v>0</x:v>
      </x:c>
      <x:c r="AC60" s="169" t="n">
        <x:f>IF(AC$4&gt;=$E59,MIN($C59/$D59,AC59),0)</x:f>
        <x:v>0</x:v>
      </x:c>
    </x:row>
    <x:row r="61" ht="20" customHeight="1">
      <x:c r="A61" s="170" t="str">
        <x:v>Chips</x:v>
      </x:c>
      <x:c r="B61" s="214" t="n">
        <x:v>2032</x:v>
      </x:c>
      <x:c r="C61" s="170" t="n">
        <x:f>'ROIC Cloud'!M$15*'ROIC Cloud'!$D$45</x:f>
        <x:v>985282.4226238964</x:v>
      </x:c>
      <x:c r="D61" s="214" t="n">
        <x:f>'ROIC Cloud'!$D$41</x:f>
        <x:v>5</x:v>
      </x:c>
      <x:c r="E61" s="214" t="n">
        <x:f>B61+'ROIC Cloud'!$D$40</x:f>
        <x:v>2034</x:v>
      </x:c>
      <x:c r="F61" s="170" t="str">
        <x:v>Closing NBV</x:v>
      </x:c>
      <x:c r="G61" s="169" t="n">
        <x:f>MAX(0,G59-G60)</x:f>
        <x:v>0</x:v>
      </x:c>
      <x:c r="H61" s="169" t="n">
        <x:f>MAX(0,H59-H60)</x:f>
        <x:v>0</x:v>
      </x:c>
      <x:c r="I61" s="169" t="n">
        <x:f>MAX(0,I59-I60)</x:f>
        <x:v>0</x:v>
      </x:c>
      <x:c r="J61" s="169" t="n">
        <x:f>MAX(0,J59-J60)</x:f>
        <x:v>0</x:v>
      </x:c>
      <x:c r="K61" s="169" t="n">
        <x:f>MAX(0,K59-K60)</x:f>
        <x:v>0</x:v>
      </x:c>
      <x:c r="L61" s="169" t="n">
        <x:f>MAX(0,L59-L60)</x:f>
        <x:v>0</x:v>
      </x:c>
      <x:c r="M61" s="169" t="n">
        <x:f>MAX(0,M59-M60)</x:f>
        <x:v>0</x:v>
      </x:c>
      <x:c r="N61" s="169" t="n">
        <x:f>MAX(0,N59-N60)</x:f>
        <x:v>0</x:v>
      </x:c>
      <x:c r="O61" s="169" t="n">
        <x:f>MAX(0,O59-O60)</x:f>
        <x:v>0</x:v>
      </x:c>
      <x:c r="P61" s="169" t="n">
        <x:f>MAX(0,P59-P60)</x:f>
        <x:v>0</x:v>
      </x:c>
      <x:c r="Q61" s="169" t="n">
        <x:f>MAX(0,Q59-Q60)</x:f>
        <x:v>0</x:v>
      </x:c>
      <x:c r="R61" s="169" t="n">
        <x:f>MAX(0,R59-R60)</x:f>
        <x:v>788225.9380991171</x:v>
      </x:c>
      <x:c r="S61" s="169" t="n">
        <x:f>MAX(0,S59-S60)</x:f>
        <x:v>591169.4535743379</x:v>
      </x:c>
      <x:c r="T61" s="169" t="n">
        <x:f>MAX(0,T59-T60)</x:f>
        <x:v>394112.9690495585</x:v>
      </x:c>
      <x:c r="U61" s="169" t="n">
        <x:f>MAX(0,U59-U60)</x:f>
        <x:v>197056.48452477928</x:v>
      </x:c>
      <x:c r="V61" s="169" t="n">
        <x:f>MAX(0,V59-V60)</x:f>
        <x:v>0</x:v>
      </x:c>
      <x:c r="W61" s="169" t="n">
        <x:f>MAX(0,W59-W60)</x:f>
        <x:v>0</x:v>
      </x:c>
      <x:c r="X61" s="169" t="n">
        <x:f>MAX(0,X59-X60)</x:f>
        <x:v>0</x:v>
      </x:c>
      <x:c r="Y61" s="169" t="n">
        <x:f>MAX(0,Y59-Y60)</x:f>
        <x:v>0</x:v>
      </x:c>
      <x:c r="Z61" s="169" t="n">
        <x:f>MAX(0,Z59-Z60)</x:f>
        <x:v>0</x:v>
      </x:c>
      <x:c r="AA61" s="169" t="n">
        <x:f>MAX(0,AA59-AA60)</x:f>
        <x:v>0</x:v>
      </x:c>
      <x:c r="AB61" s="169" t="n">
        <x:f>MAX(0,AB59-AB60)</x:f>
        <x:v>0</x:v>
      </x:c>
      <x:c r="AC61" s="169" t="n">
        <x:f>MAX(0,AC59-AC60)</x:f>
        <x:v>0</x:v>
      </x:c>
    </x:row>
    <x:row r="62" ht="20" customHeight="1">
      <x:c r="A62" s="170" t="str">
        <x:v>Chips</x:v>
      </x:c>
      <x:c r="B62" s="214" t="n">
        <x:v>2032</x:v>
      </x:c>
      <x:c r="C62" s="170" t="n">
        <x:f>'ROIC Cloud'!M$15*'ROIC Cloud'!$D$45</x:f>
        <x:v>985282.4226238964</x:v>
      </x:c>
      <x:c r="D62" s="214" t="n">
        <x:f>'ROIC Cloud'!$D$41</x:f>
        <x:v>5</x:v>
      </x:c>
      <x:c r="E62" s="214" t="n">
        <x:f>B62+'ROIC Cloud'!$D$40</x:f>
        <x:v>2034</x:v>
      </x:c>
      <x:c r="F62" s="170" t="str">
        <x:v>Average NBV</x:v>
      </x:c>
      <x:c r="G62" s="169" t="n">
        <x:f>(G59+G61)/2</x:f>
        <x:v>0</x:v>
      </x:c>
      <x:c r="H62" s="169" t="n">
        <x:f>(H59+H61)/2</x:f>
        <x:v>0</x:v>
      </x:c>
      <x:c r="I62" s="169" t="n">
        <x:f>(I59+I61)/2</x:f>
        <x:v>0</x:v>
      </x:c>
      <x:c r="J62" s="169" t="n">
        <x:f>(J59+J61)/2</x:f>
        <x:v>0</x:v>
      </x:c>
      <x:c r="K62" s="169" t="n">
        <x:f>(K59+K61)/2</x:f>
        <x:v>0</x:v>
      </x:c>
      <x:c r="L62" s="169" t="n">
        <x:f>(L59+L61)/2</x:f>
        <x:v>0</x:v>
      </x:c>
      <x:c r="M62" s="169" t="n">
        <x:f>(M59+M61)/2</x:f>
        <x:v>0</x:v>
      </x:c>
      <x:c r="N62" s="169" t="n">
        <x:f>(N59+N61)/2</x:f>
        <x:v>0</x:v>
      </x:c>
      <x:c r="O62" s="169" t="n">
        <x:f>(O59+O61)/2</x:f>
        <x:v>0</x:v>
      </x:c>
      <x:c r="P62" s="169" t="n">
        <x:f>(P59+P61)/2</x:f>
        <x:v>0</x:v>
      </x:c>
      <x:c r="Q62" s="169" t="n">
        <x:f>(Q59+Q61)/2</x:f>
        <x:v>0</x:v>
      </x:c>
      <x:c r="R62" s="169" t="n">
        <x:f>(R59+R61)/2</x:f>
        <x:v>886754.1803615068</x:v>
      </x:c>
      <x:c r="S62" s="169" t="n">
        <x:f>(S59+S61)/2</x:f>
        <x:v>689697.6958367275</x:v>
      </x:c>
      <x:c r="T62" s="169" t="n">
        <x:f>(T59+T61)/2</x:f>
        <x:v>492641.21131194814</x:v>
      </x:c>
      <x:c r="U62" s="169" t="n">
        <x:f>(U59+U61)/2</x:f>
        <x:v>295584.72678716894</x:v>
      </x:c>
      <x:c r="V62" s="169" t="n">
        <x:f>(V59+V61)/2</x:f>
        <x:v>98528.24226238961</x:v>
      </x:c>
      <x:c r="W62" s="169" t="n">
        <x:f>(W59+W61)/2</x:f>
        <x:v>0</x:v>
      </x:c>
      <x:c r="X62" s="169" t="n">
        <x:f>(X59+X61)/2</x:f>
        <x:v>0</x:v>
      </x:c>
      <x:c r="Y62" s="169" t="n">
        <x:f>(Y59+Y61)/2</x:f>
        <x:v>0</x:v>
      </x:c>
      <x:c r="Z62" s="169" t="n">
        <x:f>(Z59+Z61)/2</x:f>
        <x:v>0</x:v>
      </x:c>
      <x:c r="AA62" s="169" t="n">
        <x:f>(AA59+AA61)/2</x:f>
        <x:v>0</x:v>
      </x:c>
      <x:c r="AB62" s="169" t="n">
        <x:f>(AB59+AB61)/2</x:f>
        <x:v>0</x:v>
      </x:c>
      <x:c r="AC62" s="169" t="n">
        <x:f>(AC59+AC61)/2</x:f>
        <x:v>0</x:v>
      </x:c>
    </x:row>
    <x:row r="63" ht="20" customHeight="1">
      <x:c r="A63" s="170" t="str">
        <x:v>Chips</x:v>
      </x:c>
      <x:c r="B63" s="214" t="n">
        <x:v>2033</x:v>
      </x:c>
      <x:c r="C63" s="170" t="n">
        <x:f>'ROIC Cloud'!N$15*'ROIC Cloud'!$D$45</x:f>
        <x:v>1064105.0164338083</x:v>
      </x:c>
      <x:c r="D63" s="214" t="n">
        <x:f>'ROIC Cloud'!$D$41</x:f>
        <x:v>5</x:v>
      </x:c>
      <x:c r="E63" s="214" t="n">
        <x:f>B63+'ROIC Cloud'!$D$40</x:f>
        <x:v>2035</x:v>
      </x:c>
      <x:c r="F63" s="170" t="str">
        <x:v>Opening NBV</x:v>
      </x:c>
      <x:c r="G63" s="169" t="n">
        <x:f>IF(G$4&gt;=$E63,$C63*MAX(0,1-(G$4-$E63)/$D63),0)</x:f>
        <x:v>0</x:v>
      </x:c>
      <x:c r="H63" s="169" t="n">
        <x:f>IF(H$4&gt;=$E63,$C63*MAX(0,1-(H$4-$E63)/$D63),0)</x:f>
        <x:v>0</x:v>
      </x:c>
      <x:c r="I63" s="169" t="n">
        <x:f>IF(I$4&gt;=$E63,$C63*MAX(0,1-(I$4-$E63)/$D63),0)</x:f>
        <x:v>0</x:v>
      </x:c>
      <x:c r="J63" s="169" t="n">
        <x:f>IF(J$4&gt;=$E63,$C63*MAX(0,1-(J$4-$E63)/$D63),0)</x:f>
        <x:v>0</x:v>
      </x:c>
      <x:c r="K63" s="169" t="n">
        <x:f>IF(K$4&gt;=$E63,$C63*MAX(0,1-(K$4-$E63)/$D63),0)</x:f>
        <x:v>0</x:v>
      </x:c>
      <x:c r="L63" s="169" t="n">
        <x:f>IF(L$4&gt;=$E63,$C63*MAX(0,1-(L$4-$E63)/$D63),0)</x:f>
        <x:v>0</x:v>
      </x:c>
      <x:c r="M63" s="169" t="n">
        <x:f>IF(M$4&gt;=$E63,$C63*MAX(0,1-(M$4-$E63)/$D63),0)</x:f>
        <x:v>0</x:v>
      </x:c>
      <x:c r="N63" s="169" t="n">
        <x:f>IF(N$4&gt;=$E63,$C63*MAX(0,1-(N$4-$E63)/$D63),0)</x:f>
        <x:v>0</x:v>
      </x:c>
      <x:c r="O63" s="169" t="n">
        <x:f>IF(O$4&gt;=$E63,$C63*MAX(0,1-(O$4-$E63)/$D63),0)</x:f>
        <x:v>0</x:v>
      </x:c>
      <x:c r="P63" s="169" t="n">
        <x:f>IF(P$4&gt;=$E63,$C63*MAX(0,1-(P$4-$E63)/$D63),0)</x:f>
        <x:v>0</x:v>
      </x:c>
      <x:c r="Q63" s="169" t="n">
        <x:f>IF(Q$4&gt;=$E63,$C63*MAX(0,1-(Q$4-$E63)/$D63),0)</x:f>
        <x:v>0</x:v>
      </x:c>
      <x:c r="R63" s="169" t="n">
        <x:f>IF(R$4&gt;=$E63,$C63*MAX(0,1-(R$4-$E63)/$D63),0)</x:f>
        <x:v>0</x:v>
      </x:c>
      <x:c r="S63" s="169" t="n">
        <x:f>IF(S$4&gt;=$E63,$C63*MAX(0,1-(S$4-$E63)/$D63),0)</x:f>
        <x:v>1064105.0164338083</x:v>
      </x:c>
      <x:c r="T63" s="169" t="n">
        <x:f>IF(T$4&gt;=$E63,$C63*MAX(0,1-(T$4-$E63)/$D63),0)</x:f>
        <x:v>851284.0131470467</x:v>
      </x:c>
      <x:c r="U63" s="169" t="n">
        <x:f>IF(U$4&gt;=$E63,$C63*MAX(0,1-(U$4-$E63)/$D63),0)</x:f>
        <x:v>638463.009860285</x:v>
      </x:c>
      <x:c r="V63" s="169" t="n">
        <x:f>IF(V$4&gt;=$E63,$C63*MAX(0,1-(V$4-$E63)/$D63),0)</x:f>
        <x:v>425642.00657352334</x:v>
      </x:c>
      <x:c r="W63" s="169" t="n">
        <x:f>IF(W$4&gt;=$E63,$C63*MAX(0,1-(W$4-$E63)/$D63),0)</x:f>
        <x:v>212821.0032867616</x:v>
      </x:c>
      <x:c r="X63" s="169" t="n">
        <x:f>IF(X$4&gt;=$E63,$C63*MAX(0,1-(X$4-$E63)/$D63),0)</x:f>
        <x:v>0</x:v>
      </x:c>
      <x:c r="Y63" s="169" t="n">
        <x:f>IF(Y$4&gt;=$E63,$C63*MAX(0,1-(Y$4-$E63)/$D63),0)</x:f>
        <x:v>0</x:v>
      </x:c>
      <x:c r="Z63" s="169" t="n">
        <x:f>IF(Z$4&gt;=$E63,$C63*MAX(0,1-(Z$4-$E63)/$D63),0)</x:f>
        <x:v>0</x:v>
      </x:c>
      <x:c r="AA63" s="169" t="n">
        <x:f>IF(AA$4&gt;=$E63,$C63*MAX(0,1-(AA$4-$E63)/$D63),0)</x:f>
        <x:v>0</x:v>
      </x:c>
      <x:c r="AB63" s="169" t="n">
        <x:f>IF(AB$4&gt;=$E63,$C63*MAX(0,1-(AB$4-$E63)/$D63),0)</x:f>
        <x:v>0</x:v>
      </x:c>
      <x:c r="AC63" s="169" t="n">
        <x:f>IF(AC$4&gt;=$E63,$C63*MAX(0,1-(AC$4-$E63)/$D63),0)</x:f>
        <x:v>0</x:v>
      </x:c>
    </x:row>
    <x:row r="64" ht="20" customHeight="1">
      <x:c r="A64" s="170" t="str">
        <x:v>Chips</x:v>
      </x:c>
      <x:c r="B64" s="214" t="n">
        <x:v>2033</x:v>
      </x:c>
      <x:c r="C64" s="170" t="n">
        <x:f>'ROIC Cloud'!N$15*'ROIC Cloud'!$D$45</x:f>
        <x:v>1064105.0164338083</x:v>
      </x:c>
      <x:c r="D64" s="214" t="n">
        <x:f>'ROIC Cloud'!$D$41</x:f>
        <x:v>5</x:v>
      </x:c>
      <x:c r="E64" s="214" t="n">
        <x:f>B64+'ROIC Cloud'!$D$40</x:f>
        <x:v>2035</x:v>
      </x:c>
      <x:c r="F64" s="170" t="str">
        <x:v>Depreciation</x:v>
      </x:c>
      <x:c r="G64" s="169" t="n">
        <x:f>IF(G$4&gt;=$E63,MIN($C63/$D63,G63),0)</x:f>
        <x:v>0</x:v>
      </x:c>
      <x:c r="H64" s="169" t="n">
        <x:f>IF(H$4&gt;=$E63,MIN($C63/$D63,H63),0)</x:f>
        <x:v>0</x:v>
      </x:c>
      <x:c r="I64" s="169" t="n">
        <x:f>IF(I$4&gt;=$E63,MIN($C63/$D63,I63),0)</x:f>
        <x:v>0</x:v>
      </x:c>
      <x:c r="J64" s="169" t="n">
        <x:f>IF(J$4&gt;=$E63,MIN($C63/$D63,J63),0)</x:f>
        <x:v>0</x:v>
      </x:c>
      <x:c r="K64" s="169" t="n">
        <x:f>IF(K$4&gt;=$E63,MIN($C63/$D63,K63),0)</x:f>
        <x:v>0</x:v>
      </x:c>
      <x:c r="L64" s="169" t="n">
        <x:f>IF(L$4&gt;=$E63,MIN($C63/$D63,L63),0)</x:f>
        <x:v>0</x:v>
      </x:c>
      <x:c r="M64" s="169" t="n">
        <x:f>IF(M$4&gt;=$E63,MIN($C63/$D63,M63),0)</x:f>
        <x:v>0</x:v>
      </x:c>
      <x:c r="N64" s="169" t="n">
        <x:f>IF(N$4&gt;=$E63,MIN($C63/$D63,N63),0)</x:f>
        <x:v>0</x:v>
      </x:c>
      <x:c r="O64" s="169" t="n">
        <x:f>IF(O$4&gt;=$E63,MIN($C63/$D63,O63),0)</x:f>
        <x:v>0</x:v>
      </x:c>
      <x:c r="P64" s="169" t="n">
        <x:f>IF(P$4&gt;=$E63,MIN($C63/$D63,P63),0)</x:f>
        <x:v>0</x:v>
      </x:c>
      <x:c r="Q64" s="169" t="n">
        <x:f>IF(Q$4&gt;=$E63,MIN($C63/$D63,Q63),0)</x:f>
        <x:v>0</x:v>
      </x:c>
      <x:c r="R64" s="169" t="n">
        <x:f>IF(R$4&gt;=$E63,MIN($C63/$D63,R63),0)</x:f>
        <x:v>0</x:v>
      </x:c>
      <x:c r="S64" s="169" t="n">
        <x:f>IF(S$4&gt;=$E63,MIN($C63/$D63,S63),0)</x:f>
        <x:v>212821.00328676164</x:v>
      </x:c>
      <x:c r="T64" s="169" t="n">
        <x:f>IF(T$4&gt;=$E63,MIN($C63/$D63,T63),0)</x:f>
        <x:v>212821.00328676164</x:v>
      </x:c>
      <x:c r="U64" s="169" t="n">
        <x:f>IF(U$4&gt;=$E63,MIN($C63/$D63,U63),0)</x:f>
        <x:v>212821.00328676164</x:v>
      </x:c>
      <x:c r="V64" s="169" t="n">
        <x:f>IF(V$4&gt;=$E63,MIN($C63/$D63,V63),0)</x:f>
        <x:v>212821.00328676164</x:v>
      </x:c>
      <x:c r="W64" s="169" t="n">
        <x:f>IF(W$4&gt;=$E63,MIN($C63/$D63,W63),0)</x:f>
        <x:v>212821.0032867616</x:v>
      </x:c>
      <x:c r="X64" s="169" t="n">
        <x:f>IF(X$4&gt;=$E63,MIN($C63/$D63,X63),0)</x:f>
        <x:v>0</x:v>
      </x:c>
      <x:c r="Y64" s="169" t="n">
        <x:f>IF(Y$4&gt;=$E63,MIN($C63/$D63,Y63),0)</x:f>
        <x:v>0</x:v>
      </x:c>
      <x:c r="Z64" s="169" t="n">
        <x:f>IF(Z$4&gt;=$E63,MIN($C63/$D63,Z63),0)</x:f>
        <x:v>0</x:v>
      </x:c>
      <x:c r="AA64" s="169" t="n">
        <x:f>IF(AA$4&gt;=$E63,MIN($C63/$D63,AA63),0)</x:f>
        <x:v>0</x:v>
      </x:c>
      <x:c r="AB64" s="169" t="n">
        <x:f>IF(AB$4&gt;=$E63,MIN($C63/$D63,AB63),0)</x:f>
        <x:v>0</x:v>
      </x:c>
      <x:c r="AC64" s="169" t="n">
        <x:f>IF(AC$4&gt;=$E63,MIN($C63/$D63,AC63),0)</x:f>
        <x:v>0</x:v>
      </x:c>
    </x:row>
    <x:row r="65" ht="20" customHeight="1">
      <x:c r="A65" s="170" t="str">
        <x:v>Chips</x:v>
      </x:c>
      <x:c r="B65" s="214" t="n">
        <x:v>2033</x:v>
      </x:c>
      <x:c r="C65" s="170" t="n">
        <x:f>'ROIC Cloud'!N$15*'ROIC Cloud'!$D$45</x:f>
        <x:v>1064105.0164338083</x:v>
      </x:c>
      <x:c r="D65" s="214" t="n">
        <x:f>'ROIC Cloud'!$D$41</x:f>
        <x:v>5</x:v>
      </x:c>
      <x:c r="E65" s="214" t="n">
        <x:f>B65+'ROIC Cloud'!$D$40</x:f>
        <x:v>2035</x:v>
      </x:c>
      <x:c r="F65" s="170" t="str">
        <x:v>Closing NBV</x:v>
      </x:c>
      <x:c r="G65" s="169" t="n">
        <x:f>MAX(0,G63-G64)</x:f>
        <x:v>0</x:v>
      </x:c>
      <x:c r="H65" s="169" t="n">
        <x:f>MAX(0,H63-H64)</x:f>
        <x:v>0</x:v>
      </x:c>
      <x:c r="I65" s="169" t="n">
        <x:f>MAX(0,I63-I64)</x:f>
        <x:v>0</x:v>
      </x:c>
      <x:c r="J65" s="169" t="n">
        <x:f>MAX(0,J63-J64)</x:f>
        <x:v>0</x:v>
      </x:c>
      <x:c r="K65" s="169" t="n">
        <x:f>MAX(0,K63-K64)</x:f>
        <x:v>0</x:v>
      </x:c>
      <x:c r="L65" s="169" t="n">
        <x:f>MAX(0,L63-L64)</x:f>
        <x:v>0</x:v>
      </x:c>
      <x:c r="M65" s="169" t="n">
        <x:f>MAX(0,M63-M64)</x:f>
        <x:v>0</x:v>
      </x:c>
      <x:c r="N65" s="169" t="n">
        <x:f>MAX(0,N63-N64)</x:f>
        <x:v>0</x:v>
      </x:c>
      <x:c r="O65" s="169" t="n">
        <x:f>MAX(0,O63-O64)</x:f>
        <x:v>0</x:v>
      </x:c>
      <x:c r="P65" s="169" t="n">
        <x:f>MAX(0,P63-P64)</x:f>
        <x:v>0</x:v>
      </x:c>
      <x:c r="Q65" s="169" t="n">
        <x:f>MAX(0,Q63-Q64)</x:f>
        <x:v>0</x:v>
      </x:c>
      <x:c r="R65" s="169" t="n">
        <x:f>MAX(0,R63-R64)</x:f>
        <x:v>0</x:v>
      </x:c>
      <x:c r="S65" s="169" t="n">
        <x:f>MAX(0,S63-S64)</x:f>
        <x:v>851284.0131470466</x:v>
      </x:c>
      <x:c r="T65" s="169" t="n">
        <x:f>MAX(0,T63-T64)</x:f>
        <x:v>638463.0098602851</x:v>
      </x:c>
      <x:c r="U65" s="169" t="n">
        <x:f>MAX(0,U63-U64)</x:f>
        <x:v>425642.00657352334</x:v>
      </x:c>
      <x:c r="V65" s="169" t="n">
        <x:f>MAX(0,V63-V64)</x:f>
        <x:v>212821.0032867617</x:v>
      </x:c>
      <x:c r="W65" s="169" t="n">
        <x:f>MAX(0,W63-W64)</x:f>
        <x:v>0</x:v>
      </x:c>
      <x:c r="X65" s="169" t="n">
        <x:f>MAX(0,X63-X64)</x:f>
        <x:v>0</x:v>
      </x:c>
      <x:c r="Y65" s="169" t="n">
        <x:f>MAX(0,Y63-Y64)</x:f>
        <x:v>0</x:v>
      </x:c>
      <x:c r="Z65" s="169" t="n">
        <x:f>MAX(0,Z63-Z64)</x:f>
        <x:v>0</x:v>
      </x:c>
      <x:c r="AA65" s="169" t="n">
        <x:f>MAX(0,AA63-AA64)</x:f>
        <x:v>0</x:v>
      </x:c>
      <x:c r="AB65" s="169" t="n">
        <x:f>MAX(0,AB63-AB64)</x:f>
        <x:v>0</x:v>
      </x:c>
      <x:c r="AC65" s="169" t="n">
        <x:f>MAX(0,AC63-AC64)</x:f>
        <x:v>0</x:v>
      </x:c>
    </x:row>
    <x:row r="66" ht="20" customHeight="1">
      <x:c r="A66" s="170" t="str">
        <x:v>Chips</x:v>
      </x:c>
      <x:c r="B66" s="214" t="n">
        <x:v>2033</x:v>
      </x:c>
      <x:c r="C66" s="170" t="n">
        <x:f>'ROIC Cloud'!N$15*'ROIC Cloud'!$D$45</x:f>
        <x:v>1064105.0164338083</x:v>
      </x:c>
      <x:c r="D66" s="214" t="n">
        <x:f>'ROIC Cloud'!$D$41</x:f>
        <x:v>5</x:v>
      </x:c>
      <x:c r="E66" s="214" t="n">
        <x:f>B66+'ROIC Cloud'!$D$40</x:f>
        <x:v>2035</x:v>
      </x:c>
      <x:c r="F66" s="170" t="str">
        <x:v>Average NBV</x:v>
      </x:c>
      <x:c r="G66" s="169" t="n">
        <x:f>(G63+G65)/2</x:f>
        <x:v>0</x:v>
      </x:c>
      <x:c r="H66" s="169" t="n">
        <x:f>(H63+H65)/2</x:f>
        <x:v>0</x:v>
      </x:c>
      <x:c r="I66" s="169" t="n">
        <x:f>(I63+I65)/2</x:f>
        <x:v>0</x:v>
      </x:c>
      <x:c r="J66" s="169" t="n">
        <x:f>(J63+J65)/2</x:f>
        <x:v>0</x:v>
      </x:c>
      <x:c r="K66" s="169" t="n">
        <x:f>(K63+K65)/2</x:f>
        <x:v>0</x:v>
      </x:c>
      <x:c r="L66" s="169" t="n">
        <x:f>(L63+L65)/2</x:f>
        <x:v>0</x:v>
      </x:c>
      <x:c r="M66" s="169" t="n">
        <x:f>(M63+M65)/2</x:f>
        <x:v>0</x:v>
      </x:c>
      <x:c r="N66" s="169" t="n">
        <x:f>(N63+N65)/2</x:f>
        <x:v>0</x:v>
      </x:c>
      <x:c r="O66" s="169" t="n">
        <x:f>(O63+O65)/2</x:f>
        <x:v>0</x:v>
      </x:c>
      <x:c r="P66" s="169" t="n">
        <x:f>(P63+P65)/2</x:f>
        <x:v>0</x:v>
      </x:c>
      <x:c r="Q66" s="169" t="n">
        <x:f>(Q63+Q65)/2</x:f>
        <x:v>0</x:v>
      </x:c>
      <x:c r="R66" s="169" t="n">
        <x:f>(R63+R65)/2</x:f>
        <x:v>0</x:v>
      </x:c>
      <x:c r="S66" s="169" t="n">
        <x:f>(S63+S65)/2</x:f>
        <x:v>957694.5147904274</x:v>
      </x:c>
      <x:c r="T66" s="169" t="n">
        <x:f>(T63+T65)/2</x:f>
        <x:v>744873.5115036659</x:v>
      </x:c>
      <x:c r="U66" s="169" t="n">
        <x:f>(U63+U65)/2</x:f>
        <x:v>532052.5082169041</x:v>
      </x:c>
      <x:c r="V66" s="169" t="n">
        <x:f>(V63+V65)/2</x:f>
        <x:v>319231.50493014255</x:v>
      </x:c>
      <x:c r="W66" s="169" t="n">
        <x:f>(W63+W65)/2</x:f>
        <x:v>106410.5016433808</x:v>
      </x:c>
      <x:c r="X66" s="169" t="n">
        <x:f>(X63+X65)/2</x:f>
        <x:v>0</x:v>
      </x:c>
      <x:c r="Y66" s="169" t="n">
        <x:f>(Y63+Y65)/2</x:f>
        <x:v>0</x:v>
      </x:c>
      <x:c r="Z66" s="169" t="n">
        <x:f>(Z63+Z65)/2</x:f>
        <x:v>0</x:v>
      </x:c>
      <x:c r="AA66" s="169" t="n">
        <x:f>(AA63+AA65)/2</x:f>
        <x:v>0</x:v>
      </x:c>
      <x:c r="AB66" s="169" t="n">
        <x:f>(AB63+AB65)/2</x:f>
        <x:v>0</x:v>
      </x:c>
      <x:c r="AC66" s="169" t="n">
        <x:f>(AC63+AC65)/2</x:f>
        <x:v>0</x:v>
      </x:c>
    </x:row>
    <x:row r="67" ht="20" customHeight="1">
      <x:c r="A67" s="170" t="str">
        <x:v>Chips</x:v>
      </x:c>
      <x:c r="B67" s="214" t="n">
        <x:v>2034</x:v>
      </x:c>
      <x:c r="C67" s="170" t="n">
        <x:f>'ROIC Cloud'!O$15*'ROIC Cloud'!$D$45</x:f>
        <x:v>1149233.417748513</x:v>
      </x:c>
      <x:c r="D67" s="214" t="n">
        <x:f>'ROIC Cloud'!$D$41</x:f>
        <x:v>5</x:v>
      </x:c>
      <x:c r="E67" s="214" t="n">
        <x:f>B67+'ROIC Cloud'!$D$40</x:f>
        <x:v>2036</x:v>
      </x:c>
      <x:c r="F67" s="170" t="str">
        <x:v>Opening NBV</x:v>
      </x:c>
      <x:c r="G67" s="169" t="n">
        <x:f>IF(G$4&gt;=$E67,$C67*MAX(0,1-(G$4-$E67)/$D67),0)</x:f>
        <x:v>0</x:v>
      </x:c>
      <x:c r="H67" s="169" t="n">
        <x:f>IF(H$4&gt;=$E67,$C67*MAX(0,1-(H$4-$E67)/$D67),0)</x:f>
        <x:v>0</x:v>
      </x:c>
      <x:c r="I67" s="169" t="n">
        <x:f>IF(I$4&gt;=$E67,$C67*MAX(0,1-(I$4-$E67)/$D67),0)</x:f>
        <x:v>0</x:v>
      </x:c>
      <x:c r="J67" s="169" t="n">
        <x:f>IF(J$4&gt;=$E67,$C67*MAX(0,1-(J$4-$E67)/$D67),0)</x:f>
        <x:v>0</x:v>
      </x:c>
      <x:c r="K67" s="169" t="n">
        <x:f>IF(K$4&gt;=$E67,$C67*MAX(0,1-(K$4-$E67)/$D67),0)</x:f>
        <x:v>0</x:v>
      </x:c>
      <x:c r="L67" s="169" t="n">
        <x:f>IF(L$4&gt;=$E67,$C67*MAX(0,1-(L$4-$E67)/$D67),0)</x:f>
        <x:v>0</x:v>
      </x:c>
      <x:c r="M67" s="169" t="n">
        <x:f>IF(M$4&gt;=$E67,$C67*MAX(0,1-(M$4-$E67)/$D67),0)</x:f>
        <x:v>0</x:v>
      </x:c>
      <x:c r="N67" s="169" t="n">
        <x:f>IF(N$4&gt;=$E67,$C67*MAX(0,1-(N$4-$E67)/$D67),0)</x:f>
        <x:v>0</x:v>
      </x:c>
      <x:c r="O67" s="169" t="n">
        <x:f>IF(O$4&gt;=$E67,$C67*MAX(0,1-(O$4-$E67)/$D67),0)</x:f>
        <x:v>0</x:v>
      </x:c>
      <x:c r="P67" s="169" t="n">
        <x:f>IF(P$4&gt;=$E67,$C67*MAX(0,1-(P$4-$E67)/$D67),0)</x:f>
        <x:v>0</x:v>
      </x:c>
      <x:c r="Q67" s="169" t="n">
        <x:f>IF(Q$4&gt;=$E67,$C67*MAX(0,1-(Q$4-$E67)/$D67),0)</x:f>
        <x:v>0</x:v>
      </x:c>
      <x:c r="R67" s="169" t="n">
        <x:f>IF(R$4&gt;=$E67,$C67*MAX(0,1-(R$4-$E67)/$D67),0)</x:f>
        <x:v>0</x:v>
      </x:c>
      <x:c r="S67" s="169" t="n">
        <x:f>IF(S$4&gt;=$E67,$C67*MAX(0,1-(S$4-$E67)/$D67),0)</x:f>
        <x:v>0</x:v>
      </x:c>
      <x:c r="T67" s="169" t="n">
        <x:f>IF(T$4&gt;=$E67,$C67*MAX(0,1-(T$4-$E67)/$D67),0)</x:f>
        <x:v>1149233.417748513</x:v>
      </x:c>
      <x:c r="U67" s="169" t="n">
        <x:f>IF(U$4&gt;=$E67,$C67*MAX(0,1-(U$4-$E67)/$D67),0)</x:f>
        <x:v>919386.7341988104</x:v>
      </x:c>
      <x:c r="V67" s="169" t="n">
        <x:f>IF(V$4&gt;=$E67,$C67*MAX(0,1-(V$4-$E67)/$D67),0)</x:f>
        <x:v>689540.0506491078</x:v>
      </x:c>
      <x:c r="W67" s="169" t="n">
        <x:f>IF(W$4&gt;=$E67,$C67*MAX(0,1-(W$4-$E67)/$D67),0)</x:f>
        <x:v>459693.3670994052</x:v>
      </x:c>
      <x:c r="X67" s="169" t="n">
        <x:f>IF(X$4&gt;=$E67,$C67*MAX(0,1-(X$4-$E67)/$D67),0)</x:f>
        <x:v>229846.68354970255</x:v>
      </x:c>
      <x:c r="Y67" s="169" t="n">
        <x:f>IF(Y$4&gt;=$E67,$C67*MAX(0,1-(Y$4-$E67)/$D67),0)</x:f>
        <x:v>0</x:v>
      </x:c>
      <x:c r="Z67" s="169" t="n">
        <x:f>IF(Z$4&gt;=$E67,$C67*MAX(0,1-(Z$4-$E67)/$D67),0)</x:f>
        <x:v>0</x:v>
      </x:c>
      <x:c r="AA67" s="169" t="n">
        <x:f>IF(AA$4&gt;=$E67,$C67*MAX(0,1-(AA$4-$E67)/$D67),0)</x:f>
        <x:v>0</x:v>
      </x:c>
      <x:c r="AB67" s="169" t="n">
        <x:f>IF(AB$4&gt;=$E67,$C67*MAX(0,1-(AB$4-$E67)/$D67),0)</x:f>
        <x:v>0</x:v>
      </x:c>
      <x:c r="AC67" s="169" t="n">
        <x:f>IF(AC$4&gt;=$E67,$C67*MAX(0,1-(AC$4-$E67)/$D67),0)</x:f>
        <x:v>0</x:v>
      </x:c>
    </x:row>
    <x:row r="68" ht="20" customHeight="1">
      <x:c r="A68" s="170" t="str">
        <x:v>Chips</x:v>
      </x:c>
      <x:c r="B68" s="214" t="n">
        <x:v>2034</x:v>
      </x:c>
      <x:c r="C68" s="170" t="n">
        <x:f>'ROIC Cloud'!O$15*'ROIC Cloud'!$D$45</x:f>
        <x:v>1149233.417748513</x:v>
      </x:c>
      <x:c r="D68" s="214" t="n">
        <x:f>'ROIC Cloud'!$D$41</x:f>
        <x:v>5</x:v>
      </x:c>
      <x:c r="E68" s="214" t="n">
        <x:f>B68+'ROIC Cloud'!$D$40</x:f>
        <x:v>2036</x:v>
      </x:c>
      <x:c r="F68" s="170" t="str">
        <x:v>Depreciation</x:v>
      </x:c>
      <x:c r="G68" s="169" t="n">
        <x:f>IF(G$4&gt;=$E67,MIN($C67/$D67,G67),0)</x:f>
        <x:v>0</x:v>
      </x:c>
      <x:c r="H68" s="169" t="n">
        <x:f>IF(H$4&gt;=$E67,MIN($C67/$D67,H67),0)</x:f>
        <x:v>0</x:v>
      </x:c>
      <x:c r="I68" s="169" t="n">
        <x:f>IF(I$4&gt;=$E67,MIN($C67/$D67,I67),0)</x:f>
        <x:v>0</x:v>
      </x:c>
      <x:c r="J68" s="169" t="n">
        <x:f>IF(J$4&gt;=$E67,MIN($C67/$D67,J67),0)</x:f>
        <x:v>0</x:v>
      </x:c>
      <x:c r="K68" s="169" t="n">
        <x:f>IF(K$4&gt;=$E67,MIN($C67/$D67,K67),0)</x:f>
        <x:v>0</x:v>
      </x:c>
      <x:c r="L68" s="169" t="n">
        <x:f>IF(L$4&gt;=$E67,MIN($C67/$D67,L67),0)</x:f>
        <x:v>0</x:v>
      </x:c>
      <x:c r="M68" s="169" t="n">
        <x:f>IF(M$4&gt;=$E67,MIN($C67/$D67,M67),0)</x:f>
        <x:v>0</x:v>
      </x:c>
      <x:c r="N68" s="169" t="n">
        <x:f>IF(N$4&gt;=$E67,MIN($C67/$D67,N67),0)</x:f>
        <x:v>0</x:v>
      </x:c>
      <x:c r="O68" s="169" t="n">
        <x:f>IF(O$4&gt;=$E67,MIN($C67/$D67,O67),0)</x:f>
        <x:v>0</x:v>
      </x:c>
      <x:c r="P68" s="169" t="n">
        <x:f>IF(P$4&gt;=$E67,MIN($C67/$D67,P67),0)</x:f>
        <x:v>0</x:v>
      </x:c>
      <x:c r="Q68" s="169" t="n">
        <x:f>IF(Q$4&gt;=$E67,MIN($C67/$D67,Q67),0)</x:f>
        <x:v>0</x:v>
      </x:c>
      <x:c r="R68" s="169" t="n">
        <x:f>IF(R$4&gt;=$E67,MIN($C67/$D67,R67),0)</x:f>
        <x:v>0</x:v>
      </x:c>
      <x:c r="S68" s="169" t="n">
        <x:f>IF(S$4&gt;=$E67,MIN($C67/$D67,S67),0)</x:f>
        <x:v>0</x:v>
      </x:c>
      <x:c r="T68" s="169" t="n">
        <x:f>IF(T$4&gt;=$E67,MIN($C67/$D67,T67),0)</x:f>
        <x:v>229846.68354970257</x:v>
      </x:c>
      <x:c r="U68" s="169" t="n">
        <x:f>IF(U$4&gt;=$E67,MIN($C67/$D67,U67),0)</x:f>
        <x:v>229846.68354970257</x:v>
      </x:c>
      <x:c r="V68" s="169" t="n">
        <x:f>IF(V$4&gt;=$E67,MIN($C67/$D67,V67),0)</x:f>
        <x:v>229846.68354970257</x:v>
      </x:c>
      <x:c r="W68" s="169" t="n">
        <x:f>IF(W$4&gt;=$E67,MIN($C67/$D67,W67),0)</x:f>
        <x:v>229846.68354970257</x:v>
      </x:c>
      <x:c r="X68" s="169" t="n">
        <x:f>IF(X$4&gt;=$E67,MIN($C67/$D67,X67),0)</x:f>
        <x:v>229846.68354970255</x:v>
      </x:c>
      <x:c r="Y68" s="169" t="n">
        <x:f>IF(Y$4&gt;=$E67,MIN($C67/$D67,Y67),0)</x:f>
        <x:v>0</x:v>
      </x:c>
      <x:c r="Z68" s="169" t="n">
        <x:f>IF(Z$4&gt;=$E67,MIN($C67/$D67,Z67),0)</x:f>
        <x:v>0</x:v>
      </x:c>
      <x:c r="AA68" s="169" t="n">
        <x:f>IF(AA$4&gt;=$E67,MIN($C67/$D67,AA67),0)</x:f>
        <x:v>0</x:v>
      </x:c>
      <x:c r="AB68" s="169" t="n">
        <x:f>IF(AB$4&gt;=$E67,MIN($C67/$D67,AB67),0)</x:f>
        <x:v>0</x:v>
      </x:c>
      <x:c r="AC68" s="169" t="n">
        <x:f>IF(AC$4&gt;=$E67,MIN($C67/$D67,AC67),0)</x:f>
        <x:v>0</x:v>
      </x:c>
    </x:row>
    <x:row r="69" ht="20" customHeight="1">
      <x:c r="A69" s="170" t="str">
        <x:v>Chips</x:v>
      </x:c>
      <x:c r="B69" s="214" t="n">
        <x:v>2034</x:v>
      </x:c>
      <x:c r="C69" s="170" t="n">
        <x:f>'ROIC Cloud'!O$15*'ROIC Cloud'!$D$45</x:f>
        <x:v>1149233.417748513</x:v>
      </x:c>
      <x:c r="D69" s="214" t="n">
        <x:f>'ROIC Cloud'!$D$41</x:f>
        <x:v>5</x:v>
      </x:c>
      <x:c r="E69" s="214" t="n">
        <x:f>B69+'ROIC Cloud'!$D$40</x:f>
        <x:v>2036</x:v>
      </x:c>
      <x:c r="F69" s="170" t="str">
        <x:v>Closing NBV</x:v>
      </x:c>
      <x:c r="G69" s="169" t="n">
        <x:f>MAX(0,G67-G68)</x:f>
        <x:v>0</x:v>
      </x:c>
      <x:c r="H69" s="169" t="n">
        <x:f>MAX(0,H67-H68)</x:f>
        <x:v>0</x:v>
      </x:c>
      <x:c r="I69" s="169" t="n">
        <x:f>MAX(0,I67-I68)</x:f>
        <x:v>0</x:v>
      </x:c>
      <x:c r="J69" s="169" t="n">
        <x:f>MAX(0,J67-J68)</x:f>
        <x:v>0</x:v>
      </x:c>
      <x:c r="K69" s="169" t="n">
        <x:f>MAX(0,K67-K68)</x:f>
        <x:v>0</x:v>
      </x:c>
      <x:c r="L69" s="169" t="n">
        <x:f>MAX(0,L67-L68)</x:f>
        <x:v>0</x:v>
      </x:c>
      <x:c r="M69" s="169" t="n">
        <x:f>MAX(0,M67-M68)</x:f>
        <x:v>0</x:v>
      </x:c>
      <x:c r="N69" s="169" t="n">
        <x:f>MAX(0,N67-N68)</x:f>
        <x:v>0</x:v>
      </x:c>
      <x:c r="O69" s="169" t="n">
        <x:f>MAX(0,O67-O68)</x:f>
        <x:v>0</x:v>
      </x:c>
      <x:c r="P69" s="169" t="n">
        <x:f>MAX(0,P67-P68)</x:f>
        <x:v>0</x:v>
      </x:c>
      <x:c r="Q69" s="169" t="n">
        <x:f>MAX(0,Q67-Q68)</x:f>
        <x:v>0</x:v>
      </x:c>
      <x:c r="R69" s="169" t="n">
        <x:f>MAX(0,R67-R68)</x:f>
        <x:v>0</x:v>
      </x:c>
      <x:c r="S69" s="169" t="n">
        <x:f>MAX(0,S67-S68)</x:f>
        <x:v>0</x:v>
      </x:c>
      <x:c r="T69" s="169" t="n">
        <x:f>MAX(0,T67-T68)</x:f>
        <x:v>919386.7341988103</x:v>
      </x:c>
      <x:c r="U69" s="169" t="n">
        <x:f>MAX(0,U67-U68)</x:f>
        <x:v>689540.0506491079</x:v>
      </x:c>
      <x:c r="V69" s="169" t="n">
        <x:f>MAX(0,V67-V68)</x:f>
        <x:v>459693.3670994052</x:v>
      </x:c>
      <x:c r="W69" s="169" t="n">
        <x:f>MAX(0,W67-W68)</x:f>
        <x:v>229846.68354970263</x:v>
      </x:c>
      <x:c r="X69" s="169" t="n">
        <x:f>MAX(0,X67-X68)</x:f>
        <x:v>0</x:v>
      </x:c>
      <x:c r="Y69" s="169" t="n">
        <x:f>MAX(0,Y67-Y68)</x:f>
        <x:v>0</x:v>
      </x:c>
      <x:c r="Z69" s="169" t="n">
        <x:f>MAX(0,Z67-Z68)</x:f>
        <x:v>0</x:v>
      </x:c>
      <x:c r="AA69" s="169" t="n">
        <x:f>MAX(0,AA67-AA68)</x:f>
        <x:v>0</x:v>
      </x:c>
      <x:c r="AB69" s="169" t="n">
        <x:f>MAX(0,AB67-AB68)</x:f>
        <x:v>0</x:v>
      </x:c>
      <x:c r="AC69" s="169" t="n">
        <x:f>MAX(0,AC67-AC68)</x:f>
        <x:v>0</x:v>
      </x:c>
    </x:row>
    <x:row r="70" ht="20" customHeight="1">
      <x:c r="A70" s="170" t="str">
        <x:v>Chips</x:v>
      </x:c>
      <x:c r="B70" s="214" t="n">
        <x:v>2034</x:v>
      </x:c>
      <x:c r="C70" s="170" t="n">
        <x:f>'ROIC Cloud'!O$15*'ROIC Cloud'!$D$45</x:f>
        <x:v>1149233.417748513</x:v>
      </x:c>
      <x:c r="D70" s="214" t="n">
        <x:f>'ROIC Cloud'!$D$41</x:f>
        <x:v>5</x:v>
      </x:c>
      <x:c r="E70" s="214" t="n">
        <x:f>B70+'ROIC Cloud'!$D$40</x:f>
        <x:v>2036</x:v>
      </x:c>
      <x:c r="F70" s="170" t="str">
        <x:v>Average NBV</x:v>
      </x:c>
      <x:c r="G70" s="169" t="n">
        <x:f>(G67+G69)/2</x:f>
        <x:v>0</x:v>
      </x:c>
      <x:c r="H70" s="169" t="n">
        <x:f>(H67+H69)/2</x:f>
        <x:v>0</x:v>
      </x:c>
      <x:c r="I70" s="169" t="n">
        <x:f>(I67+I69)/2</x:f>
        <x:v>0</x:v>
      </x:c>
      <x:c r="J70" s="169" t="n">
        <x:f>(J67+J69)/2</x:f>
        <x:v>0</x:v>
      </x:c>
      <x:c r="K70" s="169" t="n">
        <x:f>(K67+K69)/2</x:f>
        <x:v>0</x:v>
      </x:c>
      <x:c r="L70" s="169" t="n">
        <x:f>(L67+L69)/2</x:f>
        <x:v>0</x:v>
      </x:c>
      <x:c r="M70" s="169" t="n">
        <x:f>(M67+M69)/2</x:f>
        <x:v>0</x:v>
      </x:c>
      <x:c r="N70" s="169" t="n">
        <x:f>(N67+N69)/2</x:f>
        <x:v>0</x:v>
      </x:c>
      <x:c r="O70" s="169" t="n">
        <x:f>(O67+O69)/2</x:f>
        <x:v>0</x:v>
      </x:c>
      <x:c r="P70" s="169" t="n">
        <x:f>(P67+P69)/2</x:f>
        <x:v>0</x:v>
      </x:c>
      <x:c r="Q70" s="169" t="n">
        <x:f>(Q67+Q69)/2</x:f>
        <x:v>0</x:v>
      </x:c>
      <x:c r="R70" s="169" t="n">
        <x:f>(R67+R69)/2</x:f>
        <x:v>0</x:v>
      </x:c>
      <x:c r="S70" s="169" t="n">
        <x:f>(S67+S69)/2</x:f>
        <x:v>0</x:v>
      </x:c>
      <x:c r="T70" s="169" t="n">
        <x:f>(T67+T69)/2</x:f>
        <x:v>1034310.0759736616</x:v>
      </x:c>
      <x:c r="U70" s="169" t="n">
        <x:f>(U67+U69)/2</x:f>
        <x:v>804463.3924239592</x:v>
      </x:c>
      <x:c r="V70" s="169" t="n">
        <x:f>(V67+V69)/2</x:f>
        <x:v>574616.7088742565</x:v>
      </x:c>
      <x:c r="W70" s="169" t="n">
        <x:f>(W67+W69)/2</x:f>
        <x:v>344770.02532455395</x:v>
      </x:c>
      <x:c r="X70" s="169" t="n">
        <x:f>(X67+X69)/2</x:f>
        <x:v>114923.34177485127</x:v>
      </x:c>
      <x:c r="Y70" s="169" t="n">
        <x:f>(Y67+Y69)/2</x:f>
        <x:v>0</x:v>
      </x:c>
      <x:c r="Z70" s="169" t="n">
        <x:f>(Z67+Z69)/2</x:f>
        <x:v>0</x:v>
      </x:c>
      <x:c r="AA70" s="169" t="n">
        <x:f>(AA67+AA69)/2</x:f>
        <x:v>0</x:v>
      </x:c>
      <x:c r="AB70" s="169" t="n">
        <x:f>(AB67+AB69)/2</x:f>
        <x:v>0</x:v>
      </x:c>
      <x:c r="AC70" s="169" t="n">
        <x:f>(AC67+AC69)/2</x:f>
        <x:v>0</x:v>
      </x:c>
    </x:row>
    <x:row r="71" ht="20" customHeight="1">
      <x:c r="A71" s="170" t="str">
        <x:v>Chips</x:v>
      </x:c>
      <x:c r="B71" s="214" t="n">
        <x:v>2035</x:v>
      </x:c>
      <x:c r="C71" s="170" t="n">
        <x:f>'ROIC Cloud'!P$15*'ROIC Cloud'!$D$45</x:f>
        <x:v>1241172.091168394</x:v>
      </x:c>
      <x:c r="D71" s="214" t="n">
        <x:f>'ROIC Cloud'!$D$41</x:f>
        <x:v>5</x:v>
      </x:c>
      <x:c r="E71" s="214" t="n">
        <x:f>B71+'ROIC Cloud'!$D$40</x:f>
        <x:v>2037</x:v>
      </x:c>
      <x:c r="F71" s="170" t="str">
        <x:v>Opening NBV</x:v>
      </x:c>
      <x:c r="G71" s="169" t="n">
        <x:f>IF(G$4&gt;=$E71,$C71*MAX(0,1-(G$4-$E71)/$D71),0)</x:f>
        <x:v>0</x:v>
      </x:c>
      <x:c r="H71" s="169" t="n">
        <x:f>IF(H$4&gt;=$E71,$C71*MAX(0,1-(H$4-$E71)/$D71),0)</x:f>
        <x:v>0</x:v>
      </x:c>
      <x:c r="I71" s="169" t="n">
        <x:f>IF(I$4&gt;=$E71,$C71*MAX(0,1-(I$4-$E71)/$D71),0)</x:f>
        <x:v>0</x:v>
      </x:c>
      <x:c r="J71" s="169" t="n">
        <x:f>IF(J$4&gt;=$E71,$C71*MAX(0,1-(J$4-$E71)/$D71),0)</x:f>
        <x:v>0</x:v>
      </x:c>
      <x:c r="K71" s="169" t="n">
        <x:f>IF(K$4&gt;=$E71,$C71*MAX(0,1-(K$4-$E71)/$D71),0)</x:f>
        <x:v>0</x:v>
      </x:c>
      <x:c r="L71" s="169" t="n">
        <x:f>IF(L$4&gt;=$E71,$C71*MAX(0,1-(L$4-$E71)/$D71),0)</x:f>
        <x:v>0</x:v>
      </x:c>
      <x:c r="M71" s="169" t="n">
        <x:f>IF(M$4&gt;=$E71,$C71*MAX(0,1-(M$4-$E71)/$D71),0)</x:f>
        <x:v>0</x:v>
      </x:c>
      <x:c r="N71" s="169" t="n">
        <x:f>IF(N$4&gt;=$E71,$C71*MAX(0,1-(N$4-$E71)/$D71),0)</x:f>
        <x:v>0</x:v>
      </x:c>
      <x:c r="O71" s="169" t="n">
        <x:f>IF(O$4&gt;=$E71,$C71*MAX(0,1-(O$4-$E71)/$D71),0)</x:f>
        <x:v>0</x:v>
      </x:c>
      <x:c r="P71" s="169" t="n">
        <x:f>IF(P$4&gt;=$E71,$C71*MAX(0,1-(P$4-$E71)/$D71),0)</x:f>
        <x:v>0</x:v>
      </x:c>
      <x:c r="Q71" s="169" t="n">
        <x:f>IF(Q$4&gt;=$E71,$C71*MAX(0,1-(Q$4-$E71)/$D71),0)</x:f>
        <x:v>0</x:v>
      </x:c>
      <x:c r="R71" s="169" t="n">
        <x:f>IF(R$4&gt;=$E71,$C71*MAX(0,1-(R$4-$E71)/$D71),0)</x:f>
        <x:v>0</x:v>
      </x:c>
      <x:c r="S71" s="169" t="n">
        <x:f>IF(S$4&gt;=$E71,$C71*MAX(0,1-(S$4-$E71)/$D71),0)</x:f>
        <x:v>0</x:v>
      </x:c>
      <x:c r="T71" s="169" t="n">
        <x:f>IF(T$4&gt;=$E71,$C71*MAX(0,1-(T$4-$E71)/$D71),0)</x:f>
        <x:v>0</x:v>
      </x:c>
      <x:c r="U71" s="169" t="n">
        <x:f>IF(U$4&gt;=$E71,$C71*MAX(0,1-(U$4-$E71)/$D71),0)</x:f>
        <x:v>1241172.091168394</x:v>
      </x:c>
      <x:c r="V71" s="169" t="n">
        <x:f>IF(V$4&gt;=$E71,$C71*MAX(0,1-(V$4-$E71)/$D71),0)</x:f>
        <x:v>992937.6729347153</x:v>
      </x:c>
      <x:c r="W71" s="169" t="n">
        <x:f>IF(W$4&gt;=$E71,$C71*MAX(0,1-(W$4-$E71)/$D71),0)</x:f>
        <x:v>744703.2547010364</x:v>
      </x:c>
      <x:c r="X71" s="169" t="n">
        <x:f>IF(X$4&gt;=$E71,$C71*MAX(0,1-(X$4-$E71)/$D71),0)</x:f>
        <x:v>496468.83646735764</x:v>
      </x:c>
      <x:c r="Y71" s="169" t="n">
        <x:f>IF(Y$4&gt;=$E71,$C71*MAX(0,1-(Y$4-$E71)/$D71),0)</x:f>
        <x:v>248234.41823367876</x:v>
      </x:c>
      <x:c r="Z71" s="169" t="n">
        <x:f>IF(Z$4&gt;=$E71,$C71*MAX(0,1-(Z$4-$E71)/$D71),0)</x:f>
        <x:v>0</x:v>
      </x:c>
      <x:c r="AA71" s="169" t="n">
        <x:f>IF(AA$4&gt;=$E71,$C71*MAX(0,1-(AA$4-$E71)/$D71),0)</x:f>
        <x:v>0</x:v>
      </x:c>
      <x:c r="AB71" s="169" t="n">
        <x:f>IF(AB$4&gt;=$E71,$C71*MAX(0,1-(AB$4-$E71)/$D71),0)</x:f>
        <x:v>0</x:v>
      </x:c>
      <x:c r="AC71" s="169" t="n">
        <x:f>IF(AC$4&gt;=$E71,$C71*MAX(0,1-(AC$4-$E71)/$D71),0)</x:f>
        <x:v>0</x:v>
      </x:c>
    </x:row>
    <x:row r="72" ht="20" customHeight="1">
      <x:c r="A72" s="170" t="str">
        <x:v>Chips</x:v>
      </x:c>
      <x:c r="B72" s="214" t="n">
        <x:v>2035</x:v>
      </x:c>
      <x:c r="C72" s="170" t="n">
        <x:f>'ROIC Cloud'!P$15*'ROIC Cloud'!$D$45</x:f>
        <x:v>1241172.091168394</x:v>
      </x:c>
      <x:c r="D72" s="214" t="n">
        <x:f>'ROIC Cloud'!$D$41</x:f>
        <x:v>5</x:v>
      </x:c>
      <x:c r="E72" s="214" t="n">
        <x:f>B72+'ROIC Cloud'!$D$40</x:f>
        <x:v>2037</x:v>
      </x:c>
      <x:c r="F72" s="170" t="str">
        <x:v>Depreciation</x:v>
      </x:c>
      <x:c r="G72" s="169" t="n">
        <x:f>IF(G$4&gt;=$E71,MIN($C71/$D71,G71),0)</x:f>
        <x:v>0</x:v>
      </x:c>
      <x:c r="H72" s="169" t="n">
        <x:f>IF(H$4&gt;=$E71,MIN($C71/$D71,H71),0)</x:f>
        <x:v>0</x:v>
      </x:c>
      <x:c r="I72" s="169" t="n">
        <x:f>IF(I$4&gt;=$E71,MIN($C71/$D71,I71),0)</x:f>
        <x:v>0</x:v>
      </x:c>
      <x:c r="J72" s="169" t="n">
        <x:f>IF(J$4&gt;=$E71,MIN($C71/$D71,J71),0)</x:f>
        <x:v>0</x:v>
      </x:c>
      <x:c r="K72" s="169" t="n">
        <x:f>IF(K$4&gt;=$E71,MIN($C71/$D71,K71),0)</x:f>
        <x:v>0</x:v>
      </x:c>
      <x:c r="L72" s="169" t="n">
        <x:f>IF(L$4&gt;=$E71,MIN($C71/$D71,L71),0)</x:f>
        <x:v>0</x:v>
      </x:c>
      <x:c r="M72" s="169" t="n">
        <x:f>IF(M$4&gt;=$E71,MIN($C71/$D71,M71),0)</x:f>
        <x:v>0</x:v>
      </x:c>
      <x:c r="N72" s="169" t="n">
        <x:f>IF(N$4&gt;=$E71,MIN($C71/$D71,N71),0)</x:f>
        <x:v>0</x:v>
      </x:c>
      <x:c r="O72" s="169" t="n">
        <x:f>IF(O$4&gt;=$E71,MIN($C71/$D71,O71),0)</x:f>
        <x:v>0</x:v>
      </x:c>
      <x:c r="P72" s="169" t="n">
        <x:f>IF(P$4&gt;=$E71,MIN($C71/$D71,P71),0)</x:f>
        <x:v>0</x:v>
      </x:c>
      <x:c r="Q72" s="169" t="n">
        <x:f>IF(Q$4&gt;=$E71,MIN($C71/$D71,Q71),0)</x:f>
        <x:v>0</x:v>
      </x:c>
      <x:c r="R72" s="169" t="n">
        <x:f>IF(R$4&gt;=$E71,MIN($C71/$D71,R71),0)</x:f>
        <x:v>0</x:v>
      </x:c>
      <x:c r="S72" s="169" t="n">
        <x:f>IF(S$4&gt;=$E71,MIN($C71/$D71,S71),0)</x:f>
        <x:v>0</x:v>
      </x:c>
      <x:c r="T72" s="169" t="n">
        <x:f>IF(T$4&gt;=$E71,MIN($C71/$D71,T71),0)</x:f>
        <x:v>0</x:v>
      </x:c>
      <x:c r="U72" s="169" t="n">
        <x:f>IF(U$4&gt;=$E71,MIN($C71/$D71,U71),0)</x:f>
        <x:v>248234.41823367882</x:v>
      </x:c>
      <x:c r="V72" s="169" t="n">
        <x:f>IF(V$4&gt;=$E71,MIN($C71/$D71,V71),0)</x:f>
        <x:v>248234.41823367882</x:v>
      </x:c>
      <x:c r="W72" s="169" t="n">
        <x:f>IF(W$4&gt;=$E71,MIN($C71/$D71,W71),0)</x:f>
        <x:v>248234.41823367882</x:v>
      </x:c>
      <x:c r="X72" s="169" t="n">
        <x:f>IF(X$4&gt;=$E71,MIN($C71/$D71,X71),0)</x:f>
        <x:v>248234.41823367882</x:v>
      </x:c>
      <x:c r="Y72" s="169" t="n">
        <x:f>IF(Y$4&gt;=$E71,MIN($C71/$D71,Y71),0)</x:f>
        <x:v>248234.41823367876</x:v>
      </x:c>
      <x:c r="Z72" s="169" t="n">
        <x:f>IF(Z$4&gt;=$E71,MIN($C71/$D71,Z71),0)</x:f>
        <x:v>0</x:v>
      </x:c>
      <x:c r="AA72" s="169" t="n">
        <x:f>IF(AA$4&gt;=$E71,MIN($C71/$D71,AA71),0)</x:f>
        <x:v>0</x:v>
      </x:c>
      <x:c r="AB72" s="169" t="n">
        <x:f>IF(AB$4&gt;=$E71,MIN($C71/$D71,AB71),0)</x:f>
        <x:v>0</x:v>
      </x:c>
      <x:c r="AC72" s="169" t="n">
        <x:f>IF(AC$4&gt;=$E71,MIN($C71/$D71,AC71),0)</x:f>
        <x:v>0</x:v>
      </x:c>
    </x:row>
    <x:row r="73" ht="20" customHeight="1">
      <x:c r="A73" s="170" t="str">
        <x:v>Chips</x:v>
      </x:c>
      <x:c r="B73" s="214" t="n">
        <x:v>2035</x:v>
      </x:c>
      <x:c r="C73" s="170" t="n">
        <x:f>'ROIC Cloud'!P$15*'ROIC Cloud'!$D$45</x:f>
        <x:v>1241172.091168394</x:v>
      </x:c>
      <x:c r="D73" s="214" t="n">
        <x:f>'ROIC Cloud'!$D$41</x:f>
        <x:v>5</x:v>
      </x:c>
      <x:c r="E73" s="214" t="n">
        <x:f>B73+'ROIC Cloud'!$D$40</x:f>
        <x:v>2037</x:v>
      </x:c>
      <x:c r="F73" s="170" t="str">
        <x:v>Closing NBV</x:v>
      </x:c>
      <x:c r="G73" s="169" t="n">
        <x:f>MAX(0,G71-G72)</x:f>
        <x:v>0</x:v>
      </x:c>
      <x:c r="H73" s="169" t="n">
        <x:f>MAX(0,H71-H72)</x:f>
        <x:v>0</x:v>
      </x:c>
      <x:c r="I73" s="169" t="n">
        <x:f>MAX(0,I71-I72)</x:f>
        <x:v>0</x:v>
      </x:c>
      <x:c r="J73" s="169" t="n">
        <x:f>MAX(0,J71-J72)</x:f>
        <x:v>0</x:v>
      </x:c>
      <x:c r="K73" s="169" t="n">
        <x:f>MAX(0,K71-K72)</x:f>
        <x:v>0</x:v>
      </x:c>
      <x:c r="L73" s="169" t="n">
        <x:f>MAX(0,L71-L72)</x:f>
        <x:v>0</x:v>
      </x:c>
      <x:c r="M73" s="169" t="n">
        <x:f>MAX(0,M71-M72)</x:f>
        <x:v>0</x:v>
      </x:c>
      <x:c r="N73" s="169" t="n">
        <x:f>MAX(0,N71-N72)</x:f>
        <x:v>0</x:v>
      </x:c>
      <x:c r="O73" s="169" t="n">
        <x:f>MAX(0,O71-O72)</x:f>
        <x:v>0</x:v>
      </x:c>
      <x:c r="P73" s="169" t="n">
        <x:f>MAX(0,P71-P72)</x:f>
        <x:v>0</x:v>
      </x:c>
      <x:c r="Q73" s="169" t="n">
        <x:f>MAX(0,Q71-Q72)</x:f>
        <x:v>0</x:v>
      </x:c>
      <x:c r="R73" s="169" t="n">
        <x:f>MAX(0,R71-R72)</x:f>
        <x:v>0</x:v>
      </x:c>
      <x:c r="S73" s="169" t="n">
        <x:f>MAX(0,S71-S72)</x:f>
        <x:v>0</x:v>
      </x:c>
      <x:c r="T73" s="169" t="n">
        <x:f>MAX(0,T71-T72)</x:f>
        <x:v>0</x:v>
      </x:c>
      <x:c r="U73" s="169" t="n">
        <x:f>MAX(0,U71-U72)</x:f>
        <x:v>992937.6729347153</x:v>
      </x:c>
      <x:c r="V73" s="169" t="n">
        <x:f>MAX(0,V71-V72)</x:f>
        <x:v>744703.2547010365</x:v>
      </x:c>
      <x:c r="W73" s="169" t="n">
        <x:f>MAX(0,W71-W72)</x:f>
        <x:v>496468.8364673576</x:v>
      </x:c>
      <x:c r="X73" s="169" t="n">
        <x:f>MAX(0,X71-X72)</x:f>
        <x:v>248234.41823367882</x:v>
      </x:c>
      <x:c r="Y73" s="169" t="n">
        <x:f>MAX(0,Y71-Y72)</x:f>
        <x:v>0</x:v>
      </x:c>
      <x:c r="Z73" s="169" t="n">
        <x:f>MAX(0,Z71-Z72)</x:f>
        <x:v>0</x:v>
      </x:c>
      <x:c r="AA73" s="169" t="n">
        <x:f>MAX(0,AA71-AA72)</x:f>
        <x:v>0</x:v>
      </x:c>
      <x:c r="AB73" s="169" t="n">
        <x:f>MAX(0,AB71-AB72)</x:f>
        <x:v>0</x:v>
      </x:c>
      <x:c r="AC73" s="169" t="n">
        <x:f>MAX(0,AC71-AC72)</x:f>
        <x:v>0</x:v>
      </x:c>
    </x:row>
    <x:row r="74" ht="20" customHeight="1">
      <x:c r="A74" s="170" t="str">
        <x:v>Chips</x:v>
      </x:c>
      <x:c r="B74" s="214" t="n">
        <x:v>2035</x:v>
      </x:c>
      <x:c r="C74" s="170" t="n">
        <x:f>'ROIC Cloud'!P$15*'ROIC Cloud'!$D$45</x:f>
        <x:v>1241172.091168394</x:v>
      </x:c>
      <x:c r="D74" s="214" t="n">
        <x:f>'ROIC Cloud'!$D$41</x:f>
        <x:v>5</x:v>
      </x:c>
      <x:c r="E74" s="214" t="n">
        <x:f>B74+'ROIC Cloud'!$D$40</x:f>
        <x:v>2037</x:v>
      </x:c>
      <x:c r="F74" s="170" t="str">
        <x:v>Average NBV</x:v>
      </x:c>
      <x:c r="G74" s="169" t="n">
        <x:f>(G71+G73)/2</x:f>
        <x:v>0</x:v>
      </x:c>
      <x:c r="H74" s="169" t="n">
        <x:f>(H71+H73)/2</x:f>
        <x:v>0</x:v>
      </x:c>
      <x:c r="I74" s="169" t="n">
        <x:f>(I71+I73)/2</x:f>
        <x:v>0</x:v>
      </x:c>
      <x:c r="J74" s="169" t="n">
        <x:f>(J71+J73)/2</x:f>
        <x:v>0</x:v>
      </x:c>
      <x:c r="K74" s="169" t="n">
        <x:f>(K71+K73)/2</x:f>
        <x:v>0</x:v>
      </x:c>
      <x:c r="L74" s="169" t="n">
        <x:f>(L71+L73)/2</x:f>
        <x:v>0</x:v>
      </x:c>
      <x:c r="M74" s="169" t="n">
        <x:f>(M71+M73)/2</x:f>
        <x:v>0</x:v>
      </x:c>
      <x:c r="N74" s="169" t="n">
        <x:f>(N71+N73)/2</x:f>
        <x:v>0</x:v>
      </x:c>
      <x:c r="O74" s="169" t="n">
        <x:f>(O71+O73)/2</x:f>
        <x:v>0</x:v>
      </x:c>
      <x:c r="P74" s="169" t="n">
        <x:f>(P71+P73)/2</x:f>
        <x:v>0</x:v>
      </x:c>
      <x:c r="Q74" s="169" t="n">
        <x:f>(Q71+Q73)/2</x:f>
        <x:v>0</x:v>
      </x:c>
      <x:c r="R74" s="169" t="n">
        <x:f>(R71+R73)/2</x:f>
        <x:v>0</x:v>
      </x:c>
      <x:c r="S74" s="169" t="n">
        <x:f>(S71+S73)/2</x:f>
        <x:v>0</x:v>
      </x:c>
      <x:c r="T74" s="169" t="n">
        <x:f>(T71+T73)/2</x:f>
        <x:v>0</x:v>
      </x:c>
      <x:c r="U74" s="169" t="n">
        <x:f>(U71+U73)/2</x:f>
        <x:v>1117054.8820515547</x:v>
      </x:c>
      <x:c r="V74" s="169" t="n">
        <x:f>(V71+V73)/2</x:f>
        <x:v>868820.4638178758</x:v>
      </x:c>
      <x:c r="W74" s="169" t="n">
        <x:f>(W71+W73)/2</x:f>
        <x:v>620586.0455841969</x:v>
      </x:c>
      <x:c r="X74" s="169" t="n">
        <x:f>(X71+X73)/2</x:f>
        <x:v>372351.62735051825</x:v>
      </x:c>
      <x:c r="Y74" s="169" t="n">
        <x:f>(Y71+Y73)/2</x:f>
        <x:v>124117.20911683938</x:v>
      </x:c>
      <x:c r="Z74" s="169" t="n">
        <x:f>(Z71+Z73)/2</x:f>
        <x:v>0</x:v>
      </x:c>
      <x:c r="AA74" s="169" t="n">
        <x:f>(AA71+AA73)/2</x:f>
        <x:v>0</x:v>
      </x:c>
      <x:c r="AB74" s="169" t="n">
        <x:f>(AB71+AB73)/2</x:f>
        <x:v>0</x:v>
      </x:c>
      <x:c r="AC74" s="169" t="n">
        <x:f>(AC71+AC73)/2</x:f>
        <x:v>0</x:v>
      </x:c>
    </x:row>
    <x:row r="75" ht="20" customHeight="1">
      <x:c r="A75" s="170" t="str">
        <x:v>Chips</x:v>
      </x:c>
      <x:c r="B75" s="214" t="n">
        <x:v>2036</x:v>
      </x:c>
      <x:c r="C75" s="170" t="n">
        <x:f>'ROIC Cloud'!Q$15*'ROIC Cloud'!$D$45</x:f>
        <x:v>1340465.8584618657</x:v>
      </x:c>
      <x:c r="D75" s="214" t="n">
        <x:f>'ROIC Cloud'!$D$41</x:f>
        <x:v>5</x:v>
      </x:c>
      <x:c r="E75" s="214" t="n">
        <x:f>B75+'ROIC Cloud'!$D$40</x:f>
        <x:v>2038</x:v>
      </x:c>
      <x:c r="F75" s="170" t="str">
        <x:v>Opening NBV</x:v>
      </x:c>
      <x:c r="G75" s="169" t="n">
        <x:f>IF(G$4&gt;=$E75,$C75*MAX(0,1-(G$4-$E75)/$D75),0)</x:f>
        <x:v>0</x:v>
      </x:c>
      <x:c r="H75" s="169" t="n">
        <x:f>IF(H$4&gt;=$E75,$C75*MAX(0,1-(H$4-$E75)/$D75),0)</x:f>
        <x:v>0</x:v>
      </x:c>
      <x:c r="I75" s="169" t="n">
        <x:f>IF(I$4&gt;=$E75,$C75*MAX(0,1-(I$4-$E75)/$D75),0)</x:f>
        <x:v>0</x:v>
      </x:c>
      <x:c r="J75" s="169" t="n">
        <x:f>IF(J$4&gt;=$E75,$C75*MAX(0,1-(J$4-$E75)/$D75),0)</x:f>
        <x:v>0</x:v>
      </x:c>
      <x:c r="K75" s="169" t="n">
        <x:f>IF(K$4&gt;=$E75,$C75*MAX(0,1-(K$4-$E75)/$D75),0)</x:f>
        <x:v>0</x:v>
      </x:c>
      <x:c r="L75" s="169" t="n">
        <x:f>IF(L$4&gt;=$E75,$C75*MAX(0,1-(L$4-$E75)/$D75),0)</x:f>
        <x:v>0</x:v>
      </x:c>
      <x:c r="M75" s="169" t="n">
        <x:f>IF(M$4&gt;=$E75,$C75*MAX(0,1-(M$4-$E75)/$D75),0)</x:f>
        <x:v>0</x:v>
      </x:c>
      <x:c r="N75" s="169" t="n">
        <x:f>IF(N$4&gt;=$E75,$C75*MAX(0,1-(N$4-$E75)/$D75),0)</x:f>
        <x:v>0</x:v>
      </x:c>
      <x:c r="O75" s="169" t="n">
        <x:f>IF(O$4&gt;=$E75,$C75*MAX(0,1-(O$4-$E75)/$D75),0)</x:f>
        <x:v>0</x:v>
      </x:c>
      <x:c r="P75" s="169" t="n">
        <x:f>IF(P$4&gt;=$E75,$C75*MAX(0,1-(P$4-$E75)/$D75),0)</x:f>
        <x:v>0</x:v>
      </x:c>
      <x:c r="Q75" s="169" t="n">
        <x:f>IF(Q$4&gt;=$E75,$C75*MAX(0,1-(Q$4-$E75)/$D75),0)</x:f>
        <x:v>0</x:v>
      </x:c>
      <x:c r="R75" s="169" t="n">
        <x:f>IF(R$4&gt;=$E75,$C75*MAX(0,1-(R$4-$E75)/$D75),0)</x:f>
        <x:v>0</x:v>
      </x:c>
      <x:c r="S75" s="169" t="n">
        <x:f>IF(S$4&gt;=$E75,$C75*MAX(0,1-(S$4-$E75)/$D75),0)</x:f>
        <x:v>0</x:v>
      </x:c>
      <x:c r="T75" s="169" t="n">
        <x:f>IF(T$4&gt;=$E75,$C75*MAX(0,1-(T$4-$E75)/$D75),0)</x:f>
        <x:v>0</x:v>
      </x:c>
      <x:c r="U75" s="169" t="n">
        <x:f>IF(U$4&gt;=$E75,$C75*MAX(0,1-(U$4-$E75)/$D75),0)</x:f>
        <x:v>0</x:v>
      </x:c>
      <x:c r="V75" s="169" t="n">
        <x:f>IF(V$4&gt;=$E75,$C75*MAX(0,1-(V$4-$E75)/$D75),0)</x:f>
        <x:v>1340465.8584618657</x:v>
      </x:c>
      <x:c r="W75" s="169" t="n">
        <x:f>IF(W$4&gt;=$E75,$C75*MAX(0,1-(W$4-$E75)/$D75),0)</x:f>
        <x:v>1072372.6867694927</x:v>
      </x:c>
      <x:c r="X75" s="169" t="n">
        <x:f>IF(X$4&gt;=$E75,$C75*MAX(0,1-(X$4-$E75)/$D75),0)</x:f>
        <x:v>804279.5150771193</x:v>
      </x:c>
      <x:c r="Y75" s="169" t="n">
        <x:f>IF(Y$4&gt;=$E75,$C75*MAX(0,1-(Y$4-$E75)/$D75),0)</x:f>
        <x:v>536186.3433847463</x:v>
      </x:c>
      <x:c r="Z75" s="169" t="n">
        <x:f>IF(Z$4&gt;=$E75,$C75*MAX(0,1-(Z$4-$E75)/$D75),0)</x:f>
        <x:v>268093.17169237306</x:v>
      </x:c>
      <x:c r="AA75" s="169" t="n">
        <x:f>IF(AA$4&gt;=$E75,$C75*MAX(0,1-(AA$4-$E75)/$D75),0)</x:f>
        <x:v>0</x:v>
      </x:c>
      <x:c r="AB75" s="169" t="n">
        <x:f>IF(AB$4&gt;=$E75,$C75*MAX(0,1-(AB$4-$E75)/$D75),0)</x:f>
        <x:v>0</x:v>
      </x:c>
      <x:c r="AC75" s="169" t="n">
        <x:f>IF(AC$4&gt;=$E75,$C75*MAX(0,1-(AC$4-$E75)/$D75),0)</x:f>
        <x:v>0</x:v>
      </x:c>
    </x:row>
    <x:row r="76" ht="20" customHeight="1">
      <x:c r="A76" s="170" t="str">
        <x:v>Chips</x:v>
      </x:c>
      <x:c r="B76" s="214" t="n">
        <x:v>2036</x:v>
      </x:c>
      <x:c r="C76" s="170" t="n">
        <x:f>'ROIC Cloud'!Q$15*'ROIC Cloud'!$D$45</x:f>
        <x:v>1340465.8584618657</x:v>
      </x:c>
      <x:c r="D76" s="214" t="n">
        <x:f>'ROIC Cloud'!$D$41</x:f>
        <x:v>5</x:v>
      </x:c>
      <x:c r="E76" s="214" t="n">
        <x:f>B76+'ROIC Cloud'!$D$40</x:f>
        <x:v>2038</x:v>
      </x:c>
      <x:c r="F76" s="170" t="str">
        <x:v>Depreciation</x:v>
      </x:c>
      <x:c r="G76" s="169" t="n">
        <x:f>IF(G$4&gt;=$E75,MIN($C75/$D75,G75),0)</x:f>
        <x:v>0</x:v>
      </x:c>
      <x:c r="H76" s="169" t="n">
        <x:f>IF(H$4&gt;=$E75,MIN($C75/$D75,H75),0)</x:f>
        <x:v>0</x:v>
      </x:c>
      <x:c r="I76" s="169" t="n">
        <x:f>IF(I$4&gt;=$E75,MIN($C75/$D75,I75),0)</x:f>
        <x:v>0</x:v>
      </x:c>
      <x:c r="J76" s="169" t="n">
        <x:f>IF(J$4&gt;=$E75,MIN($C75/$D75,J75),0)</x:f>
        <x:v>0</x:v>
      </x:c>
      <x:c r="K76" s="169" t="n">
        <x:f>IF(K$4&gt;=$E75,MIN($C75/$D75,K75),0)</x:f>
        <x:v>0</x:v>
      </x:c>
      <x:c r="L76" s="169" t="n">
        <x:f>IF(L$4&gt;=$E75,MIN($C75/$D75,L75),0)</x:f>
        <x:v>0</x:v>
      </x:c>
      <x:c r="M76" s="169" t="n">
        <x:f>IF(M$4&gt;=$E75,MIN($C75/$D75,M75),0)</x:f>
        <x:v>0</x:v>
      </x:c>
      <x:c r="N76" s="169" t="n">
        <x:f>IF(N$4&gt;=$E75,MIN($C75/$D75,N75),0)</x:f>
        <x:v>0</x:v>
      </x:c>
      <x:c r="O76" s="169" t="n">
        <x:f>IF(O$4&gt;=$E75,MIN($C75/$D75,O75),0)</x:f>
        <x:v>0</x:v>
      </x:c>
      <x:c r="P76" s="169" t="n">
        <x:f>IF(P$4&gt;=$E75,MIN($C75/$D75,P75),0)</x:f>
        <x:v>0</x:v>
      </x:c>
      <x:c r="Q76" s="169" t="n">
        <x:f>IF(Q$4&gt;=$E75,MIN($C75/$D75,Q75),0)</x:f>
        <x:v>0</x:v>
      </x:c>
      <x:c r="R76" s="169" t="n">
        <x:f>IF(R$4&gt;=$E75,MIN($C75/$D75,R75),0)</x:f>
        <x:v>0</x:v>
      </x:c>
      <x:c r="S76" s="169" t="n">
        <x:f>IF(S$4&gt;=$E75,MIN($C75/$D75,S75),0)</x:f>
        <x:v>0</x:v>
      </x:c>
      <x:c r="T76" s="169" t="n">
        <x:f>IF(T$4&gt;=$E75,MIN($C75/$D75,T75),0)</x:f>
        <x:v>0</x:v>
      </x:c>
      <x:c r="U76" s="169" t="n">
        <x:f>IF(U$4&gt;=$E75,MIN($C75/$D75,U75),0)</x:f>
        <x:v>0</x:v>
      </x:c>
      <x:c r="V76" s="169" t="n">
        <x:f>IF(V$4&gt;=$E75,MIN($C75/$D75,V75),0)</x:f>
        <x:v>268093.1716923731</x:v>
      </x:c>
      <x:c r="W76" s="169" t="n">
        <x:f>IF(W$4&gt;=$E75,MIN($C75/$D75,W75),0)</x:f>
        <x:v>268093.1716923731</x:v>
      </x:c>
      <x:c r="X76" s="169" t="n">
        <x:f>IF(X$4&gt;=$E75,MIN($C75/$D75,X75),0)</x:f>
        <x:v>268093.1716923731</x:v>
      </x:c>
      <x:c r="Y76" s="169" t="n">
        <x:f>IF(Y$4&gt;=$E75,MIN($C75/$D75,Y75),0)</x:f>
        <x:v>268093.1716923731</x:v>
      </x:c>
      <x:c r="Z76" s="169" t="n">
        <x:f>IF(Z$4&gt;=$E75,MIN($C75/$D75,Z75),0)</x:f>
        <x:v>268093.17169237306</x:v>
      </x:c>
      <x:c r="AA76" s="169" t="n">
        <x:f>IF(AA$4&gt;=$E75,MIN($C75/$D75,AA75),0)</x:f>
        <x:v>0</x:v>
      </x:c>
      <x:c r="AB76" s="169" t="n">
        <x:f>IF(AB$4&gt;=$E75,MIN($C75/$D75,AB75),0)</x:f>
        <x:v>0</x:v>
      </x:c>
      <x:c r="AC76" s="169" t="n">
        <x:f>IF(AC$4&gt;=$E75,MIN($C75/$D75,AC75),0)</x:f>
        <x:v>0</x:v>
      </x:c>
    </x:row>
    <x:row r="77" ht="20" customHeight="1">
      <x:c r="A77" s="170" t="str">
        <x:v>Chips</x:v>
      </x:c>
      <x:c r="B77" s="214" t="n">
        <x:v>2036</x:v>
      </x:c>
      <x:c r="C77" s="170" t="n">
        <x:f>'ROIC Cloud'!Q$15*'ROIC Cloud'!$D$45</x:f>
        <x:v>1340465.8584618657</x:v>
      </x:c>
      <x:c r="D77" s="214" t="n">
        <x:f>'ROIC Cloud'!$D$41</x:f>
        <x:v>5</x:v>
      </x:c>
      <x:c r="E77" s="214" t="n">
        <x:f>B77+'ROIC Cloud'!$D$40</x:f>
        <x:v>2038</x:v>
      </x:c>
      <x:c r="F77" s="170" t="str">
        <x:v>Closing NBV</x:v>
      </x:c>
      <x:c r="G77" s="169" t="n">
        <x:f>MAX(0,G75-G76)</x:f>
        <x:v>0</x:v>
      </x:c>
      <x:c r="H77" s="169" t="n">
        <x:f>MAX(0,H75-H76)</x:f>
        <x:v>0</x:v>
      </x:c>
      <x:c r="I77" s="169" t="n">
        <x:f>MAX(0,I75-I76)</x:f>
        <x:v>0</x:v>
      </x:c>
      <x:c r="J77" s="169" t="n">
        <x:f>MAX(0,J75-J76)</x:f>
        <x:v>0</x:v>
      </x:c>
      <x:c r="K77" s="169" t="n">
        <x:f>MAX(0,K75-K76)</x:f>
        <x:v>0</x:v>
      </x:c>
      <x:c r="L77" s="169" t="n">
        <x:f>MAX(0,L75-L76)</x:f>
        <x:v>0</x:v>
      </x:c>
      <x:c r="M77" s="169" t="n">
        <x:f>MAX(0,M75-M76)</x:f>
        <x:v>0</x:v>
      </x:c>
      <x:c r="N77" s="169" t="n">
        <x:f>MAX(0,N75-N76)</x:f>
        <x:v>0</x:v>
      </x:c>
      <x:c r="O77" s="169" t="n">
        <x:f>MAX(0,O75-O76)</x:f>
        <x:v>0</x:v>
      </x:c>
      <x:c r="P77" s="169" t="n">
        <x:f>MAX(0,P75-P76)</x:f>
        <x:v>0</x:v>
      </x:c>
      <x:c r="Q77" s="169" t="n">
        <x:f>MAX(0,Q75-Q76)</x:f>
        <x:v>0</x:v>
      </x:c>
      <x:c r="R77" s="169" t="n">
        <x:f>MAX(0,R75-R76)</x:f>
        <x:v>0</x:v>
      </x:c>
      <x:c r="S77" s="169" t="n">
        <x:f>MAX(0,S75-S76)</x:f>
        <x:v>0</x:v>
      </x:c>
      <x:c r="T77" s="169" t="n">
        <x:f>MAX(0,T75-T76)</x:f>
        <x:v>0</x:v>
      </x:c>
      <x:c r="U77" s="169" t="n">
        <x:f>MAX(0,U75-U76)</x:f>
        <x:v>0</x:v>
      </x:c>
      <x:c r="V77" s="169" t="n">
        <x:f>MAX(0,V75-V76)</x:f>
        <x:v>1072372.6867694925</x:v>
      </x:c>
      <x:c r="W77" s="169" t="n">
        <x:f>MAX(0,W75-W76)</x:f>
        <x:v>804279.5150771196</x:v>
      </x:c>
      <x:c r="X77" s="169" t="n">
        <x:f>MAX(0,X75-X76)</x:f>
        <x:v>536186.3433847462</x:v>
      </x:c>
      <x:c r="Y77" s="169" t="n">
        <x:f>MAX(0,Y75-Y76)</x:f>
        <x:v>268093.17169237323</x:v>
      </x:c>
      <x:c r="Z77" s="169" t="n">
        <x:f>MAX(0,Z75-Z76)</x:f>
        <x:v>0</x:v>
      </x:c>
      <x:c r="AA77" s="169" t="n">
        <x:f>MAX(0,AA75-AA76)</x:f>
        <x:v>0</x:v>
      </x:c>
      <x:c r="AB77" s="169" t="n">
        <x:f>MAX(0,AB75-AB76)</x:f>
        <x:v>0</x:v>
      </x:c>
      <x:c r="AC77" s="169" t="n">
        <x:f>MAX(0,AC75-AC76)</x:f>
        <x:v>0</x:v>
      </x:c>
    </x:row>
    <x:row r="78" ht="20" customHeight="1">
      <x:c r="A78" s="170" t="str">
        <x:v>Chips</x:v>
      </x:c>
      <x:c r="B78" s="214" t="n">
        <x:v>2036</x:v>
      </x:c>
      <x:c r="C78" s="170" t="n">
        <x:f>'ROIC Cloud'!Q$15*'ROIC Cloud'!$D$45</x:f>
        <x:v>1340465.8584618657</x:v>
      </x:c>
      <x:c r="D78" s="214" t="n">
        <x:f>'ROIC Cloud'!$D$41</x:f>
        <x:v>5</x:v>
      </x:c>
      <x:c r="E78" s="214" t="n">
        <x:f>B78+'ROIC Cloud'!$D$40</x:f>
        <x:v>2038</x:v>
      </x:c>
      <x:c r="F78" s="170" t="str">
        <x:v>Average NBV</x:v>
      </x:c>
      <x:c r="G78" s="169" t="n">
        <x:f>(G75+G77)/2</x:f>
        <x:v>0</x:v>
      </x:c>
      <x:c r="H78" s="169" t="n">
        <x:f>(H75+H77)/2</x:f>
        <x:v>0</x:v>
      </x:c>
      <x:c r="I78" s="169" t="n">
        <x:f>(I75+I77)/2</x:f>
        <x:v>0</x:v>
      </x:c>
      <x:c r="J78" s="169" t="n">
        <x:f>(J75+J77)/2</x:f>
        <x:v>0</x:v>
      </x:c>
      <x:c r="K78" s="169" t="n">
        <x:f>(K75+K77)/2</x:f>
        <x:v>0</x:v>
      </x:c>
      <x:c r="L78" s="169" t="n">
        <x:f>(L75+L77)/2</x:f>
        <x:v>0</x:v>
      </x:c>
      <x:c r="M78" s="169" t="n">
        <x:f>(M75+M77)/2</x:f>
        <x:v>0</x:v>
      </x:c>
      <x:c r="N78" s="169" t="n">
        <x:f>(N75+N77)/2</x:f>
        <x:v>0</x:v>
      </x:c>
      <x:c r="O78" s="169" t="n">
        <x:f>(O75+O77)/2</x:f>
        <x:v>0</x:v>
      </x:c>
      <x:c r="P78" s="169" t="n">
        <x:f>(P75+P77)/2</x:f>
        <x:v>0</x:v>
      </x:c>
      <x:c r="Q78" s="169" t="n">
        <x:f>(Q75+Q77)/2</x:f>
        <x:v>0</x:v>
      </x:c>
      <x:c r="R78" s="169" t="n">
        <x:f>(R75+R77)/2</x:f>
        <x:v>0</x:v>
      </x:c>
      <x:c r="S78" s="169" t="n">
        <x:f>(S75+S77)/2</x:f>
        <x:v>0</x:v>
      </x:c>
      <x:c r="T78" s="169" t="n">
        <x:f>(T75+T77)/2</x:f>
        <x:v>0</x:v>
      </x:c>
      <x:c r="U78" s="169" t="n">
        <x:f>(U75+U77)/2</x:f>
        <x:v>0</x:v>
      </x:c>
      <x:c r="V78" s="169" t="n">
        <x:f>(V75+V77)/2</x:f>
        <x:v>1206419.272615679</x:v>
      </x:c>
      <x:c r="W78" s="169" t="n">
        <x:f>(W75+W77)/2</x:f>
        <x:v>938326.1009233061</x:v>
      </x:c>
      <x:c r="X78" s="169" t="n">
        <x:f>(X75+X77)/2</x:f>
        <x:v>670232.9292309328</x:v>
      </x:c>
      <x:c r="Y78" s="169" t="n">
        <x:f>(Y75+Y77)/2</x:f>
        <x:v>402139.7575385598</x:v>
      </x:c>
      <x:c r="Z78" s="169" t="n">
        <x:f>(Z75+Z77)/2</x:f>
        <x:v>134046.58584618653</x:v>
      </x:c>
      <x:c r="AA78" s="169" t="n">
        <x:f>(AA75+AA77)/2</x:f>
        <x:v>0</x:v>
      </x:c>
      <x:c r="AB78" s="169" t="n">
        <x:f>(AB75+AB77)/2</x:f>
        <x:v>0</x:v>
      </x:c>
      <x:c r="AC78" s="169" t="n">
        <x:f>(AC75+AC77)/2</x:f>
        <x:v>0</x:v>
      </x:c>
    </x:row>
    <x:row r="79" ht="20" customHeight="1">
      <x:c r="A79" s="170" t="str">
        <x:v>Chips</x:v>
      </x:c>
      <x:c r="B79" s="214" t="n">
        <x:v>2037</x:v>
      </x:c>
      <x:c r="C79" s="170" t="n">
        <x:f>'ROIC Cloud'!R$15*'ROIC Cloud'!$D$45</x:f>
        <x:v>1447703.127138815</x:v>
      </x:c>
      <x:c r="D79" s="214" t="n">
        <x:f>'ROIC Cloud'!$D$41</x:f>
        <x:v>5</x:v>
      </x:c>
      <x:c r="E79" s="214" t="n">
        <x:f>B79+'ROIC Cloud'!$D$40</x:f>
        <x:v>2039</x:v>
      </x:c>
      <x:c r="F79" s="170" t="str">
        <x:v>Opening NBV</x:v>
      </x:c>
      <x:c r="G79" s="169" t="n">
        <x:f>IF(G$4&gt;=$E79,$C79*MAX(0,1-(G$4-$E79)/$D79),0)</x:f>
        <x:v>0</x:v>
      </x:c>
      <x:c r="H79" s="169" t="n">
        <x:f>IF(H$4&gt;=$E79,$C79*MAX(0,1-(H$4-$E79)/$D79),0)</x:f>
        <x:v>0</x:v>
      </x:c>
      <x:c r="I79" s="169" t="n">
        <x:f>IF(I$4&gt;=$E79,$C79*MAX(0,1-(I$4-$E79)/$D79),0)</x:f>
        <x:v>0</x:v>
      </x:c>
      <x:c r="J79" s="169" t="n">
        <x:f>IF(J$4&gt;=$E79,$C79*MAX(0,1-(J$4-$E79)/$D79),0)</x:f>
        <x:v>0</x:v>
      </x:c>
      <x:c r="K79" s="169" t="n">
        <x:f>IF(K$4&gt;=$E79,$C79*MAX(0,1-(K$4-$E79)/$D79),0)</x:f>
        <x:v>0</x:v>
      </x:c>
      <x:c r="L79" s="169" t="n">
        <x:f>IF(L$4&gt;=$E79,$C79*MAX(0,1-(L$4-$E79)/$D79),0)</x:f>
        <x:v>0</x:v>
      </x:c>
      <x:c r="M79" s="169" t="n">
        <x:f>IF(M$4&gt;=$E79,$C79*MAX(0,1-(M$4-$E79)/$D79),0)</x:f>
        <x:v>0</x:v>
      </x:c>
      <x:c r="N79" s="169" t="n">
        <x:f>IF(N$4&gt;=$E79,$C79*MAX(0,1-(N$4-$E79)/$D79),0)</x:f>
        <x:v>0</x:v>
      </x:c>
      <x:c r="O79" s="169" t="n">
        <x:f>IF(O$4&gt;=$E79,$C79*MAX(0,1-(O$4-$E79)/$D79),0)</x:f>
        <x:v>0</x:v>
      </x:c>
      <x:c r="P79" s="169" t="n">
        <x:f>IF(P$4&gt;=$E79,$C79*MAX(0,1-(P$4-$E79)/$D79),0)</x:f>
        <x:v>0</x:v>
      </x:c>
      <x:c r="Q79" s="169" t="n">
        <x:f>IF(Q$4&gt;=$E79,$C79*MAX(0,1-(Q$4-$E79)/$D79),0)</x:f>
        <x:v>0</x:v>
      </x:c>
      <x:c r="R79" s="169" t="n">
        <x:f>IF(R$4&gt;=$E79,$C79*MAX(0,1-(R$4-$E79)/$D79),0)</x:f>
        <x:v>0</x:v>
      </x:c>
      <x:c r="S79" s="169" t="n">
        <x:f>IF(S$4&gt;=$E79,$C79*MAX(0,1-(S$4-$E79)/$D79),0)</x:f>
        <x:v>0</x:v>
      </x:c>
      <x:c r="T79" s="169" t="n">
        <x:f>IF(T$4&gt;=$E79,$C79*MAX(0,1-(T$4-$E79)/$D79),0)</x:f>
        <x:v>0</x:v>
      </x:c>
      <x:c r="U79" s="169" t="n">
        <x:f>IF(U$4&gt;=$E79,$C79*MAX(0,1-(U$4-$E79)/$D79),0)</x:f>
        <x:v>0</x:v>
      </x:c>
      <x:c r="V79" s="169" t="n">
        <x:f>IF(V$4&gt;=$E79,$C79*MAX(0,1-(V$4-$E79)/$D79),0)</x:f>
        <x:v>0</x:v>
      </x:c>
      <x:c r="W79" s="169" t="n">
        <x:f>IF(W$4&gt;=$E79,$C79*MAX(0,1-(W$4-$E79)/$D79),0)</x:f>
        <x:v>1447703.127138815</x:v>
      </x:c>
      <x:c r="X79" s="169" t="n">
        <x:f>IF(X$4&gt;=$E79,$C79*MAX(0,1-(X$4-$E79)/$D79),0)</x:f>
        <x:v>1158162.501711052</x:v>
      </x:c>
      <x:c r="Y79" s="169" t="n">
        <x:f>IF(Y$4&gt;=$E79,$C79*MAX(0,1-(Y$4-$E79)/$D79),0)</x:f>
        <x:v>868621.8762832889</x:v>
      </x:c>
      <x:c r="Z79" s="169" t="n">
        <x:f>IF(Z$4&gt;=$E79,$C79*MAX(0,1-(Z$4-$E79)/$D79),0)</x:f>
        <x:v>579081.250855526</x:v>
      </x:c>
      <x:c r="AA79" s="169" t="n">
        <x:f>IF(AA$4&gt;=$E79,$C79*MAX(0,1-(AA$4-$E79)/$D79),0)</x:f>
        <x:v>289540.6254277629</x:v>
      </x:c>
      <x:c r="AB79" s="169" t="n">
        <x:f>IF(AB$4&gt;=$E79,$C79*MAX(0,1-(AB$4-$E79)/$D79),0)</x:f>
        <x:v>0</x:v>
      </x:c>
      <x:c r="AC79" s="169" t="n">
        <x:f>IF(AC$4&gt;=$E79,$C79*MAX(0,1-(AC$4-$E79)/$D79),0)</x:f>
        <x:v>0</x:v>
      </x:c>
    </x:row>
    <x:row r="80" ht="20" customHeight="1">
      <x:c r="A80" s="170" t="str">
        <x:v>Chips</x:v>
      </x:c>
      <x:c r="B80" s="214" t="n">
        <x:v>2037</x:v>
      </x:c>
      <x:c r="C80" s="170" t="n">
        <x:f>'ROIC Cloud'!R$15*'ROIC Cloud'!$D$45</x:f>
        <x:v>1447703.127138815</x:v>
      </x:c>
      <x:c r="D80" s="214" t="n">
        <x:f>'ROIC Cloud'!$D$41</x:f>
        <x:v>5</x:v>
      </x:c>
      <x:c r="E80" s="214" t="n">
        <x:f>B80+'ROIC Cloud'!$D$40</x:f>
        <x:v>2039</x:v>
      </x:c>
      <x:c r="F80" s="170" t="str">
        <x:v>Depreciation</x:v>
      </x:c>
      <x:c r="G80" s="169" t="n">
        <x:f>IF(G$4&gt;=$E79,MIN($C79/$D79,G79),0)</x:f>
        <x:v>0</x:v>
      </x:c>
      <x:c r="H80" s="169" t="n">
        <x:f>IF(H$4&gt;=$E79,MIN($C79/$D79,H79),0)</x:f>
        <x:v>0</x:v>
      </x:c>
      <x:c r="I80" s="169" t="n">
        <x:f>IF(I$4&gt;=$E79,MIN($C79/$D79,I79),0)</x:f>
        <x:v>0</x:v>
      </x:c>
      <x:c r="J80" s="169" t="n">
        <x:f>IF(J$4&gt;=$E79,MIN($C79/$D79,J79),0)</x:f>
        <x:v>0</x:v>
      </x:c>
      <x:c r="K80" s="169" t="n">
        <x:f>IF(K$4&gt;=$E79,MIN($C79/$D79,K79),0)</x:f>
        <x:v>0</x:v>
      </x:c>
      <x:c r="L80" s="169" t="n">
        <x:f>IF(L$4&gt;=$E79,MIN($C79/$D79,L79),0)</x:f>
        <x:v>0</x:v>
      </x:c>
      <x:c r="M80" s="169" t="n">
        <x:f>IF(M$4&gt;=$E79,MIN($C79/$D79,M79),0)</x:f>
        <x:v>0</x:v>
      </x:c>
      <x:c r="N80" s="169" t="n">
        <x:f>IF(N$4&gt;=$E79,MIN($C79/$D79,N79),0)</x:f>
        <x:v>0</x:v>
      </x:c>
      <x:c r="O80" s="169" t="n">
        <x:f>IF(O$4&gt;=$E79,MIN($C79/$D79,O79),0)</x:f>
        <x:v>0</x:v>
      </x:c>
      <x:c r="P80" s="169" t="n">
        <x:f>IF(P$4&gt;=$E79,MIN($C79/$D79,P79),0)</x:f>
        <x:v>0</x:v>
      </x:c>
      <x:c r="Q80" s="169" t="n">
        <x:f>IF(Q$4&gt;=$E79,MIN($C79/$D79,Q79),0)</x:f>
        <x:v>0</x:v>
      </x:c>
      <x:c r="R80" s="169" t="n">
        <x:f>IF(R$4&gt;=$E79,MIN($C79/$D79,R79),0)</x:f>
        <x:v>0</x:v>
      </x:c>
      <x:c r="S80" s="169" t="n">
        <x:f>IF(S$4&gt;=$E79,MIN($C79/$D79,S79),0)</x:f>
        <x:v>0</x:v>
      </x:c>
      <x:c r="T80" s="169" t="n">
        <x:f>IF(T$4&gt;=$E79,MIN($C79/$D79,T79),0)</x:f>
        <x:v>0</x:v>
      </x:c>
      <x:c r="U80" s="169" t="n">
        <x:f>IF(U$4&gt;=$E79,MIN($C79/$D79,U79),0)</x:f>
        <x:v>0</x:v>
      </x:c>
      <x:c r="V80" s="169" t="n">
        <x:f>IF(V$4&gt;=$E79,MIN($C79/$D79,V79),0)</x:f>
        <x:v>0</x:v>
      </x:c>
      <x:c r="W80" s="169" t="n">
        <x:f>IF(W$4&gt;=$E79,MIN($C79/$D79,W79),0)</x:f>
        <x:v>289540.625427763</x:v>
      </x:c>
      <x:c r="X80" s="169" t="n">
        <x:f>IF(X$4&gt;=$E79,MIN($C79/$D79,X79),0)</x:f>
        <x:v>289540.625427763</x:v>
      </x:c>
      <x:c r="Y80" s="169" t="n">
        <x:f>IF(Y$4&gt;=$E79,MIN($C79/$D79,Y79),0)</x:f>
        <x:v>289540.625427763</x:v>
      </x:c>
      <x:c r="Z80" s="169" t="n">
        <x:f>IF(Z$4&gt;=$E79,MIN($C79/$D79,Z79),0)</x:f>
        <x:v>289540.625427763</x:v>
      </x:c>
      <x:c r="AA80" s="169" t="n">
        <x:f>IF(AA$4&gt;=$E79,MIN($C79/$D79,AA79),0)</x:f>
        <x:v>289540.6254277629</x:v>
      </x:c>
      <x:c r="AB80" s="169" t="n">
        <x:f>IF(AB$4&gt;=$E79,MIN($C79/$D79,AB79),0)</x:f>
        <x:v>0</x:v>
      </x:c>
      <x:c r="AC80" s="169" t="n">
        <x:f>IF(AC$4&gt;=$E79,MIN($C79/$D79,AC79),0)</x:f>
        <x:v>0</x:v>
      </x:c>
    </x:row>
    <x:row r="81" ht="20" customHeight="1">
      <x:c r="A81" s="170" t="str">
        <x:v>Chips</x:v>
      </x:c>
      <x:c r="B81" s="214" t="n">
        <x:v>2037</x:v>
      </x:c>
      <x:c r="C81" s="170" t="n">
        <x:f>'ROIC Cloud'!R$15*'ROIC Cloud'!$D$45</x:f>
        <x:v>1447703.127138815</x:v>
      </x:c>
      <x:c r="D81" s="214" t="n">
        <x:f>'ROIC Cloud'!$D$41</x:f>
        <x:v>5</x:v>
      </x:c>
      <x:c r="E81" s="214" t="n">
        <x:f>B81+'ROIC Cloud'!$D$40</x:f>
        <x:v>2039</x:v>
      </x:c>
      <x:c r="F81" s="170" t="str">
        <x:v>Closing NBV</x:v>
      </x:c>
      <x:c r="G81" s="169" t="n">
        <x:f>MAX(0,G79-G80)</x:f>
        <x:v>0</x:v>
      </x:c>
      <x:c r="H81" s="169" t="n">
        <x:f>MAX(0,H79-H80)</x:f>
        <x:v>0</x:v>
      </x:c>
      <x:c r="I81" s="169" t="n">
        <x:f>MAX(0,I79-I80)</x:f>
        <x:v>0</x:v>
      </x:c>
      <x:c r="J81" s="169" t="n">
        <x:f>MAX(0,J79-J80)</x:f>
        <x:v>0</x:v>
      </x:c>
      <x:c r="K81" s="169" t="n">
        <x:f>MAX(0,K79-K80)</x:f>
        <x:v>0</x:v>
      </x:c>
      <x:c r="L81" s="169" t="n">
        <x:f>MAX(0,L79-L80)</x:f>
        <x:v>0</x:v>
      </x:c>
      <x:c r="M81" s="169" t="n">
        <x:f>MAX(0,M79-M80)</x:f>
        <x:v>0</x:v>
      </x:c>
      <x:c r="N81" s="169" t="n">
        <x:f>MAX(0,N79-N80)</x:f>
        <x:v>0</x:v>
      </x:c>
      <x:c r="O81" s="169" t="n">
        <x:f>MAX(0,O79-O80)</x:f>
        <x:v>0</x:v>
      </x:c>
      <x:c r="P81" s="169" t="n">
        <x:f>MAX(0,P79-P80)</x:f>
        <x:v>0</x:v>
      </x:c>
      <x:c r="Q81" s="169" t="n">
        <x:f>MAX(0,Q79-Q80)</x:f>
        <x:v>0</x:v>
      </x:c>
      <x:c r="R81" s="169" t="n">
        <x:f>MAX(0,R79-R80)</x:f>
        <x:v>0</x:v>
      </x:c>
      <x:c r="S81" s="169" t="n">
        <x:f>MAX(0,S79-S80)</x:f>
        <x:v>0</x:v>
      </x:c>
      <x:c r="T81" s="169" t="n">
        <x:f>MAX(0,T79-T80)</x:f>
        <x:v>0</x:v>
      </x:c>
      <x:c r="U81" s="169" t="n">
        <x:f>MAX(0,U79-U80)</x:f>
        <x:v>0</x:v>
      </x:c>
      <x:c r="V81" s="169" t="n">
        <x:f>MAX(0,V79-V80)</x:f>
        <x:v>0</x:v>
      </x:c>
      <x:c r="W81" s="169" t="n">
        <x:f>MAX(0,W79-W80)</x:f>
        <x:v>1158162.501711052</x:v>
      </x:c>
      <x:c r="X81" s="169" t="n">
        <x:f>MAX(0,X79-X80)</x:f>
        <x:v>868621.8762832889</x:v>
      </x:c>
      <x:c r="Y81" s="169" t="n">
        <x:f>MAX(0,Y79-Y80)</x:f>
        <x:v>579081.250855526</x:v>
      </x:c>
      <x:c r="Z81" s="169" t="n">
        <x:f>MAX(0,Z79-Z80)</x:f>
        <x:v>289540.625427763</x:v>
      </x:c>
      <x:c r="AA81" s="169" t="n">
        <x:f>MAX(0,AA79-AA80)</x:f>
        <x:v>0</x:v>
      </x:c>
      <x:c r="AB81" s="169" t="n">
        <x:f>MAX(0,AB79-AB80)</x:f>
        <x:v>0</x:v>
      </x:c>
      <x:c r="AC81" s="169" t="n">
        <x:f>MAX(0,AC79-AC80)</x:f>
        <x:v>0</x:v>
      </x:c>
    </x:row>
    <x:row r="82" ht="20" customHeight="1">
      <x:c r="A82" s="170" t="str">
        <x:v>Chips</x:v>
      </x:c>
      <x:c r="B82" s="214" t="n">
        <x:v>2037</x:v>
      </x:c>
      <x:c r="C82" s="170" t="n">
        <x:f>'ROIC Cloud'!R$15*'ROIC Cloud'!$D$45</x:f>
        <x:v>1447703.127138815</x:v>
      </x:c>
      <x:c r="D82" s="214" t="n">
        <x:f>'ROIC Cloud'!$D$41</x:f>
        <x:v>5</x:v>
      </x:c>
      <x:c r="E82" s="214" t="n">
        <x:f>B82+'ROIC Cloud'!$D$40</x:f>
        <x:v>2039</x:v>
      </x:c>
      <x:c r="F82" s="170" t="str">
        <x:v>Average NBV</x:v>
      </x:c>
      <x:c r="G82" s="169" t="n">
        <x:f>(G79+G81)/2</x:f>
        <x:v>0</x:v>
      </x:c>
      <x:c r="H82" s="169" t="n">
        <x:f>(H79+H81)/2</x:f>
        <x:v>0</x:v>
      </x:c>
      <x:c r="I82" s="169" t="n">
        <x:f>(I79+I81)/2</x:f>
        <x:v>0</x:v>
      </x:c>
      <x:c r="J82" s="169" t="n">
        <x:f>(J79+J81)/2</x:f>
        <x:v>0</x:v>
      </x:c>
      <x:c r="K82" s="169" t="n">
        <x:f>(K79+K81)/2</x:f>
        <x:v>0</x:v>
      </x:c>
      <x:c r="L82" s="169" t="n">
        <x:f>(L79+L81)/2</x:f>
        <x:v>0</x:v>
      </x:c>
      <x:c r="M82" s="169" t="n">
        <x:f>(M79+M81)/2</x:f>
        <x:v>0</x:v>
      </x:c>
      <x:c r="N82" s="169" t="n">
        <x:f>(N79+N81)/2</x:f>
        <x:v>0</x:v>
      </x:c>
      <x:c r="O82" s="169" t="n">
        <x:f>(O79+O81)/2</x:f>
        <x:v>0</x:v>
      </x:c>
      <x:c r="P82" s="169" t="n">
        <x:f>(P79+P81)/2</x:f>
        <x:v>0</x:v>
      </x:c>
      <x:c r="Q82" s="169" t="n">
        <x:f>(Q79+Q81)/2</x:f>
        <x:v>0</x:v>
      </x:c>
      <x:c r="R82" s="169" t="n">
        <x:f>(R79+R81)/2</x:f>
        <x:v>0</x:v>
      </x:c>
      <x:c r="S82" s="169" t="n">
        <x:f>(S79+S81)/2</x:f>
        <x:v>0</x:v>
      </x:c>
      <x:c r="T82" s="169" t="n">
        <x:f>(T79+T81)/2</x:f>
        <x:v>0</x:v>
      </x:c>
      <x:c r="U82" s="169" t="n">
        <x:f>(U79+U81)/2</x:f>
        <x:v>0</x:v>
      </x:c>
      <x:c r="V82" s="169" t="n">
        <x:f>(V79+V81)/2</x:f>
        <x:v>0</x:v>
      </x:c>
      <x:c r="W82" s="169" t="n">
        <x:f>(W79+W81)/2</x:f>
        <x:v>1302932.8144249334</x:v>
      </x:c>
      <x:c r="X82" s="169" t="n">
        <x:f>(X79+X81)/2</x:f>
        <x:v>1013392.1889971704</x:v>
      </x:c>
      <x:c r="Y82" s="169" t="n">
        <x:f>(Y79+Y81)/2</x:f>
        <x:v>723851.5635694074</x:v>
      </x:c>
      <x:c r="Z82" s="169" t="n">
        <x:f>(Z79+Z81)/2</x:f>
        <x:v>434310.93814164447</x:v>
      </x:c>
      <x:c r="AA82" s="169" t="n">
        <x:f>(AA79+AA81)/2</x:f>
        <x:v>144770.31271388146</x:v>
      </x:c>
      <x:c r="AB82" s="169" t="n">
        <x:f>(AB79+AB81)/2</x:f>
        <x:v>0</x:v>
      </x:c>
      <x:c r="AC82" s="169" t="n">
        <x:f>(AC79+AC81)/2</x:f>
        <x:v>0</x:v>
      </x:c>
    </x:row>
    <x:row r="83" ht="20" customHeight="1">
      <x:c r="A83" s="170" t="str">
        <x:v>Chips</x:v>
      </x:c>
      <x:c r="B83" s="214" t="n">
        <x:v>2038</x:v>
      </x:c>
      <x:c r="C83" s="170" t="n">
        <x:f>'ROIC Cloud'!S$15*'ROIC Cloud'!$D$45</x:f>
        <x:v>1563519.3773099203</x:v>
      </x:c>
      <x:c r="D83" s="214" t="n">
        <x:f>'ROIC Cloud'!$D$41</x:f>
        <x:v>5</x:v>
      </x:c>
      <x:c r="E83" s="214" t="n">
        <x:f>B83+'ROIC Cloud'!$D$40</x:f>
        <x:v>2040</x:v>
      </x:c>
      <x:c r="F83" s="170" t="str">
        <x:v>Opening NBV</x:v>
      </x:c>
      <x:c r="G83" s="169" t="n">
        <x:f>IF(G$4&gt;=$E83,$C83*MAX(0,1-(G$4-$E83)/$D83),0)</x:f>
        <x:v>0</x:v>
      </x:c>
      <x:c r="H83" s="169" t="n">
        <x:f>IF(H$4&gt;=$E83,$C83*MAX(0,1-(H$4-$E83)/$D83),0)</x:f>
        <x:v>0</x:v>
      </x:c>
      <x:c r="I83" s="169" t="n">
        <x:f>IF(I$4&gt;=$E83,$C83*MAX(0,1-(I$4-$E83)/$D83),0)</x:f>
        <x:v>0</x:v>
      </x:c>
      <x:c r="J83" s="169" t="n">
        <x:f>IF(J$4&gt;=$E83,$C83*MAX(0,1-(J$4-$E83)/$D83),0)</x:f>
        <x:v>0</x:v>
      </x:c>
      <x:c r="K83" s="169" t="n">
        <x:f>IF(K$4&gt;=$E83,$C83*MAX(0,1-(K$4-$E83)/$D83),0)</x:f>
        <x:v>0</x:v>
      </x:c>
      <x:c r="L83" s="169" t="n">
        <x:f>IF(L$4&gt;=$E83,$C83*MAX(0,1-(L$4-$E83)/$D83),0)</x:f>
        <x:v>0</x:v>
      </x:c>
      <x:c r="M83" s="169" t="n">
        <x:f>IF(M$4&gt;=$E83,$C83*MAX(0,1-(M$4-$E83)/$D83),0)</x:f>
        <x:v>0</x:v>
      </x:c>
      <x:c r="N83" s="169" t="n">
        <x:f>IF(N$4&gt;=$E83,$C83*MAX(0,1-(N$4-$E83)/$D83),0)</x:f>
        <x:v>0</x:v>
      </x:c>
      <x:c r="O83" s="169" t="n">
        <x:f>IF(O$4&gt;=$E83,$C83*MAX(0,1-(O$4-$E83)/$D83),0)</x:f>
        <x:v>0</x:v>
      </x:c>
      <x:c r="P83" s="169" t="n">
        <x:f>IF(P$4&gt;=$E83,$C83*MAX(0,1-(P$4-$E83)/$D83),0)</x:f>
        <x:v>0</x:v>
      </x:c>
      <x:c r="Q83" s="169" t="n">
        <x:f>IF(Q$4&gt;=$E83,$C83*MAX(0,1-(Q$4-$E83)/$D83),0)</x:f>
        <x:v>0</x:v>
      </x:c>
      <x:c r="R83" s="169" t="n">
        <x:f>IF(R$4&gt;=$E83,$C83*MAX(0,1-(R$4-$E83)/$D83),0)</x:f>
        <x:v>0</x:v>
      </x:c>
      <x:c r="S83" s="169" t="n">
        <x:f>IF(S$4&gt;=$E83,$C83*MAX(0,1-(S$4-$E83)/$D83),0)</x:f>
        <x:v>0</x:v>
      </x:c>
      <x:c r="T83" s="169" t="n">
        <x:f>IF(T$4&gt;=$E83,$C83*MAX(0,1-(T$4-$E83)/$D83),0)</x:f>
        <x:v>0</x:v>
      </x:c>
      <x:c r="U83" s="169" t="n">
        <x:f>IF(U$4&gt;=$E83,$C83*MAX(0,1-(U$4-$E83)/$D83),0)</x:f>
        <x:v>0</x:v>
      </x:c>
      <x:c r="V83" s="169" t="n">
        <x:f>IF(V$4&gt;=$E83,$C83*MAX(0,1-(V$4-$E83)/$D83),0)</x:f>
        <x:v>0</x:v>
      </x:c>
      <x:c r="W83" s="169" t="n">
        <x:f>IF(W$4&gt;=$E83,$C83*MAX(0,1-(W$4-$E83)/$D83),0)</x:f>
        <x:v>0</x:v>
      </x:c>
      <x:c r="X83" s="169" t="n">
        <x:f>IF(X$4&gt;=$E83,$C83*MAX(0,1-(X$4-$E83)/$D83),0)</x:f>
        <x:v>1563519.3773099203</x:v>
      </x:c>
      <x:c r="Y83" s="169" t="n">
        <x:f>IF(Y$4&gt;=$E83,$C83*MAX(0,1-(Y$4-$E83)/$D83),0)</x:f>
        <x:v>1250815.5018479363</x:v>
      </x:c>
      <x:c r="Z83" s="169" t="n">
        <x:f>IF(Z$4&gt;=$E83,$C83*MAX(0,1-(Z$4-$E83)/$D83),0)</x:f>
        <x:v>938111.6263859521</x:v>
      </x:c>
      <x:c r="AA83" s="169" t="n">
        <x:f>IF(AA$4&gt;=$E83,$C83*MAX(0,1-(AA$4-$E83)/$D83),0)</x:f>
        <x:v>625407.7509239682</x:v>
      </x:c>
      <x:c r="AB83" s="169" t="n">
        <x:f>IF(AB$4&gt;=$E83,$C83*MAX(0,1-(AB$4-$E83)/$D83),0)</x:f>
        <x:v>312703.87546198396</x:v>
      </x:c>
      <x:c r="AC83" s="169" t="n">
        <x:f>IF(AC$4&gt;=$E83,$C83*MAX(0,1-(AC$4-$E83)/$D83),0)</x:f>
        <x:v>0</x:v>
      </x:c>
    </x:row>
    <x:row r="84" ht="20" customHeight="1">
      <x:c r="A84" s="170" t="str">
        <x:v>Chips</x:v>
      </x:c>
      <x:c r="B84" s="214" t="n">
        <x:v>2038</x:v>
      </x:c>
      <x:c r="C84" s="170" t="n">
        <x:f>'ROIC Cloud'!S$15*'ROIC Cloud'!$D$45</x:f>
        <x:v>1563519.3773099203</x:v>
      </x:c>
      <x:c r="D84" s="214" t="n">
        <x:f>'ROIC Cloud'!$D$41</x:f>
        <x:v>5</x:v>
      </x:c>
      <x:c r="E84" s="214" t="n">
        <x:f>B84+'ROIC Cloud'!$D$40</x:f>
        <x:v>2040</x:v>
      </x:c>
      <x:c r="F84" s="170" t="str">
        <x:v>Depreciation</x:v>
      </x:c>
      <x:c r="G84" s="169" t="n">
        <x:f>IF(G$4&gt;=$E83,MIN($C83/$D83,G83),0)</x:f>
        <x:v>0</x:v>
      </x:c>
      <x:c r="H84" s="169" t="n">
        <x:f>IF(H$4&gt;=$E83,MIN($C83/$D83,H83),0)</x:f>
        <x:v>0</x:v>
      </x:c>
      <x:c r="I84" s="169" t="n">
        <x:f>IF(I$4&gt;=$E83,MIN($C83/$D83,I83),0)</x:f>
        <x:v>0</x:v>
      </x:c>
      <x:c r="J84" s="169" t="n">
        <x:f>IF(J$4&gt;=$E83,MIN($C83/$D83,J83),0)</x:f>
        <x:v>0</x:v>
      </x:c>
      <x:c r="K84" s="169" t="n">
        <x:f>IF(K$4&gt;=$E83,MIN($C83/$D83,K83),0)</x:f>
        <x:v>0</x:v>
      </x:c>
      <x:c r="L84" s="169" t="n">
        <x:f>IF(L$4&gt;=$E83,MIN($C83/$D83,L83),0)</x:f>
        <x:v>0</x:v>
      </x:c>
      <x:c r="M84" s="169" t="n">
        <x:f>IF(M$4&gt;=$E83,MIN($C83/$D83,M83),0)</x:f>
        <x:v>0</x:v>
      </x:c>
      <x:c r="N84" s="169" t="n">
        <x:f>IF(N$4&gt;=$E83,MIN($C83/$D83,N83),0)</x:f>
        <x:v>0</x:v>
      </x:c>
      <x:c r="O84" s="169" t="n">
        <x:f>IF(O$4&gt;=$E83,MIN($C83/$D83,O83),0)</x:f>
        <x:v>0</x:v>
      </x:c>
      <x:c r="P84" s="169" t="n">
        <x:f>IF(P$4&gt;=$E83,MIN($C83/$D83,P83),0)</x:f>
        <x:v>0</x:v>
      </x:c>
      <x:c r="Q84" s="169" t="n">
        <x:f>IF(Q$4&gt;=$E83,MIN($C83/$D83,Q83),0)</x:f>
        <x:v>0</x:v>
      </x:c>
      <x:c r="R84" s="169" t="n">
        <x:f>IF(R$4&gt;=$E83,MIN($C83/$D83,R83),0)</x:f>
        <x:v>0</x:v>
      </x:c>
      <x:c r="S84" s="169" t="n">
        <x:f>IF(S$4&gt;=$E83,MIN($C83/$D83,S83),0)</x:f>
        <x:v>0</x:v>
      </x:c>
      <x:c r="T84" s="169" t="n">
        <x:f>IF(T$4&gt;=$E83,MIN($C83/$D83,T83),0)</x:f>
        <x:v>0</x:v>
      </x:c>
      <x:c r="U84" s="169" t="n">
        <x:f>IF(U$4&gt;=$E83,MIN($C83/$D83,U83),0)</x:f>
        <x:v>0</x:v>
      </x:c>
      <x:c r="V84" s="169" t="n">
        <x:f>IF(V$4&gt;=$E83,MIN($C83/$D83,V83),0)</x:f>
        <x:v>0</x:v>
      </x:c>
      <x:c r="W84" s="169" t="n">
        <x:f>IF(W$4&gt;=$E83,MIN($C83/$D83,W83),0)</x:f>
        <x:v>0</x:v>
      </x:c>
      <x:c r="X84" s="169" t="n">
        <x:f>IF(X$4&gt;=$E83,MIN($C83/$D83,X83),0)</x:f>
        <x:v>312703.8754619841</x:v>
      </x:c>
      <x:c r="Y84" s="169" t="n">
        <x:f>IF(Y$4&gt;=$E83,MIN($C83/$D83,Y83),0)</x:f>
        <x:v>312703.8754619841</x:v>
      </x:c>
      <x:c r="Z84" s="169" t="n">
        <x:f>IF(Z$4&gt;=$E83,MIN($C83/$D83,Z83),0)</x:f>
        <x:v>312703.8754619841</x:v>
      </x:c>
      <x:c r="AA84" s="169" t="n">
        <x:f>IF(AA$4&gt;=$E83,MIN($C83/$D83,AA83),0)</x:f>
        <x:v>312703.8754619841</x:v>
      </x:c>
      <x:c r="AB84" s="169" t="n">
        <x:f>IF(AB$4&gt;=$E83,MIN($C83/$D83,AB83),0)</x:f>
        <x:v>312703.87546198396</x:v>
      </x:c>
      <x:c r="AC84" s="169" t="n">
        <x:f>IF(AC$4&gt;=$E83,MIN($C83/$D83,AC83),0)</x:f>
        <x:v>0</x:v>
      </x:c>
    </x:row>
    <x:row r="85" ht="20" customHeight="1">
      <x:c r="A85" s="170" t="str">
        <x:v>Chips</x:v>
      </x:c>
      <x:c r="B85" s="214" t="n">
        <x:v>2038</x:v>
      </x:c>
      <x:c r="C85" s="170" t="n">
        <x:f>'ROIC Cloud'!S$15*'ROIC Cloud'!$D$45</x:f>
        <x:v>1563519.3773099203</x:v>
      </x:c>
      <x:c r="D85" s="214" t="n">
        <x:f>'ROIC Cloud'!$D$41</x:f>
        <x:v>5</x:v>
      </x:c>
      <x:c r="E85" s="214" t="n">
        <x:f>B85+'ROIC Cloud'!$D$40</x:f>
        <x:v>2040</x:v>
      </x:c>
      <x:c r="F85" s="170" t="str">
        <x:v>Closing NBV</x:v>
      </x:c>
      <x:c r="G85" s="169" t="n">
        <x:f>MAX(0,G83-G84)</x:f>
        <x:v>0</x:v>
      </x:c>
      <x:c r="H85" s="169" t="n">
        <x:f>MAX(0,H83-H84)</x:f>
        <x:v>0</x:v>
      </x:c>
      <x:c r="I85" s="169" t="n">
        <x:f>MAX(0,I83-I84)</x:f>
        <x:v>0</x:v>
      </x:c>
      <x:c r="J85" s="169" t="n">
        <x:f>MAX(0,J83-J84)</x:f>
        <x:v>0</x:v>
      </x:c>
      <x:c r="K85" s="169" t="n">
        <x:f>MAX(0,K83-K84)</x:f>
        <x:v>0</x:v>
      </x:c>
      <x:c r="L85" s="169" t="n">
        <x:f>MAX(0,L83-L84)</x:f>
        <x:v>0</x:v>
      </x:c>
      <x:c r="M85" s="169" t="n">
        <x:f>MAX(0,M83-M84)</x:f>
        <x:v>0</x:v>
      </x:c>
      <x:c r="N85" s="169" t="n">
        <x:f>MAX(0,N83-N84)</x:f>
        <x:v>0</x:v>
      </x:c>
      <x:c r="O85" s="169" t="n">
        <x:f>MAX(0,O83-O84)</x:f>
        <x:v>0</x:v>
      </x:c>
      <x:c r="P85" s="169" t="n">
        <x:f>MAX(0,P83-P84)</x:f>
        <x:v>0</x:v>
      </x:c>
      <x:c r="Q85" s="169" t="n">
        <x:f>MAX(0,Q83-Q84)</x:f>
        <x:v>0</x:v>
      </x:c>
      <x:c r="R85" s="169" t="n">
        <x:f>MAX(0,R83-R84)</x:f>
        <x:v>0</x:v>
      </x:c>
      <x:c r="S85" s="169" t="n">
        <x:f>MAX(0,S83-S84)</x:f>
        <x:v>0</x:v>
      </x:c>
      <x:c r="T85" s="169" t="n">
        <x:f>MAX(0,T83-T84)</x:f>
        <x:v>0</x:v>
      </x:c>
      <x:c r="U85" s="169" t="n">
        <x:f>MAX(0,U83-U84)</x:f>
        <x:v>0</x:v>
      </x:c>
      <x:c r="V85" s="169" t="n">
        <x:f>MAX(0,V83-V84)</x:f>
        <x:v>0</x:v>
      </x:c>
      <x:c r="W85" s="169" t="n">
        <x:f>MAX(0,W83-W84)</x:f>
        <x:v>0</x:v>
      </x:c>
      <x:c r="X85" s="169" t="n">
        <x:f>MAX(0,X83-X84)</x:f>
        <x:v>1250815.5018479363</x:v>
      </x:c>
      <x:c r="Y85" s="169" t="n">
        <x:f>MAX(0,Y83-Y84)</x:f>
        <x:v>938111.6263859522</x:v>
      </x:c>
      <x:c r="Z85" s="169" t="n">
        <x:f>MAX(0,Z83-Z84)</x:f>
        <x:v>625407.750923968</x:v>
      </x:c>
      <x:c r="AA85" s="169" t="n">
        <x:f>MAX(0,AA83-AA84)</x:f>
        <x:v>312703.8754619841</x:v>
      </x:c>
      <x:c r="AB85" s="169" t="n">
        <x:f>MAX(0,AB83-AB84)</x:f>
        <x:v>0</x:v>
      </x:c>
      <x:c r="AC85" s="169" t="n">
        <x:f>MAX(0,AC83-AC84)</x:f>
        <x:v>0</x:v>
      </x:c>
    </x:row>
    <x:row r="86" ht="20" customHeight="1">
      <x:c r="A86" s="170" t="str">
        <x:v>Chips</x:v>
      </x:c>
      <x:c r="B86" s="214" t="n">
        <x:v>2038</x:v>
      </x:c>
      <x:c r="C86" s="170" t="n">
        <x:f>'ROIC Cloud'!S$15*'ROIC Cloud'!$D$45</x:f>
        <x:v>1563519.3773099203</x:v>
      </x:c>
      <x:c r="D86" s="214" t="n">
        <x:f>'ROIC Cloud'!$D$41</x:f>
        <x:v>5</x:v>
      </x:c>
      <x:c r="E86" s="214" t="n">
        <x:f>B86+'ROIC Cloud'!$D$40</x:f>
        <x:v>2040</x:v>
      </x:c>
      <x:c r="F86" s="170" t="str">
        <x:v>Average NBV</x:v>
      </x:c>
      <x:c r="G86" s="169" t="n">
        <x:f>(G83+G85)/2</x:f>
        <x:v>0</x:v>
      </x:c>
      <x:c r="H86" s="169" t="n">
        <x:f>(H83+H85)/2</x:f>
        <x:v>0</x:v>
      </x:c>
      <x:c r="I86" s="169" t="n">
        <x:f>(I83+I85)/2</x:f>
        <x:v>0</x:v>
      </x:c>
      <x:c r="J86" s="169" t="n">
        <x:f>(J83+J85)/2</x:f>
        <x:v>0</x:v>
      </x:c>
      <x:c r="K86" s="169" t="n">
        <x:f>(K83+K85)/2</x:f>
        <x:v>0</x:v>
      </x:c>
      <x:c r="L86" s="169" t="n">
        <x:f>(L83+L85)/2</x:f>
        <x:v>0</x:v>
      </x:c>
      <x:c r="M86" s="169" t="n">
        <x:f>(M83+M85)/2</x:f>
        <x:v>0</x:v>
      </x:c>
      <x:c r="N86" s="169" t="n">
        <x:f>(N83+N85)/2</x:f>
        <x:v>0</x:v>
      </x:c>
      <x:c r="O86" s="169" t="n">
        <x:f>(O83+O85)/2</x:f>
        <x:v>0</x:v>
      </x:c>
      <x:c r="P86" s="169" t="n">
        <x:f>(P83+P85)/2</x:f>
        <x:v>0</x:v>
      </x:c>
      <x:c r="Q86" s="169" t="n">
        <x:f>(Q83+Q85)/2</x:f>
        <x:v>0</x:v>
      </x:c>
      <x:c r="R86" s="169" t="n">
        <x:f>(R83+R85)/2</x:f>
        <x:v>0</x:v>
      </x:c>
      <x:c r="S86" s="169" t="n">
        <x:f>(S83+S85)/2</x:f>
        <x:v>0</x:v>
      </x:c>
      <x:c r="T86" s="169" t="n">
        <x:f>(T83+T85)/2</x:f>
        <x:v>0</x:v>
      </x:c>
      <x:c r="U86" s="169" t="n">
        <x:f>(U83+U85)/2</x:f>
        <x:v>0</x:v>
      </x:c>
      <x:c r="V86" s="169" t="n">
        <x:f>(V83+V85)/2</x:f>
        <x:v>0</x:v>
      </x:c>
      <x:c r="W86" s="169" t="n">
        <x:f>(W83+W85)/2</x:f>
        <x:v>0</x:v>
      </x:c>
      <x:c r="X86" s="169" t="n">
        <x:f>(X83+X85)/2</x:f>
        <x:v>1407167.4395789283</x:v>
      </x:c>
      <x:c r="Y86" s="169" t="n">
        <x:f>(Y83+Y85)/2</x:f>
        <x:v>1094463.5641169443</x:v>
      </x:c>
      <x:c r="Z86" s="169" t="n">
        <x:f>(Z83+Z85)/2</x:f>
        <x:v>781759.6886549601</x:v>
      </x:c>
      <x:c r="AA86" s="169" t="n">
        <x:f>(AA83+AA85)/2</x:f>
        <x:v>469055.8131929761</x:v>
      </x:c>
      <x:c r="AB86" s="169" t="n">
        <x:f>(AB83+AB85)/2</x:f>
        <x:v>156351.93773099198</x:v>
      </x:c>
      <x:c r="AC86" s="169" t="n">
        <x:f>(AC83+AC85)/2</x:f>
        <x:v>0</x:v>
      </x:c>
    </x:row>
    <x:row r="87" ht="20" customHeight="1">
      <x:c r="A87" s="170" t="str">
        <x:v>Chips</x:v>
      </x:c>
      <x:c r="B87" s="214" t="n">
        <x:v>2039</x:v>
      </x:c>
      <x:c r="C87" s="170" t="n">
        <x:f>'ROIC Cloud'!T$15*'ROIC Cloud'!$D$45</x:f>
        <x:v>1688600.9274947138</x:v>
      </x:c>
      <x:c r="D87" s="214" t="n">
        <x:f>'ROIC Cloud'!$D$41</x:f>
        <x:v>5</x:v>
      </x:c>
      <x:c r="E87" s="214" t="n">
        <x:f>B87+'ROIC Cloud'!$D$40</x:f>
        <x:v>2041</x:v>
      </x:c>
      <x:c r="F87" s="170" t="str">
        <x:v>Opening NBV</x:v>
      </x:c>
      <x:c r="G87" s="169" t="n">
        <x:f>IF(G$4&gt;=$E87,$C87*MAX(0,1-(G$4-$E87)/$D87),0)</x:f>
        <x:v>0</x:v>
      </x:c>
      <x:c r="H87" s="169" t="n">
        <x:f>IF(H$4&gt;=$E87,$C87*MAX(0,1-(H$4-$E87)/$D87),0)</x:f>
        <x:v>0</x:v>
      </x:c>
      <x:c r="I87" s="169" t="n">
        <x:f>IF(I$4&gt;=$E87,$C87*MAX(0,1-(I$4-$E87)/$D87),0)</x:f>
        <x:v>0</x:v>
      </x:c>
      <x:c r="J87" s="169" t="n">
        <x:f>IF(J$4&gt;=$E87,$C87*MAX(0,1-(J$4-$E87)/$D87),0)</x:f>
        <x:v>0</x:v>
      </x:c>
      <x:c r="K87" s="169" t="n">
        <x:f>IF(K$4&gt;=$E87,$C87*MAX(0,1-(K$4-$E87)/$D87),0)</x:f>
        <x:v>0</x:v>
      </x:c>
      <x:c r="L87" s="169" t="n">
        <x:f>IF(L$4&gt;=$E87,$C87*MAX(0,1-(L$4-$E87)/$D87),0)</x:f>
        <x:v>0</x:v>
      </x:c>
      <x:c r="M87" s="169" t="n">
        <x:f>IF(M$4&gt;=$E87,$C87*MAX(0,1-(M$4-$E87)/$D87),0)</x:f>
        <x:v>0</x:v>
      </x:c>
      <x:c r="N87" s="169" t="n">
        <x:f>IF(N$4&gt;=$E87,$C87*MAX(0,1-(N$4-$E87)/$D87),0)</x:f>
        <x:v>0</x:v>
      </x:c>
      <x:c r="O87" s="169" t="n">
        <x:f>IF(O$4&gt;=$E87,$C87*MAX(0,1-(O$4-$E87)/$D87),0)</x:f>
        <x:v>0</x:v>
      </x:c>
      <x:c r="P87" s="169" t="n">
        <x:f>IF(P$4&gt;=$E87,$C87*MAX(0,1-(P$4-$E87)/$D87),0)</x:f>
        <x:v>0</x:v>
      </x:c>
      <x:c r="Q87" s="169" t="n">
        <x:f>IF(Q$4&gt;=$E87,$C87*MAX(0,1-(Q$4-$E87)/$D87),0)</x:f>
        <x:v>0</x:v>
      </x:c>
      <x:c r="R87" s="169" t="n">
        <x:f>IF(R$4&gt;=$E87,$C87*MAX(0,1-(R$4-$E87)/$D87),0)</x:f>
        <x:v>0</x:v>
      </x:c>
      <x:c r="S87" s="169" t="n">
        <x:f>IF(S$4&gt;=$E87,$C87*MAX(0,1-(S$4-$E87)/$D87),0)</x:f>
        <x:v>0</x:v>
      </x:c>
      <x:c r="T87" s="169" t="n">
        <x:f>IF(T$4&gt;=$E87,$C87*MAX(0,1-(T$4-$E87)/$D87),0)</x:f>
        <x:v>0</x:v>
      </x:c>
      <x:c r="U87" s="169" t="n">
        <x:f>IF(U$4&gt;=$E87,$C87*MAX(0,1-(U$4-$E87)/$D87),0)</x:f>
        <x:v>0</x:v>
      </x:c>
      <x:c r="V87" s="169" t="n">
        <x:f>IF(V$4&gt;=$E87,$C87*MAX(0,1-(V$4-$E87)/$D87),0)</x:f>
        <x:v>0</x:v>
      </x:c>
      <x:c r="W87" s="169" t="n">
        <x:f>IF(W$4&gt;=$E87,$C87*MAX(0,1-(W$4-$E87)/$D87),0)</x:f>
        <x:v>0</x:v>
      </x:c>
      <x:c r="X87" s="169" t="n">
        <x:f>IF(X$4&gt;=$E87,$C87*MAX(0,1-(X$4-$E87)/$D87),0)</x:f>
        <x:v>0</x:v>
      </x:c>
      <x:c r="Y87" s="169" t="n">
        <x:f>IF(Y$4&gt;=$E87,$C87*MAX(0,1-(Y$4-$E87)/$D87),0)</x:f>
        <x:v>1688600.9274947138</x:v>
      </x:c>
      <x:c r="Z87" s="169" t="n">
        <x:f>IF(Z$4&gt;=$E87,$C87*MAX(0,1-(Z$4-$E87)/$D87),0)</x:f>
        <x:v>1350880.7419957712</x:v>
      </x:c>
      <x:c r="AA87" s="169" t="n">
        <x:f>IF(AA$4&gt;=$E87,$C87*MAX(0,1-(AA$4-$E87)/$D87),0)</x:f>
        <x:v>1013160.5564968282</x:v>
      </x:c>
      <x:c r="AB87" s="169" t="n">
        <x:f>IF(AB$4&gt;=$E87,$C87*MAX(0,1-(AB$4-$E87)/$D87),0)</x:f>
        <x:v>675440.3709978856</x:v>
      </x:c>
      <x:c r="AC87" s="169" t="n">
        <x:f>IF(AC$4&gt;=$E87,$C87*MAX(0,1-(AC$4-$E87)/$D87),0)</x:f>
        <x:v>337720.1854989427</x:v>
      </x:c>
    </x:row>
    <x:row r="88" ht="20" customHeight="1">
      <x:c r="A88" s="170" t="str">
        <x:v>Chips</x:v>
      </x:c>
      <x:c r="B88" s="214" t="n">
        <x:v>2039</x:v>
      </x:c>
      <x:c r="C88" s="170" t="n">
        <x:f>'ROIC Cloud'!T$15*'ROIC Cloud'!$D$45</x:f>
        <x:v>1688600.9274947138</x:v>
      </x:c>
      <x:c r="D88" s="214" t="n">
        <x:f>'ROIC Cloud'!$D$41</x:f>
        <x:v>5</x:v>
      </x:c>
      <x:c r="E88" s="214" t="n">
        <x:f>B88+'ROIC Cloud'!$D$40</x:f>
        <x:v>2041</x:v>
      </x:c>
      <x:c r="F88" s="170" t="str">
        <x:v>Depreciation</x:v>
      </x:c>
      <x:c r="G88" s="169" t="n">
        <x:f>IF(G$4&gt;=$E87,MIN($C87/$D87,G87),0)</x:f>
        <x:v>0</x:v>
      </x:c>
      <x:c r="H88" s="169" t="n">
        <x:f>IF(H$4&gt;=$E87,MIN($C87/$D87,H87),0)</x:f>
        <x:v>0</x:v>
      </x:c>
      <x:c r="I88" s="169" t="n">
        <x:f>IF(I$4&gt;=$E87,MIN($C87/$D87,I87),0)</x:f>
        <x:v>0</x:v>
      </x:c>
      <x:c r="J88" s="169" t="n">
        <x:f>IF(J$4&gt;=$E87,MIN($C87/$D87,J87),0)</x:f>
        <x:v>0</x:v>
      </x:c>
      <x:c r="K88" s="169" t="n">
        <x:f>IF(K$4&gt;=$E87,MIN($C87/$D87,K87),0)</x:f>
        <x:v>0</x:v>
      </x:c>
      <x:c r="L88" s="169" t="n">
        <x:f>IF(L$4&gt;=$E87,MIN($C87/$D87,L87),0)</x:f>
        <x:v>0</x:v>
      </x:c>
      <x:c r="M88" s="169" t="n">
        <x:f>IF(M$4&gt;=$E87,MIN($C87/$D87,M87),0)</x:f>
        <x:v>0</x:v>
      </x:c>
      <x:c r="N88" s="169" t="n">
        <x:f>IF(N$4&gt;=$E87,MIN($C87/$D87,N87),0)</x:f>
        <x:v>0</x:v>
      </x:c>
      <x:c r="O88" s="169" t="n">
        <x:f>IF(O$4&gt;=$E87,MIN($C87/$D87,O87),0)</x:f>
        <x:v>0</x:v>
      </x:c>
      <x:c r="P88" s="169" t="n">
        <x:f>IF(P$4&gt;=$E87,MIN($C87/$D87,P87),0)</x:f>
        <x:v>0</x:v>
      </x:c>
      <x:c r="Q88" s="169" t="n">
        <x:f>IF(Q$4&gt;=$E87,MIN($C87/$D87,Q87),0)</x:f>
        <x:v>0</x:v>
      </x:c>
      <x:c r="R88" s="169" t="n">
        <x:f>IF(R$4&gt;=$E87,MIN($C87/$D87,R87),0)</x:f>
        <x:v>0</x:v>
      </x:c>
      <x:c r="S88" s="169" t="n">
        <x:f>IF(S$4&gt;=$E87,MIN($C87/$D87,S87),0)</x:f>
        <x:v>0</x:v>
      </x:c>
      <x:c r="T88" s="169" t="n">
        <x:f>IF(T$4&gt;=$E87,MIN($C87/$D87,T87),0)</x:f>
        <x:v>0</x:v>
      </x:c>
      <x:c r="U88" s="169" t="n">
        <x:f>IF(U$4&gt;=$E87,MIN($C87/$D87,U87),0)</x:f>
        <x:v>0</x:v>
      </x:c>
      <x:c r="V88" s="169" t="n">
        <x:f>IF(V$4&gt;=$E87,MIN($C87/$D87,V87),0)</x:f>
        <x:v>0</x:v>
      </x:c>
      <x:c r="W88" s="169" t="n">
        <x:f>IF(W$4&gt;=$E87,MIN($C87/$D87,W87),0)</x:f>
        <x:v>0</x:v>
      </x:c>
      <x:c r="X88" s="169" t="n">
        <x:f>IF(X$4&gt;=$E87,MIN($C87/$D87,X87),0)</x:f>
        <x:v>0</x:v>
      </x:c>
      <x:c r="Y88" s="169" t="n">
        <x:f>IF(Y$4&gt;=$E87,MIN($C87/$D87,Y87),0)</x:f>
        <x:v>337720.18549894274</x:v>
      </x:c>
      <x:c r="Z88" s="169" t="n">
        <x:f>IF(Z$4&gt;=$E87,MIN($C87/$D87,Z87),0)</x:f>
        <x:v>337720.18549894274</x:v>
      </x:c>
      <x:c r="AA88" s="169" t="n">
        <x:f>IF(AA$4&gt;=$E87,MIN($C87/$D87,AA87),0)</x:f>
        <x:v>337720.18549894274</x:v>
      </x:c>
      <x:c r="AB88" s="169" t="n">
        <x:f>IF(AB$4&gt;=$E87,MIN($C87/$D87,AB87),0)</x:f>
        <x:v>337720.18549894274</x:v>
      </x:c>
      <x:c r="AC88" s="169" t="n">
        <x:f>IF(AC$4&gt;=$E87,MIN($C87/$D87,AC87),0)</x:f>
        <x:v>337720.1854989427</x:v>
      </x:c>
    </x:row>
    <x:row r="89" ht="20" customHeight="1">
      <x:c r="A89" s="170" t="str">
        <x:v>Chips</x:v>
      </x:c>
      <x:c r="B89" s="214" t="n">
        <x:v>2039</x:v>
      </x:c>
      <x:c r="C89" s="170" t="n">
        <x:f>'ROIC Cloud'!T$15*'ROIC Cloud'!$D$45</x:f>
        <x:v>1688600.9274947138</x:v>
      </x:c>
      <x:c r="D89" s="214" t="n">
        <x:f>'ROIC Cloud'!$D$41</x:f>
        <x:v>5</x:v>
      </x:c>
      <x:c r="E89" s="214" t="n">
        <x:f>B89+'ROIC Cloud'!$D$40</x:f>
        <x:v>2041</x:v>
      </x:c>
      <x:c r="F89" s="170" t="str">
        <x:v>Closing NBV</x:v>
      </x:c>
      <x:c r="G89" s="169" t="n">
        <x:f>MAX(0,G87-G88)</x:f>
        <x:v>0</x:v>
      </x:c>
      <x:c r="H89" s="169" t="n">
        <x:f>MAX(0,H87-H88)</x:f>
        <x:v>0</x:v>
      </x:c>
      <x:c r="I89" s="169" t="n">
        <x:f>MAX(0,I87-I88)</x:f>
        <x:v>0</x:v>
      </x:c>
      <x:c r="J89" s="169" t="n">
        <x:f>MAX(0,J87-J88)</x:f>
        <x:v>0</x:v>
      </x:c>
      <x:c r="K89" s="169" t="n">
        <x:f>MAX(0,K87-K88)</x:f>
        <x:v>0</x:v>
      </x:c>
      <x:c r="L89" s="169" t="n">
        <x:f>MAX(0,L87-L88)</x:f>
        <x:v>0</x:v>
      </x:c>
      <x:c r="M89" s="169" t="n">
        <x:f>MAX(0,M87-M88)</x:f>
        <x:v>0</x:v>
      </x:c>
      <x:c r="N89" s="169" t="n">
        <x:f>MAX(0,N87-N88)</x:f>
        <x:v>0</x:v>
      </x:c>
      <x:c r="O89" s="169" t="n">
        <x:f>MAX(0,O87-O88)</x:f>
        <x:v>0</x:v>
      </x:c>
      <x:c r="P89" s="169" t="n">
        <x:f>MAX(0,P87-P88)</x:f>
        <x:v>0</x:v>
      </x:c>
      <x:c r="Q89" s="169" t="n">
        <x:f>MAX(0,Q87-Q88)</x:f>
        <x:v>0</x:v>
      </x:c>
      <x:c r="R89" s="169" t="n">
        <x:f>MAX(0,R87-R88)</x:f>
        <x:v>0</x:v>
      </x:c>
      <x:c r="S89" s="169" t="n">
        <x:f>MAX(0,S87-S88)</x:f>
        <x:v>0</x:v>
      </x:c>
      <x:c r="T89" s="169" t="n">
        <x:f>MAX(0,T87-T88)</x:f>
        <x:v>0</x:v>
      </x:c>
      <x:c r="U89" s="169" t="n">
        <x:f>MAX(0,U87-U88)</x:f>
        <x:v>0</x:v>
      </x:c>
      <x:c r="V89" s="169" t="n">
        <x:f>MAX(0,V87-V88)</x:f>
        <x:v>0</x:v>
      </x:c>
      <x:c r="W89" s="169" t="n">
        <x:f>MAX(0,W87-W88)</x:f>
        <x:v>0</x:v>
      </x:c>
      <x:c r="X89" s="169" t="n">
        <x:f>MAX(0,X87-X88)</x:f>
        <x:v>0</x:v>
      </x:c>
      <x:c r="Y89" s="169" t="n">
        <x:f>MAX(0,Y87-Y88)</x:f>
        <x:v>1350880.741995771</x:v>
      </x:c>
      <x:c r="Z89" s="169" t="n">
        <x:f>MAX(0,Z87-Z88)</x:f>
        <x:v>1013160.5564968284</x:v>
      </x:c>
      <x:c r="AA89" s="169" t="n">
        <x:f>MAX(0,AA87-AA88)</x:f>
        <x:v>675440.3709978855</x:v>
      </x:c>
      <x:c r="AB89" s="169" t="n">
        <x:f>MAX(0,AB87-AB88)</x:f>
        <x:v>337720.18549894285</x:v>
      </x:c>
      <x:c r="AC89" s="169" t="n">
        <x:f>MAX(0,AC87-AC88)</x:f>
        <x:v>0</x:v>
      </x:c>
    </x:row>
    <x:row r="90" ht="20" customHeight="1">
      <x:c r="A90" s="170" t="str">
        <x:v>Chips</x:v>
      </x:c>
      <x:c r="B90" s="214" t="n">
        <x:v>2039</x:v>
      </x:c>
      <x:c r="C90" s="170" t="n">
        <x:f>'ROIC Cloud'!T$15*'ROIC Cloud'!$D$45</x:f>
        <x:v>1688600.9274947138</x:v>
      </x:c>
      <x:c r="D90" s="214" t="n">
        <x:f>'ROIC Cloud'!$D$41</x:f>
        <x:v>5</x:v>
      </x:c>
      <x:c r="E90" s="214" t="n">
        <x:f>B90+'ROIC Cloud'!$D$40</x:f>
        <x:v>2041</x:v>
      </x:c>
      <x:c r="F90" s="170" t="str">
        <x:v>Average NBV</x:v>
      </x:c>
      <x:c r="G90" s="169" t="n">
        <x:f>(G87+G89)/2</x:f>
        <x:v>0</x:v>
      </x:c>
      <x:c r="H90" s="169" t="n">
        <x:f>(H87+H89)/2</x:f>
        <x:v>0</x:v>
      </x:c>
      <x:c r="I90" s="169" t="n">
        <x:f>(I87+I89)/2</x:f>
        <x:v>0</x:v>
      </x:c>
      <x:c r="J90" s="169" t="n">
        <x:f>(J87+J89)/2</x:f>
        <x:v>0</x:v>
      </x:c>
      <x:c r="K90" s="169" t="n">
        <x:f>(K87+K89)/2</x:f>
        <x:v>0</x:v>
      </x:c>
      <x:c r="L90" s="169" t="n">
        <x:f>(L87+L89)/2</x:f>
        <x:v>0</x:v>
      </x:c>
      <x:c r="M90" s="169" t="n">
        <x:f>(M87+M89)/2</x:f>
        <x:v>0</x:v>
      </x:c>
      <x:c r="N90" s="169" t="n">
        <x:f>(N87+N89)/2</x:f>
        <x:v>0</x:v>
      </x:c>
      <x:c r="O90" s="169" t="n">
        <x:f>(O87+O89)/2</x:f>
        <x:v>0</x:v>
      </x:c>
      <x:c r="P90" s="169" t="n">
        <x:f>(P87+P89)/2</x:f>
        <x:v>0</x:v>
      </x:c>
      <x:c r="Q90" s="169" t="n">
        <x:f>(Q87+Q89)/2</x:f>
        <x:v>0</x:v>
      </x:c>
      <x:c r="R90" s="169" t="n">
        <x:f>(R87+R89)/2</x:f>
        <x:v>0</x:v>
      </x:c>
      <x:c r="S90" s="169" t="n">
        <x:f>(S87+S89)/2</x:f>
        <x:v>0</x:v>
      </x:c>
      <x:c r="T90" s="169" t="n">
        <x:f>(T87+T89)/2</x:f>
        <x:v>0</x:v>
      </x:c>
      <x:c r="U90" s="169" t="n">
        <x:f>(U87+U89)/2</x:f>
        <x:v>0</x:v>
      </x:c>
      <x:c r="V90" s="169" t="n">
        <x:f>(V87+V89)/2</x:f>
        <x:v>0</x:v>
      </x:c>
      <x:c r="W90" s="169" t="n">
        <x:f>(W87+W89)/2</x:f>
        <x:v>0</x:v>
      </x:c>
      <x:c r="X90" s="169" t="n">
        <x:f>(X87+X89)/2</x:f>
        <x:v>0</x:v>
      </x:c>
      <x:c r="Y90" s="169" t="n">
        <x:f>(Y87+Y89)/2</x:f>
        <x:v>1519740.8347452423</x:v>
      </x:c>
      <x:c r="Z90" s="169" t="n">
        <x:f>(Z87+Z89)/2</x:f>
        <x:v>1182020.6492462999</x:v>
      </x:c>
      <x:c r="AA90" s="169" t="n">
        <x:f>(AA87+AA89)/2</x:f>
        <x:v>844300.4637473568</x:v>
      </x:c>
      <x:c r="AB90" s="169" t="n">
        <x:f>(AB87+AB89)/2</x:f>
        <x:v>506580.2782484142</x:v>
      </x:c>
      <x:c r="AC90" s="169" t="n">
        <x:f>(AC87+AC89)/2</x:f>
        <x:v>168860.09274947134</x:v>
      </x:c>
    </x:row>
    <x:row r="91" ht="20" customHeight="1">
      <x:c r="A91" s="170" t="str">
        <x:v>Chips</x:v>
      </x:c>
      <x:c r="B91" s="214" t="n">
        <x:v>2040</x:v>
      </x:c>
      <x:c r="C91" s="170" t="n">
        <x:f>'ROIC Cloud'!U$15*'ROIC Cloud'!$D$45</x:f>
        <x:v>1823689.0016942914</x:v>
      </x:c>
      <x:c r="D91" s="214" t="n">
        <x:f>'ROIC Cloud'!$D$41</x:f>
        <x:v>5</x:v>
      </x:c>
      <x:c r="E91" s="214" t="n">
        <x:f>B91+'ROIC Cloud'!$D$40</x:f>
        <x:v>2042</x:v>
      </x:c>
      <x:c r="F91" s="170" t="str">
        <x:v>Opening NBV</x:v>
      </x:c>
      <x:c r="G91" s="169" t="n">
        <x:f>IF(G$4&gt;=$E91,$C91*MAX(0,1-(G$4-$E91)/$D91),0)</x:f>
        <x:v>0</x:v>
      </x:c>
      <x:c r="H91" s="169" t="n">
        <x:f>IF(H$4&gt;=$E91,$C91*MAX(0,1-(H$4-$E91)/$D91),0)</x:f>
        <x:v>0</x:v>
      </x:c>
      <x:c r="I91" s="169" t="n">
        <x:f>IF(I$4&gt;=$E91,$C91*MAX(0,1-(I$4-$E91)/$D91),0)</x:f>
        <x:v>0</x:v>
      </x:c>
      <x:c r="J91" s="169" t="n">
        <x:f>IF(J$4&gt;=$E91,$C91*MAX(0,1-(J$4-$E91)/$D91),0)</x:f>
        <x:v>0</x:v>
      </x:c>
      <x:c r="K91" s="169" t="n">
        <x:f>IF(K$4&gt;=$E91,$C91*MAX(0,1-(K$4-$E91)/$D91),0)</x:f>
        <x:v>0</x:v>
      </x:c>
      <x:c r="L91" s="169" t="n">
        <x:f>IF(L$4&gt;=$E91,$C91*MAX(0,1-(L$4-$E91)/$D91),0)</x:f>
        <x:v>0</x:v>
      </x:c>
      <x:c r="M91" s="169" t="n">
        <x:f>IF(M$4&gt;=$E91,$C91*MAX(0,1-(M$4-$E91)/$D91),0)</x:f>
        <x:v>0</x:v>
      </x:c>
      <x:c r="N91" s="169" t="n">
        <x:f>IF(N$4&gt;=$E91,$C91*MAX(0,1-(N$4-$E91)/$D91),0)</x:f>
        <x:v>0</x:v>
      </x:c>
      <x:c r="O91" s="169" t="n">
        <x:f>IF(O$4&gt;=$E91,$C91*MAX(0,1-(O$4-$E91)/$D91),0)</x:f>
        <x:v>0</x:v>
      </x:c>
      <x:c r="P91" s="169" t="n">
        <x:f>IF(P$4&gt;=$E91,$C91*MAX(0,1-(P$4-$E91)/$D91),0)</x:f>
        <x:v>0</x:v>
      </x:c>
      <x:c r="Q91" s="169" t="n">
        <x:f>IF(Q$4&gt;=$E91,$C91*MAX(0,1-(Q$4-$E91)/$D91),0)</x:f>
        <x:v>0</x:v>
      </x:c>
      <x:c r="R91" s="169" t="n">
        <x:f>IF(R$4&gt;=$E91,$C91*MAX(0,1-(R$4-$E91)/$D91),0)</x:f>
        <x:v>0</x:v>
      </x:c>
      <x:c r="S91" s="169" t="n">
        <x:f>IF(S$4&gt;=$E91,$C91*MAX(0,1-(S$4-$E91)/$D91),0)</x:f>
        <x:v>0</x:v>
      </x:c>
      <x:c r="T91" s="169" t="n">
        <x:f>IF(T$4&gt;=$E91,$C91*MAX(0,1-(T$4-$E91)/$D91),0)</x:f>
        <x:v>0</x:v>
      </x:c>
      <x:c r="U91" s="169" t="n">
        <x:f>IF(U$4&gt;=$E91,$C91*MAX(0,1-(U$4-$E91)/$D91),0)</x:f>
        <x:v>0</x:v>
      </x:c>
      <x:c r="V91" s="169" t="n">
        <x:f>IF(V$4&gt;=$E91,$C91*MAX(0,1-(V$4-$E91)/$D91),0)</x:f>
        <x:v>0</x:v>
      </x:c>
      <x:c r="W91" s="169" t="n">
        <x:f>IF(W$4&gt;=$E91,$C91*MAX(0,1-(W$4-$E91)/$D91),0)</x:f>
        <x:v>0</x:v>
      </x:c>
      <x:c r="X91" s="169" t="n">
        <x:f>IF(X$4&gt;=$E91,$C91*MAX(0,1-(X$4-$E91)/$D91),0)</x:f>
        <x:v>0</x:v>
      </x:c>
      <x:c r="Y91" s="169" t="n">
        <x:f>IF(Y$4&gt;=$E91,$C91*MAX(0,1-(Y$4-$E91)/$D91),0)</x:f>
        <x:v>0</x:v>
      </x:c>
      <x:c r="Z91" s="169" t="n">
        <x:f>IF(Z$4&gt;=$E91,$C91*MAX(0,1-(Z$4-$E91)/$D91),0)</x:f>
        <x:v>1823689.0016942914</x:v>
      </x:c>
      <x:c r="AA91" s="169" t="n">
        <x:f>IF(AA$4&gt;=$E91,$C91*MAX(0,1-(AA$4-$E91)/$D91),0)</x:f>
        <x:v>1458951.201355433</x:v>
      </x:c>
      <x:c r="AB91" s="169" t="n">
        <x:f>IF(AB$4&gt;=$E91,$C91*MAX(0,1-(AB$4-$E91)/$D91),0)</x:f>
        <x:v>1094213.4010165748</x:v>
      </x:c>
      <x:c r="AC91" s="169" t="n">
        <x:f>IF(AC$4&gt;=$E91,$C91*MAX(0,1-(AC$4-$E91)/$D91),0)</x:f>
        <x:v>729475.6006777165</x:v>
      </x:c>
    </x:row>
    <x:row r="92" ht="20" customHeight="1">
      <x:c r="A92" s="170" t="str">
        <x:v>Chips</x:v>
      </x:c>
      <x:c r="B92" s="214" t="n">
        <x:v>2040</x:v>
      </x:c>
      <x:c r="C92" s="170" t="n">
        <x:f>'ROIC Cloud'!U$15*'ROIC Cloud'!$D$45</x:f>
        <x:v>1823689.0016942914</x:v>
      </x:c>
      <x:c r="D92" s="214" t="n">
        <x:f>'ROIC Cloud'!$D$41</x:f>
        <x:v>5</x:v>
      </x:c>
      <x:c r="E92" s="214" t="n">
        <x:f>B92+'ROIC Cloud'!$D$40</x:f>
        <x:v>2042</x:v>
      </x:c>
      <x:c r="F92" s="170" t="str">
        <x:v>Depreciation</x:v>
      </x:c>
      <x:c r="G92" s="169" t="n">
        <x:f>IF(G$4&gt;=$E91,MIN($C91/$D91,G91),0)</x:f>
        <x:v>0</x:v>
      </x:c>
      <x:c r="H92" s="169" t="n">
        <x:f>IF(H$4&gt;=$E91,MIN($C91/$D91,H91),0)</x:f>
        <x:v>0</x:v>
      </x:c>
      <x:c r="I92" s="169" t="n">
        <x:f>IF(I$4&gt;=$E91,MIN($C91/$D91,I91),0)</x:f>
        <x:v>0</x:v>
      </x:c>
      <x:c r="J92" s="169" t="n">
        <x:f>IF(J$4&gt;=$E91,MIN($C91/$D91,J91),0)</x:f>
        <x:v>0</x:v>
      </x:c>
      <x:c r="K92" s="169" t="n">
        <x:f>IF(K$4&gt;=$E91,MIN($C91/$D91,K91),0)</x:f>
        <x:v>0</x:v>
      </x:c>
      <x:c r="L92" s="169" t="n">
        <x:f>IF(L$4&gt;=$E91,MIN($C91/$D91,L91),0)</x:f>
        <x:v>0</x:v>
      </x:c>
      <x:c r="M92" s="169" t="n">
        <x:f>IF(M$4&gt;=$E91,MIN($C91/$D91,M91),0)</x:f>
        <x:v>0</x:v>
      </x:c>
      <x:c r="N92" s="169" t="n">
        <x:f>IF(N$4&gt;=$E91,MIN($C91/$D91,N91),0)</x:f>
        <x:v>0</x:v>
      </x:c>
      <x:c r="O92" s="169" t="n">
        <x:f>IF(O$4&gt;=$E91,MIN($C91/$D91,O91),0)</x:f>
        <x:v>0</x:v>
      </x:c>
      <x:c r="P92" s="169" t="n">
        <x:f>IF(P$4&gt;=$E91,MIN($C91/$D91,P91),0)</x:f>
        <x:v>0</x:v>
      </x:c>
      <x:c r="Q92" s="169" t="n">
        <x:f>IF(Q$4&gt;=$E91,MIN($C91/$D91,Q91),0)</x:f>
        <x:v>0</x:v>
      </x:c>
      <x:c r="R92" s="169" t="n">
        <x:f>IF(R$4&gt;=$E91,MIN($C91/$D91,R91),0)</x:f>
        <x:v>0</x:v>
      </x:c>
      <x:c r="S92" s="169" t="n">
        <x:f>IF(S$4&gt;=$E91,MIN($C91/$D91,S91),0)</x:f>
        <x:v>0</x:v>
      </x:c>
      <x:c r="T92" s="169" t="n">
        <x:f>IF(T$4&gt;=$E91,MIN($C91/$D91,T91),0)</x:f>
        <x:v>0</x:v>
      </x:c>
      <x:c r="U92" s="169" t="n">
        <x:f>IF(U$4&gt;=$E91,MIN($C91/$D91,U91),0)</x:f>
        <x:v>0</x:v>
      </x:c>
      <x:c r="V92" s="169" t="n">
        <x:f>IF(V$4&gt;=$E91,MIN($C91/$D91,V91),0)</x:f>
        <x:v>0</x:v>
      </x:c>
      <x:c r="W92" s="169" t="n">
        <x:f>IF(W$4&gt;=$E91,MIN($C91/$D91,W91),0)</x:f>
        <x:v>0</x:v>
      </x:c>
      <x:c r="X92" s="169" t="n">
        <x:f>IF(X$4&gt;=$E91,MIN($C91/$D91,X91),0)</x:f>
        <x:v>0</x:v>
      </x:c>
      <x:c r="Y92" s="169" t="n">
        <x:f>IF(Y$4&gt;=$E91,MIN($C91/$D91,Y91),0)</x:f>
        <x:v>0</x:v>
      </x:c>
      <x:c r="Z92" s="169" t="n">
        <x:f>IF(Z$4&gt;=$E91,MIN($C91/$D91,Z91),0)</x:f>
        <x:v>364737.8003388583</x:v>
      </x:c>
      <x:c r="AA92" s="169" t="n">
        <x:f>IF(AA$4&gt;=$E91,MIN($C91/$D91,AA91),0)</x:f>
        <x:v>364737.8003388583</x:v>
      </x:c>
      <x:c r="AB92" s="169" t="n">
        <x:f>IF(AB$4&gt;=$E91,MIN($C91/$D91,AB91),0)</x:f>
        <x:v>364737.8003388583</x:v>
      </x:c>
      <x:c r="AC92" s="169" t="n">
        <x:f>IF(AC$4&gt;=$E91,MIN($C91/$D91,AC91),0)</x:f>
        <x:v>364737.8003388583</x:v>
      </x:c>
    </x:row>
    <x:row r="93" ht="20" customHeight="1">
      <x:c r="A93" s="170" t="str">
        <x:v>Chips</x:v>
      </x:c>
      <x:c r="B93" s="214" t="n">
        <x:v>2040</x:v>
      </x:c>
      <x:c r="C93" s="170" t="n">
        <x:f>'ROIC Cloud'!U$15*'ROIC Cloud'!$D$45</x:f>
        <x:v>1823689.0016942914</x:v>
      </x:c>
      <x:c r="D93" s="214" t="n">
        <x:f>'ROIC Cloud'!$D$41</x:f>
        <x:v>5</x:v>
      </x:c>
      <x:c r="E93" s="214" t="n">
        <x:f>B93+'ROIC Cloud'!$D$40</x:f>
        <x:v>2042</x:v>
      </x:c>
      <x:c r="F93" s="170" t="str">
        <x:v>Closing NBV</x:v>
      </x:c>
      <x:c r="G93" s="169" t="n">
        <x:f>MAX(0,G91-G92)</x:f>
        <x:v>0</x:v>
      </x:c>
      <x:c r="H93" s="169" t="n">
        <x:f>MAX(0,H91-H92)</x:f>
        <x:v>0</x:v>
      </x:c>
      <x:c r="I93" s="169" t="n">
        <x:f>MAX(0,I91-I92)</x:f>
        <x:v>0</x:v>
      </x:c>
      <x:c r="J93" s="169" t="n">
        <x:f>MAX(0,J91-J92)</x:f>
        <x:v>0</x:v>
      </x:c>
      <x:c r="K93" s="169" t="n">
        <x:f>MAX(0,K91-K92)</x:f>
        <x:v>0</x:v>
      </x:c>
      <x:c r="L93" s="169" t="n">
        <x:f>MAX(0,L91-L92)</x:f>
        <x:v>0</x:v>
      </x:c>
      <x:c r="M93" s="169" t="n">
        <x:f>MAX(0,M91-M92)</x:f>
        <x:v>0</x:v>
      </x:c>
      <x:c r="N93" s="169" t="n">
        <x:f>MAX(0,N91-N92)</x:f>
        <x:v>0</x:v>
      </x:c>
      <x:c r="O93" s="169" t="n">
        <x:f>MAX(0,O91-O92)</x:f>
        <x:v>0</x:v>
      </x:c>
      <x:c r="P93" s="169" t="n">
        <x:f>MAX(0,P91-P92)</x:f>
        <x:v>0</x:v>
      </x:c>
      <x:c r="Q93" s="169" t="n">
        <x:f>MAX(0,Q91-Q92)</x:f>
        <x:v>0</x:v>
      </x:c>
      <x:c r="R93" s="169" t="n">
        <x:f>MAX(0,R91-R92)</x:f>
        <x:v>0</x:v>
      </x:c>
      <x:c r="S93" s="169" t="n">
        <x:f>MAX(0,S91-S92)</x:f>
        <x:v>0</x:v>
      </x:c>
      <x:c r="T93" s="169" t="n">
        <x:f>MAX(0,T91-T92)</x:f>
        <x:v>0</x:v>
      </x:c>
      <x:c r="U93" s="169" t="n">
        <x:f>MAX(0,U91-U92)</x:f>
        <x:v>0</x:v>
      </x:c>
      <x:c r="V93" s="169" t="n">
        <x:f>MAX(0,V91-V92)</x:f>
        <x:v>0</x:v>
      </x:c>
      <x:c r="W93" s="169" t="n">
        <x:f>MAX(0,W91-W92)</x:f>
        <x:v>0</x:v>
      </x:c>
      <x:c r="X93" s="169" t="n">
        <x:f>MAX(0,X91-X92)</x:f>
        <x:v>0</x:v>
      </x:c>
      <x:c r="Y93" s="169" t="n">
        <x:f>MAX(0,Y91-Y92)</x:f>
        <x:v>0</x:v>
      </x:c>
      <x:c r="Z93" s="169" t="n">
        <x:f>MAX(0,Z91-Z92)</x:f>
        <x:v>1458951.201355433</x:v>
      </x:c>
      <x:c r="AA93" s="169" t="n">
        <x:f>MAX(0,AA91-AA92)</x:f>
        <x:v>1094213.4010165748</x:v>
      </x:c>
      <x:c r="AB93" s="169" t="n">
        <x:f>MAX(0,AB91-AB92)</x:f>
        <x:v>729475.6006777165</x:v>
      </x:c>
      <x:c r="AC93" s="169" t="n">
        <x:f>MAX(0,AC91-AC92)</x:f>
        <x:v>364737.8003388583</x:v>
      </x:c>
    </x:row>
    <x:row r="94" ht="20" customHeight="1">
      <x:c r="A94" s="170" t="str">
        <x:v>Chips</x:v>
      </x:c>
      <x:c r="B94" s="214" t="n">
        <x:v>2040</x:v>
      </x:c>
      <x:c r="C94" s="170" t="n">
        <x:f>'ROIC Cloud'!U$15*'ROIC Cloud'!$D$45</x:f>
        <x:v>1823689.0016942914</x:v>
      </x:c>
      <x:c r="D94" s="214" t="n">
        <x:f>'ROIC Cloud'!$D$41</x:f>
        <x:v>5</x:v>
      </x:c>
      <x:c r="E94" s="214" t="n">
        <x:f>B94+'ROIC Cloud'!$D$40</x:f>
        <x:v>2042</x:v>
      </x:c>
      <x:c r="F94" s="170" t="str">
        <x:v>Average NBV</x:v>
      </x:c>
      <x:c r="G94" s="169" t="n">
        <x:f>(G91+G93)/2</x:f>
        <x:v>0</x:v>
      </x:c>
      <x:c r="H94" s="169" t="n">
        <x:f>(H91+H93)/2</x:f>
        <x:v>0</x:v>
      </x:c>
      <x:c r="I94" s="169" t="n">
        <x:f>(I91+I93)/2</x:f>
        <x:v>0</x:v>
      </x:c>
      <x:c r="J94" s="169" t="n">
        <x:f>(J91+J93)/2</x:f>
        <x:v>0</x:v>
      </x:c>
      <x:c r="K94" s="169" t="n">
        <x:f>(K91+K93)/2</x:f>
        <x:v>0</x:v>
      </x:c>
      <x:c r="L94" s="169" t="n">
        <x:f>(L91+L93)/2</x:f>
        <x:v>0</x:v>
      </x:c>
      <x:c r="M94" s="169" t="n">
        <x:f>(M91+M93)/2</x:f>
        <x:v>0</x:v>
      </x:c>
      <x:c r="N94" s="169" t="n">
        <x:f>(N91+N93)/2</x:f>
        <x:v>0</x:v>
      </x:c>
      <x:c r="O94" s="169" t="n">
        <x:f>(O91+O93)/2</x:f>
        <x:v>0</x:v>
      </x:c>
      <x:c r="P94" s="169" t="n">
        <x:f>(P91+P93)/2</x:f>
        <x:v>0</x:v>
      </x:c>
      <x:c r="Q94" s="169" t="n">
        <x:f>(Q91+Q93)/2</x:f>
        <x:v>0</x:v>
      </x:c>
      <x:c r="R94" s="169" t="n">
        <x:f>(R91+R93)/2</x:f>
        <x:v>0</x:v>
      </x:c>
      <x:c r="S94" s="169" t="n">
        <x:f>(S91+S93)/2</x:f>
        <x:v>0</x:v>
      </x:c>
      <x:c r="T94" s="169" t="n">
        <x:f>(T91+T93)/2</x:f>
        <x:v>0</x:v>
      </x:c>
      <x:c r="U94" s="169" t="n">
        <x:f>(U91+U93)/2</x:f>
        <x:v>0</x:v>
      </x:c>
      <x:c r="V94" s="169" t="n">
        <x:f>(V91+V93)/2</x:f>
        <x:v>0</x:v>
      </x:c>
      <x:c r="W94" s="169" t="n">
        <x:f>(W91+W93)/2</x:f>
        <x:v>0</x:v>
      </x:c>
      <x:c r="X94" s="169" t="n">
        <x:f>(X91+X93)/2</x:f>
        <x:v>0</x:v>
      </x:c>
      <x:c r="Y94" s="169" t="n">
        <x:f>(Y91+Y93)/2</x:f>
        <x:v>0</x:v>
      </x:c>
      <x:c r="Z94" s="169" t="n">
        <x:f>(Z91+Z93)/2</x:f>
        <x:v>1641320.1015248622</x:v>
      </x:c>
      <x:c r="AA94" s="169" t="n">
        <x:f>(AA91+AA93)/2</x:f>
        <x:v>1276582.301186004</x:v>
      </x:c>
      <x:c r="AB94" s="169" t="n">
        <x:f>(AB91+AB93)/2</x:f>
        <x:v>911844.5008471457</x:v>
      </x:c>
      <x:c r="AC94" s="169" t="n">
        <x:f>(AC91+AC93)/2</x:f>
        <x:v>547106.7005082874</x:v>
      </x:c>
    </x:row>
    <x:row r="95" ht="20" customHeight="1">
      <x:c r="A95" s="170" t="str">
        <x:v>Chips</x:v>
      </x:c>
      <x:c r="B95" s="214" t="n">
        <x:v>2041</x:v>
      </x:c>
      <x:c r="C95" s="170" t="n">
        <x:f>'ROIC Cloud'!V$15*'ROIC Cloud'!$D$45</x:f>
        <x:v>1969584.1218298345</x:v>
      </x:c>
      <x:c r="D95" s="214" t="n">
        <x:f>'ROIC Cloud'!$D$41</x:f>
        <x:v>5</x:v>
      </x:c>
      <x:c r="E95" s="214" t="n">
        <x:f>B95+'ROIC Cloud'!$D$40</x:f>
        <x:v>2043</x:v>
      </x:c>
      <x:c r="F95" s="170" t="str">
        <x:v>Opening NBV</x:v>
      </x:c>
      <x:c r="G95" s="169" t="n">
        <x:f>IF(G$4&gt;=$E95,$C95*MAX(0,1-(G$4-$E95)/$D95),0)</x:f>
        <x:v>0</x:v>
      </x:c>
      <x:c r="H95" s="169" t="n">
        <x:f>IF(H$4&gt;=$E95,$C95*MAX(0,1-(H$4-$E95)/$D95),0)</x:f>
        <x:v>0</x:v>
      </x:c>
      <x:c r="I95" s="169" t="n">
        <x:f>IF(I$4&gt;=$E95,$C95*MAX(0,1-(I$4-$E95)/$D95),0)</x:f>
        <x:v>0</x:v>
      </x:c>
      <x:c r="J95" s="169" t="n">
        <x:f>IF(J$4&gt;=$E95,$C95*MAX(0,1-(J$4-$E95)/$D95),0)</x:f>
        <x:v>0</x:v>
      </x:c>
      <x:c r="K95" s="169" t="n">
        <x:f>IF(K$4&gt;=$E95,$C95*MAX(0,1-(K$4-$E95)/$D95),0)</x:f>
        <x:v>0</x:v>
      </x:c>
      <x:c r="L95" s="169" t="n">
        <x:f>IF(L$4&gt;=$E95,$C95*MAX(0,1-(L$4-$E95)/$D95),0)</x:f>
        <x:v>0</x:v>
      </x:c>
      <x:c r="M95" s="169" t="n">
        <x:f>IF(M$4&gt;=$E95,$C95*MAX(0,1-(M$4-$E95)/$D95),0)</x:f>
        <x:v>0</x:v>
      </x:c>
      <x:c r="N95" s="169" t="n">
        <x:f>IF(N$4&gt;=$E95,$C95*MAX(0,1-(N$4-$E95)/$D95),0)</x:f>
        <x:v>0</x:v>
      </x:c>
      <x:c r="O95" s="169" t="n">
        <x:f>IF(O$4&gt;=$E95,$C95*MAX(0,1-(O$4-$E95)/$D95),0)</x:f>
        <x:v>0</x:v>
      </x:c>
      <x:c r="P95" s="169" t="n">
        <x:f>IF(P$4&gt;=$E95,$C95*MAX(0,1-(P$4-$E95)/$D95),0)</x:f>
        <x:v>0</x:v>
      </x:c>
      <x:c r="Q95" s="169" t="n">
        <x:f>IF(Q$4&gt;=$E95,$C95*MAX(0,1-(Q$4-$E95)/$D95),0)</x:f>
        <x:v>0</x:v>
      </x:c>
      <x:c r="R95" s="169" t="n">
        <x:f>IF(R$4&gt;=$E95,$C95*MAX(0,1-(R$4-$E95)/$D95),0)</x:f>
        <x:v>0</x:v>
      </x:c>
      <x:c r="S95" s="169" t="n">
        <x:f>IF(S$4&gt;=$E95,$C95*MAX(0,1-(S$4-$E95)/$D95),0)</x:f>
        <x:v>0</x:v>
      </x:c>
      <x:c r="T95" s="169" t="n">
        <x:f>IF(T$4&gt;=$E95,$C95*MAX(0,1-(T$4-$E95)/$D95),0)</x:f>
        <x:v>0</x:v>
      </x:c>
      <x:c r="U95" s="169" t="n">
        <x:f>IF(U$4&gt;=$E95,$C95*MAX(0,1-(U$4-$E95)/$D95),0)</x:f>
        <x:v>0</x:v>
      </x:c>
      <x:c r="V95" s="169" t="n">
        <x:f>IF(V$4&gt;=$E95,$C95*MAX(0,1-(V$4-$E95)/$D95),0)</x:f>
        <x:v>0</x:v>
      </x:c>
      <x:c r="W95" s="169" t="n">
        <x:f>IF(W$4&gt;=$E95,$C95*MAX(0,1-(W$4-$E95)/$D95),0)</x:f>
        <x:v>0</x:v>
      </x:c>
      <x:c r="X95" s="169" t="n">
        <x:f>IF(X$4&gt;=$E95,$C95*MAX(0,1-(X$4-$E95)/$D95),0)</x:f>
        <x:v>0</x:v>
      </x:c>
      <x:c r="Y95" s="169" t="n">
        <x:f>IF(Y$4&gt;=$E95,$C95*MAX(0,1-(Y$4-$E95)/$D95),0)</x:f>
        <x:v>0</x:v>
      </x:c>
      <x:c r="Z95" s="169" t="n">
        <x:f>IF(Z$4&gt;=$E95,$C95*MAX(0,1-(Z$4-$E95)/$D95),0)</x:f>
        <x:v>0</x:v>
      </x:c>
      <x:c r="AA95" s="169" t="n">
        <x:f>IF(AA$4&gt;=$E95,$C95*MAX(0,1-(AA$4-$E95)/$D95),0)</x:f>
        <x:v>1969584.1218298345</x:v>
      </x:c>
      <x:c r="AB95" s="169" t="n">
        <x:f>IF(AB$4&gt;=$E95,$C95*MAX(0,1-(AB$4-$E95)/$D95),0)</x:f>
        <x:v>1575667.2974638678</x:v>
      </x:c>
      <x:c r="AC95" s="169" t="n">
        <x:f>IF(AC$4&gt;=$E95,$C95*MAX(0,1-(AC$4-$E95)/$D95),0)</x:f>
        <x:v>1181750.4730979006</x:v>
      </x:c>
    </x:row>
    <x:row r="96" ht="20" customHeight="1">
      <x:c r="A96" s="170" t="str">
        <x:v>Chips</x:v>
      </x:c>
      <x:c r="B96" s="214" t="n">
        <x:v>2041</x:v>
      </x:c>
      <x:c r="C96" s="170" t="n">
        <x:f>'ROIC Cloud'!V$15*'ROIC Cloud'!$D$45</x:f>
        <x:v>1969584.1218298345</x:v>
      </x:c>
      <x:c r="D96" s="214" t="n">
        <x:f>'ROIC Cloud'!$D$41</x:f>
        <x:v>5</x:v>
      </x:c>
      <x:c r="E96" s="214" t="n">
        <x:f>B96+'ROIC Cloud'!$D$40</x:f>
        <x:v>2043</x:v>
      </x:c>
      <x:c r="F96" s="170" t="str">
        <x:v>Depreciation</x:v>
      </x:c>
      <x:c r="G96" s="169" t="n">
        <x:f>IF(G$4&gt;=$E95,MIN($C95/$D95,G95),0)</x:f>
        <x:v>0</x:v>
      </x:c>
      <x:c r="H96" s="169" t="n">
        <x:f>IF(H$4&gt;=$E95,MIN($C95/$D95,H95),0)</x:f>
        <x:v>0</x:v>
      </x:c>
      <x:c r="I96" s="169" t="n">
        <x:f>IF(I$4&gt;=$E95,MIN($C95/$D95,I95),0)</x:f>
        <x:v>0</x:v>
      </x:c>
      <x:c r="J96" s="169" t="n">
        <x:f>IF(J$4&gt;=$E95,MIN($C95/$D95,J95),0)</x:f>
        <x:v>0</x:v>
      </x:c>
      <x:c r="K96" s="169" t="n">
        <x:f>IF(K$4&gt;=$E95,MIN($C95/$D95,K95),0)</x:f>
        <x:v>0</x:v>
      </x:c>
      <x:c r="L96" s="169" t="n">
        <x:f>IF(L$4&gt;=$E95,MIN($C95/$D95,L95),0)</x:f>
        <x:v>0</x:v>
      </x:c>
      <x:c r="M96" s="169" t="n">
        <x:f>IF(M$4&gt;=$E95,MIN($C95/$D95,M95),0)</x:f>
        <x:v>0</x:v>
      </x:c>
      <x:c r="N96" s="169" t="n">
        <x:f>IF(N$4&gt;=$E95,MIN($C95/$D95,N95),0)</x:f>
        <x:v>0</x:v>
      </x:c>
      <x:c r="O96" s="169" t="n">
        <x:f>IF(O$4&gt;=$E95,MIN($C95/$D95,O95),0)</x:f>
        <x:v>0</x:v>
      </x:c>
      <x:c r="P96" s="169" t="n">
        <x:f>IF(P$4&gt;=$E95,MIN($C95/$D95,P95),0)</x:f>
        <x:v>0</x:v>
      </x:c>
      <x:c r="Q96" s="169" t="n">
        <x:f>IF(Q$4&gt;=$E95,MIN($C95/$D95,Q95),0)</x:f>
        <x:v>0</x:v>
      </x:c>
      <x:c r="R96" s="169" t="n">
        <x:f>IF(R$4&gt;=$E95,MIN($C95/$D95,R95),0)</x:f>
        <x:v>0</x:v>
      </x:c>
      <x:c r="S96" s="169" t="n">
        <x:f>IF(S$4&gt;=$E95,MIN($C95/$D95,S95),0)</x:f>
        <x:v>0</x:v>
      </x:c>
      <x:c r="T96" s="169" t="n">
        <x:f>IF(T$4&gt;=$E95,MIN($C95/$D95,T95),0)</x:f>
        <x:v>0</x:v>
      </x:c>
      <x:c r="U96" s="169" t="n">
        <x:f>IF(U$4&gt;=$E95,MIN($C95/$D95,U95),0)</x:f>
        <x:v>0</x:v>
      </x:c>
      <x:c r="V96" s="169" t="n">
        <x:f>IF(V$4&gt;=$E95,MIN($C95/$D95,V95),0)</x:f>
        <x:v>0</x:v>
      </x:c>
      <x:c r="W96" s="169" t="n">
        <x:f>IF(W$4&gt;=$E95,MIN($C95/$D95,W95),0)</x:f>
        <x:v>0</x:v>
      </x:c>
      <x:c r="X96" s="169" t="n">
        <x:f>IF(X$4&gt;=$E95,MIN($C95/$D95,X95),0)</x:f>
        <x:v>0</x:v>
      </x:c>
      <x:c r="Y96" s="169" t="n">
        <x:f>IF(Y$4&gt;=$E95,MIN($C95/$D95,Y95),0)</x:f>
        <x:v>0</x:v>
      </x:c>
      <x:c r="Z96" s="169" t="n">
        <x:f>IF(Z$4&gt;=$E95,MIN($C95/$D95,Z95),0)</x:f>
        <x:v>0</x:v>
      </x:c>
      <x:c r="AA96" s="169" t="n">
        <x:f>IF(AA$4&gt;=$E95,MIN($C95/$D95,AA95),0)</x:f>
        <x:v>393916.8243659669</x:v>
      </x:c>
      <x:c r="AB96" s="169" t="n">
        <x:f>IF(AB$4&gt;=$E95,MIN($C95/$D95,AB95),0)</x:f>
        <x:v>393916.8243659669</x:v>
      </x:c>
      <x:c r="AC96" s="169" t="n">
        <x:f>IF(AC$4&gt;=$E95,MIN($C95/$D95,AC95),0)</x:f>
        <x:v>393916.8243659669</x:v>
      </x:c>
    </x:row>
    <x:row r="97" ht="20" customHeight="1">
      <x:c r="A97" s="170" t="str">
        <x:v>Chips</x:v>
      </x:c>
      <x:c r="B97" s="214" t="n">
        <x:v>2041</x:v>
      </x:c>
      <x:c r="C97" s="170" t="n">
        <x:f>'ROIC Cloud'!V$15*'ROIC Cloud'!$D$45</x:f>
        <x:v>1969584.1218298345</x:v>
      </x:c>
      <x:c r="D97" s="214" t="n">
        <x:f>'ROIC Cloud'!$D$41</x:f>
        <x:v>5</x:v>
      </x:c>
      <x:c r="E97" s="214" t="n">
        <x:f>B97+'ROIC Cloud'!$D$40</x:f>
        <x:v>2043</x:v>
      </x:c>
      <x:c r="F97" s="170" t="str">
        <x:v>Closing NBV</x:v>
      </x:c>
      <x:c r="G97" s="169" t="n">
        <x:f>MAX(0,G95-G96)</x:f>
        <x:v>0</x:v>
      </x:c>
      <x:c r="H97" s="169" t="n">
        <x:f>MAX(0,H95-H96)</x:f>
        <x:v>0</x:v>
      </x:c>
      <x:c r="I97" s="169" t="n">
        <x:f>MAX(0,I95-I96)</x:f>
        <x:v>0</x:v>
      </x:c>
      <x:c r="J97" s="169" t="n">
        <x:f>MAX(0,J95-J96)</x:f>
        <x:v>0</x:v>
      </x:c>
      <x:c r="K97" s="169" t="n">
        <x:f>MAX(0,K95-K96)</x:f>
        <x:v>0</x:v>
      </x:c>
      <x:c r="L97" s="169" t="n">
        <x:f>MAX(0,L95-L96)</x:f>
        <x:v>0</x:v>
      </x:c>
      <x:c r="M97" s="169" t="n">
        <x:f>MAX(0,M95-M96)</x:f>
        <x:v>0</x:v>
      </x:c>
      <x:c r="N97" s="169" t="n">
        <x:f>MAX(0,N95-N96)</x:f>
        <x:v>0</x:v>
      </x:c>
      <x:c r="O97" s="169" t="n">
        <x:f>MAX(0,O95-O96)</x:f>
        <x:v>0</x:v>
      </x:c>
      <x:c r="P97" s="169" t="n">
        <x:f>MAX(0,P95-P96)</x:f>
        <x:v>0</x:v>
      </x:c>
      <x:c r="Q97" s="169" t="n">
        <x:f>MAX(0,Q95-Q96)</x:f>
        <x:v>0</x:v>
      </x:c>
      <x:c r="R97" s="169" t="n">
        <x:f>MAX(0,R95-R96)</x:f>
        <x:v>0</x:v>
      </x:c>
      <x:c r="S97" s="169" t="n">
        <x:f>MAX(0,S95-S96)</x:f>
        <x:v>0</x:v>
      </x:c>
      <x:c r="T97" s="169" t="n">
        <x:f>MAX(0,T95-T96)</x:f>
        <x:v>0</x:v>
      </x:c>
      <x:c r="U97" s="169" t="n">
        <x:f>MAX(0,U95-U96)</x:f>
        <x:v>0</x:v>
      </x:c>
      <x:c r="V97" s="169" t="n">
        <x:f>MAX(0,V95-V96)</x:f>
        <x:v>0</x:v>
      </x:c>
      <x:c r="W97" s="169" t="n">
        <x:f>MAX(0,W95-W96)</x:f>
        <x:v>0</x:v>
      </x:c>
      <x:c r="X97" s="169" t="n">
        <x:f>MAX(0,X95-X96)</x:f>
        <x:v>0</x:v>
      </x:c>
      <x:c r="Y97" s="169" t="n">
        <x:f>MAX(0,Y95-Y96)</x:f>
        <x:v>0</x:v>
      </x:c>
      <x:c r="Z97" s="169" t="n">
        <x:f>MAX(0,Z95-Z96)</x:f>
        <x:v>0</x:v>
      </x:c>
      <x:c r="AA97" s="169" t="n">
        <x:f>MAX(0,AA95-AA96)</x:f>
        <x:v>1575667.2974638676</x:v>
      </x:c>
      <x:c r="AB97" s="169" t="n">
        <x:f>MAX(0,AB95-AB96)</x:f>
        <x:v>1181750.4730979009</x:v>
      </x:c>
      <x:c r="AC97" s="169" t="n">
        <x:f>MAX(0,AC95-AC96)</x:f>
        <x:v>787833.6487319337</x:v>
      </x:c>
    </x:row>
    <x:row r="98" ht="20" customHeight="1">
      <x:c r="A98" s="170" t="str">
        <x:v>Chips</x:v>
      </x:c>
      <x:c r="B98" s="214" t="n">
        <x:v>2041</x:v>
      </x:c>
      <x:c r="C98" s="170" t="n">
        <x:f>'ROIC Cloud'!V$15*'ROIC Cloud'!$D$45</x:f>
        <x:v>1969584.1218298345</x:v>
      </x:c>
      <x:c r="D98" s="214" t="n">
        <x:f>'ROIC Cloud'!$D$41</x:f>
        <x:v>5</x:v>
      </x:c>
      <x:c r="E98" s="214" t="n">
        <x:f>B98+'ROIC Cloud'!$D$40</x:f>
        <x:v>2043</x:v>
      </x:c>
      <x:c r="F98" s="170" t="str">
        <x:v>Average NBV</x:v>
      </x:c>
      <x:c r="G98" s="169" t="n">
        <x:f>(G95+G97)/2</x:f>
        <x:v>0</x:v>
      </x:c>
      <x:c r="H98" s="169" t="n">
        <x:f>(H95+H97)/2</x:f>
        <x:v>0</x:v>
      </x:c>
      <x:c r="I98" s="169" t="n">
        <x:f>(I95+I97)/2</x:f>
        <x:v>0</x:v>
      </x:c>
      <x:c r="J98" s="169" t="n">
        <x:f>(J95+J97)/2</x:f>
        <x:v>0</x:v>
      </x:c>
      <x:c r="K98" s="169" t="n">
        <x:f>(K95+K97)/2</x:f>
        <x:v>0</x:v>
      </x:c>
      <x:c r="L98" s="169" t="n">
        <x:f>(L95+L97)/2</x:f>
        <x:v>0</x:v>
      </x:c>
      <x:c r="M98" s="169" t="n">
        <x:f>(M95+M97)/2</x:f>
        <x:v>0</x:v>
      </x:c>
      <x:c r="N98" s="169" t="n">
        <x:f>(N95+N97)/2</x:f>
        <x:v>0</x:v>
      </x:c>
      <x:c r="O98" s="169" t="n">
        <x:f>(O95+O97)/2</x:f>
        <x:v>0</x:v>
      </x:c>
      <x:c r="P98" s="169" t="n">
        <x:f>(P95+P97)/2</x:f>
        <x:v>0</x:v>
      </x:c>
      <x:c r="Q98" s="169" t="n">
        <x:f>(Q95+Q97)/2</x:f>
        <x:v>0</x:v>
      </x:c>
      <x:c r="R98" s="169" t="n">
        <x:f>(R95+R97)/2</x:f>
        <x:v>0</x:v>
      </x:c>
      <x:c r="S98" s="169" t="n">
        <x:f>(S95+S97)/2</x:f>
        <x:v>0</x:v>
      </x:c>
      <x:c r="T98" s="169" t="n">
        <x:f>(T95+T97)/2</x:f>
        <x:v>0</x:v>
      </x:c>
      <x:c r="U98" s="169" t="n">
        <x:f>(U95+U97)/2</x:f>
        <x:v>0</x:v>
      </x:c>
      <x:c r="V98" s="169" t="n">
        <x:f>(V95+V97)/2</x:f>
        <x:v>0</x:v>
      </x:c>
      <x:c r="W98" s="169" t="n">
        <x:f>(W95+W97)/2</x:f>
        <x:v>0</x:v>
      </x:c>
      <x:c r="X98" s="169" t="n">
        <x:f>(X95+X97)/2</x:f>
        <x:v>0</x:v>
      </x:c>
      <x:c r="Y98" s="169" t="n">
        <x:f>(Y95+Y97)/2</x:f>
        <x:v>0</x:v>
      </x:c>
      <x:c r="Z98" s="169" t="n">
        <x:f>(Z95+Z97)/2</x:f>
        <x:v>0</x:v>
      </x:c>
      <x:c r="AA98" s="169" t="n">
        <x:f>(AA95+AA97)/2</x:f>
        <x:v>1772625.709646851</x:v>
      </x:c>
      <x:c r="AB98" s="169" t="n">
        <x:f>(AB95+AB97)/2</x:f>
        <x:v>1378708.8852808843</x:v>
      </x:c>
      <x:c r="AC98" s="169" t="n">
        <x:f>(AC95+AC97)/2</x:f>
        <x:v>984792.0609149172</x:v>
      </x:c>
    </x:row>
    <x:row r="99" ht="20" customHeight="1">
      <x:c r="A99" s="170" t="str">
        <x:v>Chips</x:v>
      </x:c>
      <x:c r="B99" s="214" t="n">
        <x:v>2042</x:v>
      </x:c>
      <x:c r="C99" s="170" t="n">
        <x:f>'ROIC Cloud'!W$15*'ROIC Cloud'!$D$45</x:f>
        <x:v>2127150.8515762216</x:v>
      </x:c>
      <x:c r="D99" s="214" t="n">
        <x:f>'ROIC Cloud'!$D$41</x:f>
        <x:v>5</x:v>
      </x:c>
      <x:c r="E99" s="214" t="n">
        <x:f>B99+'ROIC Cloud'!$D$40</x:f>
        <x:v>2044</x:v>
      </x:c>
      <x:c r="F99" s="170" t="str">
        <x:v>Opening NBV</x:v>
      </x:c>
      <x:c r="G99" s="169" t="n">
        <x:f>IF(G$4&gt;=$E99,$C99*MAX(0,1-(G$4-$E99)/$D99),0)</x:f>
        <x:v>0</x:v>
      </x:c>
      <x:c r="H99" s="169" t="n">
        <x:f>IF(H$4&gt;=$E99,$C99*MAX(0,1-(H$4-$E99)/$D99),0)</x:f>
        <x:v>0</x:v>
      </x:c>
      <x:c r="I99" s="169" t="n">
        <x:f>IF(I$4&gt;=$E99,$C99*MAX(0,1-(I$4-$E99)/$D99),0)</x:f>
        <x:v>0</x:v>
      </x:c>
      <x:c r="J99" s="169" t="n">
        <x:f>IF(J$4&gt;=$E99,$C99*MAX(0,1-(J$4-$E99)/$D99),0)</x:f>
        <x:v>0</x:v>
      </x:c>
      <x:c r="K99" s="169" t="n">
        <x:f>IF(K$4&gt;=$E99,$C99*MAX(0,1-(K$4-$E99)/$D99),0)</x:f>
        <x:v>0</x:v>
      </x:c>
      <x:c r="L99" s="169" t="n">
        <x:f>IF(L$4&gt;=$E99,$C99*MAX(0,1-(L$4-$E99)/$D99),0)</x:f>
        <x:v>0</x:v>
      </x:c>
      <x:c r="M99" s="169" t="n">
        <x:f>IF(M$4&gt;=$E99,$C99*MAX(0,1-(M$4-$E99)/$D99),0)</x:f>
        <x:v>0</x:v>
      </x:c>
      <x:c r="N99" s="169" t="n">
        <x:f>IF(N$4&gt;=$E99,$C99*MAX(0,1-(N$4-$E99)/$D99),0)</x:f>
        <x:v>0</x:v>
      </x:c>
      <x:c r="O99" s="169" t="n">
        <x:f>IF(O$4&gt;=$E99,$C99*MAX(0,1-(O$4-$E99)/$D99),0)</x:f>
        <x:v>0</x:v>
      </x:c>
      <x:c r="P99" s="169" t="n">
        <x:f>IF(P$4&gt;=$E99,$C99*MAX(0,1-(P$4-$E99)/$D99),0)</x:f>
        <x:v>0</x:v>
      </x:c>
      <x:c r="Q99" s="169" t="n">
        <x:f>IF(Q$4&gt;=$E99,$C99*MAX(0,1-(Q$4-$E99)/$D99),0)</x:f>
        <x:v>0</x:v>
      </x:c>
      <x:c r="R99" s="169" t="n">
        <x:f>IF(R$4&gt;=$E99,$C99*MAX(0,1-(R$4-$E99)/$D99),0)</x:f>
        <x:v>0</x:v>
      </x:c>
      <x:c r="S99" s="169" t="n">
        <x:f>IF(S$4&gt;=$E99,$C99*MAX(0,1-(S$4-$E99)/$D99),0)</x:f>
        <x:v>0</x:v>
      </x:c>
      <x:c r="T99" s="169" t="n">
        <x:f>IF(T$4&gt;=$E99,$C99*MAX(0,1-(T$4-$E99)/$D99),0)</x:f>
        <x:v>0</x:v>
      </x:c>
      <x:c r="U99" s="169" t="n">
        <x:f>IF(U$4&gt;=$E99,$C99*MAX(0,1-(U$4-$E99)/$D99),0)</x:f>
        <x:v>0</x:v>
      </x:c>
      <x:c r="V99" s="169" t="n">
        <x:f>IF(V$4&gt;=$E99,$C99*MAX(0,1-(V$4-$E99)/$D99),0)</x:f>
        <x:v>0</x:v>
      </x:c>
      <x:c r="W99" s="169" t="n">
        <x:f>IF(W$4&gt;=$E99,$C99*MAX(0,1-(W$4-$E99)/$D99),0)</x:f>
        <x:v>0</x:v>
      </x:c>
      <x:c r="X99" s="169" t="n">
        <x:f>IF(X$4&gt;=$E99,$C99*MAX(0,1-(X$4-$E99)/$D99),0)</x:f>
        <x:v>0</x:v>
      </x:c>
      <x:c r="Y99" s="169" t="n">
        <x:f>IF(Y$4&gt;=$E99,$C99*MAX(0,1-(Y$4-$E99)/$D99),0)</x:f>
        <x:v>0</x:v>
      </x:c>
      <x:c r="Z99" s="169" t="n">
        <x:f>IF(Z$4&gt;=$E99,$C99*MAX(0,1-(Z$4-$E99)/$D99),0)</x:f>
        <x:v>0</x:v>
      </x:c>
      <x:c r="AA99" s="169" t="n">
        <x:f>IF(AA$4&gt;=$E99,$C99*MAX(0,1-(AA$4-$E99)/$D99),0)</x:f>
        <x:v>0</x:v>
      </x:c>
      <x:c r="AB99" s="169" t="n">
        <x:f>IF(AB$4&gt;=$E99,$C99*MAX(0,1-(AB$4-$E99)/$D99),0)</x:f>
        <x:v>2127150.8515762216</x:v>
      </x:c>
      <x:c r="AC99" s="169" t="n">
        <x:f>IF(AC$4&gt;=$E99,$C99*MAX(0,1-(AC$4-$E99)/$D99),0)</x:f>
        <x:v>1701720.6812609774</x:v>
      </x:c>
    </x:row>
    <x:row r="100" ht="20" customHeight="1">
      <x:c r="A100" s="170" t="str">
        <x:v>Chips</x:v>
      </x:c>
      <x:c r="B100" s="214" t="n">
        <x:v>2042</x:v>
      </x:c>
      <x:c r="C100" s="170" t="n">
        <x:f>'ROIC Cloud'!W$15*'ROIC Cloud'!$D$45</x:f>
        <x:v>2127150.8515762216</x:v>
      </x:c>
      <x:c r="D100" s="214" t="n">
        <x:f>'ROIC Cloud'!$D$41</x:f>
        <x:v>5</x:v>
      </x:c>
      <x:c r="E100" s="214" t="n">
        <x:f>B100+'ROIC Cloud'!$D$40</x:f>
        <x:v>2044</x:v>
      </x:c>
      <x:c r="F100" s="170" t="str">
        <x:v>Depreciation</x:v>
      </x:c>
      <x:c r="G100" s="169" t="n">
        <x:f>IF(G$4&gt;=$E99,MIN($C99/$D99,G99),0)</x:f>
        <x:v>0</x:v>
      </x:c>
      <x:c r="H100" s="169" t="n">
        <x:f>IF(H$4&gt;=$E99,MIN($C99/$D99,H99),0)</x:f>
        <x:v>0</x:v>
      </x:c>
      <x:c r="I100" s="169" t="n">
        <x:f>IF(I$4&gt;=$E99,MIN($C99/$D99,I99),0)</x:f>
        <x:v>0</x:v>
      </x:c>
      <x:c r="J100" s="169" t="n">
        <x:f>IF(J$4&gt;=$E99,MIN($C99/$D99,J99),0)</x:f>
        <x:v>0</x:v>
      </x:c>
      <x:c r="K100" s="169" t="n">
        <x:f>IF(K$4&gt;=$E99,MIN($C99/$D99,K99),0)</x:f>
        <x:v>0</x:v>
      </x:c>
      <x:c r="L100" s="169" t="n">
        <x:f>IF(L$4&gt;=$E99,MIN($C99/$D99,L99),0)</x:f>
        <x:v>0</x:v>
      </x:c>
      <x:c r="M100" s="169" t="n">
        <x:f>IF(M$4&gt;=$E99,MIN($C99/$D99,M99),0)</x:f>
        <x:v>0</x:v>
      </x:c>
      <x:c r="N100" s="169" t="n">
        <x:f>IF(N$4&gt;=$E99,MIN($C99/$D99,N99),0)</x:f>
        <x:v>0</x:v>
      </x:c>
      <x:c r="O100" s="169" t="n">
        <x:f>IF(O$4&gt;=$E99,MIN($C99/$D99,O99),0)</x:f>
        <x:v>0</x:v>
      </x:c>
      <x:c r="P100" s="169" t="n">
        <x:f>IF(P$4&gt;=$E99,MIN($C99/$D99,P99),0)</x:f>
        <x:v>0</x:v>
      </x:c>
      <x:c r="Q100" s="169" t="n">
        <x:f>IF(Q$4&gt;=$E99,MIN($C99/$D99,Q99),0)</x:f>
        <x:v>0</x:v>
      </x:c>
      <x:c r="R100" s="169" t="n">
        <x:f>IF(R$4&gt;=$E99,MIN($C99/$D99,R99),0)</x:f>
        <x:v>0</x:v>
      </x:c>
      <x:c r="S100" s="169" t="n">
        <x:f>IF(S$4&gt;=$E99,MIN($C99/$D99,S99),0)</x:f>
        <x:v>0</x:v>
      </x:c>
      <x:c r="T100" s="169" t="n">
        <x:f>IF(T$4&gt;=$E99,MIN($C99/$D99,T99),0)</x:f>
        <x:v>0</x:v>
      </x:c>
      <x:c r="U100" s="169" t="n">
        <x:f>IF(U$4&gt;=$E99,MIN($C99/$D99,U99),0)</x:f>
        <x:v>0</x:v>
      </x:c>
      <x:c r="V100" s="169" t="n">
        <x:f>IF(V$4&gt;=$E99,MIN($C99/$D99,V99),0)</x:f>
        <x:v>0</x:v>
      </x:c>
      <x:c r="W100" s="169" t="n">
        <x:f>IF(W$4&gt;=$E99,MIN($C99/$D99,W99),0)</x:f>
        <x:v>0</x:v>
      </x:c>
      <x:c r="X100" s="169" t="n">
        <x:f>IF(X$4&gt;=$E99,MIN($C99/$D99,X99),0)</x:f>
        <x:v>0</x:v>
      </x:c>
      <x:c r="Y100" s="169" t="n">
        <x:f>IF(Y$4&gt;=$E99,MIN($C99/$D99,Y99),0)</x:f>
        <x:v>0</x:v>
      </x:c>
      <x:c r="Z100" s="169" t="n">
        <x:f>IF(Z$4&gt;=$E99,MIN($C99/$D99,Z99),0)</x:f>
        <x:v>0</x:v>
      </x:c>
      <x:c r="AA100" s="169" t="n">
        <x:f>IF(AA$4&gt;=$E99,MIN($C99/$D99,AA99),0)</x:f>
        <x:v>0</x:v>
      </x:c>
      <x:c r="AB100" s="169" t="n">
        <x:f>IF(AB$4&gt;=$E99,MIN($C99/$D99,AB99),0)</x:f>
        <x:v>425430.17031524435</x:v>
      </x:c>
      <x:c r="AC100" s="169" t="n">
        <x:f>IF(AC$4&gt;=$E99,MIN($C99/$D99,AC99),0)</x:f>
        <x:v>425430.17031524435</x:v>
      </x:c>
    </x:row>
    <x:row r="101" ht="20" customHeight="1">
      <x:c r="A101" s="170" t="str">
        <x:v>Chips</x:v>
      </x:c>
      <x:c r="B101" s="214" t="n">
        <x:v>2042</x:v>
      </x:c>
      <x:c r="C101" s="170" t="n">
        <x:f>'ROIC Cloud'!W$15*'ROIC Cloud'!$D$45</x:f>
        <x:v>2127150.8515762216</x:v>
      </x:c>
      <x:c r="D101" s="214" t="n">
        <x:f>'ROIC Cloud'!$D$41</x:f>
        <x:v>5</x:v>
      </x:c>
      <x:c r="E101" s="214" t="n">
        <x:f>B101+'ROIC Cloud'!$D$40</x:f>
        <x:v>2044</x:v>
      </x:c>
      <x:c r="F101" s="170" t="str">
        <x:v>Closing NBV</x:v>
      </x:c>
      <x:c r="G101" s="169" t="n">
        <x:f>MAX(0,G99-G100)</x:f>
        <x:v>0</x:v>
      </x:c>
      <x:c r="H101" s="169" t="n">
        <x:f>MAX(0,H99-H100)</x:f>
        <x:v>0</x:v>
      </x:c>
      <x:c r="I101" s="169" t="n">
        <x:f>MAX(0,I99-I100)</x:f>
        <x:v>0</x:v>
      </x:c>
      <x:c r="J101" s="169" t="n">
        <x:f>MAX(0,J99-J100)</x:f>
        <x:v>0</x:v>
      </x:c>
      <x:c r="K101" s="169" t="n">
        <x:f>MAX(0,K99-K100)</x:f>
        <x:v>0</x:v>
      </x:c>
      <x:c r="L101" s="169" t="n">
        <x:f>MAX(0,L99-L100)</x:f>
        <x:v>0</x:v>
      </x:c>
      <x:c r="M101" s="169" t="n">
        <x:f>MAX(0,M99-M100)</x:f>
        <x:v>0</x:v>
      </x:c>
      <x:c r="N101" s="169" t="n">
        <x:f>MAX(0,N99-N100)</x:f>
        <x:v>0</x:v>
      </x:c>
      <x:c r="O101" s="169" t="n">
        <x:f>MAX(0,O99-O100)</x:f>
        <x:v>0</x:v>
      </x:c>
      <x:c r="P101" s="169" t="n">
        <x:f>MAX(0,P99-P100)</x:f>
        <x:v>0</x:v>
      </x:c>
      <x:c r="Q101" s="169" t="n">
        <x:f>MAX(0,Q99-Q100)</x:f>
        <x:v>0</x:v>
      </x:c>
      <x:c r="R101" s="169" t="n">
        <x:f>MAX(0,R99-R100)</x:f>
        <x:v>0</x:v>
      </x:c>
      <x:c r="S101" s="169" t="n">
        <x:f>MAX(0,S99-S100)</x:f>
        <x:v>0</x:v>
      </x:c>
      <x:c r="T101" s="169" t="n">
        <x:f>MAX(0,T99-T100)</x:f>
        <x:v>0</x:v>
      </x:c>
      <x:c r="U101" s="169" t="n">
        <x:f>MAX(0,U99-U100)</x:f>
        <x:v>0</x:v>
      </x:c>
      <x:c r="V101" s="169" t="n">
        <x:f>MAX(0,V99-V100)</x:f>
        <x:v>0</x:v>
      </x:c>
      <x:c r="W101" s="169" t="n">
        <x:f>MAX(0,W99-W100)</x:f>
        <x:v>0</x:v>
      </x:c>
      <x:c r="X101" s="169" t="n">
        <x:f>MAX(0,X99-X100)</x:f>
        <x:v>0</x:v>
      </x:c>
      <x:c r="Y101" s="169" t="n">
        <x:f>MAX(0,Y99-Y100)</x:f>
        <x:v>0</x:v>
      </x:c>
      <x:c r="Z101" s="169" t="n">
        <x:f>MAX(0,Z99-Z100)</x:f>
        <x:v>0</x:v>
      </x:c>
      <x:c r="AA101" s="169" t="n">
        <x:f>MAX(0,AA99-AA100)</x:f>
        <x:v>0</x:v>
      </x:c>
      <x:c r="AB101" s="169" t="n">
        <x:f>MAX(0,AB99-AB100)</x:f>
        <x:v>1701720.6812609774</x:v>
      </x:c>
      <x:c r="AC101" s="169" t="n">
        <x:f>MAX(0,AC99-AC100)</x:f>
        <x:v>1276290.5109457332</x:v>
      </x:c>
    </x:row>
    <x:row r="102" ht="20" customHeight="1">
      <x:c r="A102" s="170" t="str">
        <x:v>Chips</x:v>
      </x:c>
      <x:c r="B102" s="214" t="n">
        <x:v>2042</x:v>
      </x:c>
      <x:c r="C102" s="170" t="n">
        <x:f>'ROIC Cloud'!W$15*'ROIC Cloud'!$D$45</x:f>
        <x:v>2127150.8515762216</x:v>
      </x:c>
      <x:c r="D102" s="214" t="n">
        <x:f>'ROIC Cloud'!$D$41</x:f>
        <x:v>5</x:v>
      </x:c>
      <x:c r="E102" s="214" t="n">
        <x:f>B102+'ROIC Cloud'!$D$40</x:f>
        <x:v>2044</x:v>
      </x:c>
      <x:c r="F102" s="170" t="str">
        <x:v>Average NBV</x:v>
      </x:c>
      <x:c r="G102" s="169" t="n">
        <x:f>(G99+G101)/2</x:f>
        <x:v>0</x:v>
      </x:c>
      <x:c r="H102" s="169" t="n">
        <x:f>(H99+H101)/2</x:f>
        <x:v>0</x:v>
      </x:c>
      <x:c r="I102" s="169" t="n">
        <x:f>(I99+I101)/2</x:f>
        <x:v>0</x:v>
      </x:c>
      <x:c r="J102" s="169" t="n">
        <x:f>(J99+J101)/2</x:f>
        <x:v>0</x:v>
      </x:c>
      <x:c r="K102" s="169" t="n">
        <x:f>(K99+K101)/2</x:f>
        <x:v>0</x:v>
      </x:c>
      <x:c r="L102" s="169" t="n">
        <x:f>(L99+L101)/2</x:f>
        <x:v>0</x:v>
      </x:c>
      <x:c r="M102" s="169" t="n">
        <x:f>(M99+M101)/2</x:f>
        <x:v>0</x:v>
      </x:c>
      <x:c r="N102" s="169" t="n">
        <x:f>(N99+N101)/2</x:f>
        <x:v>0</x:v>
      </x:c>
      <x:c r="O102" s="169" t="n">
        <x:f>(O99+O101)/2</x:f>
        <x:v>0</x:v>
      </x:c>
      <x:c r="P102" s="169" t="n">
        <x:f>(P99+P101)/2</x:f>
        <x:v>0</x:v>
      </x:c>
      <x:c r="Q102" s="169" t="n">
        <x:f>(Q99+Q101)/2</x:f>
        <x:v>0</x:v>
      </x:c>
      <x:c r="R102" s="169" t="n">
        <x:f>(R99+R101)/2</x:f>
        <x:v>0</x:v>
      </x:c>
      <x:c r="S102" s="169" t="n">
        <x:f>(S99+S101)/2</x:f>
        <x:v>0</x:v>
      </x:c>
      <x:c r="T102" s="169" t="n">
        <x:f>(T99+T101)/2</x:f>
        <x:v>0</x:v>
      </x:c>
      <x:c r="U102" s="169" t="n">
        <x:f>(U99+U101)/2</x:f>
        <x:v>0</x:v>
      </x:c>
      <x:c r="V102" s="169" t="n">
        <x:f>(V99+V101)/2</x:f>
        <x:v>0</x:v>
      </x:c>
      <x:c r="W102" s="169" t="n">
        <x:f>(W99+W101)/2</x:f>
        <x:v>0</x:v>
      </x:c>
      <x:c r="X102" s="169" t="n">
        <x:f>(X99+X101)/2</x:f>
        <x:v>0</x:v>
      </x:c>
      <x:c r="Y102" s="169" t="n">
        <x:f>(Y99+Y101)/2</x:f>
        <x:v>0</x:v>
      </x:c>
      <x:c r="Z102" s="169" t="n">
        <x:f>(Z99+Z101)/2</x:f>
        <x:v>0</x:v>
      </x:c>
      <x:c r="AA102" s="169" t="n">
        <x:f>(AA99+AA101)/2</x:f>
        <x:v>0</x:v>
      </x:c>
      <x:c r="AB102" s="169" t="n">
        <x:f>(AB99+AB101)/2</x:f>
        <x:v>1914435.7664185995</x:v>
      </x:c>
      <x:c r="AC102" s="169" t="n">
        <x:f>(AC99+AC101)/2</x:f>
        <x:v>1489005.5961033553</x:v>
      </x:c>
    </x:row>
    <x:row r="103" ht="20" customHeight="1">
      <x:c r="A103" s="170" t="str">
        <x:v>Chips</x:v>
      </x:c>
      <x:c r="B103" s="214" t="n">
        <x:v>2043</x:v>
      </x:c>
      <x:c r="C103" s="170" t="n">
        <x:f>'ROIC Cloud'!X$15*'ROIC Cloud'!$D$45</x:f>
        <x:v>2297322.9197023194</x:v>
      </x:c>
      <x:c r="D103" s="214" t="n">
        <x:f>'ROIC Cloud'!$D$41</x:f>
        <x:v>5</x:v>
      </x:c>
      <x:c r="E103" s="214" t="n">
        <x:f>B103+'ROIC Cloud'!$D$40</x:f>
        <x:v>2045</x:v>
      </x:c>
      <x:c r="F103" s="170" t="str">
        <x:v>Opening NBV</x:v>
      </x:c>
      <x:c r="G103" s="169" t="n">
        <x:f>IF(G$4&gt;=$E103,$C103*MAX(0,1-(G$4-$E103)/$D103),0)</x:f>
        <x:v>0</x:v>
      </x:c>
      <x:c r="H103" s="169" t="n">
        <x:f>IF(H$4&gt;=$E103,$C103*MAX(0,1-(H$4-$E103)/$D103),0)</x:f>
        <x:v>0</x:v>
      </x:c>
      <x:c r="I103" s="169" t="n">
        <x:f>IF(I$4&gt;=$E103,$C103*MAX(0,1-(I$4-$E103)/$D103),0)</x:f>
        <x:v>0</x:v>
      </x:c>
      <x:c r="J103" s="169" t="n">
        <x:f>IF(J$4&gt;=$E103,$C103*MAX(0,1-(J$4-$E103)/$D103),0)</x:f>
        <x:v>0</x:v>
      </x:c>
      <x:c r="K103" s="169" t="n">
        <x:f>IF(K$4&gt;=$E103,$C103*MAX(0,1-(K$4-$E103)/$D103),0)</x:f>
        <x:v>0</x:v>
      </x:c>
      <x:c r="L103" s="169" t="n">
        <x:f>IF(L$4&gt;=$E103,$C103*MAX(0,1-(L$4-$E103)/$D103),0)</x:f>
        <x:v>0</x:v>
      </x:c>
      <x:c r="M103" s="169" t="n">
        <x:f>IF(M$4&gt;=$E103,$C103*MAX(0,1-(M$4-$E103)/$D103),0)</x:f>
        <x:v>0</x:v>
      </x:c>
      <x:c r="N103" s="169" t="n">
        <x:f>IF(N$4&gt;=$E103,$C103*MAX(0,1-(N$4-$E103)/$D103),0)</x:f>
        <x:v>0</x:v>
      </x:c>
      <x:c r="O103" s="169" t="n">
        <x:f>IF(O$4&gt;=$E103,$C103*MAX(0,1-(O$4-$E103)/$D103),0)</x:f>
        <x:v>0</x:v>
      </x:c>
      <x:c r="P103" s="169" t="n">
        <x:f>IF(P$4&gt;=$E103,$C103*MAX(0,1-(P$4-$E103)/$D103),0)</x:f>
        <x:v>0</x:v>
      </x:c>
      <x:c r="Q103" s="169" t="n">
        <x:f>IF(Q$4&gt;=$E103,$C103*MAX(0,1-(Q$4-$E103)/$D103),0)</x:f>
        <x:v>0</x:v>
      </x:c>
      <x:c r="R103" s="169" t="n">
        <x:f>IF(R$4&gt;=$E103,$C103*MAX(0,1-(R$4-$E103)/$D103),0)</x:f>
        <x:v>0</x:v>
      </x:c>
      <x:c r="S103" s="169" t="n">
        <x:f>IF(S$4&gt;=$E103,$C103*MAX(0,1-(S$4-$E103)/$D103),0)</x:f>
        <x:v>0</x:v>
      </x:c>
      <x:c r="T103" s="169" t="n">
        <x:f>IF(T$4&gt;=$E103,$C103*MAX(0,1-(T$4-$E103)/$D103),0)</x:f>
        <x:v>0</x:v>
      </x:c>
      <x:c r="U103" s="169" t="n">
        <x:f>IF(U$4&gt;=$E103,$C103*MAX(0,1-(U$4-$E103)/$D103),0)</x:f>
        <x:v>0</x:v>
      </x:c>
      <x:c r="V103" s="169" t="n">
        <x:f>IF(V$4&gt;=$E103,$C103*MAX(0,1-(V$4-$E103)/$D103),0)</x:f>
        <x:v>0</x:v>
      </x:c>
      <x:c r="W103" s="169" t="n">
        <x:f>IF(W$4&gt;=$E103,$C103*MAX(0,1-(W$4-$E103)/$D103),0)</x:f>
        <x:v>0</x:v>
      </x:c>
      <x:c r="X103" s="169" t="n">
        <x:f>IF(X$4&gt;=$E103,$C103*MAX(0,1-(X$4-$E103)/$D103),0)</x:f>
        <x:v>0</x:v>
      </x:c>
      <x:c r="Y103" s="169" t="n">
        <x:f>IF(Y$4&gt;=$E103,$C103*MAX(0,1-(Y$4-$E103)/$D103),0)</x:f>
        <x:v>0</x:v>
      </x:c>
      <x:c r="Z103" s="169" t="n">
        <x:f>IF(Z$4&gt;=$E103,$C103*MAX(0,1-(Z$4-$E103)/$D103),0)</x:f>
        <x:v>0</x:v>
      </x:c>
      <x:c r="AA103" s="169" t="n">
        <x:f>IF(AA$4&gt;=$E103,$C103*MAX(0,1-(AA$4-$E103)/$D103),0)</x:f>
        <x:v>0</x:v>
      </x:c>
      <x:c r="AB103" s="169" t="n">
        <x:f>IF(AB$4&gt;=$E103,$C103*MAX(0,1-(AB$4-$E103)/$D103),0)</x:f>
        <x:v>0</x:v>
      </x:c>
      <x:c r="AC103" s="169" t="n">
        <x:f>IF(AC$4&gt;=$E103,$C103*MAX(0,1-(AC$4-$E103)/$D103),0)</x:f>
        <x:v>2297322.9197023194</x:v>
      </x:c>
    </x:row>
    <x:row r="104" ht="20" customHeight="1">
      <x:c r="A104" s="170" t="str">
        <x:v>Chips</x:v>
      </x:c>
      <x:c r="B104" s="214" t="n">
        <x:v>2043</x:v>
      </x:c>
      <x:c r="C104" s="170" t="n">
        <x:f>'ROIC Cloud'!X$15*'ROIC Cloud'!$D$45</x:f>
        <x:v>2297322.9197023194</x:v>
      </x:c>
      <x:c r="D104" s="214" t="n">
        <x:f>'ROIC Cloud'!$D$41</x:f>
        <x:v>5</x:v>
      </x:c>
      <x:c r="E104" s="214" t="n">
        <x:f>B104+'ROIC Cloud'!$D$40</x:f>
        <x:v>2045</x:v>
      </x:c>
      <x:c r="F104" s="170" t="str">
        <x:v>Depreciation</x:v>
      </x:c>
      <x:c r="G104" s="169" t="n">
        <x:f>IF(G$4&gt;=$E103,MIN($C103/$D103,G103),0)</x:f>
        <x:v>0</x:v>
      </x:c>
      <x:c r="H104" s="169" t="n">
        <x:f>IF(H$4&gt;=$E103,MIN($C103/$D103,H103),0)</x:f>
        <x:v>0</x:v>
      </x:c>
      <x:c r="I104" s="169" t="n">
        <x:f>IF(I$4&gt;=$E103,MIN($C103/$D103,I103),0)</x:f>
        <x:v>0</x:v>
      </x:c>
      <x:c r="J104" s="169" t="n">
        <x:f>IF(J$4&gt;=$E103,MIN($C103/$D103,J103),0)</x:f>
        <x:v>0</x:v>
      </x:c>
      <x:c r="K104" s="169" t="n">
        <x:f>IF(K$4&gt;=$E103,MIN($C103/$D103,K103),0)</x:f>
        <x:v>0</x:v>
      </x:c>
      <x:c r="L104" s="169" t="n">
        <x:f>IF(L$4&gt;=$E103,MIN($C103/$D103,L103),0)</x:f>
        <x:v>0</x:v>
      </x:c>
      <x:c r="M104" s="169" t="n">
        <x:f>IF(M$4&gt;=$E103,MIN($C103/$D103,M103),0)</x:f>
        <x:v>0</x:v>
      </x:c>
      <x:c r="N104" s="169" t="n">
        <x:f>IF(N$4&gt;=$E103,MIN($C103/$D103,N103),0)</x:f>
        <x:v>0</x:v>
      </x:c>
      <x:c r="O104" s="169" t="n">
        <x:f>IF(O$4&gt;=$E103,MIN($C103/$D103,O103),0)</x:f>
        <x:v>0</x:v>
      </x:c>
      <x:c r="P104" s="169" t="n">
        <x:f>IF(P$4&gt;=$E103,MIN($C103/$D103,P103),0)</x:f>
        <x:v>0</x:v>
      </x:c>
      <x:c r="Q104" s="169" t="n">
        <x:f>IF(Q$4&gt;=$E103,MIN($C103/$D103,Q103),0)</x:f>
        <x:v>0</x:v>
      </x:c>
      <x:c r="R104" s="169" t="n">
        <x:f>IF(R$4&gt;=$E103,MIN($C103/$D103,R103),0)</x:f>
        <x:v>0</x:v>
      </x:c>
      <x:c r="S104" s="169" t="n">
        <x:f>IF(S$4&gt;=$E103,MIN($C103/$D103,S103),0)</x:f>
        <x:v>0</x:v>
      </x:c>
      <x:c r="T104" s="169" t="n">
        <x:f>IF(T$4&gt;=$E103,MIN($C103/$D103,T103),0)</x:f>
        <x:v>0</x:v>
      </x:c>
      <x:c r="U104" s="169" t="n">
        <x:f>IF(U$4&gt;=$E103,MIN($C103/$D103,U103),0)</x:f>
        <x:v>0</x:v>
      </x:c>
      <x:c r="V104" s="169" t="n">
        <x:f>IF(V$4&gt;=$E103,MIN($C103/$D103,V103),0)</x:f>
        <x:v>0</x:v>
      </x:c>
      <x:c r="W104" s="169" t="n">
        <x:f>IF(W$4&gt;=$E103,MIN($C103/$D103,W103),0)</x:f>
        <x:v>0</x:v>
      </x:c>
      <x:c r="X104" s="169" t="n">
        <x:f>IF(X$4&gt;=$E103,MIN($C103/$D103,X103),0)</x:f>
        <x:v>0</x:v>
      </x:c>
      <x:c r="Y104" s="169" t="n">
        <x:f>IF(Y$4&gt;=$E103,MIN($C103/$D103,Y103),0)</x:f>
        <x:v>0</x:v>
      </x:c>
      <x:c r="Z104" s="169" t="n">
        <x:f>IF(Z$4&gt;=$E103,MIN($C103/$D103,Z103),0)</x:f>
        <x:v>0</x:v>
      </x:c>
      <x:c r="AA104" s="169" t="n">
        <x:f>IF(AA$4&gt;=$E103,MIN($C103/$D103,AA103),0)</x:f>
        <x:v>0</x:v>
      </x:c>
      <x:c r="AB104" s="169" t="n">
        <x:f>IF(AB$4&gt;=$E103,MIN($C103/$D103,AB103),0)</x:f>
        <x:v>0</x:v>
      </x:c>
      <x:c r="AC104" s="169" t="n">
        <x:f>IF(AC$4&gt;=$E103,MIN($C103/$D103,AC103),0)</x:f>
        <x:v>459464.5839404639</x:v>
      </x:c>
    </x:row>
    <x:row r="105" ht="20" customHeight="1">
      <x:c r="A105" s="170" t="str">
        <x:v>Chips</x:v>
      </x:c>
      <x:c r="B105" s="214" t="n">
        <x:v>2043</x:v>
      </x:c>
      <x:c r="C105" s="170" t="n">
        <x:f>'ROIC Cloud'!X$15*'ROIC Cloud'!$D$45</x:f>
        <x:v>2297322.9197023194</x:v>
      </x:c>
      <x:c r="D105" s="214" t="n">
        <x:f>'ROIC Cloud'!$D$41</x:f>
        <x:v>5</x:v>
      </x:c>
      <x:c r="E105" s="214" t="n">
        <x:f>B105+'ROIC Cloud'!$D$40</x:f>
        <x:v>2045</x:v>
      </x:c>
      <x:c r="F105" s="170" t="str">
        <x:v>Closing NBV</x:v>
      </x:c>
      <x:c r="G105" s="169" t="n">
        <x:f>MAX(0,G103-G104)</x:f>
        <x:v>0</x:v>
      </x:c>
      <x:c r="H105" s="169" t="n">
        <x:f>MAX(0,H103-H104)</x:f>
        <x:v>0</x:v>
      </x:c>
      <x:c r="I105" s="169" t="n">
        <x:f>MAX(0,I103-I104)</x:f>
        <x:v>0</x:v>
      </x:c>
      <x:c r="J105" s="169" t="n">
        <x:f>MAX(0,J103-J104)</x:f>
        <x:v>0</x:v>
      </x:c>
      <x:c r="K105" s="169" t="n">
        <x:f>MAX(0,K103-K104)</x:f>
        <x:v>0</x:v>
      </x:c>
      <x:c r="L105" s="169" t="n">
        <x:f>MAX(0,L103-L104)</x:f>
        <x:v>0</x:v>
      </x:c>
      <x:c r="M105" s="169" t="n">
        <x:f>MAX(0,M103-M104)</x:f>
        <x:v>0</x:v>
      </x:c>
      <x:c r="N105" s="169" t="n">
        <x:f>MAX(0,N103-N104)</x:f>
        <x:v>0</x:v>
      </x:c>
      <x:c r="O105" s="169" t="n">
        <x:f>MAX(0,O103-O104)</x:f>
        <x:v>0</x:v>
      </x:c>
      <x:c r="P105" s="169" t="n">
        <x:f>MAX(0,P103-P104)</x:f>
        <x:v>0</x:v>
      </x:c>
      <x:c r="Q105" s="169" t="n">
        <x:f>MAX(0,Q103-Q104)</x:f>
        <x:v>0</x:v>
      </x:c>
      <x:c r="R105" s="169" t="n">
        <x:f>MAX(0,R103-R104)</x:f>
        <x:v>0</x:v>
      </x:c>
      <x:c r="S105" s="169" t="n">
        <x:f>MAX(0,S103-S104)</x:f>
        <x:v>0</x:v>
      </x:c>
      <x:c r="T105" s="169" t="n">
        <x:f>MAX(0,T103-T104)</x:f>
        <x:v>0</x:v>
      </x:c>
      <x:c r="U105" s="169" t="n">
        <x:f>MAX(0,U103-U104)</x:f>
        <x:v>0</x:v>
      </x:c>
      <x:c r="V105" s="169" t="n">
        <x:f>MAX(0,V103-V104)</x:f>
        <x:v>0</x:v>
      </x:c>
      <x:c r="W105" s="169" t="n">
        <x:f>MAX(0,W103-W104)</x:f>
        <x:v>0</x:v>
      </x:c>
      <x:c r="X105" s="169" t="n">
        <x:f>MAX(0,X103-X104)</x:f>
        <x:v>0</x:v>
      </x:c>
      <x:c r="Y105" s="169" t="n">
        <x:f>MAX(0,Y103-Y104)</x:f>
        <x:v>0</x:v>
      </x:c>
      <x:c r="Z105" s="169" t="n">
        <x:f>MAX(0,Z103-Z104)</x:f>
        <x:v>0</x:v>
      </x:c>
      <x:c r="AA105" s="169" t="n">
        <x:f>MAX(0,AA103-AA104)</x:f>
        <x:v>0</x:v>
      </x:c>
      <x:c r="AB105" s="169" t="n">
        <x:f>MAX(0,AB103-AB104)</x:f>
        <x:v>0</x:v>
      </x:c>
      <x:c r="AC105" s="169" t="n">
        <x:f>MAX(0,AC103-AC104)</x:f>
        <x:v>1837858.3357618556</x:v>
      </x:c>
    </x:row>
    <x:row r="106" ht="20" customHeight="1">
      <x:c r="A106" s="170" t="str">
        <x:v>Chips</x:v>
      </x:c>
      <x:c r="B106" s="214" t="n">
        <x:v>2043</x:v>
      </x:c>
      <x:c r="C106" s="170" t="n">
        <x:f>'ROIC Cloud'!X$15*'ROIC Cloud'!$D$45</x:f>
        <x:v>2297322.9197023194</x:v>
      </x:c>
      <x:c r="D106" s="214" t="n">
        <x:f>'ROIC Cloud'!$D$41</x:f>
        <x:v>5</x:v>
      </x:c>
      <x:c r="E106" s="214" t="n">
        <x:f>B106+'ROIC Cloud'!$D$40</x:f>
        <x:v>2045</x:v>
      </x:c>
      <x:c r="F106" s="170" t="str">
        <x:v>Average NBV</x:v>
      </x:c>
      <x:c r="G106" s="169" t="n">
        <x:f>(G103+G105)/2</x:f>
        <x:v>0</x:v>
      </x:c>
      <x:c r="H106" s="169" t="n">
        <x:f>(H103+H105)/2</x:f>
        <x:v>0</x:v>
      </x:c>
      <x:c r="I106" s="169" t="n">
        <x:f>(I103+I105)/2</x:f>
        <x:v>0</x:v>
      </x:c>
      <x:c r="J106" s="169" t="n">
        <x:f>(J103+J105)/2</x:f>
        <x:v>0</x:v>
      </x:c>
      <x:c r="K106" s="169" t="n">
        <x:f>(K103+K105)/2</x:f>
        <x:v>0</x:v>
      </x:c>
      <x:c r="L106" s="169" t="n">
        <x:f>(L103+L105)/2</x:f>
        <x:v>0</x:v>
      </x:c>
      <x:c r="M106" s="169" t="n">
        <x:f>(M103+M105)/2</x:f>
        <x:v>0</x:v>
      </x:c>
      <x:c r="N106" s="169" t="n">
        <x:f>(N103+N105)/2</x:f>
        <x:v>0</x:v>
      </x:c>
      <x:c r="O106" s="169" t="n">
        <x:f>(O103+O105)/2</x:f>
        <x:v>0</x:v>
      </x:c>
      <x:c r="P106" s="169" t="n">
        <x:f>(P103+P105)/2</x:f>
        <x:v>0</x:v>
      </x:c>
      <x:c r="Q106" s="169" t="n">
        <x:f>(Q103+Q105)/2</x:f>
        <x:v>0</x:v>
      </x:c>
      <x:c r="R106" s="169" t="n">
        <x:f>(R103+R105)/2</x:f>
        <x:v>0</x:v>
      </x:c>
      <x:c r="S106" s="169" t="n">
        <x:f>(S103+S105)/2</x:f>
        <x:v>0</x:v>
      </x:c>
      <x:c r="T106" s="169" t="n">
        <x:f>(T103+T105)/2</x:f>
        <x:v>0</x:v>
      </x:c>
      <x:c r="U106" s="169" t="n">
        <x:f>(U103+U105)/2</x:f>
        <x:v>0</x:v>
      </x:c>
      <x:c r="V106" s="169" t="n">
        <x:f>(V103+V105)/2</x:f>
        <x:v>0</x:v>
      </x:c>
      <x:c r="W106" s="169" t="n">
        <x:f>(W103+W105)/2</x:f>
        <x:v>0</x:v>
      </x:c>
      <x:c r="X106" s="169" t="n">
        <x:f>(X103+X105)/2</x:f>
        <x:v>0</x:v>
      </x:c>
      <x:c r="Y106" s="169" t="n">
        <x:f>(Y103+Y105)/2</x:f>
        <x:v>0</x:v>
      </x:c>
      <x:c r="Z106" s="169" t="n">
        <x:f>(Z103+Z105)/2</x:f>
        <x:v>0</x:v>
      </x:c>
      <x:c r="AA106" s="169" t="n">
        <x:f>(AA103+AA105)/2</x:f>
        <x:v>0</x:v>
      </x:c>
      <x:c r="AB106" s="169" t="n">
        <x:f>(AB103+AB105)/2</x:f>
        <x:v>0</x:v>
      </x:c>
      <x:c r="AC106" s="169" t="n">
        <x:f>(AC103+AC105)/2</x:f>
        <x:v>2067590.6277320874</x:v>
      </x:c>
    </x:row>
    <x:row r="107" ht="20" customHeight="1">
      <x:c r="A107" s="170" t="str">
        <x:v>Chips</x:v>
      </x:c>
      <x:c r="B107" s="214" t="n">
        <x:v>2044</x:v>
      </x:c>
      <x:c r="C107" s="170" t="n">
        <x:f>'ROIC Cloud'!Y$15*'ROIC Cloud'!$D$45</x:f>
        <x:v>2481108.7532785055</x:v>
      </x:c>
      <x:c r="D107" s="214" t="n">
        <x:f>'ROIC Cloud'!$D$41</x:f>
        <x:v>5</x:v>
      </x:c>
      <x:c r="E107" s="214" t="n">
        <x:f>B107+'ROIC Cloud'!$D$40</x:f>
        <x:v>2046</x:v>
      </x:c>
      <x:c r="F107" s="170" t="str">
        <x:v>Opening NBV</x:v>
      </x:c>
      <x:c r="G107" s="169" t="n">
        <x:f>IF(G$4&gt;=$E107,$C107*MAX(0,1-(G$4-$E107)/$D107),0)</x:f>
        <x:v>0</x:v>
      </x:c>
      <x:c r="H107" s="169" t="n">
        <x:f>IF(H$4&gt;=$E107,$C107*MAX(0,1-(H$4-$E107)/$D107),0)</x:f>
        <x:v>0</x:v>
      </x:c>
      <x:c r="I107" s="169" t="n">
        <x:f>IF(I$4&gt;=$E107,$C107*MAX(0,1-(I$4-$E107)/$D107),0)</x:f>
        <x:v>0</x:v>
      </x:c>
      <x:c r="J107" s="169" t="n">
        <x:f>IF(J$4&gt;=$E107,$C107*MAX(0,1-(J$4-$E107)/$D107),0)</x:f>
        <x:v>0</x:v>
      </x:c>
      <x:c r="K107" s="169" t="n">
        <x:f>IF(K$4&gt;=$E107,$C107*MAX(0,1-(K$4-$E107)/$D107),0)</x:f>
        <x:v>0</x:v>
      </x:c>
      <x:c r="L107" s="169" t="n">
        <x:f>IF(L$4&gt;=$E107,$C107*MAX(0,1-(L$4-$E107)/$D107),0)</x:f>
        <x:v>0</x:v>
      </x:c>
      <x:c r="M107" s="169" t="n">
        <x:f>IF(M$4&gt;=$E107,$C107*MAX(0,1-(M$4-$E107)/$D107),0)</x:f>
        <x:v>0</x:v>
      </x:c>
      <x:c r="N107" s="169" t="n">
        <x:f>IF(N$4&gt;=$E107,$C107*MAX(0,1-(N$4-$E107)/$D107),0)</x:f>
        <x:v>0</x:v>
      </x:c>
      <x:c r="O107" s="169" t="n">
        <x:f>IF(O$4&gt;=$E107,$C107*MAX(0,1-(O$4-$E107)/$D107),0)</x:f>
        <x:v>0</x:v>
      </x:c>
      <x:c r="P107" s="169" t="n">
        <x:f>IF(P$4&gt;=$E107,$C107*MAX(0,1-(P$4-$E107)/$D107),0)</x:f>
        <x:v>0</x:v>
      </x:c>
      <x:c r="Q107" s="169" t="n">
        <x:f>IF(Q$4&gt;=$E107,$C107*MAX(0,1-(Q$4-$E107)/$D107),0)</x:f>
        <x:v>0</x:v>
      </x:c>
      <x:c r="R107" s="169" t="n">
        <x:f>IF(R$4&gt;=$E107,$C107*MAX(0,1-(R$4-$E107)/$D107),0)</x:f>
        <x:v>0</x:v>
      </x:c>
      <x:c r="S107" s="169" t="n">
        <x:f>IF(S$4&gt;=$E107,$C107*MAX(0,1-(S$4-$E107)/$D107),0)</x:f>
        <x:v>0</x:v>
      </x:c>
      <x:c r="T107" s="169" t="n">
        <x:f>IF(T$4&gt;=$E107,$C107*MAX(0,1-(T$4-$E107)/$D107),0)</x:f>
        <x:v>0</x:v>
      </x:c>
      <x:c r="U107" s="169" t="n">
        <x:f>IF(U$4&gt;=$E107,$C107*MAX(0,1-(U$4-$E107)/$D107),0)</x:f>
        <x:v>0</x:v>
      </x:c>
      <x:c r="V107" s="169" t="n">
        <x:f>IF(V$4&gt;=$E107,$C107*MAX(0,1-(V$4-$E107)/$D107),0)</x:f>
        <x:v>0</x:v>
      </x:c>
      <x:c r="W107" s="169" t="n">
        <x:f>IF(W$4&gt;=$E107,$C107*MAX(0,1-(W$4-$E107)/$D107),0)</x:f>
        <x:v>0</x:v>
      </x:c>
      <x:c r="X107" s="169" t="n">
        <x:f>IF(X$4&gt;=$E107,$C107*MAX(0,1-(X$4-$E107)/$D107),0)</x:f>
        <x:v>0</x:v>
      </x:c>
      <x:c r="Y107" s="169" t="n">
        <x:f>IF(Y$4&gt;=$E107,$C107*MAX(0,1-(Y$4-$E107)/$D107),0)</x:f>
        <x:v>0</x:v>
      </x:c>
      <x:c r="Z107" s="169" t="n">
        <x:f>IF(Z$4&gt;=$E107,$C107*MAX(0,1-(Z$4-$E107)/$D107),0)</x:f>
        <x:v>0</x:v>
      </x:c>
      <x:c r="AA107" s="169" t="n">
        <x:f>IF(AA$4&gt;=$E107,$C107*MAX(0,1-(AA$4-$E107)/$D107),0)</x:f>
        <x:v>0</x:v>
      </x:c>
      <x:c r="AB107" s="169" t="n">
        <x:f>IF(AB$4&gt;=$E107,$C107*MAX(0,1-(AB$4-$E107)/$D107),0)</x:f>
        <x:v>0</x:v>
      </x:c>
      <x:c r="AC107" s="169" t="n">
        <x:f>IF(AC$4&gt;=$E107,$C107*MAX(0,1-(AC$4-$E107)/$D107),0)</x:f>
        <x:v>0</x:v>
      </x:c>
    </x:row>
    <x:row r="108" ht="20" customHeight="1">
      <x:c r="A108" s="170" t="str">
        <x:v>Chips</x:v>
      </x:c>
      <x:c r="B108" s="214" t="n">
        <x:v>2044</x:v>
      </x:c>
      <x:c r="C108" s="170" t="n">
        <x:f>'ROIC Cloud'!Y$15*'ROIC Cloud'!$D$45</x:f>
        <x:v>2481108.7532785055</x:v>
      </x:c>
      <x:c r="D108" s="214" t="n">
        <x:f>'ROIC Cloud'!$D$41</x:f>
        <x:v>5</x:v>
      </x:c>
      <x:c r="E108" s="214" t="n">
        <x:f>B108+'ROIC Cloud'!$D$40</x:f>
        <x:v>2046</x:v>
      </x:c>
      <x:c r="F108" s="170" t="str">
        <x:v>Depreciation</x:v>
      </x:c>
      <x:c r="G108" s="169" t="n">
        <x:f>IF(G$4&gt;=$E107,MIN($C107/$D107,G107),0)</x:f>
        <x:v>0</x:v>
      </x:c>
      <x:c r="H108" s="169" t="n">
        <x:f>IF(H$4&gt;=$E107,MIN($C107/$D107,H107),0)</x:f>
        <x:v>0</x:v>
      </x:c>
      <x:c r="I108" s="169" t="n">
        <x:f>IF(I$4&gt;=$E107,MIN($C107/$D107,I107),0)</x:f>
        <x:v>0</x:v>
      </x:c>
      <x:c r="J108" s="169" t="n">
        <x:f>IF(J$4&gt;=$E107,MIN($C107/$D107,J107),0)</x:f>
        <x:v>0</x:v>
      </x:c>
      <x:c r="K108" s="169" t="n">
        <x:f>IF(K$4&gt;=$E107,MIN($C107/$D107,K107),0)</x:f>
        <x:v>0</x:v>
      </x:c>
      <x:c r="L108" s="169" t="n">
        <x:f>IF(L$4&gt;=$E107,MIN($C107/$D107,L107),0)</x:f>
        <x:v>0</x:v>
      </x:c>
      <x:c r="M108" s="169" t="n">
        <x:f>IF(M$4&gt;=$E107,MIN($C107/$D107,M107),0)</x:f>
        <x:v>0</x:v>
      </x:c>
      <x:c r="N108" s="169" t="n">
        <x:f>IF(N$4&gt;=$E107,MIN($C107/$D107,N107),0)</x:f>
        <x:v>0</x:v>
      </x:c>
      <x:c r="O108" s="169" t="n">
        <x:f>IF(O$4&gt;=$E107,MIN($C107/$D107,O107),0)</x:f>
        <x:v>0</x:v>
      </x:c>
      <x:c r="P108" s="169" t="n">
        <x:f>IF(P$4&gt;=$E107,MIN($C107/$D107,P107),0)</x:f>
        <x:v>0</x:v>
      </x:c>
      <x:c r="Q108" s="169" t="n">
        <x:f>IF(Q$4&gt;=$E107,MIN($C107/$D107,Q107),0)</x:f>
        <x:v>0</x:v>
      </x:c>
      <x:c r="R108" s="169" t="n">
        <x:f>IF(R$4&gt;=$E107,MIN($C107/$D107,R107),0)</x:f>
        <x:v>0</x:v>
      </x:c>
      <x:c r="S108" s="169" t="n">
        <x:f>IF(S$4&gt;=$E107,MIN($C107/$D107,S107),0)</x:f>
        <x:v>0</x:v>
      </x:c>
      <x:c r="T108" s="169" t="n">
        <x:f>IF(T$4&gt;=$E107,MIN($C107/$D107,T107),0)</x:f>
        <x:v>0</x:v>
      </x:c>
      <x:c r="U108" s="169" t="n">
        <x:f>IF(U$4&gt;=$E107,MIN($C107/$D107,U107),0)</x:f>
        <x:v>0</x:v>
      </x:c>
      <x:c r="V108" s="169" t="n">
        <x:f>IF(V$4&gt;=$E107,MIN($C107/$D107,V107),0)</x:f>
        <x:v>0</x:v>
      </x:c>
      <x:c r="W108" s="169" t="n">
        <x:f>IF(W$4&gt;=$E107,MIN($C107/$D107,W107),0)</x:f>
        <x:v>0</x:v>
      </x:c>
      <x:c r="X108" s="169" t="n">
        <x:f>IF(X$4&gt;=$E107,MIN($C107/$D107,X107),0)</x:f>
        <x:v>0</x:v>
      </x:c>
      <x:c r="Y108" s="169" t="n">
        <x:f>IF(Y$4&gt;=$E107,MIN($C107/$D107,Y107),0)</x:f>
        <x:v>0</x:v>
      </x:c>
      <x:c r="Z108" s="169" t="n">
        <x:f>IF(Z$4&gt;=$E107,MIN($C107/$D107,Z107),0)</x:f>
        <x:v>0</x:v>
      </x:c>
      <x:c r="AA108" s="169" t="n">
        <x:f>IF(AA$4&gt;=$E107,MIN($C107/$D107,AA107),0)</x:f>
        <x:v>0</x:v>
      </x:c>
      <x:c r="AB108" s="169" t="n">
        <x:f>IF(AB$4&gt;=$E107,MIN($C107/$D107,AB107),0)</x:f>
        <x:v>0</x:v>
      </x:c>
      <x:c r="AC108" s="169" t="n">
        <x:f>IF(AC$4&gt;=$E107,MIN($C107/$D107,AC107),0)</x:f>
        <x:v>0</x:v>
      </x:c>
    </x:row>
    <x:row r="109" ht="20" customHeight="1">
      <x:c r="A109" s="170" t="str">
        <x:v>Chips</x:v>
      </x:c>
      <x:c r="B109" s="214" t="n">
        <x:v>2044</x:v>
      </x:c>
      <x:c r="C109" s="170" t="n">
        <x:f>'ROIC Cloud'!Y$15*'ROIC Cloud'!$D$45</x:f>
        <x:v>2481108.7532785055</x:v>
      </x:c>
      <x:c r="D109" s="214" t="n">
        <x:f>'ROIC Cloud'!$D$41</x:f>
        <x:v>5</x:v>
      </x:c>
      <x:c r="E109" s="214" t="n">
        <x:f>B109+'ROIC Cloud'!$D$40</x:f>
        <x:v>2046</x:v>
      </x:c>
      <x:c r="F109" s="170" t="str">
        <x:v>Closing NBV</x:v>
      </x:c>
      <x:c r="G109" s="169" t="n">
        <x:f>MAX(0,G107-G108)</x:f>
        <x:v>0</x:v>
      </x:c>
      <x:c r="H109" s="169" t="n">
        <x:f>MAX(0,H107-H108)</x:f>
        <x:v>0</x:v>
      </x:c>
      <x:c r="I109" s="169" t="n">
        <x:f>MAX(0,I107-I108)</x:f>
        <x:v>0</x:v>
      </x:c>
      <x:c r="J109" s="169" t="n">
        <x:f>MAX(0,J107-J108)</x:f>
        <x:v>0</x:v>
      </x:c>
      <x:c r="K109" s="169" t="n">
        <x:f>MAX(0,K107-K108)</x:f>
        <x:v>0</x:v>
      </x:c>
      <x:c r="L109" s="169" t="n">
        <x:f>MAX(0,L107-L108)</x:f>
        <x:v>0</x:v>
      </x:c>
      <x:c r="M109" s="169" t="n">
        <x:f>MAX(0,M107-M108)</x:f>
        <x:v>0</x:v>
      </x:c>
      <x:c r="N109" s="169" t="n">
        <x:f>MAX(0,N107-N108)</x:f>
        <x:v>0</x:v>
      </x:c>
      <x:c r="O109" s="169" t="n">
        <x:f>MAX(0,O107-O108)</x:f>
        <x:v>0</x:v>
      </x:c>
      <x:c r="P109" s="169" t="n">
        <x:f>MAX(0,P107-P108)</x:f>
        <x:v>0</x:v>
      </x:c>
      <x:c r="Q109" s="169" t="n">
        <x:f>MAX(0,Q107-Q108)</x:f>
        <x:v>0</x:v>
      </x:c>
      <x:c r="R109" s="169" t="n">
        <x:f>MAX(0,R107-R108)</x:f>
        <x:v>0</x:v>
      </x:c>
      <x:c r="S109" s="169" t="n">
        <x:f>MAX(0,S107-S108)</x:f>
        <x:v>0</x:v>
      </x:c>
      <x:c r="T109" s="169" t="n">
        <x:f>MAX(0,T107-T108)</x:f>
        <x:v>0</x:v>
      </x:c>
      <x:c r="U109" s="169" t="n">
        <x:f>MAX(0,U107-U108)</x:f>
        <x:v>0</x:v>
      </x:c>
      <x:c r="V109" s="169" t="n">
        <x:f>MAX(0,V107-V108)</x:f>
        <x:v>0</x:v>
      </x:c>
      <x:c r="W109" s="169" t="n">
        <x:f>MAX(0,W107-W108)</x:f>
        <x:v>0</x:v>
      </x:c>
      <x:c r="X109" s="169" t="n">
        <x:f>MAX(0,X107-X108)</x:f>
        <x:v>0</x:v>
      </x:c>
      <x:c r="Y109" s="169" t="n">
        <x:f>MAX(0,Y107-Y108)</x:f>
        <x:v>0</x:v>
      </x:c>
      <x:c r="Z109" s="169" t="n">
        <x:f>MAX(0,Z107-Z108)</x:f>
        <x:v>0</x:v>
      </x:c>
      <x:c r="AA109" s="169" t="n">
        <x:f>MAX(0,AA107-AA108)</x:f>
        <x:v>0</x:v>
      </x:c>
      <x:c r="AB109" s="169" t="n">
        <x:f>MAX(0,AB107-AB108)</x:f>
        <x:v>0</x:v>
      </x:c>
      <x:c r="AC109" s="169" t="n">
        <x:f>MAX(0,AC107-AC108)</x:f>
        <x:v>0</x:v>
      </x:c>
    </x:row>
    <x:row r="110" ht="20" customHeight="1">
      <x:c r="A110" s="170" t="str">
        <x:v>Chips</x:v>
      </x:c>
      <x:c r="B110" s="214" t="n">
        <x:v>2044</x:v>
      </x:c>
      <x:c r="C110" s="170" t="n">
        <x:f>'ROIC Cloud'!Y$15*'ROIC Cloud'!$D$45</x:f>
        <x:v>2481108.7532785055</x:v>
      </x:c>
      <x:c r="D110" s="214" t="n">
        <x:f>'ROIC Cloud'!$D$41</x:f>
        <x:v>5</x:v>
      </x:c>
      <x:c r="E110" s="214" t="n">
        <x:f>B110+'ROIC Cloud'!$D$40</x:f>
        <x:v>2046</x:v>
      </x:c>
      <x:c r="F110" s="170" t="str">
        <x:v>Average NBV</x:v>
      </x:c>
      <x:c r="G110" s="169" t="n">
        <x:f>(G107+G109)/2</x:f>
        <x:v>0</x:v>
      </x:c>
      <x:c r="H110" s="169" t="n">
        <x:f>(H107+H109)/2</x:f>
        <x:v>0</x:v>
      </x:c>
      <x:c r="I110" s="169" t="n">
        <x:f>(I107+I109)/2</x:f>
        <x:v>0</x:v>
      </x:c>
      <x:c r="J110" s="169" t="n">
        <x:f>(J107+J109)/2</x:f>
        <x:v>0</x:v>
      </x:c>
      <x:c r="K110" s="169" t="n">
        <x:f>(K107+K109)/2</x:f>
        <x:v>0</x:v>
      </x:c>
      <x:c r="L110" s="169" t="n">
        <x:f>(L107+L109)/2</x:f>
        <x:v>0</x:v>
      </x:c>
      <x:c r="M110" s="169" t="n">
        <x:f>(M107+M109)/2</x:f>
        <x:v>0</x:v>
      </x:c>
      <x:c r="N110" s="169" t="n">
        <x:f>(N107+N109)/2</x:f>
        <x:v>0</x:v>
      </x:c>
      <x:c r="O110" s="169" t="n">
        <x:f>(O107+O109)/2</x:f>
        <x:v>0</x:v>
      </x:c>
      <x:c r="P110" s="169" t="n">
        <x:f>(P107+P109)/2</x:f>
        <x:v>0</x:v>
      </x:c>
      <x:c r="Q110" s="169" t="n">
        <x:f>(Q107+Q109)/2</x:f>
        <x:v>0</x:v>
      </x:c>
      <x:c r="R110" s="169" t="n">
        <x:f>(R107+R109)/2</x:f>
        <x:v>0</x:v>
      </x:c>
      <x:c r="S110" s="169" t="n">
        <x:f>(S107+S109)/2</x:f>
        <x:v>0</x:v>
      </x:c>
      <x:c r="T110" s="169" t="n">
        <x:f>(T107+T109)/2</x:f>
        <x:v>0</x:v>
      </x:c>
      <x:c r="U110" s="169" t="n">
        <x:f>(U107+U109)/2</x:f>
        <x:v>0</x:v>
      </x:c>
      <x:c r="V110" s="169" t="n">
        <x:f>(V107+V109)/2</x:f>
        <x:v>0</x:v>
      </x:c>
      <x:c r="W110" s="169" t="n">
        <x:f>(W107+W109)/2</x:f>
        <x:v>0</x:v>
      </x:c>
      <x:c r="X110" s="169" t="n">
        <x:f>(X107+X109)/2</x:f>
        <x:v>0</x:v>
      </x:c>
      <x:c r="Y110" s="169" t="n">
        <x:f>(Y107+Y109)/2</x:f>
        <x:v>0</x:v>
      </x:c>
      <x:c r="Z110" s="169" t="n">
        <x:f>(Z107+Z109)/2</x:f>
        <x:v>0</x:v>
      </x:c>
      <x:c r="AA110" s="169" t="n">
        <x:f>(AA107+AA109)/2</x:f>
        <x:v>0</x:v>
      </x:c>
      <x:c r="AB110" s="169" t="n">
        <x:f>(AB107+AB109)/2</x:f>
        <x:v>0</x:v>
      </x:c>
      <x:c r="AC110" s="169" t="n">
        <x:f>(AC107+AC109)/2</x:f>
        <x:v>0</x:v>
      </x:c>
    </x:row>
    <x:row r="111" ht="20" customHeight="1">
      <x:c r="A111" s="170" t="str">
        <x:v>Chips</x:v>
      </x:c>
      <x:c r="B111" s="214" t="n">
        <x:v>2045</x:v>
      </x:c>
      <x:c r="C111" s="170" t="n">
        <x:f>'ROIC Cloud'!Z$15*'ROIC Cloud'!$D$45</x:f>
        <x:v>2679597.4535407857</x:v>
      </x:c>
      <x:c r="D111" s="214" t="n">
        <x:f>'ROIC Cloud'!$D$41</x:f>
        <x:v>5</x:v>
      </x:c>
      <x:c r="E111" s="214" t="n">
        <x:f>B111+'ROIC Cloud'!$D$40</x:f>
        <x:v>2047</x:v>
      </x:c>
      <x:c r="F111" s="170" t="str">
        <x:v>Opening NBV</x:v>
      </x:c>
      <x:c r="G111" s="169" t="n">
        <x:f>IF(G$4&gt;=$E111,$C111*MAX(0,1-(G$4-$E111)/$D111),0)</x:f>
        <x:v>0</x:v>
      </x:c>
      <x:c r="H111" s="169" t="n">
        <x:f>IF(H$4&gt;=$E111,$C111*MAX(0,1-(H$4-$E111)/$D111),0)</x:f>
        <x:v>0</x:v>
      </x:c>
      <x:c r="I111" s="169" t="n">
        <x:f>IF(I$4&gt;=$E111,$C111*MAX(0,1-(I$4-$E111)/$D111),0)</x:f>
        <x:v>0</x:v>
      </x:c>
      <x:c r="J111" s="169" t="n">
        <x:f>IF(J$4&gt;=$E111,$C111*MAX(0,1-(J$4-$E111)/$D111),0)</x:f>
        <x:v>0</x:v>
      </x:c>
      <x:c r="K111" s="169" t="n">
        <x:f>IF(K$4&gt;=$E111,$C111*MAX(0,1-(K$4-$E111)/$D111),0)</x:f>
        <x:v>0</x:v>
      </x:c>
      <x:c r="L111" s="169" t="n">
        <x:f>IF(L$4&gt;=$E111,$C111*MAX(0,1-(L$4-$E111)/$D111),0)</x:f>
        <x:v>0</x:v>
      </x:c>
      <x:c r="M111" s="169" t="n">
        <x:f>IF(M$4&gt;=$E111,$C111*MAX(0,1-(M$4-$E111)/$D111),0)</x:f>
        <x:v>0</x:v>
      </x:c>
      <x:c r="N111" s="169" t="n">
        <x:f>IF(N$4&gt;=$E111,$C111*MAX(0,1-(N$4-$E111)/$D111),0)</x:f>
        <x:v>0</x:v>
      </x:c>
      <x:c r="O111" s="169" t="n">
        <x:f>IF(O$4&gt;=$E111,$C111*MAX(0,1-(O$4-$E111)/$D111),0)</x:f>
        <x:v>0</x:v>
      </x:c>
      <x:c r="P111" s="169" t="n">
        <x:f>IF(P$4&gt;=$E111,$C111*MAX(0,1-(P$4-$E111)/$D111),0)</x:f>
        <x:v>0</x:v>
      </x:c>
      <x:c r="Q111" s="169" t="n">
        <x:f>IF(Q$4&gt;=$E111,$C111*MAX(0,1-(Q$4-$E111)/$D111),0)</x:f>
        <x:v>0</x:v>
      </x:c>
      <x:c r="R111" s="169" t="n">
        <x:f>IF(R$4&gt;=$E111,$C111*MAX(0,1-(R$4-$E111)/$D111),0)</x:f>
        <x:v>0</x:v>
      </x:c>
      <x:c r="S111" s="169" t="n">
        <x:f>IF(S$4&gt;=$E111,$C111*MAX(0,1-(S$4-$E111)/$D111),0)</x:f>
        <x:v>0</x:v>
      </x:c>
      <x:c r="T111" s="169" t="n">
        <x:f>IF(T$4&gt;=$E111,$C111*MAX(0,1-(T$4-$E111)/$D111),0)</x:f>
        <x:v>0</x:v>
      </x:c>
      <x:c r="U111" s="169" t="n">
        <x:f>IF(U$4&gt;=$E111,$C111*MAX(0,1-(U$4-$E111)/$D111),0)</x:f>
        <x:v>0</x:v>
      </x:c>
      <x:c r="V111" s="169" t="n">
        <x:f>IF(V$4&gt;=$E111,$C111*MAX(0,1-(V$4-$E111)/$D111),0)</x:f>
        <x:v>0</x:v>
      </x:c>
      <x:c r="W111" s="169" t="n">
        <x:f>IF(W$4&gt;=$E111,$C111*MAX(0,1-(W$4-$E111)/$D111),0)</x:f>
        <x:v>0</x:v>
      </x:c>
      <x:c r="X111" s="169" t="n">
        <x:f>IF(X$4&gt;=$E111,$C111*MAX(0,1-(X$4-$E111)/$D111),0)</x:f>
        <x:v>0</x:v>
      </x:c>
      <x:c r="Y111" s="169" t="n">
        <x:f>IF(Y$4&gt;=$E111,$C111*MAX(0,1-(Y$4-$E111)/$D111),0)</x:f>
        <x:v>0</x:v>
      </x:c>
      <x:c r="Z111" s="169" t="n">
        <x:f>IF(Z$4&gt;=$E111,$C111*MAX(0,1-(Z$4-$E111)/$D111),0)</x:f>
        <x:v>0</x:v>
      </x:c>
      <x:c r="AA111" s="169" t="n">
        <x:f>IF(AA$4&gt;=$E111,$C111*MAX(0,1-(AA$4-$E111)/$D111),0)</x:f>
        <x:v>0</x:v>
      </x:c>
      <x:c r="AB111" s="169" t="n">
        <x:f>IF(AB$4&gt;=$E111,$C111*MAX(0,1-(AB$4-$E111)/$D111),0)</x:f>
        <x:v>0</x:v>
      </x:c>
      <x:c r="AC111" s="169" t="n">
        <x:f>IF(AC$4&gt;=$E111,$C111*MAX(0,1-(AC$4-$E111)/$D111),0)</x:f>
        <x:v>0</x:v>
      </x:c>
    </x:row>
    <x:row r="112" ht="20" customHeight="1">
      <x:c r="A112" s="170" t="str">
        <x:v>Chips</x:v>
      </x:c>
      <x:c r="B112" s="214" t="n">
        <x:v>2045</x:v>
      </x:c>
      <x:c r="C112" s="170" t="n">
        <x:f>'ROIC Cloud'!Z$15*'ROIC Cloud'!$D$45</x:f>
        <x:v>2679597.4535407857</x:v>
      </x:c>
      <x:c r="D112" s="214" t="n">
        <x:f>'ROIC Cloud'!$D$41</x:f>
        <x:v>5</x:v>
      </x:c>
      <x:c r="E112" s="214" t="n">
        <x:f>B112+'ROIC Cloud'!$D$40</x:f>
        <x:v>2047</x:v>
      </x:c>
      <x:c r="F112" s="170" t="str">
        <x:v>Depreciation</x:v>
      </x:c>
      <x:c r="G112" s="169" t="n">
        <x:f>IF(G$4&gt;=$E111,MIN($C111/$D111,G111),0)</x:f>
        <x:v>0</x:v>
      </x:c>
      <x:c r="H112" s="169" t="n">
        <x:f>IF(H$4&gt;=$E111,MIN($C111/$D111,H111),0)</x:f>
        <x:v>0</x:v>
      </x:c>
      <x:c r="I112" s="169" t="n">
        <x:f>IF(I$4&gt;=$E111,MIN($C111/$D111,I111),0)</x:f>
        <x:v>0</x:v>
      </x:c>
      <x:c r="J112" s="169" t="n">
        <x:f>IF(J$4&gt;=$E111,MIN($C111/$D111,J111),0)</x:f>
        <x:v>0</x:v>
      </x:c>
      <x:c r="K112" s="169" t="n">
        <x:f>IF(K$4&gt;=$E111,MIN($C111/$D111,K111),0)</x:f>
        <x:v>0</x:v>
      </x:c>
      <x:c r="L112" s="169" t="n">
        <x:f>IF(L$4&gt;=$E111,MIN($C111/$D111,L111),0)</x:f>
        <x:v>0</x:v>
      </x:c>
      <x:c r="M112" s="169" t="n">
        <x:f>IF(M$4&gt;=$E111,MIN($C111/$D111,M111),0)</x:f>
        <x:v>0</x:v>
      </x:c>
      <x:c r="N112" s="169" t="n">
        <x:f>IF(N$4&gt;=$E111,MIN($C111/$D111,N111),0)</x:f>
        <x:v>0</x:v>
      </x:c>
      <x:c r="O112" s="169" t="n">
        <x:f>IF(O$4&gt;=$E111,MIN($C111/$D111,O111),0)</x:f>
        <x:v>0</x:v>
      </x:c>
      <x:c r="P112" s="169" t="n">
        <x:f>IF(P$4&gt;=$E111,MIN($C111/$D111,P111),0)</x:f>
        <x:v>0</x:v>
      </x:c>
      <x:c r="Q112" s="169" t="n">
        <x:f>IF(Q$4&gt;=$E111,MIN($C111/$D111,Q111),0)</x:f>
        <x:v>0</x:v>
      </x:c>
      <x:c r="R112" s="169" t="n">
        <x:f>IF(R$4&gt;=$E111,MIN($C111/$D111,R111),0)</x:f>
        <x:v>0</x:v>
      </x:c>
      <x:c r="S112" s="169" t="n">
        <x:f>IF(S$4&gt;=$E111,MIN($C111/$D111,S111),0)</x:f>
        <x:v>0</x:v>
      </x:c>
      <x:c r="T112" s="169" t="n">
        <x:f>IF(T$4&gt;=$E111,MIN($C111/$D111,T111),0)</x:f>
        <x:v>0</x:v>
      </x:c>
      <x:c r="U112" s="169" t="n">
        <x:f>IF(U$4&gt;=$E111,MIN($C111/$D111,U111),0)</x:f>
        <x:v>0</x:v>
      </x:c>
      <x:c r="V112" s="169" t="n">
        <x:f>IF(V$4&gt;=$E111,MIN($C111/$D111,V111),0)</x:f>
        <x:v>0</x:v>
      </x:c>
      <x:c r="W112" s="169" t="n">
        <x:f>IF(W$4&gt;=$E111,MIN($C111/$D111,W111),0)</x:f>
        <x:v>0</x:v>
      </x:c>
      <x:c r="X112" s="169" t="n">
        <x:f>IF(X$4&gt;=$E111,MIN($C111/$D111,X111),0)</x:f>
        <x:v>0</x:v>
      </x:c>
      <x:c r="Y112" s="169" t="n">
        <x:f>IF(Y$4&gt;=$E111,MIN($C111/$D111,Y111),0)</x:f>
        <x:v>0</x:v>
      </x:c>
      <x:c r="Z112" s="169" t="n">
        <x:f>IF(Z$4&gt;=$E111,MIN($C111/$D111,Z111),0)</x:f>
        <x:v>0</x:v>
      </x:c>
      <x:c r="AA112" s="169" t="n">
        <x:f>IF(AA$4&gt;=$E111,MIN($C111/$D111,AA111),0)</x:f>
        <x:v>0</x:v>
      </x:c>
      <x:c r="AB112" s="169" t="n">
        <x:f>IF(AB$4&gt;=$E111,MIN($C111/$D111,AB111),0)</x:f>
        <x:v>0</x:v>
      </x:c>
      <x:c r="AC112" s="169" t="n">
        <x:f>IF(AC$4&gt;=$E111,MIN($C111/$D111,AC111),0)</x:f>
        <x:v>0</x:v>
      </x:c>
    </x:row>
    <x:row r="113" ht="20" customHeight="1">
      <x:c r="A113" s="170" t="str">
        <x:v>Chips</x:v>
      </x:c>
      <x:c r="B113" s="214" t="n">
        <x:v>2045</x:v>
      </x:c>
      <x:c r="C113" s="170" t="n">
        <x:f>'ROIC Cloud'!Z$15*'ROIC Cloud'!$D$45</x:f>
        <x:v>2679597.4535407857</x:v>
      </x:c>
      <x:c r="D113" s="214" t="n">
        <x:f>'ROIC Cloud'!$D$41</x:f>
        <x:v>5</x:v>
      </x:c>
      <x:c r="E113" s="214" t="n">
        <x:f>B113+'ROIC Cloud'!$D$40</x:f>
        <x:v>2047</x:v>
      </x:c>
      <x:c r="F113" s="170" t="str">
        <x:v>Closing NBV</x:v>
      </x:c>
      <x:c r="G113" s="169" t="n">
        <x:f>MAX(0,G111-G112)</x:f>
        <x:v>0</x:v>
      </x:c>
      <x:c r="H113" s="169" t="n">
        <x:f>MAX(0,H111-H112)</x:f>
        <x:v>0</x:v>
      </x:c>
      <x:c r="I113" s="169" t="n">
        <x:f>MAX(0,I111-I112)</x:f>
        <x:v>0</x:v>
      </x:c>
      <x:c r="J113" s="169" t="n">
        <x:f>MAX(0,J111-J112)</x:f>
        <x:v>0</x:v>
      </x:c>
      <x:c r="K113" s="169" t="n">
        <x:f>MAX(0,K111-K112)</x:f>
        <x:v>0</x:v>
      </x:c>
      <x:c r="L113" s="169" t="n">
        <x:f>MAX(0,L111-L112)</x:f>
        <x:v>0</x:v>
      </x:c>
      <x:c r="M113" s="169" t="n">
        <x:f>MAX(0,M111-M112)</x:f>
        <x:v>0</x:v>
      </x:c>
      <x:c r="N113" s="169" t="n">
        <x:f>MAX(0,N111-N112)</x:f>
        <x:v>0</x:v>
      </x:c>
      <x:c r="O113" s="169" t="n">
        <x:f>MAX(0,O111-O112)</x:f>
        <x:v>0</x:v>
      </x:c>
      <x:c r="P113" s="169" t="n">
        <x:f>MAX(0,P111-P112)</x:f>
        <x:v>0</x:v>
      </x:c>
      <x:c r="Q113" s="169" t="n">
        <x:f>MAX(0,Q111-Q112)</x:f>
        <x:v>0</x:v>
      </x:c>
      <x:c r="R113" s="169" t="n">
        <x:f>MAX(0,R111-R112)</x:f>
        <x:v>0</x:v>
      </x:c>
      <x:c r="S113" s="169" t="n">
        <x:f>MAX(0,S111-S112)</x:f>
        <x:v>0</x:v>
      </x:c>
      <x:c r="T113" s="169" t="n">
        <x:f>MAX(0,T111-T112)</x:f>
        <x:v>0</x:v>
      </x:c>
      <x:c r="U113" s="169" t="n">
        <x:f>MAX(0,U111-U112)</x:f>
        <x:v>0</x:v>
      </x:c>
      <x:c r="V113" s="169" t="n">
        <x:f>MAX(0,V111-V112)</x:f>
        <x:v>0</x:v>
      </x:c>
      <x:c r="W113" s="169" t="n">
        <x:f>MAX(0,W111-W112)</x:f>
        <x:v>0</x:v>
      </x:c>
      <x:c r="X113" s="169" t="n">
        <x:f>MAX(0,X111-X112)</x:f>
        <x:v>0</x:v>
      </x:c>
      <x:c r="Y113" s="169" t="n">
        <x:f>MAX(0,Y111-Y112)</x:f>
        <x:v>0</x:v>
      </x:c>
      <x:c r="Z113" s="169" t="n">
        <x:f>MAX(0,Z111-Z112)</x:f>
        <x:v>0</x:v>
      </x:c>
      <x:c r="AA113" s="169" t="n">
        <x:f>MAX(0,AA111-AA112)</x:f>
        <x:v>0</x:v>
      </x:c>
      <x:c r="AB113" s="169" t="n">
        <x:f>MAX(0,AB111-AB112)</x:f>
        <x:v>0</x:v>
      </x:c>
      <x:c r="AC113" s="169" t="n">
        <x:f>MAX(0,AC111-AC112)</x:f>
        <x:v>0</x:v>
      </x:c>
    </x:row>
    <x:row r="114" ht="20" customHeight="1">
      <x:c r="A114" s="170" t="str">
        <x:v>Chips</x:v>
      </x:c>
      <x:c r="B114" s="214" t="n">
        <x:v>2045</x:v>
      </x:c>
      <x:c r="C114" s="170" t="n">
        <x:f>'ROIC Cloud'!Z$15*'ROIC Cloud'!$D$45</x:f>
        <x:v>2679597.4535407857</x:v>
      </x:c>
      <x:c r="D114" s="214" t="n">
        <x:f>'ROIC Cloud'!$D$41</x:f>
        <x:v>5</x:v>
      </x:c>
      <x:c r="E114" s="214" t="n">
        <x:f>B114+'ROIC Cloud'!$D$40</x:f>
        <x:v>2047</x:v>
      </x:c>
      <x:c r="F114" s="170" t="str">
        <x:v>Average NBV</x:v>
      </x:c>
      <x:c r="G114" s="169" t="n">
        <x:f>(G111+G113)/2</x:f>
        <x:v>0</x:v>
      </x:c>
      <x:c r="H114" s="169" t="n">
        <x:f>(H111+H113)/2</x:f>
        <x:v>0</x:v>
      </x:c>
      <x:c r="I114" s="169" t="n">
        <x:f>(I111+I113)/2</x:f>
        <x:v>0</x:v>
      </x:c>
      <x:c r="J114" s="169" t="n">
        <x:f>(J111+J113)/2</x:f>
        <x:v>0</x:v>
      </x:c>
      <x:c r="K114" s="169" t="n">
        <x:f>(K111+K113)/2</x:f>
        <x:v>0</x:v>
      </x:c>
      <x:c r="L114" s="169" t="n">
        <x:f>(L111+L113)/2</x:f>
        <x:v>0</x:v>
      </x:c>
      <x:c r="M114" s="169" t="n">
        <x:f>(M111+M113)/2</x:f>
        <x:v>0</x:v>
      </x:c>
      <x:c r="N114" s="169" t="n">
        <x:f>(N111+N113)/2</x:f>
        <x:v>0</x:v>
      </x:c>
      <x:c r="O114" s="169" t="n">
        <x:f>(O111+O113)/2</x:f>
        <x:v>0</x:v>
      </x:c>
      <x:c r="P114" s="169" t="n">
        <x:f>(P111+P113)/2</x:f>
        <x:v>0</x:v>
      </x:c>
      <x:c r="Q114" s="169" t="n">
        <x:f>(Q111+Q113)/2</x:f>
        <x:v>0</x:v>
      </x:c>
      <x:c r="R114" s="169" t="n">
        <x:f>(R111+R113)/2</x:f>
        <x:v>0</x:v>
      </x:c>
      <x:c r="S114" s="169" t="n">
        <x:f>(S111+S113)/2</x:f>
        <x:v>0</x:v>
      </x:c>
      <x:c r="T114" s="169" t="n">
        <x:f>(T111+T113)/2</x:f>
        <x:v>0</x:v>
      </x:c>
      <x:c r="U114" s="169" t="n">
        <x:f>(U111+U113)/2</x:f>
        <x:v>0</x:v>
      </x:c>
      <x:c r="V114" s="169" t="n">
        <x:f>(V111+V113)/2</x:f>
        <x:v>0</x:v>
      </x:c>
      <x:c r="W114" s="169" t="n">
        <x:f>(W111+W113)/2</x:f>
        <x:v>0</x:v>
      </x:c>
      <x:c r="X114" s="169" t="n">
        <x:f>(X111+X113)/2</x:f>
        <x:v>0</x:v>
      </x:c>
      <x:c r="Y114" s="169" t="n">
        <x:f>(Y111+Y113)/2</x:f>
        <x:v>0</x:v>
      </x:c>
      <x:c r="Z114" s="169" t="n">
        <x:f>(Z111+Z113)/2</x:f>
        <x:v>0</x:v>
      </x:c>
      <x:c r="AA114" s="169" t="n">
        <x:f>(AA111+AA113)/2</x:f>
        <x:v>0</x:v>
      </x:c>
      <x:c r="AB114" s="169" t="n">
        <x:f>(AB111+AB113)/2</x:f>
        <x:v>0</x:v>
      </x:c>
      <x:c r="AC114" s="169" t="n">
        <x:f>(AC111+AC113)/2</x:f>
        <x:v>0</x:v>
      </x:c>
    </x:row>
    <x:row r="115" ht="20" customHeight="1">
      <x:c r="A115" s="170" t="str">
        <x:v>Networking / CPU</x:v>
      </x:c>
      <x:c r="B115" s="214" t="n">
        <x:v>2023</x:v>
      </x:c>
      <x:c r="C115" s="170" t="n">
        <x:f>'ROIC Cloud'!D$15*'ROIC Cloud'!$D$46</x:f>
        <x:v>12422.839981441211</x:v>
      </x:c>
      <x:c r="D115" s="214" t="n">
        <x:f>'ROIC Cloud'!$D$42</x:f>
        <x:v>6</x:v>
      </x:c>
      <x:c r="E115" s="214" t="n">
        <x:f>B115+'ROIC Cloud'!$D$40</x:f>
        <x:v>2025</x:v>
      </x:c>
      <x:c r="F115" s="170" t="str">
        <x:v>Opening NBV</x:v>
      </x:c>
      <x:c r="G115" s="169" t="n">
        <x:f>IF(G$4&gt;=$E115,$C115*MAX(0,1-(G$4-$E115)/$D115),0)</x:f>
        <x:v>0</x:v>
      </x:c>
      <x:c r="H115" s="169" t="n">
        <x:f>IF(H$4&gt;=$E115,$C115*MAX(0,1-(H$4-$E115)/$D115),0)</x:f>
        <x:v>0</x:v>
      </x:c>
      <x:c r="I115" s="169" t="n">
        <x:f>IF(I$4&gt;=$E115,$C115*MAX(0,1-(I$4-$E115)/$D115),0)</x:f>
        <x:v>12422.839981441211</x:v>
      </x:c>
      <x:c r="J115" s="169" t="n">
        <x:f>IF(J$4&gt;=$E115,$C115*MAX(0,1-(J$4-$E115)/$D115),0)</x:f>
        <x:v>10352.36665120101</x:v>
      </x:c>
      <x:c r="K115" s="169" t="n">
        <x:f>IF(K$4&gt;=$E115,$C115*MAX(0,1-(K$4-$E115)/$D115),0)</x:f>
        <x:v>8281.89332096081</x:v>
      </x:c>
      <x:c r="L115" s="169" t="n">
        <x:f>IF(L$4&gt;=$E115,$C115*MAX(0,1-(L$4-$E115)/$D115),0)</x:f>
        <x:v>6211.419990720606</x:v>
      </x:c>
      <x:c r="M115" s="169" t="n">
        <x:f>IF(M$4&gt;=$E115,$C115*MAX(0,1-(M$4-$E115)/$D115),0)</x:f>
        <x:v>4140.946660480405</x:v>
      </x:c>
      <x:c r="N115" s="169" t="n">
        <x:f>IF(N$4&gt;=$E115,$C115*MAX(0,1-(N$4-$E115)/$D115),0)</x:f>
        <x:v>2070.4733302402014</x:v>
      </x:c>
      <x:c r="O115" s="169" t="n">
        <x:f>IF(O$4&gt;=$E115,$C115*MAX(0,1-(O$4-$E115)/$D115),0)</x:f>
        <x:v>0</x:v>
      </x:c>
      <x:c r="P115" s="169" t="n">
        <x:f>IF(P$4&gt;=$E115,$C115*MAX(0,1-(P$4-$E115)/$D115),0)</x:f>
        <x:v>0</x:v>
      </x:c>
      <x:c r="Q115" s="169" t="n">
        <x:f>IF(Q$4&gt;=$E115,$C115*MAX(0,1-(Q$4-$E115)/$D115),0)</x:f>
        <x:v>0</x:v>
      </x:c>
      <x:c r="R115" s="169" t="n">
        <x:f>IF(R$4&gt;=$E115,$C115*MAX(0,1-(R$4-$E115)/$D115),0)</x:f>
        <x:v>0</x:v>
      </x:c>
      <x:c r="S115" s="169" t="n">
        <x:f>IF(S$4&gt;=$E115,$C115*MAX(0,1-(S$4-$E115)/$D115),0)</x:f>
        <x:v>0</x:v>
      </x:c>
      <x:c r="T115" s="169" t="n">
        <x:f>IF(T$4&gt;=$E115,$C115*MAX(0,1-(T$4-$E115)/$D115),0)</x:f>
        <x:v>0</x:v>
      </x:c>
      <x:c r="U115" s="169" t="n">
        <x:f>IF(U$4&gt;=$E115,$C115*MAX(0,1-(U$4-$E115)/$D115),0)</x:f>
        <x:v>0</x:v>
      </x:c>
      <x:c r="V115" s="169" t="n">
        <x:f>IF(V$4&gt;=$E115,$C115*MAX(0,1-(V$4-$E115)/$D115),0)</x:f>
        <x:v>0</x:v>
      </x:c>
      <x:c r="W115" s="169" t="n">
        <x:f>IF(W$4&gt;=$E115,$C115*MAX(0,1-(W$4-$E115)/$D115),0)</x:f>
        <x:v>0</x:v>
      </x:c>
      <x:c r="X115" s="169" t="n">
        <x:f>IF(X$4&gt;=$E115,$C115*MAX(0,1-(X$4-$E115)/$D115),0)</x:f>
        <x:v>0</x:v>
      </x:c>
      <x:c r="Y115" s="169" t="n">
        <x:f>IF(Y$4&gt;=$E115,$C115*MAX(0,1-(Y$4-$E115)/$D115),0)</x:f>
        <x:v>0</x:v>
      </x:c>
      <x:c r="Z115" s="169" t="n">
        <x:f>IF(Z$4&gt;=$E115,$C115*MAX(0,1-(Z$4-$E115)/$D115),0)</x:f>
        <x:v>0</x:v>
      </x:c>
      <x:c r="AA115" s="169" t="n">
        <x:f>IF(AA$4&gt;=$E115,$C115*MAX(0,1-(AA$4-$E115)/$D115),0)</x:f>
        <x:v>0</x:v>
      </x:c>
      <x:c r="AB115" s="169" t="n">
        <x:f>IF(AB$4&gt;=$E115,$C115*MAX(0,1-(AB$4-$E115)/$D115),0)</x:f>
        <x:v>0</x:v>
      </x:c>
      <x:c r="AC115" s="169" t="n">
        <x:f>IF(AC$4&gt;=$E115,$C115*MAX(0,1-(AC$4-$E115)/$D115),0)</x:f>
        <x:v>0</x:v>
      </x:c>
    </x:row>
    <x:row r="116" ht="20" customHeight="1">
      <x:c r="A116" s="170" t="str">
        <x:v>Networking / CPU</x:v>
      </x:c>
      <x:c r="B116" s="214" t="n">
        <x:v>2023</x:v>
      </x:c>
      <x:c r="C116" s="170" t="n">
        <x:f>'ROIC Cloud'!D$15*'ROIC Cloud'!$D$46</x:f>
        <x:v>12422.839981441211</x:v>
      </x:c>
      <x:c r="D116" s="214" t="n">
        <x:f>'ROIC Cloud'!$D$42</x:f>
        <x:v>6</x:v>
      </x:c>
      <x:c r="E116" s="214" t="n">
        <x:f>B116+'ROIC Cloud'!$D$40</x:f>
        <x:v>2025</x:v>
      </x:c>
      <x:c r="F116" s="170" t="str">
        <x:v>Depreciation</x:v>
      </x:c>
      <x:c r="G116" s="169" t="n">
        <x:f>IF(G$4&gt;=$E115,MIN($C115/$D115,G115),0)</x:f>
        <x:v>0</x:v>
      </x:c>
      <x:c r="H116" s="169" t="n">
        <x:f>IF(H$4&gt;=$E115,MIN($C115/$D115,H115),0)</x:f>
        <x:v>0</x:v>
      </x:c>
      <x:c r="I116" s="169" t="n">
        <x:f>IF(I$4&gt;=$E115,MIN($C115/$D115,I115),0)</x:f>
        <x:v>2070.473330240202</x:v>
      </x:c>
      <x:c r="J116" s="169" t="n">
        <x:f>IF(J$4&gt;=$E115,MIN($C115/$D115,J115),0)</x:f>
        <x:v>2070.473330240202</x:v>
      </x:c>
      <x:c r="K116" s="169" t="n">
        <x:f>IF(K$4&gt;=$E115,MIN($C115/$D115,K115),0)</x:f>
        <x:v>2070.473330240202</x:v>
      </x:c>
      <x:c r="L116" s="169" t="n">
        <x:f>IF(L$4&gt;=$E115,MIN($C115/$D115,L115),0)</x:f>
        <x:v>2070.473330240202</x:v>
      </x:c>
      <x:c r="M116" s="169" t="n">
        <x:f>IF(M$4&gt;=$E115,MIN($C115/$D115,M115),0)</x:f>
        <x:v>2070.473330240202</x:v>
      </x:c>
      <x:c r="N116" s="169" t="n">
        <x:f>IF(N$4&gt;=$E115,MIN($C115/$D115,N115),0)</x:f>
        <x:v>2070.4733302402014</x:v>
      </x:c>
      <x:c r="O116" s="169" t="n">
        <x:f>IF(O$4&gt;=$E115,MIN($C115/$D115,O115),0)</x:f>
        <x:v>0</x:v>
      </x:c>
      <x:c r="P116" s="169" t="n">
        <x:f>IF(P$4&gt;=$E115,MIN($C115/$D115,P115),0)</x:f>
        <x:v>0</x:v>
      </x:c>
      <x:c r="Q116" s="169" t="n">
        <x:f>IF(Q$4&gt;=$E115,MIN($C115/$D115,Q115),0)</x:f>
        <x:v>0</x:v>
      </x:c>
      <x:c r="R116" s="169" t="n">
        <x:f>IF(R$4&gt;=$E115,MIN($C115/$D115,R115),0)</x:f>
        <x:v>0</x:v>
      </x:c>
      <x:c r="S116" s="169" t="n">
        <x:f>IF(S$4&gt;=$E115,MIN($C115/$D115,S115),0)</x:f>
        <x:v>0</x:v>
      </x:c>
      <x:c r="T116" s="169" t="n">
        <x:f>IF(T$4&gt;=$E115,MIN($C115/$D115,T115),0)</x:f>
        <x:v>0</x:v>
      </x:c>
      <x:c r="U116" s="169" t="n">
        <x:f>IF(U$4&gt;=$E115,MIN($C115/$D115,U115),0)</x:f>
        <x:v>0</x:v>
      </x:c>
      <x:c r="V116" s="169" t="n">
        <x:f>IF(V$4&gt;=$E115,MIN($C115/$D115,V115),0)</x:f>
        <x:v>0</x:v>
      </x:c>
      <x:c r="W116" s="169" t="n">
        <x:f>IF(W$4&gt;=$E115,MIN($C115/$D115,W115),0)</x:f>
        <x:v>0</x:v>
      </x:c>
      <x:c r="X116" s="169" t="n">
        <x:f>IF(X$4&gt;=$E115,MIN($C115/$D115,X115),0)</x:f>
        <x:v>0</x:v>
      </x:c>
      <x:c r="Y116" s="169" t="n">
        <x:f>IF(Y$4&gt;=$E115,MIN($C115/$D115,Y115),0)</x:f>
        <x:v>0</x:v>
      </x:c>
      <x:c r="Z116" s="169" t="n">
        <x:f>IF(Z$4&gt;=$E115,MIN($C115/$D115,Z115),0)</x:f>
        <x:v>0</x:v>
      </x:c>
      <x:c r="AA116" s="169" t="n">
        <x:f>IF(AA$4&gt;=$E115,MIN($C115/$D115,AA115),0)</x:f>
        <x:v>0</x:v>
      </x:c>
      <x:c r="AB116" s="169" t="n">
        <x:f>IF(AB$4&gt;=$E115,MIN($C115/$D115,AB115),0)</x:f>
        <x:v>0</x:v>
      </x:c>
      <x:c r="AC116" s="169" t="n">
        <x:f>IF(AC$4&gt;=$E115,MIN($C115/$D115,AC115),0)</x:f>
        <x:v>0</x:v>
      </x:c>
    </x:row>
    <x:row r="117" ht="20" customHeight="1">
      <x:c r="A117" s="170" t="str">
        <x:v>Networking / CPU</x:v>
      </x:c>
      <x:c r="B117" s="214" t="n">
        <x:v>2023</x:v>
      </x:c>
      <x:c r="C117" s="170" t="n">
        <x:f>'ROIC Cloud'!D$15*'ROIC Cloud'!$D$46</x:f>
        <x:v>12422.839981441211</x:v>
      </x:c>
      <x:c r="D117" s="214" t="n">
        <x:f>'ROIC Cloud'!$D$42</x:f>
        <x:v>6</x:v>
      </x:c>
      <x:c r="E117" s="214" t="n">
        <x:f>B117+'ROIC Cloud'!$D$40</x:f>
        <x:v>2025</x:v>
      </x:c>
      <x:c r="F117" s="170" t="str">
        <x:v>Closing NBV</x:v>
      </x:c>
      <x:c r="G117" s="169" t="n">
        <x:f>MAX(0,G115-G116)</x:f>
        <x:v>0</x:v>
      </x:c>
      <x:c r="H117" s="169" t="n">
        <x:f>MAX(0,H115-H116)</x:f>
        <x:v>0</x:v>
      </x:c>
      <x:c r="I117" s="169" t="n">
        <x:f>MAX(0,I115-I116)</x:f>
        <x:v>10352.36665120101</x:v>
      </x:c>
      <x:c r="J117" s="169" t="n">
        <x:f>MAX(0,J115-J116)</x:f>
        <x:v>8281.893320960808</x:v>
      </x:c>
      <x:c r="K117" s="169" t="n">
        <x:f>MAX(0,K115-K116)</x:f>
        <x:v>6211.4199907206075</x:v>
      </x:c>
      <x:c r="L117" s="169" t="n">
        <x:f>MAX(0,L115-L116)</x:f>
        <x:v>4140.946660480404</x:v>
      </x:c>
      <x:c r="M117" s="169" t="n">
        <x:f>MAX(0,M115-M116)</x:f>
        <x:v>2070.473330240203</x:v>
      </x:c>
      <x:c r="N117" s="169" t="n">
        <x:f>MAX(0,N115-N116)</x:f>
        <x:v>0</x:v>
      </x:c>
      <x:c r="O117" s="169" t="n">
        <x:f>MAX(0,O115-O116)</x:f>
        <x:v>0</x:v>
      </x:c>
      <x:c r="P117" s="169" t="n">
        <x:f>MAX(0,P115-P116)</x:f>
        <x:v>0</x:v>
      </x:c>
      <x:c r="Q117" s="169" t="n">
        <x:f>MAX(0,Q115-Q116)</x:f>
        <x:v>0</x:v>
      </x:c>
      <x:c r="R117" s="169" t="n">
        <x:f>MAX(0,R115-R116)</x:f>
        <x:v>0</x:v>
      </x:c>
      <x:c r="S117" s="169" t="n">
        <x:f>MAX(0,S115-S116)</x:f>
        <x:v>0</x:v>
      </x:c>
      <x:c r="T117" s="169" t="n">
        <x:f>MAX(0,T115-T116)</x:f>
        <x:v>0</x:v>
      </x:c>
      <x:c r="U117" s="169" t="n">
        <x:f>MAX(0,U115-U116)</x:f>
        <x:v>0</x:v>
      </x:c>
      <x:c r="V117" s="169" t="n">
        <x:f>MAX(0,V115-V116)</x:f>
        <x:v>0</x:v>
      </x:c>
      <x:c r="W117" s="169" t="n">
        <x:f>MAX(0,W115-W116)</x:f>
        <x:v>0</x:v>
      </x:c>
      <x:c r="X117" s="169" t="n">
        <x:f>MAX(0,X115-X116)</x:f>
        <x:v>0</x:v>
      </x:c>
      <x:c r="Y117" s="169" t="n">
        <x:f>MAX(0,Y115-Y116)</x:f>
        <x:v>0</x:v>
      </x:c>
      <x:c r="Z117" s="169" t="n">
        <x:f>MAX(0,Z115-Z116)</x:f>
        <x:v>0</x:v>
      </x:c>
      <x:c r="AA117" s="169" t="n">
        <x:f>MAX(0,AA115-AA116)</x:f>
        <x:v>0</x:v>
      </x:c>
      <x:c r="AB117" s="169" t="n">
        <x:f>MAX(0,AB115-AB116)</x:f>
        <x:v>0</x:v>
      </x:c>
      <x:c r="AC117" s="169" t="n">
        <x:f>MAX(0,AC115-AC116)</x:f>
        <x:v>0</x:v>
      </x:c>
    </x:row>
    <x:row r="118" ht="20" customHeight="1">
      <x:c r="A118" s="170" t="str">
        <x:v>Networking / CPU</x:v>
      </x:c>
      <x:c r="B118" s="214" t="n">
        <x:v>2023</x:v>
      </x:c>
      <x:c r="C118" s="170" t="n">
        <x:f>'ROIC Cloud'!D$15*'ROIC Cloud'!$D$46</x:f>
        <x:v>12422.839981441211</x:v>
      </x:c>
      <x:c r="D118" s="214" t="n">
        <x:f>'ROIC Cloud'!$D$42</x:f>
        <x:v>6</x:v>
      </x:c>
      <x:c r="E118" s="214" t="n">
        <x:f>B118+'ROIC Cloud'!$D$40</x:f>
        <x:v>2025</x:v>
      </x:c>
      <x:c r="F118" s="170" t="str">
        <x:v>Average NBV</x:v>
      </x:c>
      <x:c r="G118" s="169" t="n">
        <x:f>(G115+G117)/2</x:f>
        <x:v>0</x:v>
      </x:c>
      <x:c r="H118" s="169" t="n">
        <x:f>(H115+H117)/2</x:f>
        <x:v>0</x:v>
      </x:c>
      <x:c r="I118" s="169" t="n">
        <x:f>(I115+I117)/2</x:f>
        <x:v>11387.60331632111</x:v>
      </x:c>
      <x:c r="J118" s="169" t="n">
        <x:f>(J115+J117)/2</x:f>
        <x:v>9317.129986080909</x:v>
      </x:c>
      <x:c r="K118" s="169" t="n">
        <x:f>(K115+K117)/2</x:f>
        <x:v>7246.6566558407085</x:v>
      </x:c>
      <x:c r="L118" s="169" t="n">
        <x:f>(L115+L117)/2</x:f>
        <x:v>5176.183325600505</x:v>
      </x:c>
      <x:c r="M118" s="169" t="n">
        <x:f>(M115+M117)/2</x:f>
        <x:v>3105.7099953603038</x:v>
      </x:c>
      <x:c r="N118" s="169" t="n">
        <x:f>(N115+N117)/2</x:f>
        <x:v>1035.2366651201007</x:v>
      </x:c>
      <x:c r="O118" s="169" t="n">
        <x:f>(O115+O117)/2</x:f>
        <x:v>0</x:v>
      </x:c>
      <x:c r="P118" s="169" t="n">
        <x:f>(P115+P117)/2</x:f>
        <x:v>0</x:v>
      </x:c>
      <x:c r="Q118" s="169" t="n">
        <x:f>(Q115+Q117)/2</x:f>
        <x:v>0</x:v>
      </x:c>
      <x:c r="R118" s="169" t="n">
        <x:f>(R115+R117)/2</x:f>
        <x:v>0</x:v>
      </x:c>
      <x:c r="S118" s="169" t="n">
        <x:f>(S115+S117)/2</x:f>
        <x:v>0</x:v>
      </x:c>
      <x:c r="T118" s="169" t="n">
        <x:f>(T115+T117)/2</x:f>
        <x:v>0</x:v>
      </x:c>
      <x:c r="U118" s="169" t="n">
        <x:f>(U115+U117)/2</x:f>
        <x:v>0</x:v>
      </x:c>
      <x:c r="V118" s="169" t="n">
        <x:f>(V115+V117)/2</x:f>
        <x:v>0</x:v>
      </x:c>
      <x:c r="W118" s="169" t="n">
        <x:f>(W115+W117)/2</x:f>
        <x:v>0</x:v>
      </x:c>
      <x:c r="X118" s="169" t="n">
        <x:f>(X115+X117)/2</x:f>
        <x:v>0</x:v>
      </x:c>
      <x:c r="Y118" s="169" t="n">
        <x:f>(Y115+Y117)/2</x:f>
        <x:v>0</x:v>
      </x:c>
      <x:c r="Z118" s="169" t="n">
        <x:f>(Z115+Z117)/2</x:f>
        <x:v>0</x:v>
      </x:c>
      <x:c r="AA118" s="169" t="n">
        <x:f>(AA115+AA117)/2</x:f>
        <x:v>0</x:v>
      </x:c>
      <x:c r="AB118" s="169" t="n">
        <x:f>(AB115+AB117)/2</x:f>
        <x:v>0</x:v>
      </x:c>
      <x:c r="AC118" s="169" t="n">
        <x:f>(AC115+AC117)/2</x:f>
        <x:v>0</x:v>
      </x:c>
    </x:row>
    <x:row r="119" ht="20" customHeight="1">
      <x:c r="A119" s="170" t="str">
        <x:v>Networking / CPU</x:v>
      </x:c>
      <x:c r="B119" s="214" t="n">
        <x:v>2024</x:v>
      </x:c>
      <x:c r="C119" s="170" t="n">
        <x:f>'ROIC Cloud'!E$15*'ROIC Cloud'!$D$46</x:f>
        <x:v>32384.051153896882</x:v>
      </x:c>
      <x:c r="D119" s="214" t="n">
        <x:f>'ROIC Cloud'!$D$42</x:f>
        <x:v>6</x:v>
      </x:c>
      <x:c r="E119" s="214" t="n">
        <x:f>B119+'ROIC Cloud'!$D$40</x:f>
        <x:v>2026</x:v>
      </x:c>
      <x:c r="F119" s="170" t="str">
        <x:v>Opening NBV</x:v>
      </x:c>
      <x:c r="G119" s="169" t="n">
        <x:f>IF(G$4&gt;=$E119,$C119*MAX(0,1-(G$4-$E119)/$D119),0)</x:f>
        <x:v>0</x:v>
      </x:c>
      <x:c r="H119" s="169" t="n">
        <x:f>IF(H$4&gt;=$E119,$C119*MAX(0,1-(H$4-$E119)/$D119),0)</x:f>
        <x:v>0</x:v>
      </x:c>
      <x:c r="I119" s="169" t="n">
        <x:f>IF(I$4&gt;=$E119,$C119*MAX(0,1-(I$4-$E119)/$D119),0)</x:f>
        <x:v>0</x:v>
      </x:c>
      <x:c r="J119" s="169" t="n">
        <x:f>IF(J$4&gt;=$E119,$C119*MAX(0,1-(J$4-$E119)/$D119),0)</x:f>
        <x:v>32384.051153896882</x:v>
      </x:c>
      <x:c r="K119" s="169" t="n">
        <x:f>IF(K$4&gt;=$E119,$C119*MAX(0,1-(K$4-$E119)/$D119),0)</x:f>
        <x:v>26986.709294914068</x:v>
      </x:c>
      <x:c r="L119" s="169" t="n">
        <x:f>IF(L$4&gt;=$E119,$C119*MAX(0,1-(L$4-$E119)/$D119),0)</x:f>
        <x:v>21589.367435931257</x:v>
      </x:c>
      <x:c r="M119" s="169" t="n">
        <x:f>IF(M$4&gt;=$E119,$C119*MAX(0,1-(M$4-$E119)/$D119),0)</x:f>
        <x:v>16192.025576948441</x:v>
      </x:c>
      <x:c r="N119" s="169" t="n">
        <x:f>IF(N$4&gt;=$E119,$C119*MAX(0,1-(N$4-$E119)/$D119),0)</x:f>
        <x:v>10794.683717965629</x:v>
      </x:c>
      <x:c r="O119" s="169" t="n">
        <x:f>IF(O$4&gt;=$E119,$C119*MAX(0,1-(O$4-$E119)/$D119),0)</x:f>
        <x:v>5397.3418589828125</x:v>
      </x:c>
      <x:c r="P119" s="169" t="n">
        <x:f>IF(P$4&gt;=$E119,$C119*MAX(0,1-(P$4-$E119)/$D119),0)</x:f>
        <x:v>0</x:v>
      </x:c>
      <x:c r="Q119" s="169" t="n">
        <x:f>IF(Q$4&gt;=$E119,$C119*MAX(0,1-(Q$4-$E119)/$D119),0)</x:f>
        <x:v>0</x:v>
      </x:c>
      <x:c r="R119" s="169" t="n">
        <x:f>IF(R$4&gt;=$E119,$C119*MAX(0,1-(R$4-$E119)/$D119),0)</x:f>
        <x:v>0</x:v>
      </x:c>
      <x:c r="S119" s="169" t="n">
        <x:f>IF(S$4&gt;=$E119,$C119*MAX(0,1-(S$4-$E119)/$D119),0)</x:f>
        <x:v>0</x:v>
      </x:c>
      <x:c r="T119" s="169" t="n">
        <x:f>IF(T$4&gt;=$E119,$C119*MAX(0,1-(T$4-$E119)/$D119),0)</x:f>
        <x:v>0</x:v>
      </x:c>
      <x:c r="U119" s="169" t="n">
        <x:f>IF(U$4&gt;=$E119,$C119*MAX(0,1-(U$4-$E119)/$D119),0)</x:f>
        <x:v>0</x:v>
      </x:c>
      <x:c r="V119" s="169" t="n">
        <x:f>IF(V$4&gt;=$E119,$C119*MAX(0,1-(V$4-$E119)/$D119),0)</x:f>
        <x:v>0</x:v>
      </x:c>
      <x:c r="W119" s="169" t="n">
        <x:f>IF(W$4&gt;=$E119,$C119*MAX(0,1-(W$4-$E119)/$D119),0)</x:f>
        <x:v>0</x:v>
      </x:c>
      <x:c r="X119" s="169" t="n">
        <x:f>IF(X$4&gt;=$E119,$C119*MAX(0,1-(X$4-$E119)/$D119),0)</x:f>
        <x:v>0</x:v>
      </x:c>
      <x:c r="Y119" s="169" t="n">
        <x:f>IF(Y$4&gt;=$E119,$C119*MAX(0,1-(Y$4-$E119)/$D119),0)</x:f>
        <x:v>0</x:v>
      </x:c>
      <x:c r="Z119" s="169" t="n">
        <x:f>IF(Z$4&gt;=$E119,$C119*MAX(0,1-(Z$4-$E119)/$D119),0)</x:f>
        <x:v>0</x:v>
      </x:c>
      <x:c r="AA119" s="169" t="n">
        <x:f>IF(AA$4&gt;=$E119,$C119*MAX(0,1-(AA$4-$E119)/$D119),0)</x:f>
        <x:v>0</x:v>
      </x:c>
      <x:c r="AB119" s="169" t="n">
        <x:f>IF(AB$4&gt;=$E119,$C119*MAX(0,1-(AB$4-$E119)/$D119),0)</x:f>
        <x:v>0</x:v>
      </x:c>
      <x:c r="AC119" s="169" t="n">
        <x:f>IF(AC$4&gt;=$E119,$C119*MAX(0,1-(AC$4-$E119)/$D119),0)</x:f>
        <x:v>0</x:v>
      </x:c>
    </x:row>
    <x:row r="120" ht="20" customHeight="1">
      <x:c r="A120" s="170" t="str">
        <x:v>Networking / CPU</x:v>
      </x:c>
      <x:c r="B120" s="214" t="n">
        <x:v>2024</x:v>
      </x:c>
      <x:c r="C120" s="170" t="n">
        <x:f>'ROIC Cloud'!E$15*'ROIC Cloud'!$D$46</x:f>
        <x:v>32384.051153896882</x:v>
      </x:c>
      <x:c r="D120" s="214" t="n">
        <x:f>'ROIC Cloud'!$D$42</x:f>
        <x:v>6</x:v>
      </x:c>
      <x:c r="E120" s="214" t="n">
        <x:f>B120+'ROIC Cloud'!$D$40</x:f>
        <x:v>2026</x:v>
      </x:c>
      <x:c r="F120" s="170" t="str">
        <x:v>Depreciation</x:v>
      </x:c>
      <x:c r="G120" s="169" t="n">
        <x:f>IF(G$4&gt;=$E119,MIN($C119/$D119,G119),0)</x:f>
        <x:v>0</x:v>
      </x:c>
      <x:c r="H120" s="169" t="n">
        <x:f>IF(H$4&gt;=$E119,MIN($C119/$D119,H119),0)</x:f>
        <x:v>0</x:v>
      </x:c>
      <x:c r="I120" s="169" t="n">
        <x:f>IF(I$4&gt;=$E119,MIN($C119/$D119,I119),0)</x:f>
        <x:v>0</x:v>
      </x:c>
      <x:c r="J120" s="169" t="n">
        <x:f>IF(J$4&gt;=$E119,MIN($C119/$D119,J119),0)</x:f>
        <x:v>5397.341858982813</x:v>
      </x:c>
      <x:c r="K120" s="169" t="n">
        <x:f>IF(K$4&gt;=$E119,MIN($C119/$D119,K119),0)</x:f>
        <x:v>5397.341858982813</x:v>
      </x:c>
      <x:c r="L120" s="169" t="n">
        <x:f>IF(L$4&gt;=$E119,MIN($C119/$D119,L119),0)</x:f>
        <x:v>5397.341858982813</x:v>
      </x:c>
      <x:c r="M120" s="169" t="n">
        <x:f>IF(M$4&gt;=$E119,MIN($C119/$D119,M119),0)</x:f>
        <x:v>5397.341858982813</x:v>
      </x:c>
      <x:c r="N120" s="169" t="n">
        <x:f>IF(N$4&gt;=$E119,MIN($C119/$D119,N119),0)</x:f>
        <x:v>5397.341858982813</x:v>
      </x:c>
      <x:c r="O120" s="169" t="n">
        <x:f>IF(O$4&gt;=$E119,MIN($C119/$D119,O119),0)</x:f>
        <x:v>5397.3418589828125</x:v>
      </x:c>
      <x:c r="P120" s="169" t="n">
        <x:f>IF(P$4&gt;=$E119,MIN($C119/$D119,P119),0)</x:f>
        <x:v>0</x:v>
      </x:c>
      <x:c r="Q120" s="169" t="n">
        <x:f>IF(Q$4&gt;=$E119,MIN($C119/$D119,Q119),0)</x:f>
        <x:v>0</x:v>
      </x:c>
      <x:c r="R120" s="169" t="n">
        <x:f>IF(R$4&gt;=$E119,MIN($C119/$D119,R119),0)</x:f>
        <x:v>0</x:v>
      </x:c>
      <x:c r="S120" s="169" t="n">
        <x:f>IF(S$4&gt;=$E119,MIN($C119/$D119,S119),0)</x:f>
        <x:v>0</x:v>
      </x:c>
      <x:c r="T120" s="169" t="n">
        <x:f>IF(T$4&gt;=$E119,MIN($C119/$D119,T119),0)</x:f>
        <x:v>0</x:v>
      </x:c>
      <x:c r="U120" s="169" t="n">
        <x:f>IF(U$4&gt;=$E119,MIN($C119/$D119,U119),0)</x:f>
        <x:v>0</x:v>
      </x:c>
      <x:c r="V120" s="169" t="n">
        <x:f>IF(V$4&gt;=$E119,MIN($C119/$D119,V119),0)</x:f>
        <x:v>0</x:v>
      </x:c>
      <x:c r="W120" s="169" t="n">
        <x:f>IF(W$4&gt;=$E119,MIN($C119/$D119,W119),0)</x:f>
        <x:v>0</x:v>
      </x:c>
      <x:c r="X120" s="169" t="n">
        <x:f>IF(X$4&gt;=$E119,MIN($C119/$D119,X119),0)</x:f>
        <x:v>0</x:v>
      </x:c>
      <x:c r="Y120" s="169" t="n">
        <x:f>IF(Y$4&gt;=$E119,MIN($C119/$D119,Y119),0)</x:f>
        <x:v>0</x:v>
      </x:c>
      <x:c r="Z120" s="169" t="n">
        <x:f>IF(Z$4&gt;=$E119,MIN($C119/$D119,Z119),0)</x:f>
        <x:v>0</x:v>
      </x:c>
      <x:c r="AA120" s="169" t="n">
        <x:f>IF(AA$4&gt;=$E119,MIN($C119/$D119,AA119),0)</x:f>
        <x:v>0</x:v>
      </x:c>
      <x:c r="AB120" s="169" t="n">
        <x:f>IF(AB$4&gt;=$E119,MIN($C119/$D119,AB119),0)</x:f>
        <x:v>0</x:v>
      </x:c>
      <x:c r="AC120" s="169" t="n">
        <x:f>IF(AC$4&gt;=$E119,MIN($C119/$D119,AC119),0)</x:f>
        <x:v>0</x:v>
      </x:c>
    </x:row>
    <x:row r="121" ht="20" customHeight="1">
      <x:c r="A121" s="170" t="str">
        <x:v>Networking / CPU</x:v>
      </x:c>
      <x:c r="B121" s="214" t="n">
        <x:v>2024</x:v>
      </x:c>
      <x:c r="C121" s="170" t="n">
        <x:f>'ROIC Cloud'!E$15*'ROIC Cloud'!$D$46</x:f>
        <x:v>32384.051153896882</x:v>
      </x:c>
      <x:c r="D121" s="214" t="n">
        <x:f>'ROIC Cloud'!$D$42</x:f>
        <x:v>6</x:v>
      </x:c>
      <x:c r="E121" s="214" t="n">
        <x:f>B121+'ROIC Cloud'!$D$40</x:f>
        <x:v>2026</x:v>
      </x:c>
      <x:c r="F121" s="170" t="str">
        <x:v>Closing NBV</x:v>
      </x:c>
      <x:c r="G121" s="169" t="n">
        <x:f>MAX(0,G119-G120)</x:f>
        <x:v>0</x:v>
      </x:c>
      <x:c r="H121" s="169" t="n">
        <x:f>MAX(0,H119-H120)</x:f>
        <x:v>0</x:v>
      </x:c>
      <x:c r="I121" s="169" t="n">
        <x:f>MAX(0,I119-I120)</x:f>
        <x:v>0</x:v>
      </x:c>
      <x:c r="J121" s="169" t="n">
        <x:f>MAX(0,J119-J120)</x:f>
        <x:v>26986.709294914068</x:v>
      </x:c>
      <x:c r="K121" s="169" t="n">
        <x:f>MAX(0,K119-K120)</x:f>
        <x:v>21589.367435931254</x:v>
      </x:c>
      <x:c r="L121" s="169" t="n">
        <x:f>MAX(0,L119-L120)</x:f>
        <x:v>16192.025576948443</x:v>
      </x:c>
      <x:c r="M121" s="169" t="n">
        <x:f>MAX(0,M119-M120)</x:f>
        <x:v>10794.683717965629</x:v>
      </x:c>
      <x:c r="N121" s="169" t="n">
        <x:f>MAX(0,N119-N120)</x:f>
        <x:v>5397.341858982815</x:v>
      </x:c>
      <x:c r="O121" s="169" t="n">
        <x:f>MAX(0,O119-O120)</x:f>
        <x:v>0</x:v>
      </x:c>
      <x:c r="P121" s="169" t="n">
        <x:f>MAX(0,P119-P120)</x:f>
        <x:v>0</x:v>
      </x:c>
      <x:c r="Q121" s="169" t="n">
        <x:f>MAX(0,Q119-Q120)</x:f>
        <x:v>0</x:v>
      </x:c>
      <x:c r="R121" s="169" t="n">
        <x:f>MAX(0,R119-R120)</x:f>
        <x:v>0</x:v>
      </x:c>
      <x:c r="S121" s="169" t="n">
        <x:f>MAX(0,S119-S120)</x:f>
        <x:v>0</x:v>
      </x:c>
      <x:c r="T121" s="169" t="n">
        <x:f>MAX(0,T119-T120)</x:f>
        <x:v>0</x:v>
      </x:c>
      <x:c r="U121" s="169" t="n">
        <x:f>MAX(0,U119-U120)</x:f>
        <x:v>0</x:v>
      </x:c>
      <x:c r="V121" s="169" t="n">
        <x:f>MAX(0,V119-V120)</x:f>
        <x:v>0</x:v>
      </x:c>
      <x:c r="W121" s="169" t="n">
        <x:f>MAX(0,W119-W120)</x:f>
        <x:v>0</x:v>
      </x:c>
      <x:c r="X121" s="169" t="n">
        <x:f>MAX(0,X119-X120)</x:f>
        <x:v>0</x:v>
      </x:c>
      <x:c r="Y121" s="169" t="n">
        <x:f>MAX(0,Y119-Y120)</x:f>
        <x:v>0</x:v>
      </x:c>
      <x:c r="Z121" s="169" t="n">
        <x:f>MAX(0,Z119-Z120)</x:f>
        <x:v>0</x:v>
      </x:c>
      <x:c r="AA121" s="169" t="n">
        <x:f>MAX(0,AA119-AA120)</x:f>
        <x:v>0</x:v>
      </x:c>
      <x:c r="AB121" s="169" t="n">
        <x:f>MAX(0,AB119-AB120)</x:f>
        <x:v>0</x:v>
      </x:c>
      <x:c r="AC121" s="169" t="n">
        <x:f>MAX(0,AC119-AC120)</x:f>
        <x:v>0</x:v>
      </x:c>
    </x:row>
    <x:row r="122" ht="20" customHeight="1">
      <x:c r="A122" s="170" t="str">
        <x:v>Networking / CPU</x:v>
      </x:c>
      <x:c r="B122" s="214" t="n">
        <x:v>2024</x:v>
      </x:c>
      <x:c r="C122" s="170" t="n">
        <x:f>'ROIC Cloud'!E$15*'ROIC Cloud'!$D$46</x:f>
        <x:v>32384.051153896882</x:v>
      </x:c>
      <x:c r="D122" s="214" t="n">
        <x:f>'ROIC Cloud'!$D$42</x:f>
        <x:v>6</x:v>
      </x:c>
      <x:c r="E122" s="214" t="n">
        <x:f>B122+'ROIC Cloud'!$D$40</x:f>
        <x:v>2026</x:v>
      </x:c>
      <x:c r="F122" s="170" t="str">
        <x:v>Average NBV</x:v>
      </x:c>
      <x:c r="G122" s="169" t="n">
        <x:f>(G119+G121)/2</x:f>
        <x:v>0</x:v>
      </x:c>
      <x:c r="H122" s="169" t="n">
        <x:f>(H119+H121)/2</x:f>
        <x:v>0</x:v>
      </x:c>
      <x:c r="I122" s="169" t="n">
        <x:f>(I119+I121)/2</x:f>
        <x:v>0</x:v>
      </x:c>
      <x:c r="J122" s="169" t="n">
        <x:f>(J119+J121)/2</x:f>
        <x:v>29685.380224405475</x:v>
      </x:c>
      <x:c r="K122" s="169" t="n">
        <x:f>(K119+K121)/2</x:f>
        <x:v>24288.03836542266</x:v>
      </x:c>
      <x:c r="L122" s="169" t="n">
        <x:f>(L119+L121)/2</x:f>
        <x:v>18890.69650643985</x:v>
      </x:c>
      <x:c r="M122" s="169" t="n">
        <x:f>(M119+M121)/2</x:f>
        <x:v>13493.354647457036</x:v>
      </x:c>
      <x:c r="N122" s="169" t="n">
        <x:f>(N119+N121)/2</x:f>
        <x:v>8096.012788474221</x:v>
      </x:c>
      <x:c r="O122" s="169" t="n">
        <x:f>(O119+O121)/2</x:f>
        <x:v>2698.6709294914062</x:v>
      </x:c>
      <x:c r="P122" s="169" t="n">
        <x:f>(P119+P121)/2</x:f>
        <x:v>0</x:v>
      </x:c>
      <x:c r="Q122" s="169" t="n">
        <x:f>(Q119+Q121)/2</x:f>
        <x:v>0</x:v>
      </x:c>
      <x:c r="R122" s="169" t="n">
        <x:f>(R119+R121)/2</x:f>
        <x:v>0</x:v>
      </x:c>
      <x:c r="S122" s="169" t="n">
        <x:f>(S119+S121)/2</x:f>
        <x:v>0</x:v>
      </x:c>
      <x:c r="T122" s="169" t="n">
        <x:f>(T119+T121)/2</x:f>
        <x:v>0</x:v>
      </x:c>
      <x:c r="U122" s="169" t="n">
        <x:f>(U119+U121)/2</x:f>
        <x:v>0</x:v>
      </x:c>
      <x:c r="V122" s="169" t="n">
        <x:f>(V119+V121)/2</x:f>
        <x:v>0</x:v>
      </x:c>
      <x:c r="W122" s="169" t="n">
        <x:f>(W119+W121)/2</x:f>
        <x:v>0</x:v>
      </x:c>
      <x:c r="X122" s="169" t="n">
        <x:f>(X119+X121)/2</x:f>
        <x:v>0</x:v>
      </x:c>
      <x:c r="Y122" s="169" t="n">
        <x:f>(Y119+Y121)/2</x:f>
        <x:v>0</x:v>
      </x:c>
      <x:c r="Z122" s="169" t="n">
        <x:f>(Z119+Z121)/2</x:f>
        <x:v>0</x:v>
      </x:c>
      <x:c r="AA122" s="169" t="n">
        <x:f>(AA119+AA121)/2</x:f>
        <x:v>0</x:v>
      </x:c>
      <x:c r="AB122" s="169" t="n">
        <x:f>(AB119+AB121)/2</x:f>
        <x:v>0</x:v>
      </x:c>
      <x:c r="AC122" s="169" t="n">
        <x:f>(AC119+AC121)/2</x:f>
        <x:v>0</x:v>
      </x:c>
    </x:row>
    <x:row r="123" ht="20" customHeight="1">
      <x:c r="A123" s="170" t="str">
        <x:v>Networking / CPU</x:v>
      </x:c>
      <x:c r="B123" s="214" t="n">
        <x:v>2025</x:v>
      </x:c>
      <x:c r="C123" s="170" t="n">
        <x:f>'ROIC Cloud'!F$15*'ROIC Cloud'!$D$46</x:f>
        <x:v>54871.829061290846</x:v>
      </x:c>
      <x:c r="D123" s="214" t="n">
        <x:f>'ROIC Cloud'!$D$42</x:f>
        <x:v>6</x:v>
      </x:c>
      <x:c r="E123" s="214" t="n">
        <x:f>B123+'ROIC Cloud'!$D$40</x:f>
        <x:v>2027</x:v>
      </x:c>
      <x:c r="F123" s="170" t="str">
        <x:v>Opening NBV</x:v>
      </x:c>
      <x:c r="G123" s="169" t="n">
        <x:f>IF(G$4&gt;=$E123,$C123*MAX(0,1-(G$4-$E123)/$D123),0)</x:f>
        <x:v>0</x:v>
      </x:c>
      <x:c r="H123" s="169" t="n">
        <x:f>IF(H$4&gt;=$E123,$C123*MAX(0,1-(H$4-$E123)/$D123),0)</x:f>
        <x:v>0</x:v>
      </x:c>
      <x:c r="I123" s="169" t="n">
        <x:f>IF(I$4&gt;=$E123,$C123*MAX(0,1-(I$4-$E123)/$D123),0)</x:f>
        <x:v>0</x:v>
      </x:c>
      <x:c r="J123" s="169" t="n">
        <x:f>IF(J$4&gt;=$E123,$C123*MAX(0,1-(J$4-$E123)/$D123),0)</x:f>
        <x:v>0</x:v>
      </x:c>
      <x:c r="K123" s="169" t="n">
        <x:f>IF(K$4&gt;=$E123,$C123*MAX(0,1-(K$4-$E123)/$D123),0)</x:f>
        <x:v>54871.829061290846</x:v>
      </x:c>
      <x:c r="L123" s="169" t="n">
        <x:f>IF(L$4&gt;=$E123,$C123*MAX(0,1-(L$4-$E123)/$D123),0)</x:f>
        <x:v>45726.52421774237</x:v>
      </x:c>
      <x:c r="M123" s="169" t="n">
        <x:f>IF(M$4&gt;=$E123,$C123*MAX(0,1-(M$4-$E123)/$D123),0)</x:f>
        <x:v>36581.219374193905</x:v>
      </x:c>
      <x:c r="N123" s="169" t="n">
        <x:f>IF(N$4&gt;=$E123,$C123*MAX(0,1-(N$4-$E123)/$D123),0)</x:f>
        <x:v>27435.914530645423</x:v>
      </x:c>
      <x:c r="O123" s="169" t="n">
        <x:f>IF(O$4&gt;=$E123,$C123*MAX(0,1-(O$4-$E123)/$D123),0)</x:f>
        <x:v>18290.609687096952</x:v>
      </x:c>
      <x:c r="P123" s="169" t="n">
        <x:f>IF(P$4&gt;=$E123,$C123*MAX(0,1-(P$4-$E123)/$D123),0)</x:f>
        <x:v>9145.304843548472</x:v>
      </x:c>
      <x:c r="Q123" s="169" t="n">
        <x:f>IF(Q$4&gt;=$E123,$C123*MAX(0,1-(Q$4-$E123)/$D123),0)</x:f>
        <x:v>0</x:v>
      </x:c>
      <x:c r="R123" s="169" t="n">
        <x:f>IF(R$4&gt;=$E123,$C123*MAX(0,1-(R$4-$E123)/$D123),0)</x:f>
        <x:v>0</x:v>
      </x:c>
      <x:c r="S123" s="169" t="n">
        <x:f>IF(S$4&gt;=$E123,$C123*MAX(0,1-(S$4-$E123)/$D123),0)</x:f>
        <x:v>0</x:v>
      </x:c>
      <x:c r="T123" s="169" t="n">
        <x:f>IF(T$4&gt;=$E123,$C123*MAX(0,1-(T$4-$E123)/$D123),0)</x:f>
        <x:v>0</x:v>
      </x:c>
      <x:c r="U123" s="169" t="n">
        <x:f>IF(U$4&gt;=$E123,$C123*MAX(0,1-(U$4-$E123)/$D123),0)</x:f>
        <x:v>0</x:v>
      </x:c>
      <x:c r="V123" s="169" t="n">
        <x:f>IF(V$4&gt;=$E123,$C123*MAX(0,1-(V$4-$E123)/$D123),0)</x:f>
        <x:v>0</x:v>
      </x:c>
      <x:c r="W123" s="169" t="n">
        <x:f>IF(W$4&gt;=$E123,$C123*MAX(0,1-(W$4-$E123)/$D123),0)</x:f>
        <x:v>0</x:v>
      </x:c>
      <x:c r="X123" s="169" t="n">
        <x:f>IF(X$4&gt;=$E123,$C123*MAX(0,1-(X$4-$E123)/$D123),0)</x:f>
        <x:v>0</x:v>
      </x:c>
      <x:c r="Y123" s="169" t="n">
        <x:f>IF(Y$4&gt;=$E123,$C123*MAX(0,1-(Y$4-$E123)/$D123),0)</x:f>
        <x:v>0</x:v>
      </x:c>
      <x:c r="Z123" s="169" t="n">
        <x:f>IF(Z$4&gt;=$E123,$C123*MAX(0,1-(Z$4-$E123)/$D123),0)</x:f>
        <x:v>0</x:v>
      </x:c>
      <x:c r="AA123" s="169" t="n">
        <x:f>IF(AA$4&gt;=$E123,$C123*MAX(0,1-(AA$4-$E123)/$D123),0)</x:f>
        <x:v>0</x:v>
      </x:c>
      <x:c r="AB123" s="169" t="n">
        <x:f>IF(AB$4&gt;=$E123,$C123*MAX(0,1-(AB$4-$E123)/$D123),0)</x:f>
        <x:v>0</x:v>
      </x:c>
      <x:c r="AC123" s="169" t="n">
        <x:f>IF(AC$4&gt;=$E123,$C123*MAX(0,1-(AC$4-$E123)/$D123),0)</x:f>
        <x:v>0</x:v>
      </x:c>
    </x:row>
    <x:row r="124" ht="20" customHeight="1">
      <x:c r="A124" s="170" t="str">
        <x:v>Networking / CPU</x:v>
      </x:c>
      <x:c r="B124" s="214" t="n">
        <x:v>2025</x:v>
      </x:c>
      <x:c r="C124" s="170" t="n">
        <x:f>'ROIC Cloud'!F$15*'ROIC Cloud'!$D$46</x:f>
        <x:v>54871.829061290846</x:v>
      </x:c>
      <x:c r="D124" s="214" t="n">
        <x:f>'ROIC Cloud'!$D$42</x:f>
        <x:v>6</x:v>
      </x:c>
      <x:c r="E124" s="214" t="n">
        <x:f>B124+'ROIC Cloud'!$D$40</x:f>
        <x:v>2027</x:v>
      </x:c>
      <x:c r="F124" s="170" t="str">
        <x:v>Depreciation</x:v>
      </x:c>
      <x:c r="G124" s="169" t="n">
        <x:f>IF(G$4&gt;=$E123,MIN($C123/$D123,G123),0)</x:f>
        <x:v>0</x:v>
      </x:c>
      <x:c r="H124" s="169" t="n">
        <x:f>IF(H$4&gt;=$E123,MIN($C123/$D123,H123),0)</x:f>
        <x:v>0</x:v>
      </x:c>
      <x:c r="I124" s="169" t="n">
        <x:f>IF(I$4&gt;=$E123,MIN($C123/$D123,I123),0)</x:f>
        <x:v>0</x:v>
      </x:c>
      <x:c r="J124" s="169" t="n">
        <x:f>IF(J$4&gt;=$E123,MIN($C123/$D123,J123),0)</x:f>
        <x:v>0</x:v>
      </x:c>
      <x:c r="K124" s="169" t="n">
        <x:f>IF(K$4&gt;=$E123,MIN($C123/$D123,K123),0)</x:f>
        <x:v>9145.304843548474</x:v>
      </x:c>
      <x:c r="L124" s="169" t="n">
        <x:f>IF(L$4&gt;=$E123,MIN($C123/$D123,L123),0)</x:f>
        <x:v>9145.304843548474</x:v>
      </x:c>
      <x:c r="M124" s="169" t="n">
        <x:f>IF(M$4&gt;=$E123,MIN($C123/$D123,M123),0)</x:f>
        <x:v>9145.304843548474</x:v>
      </x:c>
      <x:c r="N124" s="169" t="n">
        <x:f>IF(N$4&gt;=$E123,MIN($C123/$D123,N123),0)</x:f>
        <x:v>9145.304843548474</x:v>
      </x:c>
      <x:c r="O124" s="169" t="n">
        <x:f>IF(O$4&gt;=$E123,MIN($C123/$D123,O123),0)</x:f>
        <x:v>9145.304843548474</x:v>
      </x:c>
      <x:c r="P124" s="169" t="n">
        <x:f>IF(P$4&gt;=$E123,MIN($C123/$D123,P123),0)</x:f>
        <x:v>9145.304843548472</x:v>
      </x:c>
      <x:c r="Q124" s="169" t="n">
        <x:f>IF(Q$4&gt;=$E123,MIN($C123/$D123,Q123),0)</x:f>
        <x:v>0</x:v>
      </x:c>
      <x:c r="R124" s="169" t="n">
        <x:f>IF(R$4&gt;=$E123,MIN($C123/$D123,R123),0)</x:f>
        <x:v>0</x:v>
      </x:c>
      <x:c r="S124" s="169" t="n">
        <x:f>IF(S$4&gt;=$E123,MIN($C123/$D123,S123),0)</x:f>
        <x:v>0</x:v>
      </x:c>
      <x:c r="T124" s="169" t="n">
        <x:f>IF(T$4&gt;=$E123,MIN($C123/$D123,T123),0)</x:f>
        <x:v>0</x:v>
      </x:c>
      <x:c r="U124" s="169" t="n">
        <x:f>IF(U$4&gt;=$E123,MIN($C123/$D123,U123),0)</x:f>
        <x:v>0</x:v>
      </x:c>
      <x:c r="V124" s="169" t="n">
        <x:f>IF(V$4&gt;=$E123,MIN($C123/$D123,V123),0)</x:f>
        <x:v>0</x:v>
      </x:c>
      <x:c r="W124" s="169" t="n">
        <x:f>IF(W$4&gt;=$E123,MIN($C123/$D123,W123),0)</x:f>
        <x:v>0</x:v>
      </x:c>
      <x:c r="X124" s="169" t="n">
        <x:f>IF(X$4&gt;=$E123,MIN($C123/$D123,X123),0)</x:f>
        <x:v>0</x:v>
      </x:c>
      <x:c r="Y124" s="169" t="n">
        <x:f>IF(Y$4&gt;=$E123,MIN($C123/$D123,Y123),0)</x:f>
        <x:v>0</x:v>
      </x:c>
      <x:c r="Z124" s="169" t="n">
        <x:f>IF(Z$4&gt;=$E123,MIN($C123/$D123,Z123),0)</x:f>
        <x:v>0</x:v>
      </x:c>
      <x:c r="AA124" s="169" t="n">
        <x:f>IF(AA$4&gt;=$E123,MIN($C123/$D123,AA123),0)</x:f>
        <x:v>0</x:v>
      </x:c>
      <x:c r="AB124" s="169" t="n">
        <x:f>IF(AB$4&gt;=$E123,MIN($C123/$D123,AB123),0)</x:f>
        <x:v>0</x:v>
      </x:c>
      <x:c r="AC124" s="169" t="n">
        <x:f>IF(AC$4&gt;=$E123,MIN($C123/$D123,AC123),0)</x:f>
        <x:v>0</x:v>
      </x:c>
    </x:row>
    <x:row r="125" ht="20" customHeight="1">
      <x:c r="A125" s="170" t="str">
        <x:v>Networking / CPU</x:v>
      </x:c>
      <x:c r="B125" s="214" t="n">
        <x:v>2025</x:v>
      </x:c>
      <x:c r="C125" s="170" t="n">
        <x:f>'ROIC Cloud'!F$15*'ROIC Cloud'!$D$46</x:f>
        <x:v>54871.829061290846</x:v>
      </x:c>
      <x:c r="D125" s="214" t="n">
        <x:f>'ROIC Cloud'!$D$42</x:f>
        <x:v>6</x:v>
      </x:c>
      <x:c r="E125" s="214" t="n">
        <x:f>B125+'ROIC Cloud'!$D$40</x:f>
        <x:v>2027</x:v>
      </x:c>
      <x:c r="F125" s="170" t="str">
        <x:v>Closing NBV</x:v>
      </x:c>
      <x:c r="G125" s="169" t="n">
        <x:f>MAX(0,G123-G124)</x:f>
        <x:v>0</x:v>
      </x:c>
      <x:c r="H125" s="169" t="n">
        <x:f>MAX(0,H123-H124)</x:f>
        <x:v>0</x:v>
      </x:c>
      <x:c r="I125" s="169" t="n">
        <x:f>MAX(0,I123-I124)</x:f>
        <x:v>0</x:v>
      </x:c>
      <x:c r="J125" s="169" t="n">
        <x:f>MAX(0,J123-J124)</x:f>
        <x:v>0</x:v>
      </x:c>
      <x:c r="K125" s="169" t="n">
        <x:f>MAX(0,K123-K124)</x:f>
        <x:v>45726.52421774237</x:v>
      </x:c>
      <x:c r="L125" s="169" t="n">
        <x:f>MAX(0,L123-L124)</x:f>
        <x:v>36581.2193741939</x:v>
      </x:c>
      <x:c r="M125" s="169" t="n">
        <x:f>MAX(0,M123-M124)</x:f>
        <x:v>27435.91453064543</x:v>
      </x:c>
      <x:c r="N125" s="169" t="n">
        <x:f>MAX(0,N123-N124)</x:f>
        <x:v>18290.60968709695</x:v>
      </x:c>
      <x:c r="O125" s="169" t="n">
        <x:f>MAX(0,O123-O124)</x:f>
        <x:v>9145.304843548478</x:v>
      </x:c>
      <x:c r="P125" s="169" t="n">
        <x:f>MAX(0,P123-P124)</x:f>
        <x:v>0</x:v>
      </x:c>
      <x:c r="Q125" s="169" t="n">
        <x:f>MAX(0,Q123-Q124)</x:f>
        <x:v>0</x:v>
      </x:c>
      <x:c r="R125" s="169" t="n">
        <x:f>MAX(0,R123-R124)</x:f>
        <x:v>0</x:v>
      </x:c>
      <x:c r="S125" s="169" t="n">
        <x:f>MAX(0,S123-S124)</x:f>
        <x:v>0</x:v>
      </x:c>
      <x:c r="T125" s="169" t="n">
        <x:f>MAX(0,T123-T124)</x:f>
        <x:v>0</x:v>
      </x:c>
      <x:c r="U125" s="169" t="n">
        <x:f>MAX(0,U123-U124)</x:f>
        <x:v>0</x:v>
      </x:c>
      <x:c r="V125" s="169" t="n">
        <x:f>MAX(0,V123-V124)</x:f>
        <x:v>0</x:v>
      </x:c>
      <x:c r="W125" s="169" t="n">
        <x:f>MAX(0,W123-W124)</x:f>
        <x:v>0</x:v>
      </x:c>
      <x:c r="X125" s="169" t="n">
        <x:f>MAX(0,X123-X124)</x:f>
        <x:v>0</x:v>
      </x:c>
      <x:c r="Y125" s="169" t="n">
        <x:f>MAX(0,Y123-Y124)</x:f>
        <x:v>0</x:v>
      </x:c>
      <x:c r="Z125" s="169" t="n">
        <x:f>MAX(0,Z123-Z124)</x:f>
        <x:v>0</x:v>
      </x:c>
      <x:c r="AA125" s="169" t="n">
        <x:f>MAX(0,AA123-AA124)</x:f>
        <x:v>0</x:v>
      </x:c>
      <x:c r="AB125" s="169" t="n">
        <x:f>MAX(0,AB123-AB124)</x:f>
        <x:v>0</x:v>
      </x:c>
      <x:c r="AC125" s="169" t="n">
        <x:f>MAX(0,AC123-AC124)</x:f>
        <x:v>0</x:v>
      </x:c>
    </x:row>
    <x:row r="126" ht="20" customHeight="1">
      <x:c r="A126" s="170" t="str">
        <x:v>Networking / CPU</x:v>
      </x:c>
      <x:c r="B126" s="214" t="n">
        <x:v>2025</x:v>
      </x:c>
      <x:c r="C126" s="170" t="n">
        <x:f>'ROIC Cloud'!F$15*'ROIC Cloud'!$D$46</x:f>
        <x:v>54871.829061290846</x:v>
      </x:c>
      <x:c r="D126" s="214" t="n">
        <x:f>'ROIC Cloud'!$D$42</x:f>
        <x:v>6</x:v>
      </x:c>
      <x:c r="E126" s="214" t="n">
        <x:f>B126+'ROIC Cloud'!$D$40</x:f>
        <x:v>2027</x:v>
      </x:c>
      <x:c r="F126" s="170" t="str">
        <x:v>Average NBV</x:v>
      </x:c>
      <x:c r="G126" s="169" t="n">
        <x:f>(G123+G125)/2</x:f>
        <x:v>0</x:v>
      </x:c>
      <x:c r="H126" s="169" t="n">
        <x:f>(H123+H125)/2</x:f>
        <x:v>0</x:v>
      </x:c>
      <x:c r="I126" s="169" t="n">
        <x:f>(I123+I125)/2</x:f>
        <x:v>0</x:v>
      </x:c>
      <x:c r="J126" s="169" t="n">
        <x:f>(J123+J125)/2</x:f>
        <x:v>0</x:v>
      </x:c>
      <x:c r="K126" s="169" t="n">
        <x:f>(K123+K125)/2</x:f>
        <x:v>50299.176639516605</x:v>
      </x:c>
      <x:c r="L126" s="169" t="n">
        <x:f>(L123+L125)/2</x:f>
        <x:v>41153.87179596814</x:v>
      </x:c>
      <x:c r="M126" s="169" t="n">
        <x:f>(M123+M125)/2</x:f>
        <x:v>32008.566952419667</x:v>
      </x:c>
      <x:c r="N126" s="169" t="n">
        <x:f>(N123+N125)/2</x:f>
        <x:v>22863.262108871186</x:v>
      </x:c>
      <x:c r="O126" s="169" t="n">
        <x:f>(O123+O125)/2</x:f>
        <x:v>13717.957265322715</x:v>
      </x:c>
      <x:c r="P126" s="169" t="n">
        <x:f>(P123+P125)/2</x:f>
        <x:v>4572.652421774236</x:v>
      </x:c>
      <x:c r="Q126" s="169" t="n">
        <x:f>(Q123+Q125)/2</x:f>
        <x:v>0</x:v>
      </x:c>
      <x:c r="R126" s="169" t="n">
        <x:f>(R123+R125)/2</x:f>
        <x:v>0</x:v>
      </x:c>
      <x:c r="S126" s="169" t="n">
        <x:f>(S123+S125)/2</x:f>
        <x:v>0</x:v>
      </x:c>
      <x:c r="T126" s="169" t="n">
        <x:f>(T123+T125)/2</x:f>
        <x:v>0</x:v>
      </x:c>
      <x:c r="U126" s="169" t="n">
        <x:f>(U123+U125)/2</x:f>
        <x:v>0</x:v>
      </x:c>
      <x:c r="V126" s="169" t="n">
        <x:f>(V123+V125)/2</x:f>
        <x:v>0</x:v>
      </x:c>
      <x:c r="W126" s="169" t="n">
        <x:f>(W123+W125)/2</x:f>
        <x:v>0</x:v>
      </x:c>
      <x:c r="X126" s="169" t="n">
        <x:f>(X123+X125)/2</x:f>
        <x:v>0</x:v>
      </x:c>
      <x:c r="Y126" s="169" t="n">
        <x:f>(Y123+Y125)/2</x:f>
        <x:v>0</x:v>
      </x:c>
      <x:c r="Z126" s="169" t="n">
        <x:f>(Z123+Z125)/2</x:f>
        <x:v>0</x:v>
      </x:c>
      <x:c r="AA126" s="169" t="n">
        <x:f>(AA123+AA125)/2</x:f>
        <x:v>0</x:v>
      </x:c>
      <x:c r="AB126" s="169" t="n">
        <x:f>(AB123+AB125)/2</x:f>
        <x:v>0</x:v>
      </x:c>
      <x:c r="AC126" s="169" t="n">
        <x:f>(AC123+AC125)/2</x:f>
        <x:v>0</x:v>
      </x:c>
    </x:row>
    <x:row r="127" ht="20" customHeight="1">
      <x:c r="A127" s="170" t="str">
        <x:v>Networking / CPU</x:v>
      </x:c>
      <x:c r="B127" s="214" t="n">
        <x:v>2026</x:v>
      </x:c>
      <x:c r="C127" s="170" t="n">
        <x:f>'ROIC Cloud'!G$15*'ROIC Cloud'!$D$46</x:f>
        <x:v>124848.01285532741</x:v>
      </x:c>
      <x:c r="D127" s="214" t="n">
        <x:f>'ROIC Cloud'!$D$42</x:f>
        <x:v>6</x:v>
      </x:c>
      <x:c r="E127" s="214" t="n">
        <x:f>B127+'ROIC Cloud'!$D$40</x:f>
        <x:v>2028</x:v>
      </x:c>
      <x:c r="F127" s="170" t="str">
        <x:v>Opening NBV</x:v>
      </x:c>
      <x:c r="G127" s="169" t="n">
        <x:f>IF(G$4&gt;=$E127,$C127*MAX(0,1-(G$4-$E127)/$D127),0)</x:f>
        <x:v>0</x:v>
      </x:c>
      <x:c r="H127" s="169" t="n">
        <x:f>IF(H$4&gt;=$E127,$C127*MAX(0,1-(H$4-$E127)/$D127),0)</x:f>
        <x:v>0</x:v>
      </x:c>
      <x:c r="I127" s="169" t="n">
        <x:f>IF(I$4&gt;=$E127,$C127*MAX(0,1-(I$4-$E127)/$D127),0)</x:f>
        <x:v>0</x:v>
      </x:c>
      <x:c r="J127" s="169" t="n">
        <x:f>IF(J$4&gt;=$E127,$C127*MAX(0,1-(J$4-$E127)/$D127),0)</x:f>
        <x:v>0</x:v>
      </x:c>
      <x:c r="K127" s="169" t="n">
        <x:f>IF(K$4&gt;=$E127,$C127*MAX(0,1-(K$4-$E127)/$D127),0)</x:f>
        <x:v>0</x:v>
      </x:c>
      <x:c r="L127" s="169" t="n">
        <x:f>IF(L$4&gt;=$E127,$C127*MAX(0,1-(L$4-$E127)/$D127),0)</x:f>
        <x:v>124848.01285532741</x:v>
      </x:c>
      <x:c r="M127" s="169" t="n">
        <x:f>IF(M$4&gt;=$E127,$C127*MAX(0,1-(M$4-$E127)/$D127),0)</x:f>
        <x:v>104040.01071277284</x:v>
      </x:c>
      <x:c r="N127" s="169" t="n">
        <x:f>IF(N$4&gt;=$E127,$C127*MAX(0,1-(N$4-$E127)/$D127),0)</x:f>
        <x:v>83232.00857021828</x:v>
      </x:c>
      <x:c r="O127" s="169" t="n">
        <x:f>IF(O$4&gt;=$E127,$C127*MAX(0,1-(O$4-$E127)/$D127),0)</x:f>
        <x:v>62424.006427663706</x:v>
      </x:c>
      <x:c r="P127" s="169" t="n">
        <x:f>IF(P$4&gt;=$E127,$C127*MAX(0,1-(P$4-$E127)/$D127),0)</x:f>
        <x:v>41616.00428510914</x:v>
      </x:c>
      <x:c r="Q127" s="169" t="n">
        <x:f>IF(Q$4&gt;=$E127,$C127*MAX(0,1-(Q$4-$E127)/$D127),0)</x:f>
        <x:v>20808.002142554564</x:v>
      </x:c>
      <x:c r="R127" s="169" t="n">
        <x:f>IF(R$4&gt;=$E127,$C127*MAX(0,1-(R$4-$E127)/$D127),0)</x:f>
        <x:v>0</x:v>
      </x:c>
      <x:c r="S127" s="169" t="n">
        <x:f>IF(S$4&gt;=$E127,$C127*MAX(0,1-(S$4-$E127)/$D127),0)</x:f>
        <x:v>0</x:v>
      </x:c>
      <x:c r="T127" s="169" t="n">
        <x:f>IF(T$4&gt;=$E127,$C127*MAX(0,1-(T$4-$E127)/$D127),0)</x:f>
        <x:v>0</x:v>
      </x:c>
      <x:c r="U127" s="169" t="n">
        <x:f>IF(U$4&gt;=$E127,$C127*MAX(0,1-(U$4-$E127)/$D127),0)</x:f>
        <x:v>0</x:v>
      </x:c>
      <x:c r="V127" s="169" t="n">
        <x:f>IF(V$4&gt;=$E127,$C127*MAX(0,1-(V$4-$E127)/$D127),0)</x:f>
        <x:v>0</x:v>
      </x:c>
      <x:c r="W127" s="169" t="n">
        <x:f>IF(W$4&gt;=$E127,$C127*MAX(0,1-(W$4-$E127)/$D127),0)</x:f>
        <x:v>0</x:v>
      </x:c>
      <x:c r="X127" s="169" t="n">
        <x:f>IF(X$4&gt;=$E127,$C127*MAX(0,1-(X$4-$E127)/$D127),0)</x:f>
        <x:v>0</x:v>
      </x:c>
      <x:c r="Y127" s="169" t="n">
        <x:f>IF(Y$4&gt;=$E127,$C127*MAX(0,1-(Y$4-$E127)/$D127),0)</x:f>
        <x:v>0</x:v>
      </x:c>
      <x:c r="Z127" s="169" t="n">
        <x:f>IF(Z$4&gt;=$E127,$C127*MAX(0,1-(Z$4-$E127)/$D127),0)</x:f>
        <x:v>0</x:v>
      </x:c>
      <x:c r="AA127" s="169" t="n">
        <x:f>IF(AA$4&gt;=$E127,$C127*MAX(0,1-(AA$4-$E127)/$D127),0)</x:f>
        <x:v>0</x:v>
      </x:c>
      <x:c r="AB127" s="169" t="n">
        <x:f>IF(AB$4&gt;=$E127,$C127*MAX(0,1-(AB$4-$E127)/$D127),0)</x:f>
        <x:v>0</x:v>
      </x:c>
      <x:c r="AC127" s="169" t="n">
        <x:f>IF(AC$4&gt;=$E127,$C127*MAX(0,1-(AC$4-$E127)/$D127),0)</x:f>
        <x:v>0</x:v>
      </x:c>
    </x:row>
    <x:row r="128" ht="20" customHeight="1">
      <x:c r="A128" s="170" t="str">
        <x:v>Networking / CPU</x:v>
      </x:c>
      <x:c r="B128" s="214" t="n">
        <x:v>2026</x:v>
      </x:c>
      <x:c r="C128" s="170" t="n">
        <x:f>'ROIC Cloud'!G$15*'ROIC Cloud'!$D$46</x:f>
        <x:v>124848.01285532741</x:v>
      </x:c>
      <x:c r="D128" s="214" t="n">
        <x:f>'ROIC Cloud'!$D$42</x:f>
        <x:v>6</x:v>
      </x:c>
      <x:c r="E128" s="214" t="n">
        <x:f>B128+'ROIC Cloud'!$D$40</x:f>
        <x:v>2028</x:v>
      </x:c>
      <x:c r="F128" s="170" t="str">
        <x:v>Depreciation</x:v>
      </x:c>
      <x:c r="G128" s="169" t="n">
        <x:f>IF(G$4&gt;=$E127,MIN($C127/$D127,G127),0)</x:f>
        <x:v>0</x:v>
      </x:c>
      <x:c r="H128" s="169" t="n">
        <x:f>IF(H$4&gt;=$E127,MIN($C127/$D127,H127),0)</x:f>
        <x:v>0</x:v>
      </x:c>
      <x:c r="I128" s="169" t="n">
        <x:f>IF(I$4&gt;=$E127,MIN($C127/$D127,I127),0)</x:f>
        <x:v>0</x:v>
      </x:c>
      <x:c r="J128" s="169" t="n">
        <x:f>IF(J$4&gt;=$E127,MIN($C127/$D127,J127),0)</x:f>
        <x:v>0</x:v>
      </x:c>
      <x:c r="K128" s="169" t="n">
        <x:f>IF(K$4&gt;=$E127,MIN($C127/$D127,K127),0)</x:f>
        <x:v>0</x:v>
      </x:c>
      <x:c r="L128" s="169" t="n">
        <x:f>IF(L$4&gt;=$E127,MIN($C127/$D127,L127),0)</x:f>
        <x:v>20808.002142554567</x:v>
      </x:c>
      <x:c r="M128" s="169" t="n">
        <x:f>IF(M$4&gt;=$E127,MIN($C127/$D127,M127),0)</x:f>
        <x:v>20808.002142554567</x:v>
      </x:c>
      <x:c r="N128" s="169" t="n">
        <x:f>IF(N$4&gt;=$E127,MIN($C127/$D127,N127),0)</x:f>
        <x:v>20808.002142554567</x:v>
      </x:c>
      <x:c r="O128" s="169" t="n">
        <x:f>IF(O$4&gt;=$E127,MIN($C127/$D127,O127),0)</x:f>
        <x:v>20808.002142554567</x:v>
      </x:c>
      <x:c r="P128" s="169" t="n">
        <x:f>IF(P$4&gt;=$E127,MIN($C127/$D127,P127),0)</x:f>
        <x:v>20808.002142554567</x:v>
      </x:c>
      <x:c r="Q128" s="169" t="n">
        <x:f>IF(Q$4&gt;=$E127,MIN($C127/$D127,Q127),0)</x:f>
        <x:v>20808.002142554564</x:v>
      </x:c>
      <x:c r="R128" s="169" t="n">
        <x:f>IF(R$4&gt;=$E127,MIN($C127/$D127,R127),0)</x:f>
        <x:v>0</x:v>
      </x:c>
      <x:c r="S128" s="169" t="n">
        <x:f>IF(S$4&gt;=$E127,MIN($C127/$D127,S127),0)</x:f>
        <x:v>0</x:v>
      </x:c>
      <x:c r="T128" s="169" t="n">
        <x:f>IF(T$4&gt;=$E127,MIN($C127/$D127,T127),0)</x:f>
        <x:v>0</x:v>
      </x:c>
      <x:c r="U128" s="169" t="n">
        <x:f>IF(U$4&gt;=$E127,MIN($C127/$D127,U127),0)</x:f>
        <x:v>0</x:v>
      </x:c>
      <x:c r="V128" s="169" t="n">
        <x:f>IF(V$4&gt;=$E127,MIN($C127/$D127,V127),0)</x:f>
        <x:v>0</x:v>
      </x:c>
      <x:c r="W128" s="169" t="n">
        <x:f>IF(W$4&gt;=$E127,MIN($C127/$D127,W127),0)</x:f>
        <x:v>0</x:v>
      </x:c>
      <x:c r="X128" s="169" t="n">
        <x:f>IF(X$4&gt;=$E127,MIN($C127/$D127,X127),0)</x:f>
        <x:v>0</x:v>
      </x:c>
      <x:c r="Y128" s="169" t="n">
        <x:f>IF(Y$4&gt;=$E127,MIN($C127/$D127,Y127),0)</x:f>
        <x:v>0</x:v>
      </x:c>
      <x:c r="Z128" s="169" t="n">
        <x:f>IF(Z$4&gt;=$E127,MIN($C127/$D127,Z127),0)</x:f>
        <x:v>0</x:v>
      </x:c>
      <x:c r="AA128" s="169" t="n">
        <x:f>IF(AA$4&gt;=$E127,MIN($C127/$D127,AA127),0)</x:f>
        <x:v>0</x:v>
      </x:c>
      <x:c r="AB128" s="169" t="n">
        <x:f>IF(AB$4&gt;=$E127,MIN($C127/$D127,AB127),0)</x:f>
        <x:v>0</x:v>
      </x:c>
      <x:c r="AC128" s="169" t="n">
        <x:f>IF(AC$4&gt;=$E127,MIN($C127/$D127,AC127),0)</x:f>
        <x:v>0</x:v>
      </x:c>
    </x:row>
    <x:row r="129" ht="20" customHeight="1">
      <x:c r="A129" s="170" t="str">
        <x:v>Networking / CPU</x:v>
      </x:c>
      <x:c r="B129" s="214" t="n">
        <x:v>2026</x:v>
      </x:c>
      <x:c r="C129" s="170" t="n">
        <x:f>'ROIC Cloud'!G$15*'ROIC Cloud'!$D$46</x:f>
        <x:v>124848.01285532741</x:v>
      </x:c>
      <x:c r="D129" s="214" t="n">
        <x:f>'ROIC Cloud'!$D$42</x:f>
        <x:v>6</x:v>
      </x:c>
      <x:c r="E129" s="214" t="n">
        <x:f>B129+'ROIC Cloud'!$D$40</x:f>
        <x:v>2028</x:v>
      </x:c>
      <x:c r="F129" s="170" t="str">
        <x:v>Closing NBV</x:v>
      </x:c>
      <x:c r="G129" s="169" t="n">
        <x:f>MAX(0,G127-G128)</x:f>
        <x:v>0</x:v>
      </x:c>
      <x:c r="H129" s="169" t="n">
        <x:f>MAX(0,H127-H128)</x:f>
        <x:v>0</x:v>
      </x:c>
      <x:c r="I129" s="169" t="n">
        <x:f>MAX(0,I127-I128)</x:f>
        <x:v>0</x:v>
      </x:c>
      <x:c r="J129" s="169" t="n">
        <x:f>MAX(0,J127-J128)</x:f>
        <x:v>0</x:v>
      </x:c>
      <x:c r="K129" s="169" t="n">
        <x:f>MAX(0,K127-K128)</x:f>
        <x:v>0</x:v>
      </x:c>
      <x:c r="L129" s="169" t="n">
        <x:f>MAX(0,L127-L128)</x:f>
        <x:v>104040.01071277284</x:v>
      </x:c>
      <x:c r="M129" s="169" t="n">
        <x:f>MAX(0,M127-M128)</x:f>
        <x:v>83232.00857021827</x:v>
      </x:c>
      <x:c r="N129" s="169" t="n">
        <x:f>MAX(0,N127-N128)</x:f>
        <x:v>62424.00642766371</x:v>
      </x:c>
      <x:c r="O129" s="169" t="n">
        <x:f>MAX(0,O127-O128)</x:f>
        <x:v>41616.00428510914</x:v>
      </x:c>
      <x:c r="P129" s="169" t="n">
        <x:f>MAX(0,P127-P128)</x:f>
        <x:v>20808.002142554575</x:v>
      </x:c>
      <x:c r="Q129" s="169" t="n">
        <x:f>MAX(0,Q127-Q128)</x:f>
        <x:v>0</x:v>
      </x:c>
      <x:c r="R129" s="169" t="n">
        <x:f>MAX(0,R127-R128)</x:f>
        <x:v>0</x:v>
      </x:c>
      <x:c r="S129" s="169" t="n">
        <x:f>MAX(0,S127-S128)</x:f>
        <x:v>0</x:v>
      </x:c>
      <x:c r="T129" s="169" t="n">
        <x:f>MAX(0,T127-T128)</x:f>
        <x:v>0</x:v>
      </x:c>
      <x:c r="U129" s="169" t="n">
        <x:f>MAX(0,U127-U128)</x:f>
        <x:v>0</x:v>
      </x:c>
      <x:c r="V129" s="169" t="n">
        <x:f>MAX(0,V127-V128)</x:f>
        <x:v>0</x:v>
      </x:c>
      <x:c r="W129" s="169" t="n">
        <x:f>MAX(0,W127-W128)</x:f>
        <x:v>0</x:v>
      </x:c>
      <x:c r="X129" s="169" t="n">
        <x:f>MAX(0,X127-X128)</x:f>
        <x:v>0</x:v>
      </x:c>
      <x:c r="Y129" s="169" t="n">
        <x:f>MAX(0,Y127-Y128)</x:f>
        <x:v>0</x:v>
      </x:c>
      <x:c r="Z129" s="169" t="n">
        <x:f>MAX(0,Z127-Z128)</x:f>
        <x:v>0</x:v>
      </x:c>
      <x:c r="AA129" s="169" t="n">
        <x:f>MAX(0,AA127-AA128)</x:f>
        <x:v>0</x:v>
      </x:c>
      <x:c r="AB129" s="169" t="n">
        <x:f>MAX(0,AB127-AB128)</x:f>
        <x:v>0</x:v>
      </x:c>
      <x:c r="AC129" s="169" t="n">
        <x:f>MAX(0,AC127-AC128)</x:f>
        <x:v>0</x:v>
      </x:c>
    </x:row>
    <x:row r="130" ht="20" customHeight="1">
      <x:c r="A130" s="170" t="str">
        <x:v>Networking / CPU</x:v>
      </x:c>
      <x:c r="B130" s="214" t="n">
        <x:v>2026</x:v>
      </x:c>
      <x:c r="C130" s="170" t="n">
        <x:f>'ROIC Cloud'!G$15*'ROIC Cloud'!$D$46</x:f>
        <x:v>124848.01285532741</x:v>
      </x:c>
      <x:c r="D130" s="214" t="n">
        <x:f>'ROIC Cloud'!$D$42</x:f>
        <x:v>6</x:v>
      </x:c>
      <x:c r="E130" s="214" t="n">
        <x:f>B130+'ROIC Cloud'!$D$40</x:f>
        <x:v>2028</x:v>
      </x:c>
      <x:c r="F130" s="170" t="str">
        <x:v>Average NBV</x:v>
      </x:c>
      <x:c r="G130" s="169" t="n">
        <x:f>(G127+G129)/2</x:f>
        <x:v>0</x:v>
      </x:c>
      <x:c r="H130" s="169" t="n">
        <x:f>(H127+H129)/2</x:f>
        <x:v>0</x:v>
      </x:c>
      <x:c r="I130" s="169" t="n">
        <x:f>(I127+I129)/2</x:f>
        <x:v>0</x:v>
      </x:c>
      <x:c r="J130" s="169" t="n">
        <x:f>(J127+J129)/2</x:f>
        <x:v>0</x:v>
      </x:c>
      <x:c r="K130" s="169" t="n">
        <x:f>(K127+K129)/2</x:f>
        <x:v>0</x:v>
      </x:c>
      <x:c r="L130" s="169" t="n">
        <x:f>(L127+L129)/2</x:f>
        <x:v>114444.01178405012</x:v>
      </x:c>
      <x:c r="M130" s="169" t="n">
        <x:f>(M127+M129)/2</x:f>
        <x:v>93636.00964149556</x:v>
      </x:c>
      <x:c r="N130" s="169" t="n">
        <x:f>(N127+N129)/2</x:f>
        <x:v>72828.007498941</x:v>
      </x:c>
      <x:c r="O130" s="169" t="n">
        <x:f>(O127+O129)/2</x:f>
        <x:v>52020.00535638642</x:v>
      </x:c>
      <x:c r="P130" s="169" t="n">
        <x:f>(P127+P129)/2</x:f>
        <x:v>31212.003213831857</x:v>
      </x:c>
      <x:c r="Q130" s="169" t="n">
        <x:f>(Q127+Q129)/2</x:f>
        <x:v>10404.001071277282</x:v>
      </x:c>
      <x:c r="R130" s="169" t="n">
        <x:f>(R127+R129)/2</x:f>
        <x:v>0</x:v>
      </x:c>
      <x:c r="S130" s="169" t="n">
        <x:f>(S127+S129)/2</x:f>
        <x:v>0</x:v>
      </x:c>
      <x:c r="T130" s="169" t="n">
        <x:f>(T127+T129)/2</x:f>
        <x:v>0</x:v>
      </x:c>
      <x:c r="U130" s="169" t="n">
        <x:f>(U127+U129)/2</x:f>
        <x:v>0</x:v>
      </x:c>
      <x:c r="V130" s="169" t="n">
        <x:f>(V127+V129)/2</x:f>
        <x:v>0</x:v>
      </x:c>
      <x:c r="W130" s="169" t="n">
        <x:f>(W127+W129)/2</x:f>
        <x:v>0</x:v>
      </x:c>
      <x:c r="X130" s="169" t="n">
        <x:f>(X127+X129)/2</x:f>
        <x:v>0</x:v>
      </x:c>
      <x:c r="Y130" s="169" t="n">
        <x:f>(Y127+Y129)/2</x:f>
        <x:v>0</x:v>
      </x:c>
      <x:c r="Z130" s="169" t="n">
        <x:f>(Z127+Z129)/2</x:f>
        <x:v>0</x:v>
      </x:c>
      <x:c r="AA130" s="169" t="n">
        <x:f>(AA127+AA129)/2</x:f>
        <x:v>0</x:v>
      </x:c>
      <x:c r="AB130" s="169" t="n">
        <x:f>(AB127+AB129)/2</x:f>
        <x:v>0</x:v>
      </x:c>
      <x:c r="AC130" s="169" t="n">
        <x:f>(AC127+AC129)/2</x:f>
        <x:v>0</x:v>
      </x:c>
    </x:row>
    <x:row r="131" ht="20" customHeight="1">
      <x:c r="A131" s="170" t="str">
        <x:v>Networking / CPU</x:v>
      </x:c>
      <x:c r="B131" s="214" t="n">
        <x:v>2027</x:v>
      </x:c>
      <x:c r="C131" s="170" t="n">
        <x:f>'ROIC Cloud'!H$15*'ROIC Cloud'!$D$46</x:f>
        <x:v>261080.75463242634</x:v>
      </x:c>
      <x:c r="D131" s="214" t="n">
        <x:f>'ROIC Cloud'!$D$42</x:f>
        <x:v>6</x:v>
      </x:c>
      <x:c r="E131" s="214" t="n">
        <x:f>B131+'ROIC Cloud'!$D$40</x:f>
        <x:v>2029</x:v>
      </x:c>
      <x:c r="F131" s="170" t="str">
        <x:v>Opening NBV</x:v>
      </x:c>
      <x:c r="G131" s="169" t="n">
        <x:f>IF(G$4&gt;=$E131,$C131*MAX(0,1-(G$4-$E131)/$D131),0)</x:f>
        <x:v>0</x:v>
      </x:c>
      <x:c r="H131" s="169" t="n">
        <x:f>IF(H$4&gt;=$E131,$C131*MAX(0,1-(H$4-$E131)/$D131),0)</x:f>
        <x:v>0</x:v>
      </x:c>
      <x:c r="I131" s="169" t="n">
        <x:f>IF(I$4&gt;=$E131,$C131*MAX(0,1-(I$4-$E131)/$D131),0)</x:f>
        <x:v>0</x:v>
      </x:c>
      <x:c r="J131" s="169" t="n">
        <x:f>IF(J$4&gt;=$E131,$C131*MAX(0,1-(J$4-$E131)/$D131),0)</x:f>
        <x:v>0</x:v>
      </x:c>
      <x:c r="K131" s="169" t="n">
        <x:f>IF(K$4&gt;=$E131,$C131*MAX(0,1-(K$4-$E131)/$D131),0)</x:f>
        <x:v>0</x:v>
      </x:c>
      <x:c r="L131" s="169" t="n">
        <x:f>IF(L$4&gt;=$E131,$C131*MAX(0,1-(L$4-$E131)/$D131),0)</x:f>
        <x:v>0</x:v>
      </x:c>
      <x:c r="M131" s="169" t="n">
        <x:f>IF(M$4&gt;=$E131,$C131*MAX(0,1-(M$4-$E131)/$D131),0)</x:f>
        <x:v>261080.75463242634</x:v>
      </x:c>
      <x:c r="N131" s="169" t="n">
        <x:f>IF(N$4&gt;=$E131,$C131*MAX(0,1-(N$4-$E131)/$D131),0)</x:f>
        <x:v>217567.29552702195</x:v>
      </x:c>
      <x:c r="O131" s="169" t="n">
        <x:f>IF(O$4&gt;=$E131,$C131*MAX(0,1-(O$4-$E131)/$D131),0)</x:f>
        <x:v>174053.83642161757</x:v>
      </x:c>
      <x:c r="P131" s="169" t="n">
        <x:f>IF(P$4&gt;=$E131,$C131*MAX(0,1-(P$4-$E131)/$D131),0)</x:f>
        <x:v>130540.37731621317</x:v>
      </x:c>
      <x:c r="Q131" s="169" t="n">
        <x:f>IF(Q$4&gt;=$E131,$C131*MAX(0,1-(Q$4-$E131)/$D131),0)</x:f>
        <x:v>87026.91821080878</x:v>
      </x:c>
      <x:c r="R131" s="169" t="n">
        <x:f>IF(R$4&gt;=$E131,$C131*MAX(0,1-(R$4-$E131)/$D131),0)</x:f>
        <x:v>43513.45910540438</x:v>
      </x:c>
      <x:c r="S131" s="169" t="n">
        <x:f>IF(S$4&gt;=$E131,$C131*MAX(0,1-(S$4-$E131)/$D131),0)</x:f>
        <x:v>0</x:v>
      </x:c>
      <x:c r="T131" s="169" t="n">
        <x:f>IF(T$4&gt;=$E131,$C131*MAX(0,1-(T$4-$E131)/$D131),0)</x:f>
        <x:v>0</x:v>
      </x:c>
      <x:c r="U131" s="169" t="n">
        <x:f>IF(U$4&gt;=$E131,$C131*MAX(0,1-(U$4-$E131)/$D131),0)</x:f>
        <x:v>0</x:v>
      </x:c>
      <x:c r="V131" s="169" t="n">
        <x:f>IF(V$4&gt;=$E131,$C131*MAX(0,1-(V$4-$E131)/$D131),0)</x:f>
        <x:v>0</x:v>
      </x:c>
      <x:c r="W131" s="169" t="n">
        <x:f>IF(W$4&gt;=$E131,$C131*MAX(0,1-(W$4-$E131)/$D131),0)</x:f>
        <x:v>0</x:v>
      </x:c>
      <x:c r="X131" s="169" t="n">
        <x:f>IF(X$4&gt;=$E131,$C131*MAX(0,1-(X$4-$E131)/$D131),0)</x:f>
        <x:v>0</x:v>
      </x:c>
      <x:c r="Y131" s="169" t="n">
        <x:f>IF(Y$4&gt;=$E131,$C131*MAX(0,1-(Y$4-$E131)/$D131),0)</x:f>
        <x:v>0</x:v>
      </x:c>
      <x:c r="Z131" s="169" t="n">
        <x:f>IF(Z$4&gt;=$E131,$C131*MAX(0,1-(Z$4-$E131)/$D131),0)</x:f>
        <x:v>0</x:v>
      </x:c>
      <x:c r="AA131" s="169" t="n">
        <x:f>IF(AA$4&gt;=$E131,$C131*MAX(0,1-(AA$4-$E131)/$D131),0)</x:f>
        <x:v>0</x:v>
      </x:c>
      <x:c r="AB131" s="169" t="n">
        <x:f>IF(AB$4&gt;=$E131,$C131*MAX(0,1-(AB$4-$E131)/$D131),0)</x:f>
        <x:v>0</x:v>
      </x:c>
      <x:c r="AC131" s="169" t="n">
        <x:f>IF(AC$4&gt;=$E131,$C131*MAX(0,1-(AC$4-$E131)/$D131),0)</x:f>
        <x:v>0</x:v>
      </x:c>
    </x:row>
    <x:row r="132" ht="20" customHeight="1">
      <x:c r="A132" s="170" t="str">
        <x:v>Networking / CPU</x:v>
      </x:c>
      <x:c r="B132" s="214" t="n">
        <x:v>2027</x:v>
      </x:c>
      <x:c r="C132" s="170" t="n">
        <x:f>'ROIC Cloud'!H$15*'ROIC Cloud'!$D$46</x:f>
        <x:v>261080.75463242634</x:v>
      </x:c>
      <x:c r="D132" s="214" t="n">
        <x:f>'ROIC Cloud'!$D$42</x:f>
        <x:v>6</x:v>
      </x:c>
      <x:c r="E132" s="214" t="n">
        <x:f>B132+'ROIC Cloud'!$D$40</x:f>
        <x:v>2029</x:v>
      </x:c>
      <x:c r="F132" s="170" t="str">
        <x:v>Depreciation</x:v>
      </x:c>
      <x:c r="G132" s="169" t="n">
        <x:f>IF(G$4&gt;=$E131,MIN($C131/$D131,G131),0)</x:f>
        <x:v>0</x:v>
      </x:c>
      <x:c r="H132" s="169" t="n">
        <x:f>IF(H$4&gt;=$E131,MIN($C131/$D131,H131),0)</x:f>
        <x:v>0</x:v>
      </x:c>
      <x:c r="I132" s="169" t="n">
        <x:f>IF(I$4&gt;=$E131,MIN($C131/$D131,I131),0)</x:f>
        <x:v>0</x:v>
      </x:c>
      <x:c r="J132" s="169" t="n">
        <x:f>IF(J$4&gt;=$E131,MIN($C131/$D131,J131),0)</x:f>
        <x:v>0</x:v>
      </x:c>
      <x:c r="K132" s="169" t="n">
        <x:f>IF(K$4&gt;=$E131,MIN($C131/$D131,K131),0)</x:f>
        <x:v>0</x:v>
      </x:c>
      <x:c r="L132" s="169" t="n">
        <x:f>IF(L$4&gt;=$E131,MIN($C131/$D131,L131),0)</x:f>
        <x:v>0</x:v>
      </x:c>
      <x:c r="M132" s="169" t="n">
        <x:f>IF(M$4&gt;=$E131,MIN($C131/$D131,M131),0)</x:f>
        <x:v>43513.45910540439</x:v>
      </x:c>
      <x:c r="N132" s="169" t="n">
        <x:f>IF(N$4&gt;=$E131,MIN($C131/$D131,N131),0)</x:f>
        <x:v>43513.45910540439</x:v>
      </x:c>
      <x:c r="O132" s="169" t="n">
        <x:f>IF(O$4&gt;=$E131,MIN($C131/$D131,O131),0)</x:f>
        <x:v>43513.45910540439</x:v>
      </x:c>
      <x:c r="P132" s="169" t="n">
        <x:f>IF(P$4&gt;=$E131,MIN($C131/$D131,P131),0)</x:f>
        <x:v>43513.45910540439</x:v>
      </x:c>
      <x:c r="Q132" s="169" t="n">
        <x:f>IF(Q$4&gt;=$E131,MIN($C131/$D131,Q131),0)</x:f>
        <x:v>43513.45910540439</x:v>
      </x:c>
      <x:c r="R132" s="169" t="n">
        <x:f>IF(R$4&gt;=$E131,MIN($C131/$D131,R131),0)</x:f>
        <x:v>43513.45910540438</x:v>
      </x:c>
      <x:c r="S132" s="169" t="n">
        <x:f>IF(S$4&gt;=$E131,MIN($C131/$D131,S131),0)</x:f>
        <x:v>0</x:v>
      </x:c>
      <x:c r="T132" s="169" t="n">
        <x:f>IF(T$4&gt;=$E131,MIN($C131/$D131,T131),0)</x:f>
        <x:v>0</x:v>
      </x:c>
      <x:c r="U132" s="169" t="n">
        <x:f>IF(U$4&gt;=$E131,MIN($C131/$D131,U131),0)</x:f>
        <x:v>0</x:v>
      </x:c>
      <x:c r="V132" s="169" t="n">
        <x:f>IF(V$4&gt;=$E131,MIN($C131/$D131,V131),0)</x:f>
        <x:v>0</x:v>
      </x:c>
      <x:c r="W132" s="169" t="n">
        <x:f>IF(W$4&gt;=$E131,MIN($C131/$D131,W131),0)</x:f>
        <x:v>0</x:v>
      </x:c>
      <x:c r="X132" s="169" t="n">
        <x:f>IF(X$4&gt;=$E131,MIN($C131/$D131,X131),0)</x:f>
        <x:v>0</x:v>
      </x:c>
      <x:c r="Y132" s="169" t="n">
        <x:f>IF(Y$4&gt;=$E131,MIN($C131/$D131,Y131),0)</x:f>
        <x:v>0</x:v>
      </x:c>
      <x:c r="Z132" s="169" t="n">
        <x:f>IF(Z$4&gt;=$E131,MIN($C131/$D131,Z131),0)</x:f>
        <x:v>0</x:v>
      </x:c>
      <x:c r="AA132" s="169" t="n">
        <x:f>IF(AA$4&gt;=$E131,MIN($C131/$D131,AA131),0)</x:f>
        <x:v>0</x:v>
      </x:c>
      <x:c r="AB132" s="169" t="n">
        <x:f>IF(AB$4&gt;=$E131,MIN($C131/$D131,AB131),0)</x:f>
        <x:v>0</x:v>
      </x:c>
      <x:c r="AC132" s="169" t="n">
        <x:f>IF(AC$4&gt;=$E131,MIN($C131/$D131,AC131),0)</x:f>
        <x:v>0</x:v>
      </x:c>
    </x:row>
    <x:row r="133" ht="20" customHeight="1">
      <x:c r="A133" s="170" t="str">
        <x:v>Networking / CPU</x:v>
      </x:c>
      <x:c r="B133" s="214" t="n">
        <x:v>2027</x:v>
      </x:c>
      <x:c r="C133" s="170" t="n">
        <x:f>'ROIC Cloud'!H$15*'ROIC Cloud'!$D$46</x:f>
        <x:v>261080.75463242634</x:v>
      </x:c>
      <x:c r="D133" s="214" t="n">
        <x:f>'ROIC Cloud'!$D$42</x:f>
        <x:v>6</x:v>
      </x:c>
      <x:c r="E133" s="214" t="n">
        <x:f>B133+'ROIC Cloud'!$D$40</x:f>
        <x:v>2029</x:v>
      </x:c>
      <x:c r="F133" s="170" t="str">
        <x:v>Closing NBV</x:v>
      </x:c>
      <x:c r="G133" s="169" t="n">
        <x:f>MAX(0,G131-G132)</x:f>
        <x:v>0</x:v>
      </x:c>
      <x:c r="H133" s="169" t="n">
        <x:f>MAX(0,H131-H132)</x:f>
        <x:v>0</x:v>
      </x:c>
      <x:c r="I133" s="169" t="n">
        <x:f>MAX(0,I131-I132)</x:f>
        <x:v>0</x:v>
      </x:c>
      <x:c r="J133" s="169" t="n">
        <x:f>MAX(0,J131-J132)</x:f>
        <x:v>0</x:v>
      </x:c>
      <x:c r="K133" s="169" t="n">
        <x:f>MAX(0,K131-K132)</x:f>
        <x:v>0</x:v>
      </x:c>
      <x:c r="L133" s="169" t="n">
        <x:f>MAX(0,L131-L132)</x:f>
        <x:v>0</x:v>
      </x:c>
      <x:c r="M133" s="169" t="n">
        <x:f>MAX(0,M131-M132)</x:f>
        <x:v>217567.29552702195</x:v>
      </x:c>
      <x:c r="N133" s="169" t="n">
        <x:f>MAX(0,N131-N132)</x:f>
        <x:v>174053.83642161757</x:v>
      </x:c>
      <x:c r="O133" s="169" t="n">
        <x:f>MAX(0,O131-O132)</x:f>
        <x:v>130540.37731621318</x:v>
      </x:c>
      <x:c r="P133" s="169" t="n">
        <x:f>MAX(0,P131-P132)</x:f>
        <x:v>87026.91821080877</x:v>
      </x:c>
      <x:c r="Q133" s="169" t="n">
        <x:f>MAX(0,Q131-Q132)</x:f>
        <x:v>43513.45910540439</x:v>
      </x:c>
      <x:c r="R133" s="169" t="n">
        <x:f>MAX(0,R131-R132)</x:f>
        <x:v>0</x:v>
      </x:c>
      <x:c r="S133" s="169" t="n">
        <x:f>MAX(0,S131-S132)</x:f>
        <x:v>0</x:v>
      </x:c>
      <x:c r="T133" s="169" t="n">
        <x:f>MAX(0,T131-T132)</x:f>
        <x:v>0</x:v>
      </x:c>
      <x:c r="U133" s="169" t="n">
        <x:f>MAX(0,U131-U132)</x:f>
        <x:v>0</x:v>
      </x:c>
      <x:c r="V133" s="169" t="n">
        <x:f>MAX(0,V131-V132)</x:f>
        <x:v>0</x:v>
      </x:c>
      <x:c r="W133" s="169" t="n">
        <x:f>MAX(0,W131-W132)</x:f>
        <x:v>0</x:v>
      </x:c>
      <x:c r="X133" s="169" t="n">
        <x:f>MAX(0,X131-X132)</x:f>
        <x:v>0</x:v>
      </x:c>
      <x:c r="Y133" s="169" t="n">
        <x:f>MAX(0,Y131-Y132)</x:f>
        <x:v>0</x:v>
      </x:c>
      <x:c r="Z133" s="169" t="n">
        <x:f>MAX(0,Z131-Z132)</x:f>
        <x:v>0</x:v>
      </x:c>
      <x:c r="AA133" s="169" t="n">
        <x:f>MAX(0,AA131-AA132)</x:f>
        <x:v>0</x:v>
      </x:c>
      <x:c r="AB133" s="169" t="n">
        <x:f>MAX(0,AB131-AB132)</x:f>
        <x:v>0</x:v>
      </x:c>
      <x:c r="AC133" s="169" t="n">
        <x:f>MAX(0,AC131-AC132)</x:f>
        <x:v>0</x:v>
      </x:c>
    </x:row>
    <x:row r="134" ht="20" customHeight="1">
      <x:c r="A134" s="170" t="str">
        <x:v>Networking / CPU</x:v>
      </x:c>
      <x:c r="B134" s="214" t="n">
        <x:v>2027</x:v>
      </x:c>
      <x:c r="C134" s="170" t="n">
        <x:f>'ROIC Cloud'!H$15*'ROIC Cloud'!$D$46</x:f>
        <x:v>261080.75463242634</x:v>
      </x:c>
      <x:c r="D134" s="214" t="n">
        <x:f>'ROIC Cloud'!$D$42</x:f>
        <x:v>6</x:v>
      </x:c>
      <x:c r="E134" s="214" t="n">
        <x:f>B134+'ROIC Cloud'!$D$40</x:f>
        <x:v>2029</x:v>
      </x:c>
      <x:c r="F134" s="170" t="str">
        <x:v>Average NBV</x:v>
      </x:c>
      <x:c r="G134" s="169" t="n">
        <x:f>(G131+G133)/2</x:f>
        <x:v>0</x:v>
      </x:c>
      <x:c r="H134" s="169" t="n">
        <x:f>(H131+H133)/2</x:f>
        <x:v>0</x:v>
      </x:c>
      <x:c r="I134" s="169" t="n">
        <x:f>(I131+I133)/2</x:f>
        <x:v>0</x:v>
      </x:c>
      <x:c r="J134" s="169" t="n">
        <x:f>(J131+J133)/2</x:f>
        <x:v>0</x:v>
      </x:c>
      <x:c r="K134" s="169" t="n">
        <x:f>(K131+K133)/2</x:f>
        <x:v>0</x:v>
      </x:c>
      <x:c r="L134" s="169" t="n">
        <x:f>(L131+L133)/2</x:f>
        <x:v>0</x:v>
      </x:c>
      <x:c r="M134" s="169" t="n">
        <x:f>(M131+M133)/2</x:f>
        <x:v>239324.02507972415</x:v>
      </x:c>
      <x:c r="N134" s="169" t="n">
        <x:f>(N131+N133)/2</x:f>
        <x:v>195810.56597431976</x:v>
      </x:c>
      <x:c r="O134" s="169" t="n">
        <x:f>(O131+O133)/2</x:f>
        <x:v>152297.10686891538</x:v>
      </x:c>
      <x:c r="P134" s="169" t="n">
        <x:f>(P131+P133)/2</x:f>
        <x:v>108783.64776351096</x:v>
      </x:c>
      <x:c r="Q134" s="169" t="n">
        <x:f>(Q131+Q133)/2</x:f>
        <x:v>65270.18865810659</x:v>
      </x:c>
      <x:c r="R134" s="169" t="n">
        <x:f>(R131+R133)/2</x:f>
        <x:v>21756.72955270219</x:v>
      </x:c>
      <x:c r="S134" s="169" t="n">
        <x:f>(S131+S133)/2</x:f>
        <x:v>0</x:v>
      </x:c>
      <x:c r="T134" s="169" t="n">
        <x:f>(T131+T133)/2</x:f>
        <x:v>0</x:v>
      </x:c>
      <x:c r="U134" s="169" t="n">
        <x:f>(U131+U133)/2</x:f>
        <x:v>0</x:v>
      </x:c>
      <x:c r="V134" s="169" t="n">
        <x:f>(V131+V133)/2</x:f>
        <x:v>0</x:v>
      </x:c>
      <x:c r="W134" s="169" t="n">
        <x:f>(W131+W133)/2</x:f>
        <x:v>0</x:v>
      </x:c>
      <x:c r="X134" s="169" t="n">
        <x:f>(X131+X133)/2</x:f>
        <x:v>0</x:v>
      </x:c>
      <x:c r="Y134" s="169" t="n">
        <x:f>(Y131+Y133)/2</x:f>
        <x:v>0</x:v>
      </x:c>
      <x:c r="Z134" s="169" t="n">
        <x:f>(Z131+Z133)/2</x:f>
        <x:v>0</x:v>
      </x:c>
      <x:c r="AA134" s="169" t="n">
        <x:f>(AA131+AA133)/2</x:f>
        <x:v>0</x:v>
      </x:c>
      <x:c r="AB134" s="169" t="n">
        <x:f>(AB131+AB133)/2</x:f>
        <x:v>0</x:v>
      </x:c>
      <x:c r="AC134" s="169" t="n">
        <x:f>(AC131+AC133)/2</x:f>
        <x:v>0</x:v>
      </x:c>
    </x:row>
    <x:row r="135" ht="20" customHeight="1">
      <x:c r="A135" s="170" t="str">
        <x:v>Networking / CPU</x:v>
      </x:c>
      <x:c r="B135" s="214" t="n">
        <x:v>2028</x:v>
      </x:c>
      <x:c r="C135" s="170" t="n">
        <x:f>'ROIC Cloud'!I$15*'ROIC Cloud'!$D$46</x:f>
        <x:v>403388.5316263784</x:v>
      </x:c>
      <x:c r="D135" s="214" t="n">
        <x:f>'ROIC Cloud'!$D$42</x:f>
        <x:v>6</x:v>
      </x:c>
      <x:c r="E135" s="214" t="n">
        <x:f>B135+'ROIC Cloud'!$D$40</x:f>
        <x:v>2030</x:v>
      </x:c>
      <x:c r="F135" s="170" t="str">
        <x:v>Opening NBV</x:v>
      </x:c>
      <x:c r="G135" s="169" t="n">
        <x:f>IF(G$4&gt;=$E135,$C135*MAX(0,1-(G$4-$E135)/$D135),0)</x:f>
        <x:v>0</x:v>
      </x:c>
      <x:c r="H135" s="169" t="n">
        <x:f>IF(H$4&gt;=$E135,$C135*MAX(0,1-(H$4-$E135)/$D135),0)</x:f>
        <x:v>0</x:v>
      </x:c>
      <x:c r="I135" s="169" t="n">
        <x:f>IF(I$4&gt;=$E135,$C135*MAX(0,1-(I$4-$E135)/$D135),0)</x:f>
        <x:v>0</x:v>
      </x:c>
      <x:c r="J135" s="169" t="n">
        <x:f>IF(J$4&gt;=$E135,$C135*MAX(0,1-(J$4-$E135)/$D135),0)</x:f>
        <x:v>0</x:v>
      </x:c>
      <x:c r="K135" s="169" t="n">
        <x:f>IF(K$4&gt;=$E135,$C135*MAX(0,1-(K$4-$E135)/$D135),0)</x:f>
        <x:v>0</x:v>
      </x:c>
      <x:c r="L135" s="169" t="n">
        <x:f>IF(L$4&gt;=$E135,$C135*MAX(0,1-(L$4-$E135)/$D135),0)</x:f>
        <x:v>0</x:v>
      </x:c>
      <x:c r="M135" s="169" t="n">
        <x:f>IF(M$4&gt;=$E135,$C135*MAX(0,1-(M$4-$E135)/$D135),0)</x:f>
        <x:v>0</x:v>
      </x:c>
      <x:c r="N135" s="169" t="n">
        <x:f>IF(N$4&gt;=$E135,$C135*MAX(0,1-(N$4-$E135)/$D135),0)</x:f>
        <x:v>403388.5316263784</x:v>
      </x:c>
      <x:c r="O135" s="169" t="n">
        <x:f>IF(O$4&gt;=$E135,$C135*MAX(0,1-(O$4-$E135)/$D135),0)</x:f>
        <x:v>336157.1096886487</x:v>
      </x:c>
      <x:c r="P135" s="169" t="n">
        <x:f>IF(P$4&gt;=$E135,$C135*MAX(0,1-(P$4-$E135)/$D135),0)</x:f>
        <x:v>268925.68775091897</x:v>
      </x:c>
      <x:c r="Q135" s="169" t="n">
        <x:f>IF(Q$4&gt;=$E135,$C135*MAX(0,1-(Q$4-$E135)/$D135),0)</x:f>
        <x:v>201694.2658131892</x:v>
      </x:c>
      <x:c r="R135" s="169" t="n">
        <x:f>IF(R$4&gt;=$E135,$C135*MAX(0,1-(R$4-$E135)/$D135),0)</x:f>
        <x:v>134462.84387545948</x:v>
      </x:c>
      <x:c r="S135" s="169" t="n">
        <x:f>IF(S$4&gt;=$E135,$C135*MAX(0,1-(S$4-$E135)/$D135),0)</x:f>
        <x:v>67231.42193772973</x:v>
      </x:c>
      <x:c r="T135" s="169" t="n">
        <x:f>IF(T$4&gt;=$E135,$C135*MAX(0,1-(T$4-$E135)/$D135),0)</x:f>
        <x:v>0</x:v>
      </x:c>
      <x:c r="U135" s="169" t="n">
        <x:f>IF(U$4&gt;=$E135,$C135*MAX(0,1-(U$4-$E135)/$D135),0)</x:f>
        <x:v>0</x:v>
      </x:c>
      <x:c r="V135" s="169" t="n">
        <x:f>IF(V$4&gt;=$E135,$C135*MAX(0,1-(V$4-$E135)/$D135),0)</x:f>
        <x:v>0</x:v>
      </x:c>
      <x:c r="W135" s="169" t="n">
        <x:f>IF(W$4&gt;=$E135,$C135*MAX(0,1-(W$4-$E135)/$D135),0)</x:f>
        <x:v>0</x:v>
      </x:c>
      <x:c r="X135" s="169" t="n">
        <x:f>IF(X$4&gt;=$E135,$C135*MAX(0,1-(X$4-$E135)/$D135),0)</x:f>
        <x:v>0</x:v>
      </x:c>
      <x:c r="Y135" s="169" t="n">
        <x:f>IF(Y$4&gt;=$E135,$C135*MAX(0,1-(Y$4-$E135)/$D135),0)</x:f>
        <x:v>0</x:v>
      </x:c>
      <x:c r="Z135" s="169" t="n">
        <x:f>IF(Z$4&gt;=$E135,$C135*MAX(0,1-(Z$4-$E135)/$D135),0)</x:f>
        <x:v>0</x:v>
      </x:c>
      <x:c r="AA135" s="169" t="n">
        <x:f>IF(AA$4&gt;=$E135,$C135*MAX(0,1-(AA$4-$E135)/$D135),0)</x:f>
        <x:v>0</x:v>
      </x:c>
      <x:c r="AB135" s="169" t="n">
        <x:f>IF(AB$4&gt;=$E135,$C135*MAX(0,1-(AB$4-$E135)/$D135),0)</x:f>
        <x:v>0</x:v>
      </x:c>
      <x:c r="AC135" s="169" t="n">
        <x:f>IF(AC$4&gt;=$E135,$C135*MAX(0,1-(AC$4-$E135)/$D135),0)</x:f>
        <x:v>0</x:v>
      </x:c>
    </x:row>
    <x:row r="136" ht="20" customHeight="1">
      <x:c r="A136" s="170" t="str">
        <x:v>Networking / CPU</x:v>
      </x:c>
      <x:c r="B136" s="214" t="n">
        <x:v>2028</x:v>
      </x:c>
      <x:c r="C136" s="170" t="n">
        <x:f>'ROIC Cloud'!I$15*'ROIC Cloud'!$D$46</x:f>
        <x:v>403388.5316263784</x:v>
      </x:c>
      <x:c r="D136" s="214" t="n">
        <x:f>'ROIC Cloud'!$D$42</x:f>
        <x:v>6</x:v>
      </x:c>
      <x:c r="E136" s="214" t="n">
        <x:f>B136+'ROIC Cloud'!$D$40</x:f>
        <x:v>2030</x:v>
      </x:c>
      <x:c r="F136" s="170" t="str">
        <x:v>Depreciation</x:v>
      </x:c>
      <x:c r="G136" s="169" t="n">
        <x:f>IF(G$4&gt;=$E135,MIN($C135/$D135,G135),0)</x:f>
        <x:v>0</x:v>
      </x:c>
      <x:c r="H136" s="169" t="n">
        <x:f>IF(H$4&gt;=$E135,MIN($C135/$D135,H135),0)</x:f>
        <x:v>0</x:v>
      </x:c>
      <x:c r="I136" s="169" t="n">
        <x:f>IF(I$4&gt;=$E135,MIN($C135/$D135,I135),0)</x:f>
        <x:v>0</x:v>
      </x:c>
      <x:c r="J136" s="169" t="n">
        <x:f>IF(J$4&gt;=$E135,MIN($C135/$D135,J135),0)</x:f>
        <x:v>0</x:v>
      </x:c>
      <x:c r="K136" s="169" t="n">
        <x:f>IF(K$4&gt;=$E135,MIN($C135/$D135,K135),0)</x:f>
        <x:v>0</x:v>
      </x:c>
      <x:c r="L136" s="169" t="n">
        <x:f>IF(L$4&gt;=$E135,MIN($C135/$D135,L135),0)</x:f>
        <x:v>0</x:v>
      </x:c>
      <x:c r="M136" s="169" t="n">
        <x:f>IF(M$4&gt;=$E135,MIN($C135/$D135,M135),0)</x:f>
        <x:v>0</x:v>
      </x:c>
      <x:c r="N136" s="169" t="n">
        <x:f>IF(N$4&gt;=$E135,MIN($C135/$D135,N135),0)</x:f>
        <x:v>67231.42193772974</x:v>
      </x:c>
      <x:c r="O136" s="169" t="n">
        <x:f>IF(O$4&gt;=$E135,MIN($C135/$D135,O135),0)</x:f>
        <x:v>67231.42193772974</x:v>
      </x:c>
      <x:c r="P136" s="169" t="n">
        <x:f>IF(P$4&gt;=$E135,MIN($C135/$D135,P135),0)</x:f>
        <x:v>67231.42193772974</x:v>
      </x:c>
      <x:c r="Q136" s="169" t="n">
        <x:f>IF(Q$4&gt;=$E135,MIN($C135/$D135,Q135),0)</x:f>
        <x:v>67231.42193772974</x:v>
      </x:c>
      <x:c r="R136" s="169" t="n">
        <x:f>IF(R$4&gt;=$E135,MIN($C135/$D135,R135),0)</x:f>
        <x:v>67231.42193772974</x:v>
      </x:c>
      <x:c r="S136" s="169" t="n">
        <x:f>IF(S$4&gt;=$E135,MIN($C135/$D135,S135),0)</x:f>
        <x:v>67231.42193772973</x:v>
      </x:c>
      <x:c r="T136" s="169" t="n">
        <x:f>IF(T$4&gt;=$E135,MIN($C135/$D135,T135),0)</x:f>
        <x:v>0</x:v>
      </x:c>
      <x:c r="U136" s="169" t="n">
        <x:f>IF(U$4&gt;=$E135,MIN($C135/$D135,U135),0)</x:f>
        <x:v>0</x:v>
      </x:c>
      <x:c r="V136" s="169" t="n">
        <x:f>IF(V$4&gt;=$E135,MIN($C135/$D135,V135),0)</x:f>
        <x:v>0</x:v>
      </x:c>
      <x:c r="W136" s="169" t="n">
        <x:f>IF(W$4&gt;=$E135,MIN($C135/$D135,W135),0)</x:f>
        <x:v>0</x:v>
      </x:c>
      <x:c r="X136" s="169" t="n">
        <x:f>IF(X$4&gt;=$E135,MIN($C135/$D135,X135),0)</x:f>
        <x:v>0</x:v>
      </x:c>
      <x:c r="Y136" s="169" t="n">
        <x:f>IF(Y$4&gt;=$E135,MIN($C135/$D135,Y135),0)</x:f>
        <x:v>0</x:v>
      </x:c>
      <x:c r="Z136" s="169" t="n">
        <x:f>IF(Z$4&gt;=$E135,MIN($C135/$D135,Z135),0)</x:f>
        <x:v>0</x:v>
      </x:c>
      <x:c r="AA136" s="169" t="n">
        <x:f>IF(AA$4&gt;=$E135,MIN($C135/$D135,AA135),0)</x:f>
        <x:v>0</x:v>
      </x:c>
      <x:c r="AB136" s="169" t="n">
        <x:f>IF(AB$4&gt;=$E135,MIN($C135/$D135,AB135),0)</x:f>
        <x:v>0</x:v>
      </x:c>
      <x:c r="AC136" s="169" t="n">
        <x:f>IF(AC$4&gt;=$E135,MIN($C135/$D135,AC135),0)</x:f>
        <x:v>0</x:v>
      </x:c>
    </x:row>
    <x:row r="137" ht="20" customHeight="1">
      <x:c r="A137" s="170" t="str">
        <x:v>Networking / CPU</x:v>
      </x:c>
      <x:c r="B137" s="214" t="n">
        <x:v>2028</x:v>
      </x:c>
      <x:c r="C137" s="170" t="n">
        <x:f>'ROIC Cloud'!I$15*'ROIC Cloud'!$D$46</x:f>
        <x:v>403388.5316263784</x:v>
      </x:c>
      <x:c r="D137" s="214" t="n">
        <x:f>'ROIC Cloud'!$D$42</x:f>
        <x:v>6</x:v>
      </x:c>
      <x:c r="E137" s="214" t="n">
        <x:f>B137+'ROIC Cloud'!$D$40</x:f>
        <x:v>2030</x:v>
      </x:c>
      <x:c r="F137" s="170" t="str">
        <x:v>Closing NBV</x:v>
      </x:c>
      <x:c r="G137" s="169" t="n">
        <x:f>MAX(0,G135-G136)</x:f>
        <x:v>0</x:v>
      </x:c>
      <x:c r="H137" s="169" t="n">
        <x:f>MAX(0,H135-H136)</x:f>
        <x:v>0</x:v>
      </x:c>
      <x:c r="I137" s="169" t="n">
        <x:f>MAX(0,I135-I136)</x:f>
        <x:v>0</x:v>
      </x:c>
      <x:c r="J137" s="169" t="n">
        <x:f>MAX(0,J135-J136)</x:f>
        <x:v>0</x:v>
      </x:c>
      <x:c r="K137" s="169" t="n">
        <x:f>MAX(0,K135-K136)</x:f>
        <x:v>0</x:v>
      </x:c>
      <x:c r="L137" s="169" t="n">
        <x:f>MAX(0,L135-L136)</x:f>
        <x:v>0</x:v>
      </x:c>
      <x:c r="M137" s="169" t="n">
        <x:f>MAX(0,M135-M136)</x:f>
        <x:v>0</x:v>
      </x:c>
      <x:c r="N137" s="169" t="n">
        <x:f>MAX(0,N135-N136)</x:f>
        <x:v>336157.10968864866</x:v>
      </x:c>
      <x:c r="O137" s="169" t="n">
        <x:f>MAX(0,O135-O136)</x:f>
        <x:v>268925.68775091897</x:v>
      </x:c>
      <x:c r="P137" s="169" t="n">
        <x:f>MAX(0,P135-P136)</x:f>
        <x:v>201694.2658131892</x:v>
      </x:c>
      <x:c r="Q137" s="169" t="n">
        <x:f>MAX(0,Q135-Q136)</x:f>
        <x:v>134462.84387545945</x:v>
      </x:c>
      <x:c r="R137" s="169" t="n">
        <x:f>MAX(0,R135-R136)</x:f>
        <x:v>67231.42193772974</x:v>
      </x:c>
      <x:c r="S137" s="169" t="n">
        <x:f>MAX(0,S135-S136)</x:f>
        <x:v>0</x:v>
      </x:c>
      <x:c r="T137" s="169" t="n">
        <x:f>MAX(0,T135-T136)</x:f>
        <x:v>0</x:v>
      </x:c>
      <x:c r="U137" s="169" t="n">
        <x:f>MAX(0,U135-U136)</x:f>
        <x:v>0</x:v>
      </x:c>
      <x:c r="V137" s="169" t="n">
        <x:f>MAX(0,V135-V136)</x:f>
        <x:v>0</x:v>
      </x:c>
      <x:c r="W137" s="169" t="n">
        <x:f>MAX(0,W135-W136)</x:f>
        <x:v>0</x:v>
      </x:c>
      <x:c r="X137" s="169" t="n">
        <x:f>MAX(0,X135-X136)</x:f>
        <x:v>0</x:v>
      </x:c>
      <x:c r="Y137" s="169" t="n">
        <x:f>MAX(0,Y135-Y136)</x:f>
        <x:v>0</x:v>
      </x:c>
      <x:c r="Z137" s="169" t="n">
        <x:f>MAX(0,Z135-Z136)</x:f>
        <x:v>0</x:v>
      </x:c>
      <x:c r="AA137" s="169" t="n">
        <x:f>MAX(0,AA135-AA136)</x:f>
        <x:v>0</x:v>
      </x:c>
      <x:c r="AB137" s="169" t="n">
        <x:f>MAX(0,AB135-AB136)</x:f>
        <x:v>0</x:v>
      </x:c>
      <x:c r="AC137" s="169" t="n">
        <x:f>MAX(0,AC135-AC136)</x:f>
        <x:v>0</x:v>
      </x:c>
    </x:row>
    <x:row r="138" ht="20" customHeight="1">
      <x:c r="A138" s="170" t="str">
        <x:v>Networking / CPU</x:v>
      </x:c>
      <x:c r="B138" s="214" t="n">
        <x:v>2028</x:v>
      </x:c>
      <x:c r="C138" s="170" t="n">
        <x:f>'ROIC Cloud'!I$15*'ROIC Cloud'!$D$46</x:f>
        <x:v>403388.5316263784</x:v>
      </x:c>
      <x:c r="D138" s="214" t="n">
        <x:f>'ROIC Cloud'!$D$42</x:f>
        <x:v>6</x:v>
      </x:c>
      <x:c r="E138" s="214" t="n">
        <x:f>B138+'ROIC Cloud'!$D$40</x:f>
        <x:v>2030</x:v>
      </x:c>
      <x:c r="F138" s="170" t="str">
        <x:v>Average NBV</x:v>
      </x:c>
      <x:c r="G138" s="169" t="n">
        <x:f>(G135+G137)/2</x:f>
        <x:v>0</x:v>
      </x:c>
      <x:c r="H138" s="169" t="n">
        <x:f>(H135+H137)/2</x:f>
        <x:v>0</x:v>
      </x:c>
      <x:c r="I138" s="169" t="n">
        <x:f>(I135+I137)/2</x:f>
        <x:v>0</x:v>
      </x:c>
      <x:c r="J138" s="169" t="n">
        <x:f>(J135+J137)/2</x:f>
        <x:v>0</x:v>
      </x:c>
      <x:c r="K138" s="169" t="n">
        <x:f>(K135+K137)/2</x:f>
        <x:v>0</x:v>
      </x:c>
      <x:c r="L138" s="169" t="n">
        <x:f>(L135+L137)/2</x:f>
        <x:v>0</x:v>
      </x:c>
      <x:c r="M138" s="169" t="n">
        <x:f>(M135+M137)/2</x:f>
        <x:v>0</x:v>
      </x:c>
      <x:c r="N138" s="169" t="n">
        <x:f>(N135+N137)/2</x:f>
        <x:v>369772.82065751357</x:v>
      </x:c>
      <x:c r="O138" s="169" t="n">
        <x:f>(O135+O137)/2</x:f>
        <x:v>302541.3987197839</x:v>
      </x:c>
      <x:c r="P138" s="169" t="n">
        <x:f>(P135+P137)/2</x:f>
        <x:v>235309.9767820541</x:v>
      </x:c>
      <x:c r="Q138" s="169" t="n">
        <x:f>(Q135+Q137)/2</x:f>
        <x:v>168078.55484432433</x:v>
      </x:c>
      <x:c r="R138" s="169" t="n">
        <x:f>(R135+R137)/2</x:f>
        <x:v>100847.1329065946</x:v>
      </x:c>
      <x:c r="S138" s="169" t="n">
        <x:f>(S135+S137)/2</x:f>
        <x:v>33615.71096886486</x:v>
      </x:c>
      <x:c r="T138" s="169" t="n">
        <x:f>(T135+T137)/2</x:f>
        <x:v>0</x:v>
      </x:c>
      <x:c r="U138" s="169" t="n">
        <x:f>(U135+U137)/2</x:f>
        <x:v>0</x:v>
      </x:c>
      <x:c r="V138" s="169" t="n">
        <x:f>(V135+V137)/2</x:f>
        <x:v>0</x:v>
      </x:c>
      <x:c r="W138" s="169" t="n">
        <x:f>(W135+W137)/2</x:f>
        <x:v>0</x:v>
      </x:c>
      <x:c r="X138" s="169" t="n">
        <x:f>(X135+X137)/2</x:f>
        <x:v>0</x:v>
      </x:c>
      <x:c r="Y138" s="169" t="n">
        <x:f>(Y135+Y137)/2</x:f>
        <x:v>0</x:v>
      </x:c>
      <x:c r="Z138" s="169" t="n">
        <x:f>(Z135+Z137)/2</x:f>
        <x:v>0</x:v>
      </x:c>
      <x:c r="AA138" s="169" t="n">
        <x:f>(AA135+AA137)/2</x:f>
        <x:v>0</x:v>
      </x:c>
      <x:c r="AB138" s="169" t="n">
        <x:f>(AB135+AB137)/2</x:f>
        <x:v>0</x:v>
      </x:c>
      <x:c r="AC138" s="169" t="n">
        <x:f>(AC135+AC137)/2</x:f>
        <x:v>0</x:v>
      </x:c>
    </x:row>
    <x:row r="139" ht="20" customHeight="1">
      <x:c r="A139" s="170" t="str">
        <x:v>Networking / CPU</x:v>
      </x:c>
      <x:c r="B139" s="214" t="n">
        <x:v>2029</x:v>
      </x:c>
      <x:c r="C139" s="170" t="n">
        <x:f>'ROIC Cloud'!J$15*'ROIC Cloud'!$D$46</x:f>
        <x:v>443727.3847890163</x:v>
      </x:c>
      <x:c r="D139" s="214" t="n">
        <x:f>'ROIC Cloud'!$D$42</x:f>
        <x:v>6</x:v>
      </x:c>
      <x:c r="E139" s="214" t="n">
        <x:f>B139+'ROIC Cloud'!$D$40</x:f>
        <x:v>2031</x:v>
      </x:c>
      <x:c r="F139" s="170" t="str">
        <x:v>Opening NBV</x:v>
      </x:c>
      <x:c r="G139" s="169" t="n">
        <x:f>IF(G$4&gt;=$E139,$C139*MAX(0,1-(G$4-$E139)/$D139),0)</x:f>
        <x:v>0</x:v>
      </x:c>
      <x:c r="H139" s="169" t="n">
        <x:f>IF(H$4&gt;=$E139,$C139*MAX(0,1-(H$4-$E139)/$D139),0)</x:f>
        <x:v>0</x:v>
      </x:c>
      <x:c r="I139" s="169" t="n">
        <x:f>IF(I$4&gt;=$E139,$C139*MAX(0,1-(I$4-$E139)/$D139),0)</x:f>
        <x:v>0</x:v>
      </x:c>
      <x:c r="J139" s="169" t="n">
        <x:f>IF(J$4&gt;=$E139,$C139*MAX(0,1-(J$4-$E139)/$D139),0)</x:f>
        <x:v>0</x:v>
      </x:c>
      <x:c r="K139" s="169" t="n">
        <x:f>IF(K$4&gt;=$E139,$C139*MAX(0,1-(K$4-$E139)/$D139),0)</x:f>
        <x:v>0</x:v>
      </x:c>
      <x:c r="L139" s="169" t="n">
        <x:f>IF(L$4&gt;=$E139,$C139*MAX(0,1-(L$4-$E139)/$D139),0)</x:f>
        <x:v>0</x:v>
      </x:c>
      <x:c r="M139" s="169" t="n">
        <x:f>IF(M$4&gt;=$E139,$C139*MAX(0,1-(M$4-$E139)/$D139),0)</x:f>
        <x:v>0</x:v>
      </x:c>
      <x:c r="N139" s="169" t="n">
        <x:f>IF(N$4&gt;=$E139,$C139*MAX(0,1-(N$4-$E139)/$D139),0)</x:f>
        <x:v>0</x:v>
      </x:c>
      <x:c r="O139" s="169" t="n">
        <x:f>IF(O$4&gt;=$E139,$C139*MAX(0,1-(O$4-$E139)/$D139),0)</x:f>
        <x:v>443727.3847890163</x:v>
      </x:c>
      <x:c r="P139" s="169" t="n">
        <x:f>IF(P$4&gt;=$E139,$C139*MAX(0,1-(P$4-$E139)/$D139),0)</x:f>
        <x:v>369772.82065751357</x:v>
      </x:c>
      <x:c r="Q139" s="169" t="n">
        <x:f>IF(Q$4&gt;=$E139,$C139*MAX(0,1-(Q$4-$E139)/$D139),0)</x:f>
        <x:v>295818.25652601087</x:v>
      </x:c>
      <x:c r="R139" s="169" t="n">
        <x:f>IF(R$4&gt;=$E139,$C139*MAX(0,1-(R$4-$E139)/$D139),0)</x:f>
        <x:v>221863.69239450814</x:v>
      </x:c>
      <x:c r="S139" s="169" t="n">
        <x:f>IF(S$4&gt;=$E139,$C139*MAX(0,1-(S$4-$E139)/$D139),0)</x:f>
        <x:v>147909.12826300543</x:v>
      </x:c>
      <x:c r="T139" s="169" t="n">
        <x:f>IF(T$4&gt;=$E139,$C139*MAX(0,1-(T$4-$E139)/$D139),0)</x:f>
        <x:v>73954.5641315027</x:v>
      </x:c>
      <x:c r="U139" s="169" t="n">
        <x:f>IF(U$4&gt;=$E139,$C139*MAX(0,1-(U$4-$E139)/$D139),0)</x:f>
        <x:v>0</x:v>
      </x:c>
      <x:c r="V139" s="169" t="n">
        <x:f>IF(V$4&gt;=$E139,$C139*MAX(0,1-(V$4-$E139)/$D139),0)</x:f>
        <x:v>0</x:v>
      </x:c>
      <x:c r="W139" s="169" t="n">
        <x:f>IF(W$4&gt;=$E139,$C139*MAX(0,1-(W$4-$E139)/$D139),0)</x:f>
        <x:v>0</x:v>
      </x:c>
      <x:c r="X139" s="169" t="n">
        <x:f>IF(X$4&gt;=$E139,$C139*MAX(0,1-(X$4-$E139)/$D139),0)</x:f>
        <x:v>0</x:v>
      </x:c>
      <x:c r="Y139" s="169" t="n">
        <x:f>IF(Y$4&gt;=$E139,$C139*MAX(0,1-(Y$4-$E139)/$D139),0)</x:f>
        <x:v>0</x:v>
      </x:c>
      <x:c r="Z139" s="169" t="n">
        <x:f>IF(Z$4&gt;=$E139,$C139*MAX(0,1-(Z$4-$E139)/$D139),0)</x:f>
        <x:v>0</x:v>
      </x:c>
      <x:c r="AA139" s="169" t="n">
        <x:f>IF(AA$4&gt;=$E139,$C139*MAX(0,1-(AA$4-$E139)/$D139),0)</x:f>
        <x:v>0</x:v>
      </x:c>
      <x:c r="AB139" s="169" t="n">
        <x:f>IF(AB$4&gt;=$E139,$C139*MAX(0,1-(AB$4-$E139)/$D139),0)</x:f>
        <x:v>0</x:v>
      </x:c>
      <x:c r="AC139" s="169" t="n">
        <x:f>IF(AC$4&gt;=$E139,$C139*MAX(0,1-(AC$4-$E139)/$D139),0)</x:f>
        <x:v>0</x:v>
      </x:c>
    </x:row>
    <x:row r="140" ht="20" customHeight="1">
      <x:c r="A140" s="170" t="str">
        <x:v>Networking / CPU</x:v>
      </x:c>
      <x:c r="B140" s="214" t="n">
        <x:v>2029</x:v>
      </x:c>
      <x:c r="C140" s="170" t="n">
        <x:f>'ROIC Cloud'!J$15*'ROIC Cloud'!$D$46</x:f>
        <x:v>443727.3847890163</x:v>
      </x:c>
      <x:c r="D140" s="214" t="n">
        <x:f>'ROIC Cloud'!$D$42</x:f>
        <x:v>6</x:v>
      </x:c>
      <x:c r="E140" s="214" t="n">
        <x:f>B140+'ROIC Cloud'!$D$40</x:f>
        <x:v>2031</x:v>
      </x:c>
      <x:c r="F140" s="170" t="str">
        <x:v>Depreciation</x:v>
      </x:c>
      <x:c r="G140" s="169" t="n">
        <x:f>IF(G$4&gt;=$E139,MIN($C139/$D139,G139),0)</x:f>
        <x:v>0</x:v>
      </x:c>
      <x:c r="H140" s="169" t="n">
        <x:f>IF(H$4&gt;=$E139,MIN($C139/$D139,H139),0)</x:f>
        <x:v>0</x:v>
      </x:c>
      <x:c r="I140" s="169" t="n">
        <x:f>IF(I$4&gt;=$E139,MIN($C139/$D139,I139),0)</x:f>
        <x:v>0</x:v>
      </x:c>
      <x:c r="J140" s="169" t="n">
        <x:f>IF(J$4&gt;=$E139,MIN($C139/$D139,J139),0)</x:f>
        <x:v>0</x:v>
      </x:c>
      <x:c r="K140" s="169" t="n">
        <x:f>IF(K$4&gt;=$E139,MIN($C139/$D139,K139),0)</x:f>
        <x:v>0</x:v>
      </x:c>
      <x:c r="L140" s="169" t="n">
        <x:f>IF(L$4&gt;=$E139,MIN($C139/$D139,L139),0)</x:f>
        <x:v>0</x:v>
      </x:c>
      <x:c r="M140" s="169" t="n">
        <x:f>IF(M$4&gt;=$E139,MIN($C139/$D139,M139),0)</x:f>
        <x:v>0</x:v>
      </x:c>
      <x:c r="N140" s="169" t="n">
        <x:f>IF(N$4&gt;=$E139,MIN($C139/$D139,N139),0)</x:f>
        <x:v>0</x:v>
      </x:c>
      <x:c r="O140" s="169" t="n">
        <x:f>IF(O$4&gt;=$E139,MIN($C139/$D139,O139),0)</x:f>
        <x:v>73954.56413150272</x:v>
      </x:c>
      <x:c r="P140" s="169" t="n">
        <x:f>IF(P$4&gt;=$E139,MIN($C139/$D139,P139),0)</x:f>
        <x:v>73954.56413150272</x:v>
      </x:c>
      <x:c r="Q140" s="169" t="n">
        <x:f>IF(Q$4&gt;=$E139,MIN($C139/$D139,Q139),0)</x:f>
        <x:v>73954.56413150272</x:v>
      </x:c>
      <x:c r="R140" s="169" t="n">
        <x:f>IF(R$4&gt;=$E139,MIN($C139/$D139,R139),0)</x:f>
        <x:v>73954.56413150272</x:v>
      </x:c>
      <x:c r="S140" s="169" t="n">
        <x:f>IF(S$4&gt;=$E139,MIN($C139/$D139,S139),0)</x:f>
        <x:v>73954.56413150272</x:v>
      </x:c>
      <x:c r="T140" s="169" t="n">
        <x:f>IF(T$4&gt;=$E139,MIN($C139/$D139,T139),0)</x:f>
        <x:v>73954.5641315027</x:v>
      </x:c>
      <x:c r="U140" s="169" t="n">
        <x:f>IF(U$4&gt;=$E139,MIN($C139/$D139,U139),0)</x:f>
        <x:v>0</x:v>
      </x:c>
      <x:c r="V140" s="169" t="n">
        <x:f>IF(V$4&gt;=$E139,MIN($C139/$D139,V139),0)</x:f>
        <x:v>0</x:v>
      </x:c>
      <x:c r="W140" s="169" t="n">
        <x:f>IF(W$4&gt;=$E139,MIN($C139/$D139,W139),0)</x:f>
        <x:v>0</x:v>
      </x:c>
      <x:c r="X140" s="169" t="n">
        <x:f>IF(X$4&gt;=$E139,MIN($C139/$D139,X139),0)</x:f>
        <x:v>0</x:v>
      </x:c>
      <x:c r="Y140" s="169" t="n">
        <x:f>IF(Y$4&gt;=$E139,MIN($C139/$D139,Y139),0)</x:f>
        <x:v>0</x:v>
      </x:c>
      <x:c r="Z140" s="169" t="n">
        <x:f>IF(Z$4&gt;=$E139,MIN($C139/$D139,Z139),0)</x:f>
        <x:v>0</x:v>
      </x:c>
      <x:c r="AA140" s="169" t="n">
        <x:f>IF(AA$4&gt;=$E139,MIN($C139/$D139,AA139),0)</x:f>
        <x:v>0</x:v>
      </x:c>
      <x:c r="AB140" s="169" t="n">
        <x:f>IF(AB$4&gt;=$E139,MIN($C139/$D139,AB139),0)</x:f>
        <x:v>0</x:v>
      </x:c>
      <x:c r="AC140" s="169" t="n">
        <x:f>IF(AC$4&gt;=$E139,MIN($C139/$D139,AC139),0)</x:f>
        <x:v>0</x:v>
      </x:c>
    </x:row>
    <x:row r="141" ht="20" customHeight="1">
      <x:c r="A141" s="170" t="str">
        <x:v>Networking / CPU</x:v>
      </x:c>
      <x:c r="B141" s="214" t="n">
        <x:v>2029</x:v>
      </x:c>
      <x:c r="C141" s="170" t="n">
        <x:f>'ROIC Cloud'!J$15*'ROIC Cloud'!$D$46</x:f>
        <x:v>443727.3847890163</x:v>
      </x:c>
      <x:c r="D141" s="214" t="n">
        <x:f>'ROIC Cloud'!$D$42</x:f>
        <x:v>6</x:v>
      </x:c>
      <x:c r="E141" s="214" t="n">
        <x:f>B141+'ROIC Cloud'!$D$40</x:f>
        <x:v>2031</x:v>
      </x:c>
      <x:c r="F141" s="170" t="str">
        <x:v>Closing NBV</x:v>
      </x:c>
      <x:c r="G141" s="169" t="n">
        <x:f>MAX(0,G139-G140)</x:f>
        <x:v>0</x:v>
      </x:c>
      <x:c r="H141" s="169" t="n">
        <x:f>MAX(0,H139-H140)</x:f>
        <x:v>0</x:v>
      </x:c>
      <x:c r="I141" s="169" t="n">
        <x:f>MAX(0,I139-I140)</x:f>
        <x:v>0</x:v>
      </x:c>
      <x:c r="J141" s="169" t="n">
        <x:f>MAX(0,J139-J140)</x:f>
        <x:v>0</x:v>
      </x:c>
      <x:c r="K141" s="169" t="n">
        <x:f>MAX(0,K139-K140)</x:f>
        <x:v>0</x:v>
      </x:c>
      <x:c r="L141" s="169" t="n">
        <x:f>MAX(0,L139-L140)</x:f>
        <x:v>0</x:v>
      </x:c>
      <x:c r="M141" s="169" t="n">
        <x:f>MAX(0,M139-M140)</x:f>
        <x:v>0</x:v>
      </x:c>
      <x:c r="N141" s="169" t="n">
        <x:f>MAX(0,N139-N140)</x:f>
        <x:v>0</x:v>
      </x:c>
      <x:c r="O141" s="169" t="n">
        <x:f>MAX(0,O139-O140)</x:f>
        <x:v>369772.82065751357</x:v>
      </x:c>
      <x:c r="P141" s="169" t="n">
        <x:f>MAX(0,P139-P140)</x:f>
        <x:v>295818.25652601087</x:v>
      </x:c>
      <x:c r="Q141" s="169" t="n">
        <x:f>MAX(0,Q139-Q140)</x:f>
        <x:v>221863.69239450817</x:v>
      </x:c>
      <x:c r="R141" s="169" t="n">
        <x:f>MAX(0,R139-R140)</x:f>
        <x:v>147909.1282630054</x:v>
      </x:c>
      <x:c r="S141" s="169" t="n">
        <x:f>MAX(0,S139-S140)</x:f>
        <x:v>73954.56413150272</x:v>
      </x:c>
      <x:c r="T141" s="169" t="n">
        <x:f>MAX(0,T139-T140)</x:f>
        <x:v>0</x:v>
      </x:c>
      <x:c r="U141" s="169" t="n">
        <x:f>MAX(0,U139-U140)</x:f>
        <x:v>0</x:v>
      </x:c>
      <x:c r="V141" s="169" t="n">
        <x:f>MAX(0,V139-V140)</x:f>
        <x:v>0</x:v>
      </x:c>
      <x:c r="W141" s="169" t="n">
        <x:f>MAX(0,W139-W140)</x:f>
        <x:v>0</x:v>
      </x:c>
      <x:c r="X141" s="169" t="n">
        <x:f>MAX(0,X139-X140)</x:f>
        <x:v>0</x:v>
      </x:c>
      <x:c r="Y141" s="169" t="n">
        <x:f>MAX(0,Y139-Y140)</x:f>
        <x:v>0</x:v>
      </x:c>
      <x:c r="Z141" s="169" t="n">
        <x:f>MAX(0,Z139-Z140)</x:f>
        <x:v>0</x:v>
      </x:c>
      <x:c r="AA141" s="169" t="n">
        <x:f>MAX(0,AA139-AA140)</x:f>
        <x:v>0</x:v>
      </x:c>
      <x:c r="AB141" s="169" t="n">
        <x:f>MAX(0,AB139-AB140)</x:f>
        <x:v>0</x:v>
      </x:c>
      <x:c r="AC141" s="169" t="n">
        <x:f>MAX(0,AC139-AC140)</x:f>
        <x:v>0</x:v>
      </x:c>
    </x:row>
    <x:row r="142" ht="20" customHeight="1">
      <x:c r="A142" s="170" t="str">
        <x:v>Networking / CPU</x:v>
      </x:c>
      <x:c r="B142" s="214" t="n">
        <x:v>2029</x:v>
      </x:c>
      <x:c r="C142" s="170" t="n">
        <x:f>'ROIC Cloud'!J$15*'ROIC Cloud'!$D$46</x:f>
        <x:v>443727.3847890163</x:v>
      </x:c>
      <x:c r="D142" s="214" t="n">
        <x:f>'ROIC Cloud'!$D$42</x:f>
        <x:v>6</x:v>
      </x:c>
      <x:c r="E142" s="214" t="n">
        <x:f>B142+'ROIC Cloud'!$D$40</x:f>
        <x:v>2031</x:v>
      </x:c>
      <x:c r="F142" s="170" t="str">
        <x:v>Average NBV</x:v>
      </x:c>
      <x:c r="G142" s="169" t="n">
        <x:f>(G139+G141)/2</x:f>
        <x:v>0</x:v>
      </x:c>
      <x:c r="H142" s="169" t="n">
        <x:f>(H139+H141)/2</x:f>
        <x:v>0</x:v>
      </x:c>
      <x:c r="I142" s="169" t="n">
        <x:f>(I139+I141)/2</x:f>
        <x:v>0</x:v>
      </x:c>
      <x:c r="J142" s="169" t="n">
        <x:f>(J139+J141)/2</x:f>
        <x:v>0</x:v>
      </x:c>
      <x:c r="K142" s="169" t="n">
        <x:f>(K139+K141)/2</x:f>
        <x:v>0</x:v>
      </x:c>
      <x:c r="L142" s="169" t="n">
        <x:f>(L139+L141)/2</x:f>
        <x:v>0</x:v>
      </x:c>
      <x:c r="M142" s="169" t="n">
        <x:f>(M139+M141)/2</x:f>
        <x:v>0</x:v>
      </x:c>
      <x:c r="N142" s="169" t="n">
        <x:f>(N139+N141)/2</x:f>
        <x:v>0</x:v>
      </x:c>
      <x:c r="O142" s="169" t="n">
        <x:f>(O139+O141)/2</x:f>
        <x:v>406750.10272326495</x:v>
      </x:c>
      <x:c r="P142" s="169" t="n">
        <x:f>(P139+P141)/2</x:f>
        <x:v>332795.5385917622</x:v>
      </x:c>
      <x:c r="Q142" s="169" t="n">
        <x:f>(Q139+Q141)/2</x:f>
        <x:v>258840.97446025952</x:v>
      </x:c>
      <x:c r="R142" s="169" t="n">
        <x:f>(R139+R141)/2</x:f>
        <x:v>184886.41032875679</x:v>
      </x:c>
      <x:c r="S142" s="169" t="n">
        <x:f>(S139+S141)/2</x:f>
        <x:v>110931.84619725408</x:v>
      </x:c>
      <x:c r="T142" s="169" t="n">
        <x:f>(T139+T141)/2</x:f>
        <x:v>36977.28206575135</x:v>
      </x:c>
      <x:c r="U142" s="169" t="n">
        <x:f>(U139+U141)/2</x:f>
        <x:v>0</x:v>
      </x:c>
      <x:c r="V142" s="169" t="n">
        <x:f>(V139+V141)/2</x:f>
        <x:v>0</x:v>
      </x:c>
      <x:c r="W142" s="169" t="n">
        <x:f>(W139+W141)/2</x:f>
        <x:v>0</x:v>
      </x:c>
      <x:c r="X142" s="169" t="n">
        <x:f>(X139+X141)/2</x:f>
        <x:v>0</x:v>
      </x:c>
      <x:c r="Y142" s="169" t="n">
        <x:f>(Y139+Y141)/2</x:f>
        <x:v>0</x:v>
      </x:c>
      <x:c r="Z142" s="169" t="n">
        <x:f>(Z139+Z141)/2</x:f>
        <x:v>0</x:v>
      </x:c>
      <x:c r="AA142" s="169" t="n">
        <x:f>(AA139+AA141)/2</x:f>
        <x:v>0</x:v>
      </x:c>
      <x:c r="AB142" s="169" t="n">
        <x:f>(AB139+AB141)/2</x:f>
        <x:v>0</x:v>
      </x:c>
      <x:c r="AC142" s="169" t="n">
        <x:f>(AC139+AC141)/2</x:f>
        <x:v>0</x:v>
      </x:c>
    </x:row>
    <x:row r="143" ht="20" customHeight="1">
      <x:c r="A143" s="170" t="str">
        <x:v>Networking / CPU</x:v>
      </x:c>
      <x:c r="B143" s="214" t="n">
        <x:v>2030</x:v>
      </x:c>
      <x:c r="C143" s="170" t="n">
        <x:f>'ROIC Cloud'!K$15*'ROIC Cloud'!$D$46</x:f>
        <x:v>479225.5755721376</x:v>
      </x:c>
      <x:c r="D143" s="214" t="n">
        <x:f>'ROIC Cloud'!$D$42</x:f>
        <x:v>6</x:v>
      </x:c>
      <x:c r="E143" s="214" t="n">
        <x:f>B143+'ROIC Cloud'!$D$40</x:f>
        <x:v>2032</x:v>
      </x:c>
      <x:c r="F143" s="170" t="str">
        <x:v>Opening NBV</x:v>
      </x:c>
      <x:c r="G143" s="169" t="n">
        <x:f>IF(G$4&gt;=$E143,$C143*MAX(0,1-(G$4-$E143)/$D143),0)</x:f>
        <x:v>0</x:v>
      </x:c>
      <x:c r="H143" s="169" t="n">
        <x:f>IF(H$4&gt;=$E143,$C143*MAX(0,1-(H$4-$E143)/$D143),0)</x:f>
        <x:v>0</x:v>
      </x:c>
      <x:c r="I143" s="169" t="n">
        <x:f>IF(I$4&gt;=$E143,$C143*MAX(0,1-(I$4-$E143)/$D143),0)</x:f>
        <x:v>0</x:v>
      </x:c>
      <x:c r="J143" s="169" t="n">
        <x:f>IF(J$4&gt;=$E143,$C143*MAX(0,1-(J$4-$E143)/$D143),0)</x:f>
        <x:v>0</x:v>
      </x:c>
      <x:c r="K143" s="169" t="n">
        <x:f>IF(K$4&gt;=$E143,$C143*MAX(0,1-(K$4-$E143)/$D143),0)</x:f>
        <x:v>0</x:v>
      </x:c>
      <x:c r="L143" s="169" t="n">
        <x:f>IF(L$4&gt;=$E143,$C143*MAX(0,1-(L$4-$E143)/$D143),0)</x:f>
        <x:v>0</x:v>
      </x:c>
      <x:c r="M143" s="169" t="n">
        <x:f>IF(M$4&gt;=$E143,$C143*MAX(0,1-(M$4-$E143)/$D143),0)</x:f>
        <x:v>0</x:v>
      </x:c>
      <x:c r="N143" s="169" t="n">
        <x:f>IF(N$4&gt;=$E143,$C143*MAX(0,1-(N$4-$E143)/$D143),0)</x:f>
        <x:v>0</x:v>
      </x:c>
      <x:c r="O143" s="169" t="n">
        <x:f>IF(O$4&gt;=$E143,$C143*MAX(0,1-(O$4-$E143)/$D143),0)</x:f>
        <x:v>0</x:v>
      </x:c>
      <x:c r="P143" s="169" t="n">
        <x:f>IF(P$4&gt;=$E143,$C143*MAX(0,1-(P$4-$E143)/$D143),0)</x:f>
        <x:v>479225.5755721376</x:v>
      </x:c>
      <x:c r="Q143" s="169" t="n">
        <x:f>IF(Q$4&gt;=$E143,$C143*MAX(0,1-(Q$4-$E143)/$D143),0)</x:f>
        <x:v>399354.6463101147</x:v>
      </x:c>
      <x:c r="R143" s="169" t="n">
        <x:f>IF(R$4&gt;=$E143,$C143*MAX(0,1-(R$4-$E143)/$D143),0)</x:f>
        <x:v>319483.71704809176</x:v>
      </x:c>
      <x:c r="S143" s="169" t="n">
        <x:f>IF(S$4&gt;=$E143,$C143*MAX(0,1-(S$4-$E143)/$D143),0)</x:f>
        <x:v>239612.7877860688</x:v>
      </x:c>
      <x:c r="T143" s="169" t="n">
        <x:f>IF(T$4&gt;=$E143,$C143*MAX(0,1-(T$4-$E143)/$D143),0)</x:f>
        <x:v>159741.85852404588</x:v>
      </x:c>
      <x:c r="U143" s="169" t="n">
        <x:f>IF(U$4&gt;=$E143,$C143*MAX(0,1-(U$4-$E143)/$D143),0)</x:f>
        <x:v>79870.92926202291</x:v>
      </x:c>
      <x:c r="V143" s="169" t="n">
        <x:f>IF(V$4&gt;=$E143,$C143*MAX(0,1-(V$4-$E143)/$D143),0)</x:f>
        <x:v>0</x:v>
      </x:c>
      <x:c r="W143" s="169" t="n">
        <x:f>IF(W$4&gt;=$E143,$C143*MAX(0,1-(W$4-$E143)/$D143),0)</x:f>
        <x:v>0</x:v>
      </x:c>
      <x:c r="X143" s="169" t="n">
        <x:f>IF(X$4&gt;=$E143,$C143*MAX(0,1-(X$4-$E143)/$D143),0)</x:f>
        <x:v>0</x:v>
      </x:c>
      <x:c r="Y143" s="169" t="n">
        <x:f>IF(Y$4&gt;=$E143,$C143*MAX(0,1-(Y$4-$E143)/$D143),0)</x:f>
        <x:v>0</x:v>
      </x:c>
      <x:c r="Z143" s="169" t="n">
        <x:f>IF(Z$4&gt;=$E143,$C143*MAX(0,1-(Z$4-$E143)/$D143),0)</x:f>
        <x:v>0</x:v>
      </x:c>
      <x:c r="AA143" s="169" t="n">
        <x:f>IF(AA$4&gt;=$E143,$C143*MAX(0,1-(AA$4-$E143)/$D143),0)</x:f>
        <x:v>0</x:v>
      </x:c>
      <x:c r="AB143" s="169" t="n">
        <x:f>IF(AB$4&gt;=$E143,$C143*MAX(0,1-(AB$4-$E143)/$D143),0)</x:f>
        <x:v>0</x:v>
      </x:c>
      <x:c r="AC143" s="169" t="n">
        <x:f>IF(AC$4&gt;=$E143,$C143*MAX(0,1-(AC$4-$E143)/$D143),0)</x:f>
        <x:v>0</x:v>
      </x:c>
    </x:row>
    <x:row r="144" ht="20" customHeight="1">
      <x:c r="A144" s="170" t="str">
        <x:v>Networking / CPU</x:v>
      </x:c>
      <x:c r="B144" s="214" t="n">
        <x:v>2030</x:v>
      </x:c>
      <x:c r="C144" s="170" t="n">
        <x:f>'ROIC Cloud'!K$15*'ROIC Cloud'!$D$46</x:f>
        <x:v>479225.5755721376</x:v>
      </x:c>
      <x:c r="D144" s="214" t="n">
        <x:f>'ROIC Cloud'!$D$42</x:f>
        <x:v>6</x:v>
      </x:c>
      <x:c r="E144" s="214" t="n">
        <x:f>B144+'ROIC Cloud'!$D$40</x:f>
        <x:v>2032</x:v>
      </x:c>
      <x:c r="F144" s="170" t="str">
        <x:v>Depreciation</x:v>
      </x:c>
      <x:c r="G144" s="169" t="n">
        <x:f>IF(G$4&gt;=$E143,MIN($C143/$D143,G143),0)</x:f>
        <x:v>0</x:v>
      </x:c>
      <x:c r="H144" s="169" t="n">
        <x:f>IF(H$4&gt;=$E143,MIN($C143/$D143,H143),0)</x:f>
        <x:v>0</x:v>
      </x:c>
      <x:c r="I144" s="169" t="n">
        <x:f>IF(I$4&gt;=$E143,MIN($C143/$D143,I143),0)</x:f>
        <x:v>0</x:v>
      </x:c>
      <x:c r="J144" s="169" t="n">
        <x:f>IF(J$4&gt;=$E143,MIN($C143/$D143,J143),0)</x:f>
        <x:v>0</x:v>
      </x:c>
      <x:c r="K144" s="169" t="n">
        <x:f>IF(K$4&gt;=$E143,MIN($C143/$D143,K143),0)</x:f>
        <x:v>0</x:v>
      </x:c>
      <x:c r="L144" s="169" t="n">
        <x:f>IF(L$4&gt;=$E143,MIN($C143/$D143,L143),0)</x:f>
        <x:v>0</x:v>
      </x:c>
      <x:c r="M144" s="169" t="n">
        <x:f>IF(M$4&gt;=$E143,MIN($C143/$D143,M143),0)</x:f>
        <x:v>0</x:v>
      </x:c>
      <x:c r="N144" s="169" t="n">
        <x:f>IF(N$4&gt;=$E143,MIN($C143/$D143,N143),0)</x:f>
        <x:v>0</x:v>
      </x:c>
      <x:c r="O144" s="169" t="n">
        <x:f>IF(O$4&gt;=$E143,MIN($C143/$D143,O143),0)</x:f>
        <x:v>0</x:v>
      </x:c>
      <x:c r="P144" s="169" t="n">
        <x:f>IF(P$4&gt;=$E143,MIN($C143/$D143,P143),0)</x:f>
        <x:v>79870.92926202294</x:v>
      </x:c>
      <x:c r="Q144" s="169" t="n">
        <x:f>IF(Q$4&gt;=$E143,MIN($C143/$D143,Q143),0)</x:f>
        <x:v>79870.92926202294</x:v>
      </x:c>
      <x:c r="R144" s="169" t="n">
        <x:f>IF(R$4&gt;=$E143,MIN($C143/$D143,R143),0)</x:f>
        <x:v>79870.92926202294</x:v>
      </x:c>
      <x:c r="S144" s="169" t="n">
        <x:f>IF(S$4&gt;=$E143,MIN($C143/$D143,S143),0)</x:f>
        <x:v>79870.92926202294</x:v>
      </x:c>
      <x:c r="T144" s="169" t="n">
        <x:f>IF(T$4&gt;=$E143,MIN($C143/$D143,T143),0)</x:f>
        <x:v>79870.92926202294</x:v>
      </x:c>
      <x:c r="U144" s="169" t="n">
        <x:f>IF(U$4&gt;=$E143,MIN($C143/$D143,U143),0)</x:f>
        <x:v>79870.92926202291</x:v>
      </x:c>
      <x:c r="V144" s="169" t="n">
        <x:f>IF(V$4&gt;=$E143,MIN($C143/$D143,V143),0)</x:f>
        <x:v>0</x:v>
      </x:c>
      <x:c r="W144" s="169" t="n">
        <x:f>IF(W$4&gt;=$E143,MIN($C143/$D143,W143),0)</x:f>
        <x:v>0</x:v>
      </x:c>
      <x:c r="X144" s="169" t="n">
        <x:f>IF(X$4&gt;=$E143,MIN($C143/$D143,X143),0)</x:f>
        <x:v>0</x:v>
      </x:c>
      <x:c r="Y144" s="169" t="n">
        <x:f>IF(Y$4&gt;=$E143,MIN($C143/$D143,Y143),0)</x:f>
        <x:v>0</x:v>
      </x:c>
      <x:c r="Z144" s="169" t="n">
        <x:f>IF(Z$4&gt;=$E143,MIN($C143/$D143,Z143),0)</x:f>
        <x:v>0</x:v>
      </x:c>
      <x:c r="AA144" s="169" t="n">
        <x:f>IF(AA$4&gt;=$E143,MIN($C143/$D143,AA143),0)</x:f>
        <x:v>0</x:v>
      </x:c>
      <x:c r="AB144" s="169" t="n">
        <x:f>IF(AB$4&gt;=$E143,MIN($C143/$D143,AB143),0)</x:f>
        <x:v>0</x:v>
      </x:c>
      <x:c r="AC144" s="169" t="n">
        <x:f>IF(AC$4&gt;=$E143,MIN($C143/$D143,AC143),0)</x:f>
        <x:v>0</x:v>
      </x:c>
    </x:row>
    <x:row r="145" ht="20" customHeight="1">
      <x:c r="A145" s="170" t="str">
        <x:v>Networking / CPU</x:v>
      </x:c>
      <x:c r="B145" s="214" t="n">
        <x:v>2030</x:v>
      </x:c>
      <x:c r="C145" s="170" t="n">
        <x:f>'ROIC Cloud'!K$15*'ROIC Cloud'!$D$46</x:f>
        <x:v>479225.5755721376</x:v>
      </x:c>
      <x:c r="D145" s="214" t="n">
        <x:f>'ROIC Cloud'!$D$42</x:f>
        <x:v>6</x:v>
      </x:c>
      <x:c r="E145" s="214" t="n">
        <x:f>B145+'ROIC Cloud'!$D$40</x:f>
        <x:v>2032</x:v>
      </x:c>
      <x:c r="F145" s="170" t="str">
        <x:v>Closing NBV</x:v>
      </x:c>
      <x:c r="G145" s="169" t="n">
        <x:f>MAX(0,G143-G144)</x:f>
        <x:v>0</x:v>
      </x:c>
      <x:c r="H145" s="169" t="n">
        <x:f>MAX(0,H143-H144)</x:f>
        <x:v>0</x:v>
      </x:c>
      <x:c r="I145" s="169" t="n">
        <x:f>MAX(0,I143-I144)</x:f>
        <x:v>0</x:v>
      </x:c>
      <x:c r="J145" s="169" t="n">
        <x:f>MAX(0,J143-J144)</x:f>
        <x:v>0</x:v>
      </x:c>
      <x:c r="K145" s="169" t="n">
        <x:f>MAX(0,K143-K144)</x:f>
        <x:v>0</x:v>
      </x:c>
      <x:c r="L145" s="169" t="n">
        <x:f>MAX(0,L143-L144)</x:f>
        <x:v>0</x:v>
      </x:c>
      <x:c r="M145" s="169" t="n">
        <x:f>MAX(0,M143-M144)</x:f>
        <x:v>0</x:v>
      </x:c>
      <x:c r="N145" s="169" t="n">
        <x:f>MAX(0,N143-N144)</x:f>
        <x:v>0</x:v>
      </x:c>
      <x:c r="O145" s="169" t="n">
        <x:f>MAX(0,O143-O144)</x:f>
        <x:v>0</x:v>
      </x:c>
      <x:c r="P145" s="169" t="n">
        <x:f>MAX(0,P143-P144)</x:f>
        <x:v>399354.64631011465</x:v>
      </x:c>
      <x:c r="Q145" s="169" t="n">
        <x:f>MAX(0,Q143-Q144)</x:f>
        <x:v>319483.71704809176</x:v>
      </x:c>
      <x:c r="R145" s="169" t="n">
        <x:f>MAX(0,R143-R144)</x:f>
        <x:v>239612.7877860688</x:v>
      </x:c>
      <x:c r="S145" s="169" t="n">
        <x:f>MAX(0,S143-S144)</x:f>
        <x:v>159741.85852404585</x:v>
      </x:c>
      <x:c r="T145" s="169" t="n">
        <x:f>MAX(0,T143-T144)</x:f>
        <x:v>79870.92926202294</x:v>
      </x:c>
      <x:c r="U145" s="169" t="n">
        <x:f>MAX(0,U143-U144)</x:f>
        <x:v>0</x:v>
      </x:c>
      <x:c r="V145" s="169" t="n">
        <x:f>MAX(0,V143-V144)</x:f>
        <x:v>0</x:v>
      </x:c>
      <x:c r="W145" s="169" t="n">
        <x:f>MAX(0,W143-W144)</x:f>
        <x:v>0</x:v>
      </x:c>
      <x:c r="X145" s="169" t="n">
        <x:f>MAX(0,X143-X144)</x:f>
        <x:v>0</x:v>
      </x:c>
      <x:c r="Y145" s="169" t="n">
        <x:f>MAX(0,Y143-Y144)</x:f>
        <x:v>0</x:v>
      </x:c>
      <x:c r="Z145" s="169" t="n">
        <x:f>MAX(0,Z143-Z144)</x:f>
        <x:v>0</x:v>
      </x:c>
      <x:c r="AA145" s="169" t="n">
        <x:f>MAX(0,AA143-AA144)</x:f>
        <x:v>0</x:v>
      </x:c>
      <x:c r="AB145" s="169" t="n">
        <x:f>MAX(0,AB143-AB144)</x:f>
        <x:v>0</x:v>
      </x:c>
      <x:c r="AC145" s="169" t="n">
        <x:f>MAX(0,AC143-AC144)</x:f>
        <x:v>0</x:v>
      </x:c>
    </x:row>
    <x:row r="146" ht="20" customHeight="1">
      <x:c r="A146" s="170" t="str">
        <x:v>Networking / CPU</x:v>
      </x:c>
      <x:c r="B146" s="214" t="n">
        <x:v>2030</x:v>
      </x:c>
      <x:c r="C146" s="170" t="n">
        <x:f>'ROIC Cloud'!K$15*'ROIC Cloud'!$D$46</x:f>
        <x:v>479225.5755721376</x:v>
      </x:c>
      <x:c r="D146" s="214" t="n">
        <x:f>'ROIC Cloud'!$D$42</x:f>
        <x:v>6</x:v>
      </x:c>
      <x:c r="E146" s="214" t="n">
        <x:f>B146+'ROIC Cloud'!$D$40</x:f>
        <x:v>2032</x:v>
      </x:c>
      <x:c r="F146" s="170" t="str">
        <x:v>Average NBV</x:v>
      </x:c>
      <x:c r="G146" s="169" t="n">
        <x:f>(G143+G145)/2</x:f>
        <x:v>0</x:v>
      </x:c>
      <x:c r="H146" s="169" t="n">
        <x:f>(H143+H145)/2</x:f>
        <x:v>0</x:v>
      </x:c>
      <x:c r="I146" s="169" t="n">
        <x:f>(I143+I145)/2</x:f>
        <x:v>0</x:v>
      </x:c>
      <x:c r="J146" s="169" t="n">
        <x:f>(J143+J145)/2</x:f>
        <x:v>0</x:v>
      </x:c>
      <x:c r="K146" s="169" t="n">
        <x:f>(K143+K145)/2</x:f>
        <x:v>0</x:v>
      </x:c>
      <x:c r="L146" s="169" t="n">
        <x:f>(L143+L145)/2</x:f>
        <x:v>0</x:v>
      </x:c>
      <x:c r="M146" s="169" t="n">
        <x:f>(M143+M145)/2</x:f>
        <x:v>0</x:v>
      </x:c>
      <x:c r="N146" s="169" t="n">
        <x:f>(N143+N145)/2</x:f>
        <x:v>0</x:v>
      </x:c>
      <x:c r="O146" s="169" t="n">
        <x:f>(O143+O145)/2</x:f>
        <x:v>0</x:v>
      </x:c>
      <x:c r="P146" s="169" t="n">
        <x:f>(P143+P145)/2</x:f>
        <x:v>439290.1109411261</x:v>
      </x:c>
      <x:c r="Q146" s="169" t="n">
        <x:f>(Q143+Q145)/2</x:f>
        <x:v>359419.18167910323</x:v>
      </x:c>
      <x:c r="R146" s="169" t="n">
        <x:f>(R143+R145)/2</x:f>
        <x:v>279548.2524170803</x:v>
      </x:c>
      <x:c r="S146" s="169" t="n">
        <x:f>(S143+S145)/2</x:f>
        <x:v>199677.32315505733</x:v>
      </x:c>
      <x:c r="T146" s="169" t="n">
        <x:f>(T143+T145)/2</x:f>
        <x:v>119806.3938930344</x:v>
      </x:c>
      <x:c r="U146" s="169" t="n">
        <x:f>(U143+U145)/2</x:f>
        <x:v>39935.464631011455</x:v>
      </x:c>
      <x:c r="V146" s="169" t="n">
        <x:f>(V143+V145)/2</x:f>
        <x:v>0</x:v>
      </x:c>
      <x:c r="W146" s="169" t="n">
        <x:f>(W143+W145)/2</x:f>
        <x:v>0</x:v>
      </x:c>
      <x:c r="X146" s="169" t="n">
        <x:f>(X143+X145)/2</x:f>
        <x:v>0</x:v>
      </x:c>
      <x:c r="Y146" s="169" t="n">
        <x:f>(Y143+Y145)/2</x:f>
        <x:v>0</x:v>
      </x:c>
      <x:c r="Z146" s="169" t="n">
        <x:f>(Z143+Z145)/2</x:f>
        <x:v>0</x:v>
      </x:c>
      <x:c r="AA146" s="169" t="n">
        <x:f>(AA143+AA145)/2</x:f>
        <x:v>0</x:v>
      </x:c>
      <x:c r="AB146" s="169" t="n">
        <x:f>(AB143+AB145)/2</x:f>
        <x:v>0</x:v>
      </x:c>
      <x:c r="AC146" s="169" t="n">
        <x:f>(AC143+AC145)/2</x:f>
        <x:v>0</x:v>
      </x:c>
    </x:row>
    <x:row r="147" ht="20" customHeight="1">
      <x:c r="A147" s="170" t="str">
        <x:v>Networking / CPU</x:v>
      </x:c>
      <x:c r="B147" s="214" t="n">
        <x:v>2031</x:v>
      </x:c>
      <x:c r="C147" s="170" t="n">
        <x:f>'ROIC Cloud'!L$15*'ROIC Cloud'!$D$46</x:f>
        <x:v>517563.62161790865</x:v>
      </x:c>
      <x:c r="D147" s="214" t="n">
        <x:f>'ROIC Cloud'!$D$42</x:f>
        <x:v>6</x:v>
      </x:c>
      <x:c r="E147" s="214" t="n">
        <x:f>B147+'ROIC Cloud'!$D$40</x:f>
        <x:v>2033</x:v>
      </x:c>
      <x:c r="F147" s="170" t="str">
        <x:v>Opening NBV</x:v>
      </x:c>
      <x:c r="G147" s="169" t="n">
        <x:f>IF(G$4&gt;=$E147,$C147*MAX(0,1-(G$4-$E147)/$D147),0)</x:f>
        <x:v>0</x:v>
      </x:c>
      <x:c r="H147" s="169" t="n">
        <x:f>IF(H$4&gt;=$E147,$C147*MAX(0,1-(H$4-$E147)/$D147),0)</x:f>
        <x:v>0</x:v>
      </x:c>
      <x:c r="I147" s="169" t="n">
        <x:f>IF(I$4&gt;=$E147,$C147*MAX(0,1-(I$4-$E147)/$D147),0)</x:f>
        <x:v>0</x:v>
      </x:c>
      <x:c r="J147" s="169" t="n">
        <x:f>IF(J$4&gt;=$E147,$C147*MAX(0,1-(J$4-$E147)/$D147),0)</x:f>
        <x:v>0</x:v>
      </x:c>
      <x:c r="K147" s="169" t="n">
        <x:f>IF(K$4&gt;=$E147,$C147*MAX(0,1-(K$4-$E147)/$D147),0)</x:f>
        <x:v>0</x:v>
      </x:c>
      <x:c r="L147" s="169" t="n">
        <x:f>IF(L$4&gt;=$E147,$C147*MAX(0,1-(L$4-$E147)/$D147),0)</x:f>
        <x:v>0</x:v>
      </x:c>
      <x:c r="M147" s="169" t="n">
        <x:f>IF(M$4&gt;=$E147,$C147*MAX(0,1-(M$4-$E147)/$D147),0)</x:f>
        <x:v>0</x:v>
      </x:c>
      <x:c r="N147" s="169" t="n">
        <x:f>IF(N$4&gt;=$E147,$C147*MAX(0,1-(N$4-$E147)/$D147),0)</x:f>
        <x:v>0</x:v>
      </x:c>
      <x:c r="O147" s="169" t="n">
        <x:f>IF(O$4&gt;=$E147,$C147*MAX(0,1-(O$4-$E147)/$D147),0)</x:f>
        <x:v>0</x:v>
      </x:c>
      <x:c r="P147" s="169" t="n">
        <x:f>IF(P$4&gt;=$E147,$C147*MAX(0,1-(P$4-$E147)/$D147),0)</x:f>
        <x:v>0</x:v>
      </x:c>
      <x:c r="Q147" s="169" t="n">
        <x:f>IF(Q$4&gt;=$E147,$C147*MAX(0,1-(Q$4-$E147)/$D147),0)</x:f>
        <x:v>517563.62161790865</x:v>
      </x:c>
      <x:c r="R147" s="169" t="n">
        <x:f>IF(R$4&gt;=$E147,$C147*MAX(0,1-(R$4-$E147)/$D147),0)</x:f>
        <x:v>431303.0180149239</x:v>
      </x:c>
      <x:c r="S147" s="169" t="n">
        <x:f>IF(S$4&gt;=$E147,$C147*MAX(0,1-(S$4-$E147)/$D147),0)</x:f>
        <x:v>345042.41441193916</x:v>
      </x:c>
      <x:c r="T147" s="169" t="n">
        <x:f>IF(T$4&gt;=$E147,$C147*MAX(0,1-(T$4-$E147)/$D147),0)</x:f>
        <x:v>258781.81080895432</x:v>
      </x:c>
      <x:c r="U147" s="169" t="n">
        <x:f>IF(U$4&gt;=$E147,$C147*MAX(0,1-(U$4-$E147)/$D147),0)</x:f>
        <x:v>172521.20720596958</x:v>
      </x:c>
      <x:c r="V147" s="169" t="n">
        <x:f>IF(V$4&gt;=$E147,$C147*MAX(0,1-(V$4-$E147)/$D147),0)</x:f>
        <x:v>86260.60360298476</x:v>
      </x:c>
      <x:c r="W147" s="169" t="n">
        <x:f>IF(W$4&gt;=$E147,$C147*MAX(0,1-(W$4-$E147)/$D147),0)</x:f>
        <x:v>0</x:v>
      </x:c>
      <x:c r="X147" s="169" t="n">
        <x:f>IF(X$4&gt;=$E147,$C147*MAX(0,1-(X$4-$E147)/$D147),0)</x:f>
        <x:v>0</x:v>
      </x:c>
      <x:c r="Y147" s="169" t="n">
        <x:f>IF(Y$4&gt;=$E147,$C147*MAX(0,1-(Y$4-$E147)/$D147),0)</x:f>
        <x:v>0</x:v>
      </x:c>
      <x:c r="Z147" s="169" t="n">
        <x:f>IF(Z$4&gt;=$E147,$C147*MAX(0,1-(Z$4-$E147)/$D147),0)</x:f>
        <x:v>0</x:v>
      </x:c>
      <x:c r="AA147" s="169" t="n">
        <x:f>IF(AA$4&gt;=$E147,$C147*MAX(0,1-(AA$4-$E147)/$D147),0)</x:f>
        <x:v>0</x:v>
      </x:c>
      <x:c r="AB147" s="169" t="n">
        <x:f>IF(AB$4&gt;=$E147,$C147*MAX(0,1-(AB$4-$E147)/$D147),0)</x:f>
        <x:v>0</x:v>
      </x:c>
      <x:c r="AC147" s="169" t="n">
        <x:f>IF(AC$4&gt;=$E147,$C147*MAX(0,1-(AC$4-$E147)/$D147),0)</x:f>
        <x:v>0</x:v>
      </x:c>
    </x:row>
    <x:row r="148" ht="20" customHeight="1">
      <x:c r="A148" s="170" t="str">
        <x:v>Networking / CPU</x:v>
      </x:c>
      <x:c r="B148" s="214" t="n">
        <x:v>2031</x:v>
      </x:c>
      <x:c r="C148" s="170" t="n">
        <x:f>'ROIC Cloud'!L$15*'ROIC Cloud'!$D$46</x:f>
        <x:v>517563.62161790865</x:v>
      </x:c>
      <x:c r="D148" s="214" t="n">
        <x:f>'ROIC Cloud'!$D$42</x:f>
        <x:v>6</x:v>
      </x:c>
      <x:c r="E148" s="214" t="n">
        <x:f>B148+'ROIC Cloud'!$D$40</x:f>
        <x:v>2033</x:v>
      </x:c>
      <x:c r="F148" s="170" t="str">
        <x:v>Depreciation</x:v>
      </x:c>
      <x:c r="G148" s="169" t="n">
        <x:f>IF(G$4&gt;=$E147,MIN($C147/$D147,G147),0)</x:f>
        <x:v>0</x:v>
      </x:c>
      <x:c r="H148" s="169" t="n">
        <x:f>IF(H$4&gt;=$E147,MIN($C147/$D147,H147),0)</x:f>
        <x:v>0</x:v>
      </x:c>
      <x:c r="I148" s="169" t="n">
        <x:f>IF(I$4&gt;=$E147,MIN($C147/$D147,I147),0)</x:f>
        <x:v>0</x:v>
      </x:c>
      <x:c r="J148" s="169" t="n">
        <x:f>IF(J$4&gt;=$E147,MIN($C147/$D147,J147),0)</x:f>
        <x:v>0</x:v>
      </x:c>
      <x:c r="K148" s="169" t="n">
        <x:f>IF(K$4&gt;=$E147,MIN($C147/$D147,K147),0)</x:f>
        <x:v>0</x:v>
      </x:c>
      <x:c r="L148" s="169" t="n">
        <x:f>IF(L$4&gt;=$E147,MIN($C147/$D147,L147),0)</x:f>
        <x:v>0</x:v>
      </x:c>
      <x:c r="M148" s="169" t="n">
        <x:f>IF(M$4&gt;=$E147,MIN($C147/$D147,M147),0)</x:f>
        <x:v>0</x:v>
      </x:c>
      <x:c r="N148" s="169" t="n">
        <x:f>IF(N$4&gt;=$E147,MIN($C147/$D147,N147),0)</x:f>
        <x:v>0</x:v>
      </x:c>
      <x:c r="O148" s="169" t="n">
        <x:f>IF(O$4&gt;=$E147,MIN($C147/$D147,O147),0)</x:f>
        <x:v>0</x:v>
      </x:c>
      <x:c r="P148" s="169" t="n">
        <x:f>IF(P$4&gt;=$E147,MIN($C147/$D147,P147),0)</x:f>
        <x:v>0</x:v>
      </x:c>
      <x:c r="Q148" s="169" t="n">
        <x:f>IF(Q$4&gt;=$E147,MIN($C147/$D147,Q147),0)</x:f>
        <x:v>86260.60360298477</x:v>
      </x:c>
      <x:c r="R148" s="169" t="n">
        <x:f>IF(R$4&gt;=$E147,MIN($C147/$D147,R147),0)</x:f>
        <x:v>86260.60360298477</x:v>
      </x:c>
      <x:c r="S148" s="169" t="n">
        <x:f>IF(S$4&gt;=$E147,MIN($C147/$D147,S147),0)</x:f>
        <x:v>86260.60360298477</x:v>
      </x:c>
      <x:c r="T148" s="169" t="n">
        <x:f>IF(T$4&gt;=$E147,MIN($C147/$D147,T147),0)</x:f>
        <x:v>86260.60360298477</x:v>
      </x:c>
      <x:c r="U148" s="169" t="n">
        <x:f>IF(U$4&gt;=$E147,MIN($C147/$D147,U147),0)</x:f>
        <x:v>86260.60360298477</x:v>
      </x:c>
      <x:c r="V148" s="169" t="n">
        <x:f>IF(V$4&gt;=$E147,MIN($C147/$D147,V147),0)</x:f>
        <x:v>86260.60360298476</x:v>
      </x:c>
      <x:c r="W148" s="169" t="n">
        <x:f>IF(W$4&gt;=$E147,MIN($C147/$D147,W147),0)</x:f>
        <x:v>0</x:v>
      </x:c>
      <x:c r="X148" s="169" t="n">
        <x:f>IF(X$4&gt;=$E147,MIN($C147/$D147,X147),0)</x:f>
        <x:v>0</x:v>
      </x:c>
      <x:c r="Y148" s="169" t="n">
        <x:f>IF(Y$4&gt;=$E147,MIN($C147/$D147,Y147),0)</x:f>
        <x:v>0</x:v>
      </x:c>
      <x:c r="Z148" s="169" t="n">
        <x:f>IF(Z$4&gt;=$E147,MIN($C147/$D147,Z147),0)</x:f>
        <x:v>0</x:v>
      </x:c>
      <x:c r="AA148" s="169" t="n">
        <x:f>IF(AA$4&gt;=$E147,MIN($C147/$D147,AA147),0)</x:f>
        <x:v>0</x:v>
      </x:c>
      <x:c r="AB148" s="169" t="n">
        <x:f>IF(AB$4&gt;=$E147,MIN($C147/$D147,AB147),0)</x:f>
        <x:v>0</x:v>
      </x:c>
      <x:c r="AC148" s="169" t="n">
        <x:f>IF(AC$4&gt;=$E147,MIN($C147/$D147,AC147),0)</x:f>
        <x:v>0</x:v>
      </x:c>
    </x:row>
    <x:row r="149" ht="20" customHeight="1">
      <x:c r="A149" s="170" t="str">
        <x:v>Networking / CPU</x:v>
      </x:c>
      <x:c r="B149" s="214" t="n">
        <x:v>2031</x:v>
      </x:c>
      <x:c r="C149" s="170" t="n">
        <x:f>'ROIC Cloud'!L$15*'ROIC Cloud'!$D$46</x:f>
        <x:v>517563.62161790865</x:v>
      </x:c>
      <x:c r="D149" s="214" t="n">
        <x:f>'ROIC Cloud'!$D$42</x:f>
        <x:v>6</x:v>
      </x:c>
      <x:c r="E149" s="214" t="n">
        <x:f>B149+'ROIC Cloud'!$D$40</x:f>
        <x:v>2033</x:v>
      </x:c>
      <x:c r="F149" s="170" t="str">
        <x:v>Closing NBV</x:v>
      </x:c>
      <x:c r="G149" s="169" t="n">
        <x:f>MAX(0,G147-G148)</x:f>
        <x:v>0</x:v>
      </x:c>
      <x:c r="H149" s="169" t="n">
        <x:f>MAX(0,H147-H148)</x:f>
        <x:v>0</x:v>
      </x:c>
      <x:c r="I149" s="169" t="n">
        <x:f>MAX(0,I147-I148)</x:f>
        <x:v>0</x:v>
      </x:c>
      <x:c r="J149" s="169" t="n">
        <x:f>MAX(0,J147-J148)</x:f>
        <x:v>0</x:v>
      </x:c>
      <x:c r="K149" s="169" t="n">
        <x:f>MAX(0,K147-K148)</x:f>
        <x:v>0</x:v>
      </x:c>
      <x:c r="L149" s="169" t="n">
        <x:f>MAX(0,L147-L148)</x:f>
        <x:v>0</x:v>
      </x:c>
      <x:c r="M149" s="169" t="n">
        <x:f>MAX(0,M147-M148)</x:f>
        <x:v>0</x:v>
      </x:c>
      <x:c r="N149" s="169" t="n">
        <x:f>MAX(0,N147-N148)</x:f>
        <x:v>0</x:v>
      </x:c>
      <x:c r="O149" s="169" t="n">
        <x:f>MAX(0,O147-O148)</x:f>
        <x:v>0</x:v>
      </x:c>
      <x:c r="P149" s="169" t="n">
        <x:f>MAX(0,P147-P148)</x:f>
        <x:v>0</x:v>
      </x:c>
      <x:c r="Q149" s="169" t="n">
        <x:f>MAX(0,Q147-Q148)</x:f>
        <x:v>431303.0180149239</x:v>
      </x:c>
      <x:c r="R149" s="169" t="n">
        <x:f>MAX(0,R147-R148)</x:f>
        <x:v>345042.4144119391</x:v>
      </x:c>
      <x:c r="S149" s="169" t="n">
        <x:f>MAX(0,S147-S148)</x:f>
        <x:v>258781.81080895438</x:v>
      </x:c>
      <x:c r="T149" s="169" t="n">
        <x:f>MAX(0,T147-T148)</x:f>
        <x:v>172521.20720596955</x:v>
      </x:c>
      <x:c r="U149" s="169" t="n">
        <x:f>MAX(0,U147-U148)</x:f>
        <x:v>86260.6036029848</x:v>
      </x:c>
      <x:c r="V149" s="169" t="n">
        <x:f>MAX(0,V147-V148)</x:f>
        <x:v>0</x:v>
      </x:c>
      <x:c r="W149" s="169" t="n">
        <x:f>MAX(0,W147-W148)</x:f>
        <x:v>0</x:v>
      </x:c>
      <x:c r="X149" s="169" t="n">
        <x:f>MAX(0,X147-X148)</x:f>
        <x:v>0</x:v>
      </x:c>
      <x:c r="Y149" s="169" t="n">
        <x:f>MAX(0,Y147-Y148)</x:f>
        <x:v>0</x:v>
      </x:c>
      <x:c r="Z149" s="169" t="n">
        <x:f>MAX(0,Z147-Z148)</x:f>
        <x:v>0</x:v>
      </x:c>
      <x:c r="AA149" s="169" t="n">
        <x:f>MAX(0,AA147-AA148)</x:f>
        <x:v>0</x:v>
      </x:c>
      <x:c r="AB149" s="169" t="n">
        <x:f>MAX(0,AB147-AB148)</x:f>
        <x:v>0</x:v>
      </x:c>
      <x:c r="AC149" s="169" t="n">
        <x:f>MAX(0,AC147-AC148)</x:f>
        <x:v>0</x:v>
      </x:c>
    </x:row>
    <x:row r="150" ht="20" customHeight="1">
      <x:c r="A150" s="170" t="str">
        <x:v>Networking / CPU</x:v>
      </x:c>
      <x:c r="B150" s="214" t="n">
        <x:v>2031</x:v>
      </x:c>
      <x:c r="C150" s="170" t="n">
        <x:f>'ROIC Cloud'!L$15*'ROIC Cloud'!$D$46</x:f>
        <x:v>517563.62161790865</x:v>
      </x:c>
      <x:c r="D150" s="214" t="n">
        <x:f>'ROIC Cloud'!$D$42</x:f>
        <x:v>6</x:v>
      </x:c>
      <x:c r="E150" s="214" t="n">
        <x:f>B150+'ROIC Cloud'!$D$40</x:f>
        <x:v>2033</x:v>
      </x:c>
      <x:c r="F150" s="170" t="str">
        <x:v>Average NBV</x:v>
      </x:c>
      <x:c r="G150" s="169" t="n">
        <x:f>(G147+G149)/2</x:f>
        <x:v>0</x:v>
      </x:c>
      <x:c r="H150" s="169" t="n">
        <x:f>(H147+H149)/2</x:f>
        <x:v>0</x:v>
      </x:c>
      <x:c r="I150" s="169" t="n">
        <x:f>(I147+I149)/2</x:f>
        <x:v>0</x:v>
      </x:c>
      <x:c r="J150" s="169" t="n">
        <x:f>(J147+J149)/2</x:f>
        <x:v>0</x:v>
      </x:c>
      <x:c r="K150" s="169" t="n">
        <x:f>(K147+K149)/2</x:f>
        <x:v>0</x:v>
      </x:c>
      <x:c r="L150" s="169" t="n">
        <x:f>(L147+L149)/2</x:f>
        <x:v>0</x:v>
      </x:c>
      <x:c r="M150" s="169" t="n">
        <x:f>(M147+M149)/2</x:f>
        <x:v>0</x:v>
      </x:c>
      <x:c r="N150" s="169" t="n">
        <x:f>(N147+N149)/2</x:f>
        <x:v>0</x:v>
      </x:c>
      <x:c r="O150" s="169" t="n">
        <x:f>(O147+O149)/2</x:f>
        <x:v>0</x:v>
      </x:c>
      <x:c r="P150" s="169" t="n">
        <x:f>(P147+P149)/2</x:f>
        <x:v>0</x:v>
      </x:c>
      <x:c r="Q150" s="169" t="n">
        <x:f>(Q147+Q149)/2</x:f>
        <x:v>474433.31981641625</x:v>
      </x:c>
      <x:c r="R150" s="169" t="n">
        <x:f>(R147+R149)/2</x:f>
        <x:v>388172.7162134315</x:v>
      </x:c>
      <x:c r="S150" s="169" t="n">
        <x:f>(S147+S149)/2</x:f>
        <x:v>301912.11261044675</x:v>
      </x:c>
      <x:c r="T150" s="169" t="n">
        <x:f>(T147+T149)/2</x:f>
        <x:v>215651.50900746195</x:v>
      </x:c>
      <x:c r="U150" s="169" t="n">
        <x:f>(U147+U149)/2</x:f>
        <x:v>129390.90540447719</x:v>
      </x:c>
      <x:c r="V150" s="169" t="n">
        <x:f>(V147+V149)/2</x:f>
        <x:v>43130.30180149238</x:v>
      </x:c>
      <x:c r="W150" s="169" t="n">
        <x:f>(W147+W149)/2</x:f>
        <x:v>0</x:v>
      </x:c>
      <x:c r="X150" s="169" t="n">
        <x:f>(X147+X149)/2</x:f>
        <x:v>0</x:v>
      </x:c>
      <x:c r="Y150" s="169" t="n">
        <x:f>(Y147+Y149)/2</x:f>
        <x:v>0</x:v>
      </x:c>
      <x:c r="Z150" s="169" t="n">
        <x:f>(Z147+Z149)/2</x:f>
        <x:v>0</x:v>
      </x:c>
      <x:c r="AA150" s="169" t="n">
        <x:f>(AA147+AA149)/2</x:f>
        <x:v>0</x:v>
      </x:c>
      <x:c r="AB150" s="169" t="n">
        <x:f>(AB147+AB149)/2</x:f>
        <x:v>0</x:v>
      </x:c>
      <x:c r="AC150" s="169" t="n">
        <x:f>(AC147+AC149)/2</x:f>
        <x:v>0</x:v>
      </x:c>
    </x:row>
    <x:row r="151" ht="20" customHeight="1">
      <x:c r="A151" s="170" t="str">
        <x:v>Networking / CPU</x:v>
      </x:c>
      <x:c r="B151" s="214" t="n">
        <x:v>2032</x:v>
      </x:c>
      <x:c r="C151" s="170" t="n">
        <x:f>'ROIC Cloud'!M$15*'ROIC Cloud'!$D$46</x:f>
        <x:v>558968.7113473413</x:v>
      </x:c>
      <x:c r="D151" s="214" t="n">
        <x:f>'ROIC Cloud'!$D$42</x:f>
        <x:v>6</x:v>
      </x:c>
      <x:c r="E151" s="214" t="n">
        <x:f>B151+'ROIC Cloud'!$D$40</x:f>
        <x:v>2034</x:v>
      </x:c>
      <x:c r="F151" s="170" t="str">
        <x:v>Opening NBV</x:v>
      </x:c>
      <x:c r="G151" s="169" t="n">
        <x:f>IF(G$4&gt;=$E151,$C151*MAX(0,1-(G$4-$E151)/$D151),0)</x:f>
        <x:v>0</x:v>
      </x:c>
      <x:c r="H151" s="169" t="n">
        <x:f>IF(H$4&gt;=$E151,$C151*MAX(0,1-(H$4-$E151)/$D151),0)</x:f>
        <x:v>0</x:v>
      </x:c>
      <x:c r="I151" s="169" t="n">
        <x:f>IF(I$4&gt;=$E151,$C151*MAX(0,1-(I$4-$E151)/$D151),0)</x:f>
        <x:v>0</x:v>
      </x:c>
      <x:c r="J151" s="169" t="n">
        <x:f>IF(J$4&gt;=$E151,$C151*MAX(0,1-(J$4-$E151)/$D151),0)</x:f>
        <x:v>0</x:v>
      </x:c>
      <x:c r="K151" s="169" t="n">
        <x:f>IF(K$4&gt;=$E151,$C151*MAX(0,1-(K$4-$E151)/$D151),0)</x:f>
        <x:v>0</x:v>
      </x:c>
      <x:c r="L151" s="169" t="n">
        <x:f>IF(L$4&gt;=$E151,$C151*MAX(0,1-(L$4-$E151)/$D151),0)</x:f>
        <x:v>0</x:v>
      </x:c>
      <x:c r="M151" s="169" t="n">
        <x:f>IF(M$4&gt;=$E151,$C151*MAX(0,1-(M$4-$E151)/$D151),0)</x:f>
        <x:v>0</x:v>
      </x:c>
      <x:c r="N151" s="169" t="n">
        <x:f>IF(N$4&gt;=$E151,$C151*MAX(0,1-(N$4-$E151)/$D151),0)</x:f>
        <x:v>0</x:v>
      </x:c>
      <x:c r="O151" s="169" t="n">
        <x:f>IF(O$4&gt;=$E151,$C151*MAX(0,1-(O$4-$E151)/$D151),0)</x:f>
        <x:v>0</x:v>
      </x:c>
      <x:c r="P151" s="169" t="n">
        <x:f>IF(P$4&gt;=$E151,$C151*MAX(0,1-(P$4-$E151)/$D151),0)</x:f>
        <x:v>0</x:v>
      </x:c>
      <x:c r="Q151" s="169" t="n">
        <x:f>IF(Q$4&gt;=$E151,$C151*MAX(0,1-(Q$4-$E151)/$D151),0)</x:f>
        <x:v>0</x:v>
      </x:c>
      <x:c r="R151" s="169" t="n">
        <x:f>IF(R$4&gt;=$E151,$C151*MAX(0,1-(R$4-$E151)/$D151),0)</x:f>
        <x:v>558968.7113473413</x:v>
      </x:c>
      <x:c r="S151" s="169" t="n">
        <x:f>IF(S$4&gt;=$E151,$C151*MAX(0,1-(S$4-$E151)/$D151),0)</x:f>
        <x:v>465807.25945611775</x:v>
      </x:c>
      <x:c r="T151" s="169" t="n">
        <x:f>IF(T$4&gt;=$E151,$C151*MAX(0,1-(T$4-$E151)/$D151),0)</x:f>
        <x:v>372645.80756489426</x:v>
      </x:c>
      <x:c r="U151" s="169" t="n">
        <x:f>IF(U$4&gt;=$E151,$C151*MAX(0,1-(U$4-$E151)/$D151),0)</x:f>
        <x:v>279484.35567367065</x:v>
      </x:c>
      <x:c r="V151" s="169" t="n">
        <x:f>IF(V$4&gt;=$E151,$C151*MAX(0,1-(V$4-$E151)/$D151),0)</x:f>
        <x:v>186322.90378244713</x:v>
      </x:c>
      <x:c r="W151" s="169" t="n">
        <x:f>IF(W$4&gt;=$E151,$C151*MAX(0,1-(W$4-$E151)/$D151),0)</x:f>
        <x:v>93161.45189122354</x:v>
      </x:c>
      <x:c r="X151" s="169" t="n">
        <x:f>IF(X$4&gt;=$E151,$C151*MAX(0,1-(X$4-$E151)/$D151),0)</x:f>
        <x:v>0</x:v>
      </x:c>
      <x:c r="Y151" s="169" t="n">
        <x:f>IF(Y$4&gt;=$E151,$C151*MAX(0,1-(Y$4-$E151)/$D151),0)</x:f>
        <x:v>0</x:v>
      </x:c>
      <x:c r="Z151" s="169" t="n">
        <x:f>IF(Z$4&gt;=$E151,$C151*MAX(0,1-(Z$4-$E151)/$D151),0)</x:f>
        <x:v>0</x:v>
      </x:c>
      <x:c r="AA151" s="169" t="n">
        <x:f>IF(AA$4&gt;=$E151,$C151*MAX(0,1-(AA$4-$E151)/$D151),0)</x:f>
        <x:v>0</x:v>
      </x:c>
      <x:c r="AB151" s="169" t="n">
        <x:f>IF(AB$4&gt;=$E151,$C151*MAX(0,1-(AB$4-$E151)/$D151),0)</x:f>
        <x:v>0</x:v>
      </x:c>
      <x:c r="AC151" s="169" t="n">
        <x:f>IF(AC$4&gt;=$E151,$C151*MAX(0,1-(AC$4-$E151)/$D151),0)</x:f>
        <x:v>0</x:v>
      </x:c>
    </x:row>
    <x:row r="152" ht="20" customHeight="1">
      <x:c r="A152" s="170" t="str">
        <x:v>Networking / CPU</x:v>
      </x:c>
      <x:c r="B152" s="214" t="n">
        <x:v>2032</x:v>
      </x:c>
      <x:c r="C152" s="170" t="n">
        <x:f>'ROIC Cloud'!M$15*'ROIC Cloud'!$D$46</x:f>
        <x:v>558968.7113473413</x:v>
      </x:c>
      <x:c r="D152" s="214" t="n">
        <x:f>'ROIC Cloud'!$D$42</x:f>
        <x:v>6</x:v>
      </x:c>
      <x:c r="E152" s="214" t="n">
        <x:f>B152+'ROIC Cloud'!$D$40</x:f>
        <x:v>2034</x:v>
      </x:c>
      <x:c r="F152" s="170" t="str">
        <x:v>Depreciation</x:v>
      </x:c>
      <x:c r="G152" s="169" t="n">
        <x:f>IF(G$4&gt;=$E151,MIN($C151/$D151,G151),0)</x:f>
        <x:v>0</x:v>
      </x:c>
      <x:c r="H152" s="169" t="n">
        <x:f>IF(H$4&gt;=$E151,MIN($C151/$D151,H151),0)</x:f>
        <x:v>0</x:v>
      </x:c>
      <x:c r="I152" s="169" t="n">
        <x:f>IF(I$4&gt;=$E151,MIN($C151/$D151,I151),0)</x:f>
        <x:v>0</x:v>
      </x:c>
      <x:c r="J152" s="169" t="n">
        <x:f>IF(J$4&gt;=$E151,MIN($C151/$D151,J151),0)</x:f>
        <x:v>0</x:v>
      </x:c>
      <x:c r="K152" s="169" t="n">
        <x:f>IF(K$4&gt;=$E151,MIN($C151/$D151,K151),0)</x:f>
        <x:v>0</x:v>
      </x:c>
      <x:c r="L152" s="169" t="n">
        <x:f>IF(L$4&gt;=$E151,MIN($C151/$D151,L151),0)</x:f>
        <x:v>0</x:v>
      </x:c>
      <x:c r="M152" s="169" t="n">
        <x:f>IF(M$4&gt;=$E151,MIN($C151/$D151,M151),0)</x:f>
        <x:v>0</x:v>
      </x:c>
      <x:c r="N152" s="169" t="n">
        <x:f>IF(N$4&gt;=$E151,MIN($C151/$D151,N151),0)</x:f>
        <x:v>0</x:v>
      </x:c>
      <x:c r="O152" s="169" t="n">
        <x:f>IF(O$4&gt;=$E151,MIN($C151/$D151,O151),0)</x:f>
        <x:v>0</x:v>
      </x:c>
      <x:c r="P152" s="169" t="n">
        <x:f>IF(P$4&gt;=$E151,MIN($C151/$D151,P151),0)</x:f>
        <x:v>0</x:v>
      </x:c>
      <x:c r="Q152" s="169" t="n">
        <x:f>IF(Q$4&gt;=$E151,MIN($C151/$D151,Q151),0)</x:f>
        <x:v>0</x:v>
      </x:c>
      <x:c r="R152" s="169" t="n">
        <x:f>IF(R$4&gt;=$E151,MIN($C151/$D151,R151),0)</x:f>
        <x:v>93161.45189122355</x:v>
      </x:c>
      <x:c r="S152" s="169" t="n">
        <x:f>IF(S$4&gt;=$E151,MIN($C151/$D151,S151),0)</x:f>
        <x:v>93161.45189122355</x:v>
      </x:c>
      <x:c r="T152" s="169" t="n">
        <x:f>IF(T$4&gt;=$E151,MIN($C151/$D151,T151),0)</x:f>
        <x:v>93161.45189122355</x:v>
      </x:c>
      <x:c r="U152" s="169" t="n">
        <x:f>IF(U$4&gt;=$E151,MIN($C151/$D151,U151),0)</x:f>
        <x:v>93161.45189122355</x:v>
      </x:c>
      <x:c r="V152" s="169" t="n">
        <x:f>IF(V$4&gt;=$E151,MIN($C151/$D151,V151),0)</x:f>
        <x:v>93161.45189122355</x:v>
      </x:c>
      <x:c r="W152" s="169" t="n">
        <x:f>IF(W$4&gt;=$E151,MIN($C151/$D151,W151),0)</x:f>
        <x:v>93161.45189122354</x:v>
      </x:c>
      <x:c r="X152" s="169" t="n">
        <x:f>IF(X$4&gt;=$E151,MIN($C151/$D151,X151),0)</x:f>
        <x:v>0</x:v>
      </x:c>
      <x:c r="Y152" s="169" t="n">
        <x:f>IF(Y$4&gt;=$E151,MIN($C151/$D151,Y151),0)</x:f>
        <x:v>0</x:v>
      </x:c>
      <x:c r="Z152" s="169" t="n">
        <x:f>IF(Z$4&gt;=$E151,MIN($C151/$D151,Z151),0)</x:f>
        <x:v>0</x:v>
      </x:c>
      <x:c r="AA152" s="169" t="n">
        <x:f>IF(AA$4&gt;=$E151,MIN($C151/$D151,AA151),0)</x:f>
        <x:v>0</x:v>
      </x:c>
      <x:c r="AB152" s="169" t="n">
        <x:f>IF(AB$4&gt;=$E151,MIN($C151/$D151,AB151),0)</x:f>
        <x:v>0</x:v>
      </x:c>
      <x:c r="AC152" s="169" t="n">
        <x:f>IF(AC$4&gt;=$E151,MIN($C151/$D151,AC151),0)</x:f>
        <x:v>0</x:v>
      </x:c>
    </x:row>
    <x:row r="153" ht="20" customHeight="1">
      <x:c r="A153" s="170" t="str">
        <x:v>Networking / CPU</x:v>
      </x:c>
      <x:c r="B153" s="214" t="n">
        <x:v>2032</x:v>
      </x:c>
      <x:c r="C153" s="170" t="n">
        <x:f>'ROIC Cloud'!M$15*'ROIC Cloud'!$D$46</x:f>
        <x:v>558968.7113473413</x:v>
      </x:c>
      <x:c r="D153" s="214" t="n">
        <x:f>'ROIC Cloud'!$D$42</x:f>
        <x:v>6</x:v>
      </x:c>
      <x:c r="E153" s="214" t="n">
        <x:f>B153+'ROIC Cloud'!$D$40</x:f>
        <x:v>2034</x:v>
      </x:c>
      <x:c r="F153" s="170" t="str">
        <x:v>Closing NBV</x:v>
      </x:c>
      <x:c r="G153" s="169" t="n">
        <x:f>MAX(0,G151-G152)</x:f>
        <x:v>0</x:v>
      </x:c>
      <x:c r="H153" s="169" t="n">
        <x:f>MAX(0,H151-H152)</x:f>
        <x:v>0</x:v>
      </x:c>
      <x:c r="I153" s="169" t="n">
        <x:f>MAX(0,I151-I152)</x:f>
        <x:v>0</x:v>
      </x:c>
      <x:c r="J153" s="169" t="n">
        <x:f>MAX(0,J151-J152)</x:f>
        <x:v>0</x:v>
      </x:c>
      <x:c r="K153" s="169" t="n">
        <x:f>MAX(0,K151-K152)</x:f>
        <x:v>0</x:v>
      </x:c>
      <x:c r="L153" s="169" t="n">
        <x:f>MAX(0,L151-L152)</x:f>
        <x:v>0</x:v>
      </x:c>
      <x:c r="M153" s="169" t="n">
        <x:f>MAX(0,M151-M152)</x:f>
        <x:v>0</x:v>
      </x:c>
      <x:c r="N153" s="169" t="n">
        <x:f>MAX(0,N151-N152)</x:f>
        <x:v>0</x:v>
      </x:c>
      <x:c r="O153" s="169" t="n">
        <x:f>MAX(0,O151-O152)</x:f>
        <x:v>0</x:v>
      </x:c>
      <x:c r="P153" s="169" t="n">
        <x:f>MAX(0,P151-P152)</x:f>
        <x:v>0</x:v>
      </x:c>
      <x:c r="Q153" s="169" t="n">
        <x:f>MAX(0,Q151-Q152)</x:f>
        <x:v>0</x:v>
      </x:c>
      <x:c r="R153" s="169" t="n">
        <x:f>MAX(0,R151-R152)</x:f>
        <x:v>465807.25945611775</x:v>
      </x:c>
      <x:c r="S153" s="169" t="n">
        <x:f>MAX(0,S151-S152)</x:f>
        <x:v>372645.8075648942</x:v>
      </x:c>
      <x:c r="T153" s="169" t="n">
        <x:f>MAX(0,T151-T152)</x:f>
        <x:v>279484.3556736707</x:v>
      </x:c>
      <x:c r="U153" s="169" t="n">
        <x:f>MAX(0,U151-U152)</x:f>
        <x:v>186322.9037824471</x:v>
      </x:c>
      <x:c r="V153" s="169" t="n">
        <x:f>MAX(0,V151-V152)</x:f>
        <x:v>93161.45189122358</x:v>
      </x:c>
      <x:c r="W153" s="169" t="n">
        <x:f>MAX(0,W151-W152)</x:f>
        <x:v>0</x:v>
      </x:c>
      <x:c r="X153" s="169" t="n">
        <x:f>MAX(0,X151-X152)</x:f>
        <x:v>0</x:v>
      </x:c>
      <x:c r="Y153" s="169" t="n">
        <x:f>MAX(0,Y151-Y152)</x:f>
        <x:v>0</x:v>
      </x:c>
      <x:c r="Z153" s="169" t="n">
        <x:f>MAX(0,Z151-Z152)</x:f>
        <x:v>0</x:v>
      </x:c>
      <x:c r="AA153" s="169" t="n">
        <x:f>MAX(0,AA151-AA152)</x:f>
        <x:v>0</x:v>
      </x:c>
      <x:c r="AB153" s="169" t="n">
        <x:f>MAX(0,AB151-AB152)</x:f>
        <x:v>0</x:v>
      </x:c>
      <x:c r="AC153" s="169" t="n">
        <x:f>MAX(0,AC151-AC152)</x:f>
        <x:v>0</x:v>
      </x:c>
    </x:row>
    <x:row r="154" ht="20" customHeight="1">
      <x:c r="A154" s="170" t="str">
        <x:v>Networking / CPU</x:v>
      </x:c>
      <x:c r="B154" s="214" t="n">
        <x:v>2032</x:v>
      </x:c>
      <x:c r="C154" s="170" t="n">
        <x:f>'ROIC Cloud'!M$15*'ROIC Cloud'!$D$46</x:f>
        <x:v>558968.7113473413</x:v>
      </x:c>
      <x:c r="D154" s="214" t="n">
        <x:f>'ROIC Cloud'!$D$42</x:f>
        <x:v>6</x:v>
      </x:c>
      <x:c r="E154" s="214" t="n">
        <x:f>B154+'ROIC Cloud'!$D$40</x:f>
        <x:v>2034</x:v>
      </x:c>
      <x:c r="F154" s="170" t="str">
        <x:v>Average NBV</x:v>
      </x:c>
      <x:c r="G154" s="169" t="n">
        <x:f>(G151+G153)/2</x:f>
        <x:v>0</x:v>
      </x:c>
      <x:c r="H154" s="169" t="n">
        <x:f>(H151+H153)/2</x:f>
        <x:v>0</x:v>
      </x:c>
      <x:c r="I154" s="169" t="n">
        <x:f>(I151+I153)/2</x:f>
        <x:v>0</x:v>
      </x:c>
      <x:c r="J154" s="169" t="n">
        <x:f>(J151+J153)/2</x:f>
        <x:v>0</x:v>
      </x:c>
      <x:c r="K154" s="169" t="n">
        <x:f>(K151+K153)/2</x:f>
        <x:v>0</x:v>
      </x:c>
      <x:c r="L154" s="169" t="n">
        <x:f>(L151+L153)/2</x:f>
        <x:v>0</x:v>
      </x:c>
      <x:c r="M154" s="169" t="n">
        <x:f>(M151+M153)/2</x:f>
        <x:v>0</x:v>
      </x:c>
      <x:c r="N154" s="169" t="n">
        <x:f>(N151+N153)/2</x:f>
        <x:v>0</x:v>
      </x:c>
      <x:c r="O154" s="169" t="n">
        <x:f>(O151+O153)/2</x:f>
        <x:v>0</x:v>
      </x:c>
      <x:c r="P154" s="169" t="n">
        <x:f>(P151+P153)/2</x:f>
        <x:v>0</x:v>
      </x:c>
      <x:c r="Q154" s="169" t="n">
        <x:f>(Q151+Q153)/2</x:f>
        <x:v>0</x:v>
      </x:c>
      <x:c r="R154" s="169" t="n">
        <x:f>(R151+R153)/2</x:f>
        <x:v>512387.98540172953</x:v>
      </x:c>
      <x:c r="S154" s="169" t="n">
        <x:f>(S151+S153)/2</x:f>
        <x:v>419226.533510506</x:v>
      </x:c>
      <x:c r="T154" s="169" t="n">
        <x:f>(T151+T153)/2</x:f>
        <x:v>326065.0816192825</x:v>
      </x:c>
      <x:c r="U154" s="169" t="n">
        <x:f>(U151+U153)/2</x:f>
        <x:v>232903.62972805888</x:v>
      </x:c>
      <x:c r="V154" s="169" t="n">
        <x:f>(V151+V153)/2</x:f>
        <x:v>139742.17783683536</x:v>
      </x:c>
      <x:c r="W154" s="169" t="n">
        <x:f>(W151+W153)/2</x:f>
        <x:v>46580.72594561177</x:v>
      </x:c>
      <x:c r="X154" s="169" t="n">
        <x:f>(X151+X153)/2</x:f>
        <x:v>0</x:v>
      </x:c>
      <x:c r="Y154" s="169" t="n">
        <x:f>(Y151+Y153)/2</x:f>
        <x:v>0</x:v>
      </x:c>
      <x:c r="Z154" s="169" t="n">
        <x:f>(Z151+Z153)/2</x:f>
        <x:v>0</x:v>
      </x:c>
      <x:c r="AA154" s="169" t="n">
        <x:f>(AA151+AA153)/2</x:f>
        <x:v>0</x:v>
      </x:c>
      <x:c r="AB154" s="169" t="n">
        <x:f>(AB151+AB153)/2</x:f>
        <x:v>0</x:v>
      </x:c>
      <x:c r="AC154" s="169" t="n">
        <x:f>(AC151+AC153)/2</x:f>
        <x:v>0</x:v>
      </x:c>
    </x:row>
    <x:row r="155" ht="20" customHeight="1">
      <x:c r="A155" s="170" t="str">
        <x:v>Networking / CPU</x:v>
      </x:c>
      <x:c r="B155" s="214" t="n">
        <x:v>2033</x:v>
      </x:c>
      <x:c r="C155" s="170" t="n">
        <x:f>'ROIC Cloud'!N$15*'ROIC Cloud'!$D$46</x:f>
        <x:v>603686.2082551288</x:v>
      </x:c>
      <x:c r="D155" s="214" t="n">
        <x:f>'ROIC Cloud'!$D$42</x:f>
        <x:v>6</x:v>
      </x:c>
      <x:c r="E155" s="214" t="n">
        <x:f>B155+'ROIC Cloud'!$D$40</x:f>
        <x:v>2035</x:v>
      </x:c>
      <x:c r="F155" s="170" t="str">
        <x:v>Opening NBV</x:v>
      </x:c>
      <x:c r="G155" s="169" t="n">
        <x:f>IF(G$4&gt;=$E155,$C155*MAX(0,1-(G$4-$E155)/$D155),0)</x:f>
        <x:v>0</x:v>
      </x:c>
      <x:c r="H155" s="169" t="n">
        <x:f>IF(H$4&gt;=$E155,$C155*MAX(0,1-(H$4-$E155)/$D155),0)</x:f>
        <x:v>0</x:v>
      </x:c>
      <x:c r="I155" s="169" t="n">
        <x:f>IF(I$4&gt;=$E155,$C155*MAX(0,1-(I$4-$E155)/$D155),0)</x:f>
        <x:v>0</x:v>
      </x:c>
      <x:c r="J155" s="169" t="n">
        <x:f>IF(J$4&gt;=$E155,$C155*MAX(0,1-(J$4-$E155)/$D155),0)</x:f>
        <x:v>0</x:v>
      </x:c>
      <x:c r="K155" s="169" t="n">
        <x:f>IF(K$4&gt;=$E155,$C155*MAX(0,1-(K$4-$E155)/$D155),0)</x:f>
        <x:v>0</x:v>
      </x:c>
      <x:c r="L155" s="169" t="n">
        <x:f>IF(L$4&gt;=$E155,$C155*MAX(0,1-(L$4-$E155)/$D155),0)</x:f>
        <x:v>0</x:v>
      </x:c>
      <x:c r="M155" s="169" t="n">
        <x:f>IF(M$4&gt;=$E155,$C155*MAX(0,1-(M$4-$E155)/$D155),0)</x:f>
        <x:v>0</x:v>
      </x:c>
      <x:c r="N155" s="169" t="n">
        <x:f>IF(N$4&gt;=$E155,$C155*MAX(0,1-(N$4-$E155)/$D155),0)</x:f>
        <x:v>0</x:v>
      </x:c>
      <x:c r="O155" s="169" t="n">
        <x:f>IF(O$4&gt;=$E155,$C155*MAX(0,1-(O$4-$E155)/$D155),0)</x:f>
        <x:v>0</x:v>
      </x:c>
      <x:c r="P155" s="169" t="n">
        <x:f>IF(P$4&gt;=$E155,$C155*MAX(0,1-(P$4-$E155)/$D155),0)</x:f>
        <x:v>0</x:v>
      </x:c>
      <x:c r="Q155" s="169" t="n">
        <x:f>IF(Q$4&gt;=$E155,$C155*MAX(0,1-(Q$4-$E155)/$D155),0)</x:f>
        <x:v>0</x:v>
      </x:c>
      <x:c r="R155" s="169" t="n">
        <x:f>IF(R$4&gt;=$E155,$C155*MAX(0,1-(R$4-$E155)/$D155),0)</x:f>
        <x:v>0</x:v>
      </x:c>
      <x:c r="S155" s="169" t="n">
        <x:f>IF(S$4&gt;=$E155,$C155*MAX(0,1-(S$4-$E155)/$D155),0)</x:f>
        <x:v>603686.2082551288</x:v>
      </x:c>
      <x:c r="T155" s="169" t="n">
        <x:f>IF(T$4&gt;=$E155,$C155*MAX(0,1-(T$4-$E155)/$D155),0)</x:f>
        <x:v>503071.84021260735</x:v>
      </x:c>
      <x:c r="U155" s="169" t="n">
        <x:f>IF(U$4&gt;=$E155,$C155*MAX(0,1-(U$4-$E155)/$D155),0)</x:f>
        <x:v>402457.47217008594</x:v>
      </x:c>
      <x:c r="V155" s="169" t="n">
        <x:f>IF(V$4&gt;=$E155,$C155*MAX(0,1-(V$4-$E155)/$D155),0)</x:f>
        <x:v>301843.1041275644</x:v>
      </x:c>
      <x:c r="W155" s="169" t="n">
        <x:f>IF(W$4&gt;=$E155,$C155*MAX(0,1-(W$4-$E155)/$D155),0)</x:f>
        <x:v>201228.73608504297</x:v>
      </x:c>
      <x:c r="X155" s="169" t="n">
        <x:f>IF(X$4&gt;=$E155,$C155*MAX(0,1-(X$4-$E155)/$D155),0)</x:f>
        <x:v>100614.36804252144</x:v>
      </x:c>
      <x:c r="Y155" s="169" t="n">
        <x:f>IF(Y$4&gt;=$E155,$C155*MAX(0,1-(Y$4-$E155)/$D155),0)</x:f>
        <x:v>0</x:v>
      </x:c>
      <x:c r="Z155" s="169" t="n">
        <x:f>IF(Z$4&gt;=$E155,$C155*MAX(0,1-(Z$4-$E155)/$D155),0)</x:f>
        <x:v>0</x:v>
      </x:c>
      <x:c r="AA155" s="169" t="n">
        <x:f>IF(AA$4&gt;=$E155,$C155*MAX(0,1-(AA$4-$E155)/$D155),0)</x:f>
        <x:v>0</x:v>
      </x:c>
      <x:c r="AB155" s="169" t="n">
        <x:f>IF(AB$4&gt;=$E155,$C155*MAX(0,1-(AB$4-$E155)/$D155),0)</x:f>
        <x:v>0</x:v>
      </x:c>
      <x:c r="AC155" s="169" t="n">
        <x:f>IF(AC$4&gt;=$E155,$C155*MAX(0,1-(AC$4-$E155)/$D155),0)</x:f>
        <x:v>0</x:v>
      </x:c>
    </x:row>
    <x:row r="156" ht="20" customHeight="1">
      <x:c r="A156" s="170" t="str">
        <x:v>Networking / CPU</x:v>
      </x:c>
      <x:c r="B156" s="214" t="n">
        <x:v>2033</x:v>
      </x:c>
      <x:c r="C156" s="170" t="n">
        <x:f>'ROIC Cloud'!N$15*'ROIC Cloud'!$D$46</x:f>
        <x:v>603686.2082551288</x:v>
      </x:c>
      <x:c r="D156" s="214" t="n">
        <x:f>'ROIC Cloud'!$D$42</x:f>
        <x:v>6</x:v>
      </x:c>
      <x:c r="E156" s="214" t="n">
        <x:f>B156+'ROIC Cloud'!$D$40</x:f>
        <x:v>2035</x:v>
      </x:c>
      <x:c r="F156" s="170" t="str">
        <x:v>Depreciation</x:v>
      </x:c>
      <x:c r="G156" s="169" t="n">
        <x:f>IF(G$4&gt;=$E155,MIN($C155/$D155,G155),0)</x:f>
        <x:v>0</x:v>
      </x:c>
      <x:c r="H156" s="169" t="n">
        <x:f>IF(H$4&gt;=$E155,MIN($C155/$D155,H155),0)</x:f>
        <x:v>0</x:v>
      </x:c>
      <x:c r="I156" s="169" t="n">
        <x:f>IF(I$4&gt;=$E155,MIN($C155/$D155,I155),0)</x:f>
        <x:v>0</x:v>
      </x:c>
      <x:c r="J156" s="169" t="n">
        <x:f>IF(J$4&gt;=$E155,MIN($C155/$D155,J155),0)</x:f>
        <x:v>0</x:v>
      </x:c>
      <x:c r="K156" s="169" t="n">
        <x:f>IF(K$4&gt;=$E155,MIN($C155/$D155,K155),0)</x:f>
        <x:v>0</x:v>
      </x:c>
      <x:c r="L156" s="169" t="n">
        <x:f>IF(L$4&gt;=$E155,MIN($C155/$D155,L155),0)</x:f>
        <x:v>0</x:v>
      </x:c>
      <x:c r="M156" s="169" t="n">
        <x:f>IF(M$4&gt;=$E155,MIN($C155/$D155,M155),0)</x:f>
        <x:v>0</x:v>
      </x:c>
      <x:c r="N156" s="169" t="n">
        <x:f>IF(N$4&gt;=$E155,MIN($C155/$D155,N155),0)</x:f>
        <x:v>0</x:v>
      </x:c>
      <x:c r="O156" s="169" t="n">
        <x:f>IF(O$4&gt;=$E155,MIN($C155/$D155,O155),0)</x:f>
        <x:v>0</x:v>
      </x:c>
      <x:c r="P156" s="169" t="n">
        <x:f>IF(P$4&gt;=$E155,MIN($C155/$D155,P155),0)</x:f>
        <x:v>0</x:v>
      </x:c>
      <x:c r="Q156" s="169" t="n">
        <x:f>IF(Q$4&gt;=$E155,MIN($C155/$D155,Q155),0)</x:f>
        <x:v>0</x:v>
      </x:c>
      <x:c r="R156" s="169" t="n">
        <x:f>IF(R$4&gt;=$E155,MIN($C155/$D155,R155),0)</x:f>
        <x:v>0</x:v>
      </x:c>
      <x:c r="S156" s="169" t="n">
        <x:f>IF(S$4&gt;=$E155,MIN($C155/$D155,S155),0)</x:f>
        <x:v>100614.36804252147</x:v>
      </x:c>
      <x:c r="T156" s="169" t="n">
        <x:f>IF(T$4&gt;=$E155,MIN($C155/$D155,T155),0)</x:f>
        <x:v>100614.36804252147</x:v>
      </x:c>
      <x:c r="U156" s="169" t="n">
        <x:f>IF(U$4&gt;=$E155,MIN($C155/$D155,U155),0)</x:f>
        <x:v>100614.36804252147</x:v>
      </x:c>
      <x:c r="V156" s="169" t="n">
        <x:f>IF(V$4&gt;=$E155,MIN($C155/$D155,V155),0)</x:f>
        <x:v>100614.36804252147</x:v>
      </x:c>
      <x:c r="W156" s="169" t="n">
        <x:f>IF(W$4&gt;=$E155,MIN($C155/$D155,W155),0)</x:f>
        <x:v>100614.36804252147</x:v>
      </x:c>
      <x:c r="X156" s="169" t="n">
        <x:f>IF(X$4&gt;=$E155,MIN($C155/$D155,X155),0)</x:f>
        <x:v>100614.36804252144</x:v>
      </x:c>
      <x:c r="Y156" s="169" t="n">
        <x:f>IF(Y$4&gt;=$E155,MIN($C155/$D155,Y155),0)</x:f>
        <x:v>0</x:v>
      </x:c>
      <x:c r="Z156" s="169" t="n">
        <x:f>IF(Z$4&gt;=$E155,MIN($C155/$D155,Z155),0)</x:f>
        <x:v>0</x:v>
      </x:c>
      <x:c r="AA156" s="169" t="n">
        <x:f>IF(AA$4&gt;=$E155,MIN($C155/$D155,AA155),0)</x:f>
        <x:v>0</x:v>
      </x:c>
      <x:c r="AB156" s="169" t="n">
        <x:f>IF(AB$4&gt;=$E155,MIN($C155/$D155,AB155),0)</x:f>
        <x:v>0</x:v>
      </x:c>
      <x:c r="AC156" s="169" t="n">
        <x:f>IF(AC$4&gt;=$E155,MIN($C155/$D155,AC155),0)</x:f>
        <x:v>0</x:v>
      </x:c>
    </x:row>
    <x:row r="157" ht="20" customHeight="1">
      <x:c r="A157" s="170" t="str">
        <x:v>Networking / CPU</x:v>
      </x:c>
      <x:c r="B157" s="214" t="n">
        <x:v>2033</x:v>
      </x:c>
      <x:c r="C157" s="170" t="n">
        <x:f>'ROIC Cloud'!N$15*'ROIC Cloud'!$D$46</x:f>
        <x:v>603686.2082551288</x:v>
      </x:c>
      <x:c r="D157" s="214" t="n">
        <x:f>'ROIC Cloud'!$D$42</x:f>
        <x:v>6</x:v>
      </x:c>
      <x:c r="E157" s="214" t="n">
        <x:f>B157+'ROIC Cloud'!$D$40</x:f>
        <x:v>2035</x:v>
      </x:c>
      <x:c r="F157" s="170" t="str">
        <x:v>Closing NBV</x:v>
      </x:c>
      <x:c r="G157" s="169" t="n">
        <x:f>MAX(0,G155-G156)</x:f>
        <x:v>0</x:v>
      </x:c>
      <x:c r="H157" s="169" t="n">
        <x:f>MAX(0,H155-H156)</x:f>
        <x:v>0</x:v>
      </x:c>
      <x:c r="I157" s="169" t="n">
        <x:f>MAX(0,I155-I156)</x:f>
        <x:v>0</x:v>
      </x:c>
      <x:c r="J157" s="169" t="n">
        <x:f>MAX(0,J155-J156)</x:f>
        <x:v>0</x:v>
      </x:c>
      <x:c r="K157" s="169" t="n">
        <x:f>MAX(0,K155-K156)</x:f>
        <x:v>0</x:v>
      </x:c>
      <x:c r="L157" s="169" t="n">
        <x:f>MAX(0,L155-L156)</x:f>
        <x:v>0</x:v>
      </x:c>
      <x:c r="M157" s="169" t="n">
        <x:f>MAX(0,M155-M156)</x:f>
        <x:v>0</x:v>
      </x:c>
      <x:c r="N157" s="169" t="n">
        <x:f>MAX(0,N155-N156)</x:f>
        <x:v>0</x:v>
      </x:c>
      <x:c r="O157" s="169" t="n">
        <x:f>MAX(0,O155-O156)</x:f>
        <x:v>0</x:v>
      </x:c>
      <x:c r="P157" s="169" t="n">
        <x:f>MAX(0,P155-P156)</x:f>
        <x:v>0</x:v>
      </x:c>
      <x:c r="Q157" s="169" t="n">
        <x:f>MAX(0,Q155-Q156)</x:f>
        <x:v>0</x:v>
      </x:c>
      <x:c r="R157" s="169" t="n">
        <x:f>MAX(0,R155-R156)</x:f>
        <x:v>0</x:v>
      </x:c>
      <x:c r="S157" s="169" t="n">
        <x:f>MAX(0,S155-S156)</x:f>
        <x:v>503071.84021260735</x:v>
      </x:c>
      <x:c r="T157" s="169" t="n">
        <x:f>MAX(0,T155-T156)</x:f>
        <x:v>402457.4721700859</x:v>
      </x:c>
      <x:c r="U157" s="169" t="n">
        <x:f>MAX(0,U155-U156)</x:f>
        <x:v>301843.10412756447</x:v>
      </x:c>
      <x:c r="V157" s="169" t="n">
        <x:f>MAX(0,V155-V156)</x:f>
        <x:v>201228.73608504294</x:v>
      </x:c>
      <x:c r="W157" s="169" t="n">
        <x:f>MAX(0,W155-W156)</x:f>
        <x:v>100614.3680425215</x:v>
      </x:c>
      <x:c r="X157" s="169" t="n">
        <x:f>MAX(0,X155-X156)</x:f>
        <x:v>0</x:v>
      </x:c>
      <x:c r="Y157" s="169" t="n">
        <x:f>MAX(0,Y155-Y156)</x:f>
        <x:v>0</x:v>
      </x:c>
      <x:c r="Z157" s="169" t="n">
        <x:f>MAX(0,Z155-Z156)</x:f>
        <x:v>0</x:v>
      </x:c>
      <x:c r="AA157" s="169" t="n">
        <x:f>MAX(0,AA155-AA156)</x:f>
        <x:v>0</x:v>
      </x:c>
      <x:c r="AB157" s="169" t="n">
        <x:f>MAX(0,AB155-AB156)</x:f>
        <x:v>0</x:v>
      </x:c>
      <x:c r="AC157" s="169" t="n">
        <x:f>MAX(0,AC155-AC156)</x:f>
        <x:v>0</x:v>
      </x:c>
    </x:row>
    <x:row r="158" ht="20" customHeight="1">
      <x:c r="A158" s="170" t="str">
        <x:v>Networking / CPU</x:v>
      </x:c>
      <x:c r="B158" s="214" t="n">
        <x:v>2033</x:v>
      </x:c>
      <x:c r="C158" s="170" t="n">
        <x:f>'ROIC Cloud'!N$15*'ROIC Cloud'!$D$46</x:f>
        <x:v>603686.2082551288</x:v>
      </x:c>
      <x:c r="D158" s="214" t="n">
        <x:f>'ROIC Cloud'!$D$42</x:f>
        <x:v>6</x:v>
      </x:c>
      <x:c r="E158" s="214" t="n">
        <x:f>B158+'ROIC Cloud'!$D$40</x:f>
        <x:v>2035</x:v>
      </x:c>
      <x:c r="F158" s="170" t="str">
        <x:v>Average NBV</x:v>
      </x:c>
      <x:c r="G158" s="169" t="n">
        <x:f>(G155+G157)/2</x:f>
        <x:v>0</x:v>
      </x:c>
      <x:c r="H158" s="169" t="n">
        <x:f>(H155+H157)/2</x:f>
        <x:v>0</x:v>
      </x:c>
      <x:c r="I158" s="169" t="n">
        <x:f>(I155+I157)/2</x:f>
        <x:v>0</x:v>
      </x:c>
      <x:c r="J158" s="169" t="n">
        <x:f>(J155+J157)/2</x:f>
        <x:v>0</x:v>
      </x:c>
      <x:c r="K158" s="169" t="n">
        <x:f>(K155+K157)/2</x:f>
        <x:v>0</x:v>
      </x:c>
      <x:c r="L158" s="169" t="n">
        <x:f>(L155+L157)/2</x:f>
        <x:v>0</x:v>
      </x:c>
      <x:c r="M158" s="169" t="n">
        <x:f>(M155+M157)/2</x:f>
        <x:v>0</x:v>
      </x:c>
      <x:c r="N158" s="169" t="n">
        <x:f>(N155+N157)/2</x:f>
        <x:v>0</x:v>
      </x:c>
      <x:c r="O158" s="169" t="n">
        <x:f>(O155+O157)/2</x:f>
        <x:v>0</x:v>
      </x:c>
      <x:c r="P158" s="169" t="n">
        <x:f>(P155+P157)/2</x:f>
        <x:v>0</x:v>
      </x:c>
      <x:c r="Q158" s="169" t="n">
        <x:f>(Q155+Q157)/2</x:f>
        <x:v>0</x:v>
      </x:c>
      <x:c r="R158" s="169" t="n">
        <x:f>(R155+R157)/2</x:f>
        <x:v>0</x:v>
      </x:c>
      <x:c r="S158" s="169" t="n">
        <x:f>(S155+S157)/2</x:f>
        <x:v>553379.0242338681</x:v>
      </x:c>
      <x:c r="T158" s="169" t="n">
        <x:f>(T155+T157)/2</x:f>
        <x:v>452764.6561913466</x:v>
      </x:c>
      <x:c r="U158" s="169" t="n">
        <x:f>(U155+U157)/2</x:f>
        <x:v>352150.2881488252</x:v>
      </x:c>
      <x:c r="V158" s="169" t="n">
        <x:f>(V155+V157)/2</x:f>
        <x:v>251535.92010630367</x:v>
      </x:c>
      <x:c r="W158" s="169" t="n">
        <x:f>(W155+W157)/2</x:f>
        <x:v>150921.55206378223</x:v>
      </x:c>
      <x:c r="X158" s="169" t="n">
        <x:f>(X155+X157)/2</x:f>
        <x:v>50307.18402126072</x:v>
      </x:c>
      <x:c r="Y158" s="169" t="n">
        <x:f>(Y155+Y157)/2</x:f>
        <x:v>0</x:v>
      </x:c>
      <x:c r="Z158" s="169" t="n">
        <x:f>(Z155+Z157)/2</x:f>
        <x:v>0</x:v>
      </x:c>
      <x:c r="AA158" s="169" t="n">
        <x:f>(AA155+AA157)/2</x:f>
        <x:v>0</x:v>
      </x:c>
      <x:c r="AB158" s="169" t="n">
        <x:f>(AB155+AB157)/2</x:f>
        <x:v>0</x:v>
      </x:c>
      <x:c r="AC158" s="169" t="n">
        <x:f>(AC155+AC157)/2</x:f>
        <x:v>0</x:v>
      </x:c>
    </x:row>
    <x:row r="159" ht="20" customHeight="1">
      <x:c r="A159" s="170" t="str">
        <x:v>Networking / CPU</x:v>
      </x:c>
      <x:c r="B159" s="214" t="n">
        <x:v>2034</x:v>
      </x:c>
      <x:c r="C159" s="170" t="n">
        <x:f>'ROIC Cloud'!O$15*'ROIC Cloud'!$D$46</x:f>
        <x:v>651981.104915539</x:v>
      </x:c>
      <x:c r="D159" s="214" t="n">
        <x:f>'ROIC Cloud'!$D$42</x:f>
        <x:v>6</x:v>
      </x:c>
      <x:c r="E159" s="214" t="n">
        <x:f>B159+'ROIC Cloud'!$D$40</x:f>
        <x:v>2036</x:v>
      </x:c>
      <x:c r="F159" s="170" t="str">
        <x:v>Opening NBV</x:v>
      </x:c>
      <x:c r="G159" s="169" t="n">
        <x:f>IF(G$4&gt;=$E159,$C159*MAX(0,1-(G$4-$E159)/$D159),0)</x:f>
        <x:v>0</x:v>
      </x:c>
      <x:c r="H159" s="169" t="n">
        <x:f>IF(H$4&gt;=$E159,$C159*MAX(0,1-(H$4-$E159)/$D159),0)</x:f>
        <x:v>0</x:v>
      </x:c>
      <x:c r="I159" s="169" t="n">
        <x:f>IF(I$4&gt;=$E159,$C159*MAX(0,1-(I$4-$E159)/$D159),0)</x:f>
        <x:v>0</x:v>
      </x:c>
      <x:c r="J159" s="169" t="n">
        <x:f>IF(J$4&gt;=$E159,$C159*MAX(0,1-(J$4-$E159)/$D159),0)</x:f>
        <x:v>0</x:v>
      </x:c>
      <x:c r="K159" s="169" t="n">
        <x:f>IF(K$4&gt;=$E159,$C159*MAX(0,1-(K$4-$E159)/$D159),0)</x:f>
        <x:v>0</x:v>
      </x:c>
      <x:c r="L159" s="169" t="n">
        <x:f>IF(L$4&gt;=$E159,$C159*MAX(0,1-(L$4-$E159)/$D159),0)</x:f>
        <x:v>0</x:v>
      </x:c>
      <x:c r="M159" s="169" t="n">
        <x:f>IF(M$4&gt;=$E159,$C159*MAX(0,1-(M$4-$E159)/$D159),0)</x:f>
        <x:v>0</x:v>
      </x:c>
      <x:c r="N159" s="169" t="n">
        <x:f>IF(N$4&gt;=$E159,$C159*MAX(0,1-(N$4-$E159)/$D159),0)</x:f>
        <x:v>0</x:v>
      </x:c>
      <x:c r="O159" s="169" t="n">
        <x:f>IF(O$4&gt;=$E159,$C159*MAX(0,1-(O$4-$E159)/$D159),0)</x:f>
        <x:v>0</x:v>
      </x:c>
      <x:c r="P159" s="169" t="n">
        <x:f>IF(P$4&gt;=$E159,$C159*MAX(0,1-(P$4-$E159)/$D159),0)</x:f>
        <x:v>0</x:v>
      </x:c>
      <x:c r="Q159" s="169" t="n">
        <x:f>IF(Q$4&gt;=$E159,$C159*MAX(0,1-(Q$4-$E159)/$D159),0)</x:f>
        <x:v>0</x:v>
      </x:c>
      <x:c r="R159" s="169" t="n">
        <x:f>IF(R$4&gt;=$E159,$C159*MAX(0,1-(R$4-$E159)/$D159),0)</x:f>
        <x:v>0</x:v>
      </x:c>
      <x:c r="S159" s="169" t="n">
        <x:f>IF(S$4&gt;=$E159,$C159*MAX(0,1-(S$4-$E159)/$D159),0)</x:f>
        <x:v>0</x:v>
      </x:c>
      <x:c r="T159" s="169" t="n">
        <x:f>IF(T$4&gt;=$E159,$C159*MAX(0,1-(T$4-$E159)/$D159),0)</x:f>
        <x:v>651981.104915539</x:v>
      </x:c>
      <x:c r="U159" s="169" t="n">
        <x:f>IF(U$4&gt;=$E159,$C159*MAX(0,1-(U$4-$E159)/$D159),0)</x:f>
        <x:v>543317.5874296159</x:v>
      </x:c>
      <x:c r="V159" s="169" t="n">
        <x:f>IF(V$4&gt;=$E159,$C159*MAX(0,1-(V$4-$E159)/$D159),0)</x:f>
        <x:v>434654.0699436927</x:v>
      </x:c>
      <x:c r="W159" s="169" t="n">
        <x:f>IF(W$4&gt;=$E159,$C159*MAX(0,1-(W$4-$E159)/$D159),0)</x:f>
        <x:v>325990.5524577695</x:v>
      </x:c>
      <x:c r="X159" s="169" t="n">
        <x:f>IF(X$4&gt;=$E159,$C159*MAX(0,1-(X$4-$E159)/$D159),0)</x:f>
        <x:v>217327.03497184635</x:v>
      </x:c>
      <x:c r="Y159" s="169" t="n">
        <x:f>IF(Y$4&gt;=$E159,$C159*MAX(0,1-(Y$4-$E159)/$D159),0)</x:f>
        <x:v>108663.51748592315</x:v>
      </x:c>
      <x:c r="Z159" s="169" t="n">
        <x:f>IF(Z$4&gt;=$E159,$C159*MAX(0,1-(Z$4-$E159)/$D159),0)</x:f>
        <x:v>0</x:v>
      </x:c>
      <x:c r="AA159" s="169" t="n">
        <x:f>IF(AA$4&gt;=$E159,$C159*MAX(0,1-(AA$4-$E159)/$D159),0)</x:f>
        <x:v>0</x:v>
      </x:c>
      <x:c r="AB159" s="169" t="n">
        <x:f>IF(AB$4&gt;=$E159,$C159*MAX(0,1-(AB$4-$E159)/$D159),0)</x:f>
        <x:v>0</x:v>
      </x:c>
      <x:c r="AC159" s="169" t="n">
        <x:f>IF(AC$4&gt;=$E159,$C159*MAX(0,1-(AC$4-$E159)/$D159),0)</x:f>
        <x:v>0</x:v>
      </x:c>
    </x:row>
    <x:row r="160" ht="20" customHeight="1">
      <x:c r="A160" s="170" t="str">
        <x:v>Networking / CPU</x:v>
      </x:c>
      <x:c r="B160" s="214" t="n">
        <x:v>2034</x:v>
      </x:c>
      <x:c r="C160" s="170" t="n">
        <x:f>'ROIC Cloud'!O$15*'ROIC Cloud'!$D$46</x:f>
        <x:v>651981.104915539</x:v>
      </x:c>
      <x:c r="D160" s="214" t="n">
        <x:f>'ROIC Cloud'!$D$42</x:f>
        <x:v>6</x:v>
      </x:c>
      <x:c r="E160" s="214" t="n">
        <x:f>B160+'ROIC Cloud'!$D$40</x:f>
        <x:v>2036</x:v>
      </x:c>
      <x:c r="F160" s="170" t="str">
        <x:v>Depreciation</x:v>
      </x:c>
      <x:c r="G160" s="169" t="n">
        <x:f>IF(G$4&gt;=$E159,MIN($C159/$D159,G159),0)</x:f>
        <x:v>0</x:v>
      </x:c>
      <x:c r="H160" s="169" t="n">
        <x:f>IF(H$4&gt;=$E159,MIN($C159/$D159,H159),0)</x:f>
        <x:v>0</x:v>
      </x:c>
      <x:c r="I160" s="169" t="n">
        <x:f>IF(I$4&gt;=$E159,MIN($C159/$D159,I159),0)</x:f>
        <x:v>0</x:v>
      </x:c>
      <x:c r="J160" s="169" t="n">
        <x:f>IF(J$4&gt;=$E159,MIN($C159/$D159,J159),0)</x:f>
        <x:v>0</x:v>
      </x:c>
      <x:c r="K160" s="169" t="n">
        <x:f>IF(K$4&gt;=$E159,MIN($C159/$D159,K159),0)</x:f>
        <x:v>0</x:v>
      </x:c>
      <x:c r="L160" s="169" t="n">
        <x:f>IF(L$4&gt;=$E159,MIN($C159/$D159,L159),0)</x:f>
        <x:v>0</x:v>
      </x:c>
      <x:c r="M160" s="169" t="n">
        <x:f>IF(M$4&gt;=$E159,MIN($C159/$D159,M159),0)</x:f>
        <x:v>0</x:v>
      </x:c>
      <x:c r="N160" s="169" t="n">
        <x:f>IF(N$4&gt;=$E159,MIN($C159/$D159,N159),0)</x:f>
        <x:v>0</x:v>
      </x:c>
      <x:c r="O160" s="169" t="n">
        <x:f>IF(O$4&gt;=$E159,MIN($C159/$D159,O159),0)</x:f>
        <x:v>0</x:v>
      </x:c>
      <x:c r="P160" s="169" t="n">
        <x:f>IF(P$4&gt;=$E159,MIN($C159/$D159,P159),0)</x:f>
        <x:v>0</x:v>
      </x:c>
      <x:c r="Q160" s="169" t="n">
        <x:f>IF(Q$4&gt;=$E159,MIN($C159/$D159,Q159),0)</x:f>
        <x:v>0</x:v>
      </x:c>
      <x:c r="R160" s="169" t="n">
        <x:f>IF(R$4&gt;=$E159,MIN($C159/$D159,R159),0)</x:f>
        <x:v>0</x:v>
      </x:c>
      <x:c r="S160" s="169" t="n">
        <x:f>IF(S$4&gt;=$E159,MIN($C159/$D159,S159),0)</x:f>
        <x:v>0</x:v>
      </x:c>
      <x:c r="T160" s="169" t="n">
        <x:f>IF(T$4&gt;=$E159,MIN($C159/$D159,T159),0)</x:f>
        <x:v>108663.51748592318</x:v>
      </x:c>
      <x:c r="U160" s="169" t="n">
        <x:f>IF(U$4&gt;=$E159,MIN($C159/$D159,U159),0)</x:f>
        <x:v>108663.51748592318</x:v>
      </x:c>
      <x:c r="V160" s="169" t="n">
        <x:f>IF(V$4&gt;=$E159,MIN($C159/$D159,V159),0)</x:f>
        <x:v>108663.51748592318</x:v>
      </x:c>
      <x:c r="W160" s="169" t="n">
        <x:f>IF(W$4&gt;=$E159,MIN($C159/$D159,W159),0)</x:f>
        <x:v>108663.51748592318</x:v>
      </x:c>
      <x:c r="X160" s="169" t="n">
        <x:f>IF(X$4&gt;=$E159,MIN($C159/$D159,X159),0)</x:f>
        <x:v>108663.51748592318</x:v>
      </x:c>
      <x:c r="Y160" s="169" t="n">
        <x:f>IF(Y$4&gt;=$E159,MIN($C159/$D159,Y159),0)</x:f>
        <x:v>108663.51748592315</x:v>
      </x:c>
      <x:c r="Z160" s="169" t="n">
        <x:f>IF(Z$4&gt;=$E159,MIN($C159/$D159,Z159),0)</x:f>
        <x:v>0</x:v>
      </x:c>
      <x:c r="AA160" s="169" t="n">
        <x:f>IF(AA$4&gt;=$E159,MIN($C159/$D159,AA159),0)</x:f>
        <x:v>0</x:v>
      </x:c>
      <x:c r="AB160" s="169" t="n">
        <x:f>IF(AB$4&gt;=$E159,MIN($C159/$D159,AB159),0)</x:f>
        <x:v>0</x:v>
      </x:c>
      <x:c r="AC160" s="169" t="n">
        <x:f>IF(AC$4&gt;=$E159,MIN($C159/$D159,AC159),0)</x:f>
        <x:v>0</x:v>
      </x:c>
    </x:row>
    <x:row r="161" ht="20" customHeight="1">
      <x:c r="A161" s="170" t="str">
        <x:v>Networking / CPU</x:v>
      </x:c>
      <x:c r="B161" s="214" t="n">
        <x:v>2034</x:v>
      </x:c>
      <x:c r="C161" s="170" t="n">
        <x:f>'ROIC Cloud'!O$15*'ROIC Cloud'!$D$46</x:f>
        <x:v>651981.104915539</x:v>
      </x:c>
      <x:c r="D161" s="214" t="n">
        <x:f>'ROIC Cloud'!$D$42</x:f>
        <x:v>6</x:v>
      </x:c>
      <x:c r="E161" s="214" t="n">
        <x:f>B161+'ROIC Cloud'!$D$40</x:f>
        <x:v>2036</x:v>
      </x:c>
      <x:c r="F161" s="170" t="str">
        <x:v>Closing NBV</x:v>
      </x:c>
      <x:c r="G161" s="169" t="n">
        <x:f>MAX(0,G159-G160)</x:f>
        <x:v>0</x:v>
      </x:c>
      <x:c r="H161" s="169" t="n">
        <x:f>MAX(0,H159-H160)</x:f>
        <x:v>0</x:v>
      </x:c>
      <x:c r="I161" s="169" t="n">
        <x:f>MAX(0,I159-I160)</x:f>
        <x:v>0</x:v>
      </x:c>
      <x:c r="J161" s="169" t="n">
        <x:f>MAX(0,J159-J160)</x:f>
        <x:v>0</x:v>
      </x:c>
      <x:c r="K161" s="169" t="n">
        <x:f>MAX(0,K159-K160)</x:f>
        <x:v>0</x:v>
      </x:c>
      <x:c r="L161" s="169" t="n">
        <x:f>MAX(0,L159-L160)</x:f>
        <x:v>0</x:v>
      </x:c>
      <x:c r="M161" s="169" t="n">
        <x:f>MAX(0,M159-M160)</x:f>
        <x:v>0</x:v>
      </x:c>
      <x:c r="N161" s="169" t="n">
        <x:f>MAX(0,N159-N160)</x:f>
        <x:v>0</x:v>
      </x:c>
      <x:c r="O161" s="169" t="n">
        <x:f>MAX(0,O159-O160)</x:f>
        <x:v>0</x:v>
      </x:c>
      <x:c r="P161" s="169" t="n">
        <x:f>MAX(0,P159-P160)</x:f>
        <x:v>0</x:v>
      </x:c>
      <x:c r="Q161" s="169" t="n">
        <x:f>MAX(0,Q159-Q160)</x:f>
        <x:v>0</x:v>
      </x:c>
      <x:c r="R161" s="169" t="n">
        <x:f>MAX(0,R159-R160)</x:f>
        <x:v>0</x:v>
      </x:c>
      <x:c r="S161" s="169" t="n">
        <x:f>MAX(0,S159-S160)</x:f>
        <x:v>0</x:v>
      </x:c>
      <x:c r="T161" s="169" t="n">
        <x:f>MAX(0,T159-T160)</x:f>
        <x:v>543317.5874296159</x:v>
      </x:c>
      <x:c r="U161" s="169" t="n">
        <x:f>MAX(0,U159-U160)</x:f>
        <x:v>434654.0699436927</x:v>
      </x:c>
      <x:c r="V161" s="169" t="n">
        <x:f>MAX(0,V159-V160)</x:f>
        <x:v>325990.5524577695</x:v>
      </x:c>
      <x:c r="W161" s="169" t="n">
        <x:f>MAX(0,W159-W160)</x:f>
        <x:v>217327.03497184633</x:v>
      </x:c>
      <x:c r="X161" s="169" t="n">
        <x:f>MAX(0,X159-X160)</x:f>
        <x:v>108663.51748592318</x:v>
      </x:c>
      <x:c r="Y161" s="169" t="n">
        <x:f>MAX(0,Y159-Y160)</x:f>
        <x:v>0</x:v>
      </x:c>
      <x:c r="Z161" s="169" t="n">
        <x:f>MAX(0,Z159-Z160)</x:f>
        <x:v>0</x:v>
      </x:c>
      <x:c r="AA161" s="169" t="n">
        <x:f>MAX(0,AA159-AA160)</x:f>
        <x:v>0</x:v>
      </x:c>
      <x:c r="AB161" s="169" t="n">
        <x:f>MAX(0,AB159-AB160)</x:f>
        <x:v>0</x:v>
      </x:c>
      <x:c r="AC161" s="169" t="n">
        <x:f>MAX(0,AC159-AC160)</x:f>
        <x:v>0</x:v>
      </x:c>
    </x:row>
    <x:row r="162" ht="20" customHeight="1">
      <x:c r="A162" s="170" t="str">
        <x:v>Networking / CPU</x:v>
      </x:c>
      <x:c r="B162" s="214" t="n">
        <x:v>2034</x:v>
      </x:c>
      <x:c r="C162" s="170" t="n">
        <x:f>'ROIC Cloud'!O$15*'ROIC Cloud'!$D$46</x:f>
        <x:v>651981.104915539</x:v>
      </x:c>
      <x:c r="D162" s="214" t="n">
        <x:f>'ROIC Cloud'!$D$42</x:f>
        <x:v>6</x:v>
      </x:c>
      <x:c r="E162" s="214" t="n">
        <x:f>B162+'ROIC Cloud'!$D$40</x:f>
        <x:v>2036</x:v>
      </x:c>
      <x:c r="F162" s="170" t="str">
        <x:v>Average NBV</x:v>
      </x:c>
      <x:c r="G162" s="169" t="n">
        <x:f>(G159+G161)/2</x:f>
        <x:v>0</x:v>
      </x:c>
      <x:c r="H162" s="169" t="n">
        <x:f>(H159+H161)/2</x:f>
        <x:v>0</x:v>
      </x:c>
      <x:c r="I162" s="169" t="n">
        <x:f>(I159+I161)/2</x:f>
        <x:v>0</x:v>
      </x:c>
      <x:c r="J162" s="169" t="n">
        <x:f>(J159+J161)/2</x:f>
        <x:v>0</x:v>
      </x:c>
      <x:c r="K162" s="169" t="n">
        <x:f>(K159+K161)/2</x:f>
        <x:v>0</x:v>
      </x:c>
      <x:c r="L162" s="169" t="n">
        <x:f>(L159+L161)/2</x:f>
        <x:v>0</x:v>
      </x:c>
      <x:c r="M162" s="169" t="n">
        <x:f>(M159+M161)/2</x:f>
        <x:v>0</x:v>
      </x:c>
      <x:c r="N162" s="169" t="n">
        <x:f>(N159+N161)/2</x:f>
        <x:v>0</x:v>
      </x:c>
      <x:c r="O162" s="169" t="n">
        <x:f>(O159+O161)/2</x:f>
        <x:v>0</x:v>
      </x:c>
      <x:c r="P162" s="169" t="n">
        <x:f>(P159+P161)/2</x:f>
        <x:v>0</x:v>
      </x:c>
      <x:c r="Q162" s="169" t="n">
        <x:f>(Q159+Q161)/2</x:f>
        <x:v>0</x:v>
      </x:c>
      <x:c r="R162" s="169" t="n">
        <x:f>(R159+R161)/2</x:f>
        <x:v>0</x:v>
      </x:c>
      <x:c r="S162" s="169" t="n">
        <x:f>(S159+S161)/2</x:f>
        <x:v>0</x:v>
      </x:c>
      <x:c r="T162" s="169" t="n">
        <x:f>(T159+T161)/2</x:f>
        <x:v>597649.3461725775</x:v>
      </x:c>
      <x:c r="U162" s="169" t="n">
        <x:f>(U159+U161)/2</x:f>
        <x:v>488985.82868665433</x:v>
      </x:c>
      <x:c r="V162" s="169" t="n">
        <x:f>(V159+V161)/2</x:f>
        <x:v>380322.3112007311</x:v>
      </x:c>
      <x:c r="W162" s="169" t="n">
        <x:f>(W159+W161)/2</x:f>
        <x:v>271658.79371480795</x:v>
      </x:c>
      <x:c r="X162" s="169" t="n">
        <x:f>(X159+X161)/2</x:f>
        <x:v>162995.27622888476</x:v>
      </x:c>
      <x:c r="Y162" s="169" t="n">
        <x:f>(Y159+Y161)/2</x:f>
        <x:v>54331.758742961574</x:v>
      </x:c>
      <x:c r="Z162" s="169" t="n">
        <x:f>(Z159+Z161)/2</x:f>
        <x:v>0</x:v>
      </x:c>
      <x:c r="AA162" s="169" t="n">
        <x:f>(AA159+AA161)/2</x:f>
        <x:v>0</x:v>
      </x:c>
      <x:c r="AB162" s="169" t="n">
        <x:f>(AB159+AB161)/2</x:f>
        <x:v>0</x:v>
      </x:c>
      <x:c r="AC162" s="169" t="n">
        <x:f>(AC159+AC161)/2</x:f>
        <x:v>0</x:v>
      </x:c>
    </x:row>
    <x:row r="163" ht="20" customHeight="1">
      <x:c r="A163" s="170" t="str">
        <x:v>Networking / CPU</x:v>
      </x:c>
      <x:c r="B163" s="214" t="n">
        <x:v>2035</x:v>
      </x:c>
      <x:c r="C163" s="170" t="n">
        <x:f>'ROIC Cloud'!P$15*'ROIC Cloud'!$D$46</x:f>
        <x:v>704139.5933087822</x:v>
      </x:c>
      <x:c r="D163" s="214" t="n">
        <x:f>'ROIC Cloud'!$D$42</x:f>
        <x:v>6</x:v>
      </x:c>
      <x:c r="E163" s="214" t="n">
        <x:f>B163+'ROIC Cloud'!$D$40</x:f>
        <x:v>2037</x:v>
      </x:c>
      <x:c r="F163" s="170" t="str">
        <x:v>Opening NBV</x:v>
      </x:c>
      <x:c r="G163" s="169" t="n">
        <x:f>IF(G$4&gt;=$E163,$C163*MAX(0,1-(G$4-$E163)/$D163),0)</x:f>
        <x:v>0</x:v>
      </x:c>
      <x:c r="H163" s="169" t="n">
        <x:f>IF(H$4&gt;=$E163,$C163*MAX(0,1-(H$4-$E163)/$D163),0)</x:f>
        <x:v>0</x:v>
      </x:c>
      <x:c r="I163" s="169" t="n">
        <x:f>IF(I$4&gt;=$E163,$C163*MAX(0,1-(I$4-$E163)/$D163),0)</x:f>
        <x:v>0</x:v>
      </x:c>
      <x:c r="J163" s="169" t="n">
        <x:f>IF(J$4&gt;=$E163,$C163*MAX(0,1-(J$4-$E163)/$D163),0)</x:f>
        <x:v>0</x:v>
      </x:c>
      <x:c r="K163" s="169" t="n">
        <x:f>IF(K$4&gt;=$E163,$C163*MAX(0,1-(K$4-$E163)/$D163),0)</x:f>
        <x:v>0</x:v>
      </x:c>
      <x:c r="L163" s="169" t="n">
        <x:f>IF(L$4&gt;=$E163,$C163*MAX(0,1-(L$4-$E163)/$D163),0)</x:f>
        <x:v>0</x:v>
      </x:c>
      <x:c r="M163" s="169" t="n">
        <x:f>IF(M$4&gt;=$E163,$C163*MAX(0,1-(M$4-$E163)/$D163),0)</x:f>
        <x:v>0</x:v>
      </x:c>
      <x:c r="N163" s="169" t="n">
        <x:f>IF(N$4&gt;=$E163,$C163*MAX(0,1-(N$4-$E163)/$D163),0)</x:f>
        <x:v>0</x:v>
      </x:c>
      <x:c r="O163" s="169" t="n">
        <x:f>IF(O$4&gt;=$E163,$C163*MAX(0,1-(O$4-$E163)/$D163),0)</x:f>
        <x:v>0</x:v>
      </x:c>
      <x:c r="P163" s="169" t="n">
        <x:f>IF(P$4&gt;=$E163,$C163*MAX(0,1-(P$4-$E163)/$D163),0)</x:f>
        <x:v>0</x:v>
      </x:c>
      <x:c r="Q163" s="169" t="n">
        <x:f>IF(Q$4&gt;=$E163,$C163*MAX(0,1-(Q$4-$E163)/$D163),0)</x:f>
        <x:v>0</x:v>
      </x:c>
      <x:c r="R163" s="169" t="n">
        <x:f>IF(R$4&gt;=$E163,$C163*MAX(0,1-(R$4-$E163)/$D163),0)</x:f>
        <x:v>0</x:v>
      </x:c>
      <x:c r="S163" s="169" t="n">
        <x:f>IF(S$4&gt;=$E163,$C163*MAX(0,1-(S$4-$E163)/$D163),0)</x:f>
        <x:v>0</x:v>
      </x:c>
      <x:c r="T163" s="169" t="n">
        <x:f>IF(T$4&gt;=$E163,$C163*MAX(0,1-(T$4-$E163)/$D163),0)</x:f>
        <x:v>0</x:v>
      </x:c>
      <x:c r="U163" s="169" t="n">
        <x:f>IF(U$4&gt;=$E163,$C163*MAX(0,1-(U$4-$E163)/$D163),0)</x:f>
        <x:v>704139.5933087822</x:v>
      </x:c>
      <x:c r="V163" s="169" t="n">
        <x:f>IF(V$4&gt;=$E163,$C163*MAX(0,1-(V$4-$E163)/$D163),0)</x:f>
        <x:v>586782.9944239852</x:v>
      </x:c>
      <x:c r="W163" s="169" t="n">
        <x:f>IF(W$4&gt;=$E163,$C163*MAX(0,1-(W$4-$E163)/$D163),0)</x:f>
        <x:v>469426.3955391882</x:v>
      </x:c>
      <x:c r="X163" s="169" t="n">
        <x:f>IF(X$4&gt;=$E163,$C163*MAX(0,1-(X$4-$E163)/$D163),0)</x:f>
        <x:v>352069.7966543911</x:v>
      </x:c>
      <x:c r="Y163" s="169" t="n">
        <x:f>IF(Y$4&gt;=$E163,$C163*MAX(0,1-(Y$4-$E163)/$D163),0)</x:f>
        <x:v>234713.1977695941</x:v>
      </x:c>
      <x:c r="Z163" s="169" t="n">
        <x:f>IF(Z$4&gt;=$E163,$C163*MAX(0,1-(Z$4-$E163)/$D163),0)</x:f>
        <x:v>117356.59888479701</x:v>
      </x:c>
      <x:c r="AA163" s="169" t="n">
        <x:f>IF(AA$4&gt;=$E163,$C163*MAX(0,1-(AA$4-$E163)/$D163),0)</x:f>
        <x:v>0</x:v>
      </x:c>
      <x:c r="AB163" s="169" t="n">
        <x:f>IF(AB$4&gt;=$E163,$C163*MAX(0,1-(AB$4-$E163)/$D163),0)</x:f>
        <x:v>0</x:v>
      </x:c>
      <x:c r="AC163" s="169" t="n">
        <x:f>IF(AC$4&gt;=$E163,$C163*MAX(0,1-(AC$4-$E163)/$D163),0)</x:f>
        <x:v>0</x:v>
      </x:c>
    </x:row>
    <x:row r="164" ht="20" customHeight="1">
      <x:c r="A164" s="170" t="str">
        <x:v>Networking / CPU</x:v>
      </x:c>
      <x:c r="B164" s="214" t="n">
        <x:v>2035</x:v>
      </x:c>
      <x:c r="C164" s="170" t="n">
        <x:f>'ROIC Cloud'!P$15*'ROIC Cloud'!$D$46</x:f>
        <x:v>704139.5933087822</x:v>
      </x:c>
      <x:c r="D164" s="214" t="n">
        <x:f>'ROIC Cloud'!$D$42</x:f>
        <x:v>6</x:v>
      </x:c>
      <x:c r="E164" s="214" t="n">
        <x:f>B164+'ROIC Cloud'!$D$40</x:f>
        <x:v>2037</x:v>
      </x:c>
      <x:c r="F164" s="170" t="str">
        <x:v>Depreciation</x:v>
      </x:c>
      <x:c r="G164" s="169" t="n">
        <x:f>IF(G$4&gt;=$E163,MIN($C163/$D163,G163),0)</x:f>
        <x:v>0</x:v>
      </x:c>
      <x:c r="H164" s="169" t="n">
        <x:f>IF(H$4&gt;=$E163,MIN($C163/$D163,H163),0)</x:f>
        <x:v>0</x:v>
      </x:c>
      <x:c r="I164" s="169" t="n">
        <x:f>IF(I$4&gt;=$E163,MIN($C163/$D163,I163),0)</x:f>
        <x:v>0</x:v>
      </x:c>
      <x:c r="J164" s="169" t="n">
        <x:f>IF(J$4&gt;=$E163,MIN($C163/$D163,J163),0)</x:f>
        <x:v>0</x:v>
      </x:c>
      <x:c r="K164" s="169" t="n">
        <x:f>IF(K$4&gt;=$E163,MIN($C163/$D163,K163),0)</x:f>
        <x:v>0</x:v>
      </x:c>
      <x:c r="L164" s="169" t="n">
        <x:f>IF(L$4&gt;=$E163,MIN($C163/$D163,L163),0)</x:f>
        <x:v>0</x:v>
      </x:c>
      <x:c r="M164" s="169" t="n">
        <x:f>IF(M$4&gt;=$E163,MIN($C163/$D163,M163),0)</x:f>
        <x:v>0</x:v>
      </x:c>
      <x:c r="N164" s="169" t="n">
        <x:f>IF(N$4&gt;=$E163,MIN($C163/$D163,N163),0)</x:f>
        <x:v>0</x:v>
      </x:c>
      <x:c r="O164" s="169" t="n">
        <x:f>IF(O$4&gt;=$E163,MIN($C163/$D163,O163),0)</x:f>
        <x:v>0</x:v>
      </x:c>
      <x:c r="P164" s="169" t="n">
        <x:f>IF(P$4&gt;=$E163,MIN($C163/$D163,P163),0)</x:f>
        <x:v>0</x:v>
      </x:c>
      <x:c r="Q164" s="169" t="n">
        <x:f>IF(Q$4&gt;=$E163,MIN($C163/$D163,Q163),0)</x:f>
        <x:v>0</x:v>
      </x:c>
      <x:c r="R164" s="169" t="n">
        <x:f>IF(R$4&gt;=$E163,MIN($C163/$D163,R163),0)</x:f>
        <x:v>0</x:v>
      </x:c>
      <x:c r="S164" s="169" t="n">
        <x:f>IF(S$4&gt;=$E163,MIN($C163/$D163,S163),0)</x:f>
        <x:v>0</x:v>
      </x:c>
      <x:c r="T164" s="169" t="n">
        <x:f>IF(T$4&gt;=$E163,MIN($C163/$D163,T163),0)</x:f>
        <x:v>0</x:v>
      </x:c>
      <x:c r="U164" s="169" t="n">
        <x:f>IF(U$4&gt;=$E163,MIN($C163/$D163,U163),0)</x:f>
        <x:v>117356.59888479703</x:v>
      </x:c>
      <x:c r="V164" s="169" t="n">
        <x:f>IF(V$4&gt;=$E163,MIN($C163/$D163,V163),0)</x:f>
        <x:v>117356.59888479703</x:v>
      </x:c>
      <x:c r="W164" s="169" t="n">
        <x:f>IF(W$4&gt;=$E163,MIN($C163/$D163,W163),0)</x:f>
        <x:v>117356.59888479703</x:v>
      </x:c>
      <x:c r="X164" s="169" t="n">
        <x:f>IF(X$4&gt;=$E163,MIN($C163/$D163,X163),0)</x:f>
        <x:v>117356.59888479703</x:v>
      </x:c>
      <x:c r="Y164" s="169" t="n">
        <x:f>IF(Y$4&gt;=$E163,MIN($C163/$D163,Y163),0)</x:f>
        <x:v>117356.59888479703</x:v>
      </x:c>
      <x:c r="Z164" s="169" t="n">
        <x:f>IF(Z$4&gt;=$E163,MIN($C163/$D163,Z163),0)</x:f>
        <x:v>117356.59888479701</x:v>
      </x:c>
      <x:c r="AA164" s="169" t="n">
        <x:f>IF(AA$4&gt;=$E163,MIN($C163/$D163,AA163),0)</x:f>
        <x:v>0</x:v>
      </x:c>
      <x:c r="AB164" s="169" t="n">
        <x:f>IF(AB$4&gt;=$E163,MIN($C163/$D163,AB163),0)</x:f>
        <x:v>0</x:v>
      </x:c>
      <x:c r="AC164" s="169" t="n">
        <x:f>IF(AC$4&gt;=$E163,MIN($C163/$D163,AC163),0)</x:f>
        <x:v>0</x:v>
      </x:c>
    </x:row>
    <x:row r="165" ht="20" customHeight="1">
      <x:c r="A165" s="170" t="str">
        <x:v>Networking / CPU</x:v>
      </x:c>
      <x:c r="B165" s="214" t="n">
        <x:v>2035</x:v>
      </x:c>
      <x:c r="C165" s="170" t="n">
        <x:f>'ROIC Cloud'!P$15*'ROIC Cloud'!$D$46</x:f>
        <x:v>704139.5933087822</x:v>
      </x:c>
      <x:c r="D165" s="214" t="n">
        <x:f>'ROIC Cloud'!$D$42</x:f>
        <x:v>6</x:v>
      </x:c>
      <x:c r="E165" s="214" t="n">
        <x:f>B165+'ROIC Cloud'!$D$40</x:f>
        <x:v>2037</x:v>
      </x:c>
      <x:c r="F165" s="170" t="str">
        <x:v>Closing NBV</x:v>
      </x:c>
      <x:c r="G165" s="169" t="n">
        <x:f>MAX(0,G163-G164)</x:f>
        <x:v>0</x:v>
      </x:c>
      <x:c r="H165" s="169" t="n">
        <x:f>MAX(0,H163-H164)</x:f>
        <x:v>0</x:v>
      </x:c>
      <x:c r="I165" s="169" t="n">
        <x:f>MAX(0,I163-I164)</x:f>
        <x:v>0</x:v>
      </x:c>
      <x:c r="J165" s="169" t="n">
        <x:f>MAX(0,J163-J164)</x:f>
        <x:v>0</x:v>
      </x:c>
      <x:c r="K165" s="169" t="n">
        <x:f>MAX(0,K163-K164)</x:f>
        <x:v>0</x:v>
      </x:c>
      <x:c r="L165" s="169" t="n">
        <x:f>MAX(0,L163-L164)</x:f>
        <x:v>0</x:v>
      </x:c>
      <x:c r="M165" s="169" t="n">
        <x:f>MAX(0,M163-M164)</x:f>
        <x:v>0</x:v>
      </x:c>
      <x:c r="N165" s="169" t="n">
        <x:f>MAX(0,N163-N164)</x:f>
        <x:v>0</x:v>
      </x:c>
      <x:c r="O165" s="169" t="n">
        <x:f>MAX(0,O163-O164)</x:f>
        <x:v>0</x:v>
      </x:c>
      <x:c r="P165" s="169" t="n">
        <x:f>MAX(0,P163-P164)</x:f>
        <x:v>0</x:v>
      </x:c>
      <x:c r="Q165" s="169" t="n">
        <x:f>MAX(0,Q163-Q164)</x:f>
        <x:v>0</x:v>
      </x:c>
      <x:c r="R165" s="169" t="n">
        <x:f>MAX(0,R163-R164)</x:f>
        <x:v>0</x:v>
      </x:c>
      <x:c r="S165" s="169" t="n">
        <x:f>MAX(0,S163-S164)</x:f>
        <x:v>0</x:v>
      </x:c>
      <x:c r="T165" s="169" t="n">
        <x:f>MAX(0,T163-T164)</x:f>
        <x:v>0</x:v>
      </x:c>
      <x:c r="U165" s="169" t="n">
        <x:f>MAX(0,U163-U164)</x:f>
        <x:v>586782.9944239851</x:v>
      </x:c>
      <x:c r="V165" s="169" t="n">
        <x:f>MAX(0,V163-V164)</x:f>
        <x:v>469426.39553918823</x:v>
      </x:c>
      <x:c r="W165" s="169" t="n">
        <x:f>MAX(0,W163-W164)</x:f>
        <x:v>352069.79665439116</x:v>
      </x:c>
      <x:c r="X165" s="169" t="n">
        <x:f>MAX(0,X163-X164)</x:f>
        <x:v>234713.1977695941</x:v>
      </x:c>
      <x:c r="Y165" s="169" t="n">
        <x:f>MAX(0,Y163-Y164)</x:f>
        <x:v>117356.59888479706</x:v>
      </x:c>
      <x:c r="Z165" s="169" t="n">
        <x:f>MAX(0,Z163-Z164)</x:f>
        <x:v>0</x:v>
      </x:c>
      <x:c r="AA165" s="169" t="n">
        <x:f>MAX(0,AA163-AA164)</x:f>
        <x:v>0</x:v>
      </x:c>
      <x:c r="AB165" s="169" t="n">
        <x:f>MAX(0,AB163-AB164)</x:f>
        <x:v>0</x:v>
      </x:c>
      <x:c r="AC165" s="169" t="n">
        <x:f>MAX(0,AC163-AC164)</x:f>
        <x:v>0</x:v>
      </x:c>
    </x:row>
    <x:row r="166" ht="20" customHeight="1">
      <x:c r="A166" s="170" t="str">
        <x:v>Networking / CPU</x:v>
      </x:c>
      <x:c r="B166" s="214" t="n">
        <x:v>2035</x:v>
      </x:c>
      <x:c r="C166" s="170" t="n">
        <x:f>'ROIC Cloud'!P$15*'ROIC Cloud'!$D$46</x:f>
        <x:v>704139.5933087822</x:v>
      </x:c>
      <x:c r="D166" s="214" t="n">
        <x:f>'ROIC Cloud'!$D$42</x:f>
        <x:v>6</x:v>
      </x:c>
      <x:c r="E166" s="214" t="n">
        <x:f>B166+'ROIC Cloud'!$D$40</x:f>
        <x:v>2037</x:v>
      </x:c>
      <x:c r="F166" s="170" t="str">
        <x:v>Average NBV</x:v>
      </x:c>
      <x:c r="G166" s="169" t="n">
        <x:f>(G163+G165)/2</x:f>
        <x:v>0</x:v>
      </x:c>
      <x:c r="H166" s="169" t="n">
        <x:f>(H163+H165)/2</x:f>
        <x:v>0</x:v>
      </x:c>
      <x:c r="I166" s="169" t="n">
        <x:f>(I163+I165)/2</x:f>
        <x:v>0</x:v>
      </x:c>
      <x:c r="J166" s="169" t="n">
        <x:f>(J163+J165)/2</x:f>
        <x:v>0</x:v>
      </x:c>
      <x:c r="K166" s="169" t="n">
        <x:f>(K163+K165)/2</x:f>
        <x:v>0</x:v>
      </x:c>
      <x:c r="L166" s="169" t="n">
        <x:f>(L163+L165)/2</x:f>
        <x:v>0</x:v>
      </x:c>
      <x:c r="M166" s="169" t="n">
        <x:f>(M163+M165)/2</x:f>
        <x:v>0</x:v>
      </x:c>
      <x:c r="N166" s="169" t="n">
        <x:f>(N163+N165)/2</x:f>
        <x:v>0</x:v>
      </x:c>
      <x:c r="O166" s="169" t="n">
        <x:f>(O163+O165)/2</x:f>
        <x:v>0</x:v>
      </x:c>
      <x:c r="P166" s="169" t="n">
        <x:f>(P163+P165)/2</x:f>
        <x:v>0</x:v>
      </x:c>
      <x:c r="Q166" s="169" t="n">
        <x:f>(Q163+Q165)/2</x:f>
        <x:v>0</x:v>
      </x:c>
      <x:c r="R166" s="169" t="n">
        <x:f>(R163+R165)/2</x:f>
        <x:v>0</x:v>
      </x:c>
      <x:c r="S166" s="169" t="n">
        <x:f>(S163+S165)/2</x:f>
        <x:v>0</x:v>
      </x:c>
      <x:c r="T166" s="169" t="n">
        <x:f>(T163+T165)/2</x:f>
        <x:v>0</x:v>
      </x:c>
      <x:c r="U166" s="169" t="n">
        <x:f>(U163+U165)/2</x:f>
        <x:v>645461.2938663836</x:v>
      </x:c>
      <x:c r="V166" s="169" t="n">
        <x:f>(V163+V165)/2</x:f>
        <x:v>528104.6949815868</x:v>
      </x:c>
      <x:c r="W166" s="169" t="n">
        <x:f>(W163+W165)/2</x:f>
        <x:v>410748.0960967897</x:v>
      </x:c>
      <x:c r="X166" s="169" t="n">
        <x:f>(X163+X165)/2</x:f>
        <x:v>293391.4972119926</x:v>
      </x:c>
      <x:c r="Y166" s="169" t="n">
        <x:f>(Y163+Y165)/2</x:f>
        <x:v>176034.89832719558</x:v>
      </x:c>
      <x:c r="Z166" s="169" t="n">
        <x:f>(Z163+Z165)/2</x:f>
        <x:v>58678.29944239851</x:v>
      </x:c>
      <x:c r="AA166" s="169" t="n">
        <x:f>(AA163+AA165)/2</x:f>
        <x:v>0</x:v>
      </x:c>
      <x:c r="AB166" s="169" t="n">
        <x:f>(AB163+AB165)/2</x:f>
        <x:v>0</x:v>
      </x:c>
      <x:c r="AC166" s="169" t="n">
        <x:f>(AC163+AC165)/2</x:f>
        <x:v>0</x:v>
      </x:c>
    </x:row>
    <x:row r="167" ht="20" customHeight="1">
      <x:c r="A167" s="170" t="str">
        <x:v>Networking / CPU</x:v>
      </x:c>
      <x:c r="B167" s="214" t="n">
        <x:v>2036</x:v>
      </x:c>
      <x:c r="C167" s="170" t="n">
        <x:f>'ROIC Cloud'!Q$15*'ROIC Cloud'!$D$46</x:f>
        <x:v>760470.7607734848</x:v>
      </x:c>
      <x:c r="D167" s="214" t="n">
        <x:f>'ROIC Cloud'!$D$42</x:f>
        <x:v>6</x:v>
      </x:c>
      <x:c r="E167" s="214" t="n">
        <x:f>B167+'ROIC Cloud'!$D$40</x:f>
        <x:v>2038</x:v>
      </x:c>
      <x:c r="F167" s="170" t="str">
        <x:v>Opening NBV</x:v>
      </x:c>
      <x:c r="G167" s="169" t="n">
        <x:f>IF(G$4&gt;=$E167,$C167*MAX(0,1-(G$4-$E167)/$D167),0)</x:f>
        <x:v>0</x:v>
      </x:c>
      <x:c r="H167" s="169" t="n">
        <x:f>IF(H$4&gt;=$E167,$C167*MAX(0,1-(H$4-$E167)/$D167),0)</x:f>
        <x:v>0</x:v>
      </x:c>
      <x:c r="I167" s="169" t="n">
        <x:f>IF(I$4&gt;=$E167,$C167*MAX(0,1-(I$4-$E167)/$D167),0)</x:f>
        <x:v>0</x:v>
      </x:c>
      <x:c r="J167" s="169" t="n">
        <x:f>IF(J$4&gt;=$E167,$C167*MAX(0,1-(J$4-$E167)/$D167),0)</x:f>
        <x:v>0</x:v>
      </x:c>
      <x:c r="K167" s="169" t="n">
        <x:f>IF(K$4&gt;=$E167,$C167*MAX(0,1-(K$4-$E167)/$D167),0)</x:f>
        <x:v>0</x:v>
      </x:c>
      <x:c r="L167" s="169" t="n">
        <x:f>IF(L$4&gt;=$E167,$C167*MAX(0,1-(L$4-$E167)/$D167),0)</x:f>
        <x:v>0</x:v>
      </x:c>
      <x:c r="M167" s="169" t="n">
        <x:f>IF(M$4&gt;=$E167,$C167*MAX(0,1-(M$4-$E167)/$D167),0)</x:f>
        <x:v>0</x:v>
      </x:c>
      <x:c r="N167" s="169" t="n">
        <x:f>IF(N$4&gt;=$E167,$C167*MAX(0,1-(N$4-$E167)/$D167),0)</x:f>
        <x:v>0</x:v>
      </x:c>
      <x:c r="O167" s="169" t="n">
        <x:f>IF(O$4&gt;=$E167,$C167*MAX(0,1-(O$4-$E167)/$D167),0)</x:f>
        <x:v>0</x:v>
      </x:c>
      <x:c r="P167" s="169" t="n">
        <x:f>IF(P$4&gt;=$E167,$C167*MAX(0,1-(P$4-$E167)/$D167),0)</x:f>
        <x:v>0</x:v>
      </x:c>
      <x:c r="Q167" s="169" t="n">
        <x:f>IF(Q$4&gt;=$E167,$C167*MAX(0,1-(Q$4-$E167)/$D167),0)</x:f>
        <x:v>0</x:v>
      </x:c>
      <x:c r="R167" s="169" t="n">
        <x:f>IF(R$4&gt;=$E167,$C167*MAX(0,1-(R$4-$E167)/$D167),0)</x:f>
        <x:v>0</x:v>
      </x:c>
      <x:c r="S167" s="169" t="n">
        <x:f>IF(S$4&gt;=$E167,$C167*MAX(0,1-(S$4-$E167)/$D167),0)</x:f>
        <x:v>0</x:v>
      </x:c>
      <x:c r="T167" s="169" t="n">
        <x:f>IF(T$4&gt;=$E167,$C167*MAX(0,1-(T$4-$E167)/$D167),0)</x:f>
        <x:v>0</x:v>
      </x:c>
      <x:c r="U167" s="169" t="n">
        <x:f>IF(U$4&gt;=$E167,$C167*MAX(0,1-(U$4-$E167)/$D167),0)</x:f>
        <x:v>0</x:v>
      </x:c>
      <x:c r="V167" s="169" t="n">
        <x:f>IF(V$4&gt;=$E167,$C167*MAX(0,1-(V$4-$E167)/$D167),0)</x:f>
        <x:v>760470.7607734848</x:v>
      </x:c>
      <x:c r="W167" s="169" t="n">
        <x:f>IF(W$4&gt;=$E167,$C167*MAX(0,1-(W$4-$E167)/$D167),0)</x:f>
        <x:v>633725.6339779041</x:v>
      </x:c>
      <x:c r="X167" s="169" t="n">
        <x:f>IF(X$4&gt;=$E167,$C167*MAX(0,1-(X$4-$E167)/$D167),0)</x:f>
        <x:v>506980.50718232326</x:v>
      </x:c>
      <x:c r="Y167" s="169" t="n">
        <x:f>IF(Y$4&gt;=$E167,$C167*MAX(0,1-(Y$4-$E167)/$D167),0)</x:f>
        <x:v>380235.3803867424</x:v>
      </x:c>
      <x:c r="Z167" s="169" t="n">
        <x:f>IF(Z$4&gt;=$E167,$C167*MAX(0,1-(Z$4-$E167)/$D167),0)</x:f>
        <x:v>253490.25359116163</x:v>
      </x:c>
      <x:c r="AA167" s="169" t="n">
        <x:f>IF(AA$4&gt;=$E167,$C167*MAX(0,1-(AA$4-$E167)/$D167),0)</x:f>
        <x:v>126745.12679558077</x:v>
      </x:c>
      <x:c r="AB167" s="169" t="n">
        <x:f>IF(AB$4&gt;=$E167,$C167*MAX(0,1-(AB$4-$E167)/$D167),0)</x:f>
        <x:v>0</x:v>
      </x:c>
      <x:c r="AC167" s="169" t="n">
        <x:f>IF(AC$4&gt;=$E167,$C167*MAX(0,1-(AC$4-$E167)/$D167),0)</x:f>
        <x:v>0</x:v>
      </x:c>
    </x:row>
    <x:row r="168" ht="20" customHeight="1">
      <x:c r="A168" s="170" t="str">
        <x:v>Networking / CPU</x:v>
      </x:c>
      <x:c r="B168" s="214" t="n">
        <x:v>2036</x:v>
      </x:c>
      <x:c r="C168" s="170" t="n">
        <x:f>'ROIC Cloud'!Q$15*'ROIC Cloud'!$D$46</x:f>
        <x:v>760470.7607734848</x:v>
      </x:c>
      <x:c r="D168" s="214" t="n">
        <x:f>'ROIC Cloud'!$D$42</x:f>
        <x:v>6</x:v>
      </x:c>
      <x:c r="E168" s="214" t="n">
        <x:f>B168+'ROIC Cloud'!$D$40</x:f>
        <x:v>2038</x:v>
      </x:c>
      <x:c r="F168" s="170" t="str">
        <x:v>Depreciation</x:v>
      </x:c>
      <x:c r="G168" s="169" t="n">
        <x:f>IF(G$4&gt;=$E167,MIN($C167/$D167,G167),0)</x:f>
        <x:v>0</x:v>
      </x:c>
      <x:c r="H168" s="169" t="n">
        <x:f>IF(H$4&gt;=$E167,MIN($C167/$D167,H167),0)</x:f>
        <x:v>0</x:v>
      </x:c>
      <x:c r="I168" s="169" t="n">
        <x:f>IF(I$4&gt;=$E167,MIN($C167/$D167,I167),0)</x:f>
        <x:v>0</x:v>
      </x:c>
      <x:c r="J168" s="169" t="n">
        <x:f>IF(J$4&gt;=$E167,MIN($C167/$D167,J167),0)</x:f>
        <x:v>0</x:v>
      </x:c>
      <x:c r="K168" s="169" t="n">
        <x:f>IF(K$4&gt;=$E167,MIN($C167/$D167,K167),0)</x:f>
        <x:v>0</x:v>
      </x:c>
      <x:c r="L168" s="169" t="n">
        <x:f>IF(L$4&gt;=$E167,MIN($C167/$D167,L167),0)</x:f>
        <x:v>0</x:v>
      </x:c>
      <x:c r="M168" s="169" t="n">
        <x:f>IF(M$4&gt;=$E167,MIN($C167/$D167,M167),0)</x:f>
        <x:v>0</x:v>
      </x:c>
      <x:c r="N168" s="169" t="n">
        <x:f>IF(N$4&gt;=$E167,MIN($C167/$D167,N167),0)</x:f>
        <x:v>0</x:v>
      </x:c>
      <x:c r="O168" s="169" t="n">
        <x:f>IF(O$4&gt;=$E167,MIN($C167/$D167,O167),0)</x:f>
        <x:v>0</x:v>
      </x:c>
      <x:c r="P168" s="169" t="n">
        <x:f>IF(P$4&gt;=$E167,MIN($C167/$D167,P167),0)</x:f>
        <x:v>0</x:v>
      </x:c>
      <x:c r="Q168" s="169" t="n">
        <x:f>IF(Q$4&gt;=$E167,MIN($C167/$D167,Q167),0)</x:f>
        <x:v>0</x:v>
      </x:c>
      <x:c r="R168" s="169" t="n">
        <x:f>IF(R$4&gt;=$E167,MIN($C167/$D167,R167),0)</x:f>
        <x:v>0</x:v>
      </x:c>
      <x:c r="S168" s="169" t="n">
        <x:f>IF(S$4&gt;=$E167,MIN($C167/$D167,S167),0)</x:f>
        <x:v>0</x:v>
      </x:c>
      <x:c r="T168" s="169" t="n">
        <x:f>IF(T$4&gt;=$E167,MIN($C167/$D167,T167),0)</x:f>
        <x:v>0</x:v>
      </x:c>
      <x:c r="U168" s="169" t="n">
        <x:f>IF(U$4&gt;=$E167,MIN($C167/$D167,U167),0)</x:f>
        <x:v>0</x:v>
      </x:c>
      <x:c r="V168" s="169" t="n">
        <x:f>IF(V$4&gt;=$E167,MIN($C167/$D167,V167),0)</x:f>
        <x:v>126745.1267955808</x:v>
      </x:c>
      <x:c r="W168" s="169" t="n">
        <x:f>IF(W$4&gt;=$E167,MIN($C167/$D167,W167),0)</x:f>
        <x:v>126745.1267955808</x:v>
      </x:c>
      <x:c r="X168" s="169" t="n">
        <x:f>IF(X$4&gt;=$E167,MIN($C167/$D167,X167),0)</x:f>
        <x:v>126745.1267955808</x:v>
      </x:c>
      <x:c r="Y168" s="169" t="n">
        <x:f>IF(Y$4&gt;=$E167,MIN($C167/$D167,Y167),0)</x:f>
        <x:v>126745.1267955808</x:v>
      </x:c>
      <x:c r="Z168" s="169" t="n">
        <x:f>IF(Z$4&gt;=$E167,MIN($C167/$D167,Z167),0)</x:f>
        <x:v>126745.1267955808</x:v>
      </x:c>
      <x:c r="AA168" s="169" t="n">
        <x:f>IF(AA$4&gt;=$E167,MIN($C167/$D167,AA167),0)</x:f>
        <x:v>126745.12679558077</x:v>
      </x:c>
      <x:c r="AB168" s="169" t="n">
        <x:f>IF(AB$4&gt;=$E167,MIN($C167/$D167,AB167),0)</x:f>
        <x:v>0</x:v>
      </x:c>
      <x:c r="AC168" s="169" t="n">
        <x:f>IF(AC$4&gt;=$E167,MIN($C167/$D167,AC167),0)</x:f>
        <x:v>0</x:v>
      </x:c>
    </x:row>
    <x:row r="169" ht="20" customHeight="1">
      <x:c r="A169" s="170" t="str">
        <x:v>Networking / CPU</x:v>
      </x:c>
      <x:c r="B169" s="214" t="n">
        <x:v>2036</x:v>
      </x:c>
      <x:c r="C169" s="170" t="n">
        <x:f>'ROIC Cloud'!Q$15*'ROIC Cloud'!$D$46</x:f>
        <x:v>760470.7607734848</x:v>
      </x:c>
      <x:c r="D169" s="214" t="n">
        <x:f>'ROIC Cloud'!$D$42</x:f>
        <x:v>6</x:v>
      </x:c>
      <x:c r="E169" s="214" t="n">
        <x:f>B169+'ROIC Cloud'!$D$40</x:f>
        <x:v>2038</x:v>
      </x:c>
      <x:c r="F169" s="170" t="str">
        <x:v>Closing NBV</x:v>
      </x:c>
      <x:c r="G169" s="169" t="n">
        <x:f>MAX(0,G167-G168)</x:f>
        <x:v>0</x:v>
      </x:c>
      <x:c r="H169" s="169" t="n">
        <x:f>MAX(0,H167-H168)</x:f>
        <x:v>0</x:v>
      </x:c>
      <x:c r="I169" s="169" t="n">
        <x:f>MAX(0,I167-I168)</x:f>
        <x:v>0</x:v>
      </x:c>
      <x:c r="J169" s="169" t="n">
        <x:f>MAX(0,J167-J168)</x:f>
        <x:v>0</x:v>
      </x:c>
      <x:c r="K169" s="169" t="n">
        <x:f>MAX(0,K167-K168)</x:f>
        <x:v>0</x:v>
      </x:c>
      <x:c r="L169" s="169" t="n">
        <x:f>MAX(0,L167-L168)</x:f>
        <x:v>0</x:v>
      </x:c>
      <x:c r="M169" s="169" t="n">
        <x:f>MAX(0,M167-M168)</x:f>
        <x:v>0</x:v>
      </x:c>
      <x:c r="N169" s="169" t="n">
        <x:f>MAX(0,N167-N168)</x:f>
        <x:v>0</x:v>
      </x:c>
      <x:c r="O169" s="169" t="n">
        <x:f>MAX(0,O167-O168)</x:f>
        <x:v>0</x:v>
      </x:c>
      <x:c r="P169" s="169" t="n">
        <x:f>MAX(0,P167-P168)</x:f>
        <x:v>0</x:v>
      </x:c>
      <x:c r="Q169" s="169" t="n">
        <x:f>MAX(0,Q167-Q168)</x:f>
        <x:v>0</x:v>
      </x:c>
      <x:c r="R169" s="169" t="n">
        <x:f>MAX(0,R167-R168)</x:f>
        <x:v>0</x:v>
      </x:c>
      <x:c r="S169" s="169" t="n">
        <x:f>MAX(0,S167-S168)</x:f>
        <x:v>0</x:v>
      </x:c>
      <x:c r="T169" s="169" t="n">
        <x:f>MAX(0,T167-T168)</x:f>
        <x:v>0</x:v>
      </x:c>
      <x:c r="U169" s="169" t="n">
        <x:f>MAX(0,U167-U168)</x:f>
        <x:v>0</x:v>
      </x:c>
      <x:c r="V169" s="169" t="n">
        <x:f>MAX(0,V167-V168)</x:f>
        <x:v>633725.633977904</x:v>
      </x:c>
      <x:c r="W169" s="169" t="n">
        <x:f>MAX(0,W167-W168)</x:f>
        <x:v>506980.5071823233</x:v>
      </x:c>
      <x:c r="X169" s="169" t="n">
        <x:f>MAX(0,X167-X168)</x:f>
        <x:v>380235.3803867425</x:v>
      </x:c>
      <x:c r="Y169" s="169" t="n">
        <x:f>MAX(0,Y167-Y168)</x:f>
        <x:v>253490.25359116163</x:v>
      </x:c>
      <x:c r="Z169" s="169" t="n">
        <x:f>MAX(0,Z167-Z168)</x:f>
        <x:v>126745.12679558083</x:v>
      </x:c>
      <x:c r="AA169" s="169" t="n">
        <x:f>MAX(0,AA167-AA168)</x:f>
        <x:v>0</x:v>
      </x:c>
      <x:c r="AB169" s="169" t="n">
        <x:f>MAX(0,AB167-AB168)</x:f>
        <x:v>0</x:v>
      </x:c>
      <x:c r="AC169" s="169" t="n">
        <x:f>MAX(0,AC167-AC168)</x:f>
        <x:v>0</x:v>
      </x:c>
    </x:row>
    <x:row r="170" ht="20" customHeight="1">
      <x:c r="A170" s="170" t="str">
        <x:v>Networking / CPU</x:v>
      </x:c>
      <x:c r="B170" s="214" t="n">
        <x:v>2036</x:v>
      </x:c>
      <x:c r="C170" s="170" t="n">
        <x:f>'ROIC Cloud'!Q$15*'ROIC Cloud'!$D$46</x:f>
        <x:v>760470.7607734848</x:v>
      </x:c>
      <x:c r="D170" s="214" t="n">
        <x:f>'ROIC Cloud'!$D$42</x:f>
        <x:v>6</x:v>
      </x:c>
      <x:c r="E170" s="214" t="n">
        <x:f>B170+'ROIC Cloud'!$D$40</x:f>
        <x:v>2038</x:v>
      </x:c>
      <x:c r="F170" s="170" t="str">
        <x:v>Average NBV</x:v>
      </x:c>
      <x:c r="G170" s="169" t="n">
        <x:f>(G167+G169)/2</x:f>
        <x:v>0</x:v>
      </x:c>
      <x:c r="H170" s="169" t="n">
        <x:f>(H167+H169)/2</x:f>
        <x:v>0</x:v>
      </x:c>
      <x:c r="I170" s="169" t="n">
        <x:f>(I167+I169)/2</x:f>
        <x:v>0</x:v>
      </x:c>
      <x:c r="J170" s="169" t="n">
        <x:f>(J167+J169)/2</x:f>
        <x:v>0</x:v>
      </x:c>
      <x:c r="K170" s="169" t="n">
        <x:f>(K167+K169)/2</x:f>
        <x:v>0</x:v>
      </x:c>
      <x:c r="L170" s="169" t="n">
        <x:f>(L167+L169)/2</x:f>
        <x:v>0</x:v>
      </x:c>
      <x:c r="M170" s="169" t="n">
        <x:f>(M167+M169)/2</x:f>
        <x:v>0</x:v>
      </x:c>
      <x:c r="N170" s="169" t="n">
        <x:f>(N167+N169)/2</x:f>
        <x:v>0</x:v>
      </x:c>
      <x:c r="O170" s="169" t="n">
        <x:f>(O167+O169)/2</x:f>
        <x:v>0</x:v>
      </x:c>
      <x:c r="P170" s="169" t="n">
        <x:f>(P167+P169)/2</x:f>
        <x:v>0</x:v>
      </x:c>
      <x:c r="Q170" s="169" t="n">
        <x:f>(Q167+Q169)/2</x:f>
        <x:v>0</x:v>
      </x:c>
      <x:c r="R170" s="169" t="n">
        <x:f>(R167+R169)/2</x:f>
        <x:v>0</x:v>
      </x:c>
      <x:c r="S170" s="169" t="n">
        <x:f>(S167+S169)/2</x:f>
        <x:v>0</x:v>
      </x:c>
      <x:c r="T170" s="169" t="n">
        <x:f>(T167+T169)/2</x:f>
        <x:v>0</x:v>
      </x:c>
      <x:c r="U170" s="169" t="n">
        <x:f>(U167+U169)/2</x:f>
        <x:v>0</x:v>
      </x:c>
      <x:c r="V170" s="169" t="n">
        <x:f>(V167+V169)/2</x:f>
        <x:v>697098.1973756944</x:v>
      </x:c>
      <x:c r="W170" s="169" t="n">
        <x:f>(W167+W169)/2</x:f>
        <x:v>570353.0705801137</x:v>
      </x:c>
      <x:c r="X170" s="169" t="n">
        <x:f>(X167+X169)/2</x:f>
        <x:v>443607.94378453284</x:v>
      </x:c>
      <x:c r="Y170" s="169" t="n">
        <x:f>(Y167+Y169)/2</x:f>
        <x:v>316862.816988952</x:v>
      </x:c>
      <x:c r="Z170" s="169" t="n">
        <x:f>(Z167+Z169)/2</x:f>
        <x:v>190117.69019337124</x:v>
      </x:c>
      <x:c r="AA170" s="169" t="n">
        <x:f>(AA167+AA169)/2</x:f>
        <x:v>63372.563397790385</x:v>
      </x:c>
      <x:c r="AB170" s="169" t="n">
        <x:f>(AB167+AB169)/2</x:f>
        <x:v>0</x:v>
      </x:c>
      <x:c r="AC170" s="169" t="n">
        <x:f>(AC167+AC169)/2</x:f>
        <x:v>0</x:v>
      </x:c>
    </x:row>
    <x:row r="171" ht="20" customHeight="1">
      <x:c r="A171" s="170" t="str">
        <x:v>Networking / CPU</x:v>
      </x:c>
      <x:c r="B171" s="214" t="n">
        <x:v>2037</x:v>
      </x:c>
      <x:c r="C171" s="170" t="n">
        <x:f>'ROIC Cloud'!R$15*'ROIC Cloud'!$D$46</x:f>
        <x:v>821308.4216353636</x:v>
      </x:c>
      <x:c r="D171" s="214" t="n">
        <x:f>'ROIC Cloud'!$D$42</x:f>
        <x:v>6</x:v>
      </x:c>
      <x:c r="E171" s="214" t="n">
        <x:f>B171+'ROIC Cloud'!$D$40</x:f>
        <x:v>2039</x:v>
      </x:c>
      <x:c r="F171" s="170" t="str">
        <x:v>Opening NBV</x:v>
      </x:c>
      <x:c r="G171" s="169" t="n">
        <x:f>IF(G$4&gt;=$E171,$C171*MAX(0,1-(G$4-$E171)/$D171),0)</x:f>
        <x:v>0</x:v>
      </x:c>
      <x:c r="H171" s="169" t="n">
        <x:f>IF(H$4&gt;=$E171,$C171*MAX(0,1-(H$4-$E171)/$D171),0)</x:f>
        <x:v>0</x:v>
      </x:c>
      <x:c r="I171" s="169" t="n">
        <x:f>IF(I$4&gt;=$E171,$C171*MAX(0,1-(I$4-$E171)/$D171),0)</x:f>
        <x:v>0</x:v>
      </x:c>
      <x:c r="J171" s="169" t="n">
        <x:f>IF(J$4&gt;=$E171,$C171*MAX(0,1-(J$4-$E171)/$D171),0)</x:f>
        <x:v>0</x:v>
      </x:c>
      <x:c r="K171" s="169" t="n">
        <x:f>IF(K$4&gt;=$E171,$C171*MAX(0,1-(K$4-$E171)/$D171),0)</x:f>
        <x:v>0</x:v>
      </x:c>
      <x:c r="L171" s="169" t="n">
        <x:f>IF(L$4&gt;=$E171,$C171*MAX(0,1-(L$4-$E171)/$D171),0)</x:f>
        <x:v>0</x:v>
      </x:c>
      <x:c r="M171" s="169" t="n">
        <x:f>IF(M$4&gt;=$E171,$C171*MAX(0,1-(M$4-$E171)/$D171),0)</x:f>
        <x:v>0</x:v>
      </x:c>
      <x:c r="N171" s="169" t="n">
        <x:f>IF(N$4&gt;=$E171,$C171*MAX(0,1-(N$4-$E171)/$D171),0)</x:f>
        <x:v>0</x:v>
      </x:c>
      <x:c r="O171" s="169" t="n">
        <x:f>IF(O$4&gt;=$E171,$C171*MAX(0,1-(O$4-$E171)/$D171),0)</x:f>
        <x:v>0</x:v>
      </x:c>
      <x:c r="P171" s="169" t="n">
        <x:f>IF(P$4&gt;=$E171,$C171*MAX(0,1-(P$4-$E171)/$D171),0)</x:f>
        <x:v>0</x:v>
      </x:c>
      <x:c r="Q171" s="169" t="n">
        <x:f>IF(Q$4&gt;=$E171,$C171*MAX(0,1-(Q$4-$E171)/$D171),0)</x:f>
        <x:v>0</x:v>
      </x:c>
      <x:c r="R171" s="169" t="n">
        <x:f>IF(R$4&gt;=$E171,$C171*MAX(0,1-(R$4-$E171)/$D171),0)</x:f>
        <x:v>0</x:v>
      </x:c>
      <x:c r="S171" s="169" t="n">
        <x:f>IF(S$4&gt;=$E171,$C171*MAX(0,1-(S$4-$E171)/$D171),0)</x:f>
        <x:v>0</x:v>
      </x:c>
      <x:c r="T171" s="169" t="n">
        <x:f>IF(T$4&gt;=$E171,$C171*MAX(0,1-(T$4-$E171)/$D171),0)</x:f>
        <x:v>0</x:v>
      </x:c>
      <x:c r="U171" s="169" t="n">
        <x:f>IF(U$4&gt;=$E171,$C171*MAX(0,1-(U$4-$E171)/$D171),0)</x:f>
        <x:v>0</x:v>
      </x:c>
      <x:c r="V171" s="169" t="n">
        <x:f>IF(V$4&gt;=$E171,$C171*MAX(0,1-(V$4-$E171)/$D171),0)</x:f>
        <x:v>0</x:v>
      </x:c>
      <x:c r="W171" s="169" t="n">
        <x:f>IF(W$4&gt;=$E171,$C171*MAX(0,1-(W$4-$E171)/$D171),0)</x:f>
        <x:v>821308.4216353636</x:v>
      </x:c>
      <x:c r="X171" s="169" t="n">
        <x:f>IF(X$4&gt;=$E171,$C171*MAX(0,1-(X$4-$E171)/$D171),0)</x:f>
        <x:v>684423.6846961364</x:v>
      </x:c>
      <x:c r="Y171" s="169" t="n">
        <x:f>IF(Y$4&gt;=$E171,$C171*MAX(0,1-(Y$4-$E171)/$D171),0)</x:f>
        <x:v>547538.9477569092</x:v>
      </x:c>
      <x:c r="Z171" s="169" t="n">
        <x:f>IF(Z$4&gt;=$E171,$C171*MAX(0,1-(Z$4-$E171)/$D171),0)</x:f>
        <x:v>410654.2108176818</x:v>
      </x:c>
      <x:c r="AA171" s="169" t="n">
        <x:f>IF(AA$4&gt;=$E171,$C171*MAX(0,1-(AA$4-$E171)/$D171),0)</x:f>
        <x:v>273769.4738784546</x:v>
      </x:c>
      <x:c r="AB171" s="169" t="n">
        <x:f>IF(AB$4&gt;=$E171,$C171*MAX(0,1-(AB$4-$E171)/$D171),0)</x:f>
        <x:v>136884.73693922724</x:v>
      </x:c>
      <x:c r="AC171" s="169" t="n">
        <x:f>IF(AC$4&gt;=$E171,$C171*MAX(0,1-(AC$4-$E171)/$D171),0)</x:f>
        <x:v>0</x:v>
      </x:c>
    </x:row>
    <x:row r="172" ht="20" customHeight="1">
      <x:c r="A172" s="170" t="str">
        <x:v>Networking / CPU</x:v>
      </x:c>
      <x:c r="B172" s="214" t="n">
        <x:v>2037</x:v>
      </x:c>
      <x:c r="C172" s="170" t="n">
        <x:f>'ROIC Cloud'!R$15*'ROIC Cloud'!$D$46</x:f>
        <x:v>821308.4216353636</x:v>
      </x:c>
      <x:c r="D172" s="214" t="n">
        <x:f>'ROIC Cloud'!$D$42</x:f>
        <x:v>6</x:v>
      </x:c>
      <x:c r="E172" s="214" t="n">
        <x:f>B172+'ROIC Cloud'!$D$40</x:f>
        <x:v>2039</x:v>
      </x:c>
      <x:c r="F172" s="170" t="str">
        <x:v>Depreciation</x:v>
      </x:c>
      <x:c r="G172" s="169" t="n">
        <x:f>IF(G$4&gt;=$E171,MIN($C171/$D171,G171),0)</x:f>
        <x:v>0</x:v>
      </x:c>
      <x:c r="H172" s="169" t="n">
        <x:f>IF(H$4&gt;=$E171,MIN($C171/$D171,H171),0)</x:f>
        <x:v>0</x:v>
      </x:c>
      <x:c r="I172" s="169" t="n">
        <x:f>IF(I$4&gt;=$E171,MIN($C171/$D171,I171),0)</x:f>
        <x:v>0</x:v>
      </x:c>
      <x:c r="J172" s="169" t="n">
        <x:f>IF(J$4&gt;=$E171,MIN($C171/$D171,J171),0)</x:f>
        <x:v>0</x:v>
      </x:c>
      <x:c r="K172" s="169" t="n">
        <x:f>IF(K$4&gt;=$E171,MIN($C171/$D171,K171),0)</x:f>
        <x:v>0</x:v>
      </x:c>
      <x:c r="L172" s="169" t="n">
        <x:f>IF(L$4&gt;=$E171,MIN($C171/$D171,L171),0)</x:f>
        <x:v>0</x:v>
      </x:c>
      <x:c r="M172" s="169" t="n">
        <x:f>IF(M$4&gt;=$E171,MIN($C171/$D171,M171),0)</x:f>
        <x:v>0</x:v>
      </x:c>
      <x:c r="N172" s="169" t="n">
        <x:f>IF(N$4&gt;=$E171,MIN($C171/$D171,N171),0)</x:f>
        <x:v>0</x:v>
      </x:c>
      <x:c r="O172" s="169" t="n">
        <x:f>IF(O$4&gt;=$E171,MIN($C171/$D171,O171),0)</x:f>
        <x:v>0</x:v>
      </x:c>
      <x:c r="P172" s="169" t="n">
        <x:f>IF(P$4&gt;=$E171,MIN($C171/$D171,P171),0)</x:f>
        <x:v>0</x:v>
      </x:c>
      <x:c r="Q172" s="169" t="n">
        <x:f>IF(Q$4&gt;=$E171,MIN($C171/$D171,Q171),0)</x:f>
        <x:v>0</x:v>
      </x:c>
      <x:c r="R172" s="169" t="n">
        <x:f>IF(R$4&gt;=$E171,MIN($C171/$D171,R171),0)</x:f>
        <x:v>0</x:v>
      </x:c>
      <x:c r="S172" s="169" t="n">
        <x:f>IF(S$4&gt;=$E171,MIN($C171/$D171,S171),0)</x:f>
        <x:v>0</x:v>
      </x:c>
      <x:c r="T172" s="169" t="n">
        <x:f>IF(T$4&gt;=$E171,MIN($C171/$D171,T171),0)</x:f>
        <x:v>0</x:v>
      </x:c>
      <x:c r="U172" s="169" t="n">
        <x:f>IF(U$4&gt;=$E171,MIN($C171/$D171,U171),0)</x:f>
        <x:v>0</x:v>
      </x:c>
      <x:c r="V172" s="169" t="n">
        <x:f>IF(V$4&gt;=$E171,MIN($C171/$D171,V171),0)</x:f>
        <x:v>0</x:v>
      </x:c>
      <x:c r="W172" s="169" t="n">
        <x:f>IF(W$4&gt;=$E171,MIN($C171/$D171,W171),0)</x:f>
        <x:v>136884.73693922727</x:v>
      </x:c>
      <x:c r="X172" s="169" t="n">
        <x:f>IF(X$4&gt;=$E171,MIN($C171/$D171,X171),0)</x:f>
        <x:v>136884.73693922727</x:v>
      </x:c>
      <x:c r="Y172" s="169" t="n">
        <x:f>IF(Y$4&gt;=$E171,MIN($C171/$D171,Y171),0)</x:f>
        <x:v>136884.73693922727</x:v>
      </x:c>
      <x:c r="Z172" s="169" t="n">
        <x:f>IF(Z$4&gt;=$E171,MIN($C171/$D171,Z171),0)</x:f>
        <x:v>136884.73693922727</x:v>
      </x:c>
      <x:c r="AA172" s="169" t="n">
        <x:f>IF(AA$4&gt;=$E171,MIN($C171/$D171,AA171),0)</x:f>
        <x:v>136884.73693922727</x:v>
      </x:c>
      <x:c r="AB172" s="169" t="n">
        <x:f>IF(AB$4&gt;=$E171,MIN($C171/$D171,AB171),0)</x:f>
        <x:v>136884.73693922724</x:v>
      </x:c>
      <x:c r="AC172" s="169" t="n">
        <x:f>IF(AC$4&gt;=$E171,MIN($C171/$D171,AC171),0)</x:f>
        <x:v>0</x:v>
      </x:c>
    </x:row>
    <x:row r="173" ht="20" customHeight="1">
      <x:c r="A173" s="170" t="str">
        <x:v>Networking / CPU</x:v>
      </x:c>
      <x:c r="B173" s="214" t="n">
        <x:v>2037</x:v>
      </x:c>
      <x:c r="C173" s="170" t="n">
        <x:f>'ROIC Cloud'!R$15*'ROIC Cloud'!$D$46</x:f>
        <x:v>821308.4216353636</x:v>
      </x:c>
      <x:c r="D173" s="214" t="n">
        <x:f>'ROIC Cloud'!$D$42</x:f>
        <x:v>6</x:v>
      </x:c>
      <x:c r="E173" s="214" t="n">
        <x:f>B173+'ROIC Cloud'!$D$40</x:f>
        <x:v>2039</x:v>
      </x:c>
      <x:c r="F173" s="170" t="str">
        <x:v>Closing NBV</x:v>
      </x:c>
      <x:c r="G173" s="169" t="n">
        <x:f>MAX(0,G171-G172)</x:f>
        <x:v>0</x:v>
      </x:c>
      <x:c r="H173" s="169" t="n">
        <x:f>MAX(0,H171-H172)</x:f>
        <x:v>0</x:v>
      </x:c>
      <x:c r="I173" s="169" t="n">
        <x:f>MAX(0,I171-I172)</x:f>
        <x:v>0</x:v>
      </x:c>
      <x:c r="J173" s="169" t="n">
        <x:f>MAX(0,J171-J172)</x:f>
        <x:v>0</x:v>
      </x:c>
      <x:c r="K173" s="169" t="n">
        <x:f>MAX(0,K171-K172)</x:f>
        <x:v>0</x:v>
      </x:c>
      <x:c r="L173" s="169" t="n">
        <x:f>MAX(0,L171-L172)</x:f>
        <x:v>0</x:v>
      </x:c>
      <x:c r="M173" s="169" t="n">
        <x:f>MAX(0,M171-M172)</x:f>
        <x:v>0</x:v>
      </x:c>
      <x:c r="N173" s="169" t="n">
        <x:f>MAX(0,N171-N172)</x:f>
        <x:v>0</x:v>
      </x:c>
      <x:c r="O173" s="169" t="n">
        <x:f>MAX(0,O171-O172)</x:f>
        <x:v>0</x:v>
      </x:c>
      <x:c r="P173" s="169" t="n">
        <x:f>MAX(0,P171-P172)</x:f>
        <x:v>0</x:v>
      </x:c>
      <x:c r="Q173" s="169" t="n">
        <x:f>MAX(0,Q171-Q172)</x:f>
        <x:v>0</x:v>
      </x:c>
      <x:c r="R173" s="169" t="n">
        <x:f>MAX(0,R171-R172)</x:f>
        <x:v>0</x:v>
      </x:c>
      <x:c r="S173" s="169" t="n">
        <x:f>MAX(0,S171-S172)</x:f>
        <x:v>0</x:v>
      </x:c>
      <x:c r="T173" s="169" t="n">
        <x:f>MAX(0,T171-T172)</x:f>
        <x:v>0</x:v>
      </x:c>
      <x:c r="U173" s="169" t="n">
        <x:f>MAX(0,U171-U172)</x:f>
        <x:v>0</x:v>
      </x:c>
      <x:c r="V173" s="169" t="n">
        <x:f>MAX(0,V171-V172)</x:f>
        <x:v>0</x:v>
      </x:c>
      <x:c r="W173" s="169" t="n">
        <x:f>MAX(0,W171-W172)</x:f>
        <x:v>684423.6846961363</x:v>
      </x:c>
      <x:c r="X173" s="169" t="n">
        <x:f>MAX(0,X171-X172)</x:f>
        <x:v>547538.9477569091</x:v>
      </x:c>
      <x:c r="Y173" s="169" t="n">
        <x:f>MAX(0,Y171-Y172)</x:f>
        <x:v>410654.2108176819</x:v>
      </x:c>
      <x:c r="Z173" s="169" t="n">
        <x:f>MAX(0,Z171-Z172)</x:f>
        <x:v>273769.47387845453</x:v>
      </x:c>
      <x:c r="AA173" s="169" t="n">
        <x:f>MAX(0,AA171-AA172)</x:f>
        <x:v>136884.73693922732</x:v>
      </x:c>
      <x:c r="AB173" s="169" t="n">
        <x:f>MAX(0,AB171-AB172)</x:f>
        <x:v>0</x:v>
      </x:c>
      <x:c r="AC173" s="169" t="n">
        <x:f>MAX(0,AC171-AC172)</x:f>
        <x:v>0</x:v>
      </x:c>
    </x:row>
    <x:row r="174" ht="20" customHeight="1">
      <x:c r="A174" s="170" t="str">
        <x:v>Networking / CPU</x:v>
      </x:c>
      <x:c r="B174" s="214" t="n">
        <x:v>2037</x:v>
      </x:c>
      <x:c r="C174" s="170" t="n">
        <x:f>'ROIC Cloud'!R$15*'ROIC Cloud'!$D$46</x:f>
        <x:v>821308.4216353636</x:v>
      </x:c>
      <x:c r="D174" s="214" t="n">
        <x:f>'ROIC Cloud'!$D$42</x:f>
        <x:v>6</x:v>
      </x:c>
      <x:c r="E174" s="214" t="n">
        <x:f>B174+'ROIC Cloud'!$D$40</x:f>
        <x:v>2039</x:v>
      </x:c>
      <x:c r="F174" s="170" t="str">
        <x:v>Average NBV</x:v>
      </x:c>
      <x:c r="G174" s="169" t="n">
        <x:f>(G171+G173)/2</x:f>
        <x:v>0</x:v>
      </x:c>
      <x:c r="H174" s="169" t="n">
        <x:f>(H171+H173)/2</x:f>
        <x:v>0</x:v>
      </x:c>
      <x:c r="I174" s="169" t="n">
        <x:f>(I171+I173)/2</x:f>
        <x:v>0</x:v>
      </x:c>
      <x:c r="J174" s="169" t="n">
        <x:f>(J171+J173)/2</x:f>
        <x:v>0</x:v>
      </x:c>
      <x:c r="K174" s="169" t="n">
        <x:f>(K171+K173)/2</x:f>
        <x:v>0</x:v>
      </x:c>
      <x:c r="L174" s="169" t="n">
        <x:f>(L171+L173)/2</x:f>
        <x:v>0</x:v>
      </x:c>
      <x:c r="M174" s="169" t="n">
        <x:f>(M171+M173)/2</x:f>
        <x:v>0</x:v>
      </x:c>
      <x:c r="N174" s="169" t="n">
        <x:f>(N171+N173)/2</x:f>
        <x:v>0</x:v>
      </x:c>
      <x:c r="O174" s="169" t="n">
        <x:f>(O171+O173)/2</x:f>
        <x:v>0</x:v>
      </x:c>
      <x:c r="P174" s="169" t="n">
        <x:f>(P171+P173)/2</x:f>
        <x:v>0</x:v>
      </x:c>
      <x:c r="Q174" s="169" t="n">
        <x:f>(Q171+Q173)/2</x:f>
        <x:v>0</x:v>
      </x:c>
      <x:c r="R174" s="169" t="n">
        <x:f>(R171+R173)/2</x:f>
        <x:v>0</x:v>
      </x:c>
      <x:c r="S174" s="169" t="n">
        <x:f>(S171+S173)/2</x:f>
        <x:v>0</x:v>
      </x:c>
      <x:c r="T174" s="169" t="n">
        <x:f>(T171+T173)/2</x:f>
        <x:v>0</x:v>
      </x:c>
      <x:c r="U174" s="169" t="n">
        <x:f>(U171+U173)/2</x:f>
        <x:v>0</x:v>
      </x:c>
      <x:c r="V174" s="169" t="n">
        <x:f>(V171+V173)/2</x:f>
        <x:v>0</x:v>
      </x:c>
      <x:c r="W174" s="169" t="n">
        <x:f>(W171+W173)/2</x:f>
        <x:v>752866.0531657499</x:v>
      </x:c>
      <x:c r="X174" s="169" t="n">
        <x:f>(X171+X173)/2</x:f>
        <x:v>615981.3162265227</x:v>
      </x:c>
      <x:c r="Y174" s="169" t="n">
        <x:f>(Y171+Y173)/2</x:f>
        <x:v>479096.5792872956</x:v>
      </x:c>
      <x:c r="Z174" s="169" t="n">
        <x:f>(Z171+Z173)/2</x:f>
        <x:v>342211.84234806814</x:v>
      </x:c>
      <x:c r="AA174" s="169" t="n">
        <x:f>(AA171+AA173)/2</x:f>
        <x:v>205327.10540884096</x:v>
      </x:c>
      <x:c r="AB174" s="169" t="n">
        <x:f>(AB171+AB173)/2</x:f>
        <x:v>68442.36846961362</x:v>
      </x:c>
      <x:c r="AC174" s="169" t="n">
        <x:f>(AC171+AC173)/2</x:f>
        <x:v>0</x:v>
      </x:c>
    </x:row>
    <x:row r="175" ht="20" customHeight="1">
      <x:c r="A175" s="170" t="str">
        <x:v>Networking / CPU</x:v>
      </x:c>
      <x:c r="B175" s="214" t="n">
        <x:v>2038</x:v>
      </x:c>
      <x:c r="C175" s="170" t="n">
        <x:f>'ROIC Cloud'!S$15*'ROIC Cloud'!$D$46</x:f>
        <x:v>887013.0953661929</x:v>
      </x:c>
      <x:c r="D175" s="214" t="n">
        <x:f>'ROIC Cloud'!$D$42</x:f>
        <x:v>6</x:v>
      </x:c>
      <x:c r="E175" s="214" t="n">
        <x:f>B175+'ROIC Cloud'!$D$40</x:f>
        <x:v>2040</x:v>
      </x:c>
      <x:c r="F175" s="170" t="str">
        <x:v>Opening NBV</x:v>
      </x:c>
      <x:c r="G175" s="169" t="n">
        <x:f>IF(G$4&gt;=$E175,$C175*MAX(0,1-(G$4-$E175)/$D175),0)</x:f>
        <x:v>0</x:v>
      </x:c>
      <x:c r="H175" s="169" t="n">
        <x:f>IF(H$4&gt;=$E175,$C175*MAX(0,1-(H$4-$E175)/$D175),0)</x:f>
        <x:v>0</x:v>
      </x:c>
      <x:c r="I175" s="169" t="n">
        <x:f>IF(I$4&gt;=$E175,$C175*MAX(0,1-(I$4-$E175)/$D175),0)</x:f>
        <x:v>0</x:v>
      </x:c>
      <x:c r="J175" s="169" t="n">
        <x:f>IF(J$4&gt;=$E175,$C175*MAX(0,1-(J$4-$E175)/$D175),0)</x:f>
        <x:v>0</x:v>
      </x:c>
      <x:c r="K175" s="169" t="n">
        <x:f>IF(K$4&gt;=$E175,$C175*MAX(0,1-(K$4-$E175)/$D175),0)</x:f>
        <x:v>0</x:v>
      </x:c>
      <x:c r="L175" s="169" t="n">
        <x:f>IF(L$4&gt;=$E175,$C175*MAX(0,1-(L$4-$E175)/$D175),0)</x:f>
        <x:v>0</x:v>
      </x:c>
      <x:c r="M175" s="169" t="n">
        <x:f>IF(M$4&gt;=$E175,$C175*MAX(0,1-(M$4-$E175)/$D175),0)</x:f>
        <x:v>0</x:v>
      </x:c>
      <x:c r="N175" s="169" t="n">
        <x:f>IF(N$4&gt;=$E175,$C175*MAX(0,1-(N$4-$E175)/$D175),0)</x:f>
        <x:v>0</x:v>
      </x:c>
      <x:c r="O175" s="169" t="n">
        <x:f>IF(O$4&gt;=$E175,$C175*MAX(0,1-(O$4-$E175)/$D175),0)</x:f>
        <x:v>0</x:v>
      </x:c>
      <x:c r="P175" s="169" t="n">
        <x:f>IF(P$4&gt;=$E175,$C175*MAX(0,1-(P$4-$E175)/$D175),0)</x:f>
        <x:v>0</x:v>
      </x:c>
      <x:c r="Q175" s="169" t="n">
        <x:f>IF(Q$4&gt;=$E175,$C175*MAX(0,1-(Q$4-$E175)/$D175),0)</x:f>
        <x:v>0</x:v>
      </x:c>
      <x:c r="R175" s="169" t="n">
        <x:f>IF(R$4&gt;=$E175,$C175*MAX(0,1-(R$4-$E175)/$D175),0)</x:f>
        <x:v>0</x:v>
      </x:c>
      <x:c r="S175" s="169" t="n">
        <x:f>IF(S$4&gt;=$E175,$C175*MAX(0,1-(S$4-$E175)/$D175),0)</x:f>
        <x:v>0</x:v>
      </x:c>
      <x:c r="T175" s="169" t="n">
        <x:f>IF(T$4&gt;=$E175,$C175*MAX(0,1-(T$4-$E175)/$D175),0)</x:f>
        <x:v>0</x:v>
      </x:c>
      <x:c r="U175" s="169" t="n">
        <x:f>IF(U$4&gt;=$E175,$C175*MAX(0,1-(U$4-$E175)/$D175),0)</x:f>
        <x:v>0</x:v>
      </x:c>
      <x:c r="V175" s="169" t="n">
        <x:f>IF(V$4&gt;=$E175,$C175*MAX(0,1-(V$4-$E175)/$D175),0)</x:f>
        <x:v>0</x:v>
      </x:c>
      <x:c r="W175" s="169" t="n">
        <x:f>IF(W$4&gt;=$E175,$C175*MAX(0,1-(W$4-$E175)/$D175),0)</x:f>
        <x:v>0</x:v>
      </x:c>
      <x:c r="X175" s="169" t="n">
        <x:f>IF(X$4&gt;=$E175,$C175*MAX(0,1-(X$4-$E175)/$D175),0)</x:f>
        <x:v>887013.0953661929</x:v>
      </x:c>
      <x:c r="Y175" s="169" t="n">
        <x:f>IF(Y$4&gt;=$E175,$C175*MAX(0,1-(Y$4-$E175)/$D175),0)</x:f>
        <x:v>739177.5794718274</x:v>
      </x:c>
      <x:c r="Z175" s="169" t="n">
        <x:f>IF(Z$4&gt;=$E175,$C175*MAX(0,1-(Z$4-$E175)/$D175),0)</x:f>
        <x:v>591342.063577462</x:v>
      </x:c>
      <x:c r="AA175" s="169" t="n">
        <x:f>IF(AA$4&gt;=$E175,$C175*MAX(0,1-(AA$4-$E175)/$D175),0)</x:f>
        <x:v>443506.54768309643</x:v>
      </x:c>
      <x:c r="AB175" s="169" t="n">
        <x:f>IF(AB$4&gt;=$E175,$C175*MAX(0,1-(AB$4-$E175)/$D175),0)</x:f>
        <x:v>295671.031788731</x:v>
      </x:c>
      <x:c r="AC175" s="169" t="n">
        <x:f>IF(AC$4&gt;=$E175,$C175*MAX(0,1-(AC$4-$E175)/$D175),0)</x:f>
        <x:v>147835.51589436544</x:v>
      </x:c>
    </x:row>
    <x:row r="176" ht="20" customHeight="1">
      <x:c r="A176" s="170" t="str">
        <x:v>Networking / CPU</x:v>
      </x:c>
      <x:c r="B176" s="214" t="n">
        <x:v>2038</x:v>
      </x:c>
      <x:c r="C176" s="170" t="n">
        <x:f>'ROIC Cloud'!S$15*'ROIC Cloud'!$D$46</x:f>
        <x:v>887013.0953661929</x:v>
      </x:c>
      <x:c r="D176" s="214" t="n">
        <x:f>'ROIC Cloud'!$D$42</x:f>
        <x:v>6</x:v>
      </x:c>
      <x:c r="E176" s="214" t="n">
        <x:f>B176+'ROIC Cloud'!$D$40</x:f>
        <x:v>2040</x:v>
      </x:c>
      <x:c r="F176" s="170" t="str">
        <x:v>Depreciation</x:v>
      </x:c>
      <x:c r="G176" s="169" t="n">
        <x:f>IF(G$4&gt;=$E175,MIN($C175/$D175,G175),0)</x:f>
        <x:v>0</x:v>
      </x:c>
      <x:c r="H176" s="169" t="n">
        <x:f>IF(H$4&gt;=$E175,MIN($C175/$D175,H175),0)</x:f>
        <x:v>0</x:v>
      </x:c>
      <x:c r="I176" s="169" t="n">
        <x:f>IF(I$4&gt;=$E175,MIN($C175/$D175,I175),0)</x:f>
        <x:v>0</x:v>
      </x:c>
      <x:c r="J176" s="169" t="n">
        <x:f>IF(J$4&gt;=$E175,MIN($C175/$D175,J175),0)</x:f>
        <x:v>0</x:v>
      </x:c>
      <x:c r="K176" s="169" t="n">
        <x:f>IF(K$4&gt;=$E175,MIN($C175/$D175,K175),0)</x:f>
        <x:v>0</x:v>
      </x:c>
      <x:c r="L176" s="169" t="n">
        <x:f>IF(L$4&gt;=$E175,MIN($C175/$D175,L175),0)</x:f>
        <x:v>0</x:v>
      </x:c>
      <x:c r="M176" s="169" t="n">
        <x:f>IF(M$4&gt;=$E175,MIN($C175/$D175,M175),0)</x:f>
        <x:v>0</x:v>
      </x:c>
      <x:c r="N176" s="169" t="n">
        <x:f>IF(N$4&gt;=$E175,MIN($C175/$D175,N175),0)</x:f>
        <x:v>0</x:v>
      </x:c>
      <x:c r="O176" s="169" t="n">
        <x:f>IF(O$4&gt;=$E175,MIN($C175/$D175,O175),0)</x:f>
        <x:v>0</x:v>
      </x:c>
      <x:c r="P176" s="169" t="n">
        <x:f>IF(P$4&gt;=$E175,MIN($C175/$D175,P175),0)</x:f>
        <x:v>0</x:v>
      </x:c>
      <x:c r="Q176" s="169" t="n">
        <x:f>IF(Q$4&gt;=$E175,MIN($C175/$D175,Q175),0)</x:f>
        <x:v>0</x:v>
      </x:c>
      <x:c r="R176" s="169" t="n">
        <x:f>IF(R$4&gt;=$E175,MIN($C175/$D175,R175),0)</x:f>
        <x:v>0</x:v>
      </x:c>
      <x:c r="S176" s="169" t="n">
        <x:f>IF(S$4&gt;=$E175,MIN($C175/$D175,S175),0)</x:f>
        <x:v>0</x:v>
      </x:c>
      <x:c r="T176" s="169" t="n">
        <x:f>IF(T$4&gt;=$E175,MIN($C175/$D175,T175),0)</x:f>
        <x:v>0</x:v>
      </x:c>
      <x:c r="U176" s="169" t="n">
        <x:f>IF(U$4&gt;=$E175,MIN($C175/$D175,U175),0)</x:f>
        <x:v>0</x:v>
      </x:c>
      <x:c r="V176" s="169" t="n">
        <x:f>IF(V$4&gt;=$E175,MIN($C175/$D175,V175),0)</x:f>
        <x:v>0</x:v>
      </x:c>
      <x:c r="W176" s="169" t="n">
        <x:f>IF(W$4&gt;=$E175,MIN($C175/$D175,W175),0)</x:f>
        <x:v>0</x:v>
      </x:c>
      <x:c r="X176" s="169" t="n">
        <x:f>IF(X$4&gt;=$E175,MIN($C175/$D175,X175),0)</x:f>
        <x:v>147835.51589436547</x:v>
      </x:c>
      <x:c r="Y176" s="169" t="n">
        <x:f>IF(Y$4&gt;=$E175,MIN($C175/$D175,Y175),0)</x:f>
        <x:v>147835.51589436547</x:v>
      </x:c>
      <x:c r="Z176" s="169" t="n">
        <x:f>IF(Z$4&gt;=$E175,MIN($C175/$D175,Z175),0)</x:f>
        <x:v>147835.51589436547</x:v>
      </x:c>
      <x:c r="AA176" s="169" t="n">
        <x:f>IF(AA$4&gt;=$E175,MIN($C175/$D175,AA175),0)</x:f>
        <x:v>147835.51589436547</x:v>
      </x:c>
      <x:c r="AB176" s="169" t="n">
        <x:f>IF(AB$4&gt;=$E175,MIN($C175/$D175,AB175),0)</x:f>
        <x:v>147835.51589436547</x:v>
      </x:c>
      <x:c r="AC176" s="169" t="n">
        <x:f>IF(AC$4&gt;=$E175,MIN($C175/$D175,AC175),0)</x:f>
        <x:v>147835.51589436544</x:v>
      </x:c>
    </x:row>
    <x:row r="177" ht="20" customHeight="1">
      <x:c r="A177" s="170" t="str">
        <x:v>Networking / CPU</x:v>
      </x:c>
      <x:c r="B177" s="214" t="n">
        <x:v>2038</x:v>
      </x:c>
      <x:c r="C177" s="170" t="n">
        <x:f>'ROIC Cloud'!S$15*'ROIC Cloud'!$D$46</x:f>
        <x:v>887013.0953661929</x:v>
      </x:c>
      <x:c r="D177" s="214" t="n">
        <x:f>'ROIC Cloud'!$D$42</x:f>
        <x:v>6</x:v>
      </x:c>
      <x:c r="E177" s="214" t="n">
        <x:f>B177+'ROIC Cloud'!$D$40</x:f>
        <x:v>2040</x:v>
      </x:c>
      <x:c r="F177" s="170" t="str">
        <x:v>Closing NBV</x:v>
      </x:c>
      <x:c r="G177" s="169" t="n">
        <x:f>MAX(0,G175-G176)</x:f>
        <x:v>0</x:v>
      </x:c>
      <x:c r="H177" s="169" t="n">
        <x:f>MAX(0,H175-H176)</x:f>
        <x:v>0</x:v>
      </x:c>
      <x:c r="I177" s="169" t="n">
        <x:f>MAX(0,I175-I176)</x:f>
        <x:v>0</x:v>
      </x:c>
      <x:c r="J177" s="169" t="n">
        <x:f>MAX(0,J175-J176)</x:f>
        <x:v>0</x:v>
      </x:c>
      <x:c r="K177" s="169" t="n">
        <x:f>MAX(0,K175-K176)</x:f>
        <x:v>0</x:v>
      </x:c>
      <x:c r="L177" s="169" t="n">
        <x:f>MAX(0,L175-L176)</x:f>
        <x:v>0</x:v>
      </x:c>
      <x:c r="M177" s="169" t="n">
        <x:f>MAX(0,M175-M176)</x:f>
        <x:v>0</x:v>
      </x:c>
      <x:c r="N177" s="169" t="n">
        <x:f>MAX(0,N175-N176)</x:f>
        <x:v>0</x:v>
      </x:c>
      <x:c r="O177" s="169" t="n">
        <x:f>MAX(0,O175-O176)</x:f>
        <x:v>0</x:v>
      </x:c>
      <x:c r="P177" s="169" t="n">
        <x:f>MAX(0,P175-P176)</x:f>
        <x:v>0</x:v>
      </x:c>
      <x:c r="Q177" s="169" t="n">
        <x:f>MAX(0,Q175-Q176)</x:f>
        <x:v>0</x:v>
      </x:c>
      <x:c r="R177" s="169" t="n">
        <x:f>MAX(0,R175-R176)</x:f>
        <x:v>0</x:v>
      </x:c>
      <x:c r="S177" s="169" t="n">
        <x:f>MAX(0,S175-S176)</x:f>
        <x:v>0</x:v>
      </x:c>
      <x:c r="T177" s="169" t="n">
        <x:f>MAX(0,T175-T176)</x:f>
        <x:v>0</x:v>
      </x:c>
      <x:c r="U177" s="169" t="n">
        <x:f>MAX(0,U175-U176)</x:f>
        <x:v>0</x:v>
      </x:c>
      <x:c r="V177" s="169" t="n">
        <x:f>MAX(0,V175-V176)</x:f>
        <x:v>0</x:v>
      </x:c>
      <x:c r="W177" s="169" t="n">
        <x:f>MAX(0,W175-W176)</x:f>
        <x:v>0</x:v>
      </x:c>
      <x:c r="X177" s="169" t="n">
        <x:f>MAX(0,X175-X176)</x:f>
        <x:v>739177.5794718274</x:v>
      </x:c>
      <x:c r="Y177" s="169" t="n">
        <x:f>MAX(0,Y175-Y176)</x:f>
        <x:v>591342.0635774619</x:v>
      </x:c>
      <x:c r="Z177" s="169" t="n">
        <x:f>MAX(0,Z175-Z176)</x:f>
        <x:v>443506.5476830965</x:v>
      </x:c>
      <x:c r="AA177" s="169" t="n">
        <x:f>MAX(0,AA175-AA176)</x:f>
        <x:v>295671.031788731</x:v>
      </x:c>
      <x:c r="AB177" s="169" t="n">
        <x:f>MAX(0,AB175-AB176)</x:f>
        <x:v>147835.51589436553</x:v>
      </x:c>
      <x:c r="AC177" s="169" t="n">
        <x:f>MAX(0,AC175-AC176)</x:f>
        <x:v>0</x:v>
      </x:c>
    </x:row>
    <x:row r="178" ht="20" customHeight="1">
      <x:c r="A178" s="170" t="str">
        <x:v>Networking / CPU</x:v>
      </x:c>
      <x:c r="B178" s="214" t="n">
        <x:v>2038</x:v>
      </x:c>
      <x:c r="C178" s="170" t="n">
        <x:f>'ROIC Cloud'!S$15*'ROIC Cloud'!$D$46</x:f>
        <x:v>887013.0953661929</x:v>
      </x:c>
      <x:c r="D178" s="214" t="n">
        <x:f>'ROIC Cloud'!$D$42</x:f>
        <x:v>6</x:v>
      </x:c>
      <x:c r="E178" s="214" t="n">
        <x:f>B178+'ROIC Cloud'!$D$40</x:f>
        <x:v>2040</x:v>
      </x:c>
      <x:c r="F178" s="170" t="str">
        <x:v>Average NBV</x:v>
      </x:c>
      <x:c r="G178" s="169" t="n">
        <x:f>(G175+G177)/2</x:f>
        <x:v>0</x:v>
      </x:c>
      <x:c r="H178" s="169" t="n">
        <x:f>(H175+H177)/2</x:f>
        <x:v>0</x:v>
      </x:c>
      <x:c r="I178" s="169" t="n">
        <x:f>(I175+I177)/2</x:f>
        <x:v>0</x:v>
      </x:c>
      <x:c r="J178" s="169" t="n">
        <x:f>(J175+J177)/2</x:f>
        <x:v>0</x:v>
      </x:c>
      <x:c r="K178" s="169" t="n">
        <x:f>(K175+K177)/2</x:f>
        <x:v>0</x:v>
      </x:c>
      <x:c r="L178" s="169" t="n">
        <x:f>(L175+L177)/2</x:f>
        <x:v>0</x:v>
      </x:c>
      <x:c r="M178" s="169" t="n">
        <x:f>(M175+M177)/2</x:f>
        <x:v>0</x:v>
      </x:c>
      <x:c r="N178" s="169" t="n">
        <x:f>(N175+N177)/2</x:f>
        <x:v>0</x:v>
      </x:c>
      <x:c r="O178" s="169" t="n">
        <x:f>(O175+O177)/2</x:f>
        <x:v>0</x:v>
      </x:c>
      <x:c r="P178" s="169" t="n">
        <x:f>(P175+P177)/2</x:f>
        <x:v>0</x:v>
      </x:c>
      <x:c r="Q178" s="169" t="n">
        <x:f>(Q175+Q177)/2</x:f>
        <x:v>0</x:v>
      </x:c>
      <x:c r="R178" s="169" t="n">
        <x:f>(R175+R177)/2</x:f>
        <x:v>0</x:v>
      </x:c>
      <x:c r="S178" s="169" t="n">
        <x:f>(S175+S177)/2</x:f>
        <x:v>0</x:v>
      </x:c>
      <x:c r="T178" s="169" t="n">
        <x:f>(T175+T177)/2</x:f>
        <x:v>0</x:v>
      </x:c>
      <x:c r="U178" s="169" t="n">
        <x:f>(U175+U177)/2</x:f>
        <x:v>0</x:v>
      </x:c>
      <x:c r="V178" s="169" t="n">
        <x:f>(V175+V177)/2</x:f>
        <x:v>0</x:v>
      </x:c>
      <x:c r="W178" s="169" t="n">
        <x:f>(W175+W177)/2</x:f>
        <x:v>0</x:v>
      </x:c>
      <x:c r="X178" s="169" t="n">
        <x:f>(X175+X177)/2</x:f>
        <x:v>813095.3374190101</x:v>
      </x:c>
      <x:c r="Y178" s="169" t="n">
        <x:f>(Y175+Y177)/2</x:f>
        <x:v>665259.8215246446</x:v>
      </x:c>
      <x:c r="Z178" s="169" t="n">
        <x:f>(Z175+Z177)/2</x:f>
        <x:v>517424.30563027924</x:v>
      </x:c>
      <x:c r="AA178" s="169" t="n">
        <x:f>(AA175+AA177)/2</x:f>
        <x:v>369588.78973591374</x:v>
      </x:c>
      <x:c r="AB178" s="169" t="n">
        <x:f>(AB175+AB177)/2</x:f>
        <x:v>221753.27384154825</x:v>
      </x:c>
      <x:c r="AC178" s="169" t="n">
        <x:f>(AC175+AC177)/2</x:f>
        <x:v>73917.75794718272</x:v>
      </x:c>
    </x:row>
    <x:row r="179" ht="20" customHeight="1">
      <x:c r="A179" s="170" t="str">
        <x:v>Networking / CPU</x:v>
      </x:c>
      <x:c r="B179" s="214" t="n">
        <x:v>2039</x:v>
      </x:c>
      <x:c r="C179" s="170" t="n">
        <x:f>'ROIC Cloud'!T$15*'ROIC Cloud'!$D$46</x:f>
        <x:v>957974.1429954882</x:v>
      </x:c>
      <x:c r="D179" s="214" t="n">
        <x:f>'ROIC Cloud'!$D$42</x:f>
        <x:v>6</x:v>
      </x:c>
      <x:c r="E179" s="214" t="n">
        <x:f>B179+'ROIC Cloud'!$D$40</x:f>
        <x:v>2041</x:v>
      </x:c>
      <x:c r="F179" s="170" t="str">
        <x:v>Opening NBV</x:v>
      </x:c>
      <x:c r="G179" s="169" t="n">
        <x:f>IF(G$4&gt;=$E179,$C179*MAX(0,1-(G$4-$E179)/$D179),0)</x:f>
        <x:v>0</x:v>
      </x:c>
      <x:c r="H179" s="169" t="n">
        <x:f>IF(H$4&gt;=$E179,$C179*MAX(0,1-(H$4-$E179)/$D179),0)</x:f>
        <x:v>0</x:v>
      </x:c>
      <x:c r="I179" s="169" t="n">
        <x:f>IF(I$4&gt;=$E179,$C179*MAX(0,1-(I$4-$E179)/$D179),0)</x:f>
        <x:v>0</x:v>
      </x:c>
      <x:c r="J179" s="169" t="n">
        <x:f>IF(J$4&gt;=$E179,$C179*MAX(0,1-(J$4-$E179)/$D179),0)</x:f>
        <x:v>0</x:v>
      </x:c>
      <x:c r="K179" s="169" t="n">
        <x:f>IF(K$4&gt;=$E179,$C179*MAX(0,1-(K$4-$E179)/$D179),0)</x:f>
        <x:v>0</x:v>
      </x:c>
      <x:c r="L179" s="169" t="n">
        <x:f>IF(L$4&gt;=$E179,$C179*MAX(0,1-(L$4-$E179)/$D179),0)</x:f>
        <x:v>0</x:v>
      </x:c>
      <x:c r="M179" s="169" t="n">
        <x:f>IF(M$4&gt;=$E179,$C179*MAX(0,1-(M$4-$E179)/$D179),0)</x:f>
        <x:v>0</x:v>
      </x:c>
      <x:c r="N179" s="169" t="n">
        <x:f>IF(N$4&gt;=$E179,$C179*MAX(0,1-(N$4-$E179)/$D179),0)</x:f>
        <x:v>0</x:v>
      </x:c>
      <x:c r="O179" s="169" t="n">
        <x:f>IF(O$4&gt;=$E179,$C179*MAX(0,1-(O$4-$E179)/$D179),0)</x:f>
        <x:v>0</x:v>
      </x:c>
      <x:c r="P179" s="169" t="n">
        <x:f>IF(P$4&gt;=$E179,$C179*MAX(0,1-(P$4-$E179)/$D179),0)</x:f>
        <x:v>0</x:v>
      </x:c>
      <x:c r="Q179" s="169" t="n">
        <x:f>IF(Q$4&gt;=$E179,$C179*MAX(0,1-(Q$4-$E179)/$D179),0)</x:f>
        <x:v>0</x:v>
      </x:c>
      <x:c r="R179" s="169" t="n">
        <x:f>IF(R$4&gt;=$E179,$C179*MAX(0,1-(R$4-$E179)/$D179),0)</x:f>
        <x:v>0</x:v>
      </x:c>
      <x:c r="S179" s="169" t="n">
        <x:f>IF(S$4&gt;=$E179,$C179*MAX(0,1-(S$4-$E179)/$D179),0)</x:f>
        <x:v>0</x:v>
      </x:c>
      <x:c r="T179" s="169" t="n">
        <x:f>IF(T$4&gt;=$E179,$C179*MAX(0,1-(T$4-$E179)/$D179),0)</x:f>
        <x:v>0</x:v>
      </x:c>
      <x:c r="U179" s="169" t="n">
        <x:f>IF(U$4&gt;=$E179,$C179*MAX(0,1-(U$4-$E179)/$D179),0)</x:f>
        <x:v>0</x:v>
      </x:c>
      <x:c r="V179" s="169" t="n">
        <x:f>IF(V$4&gt;=$E179,$C179*MAX(0,1-(V$4-$E179)/$D179),0)</x:f>
        <x:v>0</x:v>
      </x:c>
      <x:c r="W179" s="169" t="n">
        <x:f>IF(W$4&gt;=$E179,$C179*MAX(0,1-(W$4-$E179)/$D179),0)</x:f>
        <x:v>0</x:v>
      </x:c>
      <x:c r="X179" s="169" t="n">
        <x:f>IF(X$4&gt;=$E179,$C179*MAX(0,1-(X$4-$E179)/$D179),0)</x:f>
        <x:v>0</x:v>
      </x:c>
      <x:c r="Y179" s="169" t="n">
        <x:f>IF(Y$4&gt;=$E179,$C179*MAX(0,1-(Y$4-$E179)/$D179),0)</x:f>
        <x:v>957974.1429954882</x:v>
      </x:c>
      <x:c r="Z179" s="169" t="n">
        <x:f>IF(Z$4&gt;=$E179,$C179*MAX(0,1-(Z$4-$E179)/$D179),0)</x:f>
        <x:v>798311.7858295735</x:v>
      </x:c>
      <x:c r="AA179" s="169" t="n">
        <x:f>IF(AA$4&gt;=$E179,$C179*MAX(0,1-(AA$4-$E179)/$D179),0)</x:f>
        <x:v>638649.4286636589</x:v>
      </x:c>
      <x:c r="AB179" s="169" t="n">
        <x:f>IF(AB$4&gt;=$E179,$C179*MAX(0,1-(AB$4-$E179)/$D179),0)</x:f>
        <x:v>478987.0714977441</x:v>
      </x:c>
      <x:c r="AC179" s="169" t="n">
        <x:f>IF(AC$4&gt;=$E179,$C179*MAX(0,1-(AC$4-$E179)/$D179),0)</x:f>
        <x:v>319324.71433182945</x:v>
      </x:c>
    </x:row>
    <x:row r="180" ht="20" customHeight="1">
      <x:c r="A180" s="170" t="str">
        <x:v>Networking / CPU</x:v>
      </x:c>
      <x:c r="B180" s="214" t="n">
        <x:v>2039</x:v>
      </x:c>
      <x:c r="C180" s="170" t="n">
        <x:f>'ROIC Cloud'!T$15*'ROIC Cloud'!$D$46</x:f>
        <x:v>957974.1429954882</x:v>
      </x:c>
      <x:c r="D180" s="214" t="n">
        <x:f>'ROIC Cloud'!$D$42</x:f>
        <x:v>6</x:v>
      </x:c>
      <x:c r="E180" s="214" t="n">
        <x:f>B180+'ROIC Cloud'!$D$40</x:f>
        <x:v>2041</x:v>
      </x:c>
      <x:c r="F180" s="170" t="str">
        <x:v>Depreciation</x:v>
      </x:c>
      <x:c r="G180" s="169" t="n">
        <x:f>IF(G$4&gt;=$E179,MIN($C179/$D179,G179),0)</x:f>
        <x:v>0</x:v>
      </x:c>
      <x:c r="H180" s="169" t="n">
        <x:f>IF(H$4&gt;=$E179,MIN($C179/$D179,H179),0)</x:f>
        <x:v>0</x:v>
      </x:c>
      <x:c r="I180" s="169" t="n">
        <x:f>IF(I$4&gt;=$E179,MIN($C179/$D179,I179),0)</x:f>
        <x:v>0</x:v>
      </x:c>
      <x:c r="J180" s="169" t="n">
        <x:f>IF(J$4&gt;=$E179,MIN($C179/$D179,J179),0)</x:f>
        <x:v>0</x:v>
      </x:c>
      <x:c r="K180" s="169" t="n">
        <x:f>IF(K$4&gt;=$E179,MIN($C179/$D179,K179),0)</x:f>
        <x:v>0</x:v>
      </x:c>
      <x:c r="L180" s="169" t="n">
        <x:f>IF(L$4&gt;=$E179,MIN($C179/$D179,L179),0)</x:f>
        <x:v>0</x:v>
      </x:c>
      <x:c r="M180" s="169" t="n">
        <x:f>IF(M$4&gt;=$E179,MIN($C179/$D179,M179),0)</x:f>
        <x:v>0</x:v>
      </x:c>
      <x:c r="N180" s="169" t="n">
        <x:f>IF(N$4&gt;=$E179,MIN($C179/$D179,N179),0)</x:f>
        <x:v>0</x:v>
      </x:c>
      <x:c r="O180" s="169" t="n">
        <x:f>IF(O$4&gt;=$E179,MIN($C179/$D179,O179),0)</x:f>
        <x:v>0</x:v>
      </x:c>
      <x:c r="P180" s="169" t="n">
        <x:f>IF(P$4&gt;=$E179,MIN($C179/$D179,P179),0)</x:f>
        <x:v>0</x:v>
      </x:c>
      <x:c r="Q180" s="169" t="n">
        <x:f>IF(Q$4&gt;=$E179,MIN($C179/$D179,Q179),0)</x:f>
        <x:v>0</x:v>
      </x:c>
      <x:c r="R180" s="169" t="n">
        <x:f>IF(R$4&gt;=$E179,MIN($C179/$D179,R179),0)</x:f>
        <x:v>0</x:v>
      </x:c>
      <x:c r="S180" s="169" t="n">
        <x:f>IF(S$4&gt;=$E179,MIN($C179/$D179,S179),0)</x:f>
        <x:v>0</x:v>
      </x:c>
      <x:c r="T180" s="169" t="n">
        <x:f>IF(T$4&gt;=$E179,MIN($C179/$D179,T179),0)</x:f>
        <x:v>0</x:v>
      </x:c>
      <x:c r="U180" s="169" t="n">
        <x:f>IF(U$4&gt;=$E179,MIN($C179/$D179,U179),0)</x:f>
        <x:v>0</x:v>
      </x:c>
      <x:c r="V180" s="169" t="n">
        <x:f>IF(V$4&gt;=$E179,MIN($C179/$D179,V179),0)</x:f>
        <x:v>0</x:v>
      </x:c>
      <x:c r="W180" s="169" t="n">
        <x:f>IF(W$4&gt;=$E179,MIN($C179/$D179,W179),0)</x:f>
        <x:v>0</x:v>
      </x:c>
      <x:c r="X180" s="169" t="n">
        <x:f>IF(X$4&gt;=$E179,MIN($C179/$D179,X179),0)</x:f>
        <x:v>0</x:v>
      </x:c>
      <x:c r="Y180" s="169" t="n">
        <x:f>IF(Y$4&gt;=$E179,MIN($C179/$D179,Y179),0)</x:f>
        <x:v>159662.3571659147</x:v>
      </x:c>
      <x:c r="Z180" s="169" t="n">
        <x:f>IF(Z$4&gt;=$E179,MIN($C179/$D179,Z179),0)</x:f>
        <x:v>159662.3571659147</x:v>
      </x:c>
      <x:c r="AA180" s="169" t="n">
        <x:f>IF(AA$4&gt;=$E179,MIN($C179/$D179,AA179),0)</x:f>
        <x:v>159662.3571659147</x:v>
      </x:c>
      <x:c r="AB180" s="169" t="n">
        <x:f>IF(AB$4&gt;=$E179,MIN($C179/$D179,AB179),0)</x:f>
        <x:v>159662.3571659147</x:v>
      </x:c>
      <x:c r="AC180" s="169" t="n">
        <x:f>IF(AC$4&gt;=$E179,MIN($C179/$D179,AC179),0)</x:f>
        <x:v>159662.3571659147</x:v>
      </x:c>
    </x:row>
    <x:row r="181" ht="20" customHeight="1">
      <x:c r="A181" s="170" t="str">
        <x:v>Networking / CPU</x:v>
      </x:c>
      <x:c r="B181" s="214" t="n">
        <x:v>2039</x:v>
      </x:c>
      <x:c r="C181" s="170" t="n">
        <x:f>'ROIC Cloud'!T$15*'ROIC Cloud'!$D$46</x:f>
        <x:v>957974.1429954882</x:v>
      </x:c>
      <x:c r="D181" s="214" t="n">
        <x:f>'ROIC Cloud'!$D$42</x:f>
        <x:v>6</x:v>
      </x:c>
      <x:c r="E181" s="214" t="n">
        <x:f>B181+'ROIC Cloud'!$D$40</x:f>
        <x:v>2041</x:v>
      </x:c>
      <x:c r="F181" s="170" t="str">
        <x:v>Closing NBV</x:v>
      </x:c>
      <x:c r="G181" s="169" t="n">
        <x:f>MAX(0,G179-G180)</x:f>
        <x:v>0</x:v>
      </x:c>
      <x:c r="H181" s="169" t="n">
        <x:f>MAX(0,H179-H180)</x:f>
        <x:v>0</x:v>
      </x:c>
      <x:c r="I181" s="169" t="n">
        <x:f>MAX(0,I179-I180)</x:f>
        <x:v>0</x:v>
      </x:c>
      <x:c r="J181" s="169" t="n">
        <x:f>MAX(0,J179-J180)</x:f>
        <x:v>0</x:v>
      </x:c>
      <x:c r="K181" s="169" t="n">
        <x:f>MAX(0,K179-K180)</x:f>
        <x:v>0</x:v>
      </x:c>
      <x:c r="L181" s="169" t="n">
        <x:f>MAX(0,L179-L180)</x:f>
        <x:v>0</x:v>
      </x:c>
      <x:c r="M181" s="169" t="n">
        <x:f>MAX(0,M179-M180)</x:f>
        <x:v>0</x:v>
      </x:c>
      <x:c r="N181" s="169" t="n">
        <x:f>MAX(0,N179-N180)</x:f>
        <x:v>0</x:v>
      </x:c>
      <x:c r="O181" s="169" t="n">
        <x:f>MAX(0,O179-O180)</x:f>
        <x:v>0</x:v>
      </x:c>
      <x:c r="P181" s="169" t="n">
        <x:f>MAX(0,P179-P180)</x:f>
        <x:v>0</x:v>
      </x:c>
      <x:c r="Q181" s="169" t="n">
        <x:f>MAX(0,Q179-Q180)</x:f>
        <x:v>0</x:v>
      </x:c>
      <x:c r="R181" s="169" t="n">
        <x:f>MAX(0,R179-R180)</x:f>
        <x:v>0</x:v>
      </x:c>
      <x:c r="S181" s="169" t="n">
        <x:f>MAX(0,S179-S180)</x:f>
        <x:v>0</x:v>
      </x:c>
      <x:c r="T181" s="169" t="n">
        <x:f>MAX(0,T179-T180)</x:f>
        <x:v>0</x:v>
      </x:c>
      <x:c r="U181" s="169" t="n">
        <x:f>MAX(0,U179-U180)</x:f>
        <x:v>0</x:v>
      </x:c>
      <x:c r="V181" s="169" t="n">
        <x:f>MAX(0,V179-V180)</x:f>
        <x:v>0</x:v>
      </x:c>
      <x:c r="W181" s="169" t="n">
        <x:f>MAX(0,W179-W180)</x:f>
        <x:v>0</x:v>
      </x:c>
      <x:c r="X181" s="169" t="n">
        <x:f>MAX(0,X179-X180)</x:f>
        <x:v>0</x:v>
      </x:c>
      <x:c r="Y181" s="169" t="n">
        <x:f>MAX(0,Y179-Y180)</x:f>
        <x:v>798311.7858295735</x:v>
      </x:c>
      <x:c r="Z181" s="169" t="n">
        <x:f>MAX(0,Z179-Z180)</x:f>
        <x:v>638649.4286636588</x:v>
      </x:c>
      <x:c r="AA181" s="169" t="n">
        <x:f>MAX(0,AA179-AA180)</x:f>
        <x:v>478987.0714977442</x:v>
      </x:c>
      <x:c r="AB181" s="169" t="n">
        <x:f>MAX(0,AB179-AB180)</x:f>
        <x:v>319324.71433182945</x:v>
      </x:c>
      <x:c r="AC181" s="169" t="n">
        <x:f>MAX(0,AC179-AC180)</x:f>
        <x:v>159662.35716591476</x:v>
      </x:c>
    </x:row>
    <x:row r="182" ht="20" customHeight="1">
      <x:c r="A182" s="170" t="str">
        <x:v>Networking / CPU</x:v>
      </x:c>
      <x:c r="B182" s="214" t="n">
        <x:v>2039</x:v>
      </x:c>
      <x:c r="C182" s="170" t="n">
        <x:f>'ROIC Cloud'!T$15*'ROIC Cloud'!$D$46</x:f>
        <x:v>957974.1429954882</x:v>
      </x:c>
      <x:c r="D182" s="214" t="n">
        <x:f>'ROIC Cloud'!$D$42</x:f>
        <x:v>6</x:v>
      </x:c>
      <x:c r="E182" s="214" t="n">
        <x:f>B182+'ROIC Cloud'!$D$40</x:f>
        <x:v>2041</x:v>
      </x:c>
      <x:c r="F182" s="170" t="str">
        <x:v>Average NBV</x:v>
      </x:c>
      <x:c r="G182" s="169" t="n">
        <x:f>(G179+G181)/2</x:f>
        <x:v>0</x:v>
      </x:c>
      <x:c r="H182" s="169" t="n">
        <x:f>(H179+H181)/2</x:f>
        <x:v>0</x:v>
      </x:c>
      <x:c r="I182" s="169" t="n">
        <x:f>(I179+I181)/2</x:f>
        <x:v>0</x:v>
      </x:c>
      <x:c r="J182" s="169" t="n">
        <x:f>(J179+J181)/2</x:f>
        <x:v>0</x:v>
      </x:c>
      <x:c r="K182" s="169" t="n">
        <x:f>(K179+K181)/2</x:f>
        <x:v>0</x:v>
      </x:c>
      <x:c r="L182" s="169" t="n">
        <x:f>(L179+L181)/2</x:f>
        <x:v>0</x:v>
      </x:c>
      <x:c r="M182" s="169" t="n">
        <x:f>(M179+M181)/2</x:f>
        <x:v>0</x:v>
      </x:c>
      <x:c r="N182" s="169" t="n">
        <x:f>(N179+N181)/2</x:f>
        <x:v>0</x:v>
      </x:c>
      <x:c r="O182" s="169" t="n">
        <x:f>(O179+O181)/2</x:f>
        <x:v>0</x:v>
      </x:c>
      <x:c r="P182" s="169" t="n">
        <x:f>(P179+P181)/2</x:f>
        <x:v>0</x:v>
      </x:c>
      <x:c r="Q182" s="169" t="n">
        <x:f>(Q179+Q181)/2</x:f>
        <x:v>0</x:v>
      </x:c>
      <x:c r="R182" s="169" t="n">
        <x:f>(R179+R181)/2</x:f>
        <x:v>0</x:v>
      </x:c>
      <x:c r="S182" s="169" t="n">
        <x:f>(S179+S181)/2</x:f>
        <x:v>0</x:v>
      </x:c>
      <x:c r="T182" s="169" t="n">
        <x:f>(T179+T181)/2</x:f>
        <x:v>0</x:v>
      </x:c>
      <x:c r="U182" s="169" t="n">
        <x:f>(U179+U181)/2</x:f>
        <x:v>0</x:v>
      </x:c>
      <x:c r="V182" s="169" t="n">
        <x:f>(V179+V181)/2</x:f>
        <x:v>0</x:v>
      </x:c>
      <x:c r="W182" s="169" t="n">
        <x:f>(W179+W181)/2</x:f>
        <x:v>0</x:v>
      </x:c>
      <x:c r="X182" s="169" t="n">
        <x:f>(X179+X181)/2</x:f>
        <x:v>0</x:v>
      </x:c>
      <x:c r="Y182" s="169" t="n">
        <x:f>(Y179+Y181)/2</x:f>
        <x:v>878142.9644125309</x:v>
      </x:c>
      <x:c r="Z182" s="169" t="n">
        <x:f>(Z179+Z181)/2</x:f>
        <x:v>718480.6072466162</x:v>
      </x:c>
      <x:c r="AA182" s="169" t="n">
        <x:f>(AA179+AA181)/2</x:f>
        <x:v>558818.2500807015</x:v>
      </x:c>
      <x:c r="AB182" s="169" t="n">
        <x:f>(AB179+AB181)/2</x:f>
        <x:v>399155.8929147868</x:v>
      </x:c>
      <x:c r="AC182" s="169" t="n">
        <x:f>(AC179+AC181)/2</x:f>
        <x:v>239493.5357488721</x:v>
      </x:c>
    </x:row>
    <x:row r="183" ht="20" customHeight="1">
      <x:c r="A183" s="170" t="str">
        <x:v>Networking / CPU</x:v>
      </x:c>
      <x:c r="B183" s="214" t="n">
        <x:v>2040</x:v>
      </x:c>
      <x:c r="C183" s="170" t="n">
        <x:f>'ROIC Cloud'!U$15*'ROIC Cloud'!$D$46</x:f>
        <x:v>1034612.0744351274</x:v>
      </x:c>
      <x:c r="D183" s="214" t="n">
        <x:f>'ROIC Cloud'!$D$42</x:f>
        <x:v>6</x:v>
      </x:c>
      <x:c r="E183" s="214" t="n">
        <x:f>B183+'ROIC Cloud'!$D$40</x:f>
        <x:v>2042</x:v>
      </x:c>
      <x:c r="F183" s="170" t="str">
        <x:v>Opening NBV</x:v>
      </x:c>
      <x:c r="G183" s="169" t="n">
        <x:f>IF(G$4&gt;=$E183,$C183*MAX(0,1-(G$4-$E183)/$D183),0)</x:f>
        <x:v>0</x:v>
      </x:c>
      <x:c r="H183" s="169" t="n">
        <x:f>IF(H$4&gt;=$E183,$C183*MAX(0,1-(H$4-$E183)/$D183),0)</x:f>
        <x:v>0</x:v>
      </x:c>
      <x:c r="I183" s="169" t="n">
        <x:f>IF(I$4&gt;=$E183,$C183*MAX(0,1-(I$4-$E183)/$D183),0)</x:f>
        <x:v>0</x:v>
      </x:c>
      <x:c r="J183" s="169" t="n">
        <x:f>IF(J$4&gt;=$E183,$C183*MAX(0,1-(J$4-$E183)/$D183),0)</x:f>
        <x:v>0</x:v>
      </x:c>
      <x:c r="K183" s="169" t="n">
        <x:f>IF(K$4&gt;=$E183,$C183*MAX(0,1-(K$4-$E183)/$D183),0)</x:f>
        <x:v>0</x:v>
      </x:c>
      <x:c r="L183" s="169" t="n">
        <x:f>IF(L$4&gt;=$E183,$C183*MAX(0,1-(L$4-$E183)/$D183),0)</x:f>
        <x:v>0</x:v>
      </x:c>
      <x:c r="M183" s="169" t="n">
        <x:f>IF(M$4&gt;=$E183,$C183*MAX(0,1-(M$4-$E183)/$D183),0)</x:f>
        <x:v>0</x:v>
      </x:c>
      <x:c r="N183" s="169" t="n">
        <x:f>IF(N$4&gt;=$E183,$C183*MAX(0,1-(N$4-$E183)/$D183),0)</x:f>
        <x:v>0</x:v>
      </x:c>
      <x:c r="O183" s="169" t="n">
        <x:f>IF(O$4&gt;=$E183,$C183*MAX(0,1-(O$4-$E183)/$D183),0)</x:f>
        <x:v>0</x:v>
      </x:c>
      <x:c r="P183" s="169" t="n">
        <x:f>IF(P$4&gt;=$E183,$C183*MAX(0,1-(P$4-$E183)/$D183),0)</x:f>
        <x:v>0</x:v>
      </x:c>
      <x:c r="Q183" s="169" t="n">
        <x:f>IF(Q$4&gt;=$E183,$C183*MAX(0,1-(Q$4-$E183)/$D183),0)</x:f>
        <x:v>0</x:v>
      </x:c>
      <x:c r="R183" s="169" t="n">
        <x:f>IF(R$4&gt;=$E183,$C183*MAX(0,1-(R$4-$E183)/$D183),0)</x:f>
        <x:v>0</x:v>
      </x:c>
      <x:c r="S183" s="169" t="n">
        <x:f>IF(S$4&gt;=$E183,$C183*MAX(0,1-(S$4-$E183)/$D183),0)</x:f>
        <x:v>0</x:v>
      </x:c>
      <x:c r="T183" s="169" t="n">
        <x:f>IF(T$4&gt;=$E183,$C183*MAX(0,1-(T$4-$E183)/$D183),0)</x:f>
        <x:v>0</x:v>
      </x:c>
      <x:c r="U183" s="169" t="n">
        <x:f>IF(U$4&gt;=$E183,$C183*MAX(0,1-(U$4-$E183)/$D183),0)</x:f>
        <x:v>0</x:v>
      </x:c>
      <x:c r="V183" s="169" t="n">
        <x:f>IF(V$4&gt;=$E183,$C183*MAX(0,1-(V$4-$E183)/$D183),0)</x:f>
        <x:v>0</x:v>
      </x:c>
      <x:c r="W183" s="169" t="n">
        <x:f>IF(W$4&gt;=$E183,$C183*MAX(0,1-(W$4-$E183)/$D183),0)</x:f>
        <x:v>0</x:v>
      </x:c>
      <x:c r="X183" s="169" t="n">
        <x:f>IF(X$4&gt;=$E183,$C183*MAX(0,1-(X$4-$E183)/$D183),0)</x:f>
        <x:v>0</x:v>
      </x:c>
      <x:c r="Y183" s="169" t="n">
        <x:f>IF(Y$4&gt;=$E183,$C183*MAX(0,1-(Y$4-$E183)/$D183),0)</x:f>
        <x:v>0</x:v>
      </x:c>
      <x:c r="Z183" s="169" t="n">
        <x:f>IF(Z$4&gt;=$E183,$C183*MAX(0,1-(Z$4-$E183)/$D183),0)</x:f>
        <x:v>1034612.0744351274</x:v>
      </x:c>
      <x:c r="AA183" s="169" t="n">
        <x:f>IF(AA$4&gt;=$E183,$C183*MAX(0,1-(AA$4-$E183)/$D183),0)</x:f>
        <x:v>862176.7286959395</x:v>
      </x:c>
      <x:c r="AB183" s="169" t="n">
        <x:f>IF(AB$4&gt;=$E183,$C183*MAX(0,1-(AB$4-$E183)/$D183),0)</x:f>
        <x:v>689741.3829567517</x:v>
      </x:c>
      <x:c r="AC183" s="169" t="n">
        <x:f>IF(AC$4&gt;=$E183,$C183*MAX(0,1-(AC$4-$E183)/$D183),0)</x:f>
        <x:v>517306.0372175637</x:v>
      </x:c>
    </x:row>
    <x:row r="184" ht="20" customHeight="1">
      <x:c r="A184" s="170" t="str">
        <x:v>Networking / CPU</x:v>
      </x:c>
      <x:c r="B184" s="214" t="n">
        <x:v>2040</x:v>
      </x:c>
      <x:c r="C184" s="170" t="n">
        <x:f>'ROIC Cloud'!U$15*'ROIC Cloud'!$D$46</x:f>
        <x:v>1034612.0744351274</x:v>
      </x:c>
      <x:c r="D184" s="214" t="n">
        <x:f>'ROIC Cloud'!$D$42</x:f>
        <x:v>6</x:v>
      </x:c>
      <x:c r="E184" s="214" t="n">
        <x:f>B184+'ROIC Cloud'!$D$40</x:f>
        <x:v>2042</x:v>
      </x:c>
      <x:c r="F184" s="170" t="str">
        <x:v>Depreciation</x:v>
      </x:c>
      <x:c r="G184" s="169" t="n">
        <x:f>IF(G$4&gt;=$E183,MIN($C183/$D183,G183),0)</x:f>
        <x:v>0</x:v>
      </x:c>
      <x:c r="H184" s="169" t="n">
        <x:f>IF(H$4&gt;=$E183,MIN($C183/$D183,H183),0)</x:f>
        <x:v>0</x:v>
      </x:c>
      <x:c r="I184" s="169" t="n">
        <x:f>IF(I$4&gt;=$E183,MIN($C183/$D183,I183),0)</x:f>
        <x:v>0</x:v>
      </x:c>
      <x:c r="J184" s="169" t="n">
        <x:f>IF(J$4&gt;=$E183,MIN($C183/$D183,J183),0)</x:f>
        <x:v>0</x:v>
      </x:c>
      <x:c r="K184" s="169" t="n">
        <x:f>IF(K$4&gt;=$E183,MIN($C183/$D183,K183),0)</x:f>
        <x:v>0</x:v>
      </x:c>
      <x:c r="L184" s="169" t="n">
        <x:f>IF(L$4&gt;=$E183,MIN($C183/$D183,L183),0)</x:f>
        <x:v>0</x:v>
      </x:c>
      <x:c r="M184" s="169" t="n">
        <x:f>IF(M$4&gt;=$E183,MIN($C183/$D183,M183),0)</x:f>
        <x:v>0</x:v>
      </x:c>
      <x:c r="N184" s="169" t="n">
        <x:f>IF(N$4&gt;=$E183,MIN($C183/$D183,N183),0)</x:f>
        <x:v>0</x:v>
      </x:c>
      <x:c r="O184" s="169" t="n">
        <x:f>IF(O$4&gt;=$E183,MIN($C183/$D183,O183),0)</x:f>
        <x:v>0</x:v>
      </x:c>
      <x:c r="P184" s="169" t="n">
        <x:f>IF(P$4&gt;=$E183,MIN($C183/$D183,P183),0)</x:f>
        <x:v>0</x:v>
      </x:c>
      <x:c r="Q184" s="169" t="n">
        <x:f>IF(Q$4&gt;=$E183,MIN($C183/$D183,Q183),0)</x:f>
        <x:v>0</x:v>
      </x:c>
      <x:c r="R184" s="169" t="n">
        <x:f>IF(R$4&gt;=$E183,MIN($C183/$D183,R183),0)</x:f>
        <x:v>0</x:v>
      </x:c>
      <x:c r="S184" s="169" t="n">
        <x:f>IF(S$4&gt;=$E183,MIN($C183/$D183,S183),0)</x:f>
        <x:v>0</x:v>
      </x:c>
      <x:c r="T184" s="169" t="n">
        <x:f>IF(T$4&gt;=$E183,MIN($C183/$D183,T183),0)</x:f>
        <x:v>0</x:v>
      </x:c>
      <x:c r="U184" s="169" t="n">
        <x:f>IF(U$4&gt;=$E183,MIN($C183/$D183,U183),0)</x:f>
        <x:v>0</x:v>
      </x:c>
      <x:c r="V184" s="169" t="n">
        <x:f>IF(V$4&gt;=$E183,MIN($C183/$D183,V183),0)</x:f>
        <x:v>0</x:v>
      </x:c>
      <x:c r="W184" s="169" t="n">
        <x:f>IF(W$4&gt;=$E183,MIN($C183/$D183,W183),0)</x:f>
        <x:v>0</x:v>
      </x:c>
      <x:c r="X184" s="169" t="n">
        <x:f>IF(X$4&gt;=$E183,MIN($C183/$D183,X183),0)</x:f>
        <x:v>0</x:v>
      </x:c>
      <x:c r="Y184" s="169" t="n">
        <x:f>IF(Y$4&gt;=$E183,MIN($C183/$D183,Y183),0)</x:f>
        <x:v>0</x:v>
      </x:c>
      <x:c r="Z184" s="169" t="n">
        <x:f>IF(Z$4&gt;=$E183,MIN($C183/$D183,Z183),0)</x:f>
        <x:v>172435.3457391879</x:v>
      </x:c>
      <x:c r="AA184" s="169" t="n">
        <x:f>IF(AA$4&gt;=$E183,MIN($C183/$D183,AA183),0)</x:f>
        <x:v>172435.3457391879</x:v>
      </x:c>
      <x:c r="AB184" s="169" t="n">
        <x:f>IF(AB$4&gt;=$E183,MIN($C183/$D183,AB183),0)</x:f>
        <x:v>172435.3457391879</x:v>
      </x:c>
      <x:c r="AC184" s="169" t="n">
        <x:f>IF(AC$4&gt;=$E183,MIN($C183/$D183,AC183),0)</x:f>
        <x:v>172435.3457391879</x:v>
      </x:c>
    </x:row>
    <x:row r="185" ht="20" customHeight="1">
      <x:c r="A185" s="170" t="str">
        <x:v>Networking / CPU</x:v>
      </x:c>
      <x:c r="B185" s="214" t="n">
        <x:v>2040</x:v>
      </x:c>
      <x:c r="C185" s="170" t="n">
        <x:f>'ROIC Cloud'!U$15*'ROIC Cloud'!$D$46</x:f>
        <x:v>1034612.0744351274</x:v>
      </x:c>
      <x:c r="D185" s="214" t="n">
        <x:f>'ROIC Cloud'!$D$42</x:f>
        <x:v>6</x:v>
      </x:c>
      <x:c r="E185" s="214" t="n">
        <x:f>B185+'ROIC Cloud'!$D$40</x:f>
        <x:v>2042</x:v>
      </x:c>
      <x:c r="F185" s="170" t="str">
        <x:v>Closing NBV</x:v>
      </x:c>
      <x:c r="G185" s="169" t="n">
        <x:f>MAX(0,G183-G184)</x:f>
        <x:v>0</x:v>
      </x:c>
      <x:c r="H185" s="169" t="n">
        <x:f>MAX(0,H183-H184)</x:f>
        <x:v>0</x:v>
      </x:c>
      <x:c r="I185" s="169" t="n">
        <x:f>MAX(0,I183-I184)</x:f>
        <x:v>0</x:v>
      </x:c>
      <x:c r="J185" s="169" t="n">
        <x:f>MAX(0,J183-J184)</x:f>
        <x:v>0</x:v>
      </x:c>
      <x:c r="K185" s="169" t="n">
        <x:f>MAX(0,K183-K184)</x:f>
        <x:v>0</x:v>
      </x:c>
      <x:c r="L185" s="169" t="n">
        <x:f>MAX(0,L183-L184)</x:f>
        <x:v>0</x:v>
      </x:c>
      <x:c r="M185" s="169" t="n">
        <x:f>MAX(0,M183-M184)</x:f>
        <x:v>0</x:v>
      </x:c>
      <x:c r="N185" s="169" t="n">
        <x:f>MAX(0,N183-N184)</x:f>
        <x:v>0</x:v>
      </x:c>
      <x:c r="O185" s="169" t="n">
        <x:f>MAX(0,O183-O184)</x:f>
        <x:v>0</x:v>
      </x:c>
      <x:c r="P185" s="169" t="n">
        <x:f>MAX(0,P183-P184)</x:f>
        <x:v>0</x:v>
      </x:c>
      <x:c r="Q185" s="169" t="n">
        <x:f>MAX(0,Q183-Q184)</x:f>
        <x:v>0</x:v>
      </x:c>
      <x:c r="R185" s="169" t="n">
        <x:f>MAX(0,R183-R184)</x:f>
        <x:v>0</x:v>
      </x:c>
      <x:c r="S185" s="169" t="n">
        <x:f>MAX(0,S183-S184)</x:f>
        <x:v>0</x:v>
      </x:c>
      <x:c r="T185" s="169" t="n">
        <x:f>MAX(0,T183-T184)</x:f>
        <x:v>0</x:v>
      </x:c>
      <x:c r="U185" s="169" t="n">
        <x:f>MAX(0,U183-U184)</x:f>
        <x:v>0</x:v>
      </x:c>
      <x:c r="V185" s="169" t="n">
        <x:f>MAX(0,V183-V184)</x:f>
        <x:v>0</x:v>
      </x:c>
      <x:c r="W185" s="169" t="n">
        <x:f>MAX(0,W183-W184)</x:f>
        <x:v>0</x:v>
      </x:c>
      <x:c r="X185" s="169" t="n">
        <x:f>MAX(0,X183-X184)</x:f>
        <x:v>0</x:v>
      </x:c>
      <x:c r="Y185" s="169" t="n">
        <x:f>MAX(0,Y183-Y184)</x:f>
        <x:v>0</x:v>
      </x:c>
      <x:c r="Z185" s="169" t="n">
        <x:f>MAX(0,Z183-Z184)</x:f>
        <x:v>862176.7286959395</x:v>
      </x:c>
      <x:c r="AA185" s="169" t="n">
        <x:f>MAX(0,AA183-AA184)</x:f>
        <x:v>689741.3829567516</x:v>
      </x:c>
      <x:c r="AB185" s="169" t="n">
        <x:f>MAX(0,AB183-AB184)</x:f>
        <x:v>517306.03721756383</x:v>
      </x:c>
      <x:c r="AC185" s="169" t="n">
        <x:f>MAX(0,AC183-AC184)</x:f>
        <x:v>344870.6914783758</x:v>
      </x:c>
    </x:row>
    <x:row r="186" ht="20" customHeight="1">
      <x:c r="A186" s="170" t="str">
        <x:v>Networking / CPU</x:v>
      </x:c>
      <x:c r="B186" s="214" t="n">
        <x:v>2040</x:v>
      </x:c>
      <x:c r="C186" s="170" t="n">
        <x:f>'ROIC Cloud'!U$15*'ROIC Cloud'!$D$46</x:f>
        <x:v>1034612.0744351274</x:v>
      </x:c>
      <x:c r="D186" s="214" t="n">
        <x:f>'ROIC Cloud'!$D$42</x:f>
        <x:v>6</x:v>
      </x:c>
      <x:c r="E186" s="214" t="n">
        <x:f>B186+'ROIC Cloud'!$D$40</x:f>
        <x:v>2042</x:v>
      </x:c>
      <x:c r="F186" s="170" t="str">
        <x:v>Average NBV</x:v>
      </x:c>
      <x:c r="G186" s="169" t="n">
        <x:f>(G183+G185)/2</x:f>
        <x:v>0</x:v>
      </x:c>
      <x:c r="H186" s="169" t="n">
        <x:f>(H183+H185)/2</x:f>
        <x:v>0</x:v>
      </x:c>
      <x:c r="I186" s="169" t="n">
        <x:f>(I183+I185)/2</x:f>
        <x:v>0</x:v>
      </x:c>
      <x:c r="J186" s="169" t="n">
        <x:f>(J183+J185)/2</x:f>
        <x:v>0</x:v>
      </x:c>
      <x:c r="K186" s="169" t="n">
        <x:f>(K183+K185)/2</x:f>
        <x:v>0</x:v>
      </x:c>
      <x:c r="L186" s="169" t="n">
        <x:f>(L183+L185)/2</x:f>
        <x:v>0</x:v>
      </x:c>
      <x:c r="M186" s="169" t="n">
        <x:f>(M183+M185)/2</x:f>
        <x:v>0</x:v>
      </x:c>
      <x:c r="N186" s="169" t="n">
        <x:f>(N183+N185)/2</x:f>
        <x:v>0</x:v>
      </x:c>
      <x:c r="O186" s="169" t="n">
        <x:f>(O183+O185)/2</x:f>
        <x:v>0</x:v>
      </x:c>
      <x:c r="P186" s="169" t="n">
        <x:f>(P183+P185)/2</x:f>
        <x:v>0</x:v>
      </x:c>
      <x:c r="Q186" s="169" t="n">
        <x:f>(Q183+Q185)/2</x:f>
        <x:v>0</x:v>
      </x:c>
      <x:c r="R186" s="169" t="n">
        <x:f>(R183+R185)/2</x:f>
        <x:v>0</x:v>
      </x:c>
      <x:c r="S186" s="169" t="n">
        <x:f>(S183+S185)/2</x:f>
        <x:v>0</x:v>
      </x:c>
      <x:c r="T186" s="169" t="n">
        <x:f>(T183+T185)/2</x:f>
        <x:v>0</x:v>
      </x:c>
      <x:c r="U186" s="169" t="n">
        <x:f>(U183+U185)/2</x:f>
        <x:v>0</x:v>
      </x:c>
      <x:c r="V186" s="169" t="n">
        <x:f>(V183+V185)/2</x:f>
        <x:v>0</x:v>
      </x:c>
      <x:c r="W186" s="169" t="n">
        <x:f>(W183+W185)/2</x:f>
        <x:v>0</x:v>
      </x:c>
      <x:c r="X186" s="169" t="n">
        <x:f>(X183+X185)/2</x:f>
        <x:v>0</x:v>
      </x:c>
      <x:c r="Y186" s="169" t="n">
        <x:f>(Y183+Y185)/2</x:f>
        <x:v>0</x:v>
      </x:c>
      <x:c r="Z186" s="169" t="n">
        <x:f>(Z183+Z185)/2</x:f>
        <x:v>948394.4015655335</x:v>
      </x:c>
      <x:c r="AA186" s="169" t="n">
        <x:f>(AA183+AA185)/2</x:f>
        <x:v>775959.0558263456</x:v>
      </x:c>
      <x:c r="AB186" s="169" t="n">
        <x:f>(AB183+AB185)/2</x:f>
        <x:v>603523.7100871578</x:v>
      </x:c>
      <x:c r="AC186" s="169" t="n">
        <x:f>(AC183+AC185)/2</x:f>
        <x:v>431088.36434796976</x:v>
      </x:c>
    </x:row>
    <x:row r="187" ht="20" customHeight="1">
      <x:c r="A187" s="170" t="str">
        <x:v>Networking / CPU</x:v>
      </x:c>
      <x:c r="B187" s="214" t="n">
        <x:v>2041</x:v>
      </x:c>
      <x:c r="C187" s="170" t="n">
        <x:f>'ROIC Cloud'!V$15*'ROIC Cloud'!$D$46</x:f>
        <x:v>1117381.0403899376</x:v>
      </x:c>
      <x:c r="D187" s="214" t="n">
        <x:f>'ROIC Cloud'!$D$42</x:f>
        <x:v>6</x:v>
      </x:c>
      <x:c r="E187" s="214" t="n">
        <x:f>B187+'ROIC Cloud'!$D$40</x:f>
        <x:v>2043</x:v>
      </x:c>
      <x:c r="F187" s="170" t="str">
        <x:v>Opening NBV</x:v>
      </x:c>
      <x:c r="G187" s="169" t="n">
        <x:f>IF(G$4&gt;=$E187,$C187*MAX(0,1-(G$4-$E187)/$D187),0)</x:f>
        <x:v>0</x:v>
      </x:c>
      <x:c r="H187" s="169" t="n">
        <x:f>IF(H$4&gt;=$E187,$C187*MAX(0,1-(H$4-$E187)/$D187),0)</x:f>
        <x:v>0</x:v>
      </x:c>
      <x:c r="I187" s="169" t="n">
        <x:f>IF(I$4&gt;=$E187,$C187*MAX(0,1-(I$4-$E187)/$D187),0)</x:f>
        <x:v>0</x:v>
      </x:c>
      <x:c r="J187" s="169" t="n">
        <x:f>IF(J$4&gt;=$E187,$C187*MAX(0,1-(J$4-$E187)/$D187),0)</x:f>
        <x:v>0</x:v>
      </x:c>
      <x:c r="K187" s="169" t="n">
        <x:f>IF(K$4&gt;=$E187,$C187*MAX(0,1-(K$4-$E187)/$D187),0)</x:f>
        <x:v>0</x:v>
      </x:c>
      <x:c r="L187" s="169" t="n">
        <x:f>IF(L$4&gt;=$E187,$C187*MAX(0,1-(L$4-$E187)/$D187),0)</x:f>
        <x:v>0</x:v>
      </x:c>
      <x:c r="M187" s="169" t="n">
        <x:f>IF(M$4&gt;=$E187,$C187*MAX(0,1-(M$4-$E187)/$D187),0)</x:f>
        <x:v>0</x:v>
      </x:c>
      <x:c r="N187" s="169" t="n">
        <x:f>IF(N$4&gt;=$E187,$C187*MAX(0,1-(N$4-$E187)/$D187),0)</x:f>
        <x:v>0</x:v>
      </x:c>
      <x:c r="O187" s="169" t="n">
        <x:f>IF(O$4&gt;=$E187,$C187*MAX(0,1-(O$4-$E187)/$D187),0)</x:f>
        <x:v>0</x:v>
      </x:c>
      <x:c r="P187" s="169" t="n">
        <x:f>IF(P$4&gt;=$E187,$C187*MAX(0,1-(P$4-$E187)/$D187),0)</x:f>
        <x:v>0</x:v>
      </x:c>
      <x:c r="Q187" s="169" t="n">
        <x:f>IF(Q$4&gt;=$E187,$C187*MAX(0,1-(Q$4-$E187)/$D187),0)</x:f>
        <x:v>0</x:v>
      </x:c>
      <x:c r="R187" s="169" t="n">
        <x:f>IF(R$4&gt;=$E187,$C187*MAX(0,1-(R$4-$E187)/$D187),0)</x:f>
        <x:v>0</x:v>
      </x:c>
      <x:c r="S187" s="169" t="n">
        <x:f>IF(S$4&gt;=$E187,$C187*MAX(0,1-(S$4-$E187)/$D187),0)</x:f>
        <x:v>0</x:v>
      </x:c>
      <x:c r="T187" s="169" t="n">
        <x:f>IF(T$4&gt;=$E187,$C187*MAX(0,1-(T$4-$E187)/$D187),0)</x:f>
        <x:v>0</x:v>
      </x:c>
      <x:c r="U187" s="169" t="n">
        <x:f>IF(U$4&gt;=$E187,$C187*MAX(0,1-(U$4-$E187)/$D187),0)</x:f>
        <x:v>0</x:v>
      </x:c>
      <x:c r="V187" s="169" t="n">
        <x:f>IF(V$4&gt;=$E187,$C187*MAX(0,1-(V$4-$E187)/$D187),0)</x:f>
        <x:v>0</x:v>
      </x:c>
      <x:c r="W187" s="169" t="n">
        <x:f>IF(W$4&gt;=$E187,$C187*MAX(0,1-(W$4-$E187)/$D187),0)</x:f>
        <x:v>0</x:v>
      </x:c>
      <x:c r="X187" s="169" t="n">
        <x:f>IF(X$4&gt;=$E187,$C187*MAX(0,1-(X$4-$E187)/$D187),0)</x:f>
        <x:v>0</x:v>
      </x:c>
      <x:c r="Y187" s="169" t="n">
        <x:f>IF(Y$4&gt;=$E187,$C187*MAX(0,1-(Y$4-$E187)/$D187),0)</x:f>
        <x:v>0</x:v>
      </x:c>
      <x:c r="Z187" s="169" t="n">
        <x:f>IF(Z$4&gt;=$E187,$C187*MAX(0,1-(Z$4-$E187)/$D187),0)</x:f>
        <x:v>0</x:v>
      </x:c>
      <x:c r="AA187" s="169" t="n">
        <x:f>IF(AA$4&gt;=$E187,$C187*MAX(0,1-(AA$4-$E187)/$D187),0)</x:f>
        <x:v>1117381.0403899376</x:v>
      </x:c>
      <x:c r="AB187" s="169" t="n">
        <x:f>IF(AB$4&gt;=$E187,$C187*MAX(0,1-(AB$4-$E187)/$D187),0)</x:f>
        <x:v>931150.8669916147</x:v>
      </x:c>
      <x:c r="AC187" s="169" t="n">
        <x:f>IF(AC$4&gt;=$E187,$C187*MAX(0,1-(AC$4-$E187)/$D187),0)</x:f>
        <x:v>744920.6935932918</x:v>
      </x:c>
    </x:row>
    <x:row r="188" ht="20" customHeight="1">
      <x:c r="A188" s="170" t="str">
        <x:v>Networking / CPU</x:v>
      </x:c>
      <x:c r="B188" s="214" t="n">
        <x:v>2041</x:v>
      </x:c>
      <x:c r="C188" s="170" t="n">
        <x:f>'ROIC Cloud'!V$15*'ROIC Cloud'!$D$46</x:f>
        <x:v>1117381.0403899376</x:v>
      </x:c>
      <x:c r="D188" s="214" t="n">
        <x:f>'ROIC Cloud'!$D$42</x:f>
        <x:v>6</x:v>
      </x:c>
      <x:c r="E188" s="214" t="n">
        <x:f>B188+'ROIC Cloud'!$D$40</x:f>
        <x:v>2043</x:v>
      </x:c>
      <x:c r="F188" s="170" t="str">
        <x:v>Depreciation</x:v>
      </x:c>
      <x:c r="G188" s="169" t="n">
        <x:f>IF(G$4&gt;=$E187,MIN($C187/$D187,G187),0)</x:f>
        <x:v>0</x:v>
      </x:c>
      <x:c r="H188" s="169" t="n">
        <x:f>IF(H$4&gt;=$E187,MIN($C187/$D187,H187),0)</x:f>
        <x:v>0</x:v>
      </x:c>
      <x:c r="I188" s="169" t="n">
        <x:f>IF(I$4&gt;=$E187,MIN($C187/$D187,I187),0)</x:f>
        <x:v>0</x:v>
      </x:c>
      <x:c r="J188" s="169" t="n">
        <x:f>IF(J$4&gt;=$E187,MIN($C187/$D187,J187),0)</x:f>
        <x:v>0</x:v>
      </x:c>
      <x:c r="K188" s="169" t="n">
        <x:f>IF(K$4&gt;=$E187,MIN($C187/$D187,K187),0)</x:f>
        <x:v>0</x:v>
      </x:c>
      <x:c r="L188" s="169" t="n">
        <x:f>IF(L$4&gt;=$E187,MIN($C187/$D187,L187),0)</x:f>
        <x:v>0</x:v>
      </x:c>
      <x:c r="M188" s="169" t="n">
        <x:f>IF(M$4&gt;=$E187,MIN($C187/$D187,M187),0)</x:f>
        <x:v>0</x:v>
      </x:c>
      <x:c r="N188" s="169" t="n">
        <x:f>IF(N$4&gt;=$E187,MIN($C187/$D187,N187),0)</x:f>
        <x:v>0</x:v>
      </x:c>
      <x:c r="O188" s="169" t="n">
        <x:f>IF(O$4&gt;=$E187,MIN($C187/$D187,O187),0)</x:f>
        <x:v>0</x:v>
      </x:c>
      <x:c r="P188" s="169" t="n">
        <x:f>IF(P$4&gt;=$E187,MIN($C187/$D187,P187),0)</x:f>
        <x:v>0</x:v>
      </x:c>
      <x:c r="Q188" s="169" t="n">
        <x:f>IF(Q$4&gt;=$E187,MIN($C187/$D187,Q187),0)</x:f>
        <x:v>0</x:v>
      </x:c>
      <x:c r="R188" s="169" t="n">
        <x:f>IF(R$4&gt;=$E187,MIN($C187/$D187,R187),0)</x:f>
        <x:v>0</x:v>
      </x:c>
      <x:c r="S188" s="169" t="n">
        <x:f>IF(S$4&gt;=$E187,MIN($C187/$D187,S187),0)</x:f>
        <x:v>0</x:v>
      </x:c>
      <x:c r="T188" s="169" t="n">
        <x:f>IF(T$4&gt;=$E187,MIN($C187/$D187,T187),0)</x:f>
        <x:v>0</x:v>
      </x:c>
      <x:c r="U188" s="169" t="n">
        <x:f>IF(U$4&gt;=$E187,MIN($C187/$D187,U187),0)</x:f>
        <x:v>0</x:v>
      </x:c>
      <x:c r="V188" s="169" t="n">
        <x:f>IF(V$4&gt;=$E187,MIN($C187/$D187,V187),0)</x:f>
        <x:v>0</x:v>
      </x:c>
      <x:c r="W188" s="169" t="n">
        <x:f>IF(W$4&gt;=$E187,MIN($C187/$D187,W187),0)</x:f>
        <x:v>0</x:v>
      </x:c>
      <x:c r="X188" s="169" t="n">
        <x:f>IF(X$4&gt;=$E187,MIN($C187/$D187,X187),0)</x:f>
        <x:v>0</x:v>
      </x:c>
      <x:c r="Y188" s="169" t="n">
        <x:f>IF(Y$4&gt;=$E187,MIN($C187/$D187,Y187),0)</x:f>
        <x:v>0</x:v>
      </x:c>
      <x:c r="Z188" s="169" t="n">
        <x:f>IF(Z$4&gt;=$E187,MIN($C187/$D187,Z187),0)</x:f>
        <x:v>0</x:v>
      </x:c>
      <x:c r="AA188" s="169" t="n">
        <x:f>IF(AA$4&gt;=$E187,MIN($C187/$D187,AA187),0)</x:f>
        <x:v>186230.17339832292</x:v>
      </x:c>
      <x:c r="AB188" s="169" t="n">
        <x:f>IF(AB$4&gt;=$E187,MIN($C187/$D187,AB187),0)</x:f>
        <x:v>186230.17339832292</x:v>
      </x:c>
      <x:c r="AC188" s="169" t="n">
        <x:f>IF(AC$4&gt;=$E187,MIN($C187/$D187,AC187),0)</x:f>
        <x:v>186230.17339832292</x:v>
      </x:c>
    </x:row>
    <x:row r="189" ht="20" customHeight="1">
      <x:c r="A189" s="170" t="str">
        <x:v>Networking / CPU</x:v>
      </x:c>
      <x:c r="B189" s="214" t="n">
        <x:v>2041</x:v>
      </x:c>
      <x:c r="C189" s="170" t="n">
        <x:f>'ROIC Cloud'!V$15*'ROIC Cloud'!$D$46</x:f>
        <x:v>1117381.0403899376</x:v>
      </x:c>
      <x:c r="D189" s="214" t="n">
        <x:f>'ROIC Cloud'!$D$42</x:f>
        <x:v>6</x:v>
      </x:c>
      <x:c r="E189" s="214" t="n">
        <x:f>B189+'ROIC Cloud'!$D$40</x:f>
        <x:v>2043</x:v>
      </x:c>
      <x:c r="F189" s="170" t="str">
        <x:v>Closing NBV</x:v>
      </x:c>
      <x:c r="G189" s="169" t="n">
        <x:f>MAX(0,G187-G188)</x:f>
        <x:v>0</x:v>
      </x:c>
      <x:c r="H189" s="169" t="n">
        <x:f>MAX(0,H187-H188)</x:f>
        <x:v>0</x:v>
      </x:c>
      <x:c r="I189" s="169" t="n">
        <x:f>MAX(0,I187-I188)</x:f>
        <x:v>0</x:v>
      </x:c>
      <x:c r="J189" s="169" t="n">
        <x:f>MAX(0,J187-J188)</x:f>
        <x:v>0</x:v>
      </x:c>
      <x:c r="K189" s="169" t="n">
        <x:f>MAX(0,K187-K188)</x:f>
        <x:v>0</x:v>
      </x:c>
      <x:c r="L189" s="169" t="n">
        <x:f>MAX(0,L187-L188)</x:f>
        <x:v>0</x:v>
      </x:c>
      <x:c r="M189" s="169" t="n">
        <x:f>MAX(0,M187-M188)</x:f>
        <x:v>0</x:v>
      </x:c>
      <x:c r="N189" s="169" t="n">
        <x:f>MAX(0,N187-N188)</x:f>
        <x:v>0</x:v>
      </x:c>
      <x:c r="O189" s="169" t="n">
        <x:f>MAX(0,O187-O188)</x:f>
        <x:v>0</x:v>
      </x:c>
      <x:c r="P189" s="169" t="n">
        <x:f>MAX(0,P187-P188)</x:f>
        <x:v>0</x:v>
      </x:c>
      <x:c r="Q189" s="169" t="n">
        <x:f>MAX(0,Q187-Q188)</x:f>
        <x:v>0</x:v>
      </x:c>
      <x:c r="R189" s="169" t="n">
        <x:f>MAX(0,R187-R188)</x:f>
        <x:v>0</x:v>
      </x:c>
      <x:c r="S189" s="169" t="n">
        <x:f>MAX(0,S187-S188)</x:f>
        <x:v>0</x:v>
      </x:c>
      <x:c r="T189" s="169" t="n">
        <x:f>MAX(0,T187-T188)</x:f>
        <x:v>0</x:v>
      </x:c>
      <x:c r="U189" s="169" t="n">
        <x:f>MAX(0,U187-U188)</x:f>
        <x:v>0</x:v>
      </x:c>
      <x:c r="V189" s="169" t="n">
        <x:f>MAX(0,V187-V188)</x:f>
        <x:v>0</x:v>
      </x:c>
      <x:c r="W189" s="169" t="n">
        <x:f>MAX(0,W187-W188)</x:f>
        <x:v>0</x:v>
      </x:c>
      <x:c r="X189" s="169" t="n">
        <x:f>MAX(0,X187-X188)</x:f>
        <x:v>0</x:v>
      </x:c>
      <x:c r="Y189" s="169" t="n">
        <x:f>MAX(0,Y187-Y188)</x:f>
        <x:v>0</x:v>
      </x:c>
      <x:c r="Z189" s="169" t="n">
        <x:f>MAX(0,Z187-Z188)</x:f>
        <x:v>0</x:v>
      </x:c>
      <x:c r="AA189" s="169" t="n">
        <x:f>MAX(0,AA187-AA188)</x:f>
        <x:v>931150.8669916147</x:v>
      </x:c>
      <x:c r="AB189" s="169" t="n">
        <x:f>MAX(0,AB187-AB188)</x:f>
        <x:v>744920.6935932918</x:v>
      </x:c>
      <x:c r="AC189" s="169" t="n">
        <x:f>MAX(0,AC187-AC188)</x:f>
        <x:v>558690.5201949689</x:v>
      </x:c>
    </x:row>
    <x:row r="190" ht="20" customHeight="1">
      <x:c r="A190" s="170" t="str">
        <x:v>Networking / CPU</x:v>
      </x:c>
      <x:c r="B190" s="214" t="n">
        <x:v>2041</x:v>
      </x:c>
      <x:c r="C190" s="170" t="n">
        <x:f>'ROIC Cloud'!V$15*'ROIC Cloud'!$D$46</x:f>
        <x:v>1117381.0403899376</x:v>
      </x:c>
      <x:c r="D190" s="214" t="n">
        <x:f>'ROIC Cloud'!$D$42</x:f>
        <x:v>6</x:v>
      </x:c>
      <x:c r="E190" s="214" t="n">
        <x:f>B190+'ROIC Cloud'!$D$40</x:f>
        <x:v>2043</x:v>
      </x:c>
      <x:c r="F190" s="170" t="str">
        <x:v>Average NBV</x:v>
      </x:c>
      <x:c r="G190" s="169" t="n">
        <x:f>(G187+G189)/2</x:f>
        <x:v>0</x:v>
      </x:c>
      <x:c r="H190" s="169" t="n">
        <x:f>(H187+H189)/2</x:f>
        <x:v>0</x:v>
      </x:c>
      <x:c r="I190" s="169" t="n">
        <x:f>(I187+I189)/2</x:f>
        <x:v>0</x:v>
      </x:c>
      <x:c r="J190" s="169" t="n">
        <x:f>(J187+J189)/2</x:f>
        <x:v>0</x:v>
      </x:c>
      <x:c r="K190" s="169" t="n">
        <x:f>(K187+K189)/2</x:f>
        <x:v>0</x:v>
      </x:c>
      <x:c r="L190" s="169" t="n">
        <x:f>(L187+L189)/2</x:f>
        <x:v>0</x:v>
      </x:c>
      <x:c r="M190" s="169" t="n">
        <x:f>(M187+M189)/2</x:f>
        <x:v>0</x:v>
      </x:c>
      <x:c r="N190" s="169" t="n">
        <x:f>(N187+N189)/2</x:f>
        <x:v>0</x:v>
      </x:c>
      <x:c r="O190" s="169" t="n">
        <x:f>(O187+O189)/2</x:f>
        <x:v>0</x:v>
      </x:c>
      <x:c r="P190" s="169" t="n">
        <x:f>(P187+P189)/2</x:f>
        <x:v>0</x:v>
      </x:c>
      <x:c r="Q190" s="169" t="n">
        <x:f>(Q187+Q189)/2</x:f>
        <x:v>0</x:v>
      </x:c>
      <x:c r="R190" s="169" t="n">
        <x:f>(R187+R189)/2</x:f>
        <x:v>0</x:v>
      </x:c>
      <x:c r="S190" s="169" t="n">
        <x:f>(S187+S189)/2</x:f>
        <x:v>0</x:v>
      </x:c>
      <x:c r="T190" s="169" t="n">
        <x:f>(T187+T189)/2</x:f>
        <x:v>0</x:v>
      </x:c>
      <x:c r="U190" s="169" t="n">
        <x:f>(U187+U189)/2</x:f>
        <x:v>0</x:v>
      </x:c>
      <x:c r="V190" s="169" t="n">
        <x:f>(V187+V189)/2</x:f>
        <x:v>0</x:v>
      </x:c>
      <x:c r="W190" s="169" t="n">
        <x:f>(W187+W189)/2</x:f>
        <x:v>0</x:v>
      </x:c>
      <x:c r="X190" s="169" t="n">
        <x:f>(X187+X189)/2</x:f>
        <x:v>0</x:v>
      </x:c>
      <x:c r="Y190" s="169" t="n">
        <x:f>(Y187+Y189)/2</x:f>
        <x:v>0</x:v>
      </x:c>
      <x:c r="Z190" s="169" t="n">
        <x:f>(Z187+Z189)/2</x:f>
        <x:v>0</x:v>
      </x:c>
      <x:c r="AA190" s="169" t="n">
        <x:f>(AA187+AA189)/2</x:f>
        <x:v>1024265.9536907761</x:v>
      </x:c>
      <x:c r="AB190" s="169" t="n">
        <x:f>(AB187+AB189)/2</x:f>
        <x:v>838035.7802924532</x:v>
      </x:c>
      <x:c r="AC190" s="169" t="n">
        <x:f>(AC187+AC189)/2</x:f>
        <x:v>651805.6068941304</x:v>
      </x:c>
    </x:row>
    <x:row r="191" ht="20" customHeight="1">
      <x:c r="A191" s="170" t="str">
        <x:v>Networking / CPU</x:v>
      </x:c>
      <x:c r="B191" s="214" t="n">
        <x:v>2042</x:v>
      </x:c>
      <x:c r="C191" s="170" t="n">
        <x:f>'ROIC Cloud'!W$15*'ROIC Cloud'!$D$46</x:f>
        <x:v>1206771.5236211328</x:v>
      </x:c>
      <x:c r="D191" s="214" t="n">
        <x:f>'ROIC Cloud'!$D$42</x:f>
        <x:v>6</x:v>
      </x:c>
      <x:c r="E191" s="214" t="n">
        <x:f>B191+'ROIC Cloud'!$D$40</x:f>
        <x:v>2044</x:v>
      </x:c>
      <x:c r="F191" s="170" t="str">
        <x:v>Opening NBV</x:v>
      </x:c>
      <x:c r="G191" s="169" t="n">
        <x:f>IF(G$4&gt;=$E191,$C191*MAX(0,1-(G$4-$E191)/$D191),0)</x:f>
        <x:v>0</x:v>
      </x:c>
      <x:c r="H191" s="169" t="n">
        <x:f>IF(H$4&gt;=$E191,$C191*MAX(0,1-(H$4-$E191)/$D191),0)</x:f>
        <x:v>0</x:v>
      </x:c>
      <x:c r="I191" s="169" t="n">
        <x:f>IF(I$4&gt;=$E191,$C191*MAX(0,1-(I$4-$E191)/$D191),0)</x:f>
        <x:v>0</x:v>
      </x:c>
      <x:c r="J191" s="169" t="n">
        <x:f>IF(J$4&gt;=$E191,$C191*MAX(0,1-(J$4-$E191)/$D191),0)</x:f>
        <x:v>0</x:v>
      </x:c>
      <x:c r="K191" s="169" t="n">
        <x:f>IF(K$4&gt;=$E191,$C191*MAX(0,1-(K$4-$E191)/$D191),0)</x:f>
        <x:v>0</x:v>
      </x:c>
      <x:c r="L191" s="169" t="n">
        <x:f>IF(L$4&gt;=$E191,$C191*MAX(0,1-(L$4-$E191)/$D191),0)</x:f>
        <x:v>0</x:v>
      </x:c>
      <x:c r="M191" s="169" t="n">
        <x:f>IF(M$4&gt;=$E191,$C191*MAX(0,1-(M$4-$E191)/$D191),0)</x:f>
        <x:v>0</x:v>
      </x:c>
      <x:c r="N191" s="169" t="n">
        <x:f>IF(N$4&gt;=$E191,$C191*MAX(0,1-(N$4-$E191)/$D191),0)</x:f>
        <x:v>0</x:v>
      </x:c>
      <x:c r="O191" s="169" t="n">
        <x:f>IF(O$4&gt;=$E191,$C191*MAX(0,1-(O$4-$E191)/$D191),0)</x:f>
        <x:v>0</x:v>
      </x:c>
      <x:c r="P191" s="169" t="n">
        <x:f>IF(P$4&gt;=$E191,$C191*MAX(0,1-(P$4-$E191)/$D191),0)</x:f>
        <x:v>0</x:v>
      </x:c>
      <x:c r="Q191" s="169" t="n">
        <x:f>IF(Q$4&gt;=$E191,$C191*MAX(0,1-(Q$4-$E191)/$D191),0)</x:f>
        <x:v>0</x:v>
      </x:c>
      <x:c r="R191" s="169" t="n">
        <x:f>IF(R$4&gt;=$E191,$C191*MAX(0,1-(R$4-$E191)/$D191),0)</x:f>
        <x:v>0</x:v>
      </x:c>
      <x:c r="S191" s="169" t="n">
        <x:f>IF(S$4&gt;=$E191,$C191*MAX(0,1-(S$4-$E191)/$D191),0)</x:f>
        <x:v>0</x:v>
      </x:c>
      <x:c r="T191" s="169" t="n">
        <x:f>IF(T$4&gt;=$E191,$C191*MAX(0,1-(T$4-$E191)/$D191),0)</x:f>
        <x:v>0</x:v>
      </x:c>
      <x:c r="U191" s="169" t="n">
        <x:f>IF(U$4&gt;=$E191,$C191*MAX(0,1-(U$4-$E191)/$D191),0)</x:f>
        <x:v>0</x:v>
      </x:c>
      <x:c r="V191" s="169" t="n">
        <x:f>IF(V$4&gt;=$E191,$C191*MAX(0,1-(V$4-$E191)/$D191),0)</x:f>
        <x:v>0</x:v>
      </x:c>
      <x:c r="W191" s="169" t="n">
        <x:f>IF(W$4&gt;=$E191,$C191*MAX(0,1-(W$4-$E191)/$D191),0)</x:f>
        <x:v>0</x:v>
      </x:c>
      <x:c r="X191" s="169" t="n">
        <x:f>IF(X$4&gt;=$E191,$C191*MAX(0,1-(X$4-$E191)/$D191),0)</x:f>
        <x:v>0</x:v>
      </x:c>
      <x:c r="Y191" s="169" t="n">
        <x:f>IF(Y$4&gt;=$E191,$C191*MAX(0,1-(Y$4-$E191)/$D191),0)</x:f>
        <x:v>0</x:v>
      </x:c>
      <x:c r="Z191" s="169" t="n">
        <x:f>IF(Z$4&gt;=$E191,$C191*MAX(0,1-(Z$4-$E191)/$D191),0)</x:f>
        <x:v>0</x:v>
      </x:c>
      <x:c r="AA191" s="169" t="n">
        <x:f>IF(AA$4&gt;=$E191,$C191*MAX(0,1-(AA$4-$E191)/$D191),0)</x:f>
        <x:v>0</x:v>
      </x:c>
      <x:c r="AB191" s="169" t="n">
        <x:f>IF(AB$4&gt;=$E191,$C191*MAX(0,1-(AB$4-$E191)/$D191),0)</x:f>
        <x:v>1206771.5236211328</x:v>
      </x:c>
      <x:c r="AC191" s="169" t="n">
        <x:f>IF(AC$4&gt;=$E191,$C191*MAX(0,1-(AC$4-$E191)/$D191),0)</x:f>
        <x:v>1005642.9363509441</x:v>
      </x:c>
    </x:row>
    <x:row r="192" ht="20" customHeight="1">
      <x:c r="A192" s="170" t="str">
        <x:v>Networking / CPU</x:v>
      </x:c>
      <x:c r="B192" s="214" t="n">
        <x:v>2042</x:v>
      </x:c>
      <x:c r="C192" s="170" t="n">
        <x:f>'ROIC Cloud'!W$15*'ROIC Cloud'!$D$46</x:f>
        <x:v>1206771.5236211328</x:v>
      </x:c>
      <x:c r="D192" s="214" t="n">
        <x:f>'ROIC Cloud'!$D$42</x:f>
        <x:v>6</x:v>
      </x:c>
      <x:c r="E192" s="214" t="n">
        <x:f>B192+'ROIC Cloud'!$D$40</x:f>
        <x:v>2044</x:v>
      </x:c>
      <x:c r="F192" s="170" t="str">
        <x:v>Depreciation</x:v>
      </x:c>
      <x:c r="G192" s="169" t="n">
        <x:f>IF(G$4&gt;=$E191,MIN($C191/$D191,G191),0)</x:f>
        <x:v>0</x:v>
      </x:c>
      <x:c r="H192" s="169" t="n">
        <x:f>IF(H$4&gt;=$E191,MIN($C191/$D191,H191),0)</x:f>
        <x:v>0</x:v>
      </x:c>
      <x:c r="I192" s="169" t="n">
        <x:f>IF(I$4&gt;=$E191,MIN($C191/$D191,I191),0)</x:f>
        <x:v>0</x:v>
      </x:c>
      <x:c r="J192" s="169" t="n">
        <x:f>IF(J$4&gt;=$E191,MIN($C191/$D191,J191),0)</x:f>
        <x:v>0</x:v>
      </x:c>
      <x:c r="K192" s="169" t="n">
        <x:f>IF(K$4&gt;=$E191,MIN($C191/$D191,K191),0)</x:f>
        <x:v>0</x:v>
      </x:c>
      <x:c r="L192" s="169" t="n">
        <x:f>IF(L$4&gt;=$E191,MIN($C191/$D191,L191),0)</x:f>
        <x:v>0</x:v>
      </x:c>
      <x:c r="M192" s="169" t="n">
        <x:f>IF(M$4&gt;=$E191,MIN($C191/$D191,M191),0)</x:f>
        <x:v>0</x:v>
      </x:c>
      <x:c r="N192" s="169" t="n">
        <x:f>IF(N$4&gt;=$E191,MIN($C191/$D191,N191),0)</x:f>
        <x:v>0</x:v>
      </x:c>
      <x:c r="O192" s="169" t="n">
        <x:f>IF(O$4&gt;=$E191,MIN($C191/$D191,O191),0)</x:f>
        <x:v>0</x:v>
      </x:c>
      <x:c r="P192" s="169" t="n">
        <x:f>IF(P$4&gt;=$E191,MIN($C191/$D191,P191),0)</x:f>
        <x:v>0</x:v>
      </x:c>
      <x:c r="Q192" s="169" t="n">
        <x:f>IF(Q$4&gt;=$E191,MIN($C191/$D191,Q191),0)</x:f>
        <x:v>0</x:v>
      </x:c>
      <x:c r="R192" s="169" t="n">
        <x:f>IF(R$4&gt;=$E191,MIN($C191/$D191,R191),0)</x:f>
        <x:v>0</x:v>
      </x:c>
      <x:c r="S192" s="169" t="n">
        <x:f>IF(S$4&gt;=$E191,MIN($C191/$D191,S191),0)</x:f>
        <x:v>0</x:v>
      </x:c>
      <x:c r="T192" s="169" t="n">
        <x:f>IF(T$4&gt;=$E191,MIN($C191/$D191,T191),0)</x:f>
        <x:v>0</x:v>
      </x:c>
      <x:c r="U192" s="169" t="n">
        <x:f>IF(U$4&gt;=$E191,MIN($C191/$D191,U191),0)</x:f>
        <x:v>0</x:v>
      </x:c>
      <x:c r="V192" s="169" t="n">
        <x:f>IF(V$4&gt;=$E191,MIN($C191/$D191,V191),0)</x:f>
        <x:v>0</x:v>
      </x:c>
      <x:c r="W192" s="169" t="n">
        <x:f>IF(W$4&gt;=$E191,MIN($C191/$D191,W191),0)</x:f>
        <x:v>0</x:v>
      </x:c>
      <x:c r="X192" s="169" t="n">
        <x:f>IF(X$4&gt;=$E191,MIN($C191/$D191,X191),0)</x:f>
        <x:v>0</x:v>
      </x:c>
      <x:c r="Y192" s="169" t="n">
        <x:f>IF(Y$4&gt;=$E191,MIN($C191/$D191,Y191),0)</x:f>
        <x:v>0</x:v>
      </x:c>
      <x:c r="Z192" s="169" t="n">
        <x:f>IF(Z$4&gt;=$E191,MIN($C191/$D191,Z191),0)</x:f>
        <x:v>0</x:v>
      </x:c>
      <x:c r="AA192" s="169" t="n">
        <x:f>IF(AA$4&gt;=$E191,MIN($C191/$D191,AA191),0)</x:f>
        <x:v>0</x:v>
      </x:c>
      <x:c r="AB192" s="169" t="n">
        <x:f>IF(AB$4&gt;=$E191,MIN($C191/$D191,AB191),0)</x:f>
        <x:v>201128.58727018881</x:v>
      </x:c>
      <x:c r="AC192" s="169" t="n">
        <x:f>IF(AC$4&gt;=$E191,MIN($C191/$D191,AC191),0)</x:f>
        <x:v>201128.58727018881</x:v>
      </x:c>
    </x:row>
    <x:row r="193" ht="20" customHeight="1">
      <x:c r="A193" s="170" t="str">
        <x:v>Networking / CPU</x:v>
      </x:c>
      <x:c r="B193" s="214" t="n">
        <x:v>2042</x:v>
      </x:c>
      <x:c r="C193" s="170" t="n">
        <x:f>'ROIC Cloud'!W$15*'ROIC Cloud'!$D$46</x:f>
        <x:v>1206771.5236211328</x:v>
      </x:c>
      <x:c r="D193" s="214" t="n">
        <x:f>'ROIC Cloud'!$D$42</x:f>
        <x:v>6</x:v>
      </x:c>
      <x:c r="E193" s="214" t="n">
        <x:f>B193+'ROIC Cloud'!$D$40</x:f>
        <x:v>2044</x:v>
      </x:c>
      <x:c r="F193" s="170" t="str">
        <x:v>Closing NBV</x:v>
      </x:c>
      <x:c r="G193" s="169" t="n">
        <x:f>MAX(0,G191-G192)</x:f>
        <x:v>0</x:v>
      </x:c>
      <x:c r="H193" s="169" t="n">
        <x:f>MAX(0,H191-H192)</x:f>
        <x:v>0</x:v>
      </x:c>
      <x:c r="I193" s="169" t="n">
        <x:f>MAX(0,I191-I192)</x:f>
        <x:v>0</x:v>
      </x:c>
      <x:c r="J193" s="169" t="n">
        <x:f>MAX(0,J191-J192)</x:f>
        <x:v>0</x:v>
      </x:c>
      <x:c r="K193" s="169" t="n">
        <x:f>MAX(0,K191-K192)</x:f>
        <x:v>0</x:v>
      </x:c>
      <x:c r="L193" s="169" t="n">
        <x:f>MAX(0,L191-L192)</x:f>
        <x:v>0</x:v>
      </x:c>
      <x:c r="M193" s="169" t="n">
        <x:f>MAX(0,M191-M192)</x:f>
        <x:v>0</x:v>
      </x:c>
      <x:c r="N193" s="169" t="n">
        <x:f>MAX(0,N191-N192)</x:f>
        <x:v>0</x:v>
      </x:c>
      <x:c r="O193" s="169" t="n">
        <x:f>MAX(0,O191-O192)</x:f>
        <x:v>0</x:v>
      </x:c>
      <x:c r="P193" s="169" t="n">
        <x:f>MAX(0,P191-P192)</x:f>
        <x:v>0</x:v>
      </x:c>
      <x:c r="Q193" s="169" t="n">
        <x:f>MAX(0,Q191-Q192)</x:f>
        <x:v>0</x:v>
      </x:c>
      <x:c r="R193" s="169" t="n">
        <x:f>MAX(0,R191-R192)</x:f>
        <x:v>0</x:v>
      </x:c>
      <x:c r="S193" s="169" t="n">
        <x:f>MAX(0,S191-S192)</x:f>
        <x:v>0</x:v>
      </x:c>
      <x:c r="T193" s="169" t="n">
        <x:f>MAX(0,T191-T192)</x:f>
        <x:v>0</x:v>
      </x:c>
      <x:c r="U193" s="169" t="n">
        <x:f>MAX(0,U191-U192)</x:f>
        <x:v>0</x:v>
      </x:c>
      <x:c r="V193" s="169" t="n">
        <x:f>MAX(0,V191-V192)</x:f>
        <x:v>0</x:v>
      </x:c>
      <x:c r="W193" s="169" t="n">
        <x:f>MAX(0,W191-W192)</x:f>
        <x:v>0</x:v>
      </x:c>
      <x:c r="X193" s="169" t="n">
        <x:f>MAX(0,X191-X192)</x:f>
        <x:v>0</x:v>
      </x:c>
      <x:c r="Y193" s="169" t="n">
        <x:f>MAX(0,Y191-Y192)</x:f>
        <x:v>0</x:v>
      </x:c>
      <x:c r="Z193" s="169" t="n">
        <x:f>MAX(0,Z191-Z192)</x:f>
        <x:v>0</x:v>
      </x:c>
      <x:c r="AA193" s="169" t="n">
        <x:f>MAX(0,AA191-AA192)</x:f>
        <x:v>0</x:v>
      </x:c>
      <x:c r="AB193" s="169" t="n">
        <x:f>MAX(0,AB191-AB192)</x:f>
        <x:v>1005642.936350944</x:v>
      </x:c>
      <x:c r="AC193" s="169" t="n">
        <x:f>MAX(0,AC191-AC192)</x:f>
        <x:v>804514.3490807553</x:v>
      </x:c>
    </x:row>
    <x:row r="194" ht="20" customHeight="1">
      <x:c r="A194" s="170" t="str">
        <x:v>Networking / CPU</x:v>
      </x:c>
      <x:c r="B194" s="214" t="n">
        <x:v>2042</x:v>
      </x:c>
      <x:c r="C194" s="170" t="n">
        <x:f>'ROIC Cloud'!W$15*'ROIC Cloud'!$D$46</x:f>
        <x:v>1206771.5236211328</x:v>
      </x:c>
      <x:c r="D194" s="214" t="n">
        <x:f>'ROIC Cloud'!$D$42</x:f>
        <x:v>6</x:v>
      </x:c>
      <x:c r="E194" s="214" t="n">
        <x:f>B194+'ROIC Cloud'!$D$40</x:f>
        <x:v>2044</x:v>
      </x:c>
      <x:c r="F194" s="170" t="str">
        <x:v>Average NBV</x:v>
      </x:c>
      <x:c r="G194" s="169" t="n">
        <x:f>(G191+G193)/2</x:f>
        <x:v>0</x:v>
      </x:c>
      <x:c r="H194" s="169" t="n">
        <x:f>(H191+H193)/2</x:f>
        <x:v>0</x:v>
      </x:c>
      <x:c r="I194" s="169" t="n">
        <x:f>(I191+I193)/2</x:f>
        <x:v>0</x:v>
      </x:c>
      <x:c r="J194" s="169" t="n">
        <x:f>(J191+J193)/2</x:f>
        <x:v>0</x:v>
      </x:c>
      <x:c r="K194" s="169" t="n">
        <x:f>(K191+K193)/2</x:f>
        <x:v>0</x:v>
      </x:c>
      <x:c r="L194" s="169" t="n">
        <x:f>(L191+L193)/2</x:f>
        <x:v>0</x:v>
      </x:c>
      <x:c r="M194" s="169" t="n">
        <x:f>(M191+M193)/2</x:f>
        <x:v>0</x:v>
      </x:c>
      <x:c r="N194" s="169" t="n">
        <x:f>(N191+N193)/2</x:f>
        <x:v>0</x:v>
      </x:c>
      <x:c r="O194" s="169" t="n">
        <x:f>(O191+O193)/2</x:f>
        <x:v>0</x:v>
      </x:c>
      <x:c r="P194" s="169" t="n">
        <x:f>(P191+P193)/2</x:f>
        <x:v>0</x:v>
      </x:c>
      <x:c r="Q194" s="169" t="n">
        <x:f>(Q191+Q193)/2</x:f>
        <x:v>0</x:v>
      </x:c>
      <x:c r="R194" s="169" t="n">
        <x:f>(R191+R193)/2</x:f>
        <x:v>0</x:v>
      </x:c>
      <x:c r="S194" s="169" t="n">
        <x:f>(S191+S193)/2</x:f>
        <x:v>0</x:v>
      </x:c>
      <x:c r="T194" s="169" t="n">
        <x:f>(T191+T193)/2</x:f>
        <x:v>0</x:v>
      </x:c>
      <x:c r="U194" s="169" t="n">
        <x:f>(U191+U193)/2</x:f>
        <x:v>0</x:v>
      </x:c>
      <x:c r="V194" s="169" t="n">
        <x:f>(V191+V193)/2</x:f>
        <x:v>0</x:v>
      </x:c>
      <x:c r="W194" s="169" t="n">
        <x:f>(W191+W193)/2</x:f>
        <x:v>0</x:v>
      </x:c>
      <x:c r="X194" s="169" t="n">
        <x:f>(X191+X193)/2</x:f>
        <x:v>0</x:v>
      </x:c>
      <x:c r="Y194" s="169" t="n">
        <x:f>(Y191+Y193)/2</x:f>
        <x:v>0</x:v>
      </x:c>
      <x:c r="Z194" s="169" t="n">
        <x:f>(Z191+Z193)/2</x:f>
        <x:v>0</x:v>
      </x:c>
      <x:c r="AA194" s="169" t="n">
        <x:f>(AA191+AA193)/2</x:f>
        <x:v>0</x:v>
      </x:c>
      <x:c r="AB194" s="169" t="n">
        <x:f>(AB191+AB193)/2</x:f>
        <x:v>1106207.2299860385</x:v>
      </x:c>
      <x:c r="AC194" s="169" t="n">
        <x:f>(AC191+AC193)/2</x:f>
        <x:v>905078.6427158497</x:v>
      </x:c>
    </x:row>
    <x:row r="195" ht="20" customHeight="1">
      <x:c r="A195" s="170" t="str">
        <x:v>Networking / CPU</x:v>
      </x:c>
      <x:c r="B195" s="214" t="n">
        <x:v>2043</x:v>
      </x:c>
      <x:c r="C195" s="170" t="n">
        <x:f>'ROIC Cloud'!X$15*'ROIC Cloud'!$D$46</x:f>
        <x:v>1303313.2455108236</x:v>
      </x:c>
      <x:c r="D195" s="214" t="n">
        <x:f>'ROIC Cloud'!$D$42</x:f>
        <x:v>6</x:v>
      </x:c>
      <x:c r="E195" s="214" t="n">
        <x:f>B195+'ROIC Cloud'!$D$40</x:f>
        <x:v>2045</x:v>
      </x:c>
      <x:c r="F195" s="170" t="str">
        <x:v>Opening NBV</x:v>
      </x:c>
      <x:c r="G195" s="169" t="n">
        <x:f>IF(G$4&gt;=$E195,$C195*MAX(0,1-(G$4-$E195)/$D195),0)</x:f>
        <x:v>0</x:v>
      </x:c>
      <x:c r="H195" s="169" t="n">
        <x:f>IF(H$4&gt;=$E195,$C195*MAX(0,1-(H$4-$E195)/$D195),0)</x:f>
        <x:v>0</x:v>
      </x:c>
      <x:c r="I195" s="169" t="n">
        <x:f>IF(I$4&gt;=$E195,$C195*MAX(0,1-(I$4-$E195)/$D195),0)</x:f>
        <x:v>0</x:v>
      </x:c>
      <x:c r="J195" s="169" t="n">
        <x:f>IF(J$4&gt;=$E195,$C195*MAX(0,1-(J$4-$E195)/$D195),0)</x:f>
        <x:v>0</x:v>
      </x:c>
      <x:c r="K195" s="169" t="n">
        <x:f>IF(K$4&gt;=$E195,$C195*MAX(0,1-(K$4-$E195)/$D195),0)</x:f>
        <x:v>0</x:v>
      </x:c>
      <x:c r="L195" s="169" t="n">
        <x:f>IF(L$4&gt;=$E195,$C195*MAX(0,1-(L$4-$E195)/$D195),0)</x:f>
        <x:v>0</x:v>
      </x:c>
      <x:c r="M195" s="169" t="n">
        <x:f>IF(M$4&gt;=$E195,$C195*MAX(0,1-(M$4-$E195)/$D195),0)</x:f>
        <x:v>0</x:v>
      </x:c>
      <x:c r="N195" s="169" t="n">
        <x:f>IF(N$4&gt;=$E195,$C195*MAX(0,1-(N$4-$E195)/$D195),0)</x:f>
        <x:v>0</x:v>
      </x:c>
      <x:c r="O195" s="169" t="n">
        <x:f>IF(O$4&gt;=$E195,$C195*MAX(0,1-(O$4-$E195)/$D195),0)</x:f>
        <x:v>0</x:v>
      </x:c>
      <x:c r="P195" s="169" t="n">
        <x:f>IF(P$4&gt;=$E195,$C195*MAX(0,1-(P$4-$E195)/$D195),0)</x:f>
        <x:v>0</x:v>
      </x:c>
      <x:c r="Q195" s="169" t="n">
        <x:f>IF(Q$4&gt;=$E195,$C195*MAX(0,1-(Q$4-$E195)/$D195),0)</x:f>
        <x:v>0</x:v>
      </x:c>
      <x:c r="R195" s="169" t="n">
        <x:f>IF(R$4&gt;=$E195,$C195*MAX(0,1-(R$4-$E195)/$D195),0)</x:f>
        <x:v>0</x:v>
      </x:c>
      <x:c r="S195" s="169" t="n">
        <x:f>IF(S$4&gt;=$E195,$C195*MAX(0,1-(S$4-$E195)/$D195),0)</x:f>
        <x:v>0</x:v>
      </x:c>
      <x:c r="T195" s="169" t="n">
        <x:f>IF(T$4&gt;=$E195,$C195*MAX(0,1-(T$4-$E195)/$D195),0)</x:f>
        <x:v>0</x:v>
      </x:c>
      <x:c r="U195" s="169" t="n">
        <x:f>IF(U$4&gt;=$E195,$C195*MAX(0,1-(U$4-$E195)/$D195),0)</x:f>
        <x:v>0</x:v>
      </x:c>
      <x:c r="V195" s="169" t="n">
        <x:f>IF(V$4&gt;=$E195,$C195*MAX(0,1-(V$4-$E195)/$D195),0)</x:f>
        <x:v>0</x:v>
      </x:c>
      <x:c r="W195" s="169" t="n">
        <x:f>IF(W$4&gt;=$E195,$C195*MAX(0,1-(W$4-$E195)/$D195),0)</x:f>
        <x:v>0</x:v>
      </x:c>
      <x:c r="X195" s="169" t="n">
        <x:f>IF(X$4&gt;=$E195,$C195*MAX(0,1-(X$4-$E195)/$D195),0)</x:f>
        <x:v>0</x:v>
      </x:c>
      <x:c r="Y195" s="169" t="n">
        <x:f>IF(Y$4&gt;=$E195,$C195*MAX(0,1-(Y$4-$E195)/$D195),0)</x:f>
        <x:v>0</x:v>
      </x:c>
      <x:c r="Z195" s="169" t="n">
        <x:f>IF(Z$4&gt;=$E195,$C195*MAX(0,1-(Z$4-$E195)/$D195),0)</x:f>
        <x:v>0</x:v>
      </x:c>
      <x:c r="AA195" s="169" t="n">
        <x:f>IF(AA$4&gt;=$E195,$C195*MAX(0,1-(AA$4-$E195)/$D195),0)</x:f>
        <x:v>0</x:v>
      </x:c>
      <x:c r="AB195" s="169" t="n">
        <x:f>IF(AB$4&gt;=$E195,$C195*MAX(0,1-(AB$4-$E195)/$D195),0)</x:f>
        <x:v>0</x:v>
      </x:c>
      <x:c r="AC195" s="169" t="n">
        <x:f>IF(AC$4&gt;=$E195,$C195*MAX(0,1-(AC$4-$E195)/$D195),0)</x:f>
        <x:v>1303313.2455108236</x:v>
      </x:c>
    </x:row>
    <x:row r="196" ht="20" customHeight="1">
      <x:c r="A196" s="170" t="str">
        <x:v>Networking / CPU</x:v>
      </x:c>
      <x:c r="B196" s="214" t="n">
        <x:v>2043</x:v>
      </x:c>
      <x:c r="C196" s="170" t="n">
        <x:f>'ROIC Cloud'!X$15*'ROIC Cloud'!$D$46</x:f>
        <x:v>1303313.2455108236</x:v>
      </x:c>
      <x:c r="D196" s="214" t="n">
        <x:f>'ROIC Cloud'!$D$42</x:f>
        <x:v>6</x:v>
      </x:c>
      <x:c r="E196" s="214" t="n">
        <x:f>B196+'ROIC Cloud'!$D$40</x:f>
        <x:v>2045</x:v>
      </x:c>
      <x:c r="F196" s="170" t="str">
        <x:v>Depreciation</x:v>
      </x:c>
      <x:c r="G196" s="169" t="n">
        <x:f>IF(G$4&gt;=$E195,MIN($C195/$D195,G195),0)</x:f>
        <x:v>0</x:v>
      </x:c>
      <x:c r="H196" s="169" t="n">
        <x:f>IF(H$4&gt;=$E195,MIN($C195/$D195,H195),0)</x:f>
        <x:v>0</x:v>
      </x:c>
      <x:c r="I196" s="169" t="n">
        <x:f>IF(I$4&gt;=$E195,MIN($C195/$D195,I195),0)</x:f>
        <x:v>0</x:v>
      </x:c>
      <x:c r="J196" s="169" t="n">
        <x:f>IF(J$4&gt;=$E195,MIN($C195/$D195,J195),0)</x:f>
        <x:v>0</x:v>
      </x:c>
      <x:c r="K196" s="169" t="n">
        <x:f>IF(K$4&gt;=$E195,MIN($C195/$D195,K195),0)</x:f>
        <x:v>0</x:v>
      </x:c>
      <x:c r="L196" s="169" t="n">
        <x:f>IF(L$4&gt;=$E195,MIN($C195/$D195,L195),0)</x:f>
        <x:v>0</x:v>
      </x:c>
      <x:c r="M196" s="169" t="n">
        <x:f>IF(M$4&gt;=$E195,MIN($C195/$D195,M195),0)</x:f>
        <x:v>0</x:v>
      </x:c>
      <x:c r="N196" s="169" t="n">
        <x:f>IF(N$4&gt;=$E195,MIN($C195/$D195,N195),0)</x:f>
        <x:v>0</x:v>
      </x:c>
      <x:c r="O196" s="169" t="n">
        <x:f>IF(O$4&gt;=$E195,MIN($C195/$D195,O195),0)</x:f>
        <x:v>0</x:v>
      </x:c>
      <x:c r="P196" s="169" t="n">
        <x:f>IF(P$4&gt;=$E195,MIN($C195/$D195,P195),0)</x:f>
        <x:v>0</x:v>
      </x:c>
      <x:c r="Q196" s="169" t="n">
        <x:f>IF(Q$4&gt;=$E195,MIN($C195/$D195,Q195),0)</x:f>
        <x:v>0</x:v>
      </x:c>
      <x:c r="R196" s="169" t="n">
        <x:f>IF(R$4&gt;=$E195,MIN($C195/$D195,R195),0)</x:f>
        <x:v>0</x:v>
      </x:c>
      <x:c r="S196" s="169" t="n">
        <x:f>IF(S$4&gt;=$E195,MIN($C195/$D195,S195),0)</x:f>
        <x:v>0</x:v>
      </x:c>
      <x:c r="T196" s="169" t="n">
        <x:f>IF(T$4&gt;=$E195,MIN($C195/$D195,T195),0)</x:f>
        <x:v>0</x:v>
      </x:c>
      <x:c r="U196" s="169" t="n">
        <x:f>IF(U$4&gt;=$E195,MIN($C195/$D195,U195),0)</x:f>
        <x:v>0</x:v>
      </x:c>
      <x:c r="V196" s="169" t="n">
        <x:f>IF(V$4&gt;=$E195,MIN($C195/$D195,V195),0)</x:f>
        <x:v>0</x:v>
      </x:c>
      <x:c r="W196" s="169" t="n">
        <x:f>IF(W$4&gt;=$E195,MIN($C195/$D195,W195),0)</x:f>
        <x:v>0</x:v>
      </x:c>
      <x:c r="X196" s="169" t="n">
        <x:f>IF(X$4&gt;=$E195,MIN($C195/$D195,X195),0)</x:f>
        <x:v>0</x:v>
      </x:c>
      <x:c r="Y196" s="169" t="n">
        <x:f>IF(Y$4&gt;=$E195,MIN($C195/$D195,Y195),0)</x:f>
        <x:v>0</x:v>
      </x:c>
      <x:c r="Z196" s="169" t="n">
        <x:f>IF(Z$4&gt;=$E195,MIN($C195/$D195,Z195),0)</x:f>
        <x:v>0</x:v>
      </x:c>
      <x:c r="AA196" s="169" t="n">
        <x:f>IF(AA$4&gt;=$E195,MIN($C195/$D195,AA195),0)</x:f>
        <x:v>0</x:v>
      </x:c>
      <x:c r="AB196" s="169" t="n">
        <x:f>IF(AB$4&gt;=$E195,MIN($C195/$D195,AB195),0)</x:f>
        <x:v>0</x:v>
      </x:c>
      <x:c r="AC196" s="169" t="n">
        <x:f>IF(AC$4&gt;=$E195,MIN($C195/$D195,AC195),0)</x:f>
        <x:v>217218.87425180394</x:v>
      </x:c>
    </x:row>
    <x:row r="197" ht="20" customHeight="1">
      <x:c r="A197" s="170" t="str">
        <x:v>Networking / CPU</x:v>
      </x:c>
      <x:c r="B197" s="214" t="n">
        <x:v>2043</x:v>
      </x:c>
      <x:c r="C197" s="170" t="n">
        <x:f>'ROIC Cloud'!X$15*'ROIC Cloud'!$D$46</x:f>
        <x:v>1303313.2455108236</x:v>
      </x:c>
      <x:c r="D197" s="214" t="n">
        <x:f>'ROIC Cloud'!$D$42</x:f>
        <x:v>6</x:v>
      </x:c>
      <x:c r="E197" s="214" t="n">
        <x:f>B197+'ROIC Cloud'!$D$40</x:f>
        <x:v>2045</x:v>
      </x:c>
      <x:c r="F197" s="170" t="str">
        <x:v>Closing NBV</x:v>
      </x:c>
      <x:c r="G197" s="169" t="n">
        <x:f>MAX(0,G195-G196)</x:f>
        <x:v>0</x:v>
      </x:c>
      <x:c r="H197" s="169" t="n">
        <x:f>MAX(0,H195-H196)</x:f>
        <x:v>0</x:v>
      </x:c>
      <x:c r="I197" s="169" t="n">
        <x:f>MAX(0,I195-I196)</x:f>
        <x:v>0</x:v>
      </x:c>
      <x:c r="J197" s="169" t="n">
        <x:f>MAX(0,J195-J196)</x:f>
        <x:v>0</x:v>
      </x:c>
      <x:c r="K197" s="169" t="n">
        <x:f>MAX(0,K195-K196)</x:f>
        <x:v>0</x:v>
      </x:c>
      <x:c r="L197" s="169" t="n">
        <x:f>MAX(0,L195-L196)</x:f>
        <x:v>0</x:v>
      </x:c>
      <x:c r="M197" s="169" t="n">
        <x:f>MAX(0,M195-M196)</x:f>
        <x:v>0</x:v>
      </x:c>
      <x:c r="N197" s="169" t="n">
        <x:f>MAX(0,N195-N196)</x:f>
        <x:v>0</x:v>
      </x:c>
      <x:c r="O197" s="169" t="n">
        <x:f>MAX(0,O195-O196)</x:f>
        <x:v>0</x:v>
      </x:c>
      <x:c r="P197" s="169" t="n">
        <x:f>MAX(0,P195-P196)</x:f>
        <x:v>0</x:v>
      </x:c>
      <x:c r="Q197" s="169" t="n">
        <x:f>MAX(0,Q195-Q196)</x:f>
        <x:v>0</x:v>
      </x:c>
      <x:c r="R197" s="169" t="n">
        <x:f>MAX(0,R195-R196)</x:f>
        <x:v>0</x:v>
      </x:c>
      <x:c r="S197" s="169" t="n">
        <x:f>MAX(0,S195-S196)</x:f>
        <x:v>0</x:v>
      </x:c>
      <x:c r="T197" s="169" t="n">
        <x:f>MAX(0,T195-T196)</x:f>
        <x:v>0</x:v>
      </x:c>
      <x:c r="U197" s="169" t="n">
        <x:f>MAX(0,U195-U196)</x:f>
        <x:v>0</x:v>
      </x:c>
      <x:c r="V197" s="169" t="n">
        <x:f>MAX(0,V195-V196)</x:f>
        <x:v>0</x:v>
      </x:c>
      <x:c r="W197" s="169" t="n">
        <x:f>MAX(0,W195-W196)</x:f>
        <x:v>0</x:v>
      </x:c>
      <x:c r="X197" s="169" t="n">
        <x:f>MAX(0,X195-X196)</x:f>
        <x:v>0</x:v>
      </x:c>
      <x:c r="Y197" s="169" t="n">
        <x:f>MAX(0,Y195-Y196)</x:f>
        <x:v>0</x:v>
      </x:c>
      <x:c r="Z197" s="169" t="n">
        <x:f>MAX(0,Z195-Z196)</x:f>
        <x:v>0</x:v>
      </x:c>
      <x:c r="AA197" s="169" t="n">
        <x:f>MAX(0,AA195-AA196)</x:f>
        <x:v>0</x:v>
      </x:c>
      <x:c r="AB197" s="169" t="n">
        <x:f>MAX(0,AB195-AB196)</x:f>
        <x:v>0</x:v>
      </x:c>
      <x:c r="AC197" s="169" t="n">
        <x:f>MAX(0,AC195-AC196)</x:f>
        <x:v>1086094.3712590197</x:v>
      </x:c>
    </x:row>
    <x:row r="198" ht="20" customHeight="1">
      <x:c r="A198" s="170" t="str">
        <x:v>Networking / CPU</x:v>
      </x:c>
      <x:c r="B198" s="214" t="n">
        <x:v>2043</x:v>
      </x:c>
      <x:c r="C198" s="170" t="n">
        <x:f>'ROIC Cloud'!X$15*'ROIC Cloud'!$D$46</x:f>
        <x:v>1303313.2455108236</x:v>
      </x:c>
      <x:c r="D198" s="214" t="n">
        <x:f>'ROIC Cloud'!$D$42</x:f>
        <x:v>6</x:v>
      </x:c>
      <x:c r="E198" s="214" t="n">
        <x:f>B198+'ROIC Cloud'!$D$40</x:f>
        <x:v>2045</x:v>
      </x:c>
      <x:c r="F198" s="170" t="str">
        <x:v>Average NBV</x:v>
      </x:c>
      <x:c r="G198" s="169" t="n">
        <x:f>(G195+G197)/2</x:f>
        <x:v>0</x:v>
      </x:c>
      <x:c r="H198" s="169" t="n">
        <x:f>(H195+H197)/2</x:f>
        <x:v>0</x:v>
      </x:c>
      <x:c r="I198" s="169" t="n">
        <x:f>(I195+I197)/2</x:f>
        <x:v>0</x:v>
      </x:c>
      <x:c r="J198" s="169" t="n">
        <x:f>(J195+J197)/2</x:f>
        <x:v>0</x:v>
      </x:c>
      <x:c r="K198" s="169" t="n">
        <x:f>(K195+K197)/2</x:f>
        <x:v>0</x:v>
      </x:c>
      <x:c r="L198" s="169" t="n">
        <x:f>(L195+L197)/2</x:f>
        <x:v>0</x:v>
      </x:c>
      <x:c r="M198" s="169" t="n">
        <x:f>(M195+M197)/2</x:f>
        <x:v>0</x:v>
      </x:c>
      <x:c r="N198" s="169" t="n">
        <x:f>(N195+N197)/2</x:f>
        <x:v>0</x:v>
      </x:c>
      <x:c r="O198" s="169" t="n">
        <x:f>(O195+O197)/2</x:f>
        <x:v>0</x:v>
      </x:c>
      <x:c r="P198" s="169" t="n">
        <x:f>(P195+P197)/2</x:f>
        <x:v>0</x:v>
      </x:c>
      <x:c r="Q198" s="169" t="n">
        <x:f>(Q195+Q197)/2</x:f>
        <x:v>0</x:v>
      </x:c>
      <x:c r="R198" s="169" t="n">
        <x:f>(R195+R197)/2</x:f>
        <x:v>0</x:v>
      </x:c>
      <x:c r="S198" s="169" t="n">
        <x:f>(S195+S197)/2</x:f>
        <x:v>0</x:v>
      </x:c>
      <x:c r="T198" s="169" t="n">
        <x:f>(T195+T197)/2</x:f>
        <x:v>0</x:v>
      </x:c>
      <x:c r="U198" s="169" t="n">
        <x:f>(U195+U197)/2</x:f>
        <x:v>0</x:v>
      </x:c>
      <x:c r="V198" s="169" t="n">
        <x:f>(V195+V197)/2</x:f>
        <x:v>0</x:v>
      </x:c>
      <x:c r="W198" s="169" t="n">
        <x:f>(W195+W197)/2</x:f>
        <x:v>0</x:v>
      </x:c>
      <x:c r="X198" s="169" t="n">
        <x:f>(X195+X197)/2</x:f>
        <x:v>0</x:v>
      </x:c>
      <x:c r="Y198" s="169" t="n">
        <x:f>(Y195+Y197)/2</x:f>
        <x:v>0</x:v>
      </x:c>
      <x:c r="Z198" s="169" t="n">
        <x:f>(Z195+Z197)/2</x:f>
        <x:v>0</x:v>
      </x:c>
      <x:c r="AA198" s="169" t="n">
        <x:f>(AA195+AA197)/2</x:f>
        <x:v>0</x:v>
      </x:c>
      <x:c r="AB198" s="169" t="n">
        <x:f>(AB195+AB197)/2</x:f>
        <x:v>0</x:v>
      </x:c>
      <x:c r="AC198" s="169" t="n">
        <x:f>(AC195+AC197)/2</x:f>
        <x:v>1194703.8083849216</x:v>
      </x:c>
    </x:row>
    <x:row r="199" ht="20" customHeight="1">
      <x:c r="A199" s="170" t="str">
        <x:v>Networking / CPU</x:v>
      </x:c>
      <x:c r="B199" s="214" t="n">
        <x:v>2044</x:v>
      </x:c>
      <x:c r="C199" s="170" t="n">
        <x:f>'ROIC Cloud'!Y$15*'ROIC Cloud'!$D$46</x:f>
        <x:v>1407578.3051516898</x:v>
      </x:c>
      <x:c r="D199" s="214" t="n">
        <x:f>'ROIC Cloud'!$D$42</x:f>
        <x:v>6</x:v>
      </x:c>
      <x:c r="E199" s="214" t="n">
        <x:f>B199+'ROIC Cloud'!$D$40</x:f>
        <x:v>2046</x:v>
      </x:c>
      <x:c r="F199" s="170" t="str">
        <x:v>Opening NBV</x:v>
      </x:c>
      <x:c r="G199" s="169" t="n">
        <x:f>IF(G$4&gt;=$E199,$C199*MAX(0,1-(G$4-$E199)/$D199),0)</x:f>
        <x:v>0</x:v>
      </x:c>
      <x:c r="H199" s="169" t="n">
        <x:f>IF(H$4&gt;=$E199,$C199*MAX(0,1-(H$4-$E199)/$D199),0)</x:f>
        <x:v>0</x:v>
      </x:c>
      <x:c r="I199" s="169" t="n">
        <x:f>IF(I$4&gt;=$E199,$C199*MAX(0,1-(I$4-$E199)/$D199),0)</x:f>
        <x:v>0</x:v>
      </x:c>
      <x:c r="J199" s="169" t="n">
        <x:f>IF(J$4&gt;=$E199,$C199*MAX(0,1-(J$4-$E199)/$D199),0)</x:f>
        <x:v>0</x:v>
      </x:c>
      <x:c r="K199" s="169" t="n">
        <x:f>IF(K$4&gt;=$E199,$C199*MAX(0,1-(K$4-$E199)/$D199),0)</x:f>
        <x:v>0</x:v>
      </x:c>
      <x:c r="L199" s="169" t="n">
        <x:f>IF(L$4&gt;=$E199,$C199*MAX(0,1-(L$4-$E199)/$D199),0)</x:f>
        <x:v>0</x:v>
      </x:c>
      <x:c r="M199" s="169" t="n">
        <x:f>IF(M$4&gt;=$E199,$C199*MAX(0,1-(M$4-$E199)/$D199),0)</x:f>
        <x:v>0</x:v>
      </x:c>
      <x:c r="N199" s="169" t="n">
        <x:f>IF(N$4&gt;=$E199,$C199*MAX(0,1-(N$4-$E199)/$D199),0)</x:f>
        <x:v>0</x:v>
      </x:c>
      <x:c r="O199" s="169" t="n">
        <x:f>IF(O$4&gt;=$E199,$C199*MAX(0,1-(O$4-$E199)/$D199),0)</x:f>
        <x:v>0</x:v>
      </x:c>
      <x:c r="P199" s="169" t="n">
        <x:f>IF(P$4&gt;=$E199,$C199*MAX(0,1-(P$4-$E199)/$D199),0)</x:f>
        <x:v>0</x:v>
      </x:c>
      <x:c r="Q199" s="169" t="n">
        <x:f>IF(Q$4&gt;=$E199,$C199*MAX(0,1-(Q$4-$E199)/$D199),0)</x:f>
        <x:v>0</x:v>
      </x:c>
      <x:c r="R199" s="169" t="n">
        <x:f>IF(R$4&gt;=$E199,$C199*MAX(0,1-(R$4-$E199)/$D199),0)</x:f>
        <x:v>0</x:v>
      </x:c>
      <x:c r="S199" s="169" t="n">
        <x:f>IF(S$4&gt;=$E199,$C199*MAX(0,1-(S$4-$E199)/$D199),0)</x:f>
        <x:v>0</x:v>
      </x:c>
      <x:c r="T199" s="169" t="n">
        <x:f>IF(T$4&gt;=$E199,$C199*MAX(0,1-(T$4-$E199)/$D199),0)</x:f>
        <x:v>0</x:v>
      </x:c>
      <x:c r="U199" s="169" t="n">
        <x:f>IF(U$4&gt;=$E199,$C199*MAX(0,1-(U$4-$E199)/$D199),0)</x:f>
        <x:v>0</x:v>
      </x:c>
      <x:c r="V199" s="169" t="n">
        <x:f>IF(V$4&gt;=$E199,$C199*MAX(0,1-(V$4-$E199)/$D199),0)</x:f>
        <x:v>0</x:v>
      </x:c>
      <x:c r="W199" s="169" t="n">
        <x:f>IF(W$4&gt;=$E199,$C199*MAX(0,1-(W$4-$E199)/$D199),0)</x:f>
        <x:v>0</x:v>
      </x:c>
      <x:c r="X199" s="169" t="n">
        <x:f>IF(X$4&gt;=$E199,$C199*MAX(0,1-(X$4-$E199)/$D199),0)</x:f>
        <x:v>0</x:v>
      </x:c>
      <x:c r="Y199" s="169" t="n">
        <x:f>IF(Y$4&gt;=$E199,$C199*MAX(0,1-(Y$4-$E199)/$D199),0)</x:f>
        <x:v>0</x:v>
      </x:c>
      <x:c r="Z199" s="169" t="n">
        <x:f>IF(Z$4&gt;=$E199,$C199*MAX(0,1-(Z$4-$E199)/$D199),0)</x:f>
        <x:v>0</x:v>
      </x:c>
      <x:c r="AA199" s="169" t="n">
        <x:f>IF(AA$4&gt;=$E199,$C199*MAX(0,1-(AA$4-$E199)/$D199),0)</x:f>
        <x:v>0</x:v>
      </x:c>
      <x:c r="AB199" s="169" t="n">
        <x:f>IF(AB$4&gt;=$E199,$C199*MAX(0,1-(AB$4-$E199)/$D199),0)</x:f>
        <x:v>0</x:v>
      </x:c>
      <x:c r="AC199" s="169" t="n">
        <x:f>IF(AC$4&gt;=$E199,$C199*MAX(0,1-(AC$4-$E199)/$D199),0)</x:f>
        <x:v>0</x:v>
      </x:c>
    </x:row>
    <x:row r="200" ht="20" customHeight="1">
      <x:c r="A200" s="170" t="str">
        <x:v>Networking / CPU</x:v>
      </x:c>
      <x:c r="B200" s="214" t="n">
        <x:v>2044</x:v>
      </x:c>
      <x:c r="C200" s="170" t="n">
        <x:f>'ROIC Cloud'!Y$15*'ROIC Cloud'!$D$46</x:f>
        <x:v>1407578.3051516898</x:v>
      </x:c>
      <x:c r="D200" s="214" t="n">
        <x:f>'ROIC Cloud'!$D$42</x:f>
        <x:v>6</x:v>
      </x:c>
      <x:c r="E200" s="214" t="n">
        <x:f>B200+'ROIC Cloud'!$D$40</x:f>
        <x:v>2046</x:v>
      </x:c>
      <x:c r="F200" s="170" t="str">
        <x:v>Depreciation</x:v>
      </x:c>
      <x:c r="G200" s="169" t="n">
        <x:f>IF(G$4&gt;=$E199,MIN($C199/$D199,G199),0)</x:f>
        <x:v>0</x:v>
      </x:c>
      <x:c r="H200" s="169" t="n">
        <x:f>IF(H$4&gt;=$E199,MIN($C199/$D199,H199),0)</x:f>
        <x:v>0</x:v>
      </x:c>
      <x:c r="I200" s="169" t="n">
        <x:f>IF(I$4&gt;=$E199,MIN($C199/$D199,I199),0)</x:f>
        <x:v>0</x:v>
      </x:c>
      <x:c r="J200" s="169" t="n">
        <x:f>IF(J$4&gt;=$E199,MIN($C199/$D199,J199),0)</x:f>
        <x:v>0</x:v>
      </x:c>
      <x:c r="K200" s="169" t="n">
        <x:f>IF(K$4&gt;=$E199,MIN($C199/$D199,K199),0)</x:f>
        <x:v>0</x:v>
      </x:c>
      <x:c r="L200" s="169" t="n">
        <x:f>IF(L$4&gt;=$E199,MIN($C199/$D199,L199),0)</x:f>
        <x:v>0</x:v>
      </x:c>
      <x:c r="M200" s="169" t="n">
        <x:f>IF(M$4&gt;=$E199,MIN($C199/$D199,M199),0)</x:f>
        <x:v>0</x:v>
      </x:c>
      <x:c r="N200" s="169" t="n">
        <x:f>IF(N$4&gt;=$E199,MIN($C199/$D199,N199),0)</x:f>
        <x:v>0</x:v>
      </x:c>
      <x:c r="O200" s="169" t="n">
        <x:f>IF(O$4&gt;=$E199,MIN($C199/$D199,O199),0)</x:f>
        <x:v>0</x:v>
      </x:c>
      <x:c r="P200" s="169" t="n">
        <x:f>IF(P$4&gt;=$E199,MIN($C199/$D199,P199),0)</x:f>
        <x:v>0</x:v>
      </x:c>
      <x:c r="Q200" s="169" t="n">
        <x:f>IF(Q$4&gt;=$E199,MIN($C199/$D199,Q199),0)</x:f>
        <x:v>0</x:v>
      </x:c>
      <x:c r="R200" s="169" t="n">
        <x:f>IF(R$4&gt;=$E199,MIN($C199/$D199,R199),0)</x:f>
        <x:v>0</x:v>
      </x:c>
      <x:c r="S200" s="169" t="n">
        <x:f>IF(S$4&gt;=$E199,MIN($C199/$D199,S199),0)</x:f>
        <x:v>0</x:v>
      </x:c>
      <x:c r="T200" s="169" t="n">
        <x:f>IF(T$4&gt;=$E199,MIN($C199/$D199,T199),0)</x:f>
        <x:v>0</x:v>
      </x:c>
      <x:c r="U200" s="169" t="n">
        <x:f>IF(U$4&gt;=$E199,MIN($C199/$D199,U199),0)</x:f>
        <x:v>0</x:v>
      </x:c>
      <x:c r="V200" s="169" t="n">
        <x:f>IF(V$4&gt;=$E199,MIN($C199/$D199,V199),0)</x:f>
        <x:v>0</x:v>
      </x:c>
      <x:c r="W200" s="169" t="n">
        <x:f>IF(W$4&gt;=$E199,MIN($C199/$D199,W199),0)</x:f>
        <x:v>0</x:v>
      </x:c>
      <x:c r="X200" s="169" t="n">
        <x:f>IF(X$4&gt;=$E199,MIN($C199/$D199,X199),0)</x:f>
        <x:v>0</x:v>
      </x:c>
      <x:c r="Y200" s="169" t="n">
        <x:f>IF(Y$4&gt;=$E199,MIN($C199/$D199,Y199),0)</x:f>
        <x:v>0</x:v>
      </x:c>
      <x:c r="Z200" s="169" t="n">
        <x:f>IF(Z$4&gt;=$E199,MIN($C199/$D199,Z199),0)</x:f>
        <x:v>0</x:v>
      </x:c>
      <x:c r="AA200" s="169" t="n">
        <x:f>IF(AA$4&gt;=$E199,MIN($C199/$D199,AA199),0)</x:f>
        <x:v>0</x:v>
      </x:c>
      <x:c r="AB200" s="169" t="n">
        <x:f>IF(AB$4&gt;=$E199,MIN($C199/$D199,AB199),0)</x:f>
        <x:v>0</x:v>
      </x:c>
      <x:c r="AC200" s="169" t="n">
        <x:f>IF(AC$4&gt;=$E199,MIN($C199/$D199,AC199),0)</x:f>
        <x:v>0</x:v>
      </x:c>
    </x:row>
    <x:row r="201" ht="20" customHeight="1">
      <x:c r="A201" s="170" t="str">
        <x:v>Networking / CPU</x:v>
      </x:c>
      <x:c r="B201" s="214" t="n">
        <x:v>2044</x:v>
      </x:c>
      <x:c r="C201" s="170" t="n">
        <x:f>'ROIC Cloud'!Y$15*'ROIC Cloud'!$D$46</x:f>
        <x:v>1407578.3051516898</x:v>
      </x:c>
      <x:c r="D201" s="214" t="n">
        <x:f>'ROIC Cloud'!$D$42</x:f>
        <x:v>6</x:v>
      </x:c>
      <x:c r="E201" s="214" t="n">
        <x:f>B201+'ROIC Cloud'!$D$40</x:f>
        <x:v>2046</x:v>
      </x:c>
      <x:c r="F201" s="170" t="str">
        <x:v>Closing NBV</x:v>
      </x:c>
      <x:c r="G201" s="169" t="n">
        <x:f>MAX(0,G199-G200)</x:f>
        <x:v>0</x:v>
      </x:c>
      <x:c r="H201" s="169" t="n">
        <x:f>MAX(0,H199-H200)</x:f>
        <x:v>0</x:v>
      </x:c>
      <x:c r="I201" s="169" t="n">
        <x:f>MAX(0,I199-I200)</x:f>
        <x:v>0</x:v>
      </x:c>
      <x:c r="J201" s="169" t="n">
        <x:f>MAX(0,J199-J200)</x:f>
        <x:v>0</x:v>
      </x:c>
      <x:c r="K201" s="169" t="n">
        <x:f>MAX(0,K199-K200)</x:f>
        <x:v>0</x:v>
      </x:c>
      <x:c r="L201" s="169" t="n">
        <x:f>MAX(0,L199-L200)</x:f>
        <x:v>0</x:v>
      </x:c>
      <x:c r="M201" s="169" t="n">
        <x:f>MAX(0,M199-M200)</x:f>
        <x:v>0</x:v>
      </x:c>
      <x:c r="N201" s="169" t="n">
        <x:f>MAX(0,N199-N200)</x:f>
        <x:v>0</x:v>
      </x:c>
      <x:c r="O201" s="169" t="n">
        <x:f>MAX(0,O199-O200)</x:f>
        <x:v>0</x:v>
      </x:c>
      <x:c r="P201" s="169" t="n">
        <x:f>MAX(0,P199-P200)</x:f>
        <x:v>0</x:v>
      </x:c>
      <x:c r="Q201" s="169" t="n">
        <x:f>MAX(0,Q199-Q200)</x:f>
        <x:v>0</x:v>
      </x:c>
      <x:c r="R201" s="169" t="n">
        <x:f>MAX(0,R199-R200)</x:f>
        <x:v>0</x:v>
      </x:c>
      <x:c r="S201" s="169" t="n">
        <x:f>MAX(0,S199-S200)</x:f>
        <x:v>0</x:v>
      </x:c>
      <x:c r="T201" s="169" t="n">
        <x:f>MAX(0,T199-T200)</x:f>
        <x:v>0</x:v>
      </x:c>
      <x:c r="U201" s="169" t="n">
        <x:f>MAX(0,U199-U200)</x:f>
        <x:v>0</x:v>
      </x:c>
      <x:c r="V201" s="169" t="n">
        <x:f>MAX(0,V199-V200)</x:f>
        <x:v>0</x:v>
      </x:c>
      <x:c r="W201" s="169" t="n">
        <x:f>MAX(0,W199-W200)</x:f>
        <x:v>0</x:v>
      </x:c>
      <x:c r="X201" s="169" t="n">
        <x:f>MAX(0,X199-X200)</x:f>
        <x:v>0</x:v>
      </x:c>
      <x:c r="Y201" s="169" t="n">
        <x:f>MAX(0,Y199-Y200)</x:f>
        <x:v>0</x:v>
      </x:c>
      <x:c r="Z201" s="169" t="n">
        <x:f>MAX(0,Z199-Z200)</x:f>
        <x:v>0</x:v>
      </x:c>
      <x:c r="AA201" s="169" t="n">
        <x:f>MAX(0,AA199-AA200)</x:f>
        <x:v>0</x:v>
      </x:c>
      <x:c r="AB201" s="169" t="n">
        <x:f>MAX(0,AB199-AB200)</x:f>
        <x:v>0</x:v>
      </x:c>
      <x:c r="AC201" s="169" t="n">
        <x:f>MAX(0,AC199-AC200)</x:f>
        <x:v>0</x:v>
      </x:c>
    </x:row>
    <x:row r="202" ht="20" customHeight="1">
      <x:c r="A202" s="170" t="str">
        <x:v>Networking / CPU</x:v>
      </x:c>
      <x:c r="B202" s="214" t="n">
        <x:v>2044</x:v>
      </x:c>
      <x:c r="C202" s="170" t="n">
        <x:f>'ROIC Cloud'!Y$15*'ROIC Cloud'!$D$46</x:f>
        <x:v>1407578.3051516898</x:v>
      </x:c>
      <x:c r="D202" s="214" t="n">
        <x:f>'ROIC Cloud'!$D$42</x:f>
        <x:v>6</x:v>
      </x:c>
      <x:c r="E202" s="214" t="n">
        <x:f>B202+'ROIC Cloud'!$D$40</x:f>
        <x:v>2046</x:v>
      </x:c>
      <x:c r="F202" s="170" t="str">
        <x:v>Average NBV</x:v>
      </x:c>
      <x:c r="G202" s="169" t="n">
        <x:f>(G199+G201)/2</x:f>
        <x:v>0</x:v>
      </x:c>
      <x:c r="H202" s="169" t="n">
        <x:f>(H199+H201)/2</x:f>
        <x:v>0</x:v>
      </x:c>
      <x:c r="I202" s="169" t="n">
        <x:f>(I199+I201)/2</x:f>
        <x:v>0</x:v>
      </x:c>
      <x:c r="J202" s="169" t="n">
        <x:f>(J199+J201)/2</x:f>
        <x:v>0</x:v>
      </x:c>
      <x:c r="K202" s="169" t="n">
        <x:f>(K199+K201)/2</x:f>
        <x:v>0</x:v>
      </x:c>
      <x:c r="L202" s="169" t="n">
        <x:f>(L199+L201)/2</x:f>
        <x:v>0</x:v>
      </x:c>
      <x:c r="M202" s="169" t="n">
        <x:f>(M199+M201)/2</x:f>
        <x:v>0</x:v>
      </x:c>
      <x:c r="N202" s="169" t="n">
        <x:f>(N199+N201)/2</x:f>
        <x:v>0</x:v>
      </x:c>
      <x:c r="O202" s="169" t="n">
        <x:f>(O199+O201)/2</x:f>
        <x:v>0</x:v>
      </x:c>
      <x:c r="P202" s="169" t="n">
        <x:f>(P199+P201)/2</x:f>
        <x:v>0</x:v>
      </x:c>
      <x:c r="Q202" s="169" t="n">
        <x:f>(Q199+Q201)/2</x:f>
        <x:v>0</x:v>
      </x:c>
      <x:c r="R202" s="169" t="n">
        <x:f>(R199+R201)/2</x:f>
        <x:v>0</x:v>
      </x:c>
      <x:c r="S202" s="169" t="n">
        <x:f>(S199+S201)/2</x:f>
        <x:v>0</x:v>
      </x:c>
      <x:c r="T202" s="169" t="n">
        <x:f>(T199+T201)/2</x:f>
        <x:v>0</x:v>
      </x:c>
      <x:c r="U202" s="169" t="n">
        <x:f>(U199+U201)/2</x:f>
        <x:v>0</x:v>
      </x:c>
      <x:c r="V202" s="169" t="n">
        <x:f>(V199+V201)/2</x:f>
        <x:v>0</x:v>
      </x:c>
      <x:c r="W202" s="169" t="n">
        <x:f>(W199+W201)/2</x:f>
        <x:v>0</x:v>
      </x:c>
      <x:c r="X202" s="169" t="n">
        <x:f>(X199+X201)/2</x:f>
        <x:v>0</x:v>
      </x:c>
      <x:c r="Y202" s="169" t="n">
        <x:f>(Y199+Y201)/2</x:f>
        <x:v>0</x:v>
      </x:c>
      <x:c r="Z202" s="169" t="n">
        <x:f>(Z199+Z201)/2</x:f>
        <x:v>0</x:v>
      </x:c>
      <x:c r="AA202" s="169" t="n">
        <x:f>(AA199+AA201)/2</x:f>
        <x:v>0</x:v>
      </x:c>
      <x:c r="AB202" s="169" t="n">
        <x:f>(AB199+AB201)/2</x:f>
        <x:v>0</x:v>
      </x:c>
      <x:c r="AC202" s="169" t="n">
        <x:f>(AC199+AC201)/2</x:f>
        <x:v>0</x:v>
      </x:c>
    </x:row>
    <x:row r="203" ht="20" customHeight="1">
      <x:c r="A203" s="170" t="str">
        <x:v>Networking / CPU</x:v>
      </x:c>
      <x:c r="B203" s="214" t="n">
        <x:v>2045</x:v>
      </x:c>
      <x:c r="C203" s="170" t="n">
        <x:f>'ROIC Cloud'!Z$15*'ROIC Cloud'!$D$46</x:f>
        <x:v>1520184.569563825</x:v>
      </x:c>
      <x:c r="D203" s="214" t="n">
        <x:f>'ROIC Cloud'!$D$42</x:f>
        <x:v>6</x:v>
      </x:c>
      <x:c r="E203" s="214" t="n">
        <x:f>B203+'ROIC Cloud'!$D$40</x:f>
        <x:v>2047</x:v>
      </x:c>
      <x:c r="F203" s="170" t="str">
        <x:v>Opening NBV</x:v>
      </x:c>
      <x:c r="G203" s="169" t="n">
        <x:f>IF(G$4&gt;=$E203,$C203*MAX(0,1-(G$4-$E203)/$D203),0)</x:f>
        <x:v>0</x:v>
      </x:c>
      <x:c r="H203" s="169" t="n">
        <x:f>IF(H$4&gt;=$E203,$C203*MAX(0,1-(H$4-$E203)/$D203),0)</x:f>
        <x:v>0</x:v>
      </x:c>
      <x:c r="I203" s="169" t="n">
        <x:f>IF(I$4&gt;=$E203,$C203*MAX(0,1-(I$4-$E203)/$D203),0)</x:f>
        <x:v>0</x:v>
      </x:c>
      <x:c r="J203" s="169" t="n">
        <x:f>IF(J$4&gt;=$E203,$C203*MAX(0,1-(J$4-$E203)/$D203),0)</x:f>
        <x:v>0</x:v>
      </x:c>
      <x:c r="K203" s="169" t="n">
        <x:f>IF(K$4&gt;=$E203,$C203*MAX(0,1-(K$4-$E203)/$D203),0)</x:f>
        <x:v>0</x:v>
      </x:c>
      <x:c r="L203" s="169" t="n">
        <x:f>IF(L$4&gt;=$E203,$C203*MAX(0,1-(L$4-$E203)/$D203),0)</x:f>
        <x:v>0</x:v>
      </x:c>
      <x:c r="M203" s="169" t="n">
        <x:f>IF(M$4&gt;=$E203,$C203*MAX(0,1-(M$4-$E203)/$D203),0)</x:f>
        <x:v>0</x:v>
      </x:c>
      <x:c r="N203" s="169" t="n">
        <x:f>IF(N$4&gt;=$E203,$C203*MAX(0,1-(N$4-$E203)/$D203),0)</x:f>
        <x:v>0</x:v>
      </x:c>
      <x:c r="O203" s="169" t="n">
        <x:f>IF(O$4&gt;=$E203,$C203*MAX(0,1-(O$4-$E203)/$D203),0)</x:f>
        <x:v>0</x:v>
      </x:c>
      <x:c r="P203" s="169" t="n">
        <x:f>IF(P$4&gt;=$E203,$C203*MAX(0,1-(P$4-$E203)/$D203),0)</x:f>
        <x:v>0</x:v>
      </x:c>
      <x:c r="Q203" s="169" t="n">
        <x:f>IF(Q$4&gt;=$E203,$C203*MAX(0,1-(Q$4-$E203)/$D203),0)</x:f>
        <x:v>0</x:v>
      </x:c>
      <x:c r="R203" s="169" t="n">
        <x:f>IF(R$4&gt;=$E203,$C203*MAX(0,1-(R$4-$E203)/$D203),0)</x:f>
        <x:v>0</x:v>
      </x:c>
      <x:c r="S203" s="169" t="n">
        <x:f>IF(S$4&gt;=$E203,$C203*MAX(0,1-(S$4-$E203)/$D203),0)</x:f>
        <x:v>0</x:v>
      </x:c>
      <x:c r="T203" s="169" t="n">
        <x:f>IF(T$4&gt;=$E203,$C203*MAX(0,1-(T$4-$E203)/$D203),0)</x:f>
        <x:v>0</x:v>
      </x:c>
      <x:c r="U203" s="169" t="n">
        <x:f>IF(U$4&gt;=$E203,$C203*MAX(0,1-(U$4-$E203)/$D203),0)</x:f>
        <x:v>0</x:v>
      </x:c>
      <x:c r="V203" s="169" t="n">
        <x:f>IF(V$4&gt;=$E203,$C203*MAX(0,1-(V$4-$E203)/$D203),0)</x:f>
        <x:v>0</x:v>
      </x:c>
      <x:c r="W203" s="169" t="n">
        <x:f>IF(W$4&gt;=$E203,$C203*MAX(0,1-(W$4-$E203)/$D203),0)</x:f>
        <x:v>0</x:v>
      </x:c>
      <x:c r="X203" s="169" t="n">
        <x:f>IF(X$4&gt;=$E203,$C203*MAX(0,1-(X$4-$E203)/$D203),0)</x:f>
        <x:v>0</x:v>
      </x:c>
      <x:c r="Y203" s="169" t="n">
        <x:f>IF(Y$4&gt;=$E203,$C203*MAX(0,1-(Y$4-$E203)/$D203),0)</x:f>
        <x:v>0</x:v>
      </x:c>
      <x:c r="Z203" s="169" t="n">
        <x:f>IF(Z$4&gt;=$E203,$C203*MAX(0,1-(Z$4-$E203)/$D203),0)</x:f>
        <x:v>0</x:v>
      </x:c>
      <x:c r="AA203" s="169" t="n">
        <x:f>IF(AA$4&gt;=$E203,$C203*MAX(0,1-(AA$4-$E203)/$D203),0)</x:f>
        <x:v>0</x:v>
      </x:c>
      <x:c r="AB203" s="169" t="n">
        <x:f>IF(AB$4&gt;=$E203,$C203*MAX(0,1-(AB$4-$E203)/$D203),0)</x:f>
        <x:v>0</x:v>
      </x:c>
      <x:c r="AC203" s="169" t="n">
        <x:f>IF(AC$4&gt;=$E203,$C203*MAX(0,1-(AC$4-$E203)/$D203),0)</x:f>
        <x:v>0</x:v>
      </x:c>
    </x:row>
    <x:row r="204" ht="20" customHeight="1">
      <x:c r="A204" s="170" t="str">
        <x:v>Networking / CPU</x:v>
      </x:c>
      <x:c r="B204" s="214" t="n">
        <x:v>2045</x:v>
      </x:c>
      <x:c r="C204" s="170" t="n">
        <x:f>'ROIC Cloud'!Z$15*'ROIC Cloud'!$D$46</x:f>
        <x:v>1520184.569563825</x:v>
      </x:c>
      <x:c r="D204" s="214" t="n">
        <x:f>'ROIC Cloud'!$D$42</x:f>
        <x:v>6</x:v>
      </x:c>
      <x:c r="E204" s="214" t="n">
        <x:f>B204+'ROIC Cloud'!$D$40</x:f>
        <x:v>2047</x:v>
      </x:c>
      <x:c r="F204" s="170" t="str">
        <x:v>Depreciation</x:v>
      </x:c>
      <x:c r="G204" s="169" t="n">
        <x:f>IF(G$4&gt;=$E203,MIN($C203/$D203,G203),0)</x:f>
        <x:v>0</x:v>
      </x:c>
      <x:c r="H204" s="169" t="n">
        <x:f>IF(H$4&gt;=$E203,MIN($C203/$D203,H203),0)</x:f>
        <x:v>0</x:v>
      </x:c>
      <x:c r="I204" s="169" t="n">
        <x:f>IF(I$4&gt;=$E203,MIN($C203/$D203,I203),0)</x:f>
        <x:v>0</x:v>
      </x:c>
      <x:c r="J204" s="169" t="n">
        <x:f>IF(J$4&gt;=$E203,MIN($C203/$D203,J203),0)</x:f>
        <x:v>0</x:v>
      </x:c>
      <x:c r="K204" s="169" t="n">
        <x:f>IF(K$4&gt;=$E203,MIN($C203/$D203,K203),0)</x:f>
        <x:v>0</x:v>
      </x:c>
      <x:c r="L204" s="169" t="n">
        <x:f>IF(L$4&gt;=$E203,MIN($C203/$D203,L203),0)</x:f>
        <x:v>0</x:v>
      </x:c>
      <x:c r="M204" s="169" t="n">
        <x:f>IF(M$4&gt;=$E203,MIN($C203/$D203,M203),0)</x:f>
        <x:v>0</x:v>
      </x:c>
      <x:c r="N204" s="169" t="n">
        <x:f>IF(N$4&gt;=$E203,MIN($C203/$D203,N203),0)</x:f>
        <x:v>0</x:v>
      </x:c>
      <x:c r="O204" s="169" t="n">
        <x:f>IF(O$4&gt;=$E203,MIN($C203/$D203,O203),0)</x:f>
        <x:v>0</x:v>
      </x:c>
      <x:c r="P204" s="169" t="n">
        <x:f>IF(P$4&gt;=$E203,MIN($C203/$D203,P203),0)</x:f>
        <x:v>0</x:v>
      </x:c>
      <x:c r="Q204" s="169" t="n">
        <x:f>IF(Q$4&gt;=$E203,MIN($C203/$D203,Q203),0)</x:f>
        <x:v>0</x:v>
      </x:c>
      <x:c r="R204" s="169" t="n">
        <x:f>IF(R$4&gt;=$E203,MIN($C203/$D203,R203),0)</x:f>
        <x:v>0</x:v>
      </x:c>
      <x:c r="S204" s="169" t="n">
        <x:f>IF(S$4&gt;=$E203,MIN($C203/$D203,S203),0)</x:f>
        <x:v>0</x:v>
      </x:c>
      <x:c r="T204" s="169" t="n">
        <x:f>IF(T$4&gt;=$E203,MIN($C203/$D203,T203),0)</x:f>
        <x:v>0</x:v>
      </x:c>
      <x:c r="U204" s="169" t="n">
        <x:f>IF(U$4&gt;=$E203,MIN($C203/$D203,U203),0)</x:f>
        <x:v>0</x:v>
      </x:c>
      <x:c r="V204" s="169" t="n">
        <x:f>IF(V$4&gt;=$E203,MIN($C203/$D203,V203),0)</x:f>
        <x:v>0</x:v>
      </x:c>
      <x:c r="W204" s="169" t="n">
        <x:f>IF(W$4&gt;=$E203,MIN($C203/$D203,W203),0)</x:f>
        <x:v>0</x:v>
      </x:c>
      <x:c r="X204" s="169" t="n">
        <x:f>IF(X$4&gt;=$E203,MIN($C203/$D203,X203),0)</x:f>
        <x:v>0</x:v>
      </x:c>
      <x:c r="Y204" s="169" t="n">
        <x:f>IF(Y$4&gt;=$E203,MIN($C203/$D203,Y203),0)</x:f>
        <x:v>0</x:v>
      </x:c>
      <x:c r="Z204" s="169" t="n">
        <x:f>IF(Z$4&gt;=$E203,MIN($C203/$D203,Z203),0)</x:f>
        <x:v>0</x:v>
      </x:c>
      <x:c r="AA204" s="169" t="n">
        <x:f>IF(AA$4&gt;=$E203,MIN($C203/$D203,AA203),0)</x:f>
        <x:v>0</x:v>
      </x:c>
      <x:c r="AB204" s="169" t="n">
        <x:f>IF(AB$4&gt;=$E203,MIN($C203/$D203,AB203),0)</x:f>
        <x:v>0</x:v>
      </x:c>
      <x:c r="AC204" s="169" t="n">
        <x:f>IF(AC$4&gt;=$E203,MIN($C203/$D203,AC203),0)</x:f>
        <x:v>0</x:v>
      </x:c>
    </x:row>
    <x:row r="205" ht="20" customHeight="1">
      <x:c r="A205" s="170" t="str">
        <x:v>Networking / CPU</x:v>
      </x:c>
      <x:c r="B205" s="214" t="n">
        <x:v>2045</x:v>
      </x:c>
      <x:c r="C205" s="170" t="n">
        <x:f>'ROIC Cloud'!Z$15*'ROIC Cloud'!$D$46</x:f>
        <x:v>1520184.569563825</x:v>
      </x:c>
      <x:c r="D205" s="214" t="n">
        <x:f>'ROIC Cloud'!$D$42</x:f>
        <x:v>6</x:v>
      </x:c>
      <x:c r="E205" s="214" t="n">
        <x:f>B205+'ROIC Cloud'!$D$40</x:f>
        <x:v>2047</x:v>
      </x:c>
      <x:c r="F205" s="170" t="str">
        <x:v>Closing NBV</x:v>
      </x:c>
      <x:c r="G205" s="169" t="n">
        <x:f>MAX(0,G203-G204)</x:f>
        <x:v>0</x:v>
      </x:c>
      <x:c r="H205" s="169" t="n">
        <x:f>MAX(0,H203-H204)</x:f>
        <x:v>0</x:v>
      </x:c>
      <x:c r="I205" s="169" t="n">
        <x:f>MAX(0,I203-I204)</x:f>
        <x:v>0</x:v>
      </x:c>
      <x:c r="J205" s="169" t="n">
        <x:f>MAX(0,J203-J204)</x:f>
        <x:v>0</x:v>
      </x:c>
      <x:c r="K205" s="169" t="n">
        <x:f>MAX(0,K203-K204)</x:f>
        <x:v>0</x:v>
      </x:c>
      <x:c r="L205" s="169" t="n">
        <x:f>MAX(0,L203-L204)</x:f>
        <x:v>0</x:v>
      </x:c>
      <x:c r="M205" s="169" t="n">
        <x:f>MAX(0,M203-M204)</x:f>
        <x:v>0</x:v>
      </x:c>
      <x:c r="N205" s="169" t="n">
        <x:f>MAX(0,N203-N204)</x:f>
        <x:v>0</x:v>
      </x:c>
      <x:c r="O205" s="169" t="n">
        <x:f>MAX(0,O203-O204)</x:f>
        <x:v>0</x:v>
      </x:c>
      <x:c r="P205" s="169" t="n">
        <x:f>MAX(0,P203-P204)</x:f>
        <x:v>0</x:v>
      </x:c>
      <x:c r="Q205" s="169" t="n">
        <x:f>MAX(0,Q203-Q204)</x:f>
        <x:v>0</x:v>
      </x:c>
      <x:c r="R205" s="169" t="n">
        <x:f>MAX(0,R203-R204)</x:f>
        <x:v>0</x:v>
      </x:c>
      <x:c r="S205" s="169" t="n">
        <x:f>MAX(0,S203-S204)</x:f>
        <x:v>0</x:v>
      </x:c>
      <x:c r="T205" s="169" t="n">
        <x:f>MAX(0,T203-T204)</x:f>
        <x:v>0</x:v>
      </x:c>
      <x:c r="U205" s="169" t="n">
        <x:f>MAX(0,U203-U204)</x:f>
        <x:v>0</x:v>
      </x:c>
      <x:c r="V205" s="169" t="n">
        <x:f>MAX(0,V203-V204)</x:f>
        <x:v>0</x:v>
      </x:c>
      <x:c r="W205" s="169" t="n">
        <x:f>MAX(0,W203-W204)</x:f>
        <x:v>0</x:v>
      </x:c>
      <x:c r="X205" s="169" t="n">
        <x:f>MAX(0,X203-X204)</x:f>
        <x:v>0</x:v>
      </x:c>
      <x:c r="Y205" s="169" t="n">
        <x:f>MAX(0,Y203-Y204)</x:f>
        <x:v>0</x:v>
      </x:c>
      <x:c r="Z205" s="169" t="n">
        <x:f>MAX(0,Z203-Z204)</x:f>
        <x:v>0</x:v>
      </x:c>
      <x:c r="AA205" s="169" t="n">
        <x:f>MAX(0,AA203-AA204)</x:f>
        <x:v>0</x:v>
      </x:c>
      <x:c r="AB205" s="169" t="n">
        <x:f>MAX(0,AB203-AB204)</x:f>
        <x:v>0</x:v>
      </x:c>
      <x:c r="AC205" s="169" t="n">
        <x:f>MAX(0,AC203-AC204)</x:f>
        <x:v>0</x:v>
      </x:c>
    </x:row>
    <x:row r="206" ht="20" customHeight="1">
      <x:c r="A206" s="170" t="str">
        <x:v>Networking / CPU</x:v>
      </x:c>
      <x:c r="B206" s="214" t="n">
        <x:v>2045</x:v>
      </x:c>
      <x:c r="C206" s="170" t="n">
        <x:f>'ROIC Cloud'!Z$15*'ROIC Cloud'!$D$46</x:f>
        <x:v>1520184.569563825</x:v>
      </x:c>
      <x:c r="D206" s="214" t="n">
        <x:f>'ROIC Cloud'!$D$42</x:f>
        <x:v>6</x:v>
      </x:c>
      <x:c r="E206" s="214" t="n">
        <x:f>B206+'ROIC Cloud'!$D$40</x:f>
        <x:v>2047</x:v>
      </x:c>
      <x:c r="F206" s="170" t="str">
        <x:v>Average NBV</x:v>
      </x:c>
      <x:c r="G206" s="169" t="n">
        <x:f>(G203+G205)/2</x:f>
        <x:v>0</x:v>
      </x:c>
      <x:c r="H206" s="169" t="n">
        <x:f>(H203+H205)/2</x:f>
        <x:v>0</x:v>
      </x:c>
      <x:c r="I206" s="169" t="n">
        <x:f>(I203+I205)/2</x:f>
        <x:v>0</x:v>
      </x:c>
      <x:c r="J206" s="169" t="n">
        <x:f>(J203+J205)/2</x:f>
        <x:v>0</x:v>
      </x:c>
      <x:c r="K206" s="169" t="n">
        <x:f>(K203+K205)/2</x:f>
        <x:v>0</x:v>
      </x:c>
      <x:c r="L206" s="169" t="n">
        <x:f>(L203+L205)/2</x:f>
        <x:v>0</x:v>
      </x:c>
      <x:c r="M206" s="169" t="n">
        <x:f>(M203+M205)/2</x:f>
        <x:v>0</x:v>
      </x:c>
      <x:c r="N206" s="169" t="n">
        <x:f>(N203+N205)/2</x:f>
        <x:v>0</x:v>
      </x:c>
      <x:c r="O206" s="169" t="n">
        <x:f>(O203+O205)/2</x:f>
        <x:v>0</x:v>
      </x:c>
      <x:c r="P206" s="169" t="n">
        <x:f>(P203+P205)/2</x:f>
        <x:v>0</x:v>
      </x:c>
      <x:c r="Q206" s="169" t="n">
        <x:f>(Q203+Q205)/2</x:f>
        <x:v>0</x:v>
      </x:c>
      <x:c r="R206" s="169" t="n">
        <x:f>(R203+R205)/2</x:f>
        <x:v>0</x:v>
      </x:c>
      <x:c r="S206" s="169" t="n">
        <x:f>(S203+S205)/2</x:f>
        <x:v>0</x:v>
      </x:c>
      <x:c r="T206" s="169" t="n">
        <x:f>(T203+T205)/2</x:f>
        <x:v>0</x:v>
      </x:c>
      <x:c r="U206" s="169" t="n">
        <x:f>(U203+U205)/2</x:f>
        <x:v>0</x:v>
      </x:c>
      <x:c r="V206" s="169" t="n">
        <x:f>(V203+V205)/2</x:f>
        <x:v>0</x:v>
      </x:c>
      <x:c r="W206" s="169" t="n">
        <x:f>(W203+W205)/2</x:f>
        <x:v>0</x:v>
      </x:c>
      <x:c r="X206" s="169" t="n">
        <x:f>(X203+X205)/2</x:f>
        <x:v>0</x:v>
      </x:c>
      <x:c r="Y206" s="169" t="n">
        <x:f>(Y203+Y205)/2</x:f>
        <x:v>0</x:v>
      </x:c>
      <x:c r="Z206" s="169" t="n">
        <x:f>(Z203+Z205)/2</x:f>
        <x:v>0</x:v>
      </x:c>
      <x:c r="AA206" s="169" t="n">
        <x:f>(AA203+AA205)/2</x:f>
        <x:v>0</x:v>
      </x:c>
      <x:c r="AB206" s="169" t="n">
        <x:f>(AB203+AB205)/2</x:f>
        <x:v>0</x:v>
      </x:c>
      <x:c r="AC206" s="169" t="n">
        <x:f>(AC203+AC205)/2</x:f>
        <x:v>0</x:v>
      </x:c>
    </x:row>
    <x:row r="207" ht="20" customHeight="1">
      <x:c r="A207" s="170" t="str">
        <x:v>Hard assets</x:v>
      </x:c>
      <x:c r="B207" s="214" t="n">
        <x:v>2023</x:v>
      </x:c>
      <x:c r="C207" s="170" t="n">
        <x:f>'ROIC Cloud'!D$15*'ROIC Cloud'!$D$47</x:f>
        <x:v>19507.125487082103</x:v>
      </x:c>
      <x:c r="D207" s="214" t="n">
        <x:f>'ROIC Cloud'!$D$43</x:f>
        <x:v>15</x:v>
      </x:c>
      <x:c r="E207" s="214" t="n">
        <x:f>B207+'ROIC Cloud'!$D$40</x:f>
        <x:v>2025</x:v>
      </x:c>
      <x:c r="F207" s="170" t="str">
        <x:v>Opening NBV</x:v>
      </x:c>
      <x:c r="G207" s="169" t="n">
        <x:f>IF(G$4&gt;=$E207,$C207*MAX(0,1-(G$4-$E207)/$D207),0)</x:f>
        <x:v>0</x:v>
      </x:c>
      <x:c r="H207" s="169" t="n">
        <x:f>IF(H$4&gt;=$E207,$C207*MAX(0,1-(H$4-$E207)/$D207),0)</x:f>
        <x:v>0</x:v>
      </x:c>
      <x:c r="I207" s="169" t="n">
        <x:f>IF(I$4&gt;=$E207,$C207*MAX(0,1-(I$4-$E207)/$D207),0)</x:f>
        <x:v>19507.125487082103</x:v>
      </x:c>
      <x:c r="J207" s="169" t="n">
        <x:f>IF(J$4&gt;=$E207,$C207*MAX(0,1-(J$4-$E207)/$D207),0)</x:f>
        <x:v>18206.650454609964</x:v>
      </x:c>
      <x:c r="K207" s="169" t="n">
        <x:f>IF(K$4&gt;=$E207,$C207*MAX(0,1-(K$4-$E207)/$D207),0)</x:f>
        <x:v>16906.17542213782</x:v>
      </x:c>
      <x:c r="L207" s="169" t="n">
        <x:f>IF(L$4&gt;=$E207,$C207*MAX(0,1-(L$4-$E207)/$D207),0)</x:f>
        <x:v>15605.700389665682</x:v>
      </x:c>
      <x:c r="M207" s="169" t="n">
        <x:f>IF(M$4&gt;=$E207,$C207*MAX(0,1-(M$4-$E207)/$D207),0)</x:f>
        <x:v>14305.225357193543</x:v>
      </x:c>
      <x:c r="N207" s="169" t="n">
        <x:f>IF(N$4&gt;=$E207,$C207*MAX(0,1-(N$4-$E207)/$D207),0)</x:f>
        <x:v>13004.750324721403</x:v>
      </x:c>
      <x:c r="O207" s="169" t="n">
        <x:f>IF(O$4&gt;=$E207,$C207*MAX(0,1-(O$4-$E207)/$D207),0)</x:f>
        <x:v>11704.275292249262</x:v>
      </x:c>
      <x:c r="P207" s="169" t="n">
        <x:f>IF(P$4&gt;=$E207,$C207*MAX(0,1-(P$4-$E207)/$D207),0)</x:f>
        <x:v>10403.800259777121</x:v>
      </x:c>
      <x:c r="Q207" s="169" t="n">
        <x:f>IF(Q$4&gt;=$E207,$C207*MAX(0,1-(Q$4-$E207)/$D207),0)</x:f>
        <x:v>9103.325227304982</x:v>
      </x:c>
      <x:c r="R207" s="169" t="n">
        <x:f>IF(R$4&gt;=$E207,$C207*MAX(0,1-(R$4-$E207)/$D207),0)</x:f>
        <x:v>7802.850194832841</x:v>
      </x:c>
      <x:c r="S207" s="169" t="n">
        <x:f>IF(S$4&gt;=$E207,$C207*MAX(0,1-(S$4-$E207)/$D207),0)</x:f>
        <x:v>6502.375162360701</x:v>
      </x:c>
      <x:c r="T207" s="169" t="n">
        <x:f>IF(T$4&gt;=$E207,$C207*MAX(0,1-(T$4-$E207)/$D207),0)</x:f>
        <x:v>5201.900129888561</x:v>
      </x:c>
      <x:c r="U207" s="169" t="n">
        <x:f>IF(U$4&gt;=$E207,$C207*MAX(0,1-(U$4-$E207)/$D207),0)</x:f>
        <x:v>3901.4250974164197</x:v>
      </x:c>
      <x:c r="V207" s="169" t="n">
        <x:f>IF(V$4&gt;=$E207,$C207*MAX(0,1-(V$4-$E207)/$D207),0)</x:f>
        <x:v>2600.95006494428</x:v>
      </x:c>
      <x:c r="W207" s="169" t="n">
        <x:f>IF(W$4&gt;=$E207,$C207*MAX(0,1-(W$4-$E207)/$D207),0)</x:f>
        <x:v>1300.47503247214</x:v>
      </x:c>
      <x:c r="X207" s="169" t="n">
        <x:f>IF(X$4&gt;=$E207,$C207*MAX(0,1-(X$4-$E207)/$D207),0)</x:f>
        <x:v>0</x:v>
      </x:c>
      <x:c r="Y207" s="169" t="n">
        <x:f>IF(Y$4&gt;=$E207,$C207*MAX(0,1-(Y$4-$E207)/$D207),0)</x:f>
        <x:v>0</x:v>
      </x:c>
      <x:c r="Z207" s="169" t="n">
        <x:f>IF(Z$4&gt;=$E207,$C207*MAX(0,1-(Z$4-$E207)/$D207),0)</x:f>
        <x:v>0</x:v>
      </x:c>
      <x:c r="AA207" s="169" t="n">
        <x:f>IF(AA$4&gt;=$E207,$C207*MAX(0,1-(AA$4-$E207)/$D207),0)</x:f>
        <x:v>0</x:v>
      </x:c>
      <x:c r="AB207" s="169" t="n">
        <x:f>IF(AB$4&gt;=$E207,$C207*MAX(0,1-(AB$4-$E207)/$D207),0)</x:f>
        <x:v>0</x:v>
      </x:c>
      <x:c r="AC207" s="169" t="n">
        <x:f>IF(AC$4&gt;=$E207,$C207*MAX(0,1-(AC$4-$E207)/$D207),0)</x:f>
        <x:v>0</x:v>
      </x:c>
    </x:row>
    <x:row r="208" ht="20" customHeight="1">
      <x:c r="A208" s="170" t="str">
        <x:v>Hard assets</x:v>
      </x:c>
      <x:c r="B208" s="214" t="n">
        <x:v>2023</x:v>
      </x:c>
      <x:c r="C208" s="170" t="n">
        <x:f>'ROIC Cloud'!D$15*'ROIC Cloud'!$D$47</x:f>
        <x:v>19507.125487082103</x:v>
      </x:c>
      <x:c r="D208" s="214" t="n">
        <x:f>'ROIC Cloud'!$D$43</x:f>
        <x:v>15</x:v>
      </x:c>
      <x:c r="E208" s="214" t="n">
        <x:f>B208+'ROIC Cloud'!$D$40</x:f>
        <x:v>2025</x:v>
      </x:c>
      <x:c r="F208" s="170" t="str">
        <x:v>Depreciation</x:v>
      </x:c>
      <x:c r="G208" s="169" t="n">
        <x:f>IF(G$4&gt;=$E207,MIN($C207/$D207,G207),0)</x:f>
        <x:v>0</x:v>
      </x:c>
      <x:c r="H208" s="169" t="n">
        <x:f>IF(H$4&gt;=$E207,MIN($C207/$D207,H207),0)</x:f>
        <x:v>0</x:v>
      </x:c>
      <x:c r="I208" s="169" t="n">
        <x:f>IF(I$4&gt;=$E207,MIN($C207/$D207,I207),0)</x:f>
        <x:v>1300.4750324721401</x:v>
      </x:c>
      <x:c r="J208" s="169" t="n">
        <x:f>IF(J$4&gt;=$E207,MIN($C207/$D207,J207),0)</x:f>
        <x:v>1300.4750324721401</x:v>
      </x:c>
      <x:c r="K208" s="169" t="n">
        <x:f>IF(K$4&gt;=$E207,MIN($C207/$D207,K207),0)</x:f>
        <x:v>1300.4750324721401</x:v>
      </x:c>
      <x:c r="L208" s="169" t="n">
        <x:f>IF(L$4&gt;=$E207,MIN($C207/$D207,L207),0)</x:f>
        <x:v>1300.4750324721401</x:v>
      </x:c>
      <x:c r="M208" s="169" t="n">
        <x:f>IF(M$4&gt;=$E207,MIN($C207/$D207,M207),0)</x:f>
        <x:v>1300.4750324721401</x:v>
      </x:c>
      <x:c r="N208" s="169" t="n">
        <x:f>IF(N$4&gt;=$E207,MIN($C207/$D207,N207),0)</x:f>
        <x:v>1300.4750324721401</x:v>
      </x:c>
      <x:c r="O208" s="169" t="n">
        <x:f>IF(O$4&gt;=$E207,MIN($C207/$D207,O207),0)</x:f>
        <x:v>1300.4750324721401</x:v>
      </x:c>
      <x:c r="P208" s="169" t="n">
        <x:f>IF(P$4&gt;=$E207,MIN($C207/$D207,P207),0)</x:f>
        <x:v>1300.4750324721401</x:v>
      </x:c>
      <x:c r="Q208" s="169" t="n">
        <x:f>IF(Q$4&gt;=$E207,MIN($C207/$D207,Q207),0)</x:f>
        <x:v>1300.4750324721401</x:v>
      </x:c>
      <x:c r="R208" s="169" t="n">
        <x:f>IF(R$4&gt;=$E207,MIN($C207/$D207,R207),0)</x:f>
        <x:v>1300.4750324721401</x:v>
      </x:c>
      <x:c r="S208" s="169" t="n">
        <x:f>IF(S$4&gt;=$E207,MIN($C207/$D207,S207),0)</x:f>
        <x:v>1300.4750324721401</x:v>
      </x:c>
      <x:c r="T208" s="169" t="n">
        <x:f>IF(T$4&gt;=$E207,MIN($C207/$D207,T207),0)</x:f>
        <x:v>1300.4750324721401</x:v>
      </x:c>
      <x:c r="U208" s="169" t="n">
        <x:f>IF(U$4&gt;=$E207,MIN($C207/$D207,U207),0)</x:f>
        <x:v>1300.4750324721401</x:v>
      </x:c>
      <x:c r="V208" s="169" t="n">
        <x:f>IF(V$4&gt;=$E207,MIN($C207/$D207,V207),0)</x:f>
        <x:v>1300.4750324721401</x:v>
      </x:c>
      <x:c r="W208" s="169" t="n">
        <x:f>IF(W$4&gt;=$E207,MIN($C207/$D207,W207),0)</x:f>
        <x:v>1300.47503247214</x:v>
      </x:c>
      <x:c r="X208" s="169" t="n">
        <x:f>IF(X$4&gt;=$E207,MIN($C207/$D207,X207),0)</x:f>
        <x:v>0</x:v>
      </x:c>
      <x:c r="Y208" s="169" t="n">
        <x:f>IF(Y$4&gt;=$E207,MIN($C207/$D207,Y207),0)</x:f>
        <x:v>0</x:v>
      </x:c>
      <x:c r="Z208" s="169" t="n">
        <x:f>IF(Z$4&gt;=$E207,MIN($C207/$D207,Z207),0)</x:f>
        <x:v>0</x:v>
      </x:c>
      <x:c r="AA208" s="169" t="n">
        <x:f>IF(AA$4&gt;=$E207,MIN($C207/$D207,AA207),0)</x:f>
        <x:v>0</x:v>
      </x:c>
      <x:c r="AB208" s="169" t="n">
        <x:f>IF(AB$4&gt;=$E207,MIN($C207/$D207,AB207),0)</x:f>
        <x:v>0</x:v>
      </x:c>
      <x:c r="AC208" s="169" t="n">
        <x:f>IF(AC$4&gt;=$E207,MIN($C207/$D207,AC207),0)</x:f>
        <x:v>0</x:v>
      </x:c>
    </x:row>
    <x:row r="209" ht="20" customHeight="1">
      <x:c r="A209" s="170" t="str">
        <x:v>Hard assets</x:v>
      </x:c>
      <x:c r="B209" s="214" t="n">
        <x:v>2023</x:v>
      </x:c>
      <x:c r="C209" s="170" t="n">
        <x:f>'ROIC Cloud'!D$15*'ROIC Cloud'!$D$47</x:f>
        <x:v>19507.125487082103</x:v>
      </x:c>
      <x:c r="D209" s="214" t="n">
        <x:f>'ROIC Cloud'!$D$43</x:f>
        <x:v>15</x:v>
      </x:c>
      <x:c r="E209" s="214" t="n">
        <x:f>B209+'ROIC Cloud'!$D$40</x:f>
        <x:v>2025</x:v>
      </x:c>
      <x:c r="F209" s="170" t="str">
        <x:v>Closing NBV</x:v>
      </x:c>
      <x:c r="G209" s="169" t="n">
        <x:f>MAX(0,G207-G208)</x:f>
        <x:v>0</x:v>
      </x:c>
      <x:c r="H209" s="169" t="n">
        <x:f>MAX(0,H207-H208)</x:f>
        <x:v>0</x:v>
      </x:c>
      <x:c r="I209" s="169" t="n">
        <x:f>MAX(0,I207-I208)</x:f>
        <x:v>18206.650454609964</x:v>
      </x:c>
      <x:c r="J209" s="169" t="n">
        <x:f>MAX(0,J207-J208)</x:f>
        <x:v>16906.175422137825</x:v>
      </x:c>
      <x:c r="K209" s="169" t="n">
        <x:f>MAX(0,K207-K208)</x:f>
        <x:v>15605.70038966568</x:v>
      </x:c>
      <x:c r="L209" s="169" t="n">
        <x:f>MAX(0,L207-L208)</x:f>
        <x:v>14305.225357193542</x:v>
      </x:c>
      <x:c r="M209" s="169" t="n">
        <x:f>MAX(0,M207-M208)</x:f>
        <x:v>13004.750324721403</x:v>
      </x:c>
      <x:c r="N209" s="169" t="n">
        <x:f>MAX(0,N207-N208)</x:f>
        <x:v>11704.275292249262</x:v>
      </x:c>
      <x:c r="O209" s="169" t="n">
        <x:f>MAX(0,O207-O208)</x:f>
        <x:v>10403.800259777121</x:v>
      </x:c>
      <x:c r="P209" s="169" t="n">
        <x:f>MAX(0,P207-P208)</x:f>
        <x:v>9103.32522730498</x:v>
      </x:c>
      <x:c r="Q209" s="169" t="n">
        <x:f>MAX(0,Q207-Q208)</x:f>
        <x:v>7802.850194832842</x:v>
      </x:c>
      <x:c r="R209" s="169" t="n">
        <x:f>MAX(0,R207-R208)</x:f>
        <x:v>6502.375162360701</x:v>
      </x:c>
      <x:c r="S209" s="169" t="n">
        <x:f>MAX(0,S207-S208)</x:f>
        <x:v>5201.900129888561</x:v>
      </x:c>
      <x:c r="T209" s="169" t="n">
        <x:f>MAX(0,T207-T208)</x:f>
        <x:v>3901.4250974164215</x:v>
      </x:c>
      <x:c r="U209" s="169" t="n">
        <x:f>MAX(0,U207-U208)</x:f>
        <x:v>2600.95006494428</x:v>
      </x:c>
      <x:c r="V209" s="169" t="n">
        <x:f>MAX(0,V207-V208)</x:f>
        <x:v>1300.4750324721397</x:v>
      </x:c>
      <x:c r="W209" s="169" t="n">
        <x:f>MAX(0,W207-W208)</x:f>
        <x:v>0</x:v>
      </x:c>
      <x:c r="X209" s="169" t="n">
        <x:f>MAX(0,X207-X208)</x:f>
        <x:v>0</x:v>
      </x:c>
      <x:c r="Y209" s="169" t="n">
        <x:f>MAX(0,Y207-Y208)</x:f>
        <x:v>0</x:v>
      </x:c>
      <x:c r="Z209" s="169" t="n">
        <x:f>MAX(0,Z207-Z208)</x:f>
        <x:v>0</x:v>
      </x:c>
      <x:c r="AA209" s="169" t="n">
        <x:f>MAX(0,AA207-AA208)</x:f>
        <x:v>0</x:v>
      </x:c>
      <x:c r="AB209" s="169" t="n">
        <x:f>MAX(0,AB207-AB208)</x:f>
        <x:v>0</x:v>
      </x:c>
      <x:c r="AC209" s="169" t="n">
        <x:f>MAX(0,AC207-AC208)</x:f>
        <x:v>0</x:v>
      </x:c>
    </x:row>
    <x:row r="210" ht="20" customHeight="1">
      <x:c r="A210" s="170" t="str">
        <x:v>Hard assets</x:v>
      </x:c>
      <x:c r="B210" s="214" t="n">
        <x:v>2023</x:v>
      </x:c>
      <x:c r="C210" s="170" t="n">
        <x:f>'ROIC Cloud'!D$15*'ROIC Cloud'!$D$47</x:f>
        <x:v>19507.125487082103</x:v>
      </x:c>
      <x:c r="D210" s="214" t="n">
        <x:f>'ROIC Cloud'!$D$43</x:f>
        <x:v>15</x:v>
      </x:c>
      <x:c r="E210" s="214" t="n">
        <x:f>B210+'ROIC Cloud'!$D$40</x:f>
        <x:v>2025</x:v>
      </x:c>
      <x:c r="F210" s="170" t="str">
        <x:v>Average NBV</x:v>
      </x:c>
      <x:c r="G210" s="169" t="n">
        <x:f>(G207+G209)/2</x:f>
        <x:v>0</x:v>
      </x:c>
      <x:c r="H210" s="169" t="n">
        <x:f>(H207+H209)/2</x:f>
        <x:v>0</x:v>
      </x:c>
      <x:c r="I210" s="169" t="n">
        <x:f>(I207+I209)/2</x:f>
        <x:v>18856.887970846034</x:v>
      </x:c>
      <x:c r="J210" s="169" t="n">
        <x:f>(J207+J209)/2</x:f>
        <x:v>17556.412938373895</x:v>
      </x:c>
      <x:c r="K210" s="169" t="n">
        <x:f>(K207+K209)/2</x:f>
        <x:v>16255.937905901752</x:v>
      </x:c>
      <x:c r="L210" s="169" t="n">
        <x:f>(L207+L209)/2</x:f>
        <x:v>14955.462873429613</x:v>
      </x:c>
      <x:c r="M210" s="169" t="n">
        <x:f>(M207+M209)/2</x:f>
        <x:v>13654.987840957474</x:v>
      </x:c>
      <x:c r="N210" s="169" t="n">
        <x:f>(N207+N209)/2</x:f>
        <x:v>12354.512808485331</x:v>
      </x:c>
      <x:c r="O210" s="169" t="n">
        <x:f>(O207+O209)/2</x:f>
        <x:v>11054.037776013192</x:v>
      </x:c>
      <x:c r="P210" s="169" t="n">
        <x:f>(P207+P209)/2</x:f>
        <x:v>9753.56274354105</x:v>
      </x:c>
      <x:c r="Q210" s="169" t="n">
        <x:f>(Q207+Q209)/2</x:f>
        <x:v>8453.087711068913</x:v>
      </x:c>
      <x:c r="R210" s="169" t="n">
        <x:f>(R207+R209)/2</x:f>
        <x:v>7152.612678596772</x:v>
      </x:c>
      <x:c r="S210" s="169" t="n">
        <x:f>(S207+S209)/2</x:f>
        <x:v>5852.137646124631</x:v>
      </x:c>
      <x:c r="T210" s="169" t="n">
        <x:f>(T207+T209)/2</x:f>
        <x:v>4551.662613652492</x:v>
      </x:c>
      <x:c r="U210" s="169" t="n">
        <x:f>(U207+U209)/2</x:f>
        <x:v>3251.1875811803498</x:v>
      </x:c>
      <x:c r="V210" s="169" t="n">
        <x:f>(V207+V209)/2</x:f>
        <x:v>1950.7125487082099</x:v>
      </x:c>
      <x:c r="W210" s="169" t="n">
        <x:f>(W207+W209)/2</x:f>
        <x:v>650.23751623607</x:v>
      </x:c>
      <x:c r="X210" s="169" t="n">
        <x:f>(X207+X209)/2</x:f>
        <x:v>0</x:v>
      </x:c>
      <x:c r="Y210" s="169" t="n">
        <x:f>(Y207+Y209)/2</x:f>
        <x:v>0</x:v>
      </x:c>
      <x:c r="Z210" s="169" t="n">
        <x:f>(Z207+Z209)/2</x:f>
        <x:v>0</x:v>
      </x:c>
      <x:c r="AA210" s="169" t="n">
        <x:f>(AA207+AA209)/2</x:f>
        <x:v>0</x:v>
      </x:c>
      <x:c r="AB210" s="169" t="n">
        <x:f>(AB207+AB209)/2</x:f>
        <x:v>0</x:v>
      </x:c>
      <x:c r="AC210" s="169" t="n">
        <x:f>(AC207+AC209)/2</x:f>
        <x:v>0</x:v>
      </x:c>
    </x:row>
    <x:row r="211" ht="20" customHeight="1">
      <x:c r="A211" s="170" t="str">
        <x:v>Hard assets</x:v>
      </x:c>
      <x:c r="B211" s="214" t="n">
        <x:v>2024</x:v>
      </x:c>
      <x:c r="C211" s="170" t="n">
        <x:f>'ROIC Cloud'!E$15*'ROIC Cloud'!$D$47</x:f>
        <x:v>50851.4760379184</x:v>
      </x:c>
      <x:c r="D211" s="214" t="n">
        <x:f>'ROIC Cloud'!$D$43</x:f>
        <x:v>15</x:v>
      </x:c>
      <x:c r="E211" s="214" t="n">
        <x:f>B211+'ROIC Cloud'!$D$40</x:f>
        <x:v>2026</x:v>
      </x:c>
      <x:c r="F211" s="170" t="str">
        <x:v>Opening NBV</x:v>
      </x:c>
      <x:c r="G211" s="169" t="n">
        <x:f>IF(G$4&gt;=$E211,$C211*MAX(0,1-(G$4-$E211)/$D211),0)</x:f>
        <x:v>0</x:v>
      </x:c>
      <x:c r="H211" s="169" t="n">
        <x:f>IF(H$4&gt;=$E211,$C211*MAX(0,1-(H$4-$E211)/$D211),0)</x:f>
        <x:v>0</x:v>
      </x:c>
      <x:c r="I211" s="169" t="n">
        <x:f>IF(I$4&gt;=$E211,$C211*MAX(0,1-(I$4-$E211)/$D211),0)</x:f>
        <x:v>0</x:v>
      </x:c>
      <x:c r="J211" s="169" t="n">
        <x:f>IF(J$4&gt;=$E211,$C211*MAX(0,1-(J$4-$E211)/$D211),0)</x:f>
        <x:v>50851.4760379184</x:v>
      </x:c>
      <x:c r="K211" s="169" t="n">
        <x:f>IF(K$4&gt;=$E211,$C211*MAX(0,1-(K$4-$E211)/$D211),0)</x:f>
        <x:v>47461.377635390505</x:v>
      </x:c>
      <x:c r="L211" s="169" t="n">
        <x:f>IF(L$4&gt;=$E211,$C211*MAX(0,1-(L$4-$E211)/$D211),0)</x:f>
        <x:v>44071.27923286262</x:v>
      </x:c>
      <x:c r="M211" s="169" t="n">
        <x:f>IF(M$4&gt;=$E211,$C211*MAX(0,1-(M$4-$E211)/$D211),0)</x:f>
        <x:v>40681.18083033472</x:v>
      </x:c>
      <x:c r="N211" s="169" t="n">
        <x:f>IF(N$4&gt;=$E211,$C211*MAX(0,1-(N$4-$E211)/$D211),0)</x:f>
        <x:v>37291.08242780683</x:v>
      </x:c>
      <x:c r="O211" s="169" t="n">
        <x:f>IF(O$4&gt;=$E211,$C211*MAX(0,1-(O$4-$E211)/$D211),0)</x:f>
        <x:v>33900.984025278936</x:v>
      </x:c>
      <x:c r="P211" s="169" t="n">
        <x:f>IF(P$4&gt;=$E211,$C211*MAX(0,1-(P$4-$E211)/$D211),0)</x:f>
        <x:v>30510.88562275104</x:v>
      </x:c>
      <x:c r="Q211" s="169" t="n">
        <x:f>IF(Q$4&gt;=$E211,$C211*MAX(0,1-(Q$4-$E211)/$D211),0)</x:f>
        <x:v>27120.78722022315</x:v>
      </x:c>
      <x:c r="R211" s="169" t="n">
        <x:f>IF(R$4&gt;=$E211,$C211*MAX(0,1-(R$4-$E211)/$D211),0)</x:f>
        <x:v>23730.688817695253</x:v>
      </x:c>
      <x:c r="S211" s="169" t="n">
        <x:f>IF(S$4&gt;=$E211,$C211*MAX(0,1-(S$4-$E211)/$D211),0)</x:f>
        <x:v>20340.59041516736</x:v>
      </x:c>
      <x:c r="T211" s="169" t="n">
        <x:f>IF(T$4&gt;=$E211,$C211*MAX(0,1-(T$4-$E211)/$D211),0)</x:f>
        <x:v>16950.492012639468</x:v>
      </x:c>
      <x:c r="U211" s="169" t="n">
        <x:f>IF(U$4&gt;=$E211,$C211*MAX(0,1-(U$4-$E211)/$D211),0)</x:f>
        <x:v>13560.393610111576</x:v>
      </x:c>
      <x:c r="V211" s="169" t="n">
        <x:f>IF(V$4&gt;=$E211,$C211*MAX(0,1-(V$4-$E211)/$D211),0)</x:f>
        <x:v>10170.295207583678</x:v>
      </x:c>
      <x:c r="W211" s="169" t="n">
        <x:f>IF(W$4&gt;=$E211,$C211*MAX(0,1-(W$4-$E211)/$D211),0)</x:f>
        <x:v>6780.196805055785</x:v>
      </x:c>
      <x:c r="X211" s="169" t="n">
        <x:f>IF(X$4&gt;=$E211,$C211*MAX(0,1-(X$4-$E211)/$D211),0)</x:f>
        <x:v>3390.0984025278926</x:v>
      </x:c>
      <x:c r="Y211" s="169" t="n">
        <x:f>IF(Y$4&gt;=$E211,$C211*MAX(0,1-(Y$4-$E211)/$D211),0)</x:f>
        <x:v>0</x:v>
      </x:c>
      <x:c r="Z211" s="169" t="n">
        <x:f>IF(Z$4&gt;=$E211,$C211*MAX(0,1-(Z$4-$E211)/$D211),0)</x:f>
        <x:v>0</x:v>
      </x:c>
      <x:c r="AA211" s="169" t="n">
        <x:f>IF(AA$4&gt;=$E211,$C211*MAX(0,1-(AA$4-$E211)/$D211),0)</x:f>
        <x:v>0</x:v>
      </x:c>
      <x:c r="AB211" s="169" t="n">
        <x:f>IF(AB$4&gt;=$E211,$C211*MAX(0,1-(AB$4-$E211)/$D211),0)</x:f>
        <x:v>0</x:v>
      </x:c>
      <x:c r="AC211" s="169" t="n">
        <x:f>IF(AC$4&gt;=$E211,$C211*MAX(0,1-(AC$4-$E211)/$D211),0)</x:f>
        <x:v>0</x:v>
      </x:c>
    </x:row>
    <x:row r="212" ht="20" customHeight="1">
      <x:c r="A212" s="170" t="str">
        <x:v>Hard assets</x:v>
      </x:c>
      <x:c r="B212" s="214" t="n">
        <x:v>2024</x:v>
      </x:c>
      <x:c r="C212" s="170" t="n">
        <x:f>'ROIC Cloud'!E$15*'ROIC Cloud'!$D$47</x:f>
        <x:v>50851.4760379184</x:v>
      </x:c>
      <x:c r="D212" s="214" t="n">
        <x:f>'ROIC Cloud'!$D$43</x:f>
        <x:v>15</x:v>
      </x:c>
      <x:c r="E212" s="214" t="n">
        <x:f>B212+'ROIC Cloud'!$D$40</x:f>
        <x:v>2026</x:v>
      </x:c>
      <x:c r="F212" s="170" t="str">
        <x:v>Depreciation</x:v>
      </x:c>
      <x:c r="G212" s="169" t="n">
        <x:f>IF(G$4&gt;=$E211,MIN($C211/$D211,G211),0)</x:f>
        <x:v>0</x:v>
      </x:c>
      <x:c r="H212" s="169" t="n">
        <x:f>IF(H$4&gt;=$E211,MIN($C211/$D211,H211),0)</x:f>
        <x:v>0</x:v>
      </x:c>
      <x:c r="I212" s="169" t="n">
        <x:f>IF(I$4&gt;=$E211,MIN($C211/$D211,I211),0)</x:f>
        <x:v>0</x:v>
      </x:c>
      <x:c r="J212" s="169" t="n">
        <x:f>IF(J$4&gt;=$E211,MIN($C211/$D211,J211),0)</x:f>
        <x:v>3390.0984025278935</x:v>
      </x:c>
      <x:c r="K212" s="169" t="n">
        <x:f>IF(K$4&gt;=$E211,MIN($C211/$D211,K211),0)</x:f>
        <x:v>3390.0984025278935</x:v>
      </x:c>
      <x:c r="L212" s="169" t="n">
        <x:f>IF(L$4&gt;=$E211,MIN($C211/$D211,L211),0)</x:f>
        <x:v>3390.0984025278935</x:v>
      </x:c>
      <x:c r="M212" s="169" t="n">
        <x:f>IF(M$4&gt;=$E211,MIN($C211/$D211,M211),0)</x:f>
        <x:v>3390.0984025278935</x:v>
      </x:c>
      <x:c r="N212" s="169" t="n">
        <x:f>IF(N$4&gt;=$E211,MIN($C211/$D211,N211),0)</x:f>
        <x:v>3390.0984025278935</x:v>
      </x:c>
      <x:c r="O212" s="169" t="n">
        <x:f>IF(O$4&gt;=$E211,MIN($C211/$D211,O211),0)</x:f>
        <x:v>3390.0984025278935</x:v>
      </x:c>
      <x:c r="P212" s="169" t="n">
        <x:f>IF(P$4&gt;=$E211,MIN($C211/$D211,P211),0)</x:f>
        <x:v>3390.0984025278935</x:v>
      </x:c>
      <x:c r="Q212" s="169" t="n">
        <x:f>IF(Q$4&gt;=$E211,MIN($C211/$D211,Q211),0)</x:f>
        <x:v>3390.0984025278935</x:v>
      </x:c>
      <x:c r="R212" s="169" t="n">
        <x:f>IF(R$4&gt;=$E211,MIN($C211/$D211,R211),0)</x:f>
        <x:v>3390.0984025278935</x:v>
      </x:c>
      <x:c r="S212" s="169" t="n">
        <x:f>IF(S$4&gt;=$E211,MIN($C211/$D211,S211),0)</x:f>
        <x:v>3390.0984025278935</x:v>
      </x:c>
      <x:c r="T212" s="169" t="n">
        <x:f>IF(T$4&gt;=$E211,MIN($C211/$D211,T211),0)</x:f>
        <x:v>3390.0984025278935</x:v>
      </x:c>
      <x:c r="U212" s="169" t="n">
        <x:f>IF(U$4&gt;=$E211,MIN($C211/$D211,U211),0)</x:f>
        <x:v>3390.0984025278935</x:v>
      </x:c>
      <x:c r="V212" s="169" t="n">
        <x:f>IF(V$4&gt;=$E211,MIN($C211/$D211,V211),0)</x:f>
        <x:v>3390.0984025278935</x:v>
      </x:c>
      <x:c r="W212" s="169" t="n">
        <x:f>IF(W$4&gt;=$E211,MIN($C211/$D211,W211),0)</x:f>
        <x:v>3390.0984025278935</x:v>
      </x:c>
      <x:c r="X212" s="169" t="n">
        <x:f>IF(X$4&gt;=$E211,MIN($C211/$D211,X211),0)</x:f>
        <x:v>3390.0984025278926</x:v>
      </x:c>
      <x:c r="Y212" s="169" t="n">
        <x:f>IF(Y$4&gt;=$E211,MIN($C211/$D211,Y211),0)</x:f>
        <x:v>0</x:v>
      </x:c>
      <x:c r="Z212" s="169" t="n">
        <x:f>IF(Z$4&gt;=$E211,MIN($C211/$D211,Z211),0)</x:f>
        <x:v>0</x:v>
      </x:c>
      <x:c r="AA212" s="169" t="n">
        <x:f>IF(AA$4&gt;=$E211,MIN($C211/$D211,AA211),0)</x:f>
        <x:v>0</x:v>
      </x:c>
      <x:c r="AB212" s="169" t="n">
        <x:f>IF(AB$4&gt;=$E211,MIN($C211/$D211,AB211),0)</x:f>
        <x:v>0</x:v>
      </x:c>
      <x:c r="AC212" s="169" t="n">
        <x:f>IF(AC$4&gt;=$E211,MIN($C211/$D211,AC211),0)</x:f>
        <x:v>0</x:v>
      </x:c>
    </x:row>
    <x:row r="213" ht="20" customHeight="1">
      <x:c r="A213" s="170" t="str">
        <x:v>Hard assets</x:v>
      </x:c>
      <x:c r="B213" s="214" t="n">
        <x:v>2024</x:v>
      </x:c>
      <x:c r="C213" s="170" t="n">
        <x:f>'ROIC Cloud'!E$15*'ROIC Cloud'!$D$47</x:f>
        <x:v>50851.4760379184</x:v>
      </x:c>
      <x:c r="D213" s="214" t="n">
        <x:f>'ROIC Cloud'!$D$43</x:f>
        <x:v>15</x:v>
      </x:c>
      <x:c r="E213" s="214" t="n">
        <x:f>B213+'ROIC Cloud'!$D$40</x:f>
        <x:v>2026</x:v>
      </x:c>
      <x:c r="F213" s="170" t="str">
        <x:v>Closing NBV</x:v>
      </x:c>
      <x:c r="G213" s="169" t="n">
        <x:f>MAX(0,G211-G212)</x:f>
        <x:v>0</x:v>
      </x:c>
      <x:c r="H213" s="169" t="n">
        <x:f>MAX(0,H211-H212)</x:f>
        <x:v>0</x:v>
      </x:c>
      <x:c r="I213" s="169" t="n">
        <x:f>MAX(0,I211-I212)</x:f>
        <x:v>0</x:v>
      </x:c>
      <x:c r="J213" s="169" t="n">
        <x:f>MAX(0,J211-J212)</x:f>
        <x:v>47461.377635390505</x:v>
      </x:c>
      <x:c r="K213" s="169" t="n">
        <x:f>MAX(0,K211-K212)</x:f>
        <x:v>44071.27923286261</x:v>
      </x:c>
      <x:c r="L213" s="169" t="n">
        <x:f>MAX(0,L211-L212)</x:f>
        <x:v>40681.18083033472</x:v>
      </x:c>
      <x:c r="M213" s="169" t="n">
        <x:f>MAX(0,M211-M212)</x:f>
        <x:v>37291.082427806825</x:v>
      </x:c>
      <x:c r="N213" s="169" t="n">
        <x:f>MAX(0,N211-N212)</x:f>
        <x:v>33900.984025278936</x:v>
      </x:c>
      <x:c r="O213" s="169" t="n">
        <x:f>MAX(0,O211-O212)</x:f>
        <x:v>30510.885622751044</x:v>
      </x:c>
      <x:c r="P213" s="169" t="n">
        <x:f>MAX(0,P211-P212)</x:f>
        <x:v>27120.78722022315</x:v>
      </x:c>
      <x:c r="Q213" s="169" t="n">
        <x:f>MAX(0,Q211-Q212)</x:f>
        <x:v>23730.688817695256</x:v>
      </x:c>
      <x:c r="R213" s="169" t="n">
        <x:f>MAX(0,R211-R212)</x:f>
        <x:v>20340.59041516736</x:v>
      </x:c>
      <x:c r="S213" s="169" t="n">
        <x:f>MAX(0,S211-S212)</x:f>
        <x:v>16950.492012639468</x:v>
      </x:c>
      <x:c r="T213" s="169" t="n">
        <x:f>MAX(0,T211-T212)</x:f>
        <x:v>13560.393610111574</x:v>
      </x:c>
      <x:c r="U213" s="169" t="n">
        <x:f>MAX(0,U211-U212)</x:f>
        <x:v>10170.295207583682</x:v>
      </x:c>
      <x:c r="V213" s="169" t="n">
        <x:f>MAX(0,V211-V212)</x:f>
        <x:v>6780.196805055784</x:v>
      </x:c>
      <x:c r="W213" s="169" t="n">
        <x:f>MAX(0,W211-W212)</x:f>
        <x:v>3390.0984025278917</x:v>
      </x:c>
      <x:c r="X213" s="169" t="n">
        <x:f>MAX(0,X211-X212)</x:f>
        <x:v>0</x:v>
      </x:c>
      <x:c r="Y213" s="169" t="n">
        <x:f>MAX(0,Y211-Y212)</x:f>
        <x:v>0</x:v>
      </x:c>
      <x:c r="Z213" s="169" t="n">
        <x:f>MAX(0,Z211-Z212)</x:f>
        <x:v>0</x:v>
      </x:c>
      <x:c r="AA213" s="169" t="n">
        <x:f>MAX(0,AA211-AA212)</x:f>
        <x:v>0</x:v>
      </x:c>
      <x:c r="AB213" s="169" t="n">
        <x:f>MAX(0,AB211-AB212)</x:f>
        <x:v>0</x:v>
      </x:c>
      <x:c r="AC213" s="169" t="n">
        <x:f>MAX(0,AC211-AC212)</x:f>
        <x:v>0</x:v>
      </x:c>
    </x:row>
    <x:row r="214" ht="20" customHeight="1">
      <x:c r="A214" s="170" t="str">
        <x:v>Hard assets</x:v>
      </x:c>
      <x:c r="B214" s="214" t="n">
        <x:v>2024</x:v>
      </x:c>
      <x:c r="C214" s="170" t="n">
        <x:f>'ROIC Cloud'!E$15*'ROIC Cloud'!$D$47</x:f>
        <x:v>50851.4760379184</x:v>
      </x:c>
      <x:c r="D214" s="214" t="n">
        <x:f>'ROIC Cloud'!$D$43</x:f>
        <x:v>15</x:v>
      </x:c>
      <x:c r="E214" s="214" t="n">
        <x:f>B214+'ROIC Cloud'!$D$40</x:f>
        <x:v>2026</x:v>
      </x:c>
      <x:c r="F214" s="170" t="str">
        <x:v>Average NBV</x:v>
      </x:c>
      <x:c r="G214" s="169" t="n">
        <x:f>(G211+G213)/2</x:f>
        <x:v>0</x:v>
      </x:c>
      <x:c r="H214" s="169" t="n">
        <x:f>(H211+H213)/2</x:f>
        <x:v>0</x:v>
      </x:c>
      <x:c r="I214" s="169" t="n">
        <x:f>(I211+I213)/2</x:f>
        <x:v>0</x:v>
      </x:c>
      <x:c r="J214" s="169" t="n">
        <x:f>(J211+J213)/2</x:f>
        <x:v>49156.42683665446</x:v>
      </x:c>
      <x:c r="K214" s="169" t="n">
        <x:f>(K211+K213)/2</x:f>
        <x:v>45766.32843412655</x:v>
      </x:c>
      <x:c r="L214" s="169" t="n">
        <x:f>(L211+L213)/2</x:f>
        <x:v>42376.230031598665</x:v>
      </x:c>
      <x:c r="M214" s="169" t="n">
        <x:f>(M211+M213)/2</x:f>
        <x:v>38986.13162907078</x:v>
      </x:c>
      <x:c r="N214" s="169" t="n">
        <x:f>(N211+N213)/2</x:f>
        <x:v>35596.03322654289</x:v>
      </x:c>
      <x:c r="O214" s="169" t="n">
        <x:f>(O211+O213)/2</x:f>
        <x:v>32205.934824014992</x:v>
      </x:c>
      <x:c r="P214" s="169" t="n">
        <x:f>(P211+P213)/2</x:f>
        <x:v>28815.836421487096</x:v>
      </x:c>
      <x:c r="Q214" s="169" t="n">
        <x:f>(Q211+Q213)/2</x:f>
        <x:v>25425.7380189592</x:v>
      </x:c>
      <x:c r="R214" s="169" t="n">
        <x:f>(R211+R213)/2</x:f>
        <x:v>22035.639616431305</x:v>
      </x:c>
      <x:c r="S214" s="169" t="n">
        <x:f>(S211+S213)/2</x:f>
        <x:v>18645.541213903416</x:v>
      </x:c>
      <x:c r="T214" s="169" t="n">
        <x:f>(T211+T213)/2</x:f>
        <x:v>15255.44281137552</x:v>
      </x:c>
      <x:c r="U214" s="169" t="n">
        <x:f>(U211+U213)/2</x:f>
        <x:v>11865.344408847628</x:v>
      </x:c>
      <x:c r="V214" s="169" t="n">
        <x:f>(V211+V213)/2</x:f>
        <x:v>8475.246006319732</x:v>
      </x:c>
      <x:c r="W214" s="169" t="n">
        <x:f>(W211+W213)/2</x:f>
        <x:v>5085.147603791838</x:v>
      </x:c>
      <x:c r="X214" s="169" t="n">
        <x:f>(X211+X213)/2</x:f>
        <x:v>1695.0492012639463</x:v>
      </x:c>
      <x:c r="Y214" s="169" t="n">
        <x:f>(Y211+Y213)/2</x:f>
        <x:v>0</x:v>
      </x:c>
      <x:c r="Z214" s="169" t="n">
        <x:f>(Z211+Z213)/2</x:f>
        <x:v>0</x:v>
      </x:c>
      <x:c r="AA214" s="169" t="n">
        <x:f>(AA211+AA213)/2</x:f>
        <x:v>0</x:v>
      </x:c>
      <x:c r="AB214" s="169" t="n">
        <x:f>(AB211+AB213)/2</x:f>
        <x:v>0</x:v>
      </x:c>
      <x:c r="AC214" s="169" t="n">
        <x:f>(AC211+AC213)/2</x:f>
        <x:v>0</x:v>
      </x:c>
    </x:row>
    <x:row r="215" ht="20" customHeight="1">
      <x:c r="A215" s="170" t="str">
        <x:v>Hard assets</x:v>
      </x:c>
      <x:c r="B215" s="214" t="n">
        <x:v>2025</x:v>
      </x:c>
      <x:c r="C215" s="170" t="n">
        <x:f>'ROIC Cloud'!F$15*'ROIC Cloud'!$D$47</x:f>
        <x:v>86163.20074986103</x:v>
      </x:c>
      <x:c r="D215" s="214" t="n">
        <x:f>'ROIC Cloud'!$D$43</x:f>
        <x:v>15</x:v>
      </x:c>
      <x:c r="E215" s="214" t="n">
        <x:f>B215+'ROIC Cloud'!$D$40</x:f>
        <x:v>2027</x:v>
      </x:c>
      <x:c r="F215" s="170" t="str">
        <x:v>Opening NBV</x:v>
      </x:c>
      <x:c r="G215" s="169" t="n">
        <x:f>IF(G$4&gt;=$E215,$C215*MAX(0,1-(G$4-$E215)/$D215),0)</x:f>
        <x:v>0</x:v>
      </x:c>
      <x:c r="H215" s="169" t="n">
        <x:f>IF(H$4&gt;=$E215,$C215*MAX(0,1-(H$4-$E215)/$D215),0)</x:f>
        <x:v>0</x:v>
      </x:c>
      <x:c r="I215" s="169" t="n">
        <x:f>IF(I$4&gt;=$E215,$C215*MAX(0,1-(I$4-$E215)/$D215),0)</x:f>
        <x:v>0</x:v>
      </x:c>
      <x:c r="J215" s="169" t="n">
        <x:f>IF(J$4&gt;=$E215,$C215*MAX(0,1-(J$4-$E215)/$D215),0)</x:f>
        <x:v>0</x:v>
      </x:c>
      <x:c r="K215" s="169" t="n">
        <x:f>IF(K$4&gt;=$E215,$C215*MAX(0,1-(K$4-$E215)/$D215),0)</x:f>
        <x:v>86163.20074986103</x:v>
      </x:c>
      <x:c r="L215" s="169" t="n">
        <x:f>IF(L$4&gt;=$E215,$C215*MAX(0,1-(L$4-$E215)/$D215),0)</x:f>
        <x:v>80418.98736653697</x:v>
      </x:c>
      <x:c r="M215" s="169" t="n">
        <x:f>IF(M$4&gt;=$E215,$C215*MAX(0,1-(M$4-$E215)/$D215),0)</x:f>
        <x:v>74674.7739832129</x:v>
      </x:c>
      <x:c r="N215" s="169" t="n">
        <x:f>IF(N$4&gt;=$E215,$C215*MAX(0,1-(N$4-$E215)/$D215),0)</x:f>
        <x:v>68930.56059988883</x:v>
      </x:c>
      <x:c r="O215" s="169" t="n">
        <x:f>IF(O$4&gt;=$E215,$C215*MAX(0,1-(O$4-$E215)/$D215),0)</x:f>
        <x:v>63186.34721656476</x:v>
      </x:c>
      <x:c r="P215" s="169" t="n">
        <x:f>IF(P$4&gt;=$E215,$C215*MAX(0,1-(P$4-$E215)/$D215),0)</x:f>
        <x:v>57442.133833240696</x:v>
      </x:c>
      <x:c r="Q215" s="169" t="n">
        <x:f>IF(Q$4&gt;=$E215,$C215*MAX(0,1-(Q$4-$E215)/$D215),0)</x:f>
        <x:v>51697.920449916615</x:v>
      </x:c>
      <x:c r="R215" s="169" t="n">
        <x:f>IF(R$4&gt;=$E215,$C215*MAX(0,1-(R$4-$E215)/$D215),0)</x:f>
        <x:v>45953.70706659255</x:v>
      </x:c>
      <x:c r="S215" s="169" t="n">
        <x:f>IF(S$4&gt;=$E215,$C215*MAX(0,1-(S$4-$E215)/$D215),0)</x:f>
        <x:v>40209.49368326848</x:v>
      </x:c>
      <x:c r="T215" s="169" t="n">
        <x:f>IF(T$4&gt;=$E215,$C215*MAX(0,1-(T$4-$E215)/$D215),0)</x:f>
        <x:v>34465.28029994442</x:v>
      </x:c>
      <x:c r="U215" s="169" t="n">
        <x:f>IF(U$4&gt;=$E215,$C215*MAX(0,1-(U$4-$E215)/$D215),0)</x:f>
        <x:v>28721.066916620348</x:v>
      </x:c>
      <x:c r="V215" s="169" t="n">
        <x:f>IF(V$4&gt;=$E215,$C215*MAX(0,1-(V$4-$E215)/$D215),0)</x:f>
        <x:v>22976.85353329628</x:v>
      </x:c>
      <x:c r="W215" s="169" t="n">
        <x:f>IF(W$4&gt;=$E215,$C215*MAX(0,1-(W$4-$E215)/$D215),0)</x:f>
        <x:v>17232.6401499722</x:v>
      </x:c>
      <x:c r="X215" s="169" t="n">
        <x:f>IF(X$4&gt;=$E215,$C215*MAX(0,1-(X$4-$E215)/$D215),0)</x:f>
        <x:v>11488.426766648136</x:v>
      </x:c>
      <x:c r="Y215" s="169" t="n">
        <x:f>IF(Y$4&gt;=$E215,$C215*MAX(0,1-(Y$4-$E215)/$D215),0)</x:f>
        <x:v>5744.213383324068</x:v>
      </x:c>
      <x:c r="Z215" s="169" t="n">
        <x:f>IF(Z$4&gt;=$E215,$C215*MAX(0,1-(Z$4-$E215)/$D215),0)</x:f>
        <x:v>0</x:v>
      </x:c>
      <x:c r="AA215" s="169" t="n">
        <x:f>IF(AA$4&gt;=$E215,$C215*MAX(0,1-(AA$4-$E215)/$D215),0)</x:f>
        <x:v>0</x:v>
      </x:c>
      <x:c r="AB215" s="169" t="n">
        <x:f>IF(AB$4&gt;=$E215,$C215*MAX(0,1-(AB$4-$E215)/$D215),0)</x:f>
        <x:v>0</x:v>
      </x:c>
      <x:c r="AC215" s="169" t="n">
        <x:f>IF(AC$4&gt;=$E215,$C215*MAX(0,1-(AC$4-$E215)/$D215),0)</x:f>
        <x:v>0</x:v>
      </x:c>
    </x:row>
    <x:row r="216" ht="20" customHeight="1">
      <x:c r="A216" s="170" t="str">
        <x:v>Hard assets</x:v>
      </x:c>
      <x:c r="B216" s="214" t="n">
        <x:v>2025</x:v>
      </x:c>
      <x:c r="C216" s="170" t="n">
        <x:f>'ROIC Cloud'!F$15*'ROIC Cloud'!$D$47</x:f>
        <x:v>86163.20074986103</x:v>
      </x:c>
      <x:c r="D216" s="214" t="n">
        <x:f>'ROIC Cloud'!$D$43</x:f>
        <x:v>15</x:v>
      </x:c>
      <x:c r="E216" s="214" t="n">
        <x:f>B216+'ROIC Cloud'!$D$40</x:f>
        <x:v>2027</x:v>
      </x:c>
      <x:c r="F216" s="170" t="str">
        <x:v>Depreciation</x:v>
      </x:c>
      <x:c r="G216" s="169" t="n">
        <x:f>IF(G$4&gt;=$E215,MIN($C215/$D215,G215),0)</x:f>
        <x:v>0</x:v>
      </x:c>
      <x:c r="H216" s="169" t="n">
        <x:f>IF(H$4&gt;=$E215,MIN($C215/$D215,H215),0)</x:f>
        <x:v>0</x:v>
      </x:c>
      <x:c r="I216" s="169" t="n">
        <x:f>IF(I$4&gt;=$E215,MIN($C215/$D215,I215),0)</x:f>
        <x:v>0</x:v>
      </x:c>
      <x:c r="J216" s="169" t="n">
        <x:f>IF(J$4&gt;=$E215,MIN($C215/$D215,J215),0)</x:f>
        <x:v>0</x:v>
      </x:c>
      <x:c r="K216" s="169" t="n">
        <x:f>IF(K$4&gt;=$E215,MIN($C215/$D215,K215),0)</x:f>
        <x:v>5744.213383324069</x:v>
      </x:c>
      <x:c r="L216" s="169" t="n">
        <x:f>IF(L$4&gt;=$E215,MIN($C215/$D215,L215),0)</x:f>
        <x:v>5744.213383324069</x:v>
      </x:c>
      <x:c r="M216" s="169" t="n">
        <x:f>IF(M$4&gt;=$E215,MIN($C215/$D215,M215),0)</x:f>
        <x:v>5744.213383324069</x:v>
      </x:c>
      <x:c r="N216" s="169" t="n">
        <x:f>IF(N$4&gt;=$E215,MIN($C215/$D215,N215),0)</x:f>
        <x:v>5744.213383324069</x:v>
      </x:c>
      <x:c r="O216" s="169" t="n">
        <x:f>IF(O$4&gt;=$E215,MIN($C215/$D215,O215),0)</x:f>
        <x:v>5744.213383324069</x:v>
      </x:c>
      <x:c r="P216" s="169" t="n">
        <x:f>IF(P$4&gt;=$E215,MIN($C215/$D215,P215),0)</x:f>
        <x:v>5744.213383324069</x:v>
      </x:c>
      <x:c r="Q216" s="169" t="n">
        <x:f>IF(Q$4&gt;=$E215,MIN($C215/$D215,Q215),0)</x:f>
        <x:v>5744.213383324069</x:v>
      </x:c>
      <x:c r="R216" s="169" t="n">
        <x:f>IF(R$4&gt;=$E215,MIN($C215/$D215,R215),0)</x:f>
        <x:v>5744.213383324069</x:v>
      </x:c>
      <x:c r="S216" s="169" t="n">
        <x:f>IF(S$4&gt;=$E215,MIN($C215/$D215,S215),0)</x:f>
        <x:v>5744.213383324069</x:v>
      </x:c>
      <x:c r="T216" s="169" t="n">
        <x:f>IF(T$4&gt;=$E215,MIN($C215/$D215,T215),0)</x:f>
        <x:v>5744.213383324069</x:v>
      </x:c>
      <x:c r="U216" s="169" t="n">
        <x:f>IF(U$4&gt;=$E215,MIN($C215/$D215,U215),0)</x:f>
        <x:v>5744.213383324069</x:v>
      </x:c>
      <x:c r="V216" s="169" t="n">
        <x:f>IF(V$4&gt;=$E215,MIN($C215/$D215,V215),0)</x:f>
        <x:v>5744.213383324069</x:v>
      </x:c>
      <x:c r="W216" s="169" t="n">
        <x:f>IF(W$4&gt;=$E215,MIN($C215/$D215,W215),0)</x:f>
        <x:v>5744.213383324069</x:v>
      </x:c>
      <x:c r="X216" s="169" t="n">
        <x:f>IF(X$4&gt;=$E215,MIN($C215/$D215,X215),0)</x:f>
        <x:v>5744.213383324069</x:v>
      </x:c>
      <x:c r="Y216" s="169" t="n">
        <x:f>IF(Y$4&gt;=$E215,MIN($C215/$D215,Y215),0)</x:f>
        <x:v>5744.213383324068</x:v>
      </x:c>
      <x:c r="Z216" s="169" t="n">
        <x:f>IF(Z$4&gt;=$E215,MIN($C215/$D215,Z215),0)</x:f>
        <x:v>0</x:v>
      </x:c>
      <x:c r="AA216" s="169" t="n">
        <x:f>IF(AA$4&gt;=$E215,MIN($C215/$D215,AA215),0)</x:f>
        <x:v>0</x:v>
      </x:c>
      <x:c r="AB216" s="169" t="n">
        <x:f>IF(AB$4&gt;=$E215,MIN($C215/$D215,AB215),0)</x:f>
        <x:v>0</x:v>
      </x:c>
      <x:c r="AC216" s="169" t="n">
        <x:f>IF(AC$4&gt;=$E215,MIN($C215/$D215,AC215),0)</x:f>
        <x:v>0</x:v>
      </x:c>
    </x:row>
    <x:row r="217" ht="20" customHeight="1">
      <x:c r="A217" s="170" t="str">
        <x:v>Hard assets</x:v>
      </x:c>
      <x:c r="B217" s="214" t="n">
        <x:v>2025</x:v>
      </x:c>
      <x:c r="C217" s="170" t="n">
        <x:f>'ROIC Cloud'!F$15*'ROIC Cloud'!$D$47</x:f>
        <x:v>86163.20074986103</x:v>
      </x:c>
      <x:c r="D217" s="214" t="n">
        <x:f>'ROIC Cloud'!$D$43</x:f>
        <x:v>15</x:v>
      </x:c>
      <x:c r="E217" s="214" t="n">
        <x:f>B217+'ROIC Cloud'!$D$40</x:f>
        <x:v>2027</x:v>
      </x:c>
      <x:c r="F217" s="170" t="str">
        <x:v>Closing NBV</x:v>
      </x:c>
      <x:c r="G217" s="169" t="n">
        <x:f>MAX(0,G215-G216)</x:f>
        <x:v>0</x:v>
      </x:c>
      <x:c r="H217" s="169" t="n">
        <x:f>MAX(0,H215-H216)</x:f>
        <x:v>0</x:v>
      </x:c>
      <x:c r="I217" s="169" t="n">
        <x:f>MAX(0,I215-I216)</x:f>
        <x:v>0</x:v>
      </x:c>
      <x:c r="J217" s="169" t="n">
        <x:f>MAX(0,J215-J216)</x:f>
        <x:v>0</x:v>
      </x:c>
      <x:c r="K217" s="169" t="n">
        <x:f>MAX(0,K215-K216)</x:f>
        <x:v>80418.98736653697</x:v>
      </x:c>
      <x:c r="L217" s="169" t="n">
        <x:f>MAX(0,L215-L216)</x:f>
        <x:v>74674.7739832129</x:v>
      </x:c>
      <x:c r="M217" s="169" t="n">
        <x:f>MAX(0,M215-M216)</x:f>
        <x:v>68930.56059988883</x:v>
      </x:c>
      <x:c r="N217" s="169" t="n">
        <x:f>MAX(0,N215-N216)</x:f>
        <x:v>63186.34721656477</x:v>
      </x:c>
      <x:c r="O217" s="169" t="n">
        <x:f>MAX(0,O215-O216)</x:f>
        <x:v>57442.133833240696</x:v>
      </x:c>
      <x:c r="P217" s="169" t="n">
        <x:f>MAX(0,P215-P216)</x:f>
        <x:v>51697.92044991663</x:v>
      </x:c>
      <x:c r="Q217" s="169" t="n">
        <x:f>MAX(0,Q215-Q216)</x:f>
        <x:v>45953.70706659255</x:v>
      </x:c>
      <x:c r="R217" s="169" t="n">
        <x:f>MAX(0,R215-R216)</x:f>
        <x:v>40209.49368326848</x:v>
      </x:c>
      <x:c r="S217" s="169" t="n">
        <x:f>MAX(0,S215-S216)</x:f>
        <x:v>34465.28029994442</x:v>
      </x:c>
      <x:c r="T217" s="169" t="n">
        <x:f>MAX(0,T215-T216)</x:f>
        <x:v>28721.066916620348</x:v>
      </x:c>
      <x:c r="U217" s="169" t="n">
        <x:f>MAX(0,U215-U216)</x:f>
        <x:v>22976.85353329628</x:v>
      </x:c>
      <x:c r="V217" s="169" t="n">
        <x:f>MAX(0,V215-V216)</x:f>
        <x:v>17232.64014997221</x:v>
      </x:c>
      <x:c r="W217" s="169" t="n">
        <x:f>MAX(0,W215-W216)</x:f>
        <x:v>11488.426766648132</x:v>
      </x:c>
      <x:c r="X217" s="169" t="n">
        <x:f>MAX(0,X215-X216)</x:f>
        <x:v>5744.213383324067</x:v>
      </x:c>
      <x:c r="Y217" s="169" t="n">
        <x:f>MAX(0,Y215-Y216)</x:f>
        <x:v>0</x:v>
      </x:c>
      <x:c r="Z217" s="169" t="n">
        <x:f>MAX(0,Z215-Z216)</x:f>
        <x:v>0</x:v>
      </x:c>
      <x:c r="AA217" s="169" t="n">
        <x:f>MAX(0,AA215-AA216)</x:f>
        <x:v>0</x:v>
      </x:c>
      <x:c r="AB217" s="169" t="n">
        <x:f>MAX(0,AB215-AB216)</x:f>
        <x:v>0</x:v>
      </x:c>
      <x:c r="AC217" s="169" t="n">
        <x:f>MAX(0,AC215-AC216)</x:f>
        <x:v>0</x:v>
      </x:c>
    </x:row>
    <x:row r="218" ht="20" customHeight="1">
      <x:c r="A218" s="170" t="str">
        <x:v>Hard assets</x:v>
      </x:c>
      <x:c r="B218" s="214" t="n">
        <x:v>2025</x:v>
      </x:c>
      <x:c r="C218" s="170" t="n">
        <x:f>'ROIC Cloud'!F$15*'ROIC Cloud'!$D$47</x:f>
        <x:v>86163.20074986103</x:v>
      </x:c>
      <x:c r="D218" s="214" t="n">
        <x:f>'ROIC Cloud'!$D$43</x:f>
        <x:v>15</x:v>
      </x:c>
      <x:c r="E218" s="214" t="n">
        <x:f>B218+'ROIC Cloud'!$D$40</x:f>
        <x:v>2027</x:v>
      </x:c>
      <x:c r="F218" s="170" t="str">
        <x:v>Average NBV</x:v>
      </x:c>
      <x:c r="G218" s="169" t="n">
        <x:f>(G215+G217)/2</x:f>
        <x:v>0</x:v>
      </x:c>
      <x:c r="H218" s="169" t="n">
        <x:f>(H215+H217)/2</x:f>
        <x:v>0</x:v>
      </x:c>
      <x:c r="I218" s="169" t="n">
        <x:f>(I215+I217)/2</x:f>
        <x:v>0</x:v>
      </x:c>
      <x:c r="J218" s="169" t="n">
        <x:f>(J215+J217)/2</x:f>
        <x:v>0</x:v>
      </x:c>
      <x:c r="K218" s="169" t="n">
        <x:f>(K215+K217)/2</x:f>
        <x:v>83291.094058199</x:v>
      </x:c>
      <x:c r="L218" s="169" t="n">
        <x:f>(L215+L217)/2</x:f>
        <x:v>77546.88067487493</x:v>
      </x:c>
      <x:c r="M218" s="169" t="n">
        <x:f>(M215+M217)/2</x:f>
        <x:v>71802.66729155087</x:v>
      </x:c>
      <x:c r="N218" s="169" t="n">
        <x:f>(N215+N217)/2</x:f>
        <x:v>66058.4539082268</x:v>
      </x:c>
      <x:c r="O218" s="169" t="n">
        <x:f>(O215+O217)/2</x:f>
        <x:v>60314.24052490273</x:v>
      </x:c>
      <x:c r="P218" s="169" t="n">
        <x:f>(P215+P217)/2</x:f>
        <x:v>54570.02714157866</x:v>
      </x:c>
      <x:c r="Q218" s="169" t="n">
        <x:f>(Q215+Q217)/2</x:f>
        <x:v>48825.81375825458</x:v>
      </x:c>
      <x:c r="R218" s="169" t="n">
        <x:f>(R215+R217)/2</x:f>
        <x:v>43081.60037493052</x:v>
      </x:c>
      <x:c r="S218" s="169" t="n">
        <x:f>(S215+S217)/2</x:f>
        <x:v>37337.38699160645</x:v>
      </x:c>
      <x:c r="T218" s="169" t="n">
        <x:f>(T215+T217)/2</x:f>
        <x:v>31593.173608282385</x:v>
      </x:c>
      <x:c r="U218" s="169" t="n">
        <x:f>(U215+U217)/2</x:f>
        <x:v>25848.96022495831</x:v>
      </x:c>
      <x:c r="V218" s="169" t="n">
        <x:f>(V215+V217)/2</x:f>
        <x:v>20104.746841634245</x:v>
      </x:c>
      <x:c r="W218" s="169" t="n">
        <x:f>(W215+W217)/2</x:f>
        <x:v>14360.533458310167</x:v>
      </x:c>
      <x:c r="X218" s="169" t="n">
        <x:f>(X215+X217)/2</x:f>
        <x:v>8616.3200749861</x:v>
      </x:c>
      <x:c r="Y218" s="169" t="n">
        <x:f>(Y215+Y217)/2</x:f>
        <x:v>2872.106691662034</x:v>
      </x:c>
      <x:c r="Z218" s="169" t="n">
        <x:f>(Z215+Z217)/2</x:f>
        <x:v>0</x:v>
      </x:c>
      <x:c r="AA218" s="169" t="n">
        <x:f>(AA215+AA217)/2</x:f>
        <x:v>0</x:v>
      </x:c>
      <x:c r="AB218" s="169" t="n">
        <x:f>(AB215+AB217)/2</x:f>
        <x:v>0</x:v>
      </x:c>
      <x:c r="AC218" s="169" t="n">
        <x:f>(AC215+AC217)/2</x:f>
        <x:v>0</x:v>
      </x:c>
    </x:row>
    <x:row r="219" ht="20" customHeight="1">
      <x:c r="A219" s="170" t="str">
        <x:v>Hard assets</x:v>
      </x:c>
      <x:c r="B219" s="214" t="n">
        <x:v>2026</x:v>
      </x:c>
      <x:c r="C219" s="170" t="n">
        <x:f>'ROIC Cloud'!G$15*'ROIC Cloud'!$D$47</x:f>
        <x:v>196044.2102788134</x:v>
      </x:c>
      <x:c r="D219" s="214" t="n">
        <x:f>'ROIC Cloud'!$D$43</x:f>
        <x:v>15</x:v>
      </x:c>
      <x:c r="E219" s="214" t="n">
        <x:f>B219+'ROIC Cloud'!$D$40</x:f>
        <x:v>2028</x:v>
      </x:c>
      <x:c r="F219" s="170" t="str">
        <x:v>Opening NBV</x:v>
      </x:c>
      <x:c r="G219" s="169" t="n">
        <x:f>IF(G$4&gt;=$E219,$C219*MAX(0,1-(G$4-$E219)/$D219),0)</x:f>
        <x:v>0</x:v>
      </x:c>
      <x:c r="H219" s="169" t="n">
        <x:f>IF(H$4&gt;=$E219,$C219*MAX(0,1-(H$4-$E219)/$D219),0)</x:f>
        <x:v>0</x:v>
      </x:c>
      <x:c r="I219" s="169" t="n">
        <x:f>IF(I$4&gt;=$E219,$C219*MAX(0,1-(I$4-$E219)/$D219),0)</x:f>
        <x:v>0</x:v>
      </x:c>
      <x:c r="J219" s="169" t="n">
        <x:f>IF(J$4&gt;=$E219,$C219*MAX(0,1-(J$4-$E219)/$D219),0)</x:f>
        <x:v>0</x:v>
      </x:c>
      <x:c r="K219" s="169" t="n">
        <x:f>IF(K$4&gt;=$E219,$C219*MAX(0,1-(K$4-$E219)/$D219),0)</x:f>
        <x:v>0</x:v>
      </x:c>
      <x:c r="L219" s="169" t="n">
        <x:f>IF(L$4&gt;=$E219,$C219*MAX(0,1-(L$4-$E219)/$D219),0)</x:f>
        <x:v>196044.2102788134</x:v>
      </x:c>
      <x:c r="M219" s="169" t="n">
        <x:f>IF(M$4&gt;=$E219,$C219*MAX(0,1-(M$4-$E219)/$D219),0)</x:f>
        <x:v>182974.59626022584</x:v>
      </x:c>
      <x:c r="N219" s="169" t="n">
        <x:f>IF(N$4&gt;=$E219,$C219*MAX(0,1-(N$4-$E219)/$D219),0)</x:f>
        <x:v>169904.9822416383</x:v>
      </x:c>
      <x:c r="O219" s="169" t="n">
        <x:f>IF(O$4&gt;=$E219,$C219*MAX(0,1-(O$4-$E219)/$D219),0)</x:f>
        <x:v>156835.36822305073</x:v>
      </x:c>
      <x:c r="P219" s="169" t="n">
        <x:f>IF(P$4&gt;=$E219,$C219*MAX(0,1-(P$4-$E219)/$D219),0)</x:f>
        <x:v>143765.75420446318</x:v>
      </x:c>
      <x:c r="Q219" s="169" t="n">
        <x:f>IF(Q$4&gt;=$E219,$C219*MAX(0,1-(Q$4-$E219)/$D219),0)</x:f>
        <x:v>130696.14018587561</x:v>
      </x:c>
      <x:c r="R219" s="169" t="n">
        <x:f>IF(R$4&gt;=$E219,$C219*MAX(0,1-(R$4-$E219)/$D219),0)</x:f>
        <x:v>117626.52616728804</x:v>
      </x:c>
      <x:c r="S219" s="169" t="n">
        <x:f>IF(S$4&gt;=$E219,$C219*MAX(0,1-(S$4-$E219)/$D219),0)</x:f>
        <x:v>104556.91214870049</x:v>
      </x:c>
      <x:c r="T219" s="169" t="n">
        <x:f>IF(T$4&gt;=$E219,$C219*MAX(0,1-(T$4-$E219)/$D219),0)</x:f>
        <x:v>91487.29813011292</x:v>
      </x:c>
      <x:c r="U219" s="169" t="n">
        <x:f>IF(U$4&gt;=$E219,$C219*MAX(0,1-(U$4-$E219)/$D219),0)</x:f>
        <x:v>78417.68411152536</x:v>
      </x:c>
      <x:c r="V219" s="169" t="n">
        <x:f>IF(V$4&gt;=$E219,$C219*MAX(0,1-(V$4-$E219)/$D219),0)</x:f>
        <x:v>65348.07009293781</x:v>
      </x:c>
      <x:c r="W219" s="169" t="n">
        <x:f>IF(W$4&gt;=$E219,$C219*MAX(0,1-(W$4-$E219)/$D219),0)</x:f>
        <x:v>52278.45607435025</x:v>
      </x:c>
      <x:c r="X219" s="169" t="n">
        <x:f>IF(X$4&gt;=$E219,$C219*MAX(0,1-(X$4-$E219)/$D219),0)</x:f>
        <x:v>39208.842055762674</x:v>
      </x:c>
      <x:c r="Y219" s="169" t="n">
        <x:f>IF(Y$4&gt;=$E219,$C219*MAX(0,1-(Y$4-$E219)/$D219),0)</x:f>
        <x:v>26139.228037175115</x:v>
      </x:c>
      <x:c r="Z219" s="169" t="n">
        <x:f>IF(Z$4&gt;=$E219,$C219*MAX(0,1-(Z$4-$E219)/$D219),0)</x:f>
        <x:v>13069.614018587557</x:v>
      </x:c>
      <x:c r="AA219" s="169" t="n">
        <x:f>IF(AA$4&gt;=$E219,$C219*MAX(0,1-(AA$4-$E219)/$D219),0)</x:f>
        <x:v>0</x:v>
      </x:c>
      <x:c r="AB219" s="169" t="n">
        <x:f>IF(AB$4&gt;=$E219,$C219*MAX(0,1-(AB$4-$E219)/$D219),0)</x:f>
        <x:v>0</x:v>
      </x:c>
      <x:c r="AC219" s="169" t="n">
        <x:f>IF(AC$4&gt;=$E219,$C219*MAX(0,1-(AC$4-$E219)/$D219),0)</x:f>
        <x:v>0</x:v>
      </x:c>
    </x:row>
    <x:row r="220" ht="20" customHeight="1">
      <x:c r="A220" s="170" t="str">
        <x:v>Hard assets</x:v>
      </x:c>
      <x:c r="B220" s="214" t="n">
        <x:v>2026</x:v>
      </x:c>
      <x:c r="C220" s="170" t="n">
        <x:f>'ROIC Cloud'!G$15*'ROIC Cloud'!$D$47</x:f>
        <x:v>196044.2102788134</x:v>
      </x:c>
      <x:c r="D220" s="214" t="n">
        <x:f>'ROIC Cloud'!$D$43</x:f>
        <x:v>15</x:v>
      </x:c>
      <x:c r="E220" s="214" t="n">
        <x:f>B220+'ROIC Cloud'!$D$40</x:f>
        <x:v>2028</x:v>
      </x:c>
      <x:c r="F220" s="170" t="str">
        <x:v>Depreciation</x:v>
      </x:c>
      <x:c r="G220" s="169" t="n">
        <x:f>IF(G$4&gt;=$E219,MIN($C219/$D219,G219),0)</x:f>
        <x:v>0</x:v>
      </x:c>
      <x:c r="H220" s="169" t="n">
        <x:f>IF(H$4&gt;=$E219,MIN($C219/$D219,H219),0)</x:f>
        <x:v>0</x:v>
      </x:c>
      <x:c r="I220" s="169" t="n">
        <x:f>IF(I$4&gt;=$E219,MIN($C219/$D219,I219),0)</x:f>
        <x:v>0</x:v>
      </x:c>
      <x:c r="J220" s="169" t="n">
        <x:f>IF(J$4&gt;=$E219,MIN($C219/$D219,J219),0)</x:f>
        <x:v>0</x:v>
      </x:c>
      <x:c r="K220" s="169" t="n">
        <x:f>IF(K$4&gt;=$E219,MIN($C219/$D219,K219),0)</x:f>
        <x:v>0</x:v>
      </x:c>
      <x:c r="L220" s="169" t="n">
        <x:f>IF(L$4&gt;=$E219,MIN($C219/$D219,L219),0)</x:f>
        <x:v>13069.614018587561</x:v>
      </x:c>
      <x:c r="M220" s="169" t="n">
        <x:f>IF(M$4&gt;=$E219,MIN($C219/$D219,M219),0)</x:f>
        <x:v>13069.614018587561</x:v>
      </x:c>
      <x:c r="N220" s="169" t="n">
        <x:f>IF(N$4&gt;=$E219,MIN($C219/$D219,N219),0)</x:f>
        <x:v>13069.614018587561</x:v>
      </x:c>
      <x:c r="O220" s="169" t="n">
        <x:f>IF(O$4&gt;=$E219,MIN($C219/$D219,O219),0)</x:f>
        <x:v>13069.614018587561</x:v>
      </x:c>
      <x:c r="P220" s="169" t="n">
        <x:f>IF(P$4&gt;=$E219,MIN($C219/$D219,P219),0)</x:f>
        <x:v>13069.614018587561</x:v>
      </x:c>
      <x:c r="Q220" s="169" t="n">
        <x:f>IF(Q$4&gt;=$E219,MIN($C219/$D219,Q219),0)</x:f>
        <x:v>13069.614018587561</x:v>
      </x:c>
      <x:c r="R220" s="169" t="n">
        <x:f>IF(R$4&gt;=$E219,MIN($C219/$D219,R219),0)</x:f>
        <x:v>13069.614018587561</x:v>
      </x:c>
      <x:c r="S220" s="169" t="n">
        <x:f>IF(S$4&gt;=$E219,MIN($C219/$D219,S219),0)</x:f>
        <x:v>13069.614018587561</x:v>
      </x:c>
      <x:c r="T220" s="169" t="n">
        <x:f>IF(T$4&gt;=$E219,MIN($C219/$D219,T219),0)</x:f>
        <x:v>13069.614018587561</x:v>
      </x:c>
      <x:c r="U220" s="169" t="n">
        <x:f>IF(U$4&gt;=$E219,MIN($C219/$D219,U219),0)</x:f>
        <x:v>13069.614018587561</x:v>
      </x:c>
      <x:c r="V220" s="169" t="n">
        <x:f>IF(V$4&gt;=$E219,MIN($C219/$D219,V219),0)</x:f>
        <x:v>13069.614018587561</x:v>
      </x:c>
      <x:c r="W220" s="169" t="n">
        <x:f>IF(W$4&gt;=$E219,MIN($C219/$D219,W219),0)</x:f>
        <x:v>13069.614018587561</x:v>
      </x:c>
      <x:c r="X220" s="169" t="n">
        <x:f>IF(X$4&gt;=$E219,MIN($C219/$D219,X219),0)</x:f>
        <x:v>13069.614018587561</x:v>
      </x:c>
      <x:c r="Y220" s="169" t="n">
        <x:f>IF(Y$4&gt;=$E219,MIN($C219/$D219,Y219),0)</x:f>
        <x:v>13069.614018587561</x:v>
      </x:c>
      <x:c r="Z220" s="169" t="n">
        <x:f>IF(Z$4&gt;=$E219,MIN($C219/$D219,Z219),0)</x:f>
        <x:v>13069.614018587557</x:v>
      </x:c>
      <x:c r="AA220" s="169" t="n">
        <x:f>IF(AA$4&gt;=$E219,MIN($C219/$D219,AA219),0)</x:f>
        <x:v>0</x:v>
      </x:c>
      <x:c r="AB220" s="169" t="n">
        <x:f>IF(AB$4&gt;=$E219,MIN($C219/$D219,AB219),0)</x:f>
        <x:v>0</x:v>
      </x:c>
      <x:c r="AC220" s="169" t="n">
        <x:f>IF(AC$4&gt;=$E219,MIN($C219/$D219,AC219),0)</x:f>
        <x:v>0</x:v>
      </x:c>
    </x:row>
    <x:row r="221" ht="20" customHeight="1">
      <x:c r="A221" s="170" t="str">
        <x:v>Hard assets</x:v>
      </x:c>
      <x:c r="B221" s="214" t="n">
        <x:v>2026</x:v>
      </x:c>
      <x:c r="C221" s="170" t="n">
        <x:f>'ROIC Cloud'!G$15*'ROIC Cloud'!$D$47</x:f>
        <x:v>196044.2102788134</x:v>
      </x:c>
      <x:c r="D221" s="214" t="n">
        <x:f>'ROIC Cloud'!$D$43</x:f>
        <x:v>15</x:v>
      </x:c>
      <x:c r="E221" s="214" t="n">
        <x:f>B221+'ROIC Cloud'!$D$40</x:f>
        <x:v>2028</x:v>
      </x:c>
      <x:c r="F221" s="170" t="str">
        <x:v>Closing NBV</x:v>
      </x:c>
      <x:c r="G221" s="169" t="n">
        <x:f>MAX(0,G219-G220)</x:f>
        <x:v>0</x:v>
      </x:c>
      <x:c r="H221" s="169" t="n">
        <x:f>MAX(0,H219-H220)</x:f>
        <x:v>0</x:v>
      </x:c>
      <x:c r="I221" s="169" t="n">
        <x:f>MAX(0,I219-I220)</x:f>
        <x:v>0</x:v>
      </x:c>
      <x:c r="J221" s="169" t="n">
        <x:f>MAX(0,J219-J220)</x:f>
        <x:v>0</x:v>
      </x:c>
      <x:c r="K221" s="169" t="n">
        <x:f>MAX(0,K219-K220)</x:f>
        <x:v>0</x:v>
      </x:c>
      <x:c r="L221" s="169" t="n">
        <x:f>MAX(0,L219-L220)</x:f>
        <x:v>182974.59626022584</x:v>
      </x:c>
      <x:c r="M221" s="169" t="n">
        <x:f>MAX(0,M219-M220)</x:f>
        <x:v>169904.98224163827</x:v>
      </x:c>
      <x:c r="N221" s="169" t="n">
        <x:f>MAX(0,N219-N220)</x:f>
        <x:v>156835.36822305073</x:v>
      </x:c>
      <x:c r="O221" s="169" t="n">
        <x:f>MAX(0,O219-O220)</x:f>
        <x:v>143765.75420446316</x:v>
      </x:c>
      <x:c r="P221" s="169" t="n">
        <x:f>MAX(0,P219-P220)</x:f>
        <x:v>130696.14018587563</x:v>
      </x:c>
      <x:c r="Q221" s="169" t="n">
        <x:f>MAX(0,Q219-Q220)</x:f>
        <x:v>117626.52616728806</x:v>
      </x:c>
      <x:c r="R221" s="169" t="n">
        <x:f>MAX(0,R219-R220)</x:f>
        <x:v>104556.91214870049</x:v>
      </x:c>
      <x:c r="S221" s="169" t="n">
        <x:f>MAX(0,S219-S220)</x:f>
        <x:v>91487.29813011293</x:v>
      </x:c>
      <x:c r="T221" s="169" t="n">
        <x:f>MAX(0,T219-T220)</x:f>
        <x:v>78417.68411152536</x:v>
      </x:c>
      <x:c r="U221" s="169" t="n">
        <x:f>MAX(0,U219-U220)</x:f>
        <x:v>65348.0700929378</x:v>
      </x:c>
      <x:c r="V221" s="169" t="n">
        <x:f>MAX(0,V219-V220)</x:f>
        <x:v>52278.456074350244</x:v>
      </x:c>
      <x:c r="W221" s="169" t="n">
        <x:f>MAX(0,W219-W220)</x:f>
        <x:v>39208.84205576269</x:v>
      </x:c>
      <x:c r="X221" s="169" t="n">
        <x:f>MAX(0,X219-X220)</x:f>
        <x:v>26139.22803717511</x:v>
      </x:c>
      <x:c r="Y221" s="169" t="n">
        <x:f>MAX(0,Y219-Y220)</x:f>
        <x:v>13069.614018587554</x:v>
      </x:c>
      <x:c r="Z221" s="169" t="n">
        <x:f>MAX(0,Z219-Z220)</x:f>
        <x:v>0</x:v>
      </x:c>
      <x:c r="AA221" s="169" t="n">
        <x:f>MAX(0,AA219-AA220)</x:f>
        <x:v>0</x:v>
      </x:c>
      <x:c r="AB221" s="169" t="n">
        <x:f>MAX(0,AB219-AB220)</x:f>
        <x:v>0</x:v>
      </x:c>
      <x:c r="AC221" s="169" t="n">
        <x:f>MAX(0,AC219-AC220)</x:f>
        <x:v>0</x:v>
      </x:c>
    </x:row>
    <x:row r="222" ht="20" customHeight="1">
      <x:c r="A222" s="170" t="str">
        <x:v>Hard assets</x:v>
      </x:c>
      <x:c r="B222" s="214" t="n">
        <x:v>2026</x:v>
      </x:c>
      <x:c r="C222" s="170" t="n">
        <x:f>'ROIC Cloud'!G$15*'ROIC Cloud'!$D$47</x:f>
        <x:v>196044.2102788134</x:v>
      </x:c>
      <x:c r="D222" s="214" t="n">
        <x:f>'ROIC Cloud'!$D$43</x:f>
        <x:v>15</x:v>
      </x:c>
      <x:c r="E222" s="214" t="n">
        <x:f>B222+'ROIC Cloud'!$D$40</x:f>
        <x:v>2028</x:v>
      </x:c>
      <x:c r="F222" s="170" t="str">
        <x:v>Average NBV</x:v>
      </x:c>
      <x:c r="G222" s="169" t="n">
        <x:f>(G219+G221)/2</x:f>
        <x:v>0</x:v>
      </x:c>
      <x:c r="H222" s="169" t="n">
        <x:f>(H219+H221)/2</x:f>
        <x:v>0</x:v>
      </x:c>
      <x:c r="I222" s="169" t="n">
        <x:f>(I219+I221)/2</x:f>
        <x:v>0</x:v>
      </x:c>
      <x:c r="J222" s="169" t="n">
        <x:f>(J219+J221)/2</x:f>
        <x:v>0</x:v>
      </x:c>
      <x:c r="K222" s="169" t="n">
        <x:f>(K219+K221)/2</x:f>
        <x:v>0</x:v>
      </x:c>
      <x:c r="L222" s="169" t="n">
        <x:f>(L219+L221)/2</x:f>
        <x:v>189509.40326951962</x:v>
      </x:c>
      <x:c r="M222" s="169" t="n">
        <x:f>(M219+M221)/2</x:f>
        <x:v>176439.78925093205</x:v>
      </x:c>
      <x:c r="N222" s="169" t="n">
        <x:f>(N219+N221)/2</x:f>
        <x:v>163370.1752323445</x:v>
      </x:c>
      <x:c r="O222" s="169" t="n">
        <x:f>(O219+O221)/2</x:f>
        <x:v>150300.56121375694</x:v>
      </x:c>
      <x:c r="P222" s="169" t="n">
        <x:f>(P219+P221)/2</x:f>
        <x:v>137230.9471951694</x:v>
      </x:c>
      <x:c r="Q222" s="169" t="n">
        <x:f>(Q219+Q221)/2</x:f>
        <x:v>124161.33317658183</x:v>
      </x:c>
      <x:c r="R222" s="169" t="n">
        <x:f>(R219+R221)/2</x:f>
        <x:v>111091.71915799426</x:v>
      </x:c>
      <x:c r="S222" s="169" t="n">
        <x:f>(S219+S221)/2</x:f>
        <x:v>98022.10513940672</x:v>
      </x:c>
      <x:c r="T222" s="169" t="n">
        <x:f>(T219+T221)/2</x:f>
        <x:v>84952.49112081915</x:v>
      </x:c>
      <x:c r="U222" s="169" t="n">
        <x:f>(U219+U221)/2</x:f>
        <x:v>71882.87710223158</x:v>
      </x:c>
      <x:c r="V222" s="169" t="n">
        <x:f>(V219+V221)/2</x:f>
        <x:v>58813.26308364402</x:v>
      </x:c>
      <x:c r="W222" s="169" t="n">
        <x:f>(W219+W221)/2</x:f>
        <x:v>45743.64906505647</x:v>
      </x:c>
      <x:c r="X222" s="169" t="n">
        <x:f>(X219+X221)/2</x:f>
        <x:v>32674.035046468893</x:v>
      </x:c>
      <x:c r="Y222" s="169" t="n">
        <x:f>(Y219+Y221)/2</x:f>
        <x:v>19604.421027881333</x:v>
      </x:c>
      <x:c r="Z222" s="169" t="n">
        <x:f>(Z219+Z221)/2</x:f>
        <x:v>6534.807009293779</x:v>
      </x:c>
      <x:c r="AA222" s="169" t="n">
        <x:f>(AA219+AA221)/2</x:f>
        <x:v>0</x:v>
      </x:c>
      <x:c r="AB222" s="169" t="n">
        <x:f>(AB219+AB221)/2</x:f>
        <x:v>0</x:v>
      </x:c>
      <x:c r="AC222" s="169" t="n">
        <x:f>(AC219+AC221)/2</x:f>
        <x:v>0</x:v>
      </x:c>
    </x:row>
    <x:row r="223" ht="20" customHeight="1">
      <x:c r="A223" s="170" t="str">
        <x:v>Hard assets</x:v>
      </x:c>
      <x:c r="B223" s="214" t="n">
        <x:v>2027</x:v>
      </x:c>
      <x:c r="C223" s="170" t="n">
        <x:f>'ROIC Cloud'!H$15*'ROIC Cloud'!$D$47</x:f>
        <x:v>409965.4386988236</x:v>
      </x:c>
      <x:c r="D223" s="214" t="n">
        <x:f>'ROIC Cloud'!$D$43</x:f>
        <x:v>15</x:v>
      </x:c>
      <x:c r="E223" s="214" t="n">
        <x:f>B223+'ROIC Cloud'!$D$40</x:f>
        <x:v>2029</x:v>
      </x:c>
      <x:c r="F223" s="170" t="str">
        <x:v>Opening NBV</x:v>
      </x:c>
      <x:c r="G223" s="169" t="n">
        <x:f>IF(G$4&gt;=$E223,$C223*MAX(0,1-(G$4-$E223)/$D223),0)</x:f>
        <x:v>0</x:v>
      </x:c>
      <x:c r="H223" s="169" t="n">
        <x:f>IF(H$4&gt;=$E223,$C223*MAX(0,1-(H$4-$E223)/$D223),0)</x:f>
        <x:v>0</x:v>
      </x:c>
      <x:c r="I223" s="169" t="n">
        <x:f>IF(I$4&gt;=$E223,$C223*MAX(0,1-(I$4-$E223)/$D223),0)</x:f>
        <x:v>0</x:v>
      </x:c>
      <x:c r="J223" s="169" t="n">
        <x:f>IF(J$4&gt;=$E223,$C223*MAX(0,1-(J$4-$E223)/$D223),0)</x:f>
        <x:v>0</x:v>
      </x:c>
      <x:c r="K223" s="169" t="n">
        <x:f>IF(K$4&gt;=$E223,$C223*MAX(0,1-(K$4-$E223)/$D223),0)</x:f>
        <x:v>0</x:v>
      </x:c>
      <x:c r="L223" s="169" t="n">
        <x:f>IF(L$4&gt;=$E223,$C223*MAX(0,1-(L$4-$E223)/$D223),0)</x:f>
        <x:v>0</x:v>
      </x:c>
      <x:c r="M223" s="169" t="n">
        <x:f>IF(M$4&gt;=$E223,$C223*MAX(0,1-(M$4-$E223)/$D223),0)</x:f>
        <x:v>409965.4386988236</x:v>
      </x:c>
      <x:c r="N223" s="169" t="n">
        <x:f>IF(N$4&gt;=$E223,$C223*MAX(0,1-(N$4-$E223)/$D223),0)</x:f>
        <x:v>382634.4094522354</x:v>
      </x:c>
      <x:c r="O223" s="169" t="n">
        <x:f>IF(O$4&gt;=$E223,$C223*MAX(0,1-(O$4-$E223)/$D223),0)</x:f>
        <x:v>355303.38020564715</x:v>
      </x:c>
      <x:c r="P223" s="169" t="n">
        <x:f>IF(P$4&gt;=$E223,$C223*MAX(0,1-(P$4-$E223)/$D223),0)</x:f>
        <x:v>327972.3509590589</x:v>
      </x:c>
      <x:c r="Q223" s="169" t="n">
        <x:f>IF(Q$4&gt;=$E223,$C223*MAX(0,1-(Q$4-$E223)/$D223),0)</x:f>
        <x:v>300641.3217124707</x:v>
      </x:c>
      <x:c r="R223" s="169" t="n">
        <x:f>IF(R$4&gt;=$E223,$C223*MAX(0,1-(R$4-$E223)/$D223),0)</x:f>
        <x:v>273310.29246588243</x:v>
      </x:c>
      <x:c r="S223" s="169" t="n">
        <x:f>IF(S$4&gt;=$E223,$C223*MAX(0,1-(S$4-$E223)/$D223),0)</x:f>
        <x:v>245979.26321929417</x:v>
      </x:c>
      <x:c r="T223" s="169" t="n">
        <x:f>IF(T$4&gt;=$E223,$C223*MAX(0,1-(T$4-$E223)/$D223),0)</x:f>
        <x:v>218648.23397270593</x:v>
      </x:c>
      <x:c r="U223" s="169" t="n">
        <x:f>IF(U$4&gt;=$E223,$C223*MAX(0,1-(U$4-$E223)/$D223),0)</x:f>
        <x:v>191317.2047261177</x:v>
      </x:c>
      <x:c r="V223" s="169" t="n">
        <x:f>IF(V$4&gt;=$E223,$C223*MAX(0,1-(V$4-$E223)/$D223),0)</x:f>
        <x:v>163986.17547952945</x:v>
      </x:c>
      <x:c r="W223" s="169" t="n">
        <x:f>IF(W$4&gt;=$E223,$C223*MAX(0,1-(W$4-$E223)/$D223),0)</x:f>
        <x:v>136655.14623294122</x:v>
      </x:c>
      <x:c r="X223" s="169" t="n">
        <x:f>IF(X$4&gt;=$E223,$C223*MAX(0,1-(X$4-$E223)/$D223),0)</x:f>
        <x:v>109324.116986353</x:v>
      </x:c>
      <x:c r="Y223" s="169" t="n">
        <x:f>IF(Y$4&gt;=$E223,$C223*MAX(0,1-(Y$4-$E223)/$D223),0)</x:f>
        <x:v>81993.08773976471</x:v>
      </x:c>
      <x:c r="Z223" s="169" t="n">
        <x:f>IF(Z$4&gt;=$E223,$C223*MAX(0,1-(Z$4-$E223)/$D223),0)</x:f>
        <x:v>54662.05849317647</x:v>
      </x:c>
      <x:c r="AA223" s="169" t="n">
        <x:f>IF(AA$4&gt;=$E223,$C223*MAX(0,1-(AA$4-$E223)/$D223),0)</x:f>
        <x:v>27331.029246588234</x:v>
      </x:c>
      <x:c r="AB223" s="169" t="n">
        <x:f>IF(AB$4&gt;=$E223,$C223*MAX(0,1-(AB$4-$E223)/$D223),0)</x:f>
        <x:v>0</x:v>
      </x:c>
      <x:c r="AC223" s="169" t="n">
        <x:f>IF(AC$4&gt;=$E223,$C223*MAX(0,1-(AC$4-$E223)/$D223),0)</x:f>
        <x:v>0</x:v>
      </x:c>
    </x:row>
    <x:row r="224" ht="20" customHeight="1">
      <x:c r="A224" s="170" t="str">
        <x:v>Hard assets</x:v>
      </x:c>
      <x:c r="B224" s="214" t="n">
        <x:v>2027</x:v>
      </x:c>
      <x:c r="C224" s="170" t="n">
        <x:f>'ROIC Cloud'!H$15*'ROIC Cloud'!$D$47</x:f>
        <x:v>409965.4386988236</x:v>
      </x:c>
      <x:c r="D224" s="214" t="n">
        <x:f>'ROIC Cloud'!$D$43</x:f>
        <x:v>15</x:v>
      </x:c>
      <x:c r="E224" s="214" t="n">
        <x:f>B224+'ROIC Cloud'!$D$40</x:f>
        <x:v>2029</x:v>
      </x:c>
      <x:c r="F224" s="170" t="str">
        <x:v>Depreciation</x:v>
      </x:c>
      <x:c r="G224" s="169" t="n">
        <x:f>IF(G$4&gt;=$E223,MIN($C223/$D223,G223),0)</x:f>
        <x:v>0</x:v>
      </x:c>
      <x:c r="H224" s="169" t="n">
        <x:f>IF(H$4&gt;=$E223,MIN($C223/$D223,H223),0)</x:f>
        <x:v>0</x:v>
      </x:c>
      <x:c r="I224" s="169" t="n">
        <x:f>IF(I$4&gt;=$E223,MIN($C223/$D223,I223),0)</x:f>
        <x:v>0</x:v>
      </x:c>
      <x:c r="J224" s="169" t="n">
        <x:f>IF(J$4&gt;=$E223,MIN($C223/$D223,J223),0)</x:f>
        <x:v>0</x:v>
      </x:c>
      <x:c r="K224" s="169" t="n">
        <x:f>IF(K$4&gt;=$E223,MIN($C223/$D223,K223),0)</x:f>
        <x:v>0</x:v>
      </x:c>
      <x:c r="L224" s="169" t="n">
        <x:f>IF(L$4&gt;=$E223,MIN($C223/$D223,L223),0)</x:f>
        <x:v>0</x:v>
      </x:c>
      <x:c r="M224" s="169" t="n">
        <x:f>IF(M$4&gt;=$E223,MIN($C223/$D223,M223),0)</x:f>
        <x:v>27331.02924658824</x:v>
      </x:c>
      <x:c r="N224" s="169" t="n">
        <x:f>IF(N$4&gt;=$E223,MIN($C223/$D223,N223),0)</x:f>
        <x:v>27331.02924658824</x:v>
      </x:c>
      <x:c r="O224" s="169" t="n">
        <x:f>IF(O$4&gt;=$E223,MIN($C223/$D223,O223),0)</x:f>
        <x:v>27331.02924658824</x:v>
      </x:c>
      <x:c r="P224" s="169" t="n">
        <x:f>IF(P$4&gt;=$E223,MIN($C223/$D223,P223),0)</x:f>
        <x:v>27331.02924658824</x:v>
      </x:c>
      <x:c r="Q224" s="169" t="n">
        <x:f>IF(Q$4&gt;=$E223,MIN($C223/$D223,Q223),0)</x:f>
        <x:v>27331.02924658824</x:v>
      </x:c>
      <x:c r="R224" s="169" t="n">
        <x:f>IF(R$4&gt;=$E223,MIN($C223/$D223,R223),0)</x:f>
        <x:v>27331.02924658824</x:v>
      </x:c>
      <x:c r="S224" s="169" t="n">
        <x:f>IF(S$4&gt;=$E223,MIN($C223/$D223,S223),0)</x:f>
        <x:v>27331.02924658824</x:v>
      </x:c>
      <x:c r="T224" s="169" t="n">
        <x:f>IF(T$4&gt;=$E223,MIN($C223/$D223,T223),0)</x:f>
        <x:v>27331.02924658824</x:v>
      </x:c>
      <x:c r="U224" s="169" t="n">
        <x:f>IF(U$4&gt;=$E223,MIN($C223/$D223,U223),0)</x:f>
        <x:v>27331.02924658824</x:v>
      </x:c>
      <x:c r="V224" s="169" t="n">
        <x:f>IF(V$4&gt;=$E223,MIN($C223/$D223,V223),0)</x:f>
        <x:v>27331.02924658824</x:v>
      </x:c>
      <x:c r="W224" s="169" t="n">
        <x:f>IF(W$4&gt;=$E223,MIN($C223/$D223,W223),0)</x:f>
        <x:v>27331.02924658824</x:v>
      </x:c>
      <x:c r="X224" s="169" t="n">
        <x:f>IF(X$4&gt;=$E223,MIN($C223/$D223,X223),0)</x:f>
        <x:v>27331.02924658824</x:v>
      </x:c>
      <x:c r="Y224" s="169" t="n">
        <x:f>IF(Y$4&gt;=$E223,MIN($C223/$D223,Y223),0)</x:f>
        <x:v>27331.02924658824</x:v>
      </x:c>
      <x:c r="Z224" s="169" t="n">
        <x:f>IF(Z$4&gt;=$E223,MIN($C223/$D223,Z223),0)</x:f>
        <x:v>27331.02924658824</x:v>
      </x:c>
      <x:c r="AA224" s="169" t="n">
        <x:f>IF(AA$4&gt;=$E223,MIN($C223/$D223,AA223),0)</x:f>
        <x:v>27331.029246588234</x:v>
      </x:c>
      <x:c r="AB224" s="169" t="n">
        <x:f>IF(AB$4&gt;=$E223,MIN($C223/$D223,AB223),0)</x:f>
        <x:v>0</x:v>
      </x:c>
      <x:c r="AC224" s="169" t="n">
        <x:f>IF(AC$4&gt;=$E223,MIN($C223/$D223,AC223),0)</x:f>
        <x:v>0</x:v>
      </x:c>
    </x:row>
    <x:row r="225" ht="20" customHeight="1">
      <x:c r="A225" s="170" t="str">
        <x:v>Hard assets</x:v>
      </x:c>
      <x:c r="B225" s="214" t="n">
        <x:v>2027</x:v>
      </x:c>
      <x:c r="C225" s="170" t="n">
        <x:f>'ROIC Cloud'!H$15*'ROIC Cloud'!$D$47</x:f>
        <x:v>409965.4386988236</x:v>
      </x:c>
      <x:c r="D225" s="214" t="n">
        <x:f>'ROIC Cloud'!$D$43</x:f>
        <x:v>15</x:v>
      </x:c>
      <x:c r="E225" s="214" t="n">
        <x:f>B225+'ROIC Cloud'!$D$40</x:f>
        <x:v>2029</x:v>
      </x:c>
      <x:c r="F225" s="170" t="str">
        <x:v>Closing NBV</x:v>
      </x:c>
      <x:c r="G225" s="169" t="n">
        <x:f>MAX(0,G223-G224)</x:f>
        <x:v>0</x:v>
      </x:c>
      <x:c r="H225" s="169" t="n">
        <x:f>MAX(0,H223-H224)</x:f>
        <x:v>0</x:v>
      </x:c>
      <x:c r="I225" s="169" t="n">
        <x:f>MAX(0,I223-I224)</x:f>
        <x:v>0</x:v>
      </x:c>
      <x:c r="J225" s="169" t="n">
        <x:f>MAX(0,J223-J224)</x:f>
        <x:v>0</x:v>
      </x:c>
      <x:c r="K225" s="169" t="n">
        <x:f>MAX(0,K223-K224)</x:f>
        <x:v>0</x:v>
      </x:c>
      <x:c r="L225" s="169" t="n">
        <x:f>MAX(0,L223-L224)</x:f>
        <x:v>0</x:v>
      </x:c>
      <x:c r="M225" s="169" t="n">
        <x:f>MAX(0,M223-M224)</x:f>
        <x:v>382634.4094522354</x:v>
      </x:c>
      <x:c r="N225" s="169" t="n">
        <x:f>MAX(0,N223-N224)</x:f>
        <x:v>355303.38020564715</x:v>
      </x:c>
      <x:c r="O225" s="169" t="n">
        <x:f>MAX(0,O223-O224)</x:f>
        <x:v>327972.3509590589</x:v>
      </x:c>
      <x:c r="P225" s="169" t="n">
        <x:f>MAX(0,P223-P224)</x:f>
        <x:v>300641.3217124707</x:v>
      </x:c>
      <x:c r="Q225" s="169" t="n">
        <x:f>MAX(0,Q223-Q224)</x:f>
        <x:v>273310.29246588243</x:v>
      </x:c>
      <x:c r="R225" s="169" t="n">
        <x:f>MAX(0,R223-R224)</x:f>
        <x:v>245979.2632192942</x:v>
      </x:c>
      <x:c r="S225" s="169" t="n">
        <x:f>MAX(0,S223-S224)</x:f>
        <x:v>218648.23397270593</x:v>
      </x:c>
      <x:c r="T225" s="169" t="n">
        <x:f>MAX(0,T223-T224)</x:f>
        <x:v>191317.2047261177</x:v>
      </x:c>
      <x:c r="U225" s="169" t="n">
        <x:f>MAX(0,U223-U224)</x:f>
        <x:v>163986.17547952945</x:v>
      </x:c>
      <x:c r="V225" s="169" t="n">
        <x:f>MAX(0,V223-V224)</x:f>
        <x:v>136655.14623294122</x:v>
      </x:c>
      <x:c r="W225" s="169" t="n">
        <x:f>MAX(0,W223-W224)</x:f>
        <x:v>109324.11698635298</x:v>
      </x:c>
      <x:c r="X225" s="169" t="n">
        <x:f>MAX(0,X223-X224)</x:f>
        <x:v>81993.08773976476</x:v>
      </x:c>
      <x:c r="Y225" s="169" t="n">
        <x:f>MAX(0,Y223-Y224)</x:f>
        <x:v>54662.058493176475</x:v>
      </x:c>
      <x:c r="Z225" s="169" t="n">
        <x:f>MAX(0,Z223-Z224)</x:f>
        <x:v>27331.029246588227</x:v>
      </x:c>
      <x:c r="AA225" s="169" t="n">
        <x:f>MAX(0,AA223-AA224)</x:f>
        <x:v>0</x:v>
      </x:c>
      <x:c r="AB225" s="169" t="n">
        <x:f>MAX(0,AB223-AB224)</x:f>
        <x:v>0</x:v>
      </x:c>
      <x:c r="AC225" s="169" t="n">
        <x:f>MAX(0,AC223-AC224)</x:f>
        <x:v>0</x:v>
      </x:c>
    </x:row>
    <x:row r="226" ht="20" customHeight="1">
      <x:c r="A226" s="170" t="str">
        <x:v>Hard assets</x:v>
      </x:c>
      <x:c r="B226" s="214" t="n">
        <x:v>2027</x:v>
      </x:c>
      <x:c r="C226" s="170" t="n">
        <x:f>'ROIC Cloud'!H$15*'ROIC Cloud'!$D$47</x:f>
        <x:v>409965.4386988236</x:v>
      </x:c>
      <x:c r="D226" s="214" t="n">
        <x:f>'ROIC Cloud'!$D$43</x:f>
        <x:v>15</x:v>
      </x:c>
      <x:c r="E226" s="214" t="n">
        <x:f>B226+'ROIC Cloud'!$D$40</x:f>
        <x:v>2029</x:v>
      </x:c>
      <x:c r="F226" s="170" t="str">
        <x:v>Average NBV</x:v>
      </x:c>
      <x:c r="G226" s="169" t="n">
        <x:f>(G223+G225)/2</x:f>
        <x:v>0</x:v>
      </x:c>
      <x:c r="H226" s="169" t="n">
        <x:f>(H223+H225)/2</x:f>
        <x:v>0</x:v>
      </x:c>
      <x:c r="I226" s="169" t="n">
        <x:f>(I223+I225)/2</x:f>
        <x:v>0</x:v>
      </x:c>
      <x:c r="J226" s="169" t="n">
        <x:f>(J223+J225)/2</x:f>
        <x:v>0</x:v>
      </x:c>
      <x:c r="K226" s="169" t="n">
        <x:f>(K223+K225)/2</x:f>
        <x:v>0</x:v>
      </x:c>
      <x:c r="L226" s="169" t="n">
        <x:f>(L223+L225)/2</x:f>
        <x:v>0</x:v>
      </x:c>
      <x:c r="M226" s="169" t="n">
        <x:f>(M223+M225)/2</x:f>
        <x:v>396299.9240755295</x:v>
      </x:c>
      <x:c r="N226" s="169" t="n">
        <x:f>(N223+N225)/2</x:f>
        <x:v>368968.89482894127</x:v>
      </x:c>
      <x:c r="O226" s="169" t="n">
        <x:f>(O223+O225)/2</x:f>
        <x:v>341637.865582353</x:v>
      </x:c>
      <x:c r="P226" s="169" t="n">
        <x:f>(P223+P225)/2</x:f>
        <x:v>314306.8363357648</x:v>
      </x:c>
      <x:c r="Q226" s="169" t="n">
        <x:f>(Q223+Q225)/2</x:f>
        <x:v>286975.80708917655</x:v>
      </x:c>
      <x:c r="R226" s="169" t="n">
        <x:f>(R223+R225)/2</x:f>
        <x:v>259644.77784258832</x:v>
      </x:c>
      <x:c r="S226" s="169" t="n">
        <x:f>(S223+S225)/2</x:f>
        <x:v>232313.74859600005</x:v>
      </x:c>
      <x:c r="T226" s="169" t="n">
        <x:f>(T223+T225)/2</x:f>
        <x:v>204982.7193494118</x:v>
      </x:c>
      <x:c r="U226" s="169" t="n">
        <x:f>(U223+U225)/2</x:f>
        <x:v>177651.69010282357</x:v>
      </x:c>
      <x:c r="V226" s="169" t="n">
        <x:f>(V223+V225)/2</x:f>
        <x:v>150320.66085623534</x:v>
      </x:c>
      <x:c r="W226" s="169" t="n">
        <x:f>(W223+W225)/2</x:f>
        <x:v>122989.6316096471</x:v>
      </x:c>
      <x:c r="X226" s="169" t="n">
        <x:f>(X223+X225)/2</x:f>
        <x:v>95658.60236305888</x:v>
      </x:c>
      <x:c r="Y226" s="169" t="n">
        <x:f>(Y223+Y225)/2</x:f>
        <x:v>68327.5731164706</x:v>
      </x:c>
      <x:c r="Z226" s="169" t="n">
        <x:f>(Z223+Z225)/2</x:f>
        <x:v>40996.54386988235</x:v>
      </x:c>
      <x:c r="AA226" s="169" t="n">
        <x:f>(AA223+AA225)/2</x:f>
        <x:v>13665.514623294117</x:v>
      </x:c>
      <x:c r="AB226" s="169" t="n">
        <x:f>(AB223+AB225)/2</x:f>
        <x:v>0</x:v>
      </x:c>
      <x:c r="AC226" s="169" t="n">
        <x:f>(AC223+AC225)/2</x:f>
        <x:v>0</x:v>
      </x:c>
    </x:row>
    <x:row r="227" ht="20" customHeight="1">
      <x:c r="A227" s="170" t="str">
        <x:v>Hard assets</x:v>
      </x:c>
      <x:c r="B227" s="214" t="n">
        <x:v>2028</x:v>
      </x:c>
      <x:c r="C227" s="170" t="n">
        <x:f>'ROIC Cloud'!I$15*'ROIC Cloud'!$D$47</x:f>
        <x:v>633426.0699035946</x:v>
      </x:c>
      <x:c r="D227" s="214" t="n">
        <x:f>'ROIC Cloud'!$D$43</x:f>
        <x:v>15</x:v>
      </x:c>
      <x:c r="E227" s="214" t="n">
        <x:f>B227+'ROIC Cloud'!$D$40</x:f>
        <x:v>2030</x:v>
      </x:c>
      <x:c r="F227" s="170" t="str">
        <x:v>Opening NBV</x:v>
      </x:c>
      <x:c r="G227" s="169" t="n">
        <x:f>IF(G$4&gt;=$E227,$C227*MAX(0,1-(G$4-$E227)/$D227),0)</x:f>
        <x:v>0</x:v>
      </x:c>
      <x:c r="H227" s="169" t="n">
        <x:f>IF(H$4&gt;=$E227,$C227*MAX(0,1-(H$4-$E227)/$D227),0)</x:f>
        <x:v>0</x:v>
      </x:c>
      <x:c r="I227" s="169" t="n">
        <x:f>IF(I$4&gt;=$E227,$C227*MAX(0,1-(I$4-$E227)/$D227),0)</x:f>
        <x:v>0</x:v>
      </x:c>
      <x:c r="J227" s="169" t="n">
        <x:f>IF(J$4&gt;=$E227,$C227*MAX(0,1-(J$4-$E227)/$D227),0)</x:f>
        <x:v>0</x:v>
      </x:c>
      <x:c r="K227" s="169" t="n">
        <x:f>IF(K$4&gt;=$E227,$C227*MAX(0,1-(K$4-$E227)/$D227),0)</x:f>
        <x:v>0</x:v>
      </x:c>
      <x:c r="L227" s="169" t="n">
        <x:f>IF(L$4&gt;=$E227,$C227*MAX(0,1-(L$4-$E227)/$D227),0)</x:f>
        <x:v>0</x:v>
      </x:c>
      <x:c r="M227" s="169" t="n">
        <x:f>IF(M$4&gt;=$E227,$C227*MAX(0,1-(M$4-$E227)/$D227),0)</x:f>
        <x:v>0</x:v>
      </x:c>
      <x:c r="N227" s="169" t="n">
        <x:f>IF(N$4&gt;=$E227,$C227*MAX(0,1-(N$4-$E227)/$D227),0)</x:f>
        <x:v>633426.0699035946</x:v>
      </x:c>
      <x:c r="O227" s="169" t="n">
        <x:f>IF(O$4&gt;=$E227,$C227*MAX(0,1-(O$4-$E227)/$D227),0)</x:f>
        <x:v>591197.665243355</x:v>
      </x:c>
      <x:c r="P227" s="169" t="n">
        <x:f>IF(P$4&gt;=$E227,$C227*MAX(0,1-(P$4-$E227)/$D227),0)</x:f>
        <x:v>548969.2605831153</x:v>
      </x:c>
      <x:c r="Q227" s="169" t="n">
        <x:f>IF(Q$4&gt;=$E227,$C227*MAX(0,1-(Q$4-$E227)/$D227),0)</x:f>
        <x:v>506740.8559228757</x:v>
      </x:c>
      <x:c r="R227" s="169" t="n">
        <x:f>IF(R$4&gt;=$E227,$C227*MAX(0,1-(R$4-$E227)/$D227),0)</x:f>
        <x:v>464512.45126263605</x:v>
      </x:c>
      <x:c r="S227" s="169" t="n">
        <x:f>IF(S$4&gt;=$E227,$C227*MAX(0,1-(S$4-$E227)/$D227),0)</x:f>
        <x:v>422284.0466023964</x:v>
      </x:c>
      <x:c r="T227" s="169" t="n">
        <x:f>IF(T$4&gt;=$E227,$C227*MAX(0,1-(T$4-$E227)/$D227),0)</x:f>
        <x:v>380055.6419421567</x:v>
      </x:c>
      <x:c r="U227" s="169" t="n">
        <x:f>IF(U$4&gt;=$E227,$C227*MAX(0,1-(U$4-$E227)/$D227),0)</x:f>
        <x:v>337827.23728191707</x:v>
      </x:c>
      <x:c r="V227" s="169" t="n">
        <x:f>IF(V$4&gt;=$E227,$C227*MAX(0,1-(V$4-$E227)/$D227),0)</x:f>
        <x:v>295598.8326216775</x:v>
      </x:c>
      <x:c r="W227" s="169" t="n">
        <x:f>IF(W$4&gt;=$E227,$C227*MAX(0,1-(W$4-$E227)/$D227),0)</x:f>
        <x:v>253370.42796143785</x:v>
      </x:c>
      <x:c r="X227" s="169" t="n">
        <x:f>IF(X$4&gt;=$E227,$C227*MAX(0,1-(X$4-$E227)/$D227),0)</x:f>
        <x:v>211142.0233011982</x:v>
      </x:c>
      <x:c r="Y227" s="169" t="n">
        <x:f>IF(Y$4&gt;=$E227,$C227*MAX(0,1-(Y$4-$E227)/$D227),0)</x:f>
        <x:v>168913.6186409586</x:v>
      </x:c>
      <x:c r="Z227" s="169" t="n">
        <x:f>IF(Z$4&gt;=$E227,$C227*MAX(0,1-(Z$4-$E227)/$D227),0)</x:f>
        <x:v>126685.21398071888</x:v>
      </x:c>
      <x:c r="AA227" s="169" t="n">
        <x:f>IF(AA$4&gt;=$E227,$C227*MAX(0,1-(AA$4-$E227)/$D227),0)</x:f>
        <x:v>84456.80932047925</x:v>
      </x:c>
      <x:c r="AB227" s="169" t="n">
        <x:f>IF(AB$4&gt;=$E227,$C227*MAX(0,1-(AB$4-$E227)/$D227),0)</x:f>
        <x:v>42228.40466023963</x:v>
      </x:c>
      <x:c r="AC227" s="169" t="n">
        <x:f>IF(AC$4&gt;=$E227,$C227*MAX(0,1-(AC$4-$E227)/$D227),0)</x:f>
        <x:v>0</x:v>
      </x:c>
    </x:row>
    <x:row r="228" ht="20" customHeight="1">
      <x:c r="A228" s="170" t="str">
        <x:v>Hard assets</x:v>
      </x:c>
      <x:c r="B228" s="214" t="n">
        <x:v>2028</x:v>
      </x:c>
      <x:c r="C228" s="170" t="n">
        <x:f>'ROIC Cloud'!I$15*'ROIC Cloud'!$D$47</x:f>
        <x:v>633426.0699035946</x:v>
      </x:c>
      <x:c r="D228" s="214" t="n">
        <x:f>'ROIC Cloud'!$D$43</x:f>
        <x:v>15</x:v>
      </x:c>
      <x:c r="E228" s="214" t="n">
        <x:f>B228+'ROIC Cloud'!$D$40</x:f>
        <x:v>2030</x:v>
      </x:c>
      <x:c r="F228" s="170" t="str">
        <x:v>Depreciation</x:v>
      </x:c>
      <x:c r="G228" s="169" t="n">
        <x:f>IF(G$4&gt;=$E227,MIN($C227/$D227,G227),0)</x:f>
        <x:v>0</x:v>
      </x:c>
      <x:c r="H228" s="169" t="n">
        <x:f>IF(H$4&gt;=$E227,MIN($C227/$D227,H227),0)</x:f>
        <x:v>0</x:v>
      </x:c>
      <x:c r="I228" s="169" t="n">
        <x:f>IF(I$4&gt;=$E227,MIN($C227/$D227,I227),0)</x:f>
        <x:v>0</x:v>
      </x:c>
      <x:c r="J228" s="169" t="n">
        <x:f>IF(J$4&gt;=$E227,MIN($C227/$D227,J227),0)</x:f>
        <x:v>0</x:v>
      </x:c>
      <x:c r="K228" s="169" t="n">
        <x:f>IF(K$4&gt;=$E227,MIN($C227/$D227,K227),0)</x:f>
        <x:v>0</x:v>
      </x:c>
      <x:c r="L228" s="169" t="n">
        <x:f>IF(L$4&gt;=$E227,MIN($C227/$D227,L227),0)</x:f>
        <x:v>0</x:v>
      </x:c>
      <x:c r="M228" s="169" t="n">
        <x:f>IF(M$4&gt;=$E227,MIN($C227/$D227,M227),0)</x:f>
        <x:v>0</x:v>
      </x:c>
      <x:c r="N228" s="169" t="n">
        <x:f>IF(N$4&gt;=$E227,MIN($C227/$D227,N227),0)</x:f>
        <x:v>42228.404660239634</x:v>
      </x:c>
      <x:c r="O228" s="169" t="n">
        <x:f>IF(O$4&gt;=$E227,MIN($C227/$D227,O227),0)</x:f>
        <x:v>42228.404660239634</x:v>
      </x:c>
      <x:c r="P228" s="169" t="n">
        <x:f>IF(P$4&gt;=$E227,MIN($C227/$D227,P227),0)</x:f>
        <x:v>42228.404660239634</x:v>
      </x:c>
      <x:c r="Q228" s="169" t="n">
        <x:f>IF(Q$4&gt;=$E227,MIN($C227/$D227,Q227),0)</x:f>
        <x:v>42228.404660239634</x:v>
      </x:c>
      <x:c r="R228" s="169" t="n">
        <x:f>IF(R$4&gt;=$E227,MIN($C227/$D227,R227),0)</x:f>
        <x:v>42228.404660239634</x:v>
      </x:c>
      <x:c r="S228" s="169" t="n">
        <x:f>IF(S$4&gt;=$E227,MIN($C227/$D227,S227),0)</x:f>
        <x:v>42228.404660239634</x:v>
      </x:c>
      <x:c r="T228" s="169" t="n">
        <x:f>IF(T$4&gt;=$E227,MIN($C227/$D227,T227),0)</x:f>
        <x:v>42228.404660239634</x:v>
      </x:c>
      <x:c r="U228" s="169" t="n">
        <x:f>IF(U$4&gt;=$E227,MIN($C227/$D227,U227),0)</x:f>
        <x:v>42228.404660239634</x:v>
      </x:c>
      <x:c r="V228" s="169" t="n">
        <x:f>IF(V$4&gt;=$E227,MIN($C227/$D227,V227),0)</x:f>
        <x:v>42228.404660239634</x:v>
      </x:c>
      <x:c r="W228" s="169" t="n">
        <x:f>IF(W$4&gt;=$E227,MIN($C227/$D227,W227),0)</x:f>
        <x:v>42228.404660239634</x:v>
      </x:c>
      <x:c r="X228" s="169" t="n">
        <x:f>IF(X$4&gt;=$E227,MIN($C227/$D227,X227),0)</x:f>
        <x:v>42228.404660239634</x:v>
      </x:c>
      <x:c r="Y228" s="169" t="n">
        <x:f>IF(Y$4&gt;=$E227,MIN($C227/$D227,Y227),0)</x:f>
        <x:v>42228.404660239634</x:v>
      </x:c>
      <x:c r="Z228" s="169" t="n">
        <x:f>IF(Z$4&gt;=$E227,MIN($C227/$D227,Z227),0)</x:f>
        <x:v>42228.404660239634</x:v>
      </x:c>
      <x:c r="AA228" s="169" t="n">
        <x:f>IF(AA$4&gt;=$E227,MIN($C227/$D227,AA227),0)</x:f>
        <x:v>42228.404660239634</x:v>
      </x:c>
      <x:c r="AB228" s="169" t="n">
        <x:f>IF(AB$4&gt;=$E227,MIN($C227/$D227,AB227),0)</x:f>
        <x:v>42228.40466023963</x:v>
      </x:c>
      <x:c r="AC228" s="169" t="n">
        <x:f>IF(AC$4&gt;=$E227,MIN($C227/$D227,AC227),0)</x:f>
        <x:v>0</x:v>
      </x:c>
    </x:row>
    <x:row r="229" ht="20" customHeight="1">
      <x:c r="A229" s="170" t="str">
        <x:v>Hard assets</x:v>
      </x:c>
      <x:c r="B229" s="214" t="n">
        <x:v>2028</x:v>
      </x:c>
      <x:c r="C229" s="170" t="n">
        <x:f>'ROIC Cloud'!I$15*'ROIC Cloud'!$D$47</x:f>
        <x:v>633426.0699035946</x:v>
      </x:c>
      <x:c r="D229" s="214" t="n">
        <x:f>'ROIC Cloud'!$D$43</x:f>
        <x:v>15</x:v>
      </x:c>
      <x:c r="E229" s="214" t="n">
        <x:f>B229+'ROIC Cloud'!$D$40</x:f>
        <x:v>2030</x:v>
      </x:c>
      <x:c r="F229" s="170" t="str">
        <x:v>Closing NBV</x:v>
      </x:c>
      <x:c r="G229" s="169" t="n">
        <x:f>MAX(0,G227-G228)</x:f>
        <x:v>0</x:v>
      </x:c>
      <x:c r="H229" s="169" t="n">
        <x:f>MAX(0,H227-H228)</x:f>
        <x:v>0</x:v>
      </x:c>
      <x:c r="I229" s="169" t="n">
        <x:f>MAX(0,I227-I228)</x:f>
        <x:v>0</x:v>
      </x:c>
      <x:c r="J229" s="169" t="n">
        <x:f>MAX(0,J227-J228)</x:f>
        <x:v>0</x:v>
      </x:c>
      <x:c r="K229" s="169" t="n">
        <x:f>MAX(0,K227-K228)</x:f>
        <x:v>0</x:v>
      </x:c>
      <x:c r="L229" s="169" t="n">
        <x:f>MAX(0,L227-L228)</x:f>
        <x:v>0</x:v>
      </x:c>
      <x:c r="M229" s="169" t="n">
        <x:f>MAX(0,M227-M228)</x:f>
        <x:v>0</x:v>
      </x:c>
      <x:c r="N229" s="169" t="n">
        <x:f>MAX(0,N227-N228)</x:f>
        <x:v>591197.665243355</x:v>
      </x:c>
      <x:c r="O229" s="169" t="n">
        <x:f>MAX(0,O227-O228)</x:f>
        <x:v>548969.2605831154</x:v>
      </x:c>
      <x:c r="P229" s="169" t="n">
        <x:f>MAX(0,P227-P228)</x:f>
        <x:v>506740.85592287563</x:v>
      </x:c>
      <x:c r="Q229" s="169" t="n">
        <x:f>MAX(0,Q227-Q228)</x:f>
        <x:v>464512.45126263605</x:v>
      </x:c>
      <x:c r="R229" s="169" t="n">
        <x:f>MAX(0,R227-R228)</x:f>
        <x:v>422284.0466023964</x:v>
      </x:c>
      <x:c r="S229" s="169" t="n">
        <x:f>MAX(0,S227-S228)</x:f>
        <x:v>380055.64194215677</x:v>
      </x:c>
      <x:c r="T229" s="169" t="n">
        <x:f>MAX(0,T227-T228)</x:f>
        <x:v>337827.23728191707</x:v>
      </x:c>
      <x:c r="U229" s="169" t="n">
        <x:f>MAX(0,U227-U228)</x:f>
        <x:v>295598.83262167743</x:v>
      </x:c>
      <x:c r="V229" s="169" t="n">
        <x:f>MAX(0,V227-V228)</x:f>
        <x:v>253370.42796143785</x:v>
      </x:c>
      <x:c r="W229" s="169" t="n">
        <x:f>MAX(0,W227-W228)</x:f>
        <x:v>211142.0233011982</x:v>
      </x:c>
      <x:c r="X229" s="169" t="n">
        <x:f>MAX(0,X227-X228)</x:f>
        <x:v>168913.61864095856</x:v>
      </x:c>
      <x:c r="Y229" s="169" t="n">
        <x:f>MAX(0,Y227-Y228)</x:f>
        <x:v>126685.21398071895</x:v>
      </x:c>
      <x:c r="Z229" s="169" t="n">
        <x:f>MAX(0,Z227-Z228)</x:f>
        <x:v>84456.80932047925</x:v>
      </x:c>
      <x:c r="AA229" s="169" t="n">
        <x:f>MAX(0,AA227-AA228)</x:f>
        <x:v>42228.40466023962</x:v>
      </x:c>
      <x:c r="AB229" s="169" t="n">
        <x:f>MAX(0,AB227-AB228)</x:f>
        <x:v>0</x:v>
      </x:c>
      <x:c r="AC229" s="169" t="n">
        <x:f>MAX(0,AC227-AC228)</x:f>
        <x:v>0</x:v>
      </x:c>
    </x:row>
    <x:row r="230" ht="20" customHeight="1">
      <x:c r="A230" s="170" t="str">
        <x:v>Hard assets</x:v>
      </x:c>
      <x:c r="B230" s="214" t="n">
        <x:v>2028</x:v>
      </x:c>
      <x:c r="C230" s="170" t="n">
        <x:f>'ROIC Cloud'!I$15*'ROIC Cloud'!$D$47</x:f>
        <x:v>633426.0699035946</x:v>
      </x:c>
      <x:c r="D230" s="214" t="n">
        <x:f>'ROIC Cloud'!$D$43</x:f>
        <x:v>15</x:v>
      </x:c>
      <x:c r="E230" s="214" t="n">
        <x:f>B230+'ROIC Cloud'!$D$40</x:f>
        <x:v>2030</x:v>
      </x:c>
      <x:c r="F230" s="170" t="str">
        <x:v>Average NBV</x:v>
      </x:c>
      <x:c r="G230" s="169" t="n">
        <x:f>(G227+G229)/2</x:f>
        <x:v>0</x:v>
      </x:c>
      <x:c r="H230" s="169" t="n">
        <x:f>(H227+H229)/2</x:f>
        <x:v>0</x:v>
      </x:c>
      <x:c r="I230" s="169" t="n">
        <x:f>(I227+I229)/2</x:f>
        <x:v>0</x:v>
      </x:c>
      <x:c r="J230" s="169" t="n">
        <x:f>(J227+J229)/2</x:f>
        <x:v>0</x:v>
      </x:c>
      <x:c r="K230" s="169" t="n">
        <x:f>(K227+K229)/2</x:f>
        <x:v>0</x:v>
      </x:c>
      <x:c r="L230" s="169" t="n">
        <x:f>(L227+L229)/2</x:f>
        <x:v>0</x:v>
      </x:c>
      <x:c r="M230" s="169" t="n">
        <x:f>(M227+M229)/2</x:f>
        <x:v>0</x:v>
      </x:c>
      <x:c r="N230" s="169" t="n">
        <x:f>(N227+N229)/2</x:f>
        <x:v>612311.8675734748</x:v>
      </x:c>
      <x:c r="O230" s="169" t="n">
        <x:f>(O227+O229)/2</x:f>
        <x:v>570083.4629132352</x:v>
      </x:c>
      <x:c r="P230" s="169" t="n">
        <x:f>(P227+P229)/2</x:f>
        <x:v>527855.0582529955</x:v>
      </x:c>
      <x:c r="Q230" s="169" t="n">
        <x:f>(Q227+Q229)/2</x:f>
        <x:v>485626.6535927559</x:v>
      </x:c>
      <x:c r="R230" s="169" t="n">
        <x:f>(R227+R229)/2</x:f>
        <x:v>443398.2489325162</x:v>
      </x:c>
      <x:c r="S230" s="169" t="n">
        <x:f>(S227+S229)/2</x:f>
        <x:v>401169.8442722766</x:v>
      </x:c>
      <x:c r="T230" s="169" t="n">
        <x:f>(T227+T229)/2</x:f>
        <x:v>358941.4396120369</x:v>
      </x:c>
      <x:c r="U230" s="169" t="n">
        <x:f>(U227+U229)/2</x:f>
        <x:v>316713.0349517972</x:v>
      </x:c>
      <x:c r="V230" s="169" t="n">
        <x:f>(V227+V229)/2</x:f>
        <x:v>274484.63029155764</x:v>
      </x:c>
      <x:c r="W230" s="169" t="n">
        <x:f>(W227+W229)/2</x:f>
        <x:v>232256.22563131803</x:v>
      </x:c>
      <x:c r="X230" s="169" t="n">
        <x:f>(X227+X229)/2</x:f>
        <x:v>190027.82097107838</x:v>
      </x:c>
      <x:c r="Y230" s="169" t="n">
        <x:f>(Y227+Y229)/2</x:f>
        <x:v>147799.41631083877</x:v>
      </x:c>
      <x:c r="Z230" s="169" t="n">
        <x:f>(Z227+Z229)/2</x:f>
        <x:v>105571.01165059907</x:v>
      </x:c>
      <x:c r="AA230" s="169" t="n">
        <x:f>(AA227+AA229)/2</x:f>
        <x:v>63342.60699035943</x:v>
      </x:c>
      <x:c r="AB230" s="169" t="n">
        <x:f>(AB227+AB229)/2</x:f>
        <x:v>21114.202330119813</x:v>
      </x:c>
      <x:c r="AC230" s="169" t="n">
        <x:f>(AC227+AC229)/2</x:f>
        <x:v>0</x:v>
      </x:c>
    </x:row>
    <x:row r="231" ht="20" customHeight="1">
      <x:c r="A231" s="170" t="str">
        <x:v>Hard assets</x:v>
      </x:c>
      <x:c r="B231" s="214" t="n">
        <x:v>2029</x:v>
      </x:c>
      <x:c r="C231" s="170" t="n">
        <x:f>'ROIC Cloud'!J$15*'ROIC Cloud'!$D$47</x:f>
        <x:v>696768.6768939542</x:v>
      </x:c>
      <x:c r="D231" s="214" t="n">
        <x:f>'ROIC Cloud'!$D$43</x:f>
        <x:v>15</x:v>
      </x:c>
      <x:c r="E231" s="214" t="n">
        <x:f>B231+'ROIC Cloud'!$D$40</x:f>
        <x:v>2031</x:v>
      </x:c>
      <x:c r="F231" s="170" t="str">
        <x:v>Opening NBV</x:v>
      </x:c>
      <x:c r="G231" s="169" t="n">
        <x:f>IF(G$4&gt;=$E231,$C231*MAX(0,1-(G$4-$E231)/$D231),0)</x:f>
        <x:v>0</x:v>
      </x:c>
      <x:c r="H231" s="169" t="n">
        <x:f>IF(H$4&gt;=$E231,$C231*MAX(0,1-(H$4-$E231)/$D231),0)</x:f>
        <x:v>0</x:v>
      </x:c>
      <x:c r="I231" s="169" t="n">
        <x:f>IF(I$4&gt;=$E231,$C231*MAX(0,1-(I$4-$E231)/$D231),0)</x:f>
        <x:v>0</x:v>
      </x:c>
      <x:c r="J231" s="169" t="n">
        <x:f>IF(J$4&gt;=$E231,$C231*MAX(0,1-(J$4-$E231)/$D231),0)</x:f>
        <x:v>0</x:v>
      </x:c>
      <x:c r="K231" s="169" t="n">
        <x:f>IF(K$4&gt;=$E231,$C231*MAX(0,1-(K$4-$E231)/$D231),0)</x:f>
        <x:v>0</x:v>
      </x:c>
      <x:c r="L231" s="169" t="n">
        <x:f>IF(L$4&gt;=$E231,$C231*MAX(0,1-(L$4-$E231)/$D231),0)</x:f>
        <x:v>0</x:v>
      </x:c>
      <x:c r="M231" s="169" t="n">
        <x:f>IF(M$4&gt;=$E231,$C231*MAX(0,1-(M$4-$E231)/$D231),0)</x:f>
        <x:v>0</x:v>
      </x:c>
      <x:c r="N231" s="169" t="n">
        <x:f>IF(N$4&gt;=$E231,$C231*MAX(0,1-(N$4-$E231)/$D231),0)</x:f>
        <x:v>0</x:v>
      </x:c>
      <x:c r="O231" s="169" t="n">
        <x:f>IF(O$4&gt;=$E231,$C231*MAX(0,1-(O$4-$E231)/$D231),0)</x:f>
        <x:v>696768.6768939542</x:v>
      </x:c>
      <x:c r="P231" s="169" t="n">
        <x:f>IF(P$4&gt;=$E231,$C231*MAX(0,1-(P$4-$E231)/$D231),0)</x:f>
        <x:v>650317.4317676906</x:v>
      </x:c>
      <x:c r="Q231" s="169" t="n">
        <x:f>IF(Q$4&gt;=$E231,$C231*MAX(0,1-(Q$4-$E231)/$D231),0)</x:f>
        <x:v>603866.186641427</x:v>
      </x:c>
      <x:c r="R231" s="169" t="n">
        <x:f>IF(R$4&gt;=$E231,$C231*MAX(0,1-(R$4-$E231)/$D231),0)</x:f>
        <x:v>557414.9415151634</x:v>
      </x:c>
      <x:c r="S231" s="169" t="n">
        <x:f>IF(S$4&gt;=$E231,$C231*MAX(0,1-(S$4-$E231)/$D231),0)</x:f>
        <x:v>510963.69638889976</x:v>
      </x:c>
      <x:c r="T231" s="169" t="n">
        <x:f>IF(T$4&gt;=$E231,$C231*MAX(0,1-(T$4-$E231)/$D231),0)</x:f>
        <x:v>464512.45126263617</x:v>
      </x:c>
      <x:c r="U231" s="169" t="n">
        <x:f>IF(U$4&gt;=$E231,$C231*MAX(0,1-(U$4-$E231)/$D231),0)</x:f>
        <x:v>418061.20613637246</x:v>
      </x:c>
      <x:c r="V231" s="169" t="n">
        <x:f>IF(V$4&gt;=$E231,$C231*MAX(0,1-(V$4-$E231)/$D231),0)</x:f>
        <x:v>371609.9610101089</x:v>
      </x:c>
      <x:c r="W231" s="169" t="n">
        <x:f>IF(W$4&gt;=$E231,$C231*MAX(0,1-(W$4-$E231)/$D231),0)</x:f>
        <x:v>325158.7158838453</x:v>
      </x:c>
      <x:c r="X231" s="169" t="n">
        <x:f>IF(X$4&gt;=$E231,$C231*MAX(0,1-(X$4-$E231)/$D231),0)</x:f>
        <x:v>278707.4707575817</x:v>
      </x:c>
      <x:c r="Y231" s="169" t="n">
        <x:f>IF(Y$4&gt;=$E231,$C231*MAX(0,1-(Y$4-$E231)/$D231),0)</x:f>
        <x:v>232256.22563131808</x:v>
      </x:c>
      <x:c r="Z231" s="169" t="n">
        <x:f>IF(Z$4&gt;=$E231,$C231*MAX(0,1-(Z$4-$E231)/$D231),0)</x:f>
        <x:v>185804.98050505447</x:v>
      </x:c>
      <x:c r="AA231" s="169" t="n">
        <x:f>IF(AA$4&gt;=$E231,$C231*MAX(0,1-(AA$4-$E231)/$D231),0)</x:f>
        <x:v>139353.7353787908</x:v>
      </x:c>
      <x:c r="AB231" s="169" t="n">
        <x:f>IF(AB$4&gt;=$E231,$C231*MAX(0,1-(AB$4-$E231)/$D231),0)</x:f>
        <x:v>92902.4902525272</x:v>
      </x:c>
      <x:c r="AC231" s="169" t="n">
        <x:f>IF(AC$4&gt;=$E231,$C231*MAX(0,1-(AC$4-$E231)/$D231),0)</x:f>
        <x:v>46451.2451262636</x:v>
      </x:c>
    </x:row>
    <x:row r="232" ht="20" customHeight="1">
      <x:c r="A232" s="170" t="str">
        <x:v>Hard assets</x:v>
      </x:c>
      <x:c r="B232" s="214" t="n">
        <x:v>2029</x:v>
      </x:c>
      <x:c r="C232" s="170" t="n">
        <x:f>'ROIC Cloud'!J$15*'ROIC Cloud'!$D$47</x:f>
        <x:v>696768.6768939542</x:v>
      </x:c>
      <x:c r="D232" s="214" t="n">
        <x:f>'ROIC Cloud'!$D$43</x:f>
        <x:v>15</x:v>
      </x:c>
      <x:c r="E232" s="214" t="n">
        <x:f>B232+'ROIC Cloud'!$D$40</x:f>
        <x:v>2031</x:v>
      </x:c>
      <x:c r="F232" s="170" t="str">
        <x:v>Depreciation</x:v>
      </x:c>
      <x:c r="G232" s="169" t="n">
        <x:f>IF(G$4&gt;=$E231,MIN($C231/$D231,G231),0)</x:f>
        <x:v>0</x:v>
      </x:c>
      <x:c r="H232" s="169" t="n">
        <x:f>IF(H$4&gt;=$E231,MIN($C231/$D231,H231),0)</x:f>
        <x:v>0</x:v>
      </x:c>
      <x:c r="I232" s="169" t="n">
        <x:f>IF(I$4&gt;=$E231,MIN($C231/$D231,I231),0)</x:f>
        <x:v>0</x:v>
      </x:c>
      <x:c r="J232" s="169" t="n">
        <x:f>IF(J$4&gt;=$E231,MIN($C231/$D231,J231),0)</x:f>
        <x:v>0</x:v>
      </x:c>
      <x:c r="K232" s="169" t="n">
        <x:f>IF(K$4&gt;=$E231,MIN($C231/$D231,K231),0)</x:f>
        <x:v>0</x:v>
      </x:c>
      <x:c r="L232" s="169" t="n">
        <x:f>IF(L$4&gt;=$E231,MIN($C231/$D231,L231),0)</x:f>
        <x:v>0</x:v>
      </x:c>
      <x:c r="M232" s="169" t="n">
        <x:f>IF(M$4&gt;=$E231,MIN($C231/$D231,M231),0)</x:f>
        <x:v>0</x:v>
      </x:c>
      <x:c r="N232" s="169" t="n">
        <x:f>IF(N$4&gt;=$E231,MIN($C231/$D231,N231),0)</x:f>
        <x:v>0</x:v>
      </x:c>
      <x:c r="O232" s="169" t="n">
        <x:f>IF(O$4&gt;=$E231,MIN($C231/$D231,O231),0)</x:f>
        <x:v>46451.24512626361</x:v>
      </x:c>
      <x:c r="P232" s="169" t="n">
        <x:f>IF(P$4&gt;=$E231,MIN($C231/$D231,P231),0)</x:f>
        <x:v>46451.24512626361</x:v>
      </x:c>
      <x:c r="Q232" s="169" t="n">
        <x:f>IF(Q$4&gt;=$E231,MIN($C231/$D231,Q231),0)</x:f>
        <x:v>46451.24512626361</x:v>
      </x:c>
      <x:c r="R232" s="169" t="n">
        <x:f>IF(R$4&gt;=$E231,MIN($C231/$D231,R231),0)</x:f>
        <x:v>46451.24512626361</x:v>
      </x:c>
      <x:c r="S232" s="169" t="n">
        <x:f>IF(S$4&gt;=$E231,MIN($C231/$D231,S231),0)</x:f>
        <x:v>46451.24512626361</x:v>
      </x:c>
      <x:c r="T232" s="169" t="n">
        <x:f>IF(T$4&gt;=$E231,MIN($C231/$D231,T231),0)</x:f>
        <x:v>46451.24512626361</x:v>
      </x:c>
      <x:c r="U232" s="169" t="n">
        <x:f>IF(U$4&gt;=$E231,MIN($C231/$D231,U231),0)</x:f>
        <x:v>46451.24512626361</x:v>
      </x:c>
      <x:c r="V232" s="169" t="n">
        <x:f>IF(V$4&gt;=$E231,MIN($C231/$D231,V231),0)</x:f>
        <x:v>46451.24512626361</x:v>
      </x:c>
      <x:c r="W232" s="169" t="n">
        <x:f>IF(W$4&gt;=$E231,MIN($C231/$D231,W231),0)</x:f>
        <x:v>46451.24512626361</x:v>
      </x:c>
      <x:c r="X232" s="169" t="n">
        <x:f>IF(X$4&gt;=$E231,MIN($C231/$D231,X231),0)</x:f>
        <x:v>46451.24512626361</x:v>
      </x:c>
      <x:c r="Y232" s="169" t="n">
        <x:f>IF(Y$4&gt;=$E231,MIN($C231/$D231,Y231),0)</x:f>
        <x:v>46451.24512626361</x:v>
      </x:c>
      <x:c r="Z232" s="169" t="n">
        <x:f>IF(Z$4&gt;=$E231,MIN($C231/$D231,Z231),0)</x:f>
        <x:v>46451.24512626361</x:v>
      </x:c>
      <x:c r="AA232" s="169" t="n">
        <x:f>IF(AA$4&gt;=$E231,MIN($C231/$D231,AA231),0)</x:f>
        <x:v>46451.24512626361</x:v>
      </x:c>
      <x:c r="AB232" s="169" t="n">
        <x:f>IF(AB$4&gt;=$E231,MIN($C231/$D231,AB231),0)</x:f>
        <x:v>46451.24512626361</x:v>
      </x:c>
      <x:c r="AC232" s="169" t="n">
        <x:f>IF(AC$4&gt;=$E231,MIN($C231/$D231,AC231),0)</x:f>
        <x:v>46451.2451262636</x:v>
      </x:c>
    </x:row>
    <x:row r="233" ht="20" customHeight="1">
      <x:c r="A233" s="170" t="str">
        <x:v>Hard assets</x:v>
      </x:c>
      <x:c r="B233" s="214" t="n">
        <x:v>2029</x:v>
      </x:c>
      <x:c r="C233" s="170" t="n">
        <x:f>'ROIC Cloud'!J$15*'ROIC Cloud'!$D$47</x:f>
        <x:v>696768.6768939542</x:v>
      </x:c>
      <x:c r="D233" s="214" t="n">
        <x:f>'ROIC Cloud'!$D$43</x:f>
        <x:v>15</x:v>
      </x:c>
      <x:c r="E233" s="214" t="n">
        <x:f>B233+'ROIC Cloud'!$D$40</x:f>
        <x:v>2031</x:v>
      </x:c>
      <x:c r="F233" s="170" t="str">
        <x:v>Closing NBV</x:v>
      </x:c>
      <x:c r="G233" s="169" t="n">
        <x:f>MAX(0,G231-G232)</x:f>
        <x:v>0</x:v>
      </x:c>
      <x:c r="H233" s="169" t="n">
        <x:f>MAX(0,H231-H232)</x:f>
        <x:v>0</x:v>
      </x:c>
      <x:c r="I233" s="169" t="n">
        <x:f>MAX(0,I231-I232)</x:f>
        <x:v>0</x:v>
      </x:c>
      <x:c r="J233" s="169" t="n">
        <x:f>MAX(0,J231-J232)</x:f>
        <x:v>0</x:v>
      </x:c>
      <x:c r="K233" s="169" t="n">
        <x:f>MAX(0,K231-K232)</x:f>
        <x:v>0</x:v>
      </x:c>
      <x:c r="L233" s="169" t="n">
        <x:f>MAX(0,L231-L232)</x:f>
        <x:v>0</x:v>
      </x:c>
      <x:c r="M233" s="169" t="n">
        <x:f>MAX(0,M231-M232)</x:f>
        <x:v>0</x:v>
      </x:c>
      <x:c r="N233" s="169" t="n">
        <x:f>MAX(0,N231-N232)</x:f>
        <x:v>0</x:v>
      </x:c>
      <x:c r="O233" s="169" t="n">
        <x:f>MAX(0,O231-O232)</x:f>
        <x:v>650317.4317676906</x:v>
      </x:c>
      <x:c r="P233" s="169" t="n">
        <x:f>MAX(0,P231-P232)</x:f>
        <x:v>603866.186641427</x:v>
      </x:c>
      <x:c r="Q233" s="169" t="n">
        <x:f>MAX(0,Q231-Q232)</x:f>
        <x:v>557414.9415151634</x:v>
      </x:c>
      <x:c r="R233" s="169" t="n">
        <x:f>MAX(0,R231-R232)</x:f>
        <x:v>510963.6963888998</x:v>
      </x:c>
      <x:c r="S233" s="169" t="n">
        <x:f>MAX(0,S231-S232)</x:f>
        <x:v>464512.45126263617</x:v>
      </x:c>
      <x:c r="T233" s="169" t="n">
        <x:f>MAX(0,T231-T232)</x:f>
        <x:v>418061.2061363726</x:v>
      </x:c>
      <x:c r="U233" s="169" t="n">
        <x:f>MAX(0,U231-U232)</x:f>
        <x:v>371609.9610101089</x:v>
      </x:c>
      <x:c r="V233" s="169" t="n">
        <x:f>MAX(0,V231-V232)</x:f>
        <x:v>325158.7158838453</x:v>
      </x:c>
      <x:c r="W233" s="169" t="n">
        <x:f>MAX(0,W231-W232)</x:f>
        <x:v>278707.4707575817</x:v>
      </x:c>
      <x:c r="X233" s="169" t="n">
        <x:f>MAX(0,X231-X232)</x:f>
        <x:v>232256.22563131808</x:v>
      </x:c>
      <x:c r="Y233" s="169" t="n">
        <x:f>MAX(0,Y231-Y232)</x:f>
        <x:v>185804.98050505447</x:v>
      </x:c>
      <x:c r="Z233" s="169" t="n">
        <x:f>MAX(0,Z231-Z232)</x:f>
        <x:v>139353.73537879085</x:v>
      </x:c>
      <x:c r="AA233" s="169" t="n">
        <x:f>MAX(0,AA231-AA232)</x:f>
        <x:v>92902.49025252718</x:v>
      </x:c>
      <x:c r="AB233" s="169" t="n">
        <x:f>MAX(0,AB231-AB232)</x:f>
        <x:v>46451.245126263595</x:v>
      </x:c>
      <x:c r="AC233" s="169" t="n">
        <x:f>MAX(0,AC231-AC232)</x:f>
        <x:v>0</x:v>
      </x:c>
    </x:row>
    <x:row r="234" ht="20" customHeight="1">
      <x:c r="A234" s="170" t="str">
        <x:v>Hard assets</x:v>
      </x:c>
      <x:c r="B234" s="214" t="n">
        <x:v>2029</x:v>
      </x:c>
      <x:c r="C234" s="170" t="n">
        <x:f>'ROIC Cloud'!J$15*'ROIC Cloud'!$D$47</x:f>
        <x:v>696768.6768939542</x:v>
      </x:c>
      <x:c r="D234" s="214" t="n">
        <x:f>'ROIC Cloud'!$D$43</x:f>
        <x:v>15</x:v>
      </x:c>
      <x:c r="E234" s="214" t="n">
        <x:f>B234+'ROIC Cloud'!$D$40</x:f>
        <x:v>2031</x:v>
      </x:c>
      <x:c r="F234" s="170" t="str">
        <x:v>Average NBV</x:v>
      </x:c>
      <x:c r="G234" s="169" t="n">
        <x:f>(G231+G233)/2</x:f>
        <x:v>0</x:v>
      </x:c>
      <x:c r="H234" s="169" t="n">
        <x:f>(H231+H233)/2</x:f>
        <x:v>0</x:v>
      </x:c>
      <x:c r="I234" s="169" t="n">
        <x:f>(I231+I233)/2</x:f>
        <x:v>0</x:v>
      </x:c>
      <x:c r="J234" s="169" t="n">
        <x:f>(J231+J233)/2</x:f>
        <x:v>0</x:v>
      </x:c>
      <x:c r="K234" s="169" t="n">
        <x:f>(K231+K233)/2</x:f>
        <x:v>0</x:v>
      </x:c>
      <x:c r="L234" s="169" t="n">
        <x:f>(L231+L233)/2</x:f>
        <x:v>0</x:v>
      </x:c>
      <x:c r="M234" s="169" t="n">
        <x:f>(M231+M233)/2</x:f>
        <x:v>0</x:v>
      </x:c>
      <x:c r="N234" s="169" t="n">
        <x:f>(N231+N233)/2</x:f>
        <x:v>0</x:v>
      </x:c>
      <x:c r="O234" s="169" t="n">
        <x:f>(O231+O233)/2</x:f>
        <x:v>673543.0543308223</x:v>
      </x:c>
      <x:c r="P234" s="169" t="n">
        <x:f>(P231+P233)/2</x:f>
        <x:v>627091.8092045588</x:v>
      </x:c>
      <x:c r="Q234" s="169" t="n">
        <x:f>(Q231+Q233)/2</x:f>
        <x:v>580640.5640782951</x:v>
      </x:c>
      <x:c r="R234" s="169" t="n">
        <x:f>(R231+R233)/2</x:f>
        <x:v>534189.3189520317</x:v>
      </x:c>
      <x:c r="S234" s="169" t="n">
        <x:f>(S231+S233)/2</x:f>
        <x:v>487738.07382576796</x:v>
      </x:c>
      <x:c r="T234" s="169" t="n">
        <x:f>(T231+T233)/2</x:f>
        <x:v>441286.8286995044</x:v>
      </x:c>
      <x:c r="U234" s="169" t="n">
        <x:f>(U231+U233)/2</x:f>
        <x:v>394835.58357324067</x:v>
      </x:c>
      <x:c r="V234" s="169" t="n">
        <x:f>(V231+V233)/2</x:f>
        <x:v>348384.3384469771</x:v>
      </x:c>
      <x:c r="W234" s="169" t="n">
        <x:f>(W231+W233)/2</x:f>
        <x:v>301933.0933207135</x:v>
      </x:c>
      <x:c r="X234" s="169" t="n">
        <x:f>(X231+X233)/2</x:f>
        <x:v>255481.8481944499</x:v>
      </x:c>
      <x:c r="Y234" s="169" t="n">
        <x:f>(Y231+Y233)/2</x:f>
        <x:v>209030.60306818626</x:v>
      </x:c>
      <x:c r="Z234" s="169" t="n">
        <x:f>(Z231+Z233)/2</x:f>
        <x:v>162579.35794192267</x:v>
      </x:c>
      <x:c r="AA234" s="169" t="n">
        <x:f>(AA231+AA233)/2</x:f>
        <x:v>116128.11281565898</x:v>
      </x:c>
      <x:c r="AB234" s="169" t="n">
        <x:f>(AB231+AB233)/2</x:f>
        <x:v>69676.8676893954</x:v>
      </x:c>
      <x:c r="AC234" s="169" t="n">
        <x:f>(AC231+AC233)/2</x:f>
        <x:v>23225.6225631318</x:v>
      </x:c>
    </x:row>
    <x:row r="235" ht="20" customHeight="1">
      <x:c r="A235" s="170" t="str">
        <x:v>Hard assets</x:v>
      </x:c>
      <x:c r="B235" s="214" t="n">
        <x:v>2030</x:v>
      </x:c>
      <x:c r="C235" s="170" t="n">
        <x:f>'ROIC Cloud'!K$15*'ROIC Cloud'!$D$47</x:f>
        <x:v>752510.1710454704</x:v>
      </x:c>
      <x:c r="D235" s="214" t="n">
        <x:f>'ROIC Cloud'!$D$43</x:f>
        <x:v>15</x:v>
      </x:c>
      <x:c r="E235" s="214" t="n">
        <x:f>B235+'ROIC Cloud'!$D$40</x:f>
        <x:v>2032</x:v>
      </x:c>
      <x:c r="F235" s="170" t="str">
        <x:v>Opening NBV</x:v>
      </x:c>
      <x:c r="G235" s="169" t="n">
        <x:f>IF(G$4&gt;=$E235,$C235*MAX(0,1-(G$4-$E235)/$D235),0)</x:f>
        <x:v>0</x:v>
      </x:c>
      <x:c r="H235" s="169" t="n">
        <x:f>IF(H$4&gt;=$E235,$C235*MAX(0,1-(H$4-$E235)/$D235),0)</x:f>
        <x:v>0</x:v>
      </x:c>
      <x:c r="I235" s="169" t="n">
        <x:f>IF(I$4&gt;=$E235,$C235*MAX(0,1-(I$4-$E235)/$D235),0)</x:f>
        <x:v>0</x:v>
      </x:c>
      <x:c r="J235" s="169" t="n">
        <x:f>IF(J$4&gt;=$E235,$C235*MAX(0,1-(J$4-$E235)/$D235),0)</x:f>
        <x:v>0</x:v>
      </x:c>
      <x:c r="K235" s="169" t="n">
        <x:f>IF(K$4&gt;=$E235,$C235*MAX(0,1-(K$4-$E235)/$D235),0)</x:f>
        <x:v>0</x:v>
      </x:c>
      <x:c r="L235" s="169" t="n">
        <x:f>IF(L$4&gt;=$E235,$C235*MAX(0,1-(L$4-$E235)/$D235),0)</x:f>
        <x:v>0</x:v>
      </x:c>
      <x:c r="M235" s="169" t="n">
        <x:f>IF(M$4&gt;=$E235,$C235*MAX(0,1-(M$4-$E235)/$D235),0)</x:f>
        <x:v>0</x:v>
      </x:c>
      <x:c r="N235" s="169" t="n">
        <x:f>IF(N$4&gt;=$E235,$C235*MAX(0,1-(N$4-$E235)/$D235),0)</x:f>
        <x:v>0</x:v>
      </x:c>
      <x:c r="O235" s="169" t="n">
        <x:f>IF(O$4&gt;=$E235,$C235*MAX(0,1-(O$4-$E235)/$D235),0)</x:f>
        <x:v>0</x:v>
      </x:c>
      <x:c r="P235" s="169" t="n">
        <x:f>IF(P$4&gt;=$E235,$C235*MAX(0,1-(P$4-$E235)/$D235),0)</x:f>
        <x:v>752510.1710454704</x:v>
      </x:c>
      <x:c r="Q235" s="169" t="n">
        <x:f>IF(Q$4&gt;=$E235,$C235*MAX(0,1-(Q$4-$E235)/$D235),0)</x:f>
        <x:v>702342.8263091057</x:v>
      </x:c>
      <x:c r="R235" s="169" t="n">
        <x:f>IF(R$4&gt;=$E235,$C235*MAX(0,1-(R$4-$E235)/$D235),0)</x:f>
        <x:v>652175.4815727411</x:v>
      </x:c>
      <x:c r="S235" s="169" t="n">
        <x:f>IF(S$4&gt;=$E235,$C235*MAX(0,1-(S$4-$E235)/$D235),0)</x:f>
        <x:v>602008.1368363764</x:v>
      </x:c>
      <x:c r="T235" s="169" t="n">
        <x:f>IF(T$4&gt;=$E235,$C235*MAX(0,1-(T$4-$E235)/$D235),0)</x:f>
        <x:v>551840.7921000117</x:v>
      </x:c>
      <x:c r="U235" s="169" t="n">
        <x:f>IF(U$4&gt;=$E235,$C235*MAX(0,1-(U$4-$E235)/$D235),0)</x:f>
        <x:v>501673.447363647</x:v>
      </x:c>
      <x:c r="V235" s="169" t="n">
        <x:f>IF(V$4&gt;=$E235,$C235*MAX(0,1-(V$4-$E235)/$D235),0)</x:f>
        <x:v>451506.1026272822</x:v>
      </x:c>
      <x:c r="W235" s="169" t="n">
        <x:f>IF(W$4&gt;=$E235,$C235*MAX(0,1-(W$4-$E235)/$D235),0)</x:f>
        <x:v>401338.75789091754</x:v>
      </x:c>
      <x:c r="X235" s="169" t="n">
        <x:f>IF(X$4&gt;=$E235,$C235*MAX(0,1-(X$4-$E235)/$D235),0)</x:f>
        <x:v>351171.41315455287</x:v>
      </x:c>
      <x:c r="Y235" s="169" t="n">
        <x:f>IF(Y$4&gt;=$E235,$C235*MAX(0,1-(Y$4-$E235)/$D235),0)</x:f>
        <x:v>301004.0684181882</x:v>
      </x:c>
      <x:c r="Z235" s="169" t="n">
        <x:f>IF(Z$4&gt;=$E235,$C235*MAX(0,1-(Z$4-$E235)/$D235),0)</x:f>
        <x:v>250836.7236818235</x:v>
      </x:c>
      <x:c r="AA235" s="169" t="n">
        <x:f>IF(AA$4&gt;=$E235,$C235*MAX(0,1-(AA$4-$E235)/$D235),0)</x:f>
        <x:v>200669.37894545883</x:v>
      </x:c>
      <x:c r="AB235" s="169" t="n">
        <x:f>IF(AB$4&gt;=$E235,$C235*MAX(0,1-(AB$4-$E235)/$D235),0)</x:f>
        <x:v>150502.03420909404</x:v>
      </x:c>
      <x:c r="AC235" s="169" t="n">
        <x:f>IF(AC$4&gt;=$E235,$C235*MAX(0,1-(AC$4-$E235)/$D235),0)</x:f>
        <x:v>100334.68947272937</x:v>
      </x:c>
    </x:row>
    <x:row r="236" ht="20" customHeight="1">
      <x:c r="A236" s="170" t="str">
        <x:v>Hard assets</x:v>
      </x:c>
      <x:c r="B236" s="214" t="n">
        <x:v>2030</x:v>
      </x:c>
      <x:c r="C236" s="170" t="n">
        <x:f>'ROIC Cloud'!K$15*'ROIC Cloud'!$D$47</x:f>
        <x:v>752510.1710454704</x:v>
      </x:c>
      <x:c r="D236" s="214" t="n">
        <x:f>'ROIC Cloud'!$D$43</x:f>
        <x:v>15</x:v>
      </x:c>
      <x:c r="E236" s="214" t="n">
        <x:f>B236+'ROIC Cloud'!$D$40</x:f>
        <x:v>2032</x:v>
      </x:c>
      <x:c r="F236" s="170" t="str">
        <x:v>Depreciation</x:v>
      </x:c>
      <x:c r="G236" s="169" t="n">
        <x:f>IF(G$4&gt;=$E235,MIN($C235/$D235,G235),0)</x:f>
        <x:v>0</x:v>
      </x:c>
      <x:c r="H236" s="169" t="n">
        <x:f>IF(H$4&gt;=$E235,MIN($C235/$D235,H235),0)</x:f>
        <x:v>0</x:v>
      </x:c>
      <x:c r="I236" s="169" t="n">
        <x:f>IF(I$4&gt;=$E235,MIN($C235/$D235,I235),0)</x:f>
        <x:v>0</x:v>
      </x:c>
      <x:c r="J236" s="169" t="n">
        <x:f>IF(J$4&gt;=$E235,MIN($C235/$D235,J235),0)</x:f>
        <x:v>0</x:v>
      </x:c>
      <x:c r="K236" s="169" t="n">
        <x:f>IF(K$4&gt;=$E235,MIN($C235/$D235,K235),0)</x:f>
        <x:v>0</x:v>
      </x:c>
      <x:c r="L236" s="169" t="n">
        <x:f>IF(L$4&gt;=$E235,MIN($C235/$D235,L235),0)</x:f>
        <x:v>0</x:v>
      </x:c>
      <x:c r="M236" s="169" t="n">
        <x:f>IF(M$4&gt;=$E235,MIN($C235/$D235,M235),0)</x:f>
        <x:v>0</x:v>
      </x:c>
      <x:c r="N236" s="169" t="n">
        <x:f>IF(N$4&gt;=$E235,MIN($C235/$D235,N235),0)</x:f>
        <x:v>0</x:v>
      </x:c>
      <x:c r="O236" s="169" t="n">
        <x:f>IF(O$4&gt;=$E235,MIN($C235/$D235,O235),0)</x:f>
        <x:v>0</x:v>
      </x:c>
      <x:c r="P236" s="169" t="n">
        <x:f>IF(P$4&gt;=$E235,MIN($C235/$D235,P235),0)</x:f>
        <x:v>50167.34473636469</x:v>
      </x:c>
      <x:c r="Q236" s="169" t="n">
        <x:f>IF(Q$4&gt;=$E235,MIN($C235/$D235,Q235),0)</x:f>
        <x:v>50167.34473636469</x:v>
      </x:c>
      <x:c r="R236" s="169" t="n">
        <x:f>IF(R$4&gt;=$E235,MIN($C235/$D235,R235),0)</x:f>
        <x:v>50167.34473636469</x:v>
      </x:c>
      <x:c r="S236" s="169" t="n">
        <x:f>IF(S$4&gt;=$E235,MIN($C235/$D235,S235),0)</x:f>
        <x:v>50167.34473636469</x:v>
      </x:c>
      <x:c r="T236" s="169" t="n">
        <x:f>IF(T$4&gt;=$E235,MIN($C235/$D235,T235),0)</x:f>
        <x:v>50167.34473636469</x:v>
      </x:c>
      <x:c r="U236" s="169" t="n">
        <x:f>IF(U$4&gt;=$E235,MIN($C235/$D235,U235),0)</x:f>
        <x:v>50167.34473636469</x:v>
      </x:c>
      <x:c r="V236" s="169" t="n">
        <x:f>IF(V$4&gt;=$E235,MIN($C235/$D235,V235),0)</x:f>
        <x:v>50167.34473636469</x:v>
      </x:c>
      <x:c r="W236" s="169" t="n">
        <x:f>IF(W$4&gt;=$E235,MIN($C235/$D235,W235),0)</x:f>
        <x:v>50167.34473636469</x:v>
      </x:c>
      <x:c r="X236" s="169" t="n">
        <x:f>IF(X$4&gt;=$E235,MIN($C235/$D235,X235),0)</x:f>
        <x:v>50167.34473636469</x:v>
      </x:c>
      <x:c r="Y236" s="169" t="n">
        <x:f>IF(Y$4&gt;=$E235,MIN($C235/$D235,Y235),0)</x:f>
        <x:v>50167.34473636469</x:v>
      </x:c>
      <x:c r="Z236" s="169" t="n">
        <x:f>IF(Z$4&gt;=$E235,MIN($C235/$D235,Z235),0)</x:f>
        <x:v>50167.34473636469</x:v>
      </x:c>
      <x:c r="AA236" s="169" t="n">
        <x:f>IF(AA$4&gt;=$E235,MIN($C235/$D235,AA235),0)</x:f>
        <x:v>50167.34473636469</x:v>
      </x:c>
      <x:c r="AB236" s="169" t="n">
        <x:f>IF(AB$4&gt;=$E235,MIN($C235/$D235,AB235),0)</x:f>
        <x:v>50167.34473636469</x:v>
      </x:c>
      <x:c r="AC236" s="169" t="n">
        <x:f>IF(AC$4&gt;=$E235,MIN($C235/$D235,AC235),0)</x:f>
        <x:v>50167.34473636469</x:v>
      </x:c>
    </x:row>
    <x:row r="237" ht="20" customHeight="1">
      <x:c r="A237" s="170" t="str">
        <x:v>Hard assets</x:v>
      </x:c>
      <x:c r="B237" s="214" t="n">
        <x:v>2030</x:v>
      </x:c>
      <x:c r="C237" s="170" t="n">
        <x:f>'ROIC Cloud'!K$15*'ROIC Cloud'!$D$47</x:f>
        <x:v>752510.1710454704</x:v>
      </x:c>
      <x:c r="D237" s="214" t="n">
        <x:f>'ROIC Cloud'!$D$43</x:f>
        <x:v>15</x:v>
      </x:c>
      <x:c r="E237" s="214" t="n">
        <x:f>B237+'ROIC Cloud'!$D$40</x:f>
        <x:v>2032</x:v>
      </x:c>
      <x:c r="F237" s="170" t="str">
        <x:v>Closing NBV</x:v>
      </x:c>
      <x:c r="G237" s="169" t="n">
        <x:f>MAX(0,G235-G236)</x:f>
        <x:v>0</x:v>
      </x:c>
      <x:c r="H237" s="169" t="n">
        <x:f>MAX(0,H235-H236)</x:f>
        <x:v>0</x:v>
      </x:c>
      <x:c r="I237" s="169" t="n">
        <x:f>MAX(0,I235-I236)</x:f>
        <x:v>0</x:v>
      </x:c>
      <x:c r="J237" s="169" t="n">
        <x:f>MAX(0,J235-J236)</x:f>
        <x:v>0</x:v>
      </x:c>
      <x:c r="K237" s="169" t="n">
        <x:f>MAX(0,K235-K236)</x:f>
        <x:v>0</x:v>
      </x:c>
      <x:c r="L237" s="169" t="n">
        <x:f>MAX(0,L235-L236)</x:f>
        <x:v>0</x:v>
      </x:c>
      <x:c r="M237" s="169" t="n">
        <x:f>MAX(0,M235-M236)</x:f>
        <x:v>0</x:v>
      </x:c>
      <x:c r="N237" s="169" t="n">
        <x:f>MAX(0,N235-N236)</x:f>
        <x:v>0</x:v>
      </x:c>
      <x:c r="O237" s="169" t="n">
        <x:f>MAX(0,O235-O236)</x:f>
        <x:v>0</x:v>
      </x:c>
      <x:c r="P237" s="169" t="n">
        <x:f>MAX(0,P235-P236)</x:f>
        <x:v>702342.8263091057</x:v>
      </x:c>
      <x:c r="Q237" s="169" t="n">
        <x:f>MAX(0,Q235-Q236)</x:f>
        <x:v>652175.4815727411</x:v>
      </x:c>
      <x:c r="R237" s="169" t="n">
        <x:f>MAX(0,R235-R236)</x:f>
        <x:v>602008.1368363764</x:v>
      </x:c>
      <x:c r="S237" s="169" t="n">
        <x:f>MAX(0,S235-S236)</x:f>
        <x:v>551840.7921000117</x:v>
      </x:c>
      <x:c r="T237" s="169" t="n">
        <x:f>MAX(0,T235-T236)</x:f>
        <x:v>501673.44736364705</x:v>
      </x:c>
      <x:c r="U237" s="169" t="n">
        <x:f>MAX(0,U235-U236)</x:f>
        <x:v>451506.1026272823</x:v>
      </x:c>
      <x:c r="V237" s="169" t="n">
        <x:f>MAX(0,V235-V236)</x:f>
        <x:v>401338.75789091754</x:v>
      </x:c>
      <x:c r="W237" s="169" t="n">
        <x:f>MAX(0,W235-W236)</x:f>
        <x:v>351171.41315455287</x:v>
      </x:c>
      <x:c r="X237" s="169" t="n">
        <x:f>MAX(0,X235-X236)</x:f>
        <x:v>301004.0684181882</x:v>
      </x:c>
      <x:c r="Y237" s="169" t="n">
        <x:f>MAX(0,Y235-Y236)</x:f>
        <x:v>250836.7236818235</x:v>
      </x:c>
      <x:c r="Z237" s="169" t="n">
        <x:f>MAX(0,Z235-Z236)</x:f>
        <x:v>200669.3789454588</x:v>
      </x:c>
      <x:c r="AA237" s="169" t="n">
        <x:f>MAX(0,AA235-AA236)</x:f>
        <x:v>150502.03420909413</x:v>
      </x:c>
      <x:c r="AB237" s="169" t="n">
        <x:f>MAX(0,AB235-AB236)</x:f>
        <x:v>100334.68947272934</x:v>
      </x:c>
      <x:c r="AC237" s="169" t="n">
        <x:f>MAX(0,AC235-AC236)</x:f>
        <x:v>50167.34473636468</x:v>
      </x:c>
    </x:row>
    <x:row r="238" ht="20" customHeight="1">
      <x:c r="A238" s="170" t="str">
        <x:v>Hard assets</x:v>
      </x:c>
      <x:c r="B238" s="214" t="n">
        <x:v>2030</x:v>
      </x:c>
      <x:c r="C238" s="170" t="n">
        <x:f>'ROIC Cloud'!K$15*'ROIC Cloud'!$D$47</x:f>
        <x:v>752510.1710454704</x:v>
      </x:c>
      <x:c r="D238" s="214" t="n">
        <x:f>'ROIC Cloud'!$D$43</x:f>
        <x:v>15</x:v>
      </x:c>
      <x:c r="E238" s="214" t="n">
        <x:f>B238+'ROIC Cloud'!$D$40</x:f>
        <x:v>2032</x:v>
      </x:c>
      <x:c r="F238" s="170" t="str">
        <x:v>Average NBV</x:v>
      </x:c>
      <x:c r="G238" s="169" t="n">
        <x:f>(G235+G237)/2</x:f>
        <x:v>0</x:v>
      </x:c>
      <x:c r="H238" s="169" t="n">
        <x:f>(H235+H237)/2</x:f>
        <x:v>0</x:v>
      </x:c>
      <x:c r="I238" s="169" t="n">
        <x:f>(I235+I237)/2</x:f>
        <x:v>0</x:v>
      </x:c>
      <x:c r="J238" s="169" t="n">
        <x:f>(J235+J237)/2</x:f>
        <x:v>0</x:v>
      </x:c>
      <x:c r="K238" s="169" t="n">
        <x:f>(K235+K237)/2</x:f>
        <x:v>0</x:v>
      </x:c>
      <x:c r="L238" s="169" t="n">
        <x:f>(L235+L237)/2</x:f>
        <x:v>0</x:v>
      </x:c>
      <x:c r="M238" s="169" t="n">
        <x:f>(M235+M237)/2</x:f>
        <x:v>0</x:v>
      </x:c>
      <x:c r="N238" s="169" t="n">
        <x:f>(N235+N237)/2</x:f>
        <x:v>0</x:v>
      </x:c>
      <x:c r="O238" s="169" t="n">
        <x:f>(O235+O237)/2</x:f>
        <x:v>0</x:v>
      </x:c>
      <x:c r="P238" s="169" t="n">
        <x:f>(P235+P237)/2</x:f>
        <x:v>727426.4986772881</x:v>
      </x:c>
      <x:c r="Q238" s="169" t="n">
        <x:f>(Q235+Q237)/2</x:f>
        <x:v>677259.1539409234</x:v>
      </x:c>
      <x:c r="R238" s="169" t="n">
        <x:f>(R235+R237)/2</x:f>
        <x:v>627091.8092045587</x:v>
      </x:c>
      <x:c r="S238" s="169" t="n">
        <x:f>(S235+S237)/2</x:f>
        <x:v>576924.464468194</x:v>
      </x:c>
      <x:c r="T238" s="169" t="n">
        <x:f>(T235+T237)/2</x:f>
        <x:v>526757.1197318294</x:v>
      </x:c>
      <x:c r="U238" s="169" t="n">
        <x:f>(U235+U237)/2</x:f>
        <x:v>476589.77499546466</x:v>
      </x:c>
      <x:c r="V238" s="169" t="n">
        <x:f>(V235+V237)/2</x:f>
        <x:v>426422.43025909987</x:v>
      </x:c>
      <x:c r="W238" s="169" t="n">
        <x:f>(W235+W237)/2</x:f>
        <x:v>376255.0855227352</x:v>
      </x:c>
      <x:c r="X238" s="169" t="n">
        <x:f>(X235+X237)/2</x:f>
        <x:v>326087.74078637053</x:v>
      </x:c>
      <x:c r="Y238" s="169" t="n">
        <x:f>(Y235+Y237)/2</x:f>
        <x:v>275920.39605000586</x:v>
      </x:c>
      <x:c r="Z238" s="169" t="n">
        <x:f>(Z235+Z237)/2</x:f>
        <x:v>225753.05131364113</x:v>
      </x:c>
      <x:c r="AA238" s="169" t="n">
        <x:f>(AA235+AA237)/2</x:f>
        <x:v>175585.70657727646</x:v>
      </x:c>
      <x:c r="AB238" s="169" t="n">
        <x:f>(AB235+AB237)/2</x:f>
        <x:v>125418.36184091169</x:v>
      </x:c>
      <x:c r="AC238" s="169" t="n">
        <x:f>(AC235+AC237)/2</x:f>
        <x:v>75251.01710454702</x:v>
      </x:c>
    </x:row>
    <x:row r="239" ht="20" customHeight="1">
      <x:c r="A239" s="170" t="str">
        <x:v>Hard assets</x:v>
      </x:c>
      <x:c r="B239" s="214" t="n">
        <x:v>2031</x:v>
      </x:c>
      <x:c r="C239" s="170" t="n">
        <x:f>'ROIC Cloud'!L$15*'ROIC Cloud'!$D$47</x:f>
        <x:v>812710.9847291082</x:v>
      </x:c>
      <x:c r="D239" s="214" t="n">
        <x:f>'ROIC Cloud'!$D$43</x:f>
        <x:v>15</x:v>
      </x:c>
      <x:c r="E239" s="214" t="n">
        <x:f>B239+'ROIC Cloud'!$D$40</x:f>
        <x:v>2033</x:v>
      </x:c>
      <x:c r="F239" s="170" t="str">
        <x:v>Opening NBV</x:v>
      </x:c>
      <x:c r="G239" s="169" t="n">
        <x:f>IF(G$4&gt;=$E239,$C239*MAX(0,1-(G$4-$E239)/$D239),0)</x:f>
        <x:v>0</x:v>
      </x:c>
      <x:c r="H239" s="169" t="n">
        <x:f>IF(H$4&gt;=$E239,$C239*MAX(0,1-(H$4-$E239)/$D239),0)</x:f>
        <x:v>0</x:v>
      </x:c>
      <x:c r="I239" s="169" t="n">
        <x:f>IF(I$4&gt;=$E239,$C239*MAX(0,1-(I$4-$E239)/$D239),0)</x:f>
        <x:v>0</x:v>
      </x:c>
      <x:c r="J239" s="169" t="n">
        <x:f>IF(J$4&gt;=$E239,$C239*MAX(0,1-(J$4-$E239)/$D239),0)</x:f>
        <x:v>0</x:v>
      </x:c>
      <x:c r="K239" s="169" t="n">
        <x:f>IF(K$4&gt;=$E239,$C239*MAX(0,1-(K$4-$E239)/$D239),0)</x:f>
        <x:v>0</x:v>
      </x:c>
      <x:c r="L239" s="169" t="n">
        <x:f>IF(L$4&gt;=$E239,$C239*MAX(0,1-(L$4-$E239)/$D239),0)</x:f>
        <x:v>0</x:v>
      </x:c>
      <x:c r="M239" s="169" t="n">
        <x:f>IF(M$4&gt;=$E239,$C239*MAX(0,1-(M$4-$E239)/$D239),0)</x:f>
        <x:v>0</x:v>
      </x:c>
      <x:c r="N239" s="169" t="n">
        <x:f>IF(N$4&gt;=$E239,$C239*MAX(0,1-(N$4-$E239)/$D239),0)</x:f>
        <x:v>0</x:v>
      </x:c>
      <x:c r="O239" s="169" t="n">
        <x:f>IF(O$4&gt;=$E239,$C239*MAX(0,1-(O$4-$E239)/$D239),0)</x:f>
        <x:v>0</x:v>
      </x:c>
      <x:c r="P239" s="169" t="n">
        <x:f>IF(P$4&gt;=$E239,$C239*MAX(0,1-(P$4-$E239)/$D239),0)</x:f>
        <x:v>0</x:v>
      </x:c>
      <x:c r="Q239" s="169" t="n">
        <x:f>IF(Q$4&gt;=$E239,$C239*MAX(0,1-(Q$4-$E239)/$D239),0)</x:f>
        <x:v>812710.9847291082</x:v>
      </x:c>
      <x:c r="R239" s="169" t="n">
        <x:f>IF(R$4&gt;=$E239,$C239*MAX(0,1-(R$4-$E239)/$D239),0)</x:f>
        <x:v>758530.2524138343</x:v>
      </x:c>
      <x:c r="S239" s="169" t="n">
        <x:f>IF(S$4&gt;=$E239,$C239*MAX(0,1-(S$4-$E239)/$D239),0)</x:f>
        <x:v>704349.5200985605</x:v>
      </x:c>
      <x:c r="T239" s="169" t="n">
        <x:f>IF(T$4&gt;=$E239,$C239*MAX(0,1-(T$4-$E239)/$D239),0)</x:f>
        <x:v>650168.7877832865</x:v>
      </x:c>
      <x:c r="U239" s="169" t="n">
        <x:f>IF(U$4&gt;=$E239,$C239*MAX(0,1-(U$4-$E239)/$D239),0)</x:f>
        <x:v>595988.0554680127</x:v>
      </x:c>
      <x:c r="V239" s="169" t="n">
        <x:f>IF(V$4&gt;=$E239,$C239*MAX(0,1-(V$4-$E239)/$D239),0)</x:f>
        <x:v>541807.3231527389</x:v>
      </x:c>
      <x:c r="W239" s="169" t="n">
        <x:f>IF(W$4&gt;=$E239,$C239*MAX(0,1-(W$4-$E239)/$D239),0)</x:f>
        <x:v>487626.5908374649</x:v>
      </x:c>
      <x:c r="X239" s="169" t="n">
        <x:f>IF(X$4&gt;=$E239,$C239*MAX(0,1-(X$4-$E239)/$D239),0)</x:f>
        <x:v>433445.858522191</x:v>
      </x:c>
      <x:c r="Y239" s="169" t="n">
        <x:f>IF(Y$4&gt;=$E239,$C239*MAX(0,1-(Y$4-$E239)/$D239),0)</x:f>
        <x:v>379265.12620691716</x:v>
      </x:c>
      <x:c r="Z239" s="169" t="n">
        <x:f>IF(Z$4&gt;=$E239,$C239*MAX(0,1-(Z$4-$E239)/$D239),0)</x:f>
        <x:v>325084.39389164327</x:v>
      </x:c>
      <x:c r="AA239" s="169" t="n">
        <x:f>IF(AA$4&gt;=$E239,$C239*MAX(0,1-(AA$4-$E239)/$D239),0)</x:f>
        <x:v>270903.6615763694</x:v>
      </x:c>
      <x:c r="AB239" s="169" t="n">
        <x:f>IF(AB$4&gt;=$E239,$C239*MAX(0,1-(AB$4-$E239)/$D239),0)</x:f>
        <x:v>216722.92926109556</x:v>
      </x:c>
      <x:c r="AC239" s="169" t="n">
        <x:f>IF(AC$4&gt;=$E239,$C239*MAX(0,1-(AC$4-$E239)/$D239),0)</x:f>
        <x:v>162542.1969458216</x:v>
      </x:c>
    </x:row>
    <x:row r="240" ht="20" customHeight="1">
      <x:c r="A240" s="170" t="str">
        <x:v>Hard assets</x:v>
      </x:c>
      <x:c r="B240" s="214" t="n">
        <x:v>2031</x:v>
      </x:c>
      <x:c r="C240" s="170" t="n">
        <x:f>'ROIC Cloud'!L$15*'ROIC Cloud'!$D$47</x:f>
        <x:v>812710.9847291082</x:v>
      </x:c>
      <x:c r="D240" s="214" t="n">
        <x:f>'ROIC Cloud'!$D$43</x:f>
        <x:v>15</x:v>
      </x:c>
      <x:c r="E240" s="214" t="n">
        <x:f>B240+'ROIC Cloud'!$D$40</x:f>
        <x:v>2033</x:v>
      </x:c>
      <x:c r="F240" s="170" t="str">
        <x:v>Depreciation</x:v>
      </x:c>
      <x:c r="G240" s="169" t="n">
        <x:f>IF(G$4&gt;=$E239,MIN($C239/$D239,G239),0)</x:f>
        <x:v>0</x:v>
      </x:c>
      <x:c r="H240" s="169" t="n">
        <x:f>IF(H$4&gt;=$E239,MIN($C239/$D239,H239),0)</x:f>
        <x:v>0</x:v>
      </x:c>
      <x:c r="I240" s="169" t="n">
        <x:f>IF(I$4&gt;=$E239,MIN($C239/$D239,I239),0)</x:f>
        <x:v>0</x:v>
      </x:c>
      <x:c r="J240" s="169" t="n">
        <x:f>IF(J$4&gt;=$E239,MIN($C239/$D239,J239),0)</x:f>
        <x:v>0</x:v>
      </x:c>
      <x:c r="K240" s="169" t="n">
        <x:f>IF(K$4&gt;=$E239,MIN($C239/$D239,K239),0)</x:f>
        <x:v>0</x:v>
      </x:c>
      <x:c r="L240" s="169" t="n">
        <x:f>IF(L$4&gt;=$E239,MIN($C239/$D239,L239),0)</x:f>
        <x:v>0</x:v>
      </x:c>
      <x:c r="M240" s="169" t="n">
        <x:f>IF(M$4&gt;=$E239,MIN($C239/$D239,M239),0)</x:f>
        <x:v>0</x:v>
      </x:c>
      <x:c r="N240" s="169" t="n">
        <x:f>IF(N$4&gt;=$E239,MIN($C239/$D239,N239),0)</x:f>
        <x:v>0</x:v>
      </x:c>
      <x:c r="O240" s="169" t="n">
        <x:f>IF(O$4&gt;=$E239,MIN($C239/$D239,O239),0)</x:f>
        <x:v>0</x:v>
      </x:c>
      <x:c r="P240" s="169" t="n">
        <x:f>IF(P$4&gt;=$E239,MIN($C239/$D239,P239),0)</x:f>
        <x:v>0</x:v>
      </x:c>
      <x:c r="Q240" s="169" t="n">
        <x:f>IF(Q$4&gt;=$E239,MIN($C239/$D239,Q239),0)</x:f>
        <x:v>54180.732315273875</x:v>
      </x:c>
      <x:c r="R240" s="169" t="n">
        <x:f>IF(R$4&gt;=$E239,MIN($C239/$D239,R239),0)</x:f>
        <x:v>54180.732315273875</x:v>
      </x:c>
      <x:c r="S240" s="169" t="n">
        <x:f>IF(S$4&gt;=$E239,MIN($C239/$D239,S239),0)</x:f>
        <x:v>54180.732315273875</x:v>
      </x:c>
      <x:c r="T240" s="169" t="n">
        <x:f>IF(T$4&gt;=$E239,MIN($C239/$D239,T239),0)</x:f>
        <x:v>54180.732315273875</x:v>
      </x:c>
      <x:c r="U240" s="169" t="n">
        <x:f>IF(U$4&gt;=$E239,MIN($C239/$D239,U239),0)</x:f>
        <x:v>54180.732315273875</x:v>
      </x:c>
      <x:c r="V240" s="169" t="n">
        <x:f>IF(V$4&gt;=$E239,MIN($C239/$D239,V239),0)</x:f>
        <x:v>54180.732315273875</x:v>
      </x:c>
      <x:c r="W240" s="169" t="n">
        <x:f>IF(W$4&gt;=$E239,MIN($C239/$D239,W239),0)</x:f>
        <x:v>54180.732315273875</x:v>
      </x:c>
      <x:c r="X240" s="169" t="n">
        <x:f>IF(X$4&gt;=$E239,MIN($C239/$D239,X239),0)</x:f>
        <x:v>54180.732315273875</x:v>
      </x:c>
      <x:c r="Y240" s="169" t="n">
        <x:f>IF(Y$4&gt;=$E239,MIN($C239/$D239,Y239),0)</x:f>
        <x:v>54180.732315273875</x:v>
      </x:c>
      <x:c r="Z240" s="169" t="n">
        <x:f>IF(Z$4&gt;=$E239,MIN($C239/$D239,Z239),0)</x:f>
        <x:v>54180.732315273875</x:v>
      </x:c>
      <x:c r="AA240" s="169" t="n">
        <x:f>IF(AA$4&gt;=$E239,MIN($C239/$D239,AA239),0)</x:f>
        <x:v>54180.732315273875</x:v>
      </x:c>
      <x:c r="AB240" s="169" t="n">
        <x:f>IF(AB$4&gt;=$E239,MIN($C239/$D239,AB239),0)</x:f>
        <x:v>54180.732315273875</x:v>
      </x:c>
      <x:c r="AC240" s="169" t="n">
        <x:f>IF(AC$4&gt;=$E239,MIN($C239/$D239,AC239),0)</x:f>
        <x:v>54180.732315273875</x:v>
      </x:c>
    </x:row>
    <x:row r="241" ht="20" customHeight="1">
      <x:c r="A241" s="170" t="str">
        <x:v>Hard assets</x:v>
      </x:c>
      <x:c r="B241" s="214" t="n">
        <x:v>2031</x:v>
      </x:c>
      <x:c r="C241" s="170" t="n">
        <x:f>'ROIC Cloud'!L$15*'ROIC Cloud'!$D$47</x:f>
        <x:v>812710.9847291082</x:v>
      </x:c>
      <x:c r="D241" s="214" t="n">
        <x:f>'ROIC Cloud'!$D$43</x:f>
        <x:v>15</x:v>
      </x:c>
      <x:c r="E241" s="214" t="n">
        <x:f>B241+'ROIC Cloud'!$D$40</x:f>
        <x:v>2033</x:v>
      </x:c>
      <x:c r="F241" s="170" t="str">
        <x:v>Closing NBV</x:v>
      </x:c>
      <x:c r="G241" s="169" t="n">
        <x:f>MAX(0,G239-G240)</x:f>
        <x:v>0</x:v>
      </x:c>
      <x:c r="H241" s="169" t="n">
        <x:f>MAX(0,H239-H240)</x:f>
        <x:v>0</x:v>
      </x:c>
      <x:c r="I241" s="169" t="n">
        <x:f>MAX(0,I239-I240)</x:f>
        <x:v>0</x:v>
      </x:c>
      <x:c r="J241" s="169" t="n">
        <x:f>MAX(0,J239-J240)</x:f>
        <x:v>0</x:v>
      </x:c>
      <x:c r="K241" s="169" t="n">
        <x:f>MAX(0,K239-K240)</x:f>
        <x:v>0</x:v>
      </x:c>
      <x:c r="L241" s="169" t="n">
        <x:f>MAX(0,L239-L240)</x:f>
        <x:v>0</x:v>
      </x:c>
      <x:c r="M241" s="169" t="n">
        <x:f>MAX(0,M239-M240)</x:f>
        <x:v>0</x:v>
      </x:c>
      <x:c r="N241" s="169" t="n">
        <x:f>MAX(0,N239-N240)</x:f>
        <x:v>0</x:v>
      </x:c>
      <x:c r="O241" s="169" t="n">
        <x:f>MAX(0,O239-O240)</x:f>
        <x:v>0</x:v>
      </x:c>
      <x:c r="P241" s="169" t="n">
        <x:f>MAX(0,P239-P240)</x:f>
        <x:v>0</x:v>
      </x:c>
      <x:c r="Q241" s="169" t="n">
        <x:f>MAX(0,Q239-Q240)</x:f>
        <x:v>758530.2524138343</x:v>
      </x:c>
      <x:c r="R241" s="169" t="n">
        <x:f>MAX(0,R239-R240)</x:f>
        <x:v>704349.5200985605</x:v>
      </x:c>
      <x:c r="S241" s="169" t="n">
        <x:f>MAX(0,S239-S240)</x:f>
        <x:v>650168.7877832867</x:v>
      </x:c>
      <x:c r="T241" s="169" t="n">
        <x:f>MAX(0,T239-T240)</x:f>
        <x:v>595988.0554680127</x:v>
      </x:c>
      <x:c r="U241" s="169" t="n">
        <x:f>MAX(0,U239-U240)</x:f>
        <x:v>541807.3231527389</x:v>
      </x:c>
      <x:c r="V241" s="169" t="n">
        <x:f>MAX(0,V239-V240)</x:f>
        <x:v>487626.59083746496</x:v>
      </x:c>
      <x:c r="W241" s="169" t="n">
        <x:f>MAX(0,W239-W240)</x:f>
        <x:v>433445.858522191</x:v>
      </x:c>
      <x:c r="X241" s="169" t="n">
        <x:f>MAX(0,X239-X240)</x:f>
        <x:v>379265.1262069171</x:v>
      </x:c>
      <x:c r="Y241" s="169" t="n">
        <x:f>MAX(0,Y239-Y240)</x:f>
        <x:v>325084.39389164327</x:v>
      </x:c>
      <x:c r="Z241" s="169" t="n">
        <x:f>MAX(0,Z239-Z240)</x:f>
        <x:v>270903.66157636937</x:v>
      </x:c>
      <x:c r="AA241" s="169" t="n">
        <x:f>MAX(0,AA239-AA240)</x:f>
        <x:v>216722.92926109556</x:v>
      </x:c>
      <x:c r="AB241" s="169" t="n">
        <x:f>MAX(0,AB239-AB240)</x:f>
        <x:v>162542.1969458217</x:v>
      </x:c>
      <x:c r="AC241" s="169" t="n">
        <x:f>MAX(0,AC239-AC240)</x:f>
        <x:v>108361.46463054774</x:v>
      </x:c>
    </x:row>
    <x:row r="242" ht="20" customHeight="1">
      <x:c r="A242" s="170" t="str">
        <x:v>Hard assets</x:v>
      </x:c>
      <x:c r="B242" s="214" t="n">
        <x:v>2031</x:v>
      </x:c>
      <x:c r="C242" s="170" t="n">
        <x:f>'ROIC Cloud'!L$15*'ROIC Cloud'!$D$47</x:f>
        <x:v>812710.9847291082</x:v>
      </x:c>
      <x:c r="D242" s="214" t="n">
        <x:f>'ROIC Cloud'!$D$43</x:f>
        <x:v>15</x:v>
      </x:c>
      <x:c r="E242" s="214" t="n">
        <x:f>B242+'ROIC Cloud'!$D$40</x:f>
        <x:v>2033</x:v>
      </x:c>
      <x:c r="F242" s="170" t="str">
        <x:v>Average NBV</x:v>
      </x:c>
      <x:c r="G242" s="169" t="n">
        <x:f>(G239+G241)/2</x:f>
        <x:v>0</x:v>
      </x:c>
      <x:c r="H242" s="169" t="n">
        <x:f>(H239+H241)/2</x:f>
        <x:v>0</x:v>
      </x:c>
      <x:c r="I242" s="169" t="n">
        <x:f>(I239+I241)/2</x:f>
        <x:v>0</x:v>
      </x:c>
      <x:c r="J242" s="169" t="n">
        <x:f>(J239+J241)/2</x:f>
        <x:v>0</x:v>
      </x:c>
      <x:c r="K242" s="169" t="n">
        <x:f>(K239+K241)/2</x:f>
        <x:v>0</x:v>
      </x:c>
      <x:c r="L242" s="169" t="n">
        <x:f>(L239+L241)/2</x:f>
        <x:v>0</x:v>
      </x:c>
      <x:c r="M242" s="169" t="n">
        <x:f>(M239+M241)/2</x:f>
        <x:v>0</x:v>
      </x:c>
      <x:c r="N242" s="169" t="n">
        <x:f>(N239+N241)/2</x:f>
        <x:v>0</x:v>
      </x:c>
      <x:c r="O242" s="169" t="n">
        <x:f>(O239+O241)/2</x:f>
        <x:v>0</x:v>
      </x:c>
      <x:c r="P242" s="169" t="n">
        <x:f>(P239+P241)/2</x:f>
        <x:v>0</x:v>
      </x:c>
      <x:c r="Q242" s="169" t="n">
        <x:f>(Q239+Q241)/2</x:f>
        <x:v>785620.6185714712</x:v>
      </x:c>
      <x:c r="R242" s="169" t="n">
        <x:f>(R239+R241)/2</x:f>
        <x:v>731439.8862561975</x:v>
      </x:c>
      <x:c r="S242" s="169" t="n">
        <x:f>(S239+S241)/2</x:f>
        <x:v>677259.1539409235</x:v>
      </x:c>
      <x:c r="T242" s="169" t="n">
        <x:f>(T239+T241)/2</x:f>
        <x:v>623078.4216256496</x:v>
      </x:c>
      <x:c r="U242" s="169" t="n">
        <x:f>(U239+U241)/2</x:f>
        <x:v>568897.6893103758</x:v>
      </x:c>
      <x:c r="V242" s="169" t="n">
        <x:f>(V239+V241)/2</x:f>
        <x:v>514716.9569951019</x:v>
      </x:c>
      <x:c r="W242" s="169" t="n">
        <x:f>(W239+W241)/2</x:f>
        <x:v>460536.2246798279</x:v>
      </x:c>
      <x:c r="X242" s="169" t="n">
        <x:f>(X239+X241)/2</x:f>
        <x:v>406355.4923645541</x:v>
      </x:c>
      <x:c r="Y242" s="169" t="n">
        <x:f>(Y239+Y241)/2</x:f>
        <x:v>352174.76004928024</x:v>
      </x:c>
      <x:c r="Z242" s="169" t="n">
        <x:f>(Z239+Z241)/2</x:f>
        <x:v>297994.0277340063</x:v>
      </x:c>
      <x:c r="AA242" s="169" t="n">
        <x:f>(AA239+AA241)/2</x:f>
        <x:v>243813.2954187325</x:v>
      </x:c>
      <x:c r="AB242" s="169" t="n">
        <x:f>(AB239+AB241)/2</x:f>
        <x:v>189632.5631034586</x:v>
      </x:c>
      <x:c r="AC242" s="169" t="n">
        <x:f>(AC239+AC241)/2</x:f>
        <x:v>135451.83078818466</x:v>
      </x:c>
    </x:row>
    <x:row r="243" ht="20" customHeight="1">
      <x:c r="A243" s="170" t="str">
        <x:v>Hard assets</x:v>
      </x:c>
      <x:c r="B243" s="214" t="n">
        <x:v>2032</x:v>
      </x:c>
      <x:c r="C243" s="170" t="n">
        <x:f>'ROIC Cloud'!M$15*'ROIC Cloud'!$D$47</x:f>
        <x:v>877727.8635074368</x:v>
      </x:c>
      <x:c r="D243" s="214" t="n">
        <x:f>'ROIC Cloud'!$D$43</x:f>
        <x:v>15</x:v>
      </x:c>
      <x:c r="E243" s="214" t="n">
        <x:f>B243+'ROIC Cloud'!$D$40</x:f>
        <x:v>2034</x:v>
      </x:c>
      <x:c r="F243" s="170" t="str">
        <x:v>Opening NBV</x:v>
      </x:c>
      <x:c r="G243" s="169" t="n">
        <x:f>IF(G$4&gt;=$E243,$C243*MAX(0,1-(G$4-$E243)/$D243),0)</x:f>
        <x:v>0</x:v>
      </x:c>
      <x:c r="H243" s="169" t="n">
        <x:f>IF(H$4&gt;=$E243,$C243*MAX(0,1-(H$4-$E243)/$D243),0)</x:f>
        <x:v>0</x:v>
      </x:c>
      <x:c r="I243" s="169" t="n">
        <x:f>IF(I$4&gt;=$E243,$C243*MAX(0,1-(I$4-$E243)/$D243),0)</x:f>
        <x:v>0</x:v>
      </x:c>
      <x:c r="J243" s="169" t="n">
        <x:f>IF(J$4&gt;=$E243,$C243*MAX(0,1-(J$4-$E243)/$D243),0)</x:f>
        <x:v>0</x:v>
      </x:c>
      <x:c r="K243" s="169" t="n">
        <x:f>IF(K$4&gt;=$E243,$C243*MAX(0,1-(K$4-$E243)/$D243),0)</x:f>
        <x:v>0</x:v>
      </x:c>
      <x:c r="L243" s="169" t="n">
        <x:f>IF(L$4&gt;=$E243,$C243*MAX(0,1-(L$4-$E243)/$D243),0)</x:f>
        <x:v>0</x:v>
      </x:c>
      <x:c r="M243" s="169" t="n">
        <x:f>IF(M$4&gt;=$E243,$C243*MAX(0,1-(M$4-$E243)/$D243),0)</x:f>
        <x:v>0</x:v>
      </x:c>
      <x:c r="N243" s="169" t="n">
        <x:f>IF(N$4&gt;=$E243,$C243*MAX(0,1-(N$4-$E243)/$D243),0)</x:f>
        <x:v>0</x:v>
      </x:c>
      <x:c r="O243" s="169" t="n">
        <x:f>IF(O$4&gt;=$E243,$C243*MAX(0,1-(O$4-$E243)/$D243),0)</x:f>
        <x:v>0</x:v>
      </x:c>
      <x:c r="P243" s="169" t="n">
        <x:f>IF(P$4&gt;=$E243,$C243*MAX(0,1-(P$4-$E243)/$D243),0)</x:f>
        <x:v>0</x:v>
      </x:c>
      <x:c r="Q243" s="169" t="n">
        <x:f>IF(Q$4&gt;=$E243,$C243*MAX(0,1-(Q$4-$E243)/$D243),0)</x:f>
        <x:v>0</x:v>
      </x:c>
      <x:c r="R243" s="169" t="n">
        <x:f>IF(R$4&gt;=$E243,$C243*MAX(0,1-(R$4-$E243)/$D243),0)</x:f>
        <x:v>877727.8635074368</x:v>
      </x:c>
      <x:c r="S243" s="169" t="n">
        <x:f>IF(S$4&gt;=$E243,$C243*MAX(0,1-(S$4-$E243)/$D243),0)</x:f>
        <x:v>819212.6726069411</x:v>
      </x:c>
      <x:c r="T243" s="169" t="n">
        <x:f>IF(T$4&gt;=$E243,$C243*MAX(0,1-(T$4-$E243)/$D243),0)</x:f>
        <x:v>760697.4817064452</x:v>
      </x:c>
      <x:c r="U243" s="169" t="n">
        <x:f>IF(U$4&gt;=$E243,$C243*MAX(0,1-(U$4-$E243)/$D243),0)</x:f>
        <x:v>702182.2908059495</x:v>
      </x:c>
      <x:c r="V243" s="169" t="n">
        <x:f>IF(V$4&gt;=$E243,$C243*MAX(0,1-(V$4-$E243)/$D243),0)</x:f>
        <x:v>643667.0999054537</x:v>
      </x:c>
      <x:c r="W243" s="169" t="n">
        <x:f>IF(W$4&gt;=$E243,$C243*MAX(0,1-(W$4-$E243)/$D243),0)</x:f>
        <x:v>585151.909004958</x:v>
      </x:c>
      <x:c r="X243" s="169" t="n">
        <x:f>IF(X$4&gt;=$E243,$C243*MAX(0,1-(X$4-$E243)/$D243),0)</x:f>
        <x:v>526636.718104462</x:v>
      </x:c>
      <x:c r="Y243" s="169" t="n">
        <x:f>IF(Y$4&gt;=$E243,$C243*MAX(0,1-(Y$4-$E243)/$D243),0)</x:f>
        <x:v>468121.5272039663</x:v>
      </x:c>
      <x:c r="Z243" s="169" t="n">
        <x:f>IF(Z$4&gt;=$E243,$C243*MAX(0,1-(Z$4-$E243)/$D243),0)</x:f>
        <x:v>409606.33630347054</x:v>
      </x:c>
      <x:c r="AA243" s="169" t="n">
        <x:f>IF(AA$4&gt;=$E243,$C243*MAX(0,1-(AA$4-$E243)/$D243),0)</x:f>
        <x:v>351091.14540297474</x:v>
      </x:c>
      <x:c r="AB243" s="169" t="n">
        <x:f>IF(AB$4&gt;=$E243,$C243*MAX(0,1-(AB$4-$E243)/$D243),0)</x:f>
        <x:v>292575.954502479</x:v>
      </x:c>
      <x:c r="AC243" s="169" t="n">
        <x:f>IF(AC$4&gt;=$E243,$C243*MAX(0,1-(AC$4-$E243)/$D243),0)</x:f>
        <x:v>234060.7636019832</x:v>
      </x:c>
    </x:row>
    <x:row r="244" ht="20" customHeight="1">
      <x:c r="A244" s="170" t="str">
        <x:v>Hard assets</x:v>
      </x:c>
      <x:c r="B244" s="214" t="n">
        <x:v>2032</x:v>
      </x:c>
      <x:c r="C244" s="170" t="n">
        <x:f>'ROIC Cloud'!M$15*'ROIC Cloud'!$D$47</x:f>
        <x:v>877727.8635074368</x:v>
      </x:c>
      <x:c r="D244" s="214" t="n">
        <x:f>'ROIC Cloud'!$D$43</x:f>
        <x:v>15</x:v>
      </x:c>
      <x:c r="E244" s="214" t="n">
        <x:f>B244+'ROIC Cloud'!$D$40</x:f>
        <x:v>2034</x:v>
      </x:c>
      <x:c r="F244" s="170" t="str">
        <x:v>Depreciation</x:v>
      </x:c>
      <x:c r="G244" s="169" t="n">
        <x:f>IF(G$4&gt;=$E243,MIN($C243/$D243,G243),0)</x:f>
        <x:v>0</x:v>
      </x:c>
      <x:c r="H244" s="169" t="n">
        <x:f>IF(H$4&gt;=$E243,MIN($C243/$D243,H243),0)</x:f>
        <x:v>0</x:v>
      </x:c>
      <x:c r="I244" s="169" t="n">
        <x:f>IF(I$4&gt;=$E243,MIN($C243/$D243,I243),0)</x:f>
        <x:v>0</x:v>
      </x:c>
      <x:c r="J244" s="169" t="n">
        <x:f>IF(J$4&gt;=$E243,MIN($C243/$D243,J243),0)</x:f>
        <x:v>0</x:v>
      </x:c>
      <x:c r="K244" s="169" t="n">
        <x:f>IF(K$4&gt;=$E243,MIN($C243/$D243,K243),0)</x:f>
        <x:v>0</x:v>
      </x:c>
      <x:c r="L244" s="169" t="n">
        <x:f>IF(L$4&gt;=$E243,MIN($C243/$D243,L243),0)</x:f>
        <x:v>0</x:v>
      </x:c>
      <x:c r="M244" s="169" t="n">
        <x:f>IF(M$4&gt;=$E243,MIN($C243/$D243,M243),0)</x:f>
        <x:v>0</x:v>
      </x:c>
      <x:c r="N244" s="169" t="n">
        <x:f>IF(N$4&gt;=$E243,MIN($C243/$D243,N243),0)</x:f>
        <x:v>0</x:v>
      </x:c>
      <x:c r="O244" s="169" t="n">
        <x:f>IF(O$4&gt;=$E243,MIN($C243/$D243,O243),0)</x:f>
        <x:v>0</x:v>
      </x:c>
      <x:c r="P244" s="169" t="n">
        <x:f>IF(P$4&gt;=$E243,MIN($C243/$D243,P243),0)</x:f>
        <x:v>0</x:v>
      </x:c>
      <x:c r="Q244" s="169" t="n">
        <x:f>IF(Q$4&gt;=$E243,MIN($C243/$D243,Q243),0)</x:f>
        <x:v>0</x:v>
      </x:c>
      <x:c r="R244" s="169" t="n">
        <x:f>IF(R$4&gt;=$E243,MIN($C243/$D243,R243),0)</x:f>
        <x:v>58515.190900495785</x:v>
      </x:c>
      <x:c r="S244" s="169" t="n">
        <x:f>IF(S$4&gt;=$E243,MIN($C243/$D243,S243),0)</x:f>
        <x:v>58515.190900495785</x:v>
      </x:c>
      <x:c r="T244" s="169" t="n">
        <x:f>IF(T$4&gt;=$E243,MIN($C243/$D243,T243),0)</x:f>
        <x:v>58515.190900495785</x:v>
      </x:c>
      <x:c r="U244" s="169" t="n">
        <x:f>IF(U$4&gt;=$E243,MIN($C243/$D243,U243),0)</x:f>
        <x:v>58515.190900495785</x:v>
      </x:c>
      <x:c r="V244" s="169" t="n">
        <x:f>IF(V$4&gt;=$E243,MIN($C243/$D243,V243),0)</x:f>
        <x:v>58515.190900495785</x:v>
      </x:c>
      <x:c r="W244" s="169" t="n">
        <x:f>IF(W$4&gt;=$E243,MIN($C243/$D243,W243),0)</x:f>
        <x:v>58515.190900495785</x:v>
      </x:c>
      <x:c r="X244" s="169" t="n">
        <x:f>IF(X$4&gt;=$E243,MIN($C243/$D243,X243),0)</x:f>
        <x:v>58515.190900495785</x:v>
      </x:c>
      <x:c r="Y244" s="169" t="n">
        <x:f>IF(Y$4&gt;=$E243,MIN($C243/$D243,Y243),0)</x:f>
        <x:v>58515.190900495785</x:v>
      </x:c>
      <x:c r="Z244" s="169" t="n">
        <x:f>IF(Z$4&gt;=$E243,MIN($C243/$D243,Z243),0)</x:f>
        <x:v>58515.190900495785</x:v>
      </x:c>
      <x:c r="AA244" s="169" t="n">
        <x:f>IF(AA$4&gt;=$E243,MIN($C243/$D243,AA243),0)</x:f>
        <x:v>58515.190900495785</x:v>
      </x:c>
      <x:c r="AB244" s="169" t="n">
        <x:f>IF(AB$4&gt;=$E243,MIN($C243/$D243,AB243),0)</x:f>
        <x:v>58515.190900495785</x:v>
      </x:c>
      <x:c r="AC244" s="169" t="n">
        <x:f>IF(AC$4&gt;=$E243,MIN($C243/$D243,AC243),0)</x:f>
        <x:v>58515.190900495785</x:v>
      </x:c>
    </x:row>
    <x:row r="245" ht="20" customHeight="1">
      <x:c r="A245" s="170" t="str">
        <x:v>Hard assets</x:v>
      </x:c>
      <x:c r="B245" s="214" t="n">
        <x:v>2032</x:v>
      </x:c>
      <x:c r="C245" s="170" t="n">
        <x:f>'ROIC Cloud'!M$15*'ROIC Cloud'!$D$47</x:f>
        <x:v>877727.8635074368</x:v>
      </x:c>
      <x:c r="D245" s="214" t="n">
        <x:f>'ROIC Cloud'!$D$43</x:f>
        <x:v>15</x:v>
      </x:c>
      <x:c r="E245" s="214" t="n">
        <x:f>B245+'ROIC Cloud'!$D$40</x:f>
        <x:v>2034</x:v>
      </x:c>
      <x:c r="F245" s="170" t="str">
        <x:v>Closing NBV</x:v>
      </x:c>
      <x:c r="G245" s="169" t="n">
        <x:f>MAX(0,G243-G244)</x:f>
        <x:v>0</x:v>
      </x:c>
      <x:c r="H245" s="169" t="n">
        <x:f>MAX(0,H243-H244)</x:f>
        <x:v>0</x:v>
      </x:c>
      <x:c r="I245" s="169" t="n">
        <x:f>MAX(0,I243-I244)</x:f>
        <x:v>0</x:v>
      </x:c>
      <x:c r="J245" s="169" t="n">
        <x:f>MAX(0,J243-J244)</x:f>
        <x:v>0</x:v>
      </x:c>
      <x:c r="K245" s="169" t="n">
        <x:f>MAX(0,K243-K244)</x:f>
        <x:v>0</x:v>
      </x:c>
      <x:c r="L245" s="169" t="n">
        <x:f>MAX(0,L243-L244)</x:f>
        <x:v>0</x:v>
      </x:c>
      <x:c r="M245" s="169" t="n">
        <x:f>MAX(0,M243-M244)</x:f>
        <x:v>0</x:v>
      </x:c>
      <x:c r="N245" s="169" t="n">
        <x:f>MAX(0,N243-N244)</x:f>
        <x:v>0</x:v>
      </x:c>
      <x:c r="O245" s="169" t="n">
        <x:f>MAX(0,O243-O244)</x:f>
        <x:v>0</x:v>
      </x:c>
      <x:c r="P245" s="169" t="n">
        <x:f>MAX(0,P243-P244)</x:f>
        <x:v>0</x:v>
      </x:c>
      <x:c r="Q245" s="169" t="n">
        <x:f>MAX(0,Q243-Q244)</x:f>
        <x:v>0</x:v>
      </x:c>
      <x:c r="R245" s="169" t="n">
        <x:f>MAX(0,R243-R244)</x:f>
        <x:v>819212.6726069411</x:v>
      </x:c>
      <x:c r="S245" s="169" t="n">
        <x:f>MAX(0,S243-S244)</x:f>
        <x:v>760697.4817064453</x:v>
      </x:c>
      <x:c r="T245" s="169" t="n">
        <x:f>MAX(0,T243-T244)</x:f>
        <x:v>702182.2908059495</x:v>
      </x:c>
      <x:c r="U245" s="169" t="n">
        <x:f>MAX(0,U243-U244)</x:f>
        <x:v>643667.0999054537</x:v>
      </x:c>
      <x:c r="V245" s="169" t="n">
        <x:f>MAX(0,V243-V244)</x:f>
        <x:v>585151.909004958</x:v>
      </x:c>
      <x:c r="W245" s="169" t="n">
        <x:f>MAX(0,W243-W244)</x:f>
        <x:v>526636.7181044623</x:v>
      </x:c>
      <x:c r="X245" s="169" t="n">
        <x:f>MAX(0,X243-X244)</x:f>
        <x:v>468121.5272039662</x:v>
      </x:c>
      <x:c r="Y245" s="169" t="n">
        <x:f>MAX(0,Y243-Y244)</x:f>
        <x:v>409606.3363034705</x:v>
      </x:c>
      <x:c r="Z245" s="169" t="n">
        <x:f>MAX(0,Z243-Z244)</x:f>
        <x:v>351091.14540297474</x:v>
      </x:c>
      <x:c r="AA245" s="169" t="n">
        <x:f>MAX(0,AA243-AA244)</x:f>
        <x:v>292575.95450247894</x:v>
      </x:c>
      <x:c r="AB245" s="169" t="n">
        <x:f>MAX(0,AB243-AB244)</x:f>
        <x:v>234060.7636019832</x:v>
      </x:c>
      <x:c r="AC245" s="169" t="n">
        <x:f>MAX(0,AC243-AC244)</x:f>
        <x:v>175545.5727014874</x:v>
      </x:c>
    </x:row>
    <x:row r="246" ht="20" customHeight="1">
      <x:c r="A246" s="170" t="str">
        <x:v>Hard assets</x:v>
      </x:c>
      <x:c r="B246" s="214" t="n">
        <x:v>2032</x:v>
      </x:c>
      <x:c r="C246" s="170" t="n">
        <x:f>'ROIC Cloud'!M$15*'ROIC Cloud'!$D$47</x:f>
        <x:v>877727.8635074368</x:v>
      </x:c>
      <x:c r="D246" s="214" t="n">
        <x:f>'ROIC Cloud'!$D$43</x:f>
        <x:v>15</x:v>
      </x:c>
      <x:c r="E246" s="214" t="n">
        <x:f>B246+'ROIC Cloud'!$D$40</x:f>
        <x:v>2034</x:v>
      </x:c>
      <x:c r="F246" s="170" t="str">
        <x:v>Average NBV</x:v>
      </x:c>
      <x:c r="G246" s="169" t="n">
        <x:f>(G243+G245)/2</x:f>
        <x:v>0</x:v>
      </x:c>
      <x:c r="H246" s="169" t="n">
        <x:f>(H243+H245)/2</x:f>
        <x:v>0</x:v>
      </x:c>
      <x:c r="I246" s="169" t="n">
        <x:f>(I243+I245)/2</x:f>
        <x:v>0</x:v>
      </x:c>
      <x:c r="J246" s="169" t="n">
        <x:f>(J243+J245)/2</x:f>
        <x:v>0</x:v>
      </x:c>
      <x:c r="K246" s="169" t="n">
        <x:f>(K243+K245)/2</x:f>
        <x:v>0</x:v>
      </x:c>
      <x:c r="L246" s="169" t="n">
        <x:f>(L243+L245)/2</x:f>
        <x:v>0</x:v>
      </x:c>
      <x:c r="M246" s="169" t="n">
        <x:f>(M243+M245)/2</x:f>
        <x:v>0</x:v>
      </x:c>
      <x:c r="N246" s="169" t="n">
        <x:f>(N243+N245)/2</x:f>
        <x:v>0</x:v>
      </x:c>
      <x:c r="O246" s="169" t="n">
        <x:f>(O243+O245)/2</x:f>
        <x:v>0</x:v>
      </x:c>
      <x:c r="P246" s="169" t="n">
        <x:f>(P243+P245)/2</x:f>
        <x:v>0</x:v>
      </x:c>
      <x:c r="Q246" s="169" t="n">
        <x:f>(Q243+Q245)/2</x:f>
        <x:v>0</x:v>
      </x:c>
      <x:c r="R246" s="169" t="n">
        <x:f>(R243+R245)/2</x:f>
        <x:v>848470.268057189</x:v>
      </x:c>
      <x:c r="S246" s="169" t="n">
        <x:f>(S243+S245)/2</x:f>
        <x:v>789955.0771566932</x:v>
      </x:c>
      <x:c r="T246" s="169" t="n">
        <x:f>(T243+T245)/2</x:f>
        <x:v>731439.8862561974</x:v>
      </x:c>
      <x:c r="U246" s="169" t="n">
        <x:f>(U243+U245)/2</x:f>
        <x:v>672924.6953557016</x:v>
      </x:c>
      <x:c r="V246" s="169" t="n">
        <x:f>(V243+V245)/2</x:f>
        <x:v>614409.5044552059</x:v>
      </x:c>
      <x:c r="W246" s="169" t="n">
        <x:f>(W243+W245)/2</x:f>
        <x:v>555894.3135547101</x:v>
      </x:c>
      <x:c r="X246" s="169" t="n">
        <x:f>(X243+X245)/2</x:f>
        <x:v>497379.12265421415</x:v>
      </x:c>
      <x:c r="Y246" s="169" t="n">
        <x:f>(Y243+Y245)/2</x:f>
        <x:v>438863.9317537184</x:v>
      </x:c>
      <x:c r="Z246" s="169" t="n">
        <x:f>(Z243+Z245)/2</x:f>
        <x:v>380348.74085322267</x:v>
      </x:c>
      <x:c r="AA246" s="169" t="n">
        <x:f>(AA243+AA245)/2</x:f>
        <x:v>321833.5499527268</x:v>
      </x:c>
      <x:c r="AB246" s="169" t="n">
        <x:f>(AB243+AB245)/2</x:f>
        <x:v>263318.35905223107</x:v>
      </x:c>
      <x:c r="AC246" s="169" t="n">
        <x:f>(AC243+AC245)/2</x:f>
        <x:v>204803.1681517353</x:v>
      </x:c>
    </x:row>
    <x:row r="247" ht="20" customHeight="1">
      <x:c r="A247" s="170" t="str">
        <x:v>Hard assets</x:v>
      </x:c>
      <x:c r="B247" s="214" t="n">
        <x:v>2033</x:v>
      </x:c>
      <x:c r="C247" s="170" t="n">
        <x:f>'ROIC Cloud'!N$15*'ROIC Cloud'!$D$47</x:f>
        <x:v>947946.0925880319</x:v>
      </x:c>
      <x:c r="D247" s="214" t="n">
        <x:f>'ROIC Cloud'!$D$43</x:f>
        <x:v>15</x:v>
      </x:c>
      <x:c r="E247" s="214" t="n">
        <x:f>B247+'ROIC Cloud'!$D$40</x:f>
        <x:v>2035</x:v>
      </x:c>
      <x:c r="F247" s="170" t="str">
        <x:v>Opening NBV</x:v>
      </x:c>
      <x:c r="G247" s="169" t="n">
        <x:f>IF(G$4&gt;=$E247,$C247*MAX(0,1-(G$4-$E247)/$D247),0)</x:f>
        <x:v>0</x:v>
      </x:c>
      <x:c r="H247" s="169" t="n">
        <x:f>IF(H$4&gt;=$E247,$C247*MAX(0,1-(H$4-$E247)/$D247),0)</x:f>
        <x:v>0</x:v>
      </x:c>
      <x:c r="I247" s="169" t="n">
        <x:f>IF(I$4&gt;=$E247,$C247*MAX(0,1-(I$4-$E247)/$D247),0)</x:f>
        <x:v>0</x:v>
      </x:c>
      <x:c r="J247" s="169" t="n">
        <x:f>IF(J$4&gt;=$E247,$C247*MAX(0,1-(J$4-$E247)/$D247),0)</x:f>
        <x:v>0</x:v>
      </x:c>
      <x:c r="K247" s="169" t="n">
        <x:f>IF(K$4&gt;=$E247,$C247*MAX(0,1-(K$4-$E247)/$D247),0)</x:f>
        <x:v>0</x:v>
      </x:c>
      <x:c r="L247" s="169" t="n">
        <x:f>IF(L$4&gt;=$E247,$C247*MAX(0,1-(L$4-$E247)/$D247),0)</x:f>
        <x:v>0</x:v>
      </x:c>
      <x:c r="M247" s="169" t="n">
        <x:f>IF(M$4&gt;=$E247,$C247*MAX(0,1-(M$4-$E247)/$D247),0)</x:f>
        <x:v>0</x:v>
      </x:c>
      <x:c r="N247" s="169" t="n">
        <x:f>IF(N$4&gt;=$E247,$C247*MAX(0,1-(N$4-$E247)/$D247),0)</x:f>
        <x:v>0</x:v>
      </x:c>
      <x:c r="O247" s="169" t="n">
        <x:f>IF(O$4&gt;=$E247,$C247*MAX(0,1-(O$4-$E247)/$D247),0)</x:f>
        <x:v>0</x:v>
      </x:c>
      <x:c r="P247" s="169" t="n">
        <x:f>IF(P$4&gt;=$E247,$C247*MAX(0,1-(P$4-$E247)/$D247),0)</x:f>
        <x:v>0</x:v>
      </x:c>
      <x:c r="Q247" s="169" t="n">
        <x:f>IF(Q$4&gt;=$E247,$C247*MAX(0,1-(Q$4-$E247)/$D247),0)</x:f>
        <x:v>0</x:v>
      </x:c>
      <x:c r="R247" s="169" t="n">
        <x:f>IF(R$4&gt;=$E247,$C247*MAX(0,1-(R$4-$E247)/$D247),0)</x:f>
        <x:v>0</x:v>
      </x:c>
      <x:c r="S247" s="169" t="n">
        <x:f>IF(S$4&gt;=$E247,$C247*MAX(0,1-(S$4-$E247)/$D247),0)</x:f>
        <x:v>947946.0925880319</x:v>
      </x:c>
      <x:c r="T247" s="169" t="n">
        <x:f>IF(T$4&gt;=$E247,$C247*MAX(0,1-(T$4-$E247)/$D247),0)</x:f>
        <x:v>884749.6864154964</x:v>
      </x:c>
      <x:c r="U247" s="169" t="n">
        <x:f>IF(U$4&gt;=$E247,$C247*MAX(0,1-(U$4-$E247)/$D247),0)</x:f>
        <x:v>821553.280242961</x:v>
      </x:c>
      <x:c r="V247" s="169" t="n">
        <x:f>IF(V$4&gt;=$E247,$C247*MAX(0,1-(V$4-$E247)/$D247),0)</x:f>
        <x:v>758356.8740704255</x:v>
      </x:c>
      <x:c r="W247" s="169" t="n">
        <x:f>IF(W$4&gt;=$E247,$C247*MAX(0,1-(W$4-$E247)/$D247),0)</x:f>
        <x:v>695160.4678978901</x:v>
      </x:c>
      <x:c r="X247" s="169" t="n">
        <x:f>IF(X$4&gt;=$E247,$C247*MAX(0,1-(X$4-$E247)/$D247),0)</x:f>
        <x:v>631964.0617253546</x:v>
      </x:c>
      <x:c r="Y247" s="169" t="n">
        <x:f>IF(Y$4&gt;=$E247,$C247*MAX(0,1-(Y$4-$E247)/$D247),0)</x:f>
        <x:v>568767.6555528191</x:v>
      </x:c>
      <x:c r="Z247" s="169" t="n">
        <x:f>IF(Z$4&gt;=$E247,$C247*MAX(0,1-(Z$4-$E247)/$D247),0)</x:f>
        <x:v>505571.2493802837</x:v>
      </x:c>
      <x:c r="AA247" s="169" t="n">
        <x:f>IF(AA$4&gt;=$E247,$C247*MAX(0,1-(AA$4-$E247)/$D247),0)</x:f>
        <x:v>442374.8432077482</x:v>
      </x:c>
      <x:c r="AB247" s="169" t="n">
        <x:f>IF(AB$4&gt;=$E247,$C247*MAX(0,1-(AB$4-$E247)/$D247),0)</x:f>
        <x:v>379178.43703521276</x:v>
      </x:c>
      <x:c r="AC247" s="169" t="n">
        <x:f>IF(AC$4&gt;=$E247,$C247*MAX(0,1-(AC$4-$E247)/$D247),0)</x:f>
        <x:v>315982.0308626773</x:v>
      </x:c>
    </x:row>
    <x:row r="248" ht="20" customHeight="1">
      <x:c r="A248" s="170" t="str">
        <x:v>Hard assets</x:v>
      </x:c>
      <x:c r="B248" s="214" t="n">
        <x:v>2033</x:v>
      </x:c>
      <x:c r="C248" s="170" t="n">
        <x:f>'ROIC Cloud'!N$15*'ROIC Cloud'!$D$47</x:f>
        <x:v>947946.0925880319</x:v>
      </x:c>
      <x:c r="D248" s="214" t="n">
        <x:f>'ROIC Cloud'!$D$43</x:f>
        <x:v>15</x:v>
      </x:c>
      <x:c r="E248" s="214" t="n">
        <x:f>B248+'ROIC Cloud'!$D$40</x:f>
        <x:v>2035</x:v>
      </x:c>
      <x:c r="F248" s="170" t="str">
        <x:v>Depreciation</x:v>
      </x:c>
      <x:c r="G248" s="169" t="n">
        <x:f>IF(G$4&gt;=$E247,MIN($C247/$D247,G247),0)</x:f>
        <x:v>0</x:v>
      </x:c>
      <x:c r="H248" s="169" t="n">
        <x:f>IF(H$4&gt;=$E247,MIN($C247/$D247,H247),0)</x:f>
        <x:v>0</x:v>
      </x:c>
      <x:c r="I248" s="169" t="n">
        <x:f>IF(I$4&gt;=$E247,MIN($C247/$D247,I247),0)</x:f>
        <x:v>0</x:v>
      </x:c>
      <x:c r="J248" s="169" t="n">
        <x:f>IF(J$4&gt;=$E247,MIN($C247/$D247,J247),0)</x:f>
        <x:v>0</x:v>
      </x:c>
      <x:c r="K248" s="169" t="n">
        <x:f>IF(K$4&gt;=$E247,MIN($C247/$D247,K247),0)</x:f>
        <x:v>0</x:v>
      </x:c>
      <x:c r="L248" s="169" t="n">
        <x:f>IF(L$4&gt;=$E247,MIN($C247/$D247,L247),0)</x:f>
        <x:v>0</x:v>
      </x:c>
      <x:c r="M248" s="169" t="n">
        <x:f>IF(M$4&gt;=$E247,MIN($C247/$D247,M247),0)</x:f>
        <x:v>0</x:v>
      </x:c>
      <x:c r="N248" s="169" t="n">
        <x:f>IF(N$4&gt;=$E247,MIN($C247/$D247,N247),0)</x:f>
        <x:v>0</x:v>
      </x:c>
      <x:c r="O248" s="169" t="n">
        <x:f>IF(O$4&gt;=$E247,MIN($C247/$D247,O247),0)</x:f>
        <x:v>0</x:v>
      </x:c>
      <x:c r="P248" s="169" t="n">
        <x:f>IF(P$4&gt;=$E247,MIN($C247/$D247,P247),0)</x:f>
        <x:v>0</x:v>
      </x:c>
      <x:c r="Q248" s="169" t="n">
        <x:f>IF(Q$4&gt;=$E247,MIN($C247/$D247,Q247),0)</x:f>
        <x:v>0</x:v>
      </x:c>
      <x:c r="R248" s="169" t="n">
        <x:f>IF(R$4&gt;=$E247,MIN($C247/$D247,R247),0)</x:f>
        <x:v>0</x:v>
      </x:c>
      <x:c r="S248" s="169" t="n">
        <x:f>IF(S$4&gt;=$E247,MIN($C247/$D247,S247),0)</x:f>
        <x:v>63196.40617253546</x:v>
      </x:c>
      <x:c r="T248" s="169" t="n">
        <x:f>IF(T$4&gt;=$E247,MIN($C247/$D247,T247),0)</x:f>
        <x:v>63196.40617253546</x:v>
      </x:c>
      <x:c r="U248" s="169" t="n">
        <x:f>IF(U$4&gt;=$E247,MIN($C247/$D247,U247),0)</x:f>
        <x:v>63196.40617253546</x:v>
      </x:c>
      <x:c r="V248" s="169" t="n">
        <x:f>IF(V$4&gt;=$E247,MIN($C247/$D247,V247),0)</x:f>
        <x:v>63196.40617253546</x:v>
      </x:c>
      <x:c r="W248" s="169" t="n">
        <x:f>IF(W$4&gt;=$E247,MIN($C247/$D247,W247),0)</x:f>
        <x:v>63196.40617253546</x:v>
      </x:c>
      <x:c r="X248" s="169" t="n">
        <x:f>IF(X$4&gt;=$E247,MIN($C247/$D247,X247),0)</x:f>
        <x:v>63196.40617253546</x:v>
      </x:c>
      <x:c r="Y248" s="169" t="n">
        <x:f>IF(Y$4&gt;=$E247,MIN($C247/$D247,Y247),0)</x:f>
        <x:v>63196.40617253546</x:v>
      </x:c>
      <x:c r="Z248" s="169" t="n">
        <x:f>IF(Z$4&gt;=$E247,MIN($C247/$D247,Z247),0)</x:f>
        <x:v>63196.40617253546</x:v>
      </x:c>
      <x:c r="AA248" s="169" t="n">
        <x:f>IF(AA$4&gt;=$E247,MIN($C247/$D247,AA247),0)</x:f>
        <x:v>63196.40617253546</x:v>
      </x:c>
      <x:c r="AB248" s="169" t="n">
        <x:f>IF(AB$4&gt;=$E247,MIN($C247/$D247,AB247),0)</x:f>
        <x:v>63196.40617253546</x:v>
      </x:c>
      <x:c r="AC248" s="169" t="n">
        <x:f>IF(AC$4&gt;=$E247,MIN($C247/$D247,AC247),0)</x:f>
        <x:v>63196.40617253546</x:v>
      </x:c>
    </x:row>
    <x:row r="249" ht="20" customHeight="1">
      <x:c r="A249" s="170" t="str">
        <x:v>Hard assets</x:v>
      </x:c>
      <x:c r="B249" s="214" t="n">
        <x:v>2033</x:v>
      </x:c>
      <x:c r="C249" s="170" t="n">
        <x:f>'ROIC Cloud'!N$15*'ROIC Cloud'!$D$47</x:f>
        <x:v>947946.0925880319</x:v>
      </x:c>
      <x:c r="D249" s="214" t="n">
        <x:f>'ROIC Cloud'!$D$43</x:f>
        <x:v>15</x:v>
      </x:c>
      <x:c r="E249" s="214" t="n">
        <x:f>B249+'ROIC Cloud'!$D$40</x:f>
        <x:v>2035</x:v>
      </x:c>
      <x:c r="F249" s="170" t="str">
        <x:v>Closing NBV</x:v>
      </x:c>
      <x:c r="G249" s="169" t="n">
        <x:f>MAX(0,G247-G248)</x:f>
        <x:v>0</x:v>
      </x:c>
      <x:c r="H249" s="169" t="n">
        <x:f>MAX(0,H247-H248)</x:f>
        <x:v>0</x:v>
      </x:c>
      <x:c r="I249" s="169" t="n">
        <x:f>MAX(0,I247-I248)</x:f>
        <x:v>0</x:v>
      </x:c>
      <x:c r="J249" s="169" t="n">
        <x:f>MAX(0,J247-J248)</x:f>
        <x:v>0</x:v>
      </x:c>
      <x:c r="K249" s="169" t="n">
        <x:f>MAX(0,K247-K248)</x:f>
        <x:v>0</x:v>
      </x:c>
      <x:c r="L249" s="169" t="n">
        <x:f>MAX(0,L247-L248)</x:f>
        <x:v>0</x:v>
      </x:c>
      <x:c r="M249" s="169" t="n">
        <x:f>MAX(0,M247-M248)</x:f>
        <x:v>0</x:v>
      </x:c>
      <x:c r="N249" s="169" t="n">
        <x:f>MAX(0,N247-N248)</x:f>
        <x:v>0</x:v>
      </x:c>
      <x:c r="O249" s="169" t="n">
        <x:f>MAX(0,O247-O248)</x:f>
        <x:v>0</x:v>
      </x:c>
      <x:c r="P249" s="169" t="n">
        <x:f>MAX(0,P247-P248)</x:f>
        <x:v>0</x:v>
      </x:c>
      <x:c r="Q249" s="169" t="n">
        <x:f>MAX(0,Q247-Q248)</x:f>
        <x:v>0</x:v>
      </x:c>
      <x:c r="R249" s="169" t="n">
        <x:f>MAX(0,R247-R248)</x:f>
        <x:v>0</x:v>
      </x:c>
      <x:c r="S249" s="169" t="n">
        <x:f>MAX(0,S247-S248)</x:f>
        <x:v>884749.6864154964</x:v>
      </x:c>
      <x:c r="T249" s="169" t="n">
        <x:f>MAX(0,T247-T248)</x:f>
        <x:v>821553.2802429609</x:v>
      </x:c>
      <x:c r="U249" s="169" t="n">
        <x:f>MAX(0,U247-U248)</x:f>
        <x:v>758356.8740704255</x:v>
      </x:c>
      <x:c r="V249" s="169" t="n">
        <x:f>MAX(0,V247-V248)</x:f>
        <x:v>695160.46789789</x:v>
      </x:c>
      <x:c r="W249" s="169" t="n">
        <x:f>MAX(0,W247-W248)</x:f>
        <x:v>631964.0617253546</x:v>
      </x:c>
      <x:c r="X249" s="169" t="n">
        <x:f>MAX(0,X247-X248)</x:f>
        <x:v>568767.6555528191</x:v>
      </x:c>
      <x:c r="Y249" s="169" t="n">
        <x:f>MAX(0,Y247-Y248)</x:f>
        <x:v>505571.2493802837</x:v>
      </x:c>
      <x:c r="Z249" s="169" t="n">
        <x:f>MAX(0,Z247-Z248)</x:f>
        <x:v>442374.84320774826</x:v>
      </x:c>
      <x:c r="AA249" s="169" t="n">
        <x:f>MAX(0,AA247-AA248)</x:f>
        <x:v>379178.43703521276</x:v>
      </x:c>
      <x:c r="AB249" s="169" t="n">
        <x:f>MAX(0,AB247-AB248)</x:f>
        <x:v>315982.0308626773</x:v>
      </x:c>
      <x:c r="AC249" s="169" t="n">
        <x:f>MAX(0,AC247-AC248)</x:f>
        <x:v>252785.62469014185</x:v>
      </x:c>
    </x:row>
    <x:row r="250" ht="20" customHeight="1">
      <x:c r="A250" s="170" t="str">
        <x:v>Hard assets</x:v>
      </x:c>
      <x:c r="B250" s="214" t="n">
        <x:v>2033</x:v>
      </x:c>
      <x:c r="C250" s="170" t="n">
        <x:f>'ROIC Cloud'!N$15*'ROIC Cloud'!$D$47</x:f>
        <x:v>947946.0925880319</x:v>
      </x:c>
      <x:c r="D250" s="214" t="n">
        <x:f>'ROIC Cloud'!$D$43</x:f>
        <x:v>15</x:v>
      </x:c>
      <x:c r="E250" s="214" t="n">
        <x:f>B250+'ROIC Cloud'!$D$40</x:f>
        <x:v>2035</x:v>
      </x:c>
      <x:c r="F250" s="170" t="str">
        <x:v>Average NBV</x:v>
      </x:c>
      <x:c r="G250" s="169" t="n">
        <x:f>(G247+G249)/2</x:f>
        <x:v>0</x:v>
      </x:c>
      <x:c r="H250" s="169" t="n">
        <x:f>(H247+H249)/2</x:f>
        <x:v>0</x:v>
      </x:c>
      <x:c r="I250" s="169" t="n">
        <x:f>(I247+I249)/2</x:f>
        <x:v>0</x:v>
      </x:c>
      <x:c r="J250" s="169" t="n">
        <x:f>(J247+J249)/2</x:f>
        <x:v>0</x:v>
      </x:c>
      <x:c r="K250" s="169" t="n">
        <x:f>(K247+K249)/2</x:f>
        <x:v>0</x:v>
      </x:c>
      <x:c r="L250" s="169" t="n">
        <x:f>(L247+L249)/2</x:f>
        <x:v>0</x:v>
      </x:c>
      <x:c r="M250" s="169" t="n">
        <x:f>(M247+M249)/2</x:f>
        <x:v>0</x:v>
      </x:c>
      <x:c r="N250" s="169" t="n">
        <x:f>(N247+N249)/2</x:f>
        <x:v>0</x:v>
      </x:c>
      <x:c r="O250" s="169" t="n">
        <x:f>(O247+O249)/2</x:f>
        <x:v>0</x:v>
      </x:c>
      <x:c r="P250" s="169" t="n">
        <x:f>(P247+P249)/2</x:f>
        <x:v>0</x:v>
      </x:c>
      <x:c r="Q250" s="169" t="n">
        <x:f>(Q247+Q249)/2</x:f>
        <x:v>0</x:v>
      </x:c>
      <x:c r="R250" s="169" t="n">
        <x:f>(R247+R249)/2</x:f>
        <x:v>0</x:v>
      </x:c>
      <x:c r="S250" s="169" t="n">
        <x:f>(S247+S249)/2</x:f>
        <x:v>916347.8895017642</x:v>
      </x:c>
      <x:c r="T250" s="169" t="n">
        <x:f>(T247+T249)/2</x:f>
        <x:v>853151.4833292286</x:v>
      </x:c>
      <x:c r="U250" s="169" t="n">
        <x:f>(U247+U249)/2</x:f>
        <x:v>789955.0771566932</x:v>
      </x:c>
      <x:c r="V250" s="169" t="n">
        <x:f>(V247+V249)/2</x:f>
        <x:v>726758.6709841578</x:v>
      </x:c>
      <x:c r="W250" s="169" t="n">
        <x:f>(W247+W249)/2</x:f>
        <x:v>663562.2648116224</x:v>
      </x:c>
      <x:c r="X250" s="169" t="n">
        <x:f>(X247+X249)/2</x:f>
        <x:v>600365.8586390868</x:v>
      </x:c>
      <x:c r="Y250" s="169" t="n">
        <x:f>(Y247+Y249)/2</x:f>
        <x:v>537169.4524665514</x:v>
      </x:c>
      <x:c r="Z250" s="169" t="n">
        <x:f>(Z247+Z249)/2</x:f>
        <x:v>473973.04629401595</x:v>
      </x:c>
      <x:c r="AA250" s="169" t="n">
        <x:f>(AA247+AA249)/2</x:f>
        <x:v>410776.64012148045</x:v>
      </x:c>
      <x:c r="AB250" s="169" t="n">
        <x:f>(AB247+AB249)/2</x:f>
        <x:v>347580.23394894507</x:v>
      </x:c>
      <x:c r="AC250" s="169" t="n">
        <x:f>(AC247+AC249)/2</x:f>
        <x:v>284383.82777640957</x:v>
      </x:c>
    </x:row>
    <x:row r="251" ht="20" customHeight="1">
      <x:c r="A251" s="170" t="str">
        <x:v>Hard assets</x:v>
      </x:c>
      <x:c r="B251" s="214" t="n">
        <x:v>2034</x:v>
      </x:c>
      <x:c r="C251" s="170" t="n">
        <x:f>'ROIC Cloud'!O$15*'ROIC Cloud'!$D$47</x:f>
        <x:v>1023781.7799950745</x:v>
      </x:c>
      <x:c r="D251" s="214" t="n">
        <x:f>'ROIC Cloud'!$D$43</x:f>
        <x:v>15</x:v>
      </x:c>
      <x:c r="E251" s="214" t="n">
        <x:f>B251+'ROIC Cloud'!$D$40</x:f>
        <x:v>2036</x:v>
      </x:c>
      <x:c r="F251" s="170" t="str">
        <x:v>Opening NBV</x:v>
      </x:c>
      <x:c r="G251" s="169" t="n">
        <x:f>IF(G$4&gt;=$E251,$C251*MAX(0,1-(G$4-$E251)/$D251),0)</x:f>
        <x:v>0</x:v>
      </x:c>
      <x:c r="H251" s="169" t="n">
        <x:f>IF(H$4&gt;=$E251,$C251*MAX(0,1-(H$4-$E251)/$D251),0)</x:f>
        <x:v>0</x:v>
      </x:c>
      <x:c r="I251" s="169" t="n">
        <x:f>IF(I$4&gt;=$E251,$C251*MAX(0,1-(I$4-$E251)/$D251),0)</x:f>
        <x:v>0</x:v>
      </x:c>
      <x:c r="J251" s="169" t="n">
        <x:f>IF(J$4&gt;=$E251,$C251*MAX(0,1-(J$4-$E251)/$D251),0)</x:f>
        <x:v>0</x:v>
      </x:c>
      <x:c r="K251" s="169" t="n">
        <x:f>IF(K$4&gt;=$E251,$C251*MAX(0,1-(K$4-$E251)/$D251),0)</x:f>
        <x:v>0</x:v>
      </x:c>
      <x:c r="L251" s="169" t="n">
        <x:f>IF(L$4&gt;=$E251,$C251*MAX(0,1-(L$4-$E251)/$D251),0)</x:f>
        <x:v>0</x:v>
      </x:c>
      <x:c r="M251" s="169" t="n">
        <x:f>IF(M$4&gt;=$E251,$C251*MAX(0,1-(M$4-$E251)/$D251),0)</x:f>
        <x:v>0</x:v>
      </x:c>
      <x:c r="N251" s="169" t="n">
        <x:f>IF(N$4&gt;=$E251,$C251*MAX(0,1-(N$4-$E251)/$D251),0)</x:f>
        <x:v>0</x:v>
      </x:c>
      <x:c r="O251" s="169" t="n">
        <x:f>IF(O$4&gt;=$E251,$C251*MAX(0,1-(O$4-$E251)/$D251),0)</x:f>
        <x:v>0</x:v>
      </x:c>
      <x:c r="P251" s="169" t="n">
        <x:f>IF(P$4&gt;=$E251,$C251*MAX(0,1-(P$4-$E251)/$D251),0)</x:f>
        <x:v>0</x:v>
      </x:c>
      <x:c r="Q251" s="169" t="n">
        <x:f>IF(Q$4&gt;=$E251,$C251*MAX(0,1-(Q$4-$E251)/$D251),0)</x:f>
        <x:v>0</x:v>
      </x:c>
      <x:c r="R251" s="169" t="n">
        <x:f>IF(R$4&gt;=$E251,$C251*MAX(0,1-(R$4-$E251)/$D251),0)</x:f>
        <x:v>0</x:v>
      </x:c>
      <x:c r="S251" s="169" t="n">
        <x:f>IF(S$4&gt;=$E251,$C251*MAX(0,1-(S$4-$E251)/$D251),0)</x:f>
        <x:v>0</x:v>
      </x:c>
      <x:c r="T251" s="169" t="n">
        <x:f>IF(T$4&gt;=$E251,$C251*MAX(0,1-(T$4-$E251)/$D251),0)</x:f>
        <x:v>1023781.7799950745</x:v>
      </x:c>
      <x:c r="U251" s="169" t="n">
        <x:f>IF(U$4&gt;=$E251,$C251*MAX(0,1-(U$4-$E251)/$D251),0)</x:f>
        <x:v>955529.6613287362</x:v>
      </x:c>
      <x:c r="V251" s="169" t="n">
        <x:f>IF(V$4&gt;=$E251,$C251*MAX(0,1-(V$4-$E251)/$D251),0)</x:f>
        <x:v>887277.542662398</x:v>
      </x:c>
      <x:c r="W251" s="169" t="n">
        <x:f>IF(W$4&gt;=$E251,$C251*MAX(0,1-(W$4-$E251)/$D251),0)</x:f>
        <x:v>819025.4239960597</x:v>
      </x:c>
      <x:c r="X251" s="169" t="n">
        <x:f>IF(X$4&gt;=$E251,$C251*MAX(0,1-(X$4-$E251)/$D251),0)</x:f>
        <x:v>750773.3053297213</x:v>
      </x:c>
      <x:c r="Y251" s="169" t="n">
        <x:f>IF(Y$4&gt;=$E251,$C251*MAX(0,1-(Y$4-$E251)/$D251),0)</x:f>
        <x:v>682521.186663383</x:v>
      </x:c>
      <x:c r="Z251" s="169" t="n">
        <x:f>IF(Z$4&gt;=$E251,$C251*MAX(0,1-(Z$4-$E251)/$D251),0)</x:f>
        <x:v>614269.0679970447</x:v>
      </x:c>
      <x:c r="AA251" s="169" t="n">
        <x:f>IF(AA$4&gt;=$E251,$C251*MAX(0,1-(AA$4-$E251)/$D251),0)</x:f>
        <x:v>546016.9493307064</x:v>
      </x:c>
      <x:c r="AB251" s="169" t="n">
        <x:f>IF(AB$4&gt;=$E251,$C251*MAX(0,1-(AB$4-$E251)/$D251),0)</x:f>
        <x:v>477764.8306643681</x:v>
      </x:c>
      <x:c r="AC251" s="169" t="n">
        <x:f>IF(AC$4&gt;=$E251,$C251*MAX(0,1-(AC$4-$E251)/$D251),0)</x:f>
        <x:v>409512.71199802984</x:v>
      </x:c>
    </x:row>
    <x:row r="252" ht="20" customHeight="1">
      <x:c r="A252" s="170" t="str">
        <x:v>Hard assets</x:v>
      </x:c>
      <x:c r="B252" s="214" t="n">
        <x:v>2034</x:v>
      </x:c>
      <x:c r="C252" s="170" t="n">
        <x:f>'ROIC Cloud'!O$15*'ROIC Cloud'!$D$47</x:f>
        <x:v>1023781.7799950745</x:v>
      </x:c>
      <x:c r="D252" s="214" t="n">
        <x:f>'ROIC Cloud'!$D$43</x:f>
        <x:v>15</x:v>
      </x:c>
      <x:c r="E252" s="214" t="n">
        <x:f>B252+'ROIC Cloud'!$D$40</x:f>
        <x:v>2036</x:v>
      </x:c>
      <x:c r="F252" s="170" t="str">
        <x:v>Depreciation</x:v>
      </x:c>
      <x:c r="G252" s="169" t="n">
        <x:f>IF(G$4&gt;=$E251,MIN($C251/$D251,G251),0)</x:f>
        <x:v>0</x:v>
      </x:c>
      <x:c r="H252" s="169" t="n">
        <x:f>IF(H$4&gt;=$E251,MIN($C251/$D251,H251),0)</x:f>
        <x:v>0</x:v>
      </x:c>
      <x:c r="I252" s="169" t="n">
        <x:f>IF(I$4&gt;=$E251,MIN($C251/$D251,I251),0)</x:f>
        <x:v>0</x:v>
      </x:c>
      <x:c r="J252" s="169" t="n">
        <x:f>IF(J$4&gt;=$E251,MIN($C251/$D251,J251),0)</x:f>
        <x:v>0</x:v>
      </x:c>
      <x:c r="K252" s="169" t="n">
        <x:f>IF(K$4&gt;=$E251,MIN($C251/$D251,K251),0)</x:f>
        <x:v>0</x:v>
      </x:c>
      <x:c r="L252" s="169" t="n">
        <x:f>IF(L$4&gt;=$E251,MIN($C251/$D251,L251),0)</x:f>
        <x:v>0</x:v>
      </x:c>
      <x:c r="M252" s="169" t="n">
        <x:f>IF(M$4&gt;=$E251,MIN($C251/$D251,M251),0)</x:f>
        <x:v>0</x:v>
      </x:c>
      <x:c r="N252" s="169" t="n">
        <x:f>IF(N$4&gt;=$E251,MIN($C251/$D251,N251),0)</x:f>
        <x:v>0</x:v>
      </x:c>
      <x:c r="O252" s="169" t="n">
        <x:f>IF(O$4&gt;=$E251,MIN($C251/$D251,O251),0)</x:f>
        <x:v>0</x:v>
      </x:c>
      <x:c r="P252" s="169" t="n">
        <x:f>IF(P$4&gt;=$E251,MIN($C251/$D251,P251),0)</x:f>
        <x:v>0</x:v>
      </x:c>
      <x:c r="Q252" s="169" t="n">
        <x:f>IF(Q$4&gt;=$E251,MIN($C251/$D251,Q251),0)</x:f>
        <x:v>0</x:v>
      </x:c>
      <x:c r="R252" s="169" t="n">
        <x:f>IF(R$4&gt;=$E251,MIN($C251/$D251,R251),0)</x:f>
        <x:v>0</x:v>
      </x:c>
      <x:c r="S252" s="169" t="n">
        <x:f>IF(S$4&gt;=$E251,MIN($C251/$D251,S251),0)</x:f>
        <x:v>0</x:v>
      </x:c>
      <x:c r="T252" s="169" t="n">
        <x:f>IF(T$4&gt;=$E251,MIN($C251/$D251,T251),0)</x:f>
        <x:v>68252.1186663383</x:v>
      </x:c>
      <x:c r="U252" s="169" t="n">
        <x:f>IF(U$4&gt;=$E251,MIN($C251/$D251,U251),0)</x:f>
        <x:v>68252.1186663383</x:v>
      </x:c>
      <x:c r="V252" s="169" t="n">
        <x:f>IF(V$4&gt;=$E251,MIN($C251/$D251,V251),0)</x:f>
        <x:v>68252.1186663383</x:v>
      </x:c>
      <x:c r="W252" s="169" t="n">
        <x:f>IF(W$4&gt;=$E251,MIN($C251/$D251,W251),0)</x:f>
        <x:v>68252.1186663383</x:v>
      </x:c>
      <x:c r="X252" s="169" t="n">
        <x:f>IF(X$4&gt;=$E251,MIN($C251/$D251,X251),0)</x:f>
        <x:v>68252.1186663383</x:v>
      </x:c>
      <x:c r="Y252" s="169" t="n">
        <x:f>IF(Y$4&gt;=$E251,MIN($C251/$D251,Y251),0)</x:f>
        <x:v>68252.1186663383</x:v>
      </x:c>
      <x:c r="Z252" s="169" t="n">
        <x:f>IF(Z$4&gt;=$E251,MIN($C251/$D251,Z251),0)</x:f>
        <x:v>68252.1186663383</x:v>
      </x:c>
      <x:c r="AA252" s="169" t="n">
        <x:f>IF(AA$4&gt;=$E251,MIN($C251/$D251,AA251),0)</x:f>
        <x:v>68252.1186663383</x:v>
      </x:c>
      <x:c r="AB252" s="169" t="n">
        <x:f>IF(AB$4&gt;=$E251,MIN($C251/$D251,AB251),0)</x:f>
        <x:v>68252.1186663383</x:v>
      </x:c>
      <x:c r="AC252" s="169" t="n">
        <x:f>IF(AC$4&gt;=$E251,MIN($C251/$D251,AC251),0)</x:f>
        <x:v>68252.1186663383</x:v>
      </x:c>
    </x:row>
    <x:row r="253" ht="20" customHeight="1">
      <x:c r="A253" s="170" t="str">
        <x:v>Hard assets</x:v>
      </x:c>
      <x:c r="B253" s="214" t="n">
        <x:v>2034</x:v>
      </x:c>
      <x:c r="C253" s="170" t="n">
        <x:f>'ROIC Cloud'!O$15*'ROIC Cloud'!$D$47</x:f>
        <x:v>1023781.7799950745</x:v>
      </x:c>
      <x:c r="D253" s="214" t="n">
        <x:f>'ROIC Cloud'!$D$43</x:f>
        <x:v>15</x:v>
      </x:c>
      <x:c r="E253" s="214" t="n">
        <x:f>B253+'ROIC Cloud'!$D$40</x:f>
        <x:v>2036</x:v>
      </x:c>
      <x:c r="F253" s="170" t="str">
        <x:v>Closing NBV</x:v>
      </x:c>
      <x:c r="G253" s="169" t="n">
        <x:f>MAX(0,G251-G252)</x:f>
        <x:v>0</x:v>
      </x:c>
      <x:c r="H253" s="169" t="n">
        <x:f>MAX(0,H251-H252)</x:f>
        <x:v>0</x:v>
      </x:c>
      <x:c r="I253" s="169" t="n">
        <x:f>MAX(0,I251-I252)</x:f>
        <x:v>0</x:v>
      </x:c>
      <x:c r="J253" s="169" t="n">
        <x:f>MAX(0,J251-J252)</x:f>
        <x:v>0</x:v>
      </x:c>
      <x:c r="K253" s="169" t="n">
        <x:f>MAX(0,K251-K252)</x:f>
        <x:v>0</x:v>
      </x:c>
      <x:c r="L253" s="169" t="n">
        <x:f>MAX(0,L251-L252)</x:f>
        <x:v>0</x:v>
      </x:c>
      <x:c r="M253" s="169" t="n">
        <x:f>MAX(0,M251-M252)</x:f>
        <x:v>0</x:v>
      </x:c>
      <x:c r="N253" s="169" t="n">
        <x:f>MAX(0,N251-N252)</x:f>
        <x:v>0</x:v>
      </x:c>
      <x:c r="O253" s="169" t="n">
        <x:f>MAX(0,O251-O252)</x:f>
        <x:v>0</x:v>
      </x:c>
      <x:c r="P253" s="169" t="n">
        <x:f>MAX(0,P251-P252)</x:f>
        <x:v>0</x:v>
      </x:c>
      <x:c r="Q253" s="169" t="n">
        <x:f>MAX(0,Q251-Q252)</x:f>
        <x:v>0</x:v>
      </x:c>
      <x:c r="R253" s="169" t="n">
        <x:f>MAX(0,R251-R252)</x:f>
        <x:v>0</x:v>
      </x:c>
      <x:c r="S253" s="169" t="n">
        <x:f>MAX(0,S251-S252)</x:f>
        <x:v>0</x:v>
      </x:c>
      <x:c r="T253" s="169" t="n">
        <x:f>MAX(0,T251-T252)</x:f>
        <x:v>955529.6613287362</x:v>
      </x:c>
      <x:c r="U253" s="169" t="n">
        <x:f>MAX(0,U251-U252)</x:f>
        <x:v>887277.542662398</x:v>
      </x:c>
      <x:c r="V253" s="169" t="n">
        <x:f>MAX(0,V251-V252)</x:f>
        <x:v>819025.4239960597</x:v>
      </x:c>
      <x:c r="W253" s="169" t="n">
        <x:f>MAX(0,W251-W252)</x:f>
        <x:v>750773.3053297214</x:v>
      </x:c>
      <x:c r="X253" s="169" t="n">
        <x:f>MAX(0,X251-X252)</x:f>
        <x:v>682521.186663383</x:v>
      </x:c>
      <x:c r="Y253" s="169" t="n">
        <x:f>MAX(0,Y251-Y252)</x:f>
        <x:v>614269.0679970448</x:v>
      </x:c>
      <x:c r="Z253" s="169" t="n">
        <x:f>MAX(0,Z251-Z252)</x:f>
        <x:v>546016.9493307064</x:v>
      </x:c>
      <x:c r="AA253" s="169" t="n">
        <x:f>MAX(0,AA251-AA252)</x:f>
        <x:v>477764.8306643681</x:v>
      </x:c>
      <x:c r="AB253" s="169" t="n">
        <x:f>MAX(0,AB251-AB252)</x:f>
        <x:v>409512.71199802984</x:v>
      </x:c>
      <x:c r="AC253" s="169" t="n">
        <x:f>MAX(0,AC251-AC252)</x:f>
        <x:v>341260.5933316916</x:v>
      </x:c>
    </x:row>
    <x:row r="254" ht="20" customHeight="1">
      <x:c r="A254" s="170" t="str">
        <x:v>Hard assets</x:v>
      </x:c>
      <x:c r="B254" s="214" t="n">
        <x:v>2034</x:v>
      </x:c>
      <x:c r="C254" s="170" t="n">
        <x:f>'ROIC Cloud'!O$15*'ROIC Cloud'!$D$47</x:f>
        <x:v>1023781.7799950745</x:v>
      </x:c>
      <x:c r="D254" s="214" t="n">
        <x:f>'ROIC Cloud'!$D$43</x:f>
        <x:v>15</x:v>
      </x:c>
      <x:c r="E254" s="214" t="n">
        <x:f>B254+'ROIC Cloud'!$D$40</x:f>
        <x:v>2036</x:v>
      </x:c>
      <x:c r="F254" s="170" t="str">
        <x:v>Average NBV</x:v>
      </x:c>
      <x:c r="G254" s="169" t="n">
        <x:f>(G251+G253)/2</x:f>
        <x:v>0</x:v>
      </x:c>
      <x:c r="H254" s="169" t="n">
        <x:f>(H251+H253)/2</x:f>
        <x:v>0</x:v>
      </x:c>
      <x:c r="I254" s="169" t="n">
        <x:f>(I251+I253)/2</x:f>
        <x:v>0</x:v>
      </x:c>
      <x:c r="J254" s="169" t="n">
        <x:f>(J251+J253)/2</x:f>
        <x:v>0</x:v>
      </x:c>
      <x:c r="K254" s="169" t="n">
        <x:f>(K251+K253)/2</x:f>
        <x:v>0</x:v>
      </x:c>
      <x:c r="L254" s="169" t="n">
        <x:f>(L251+L253)/2</x:f>
        <x:v>0</x:v>
      </x:c>
      <x:c r="M254" s="169" t="n">
        <x:f>(M251+M253)/2</x:f>
        <x:v>0</x:v>
      </x:c>
      <x:c r="N254" s="169" t="n">
        <x:f>(N251+N253)/2</x:f>
        <x:v>0</x:v>
      </x:c>
      <x:c r="O254" s="169" t="n">
        <x:f>(O251+O253)/2</x:f>
        <x:v>0</x:v>
      </x:c>
      <x:c r="P254" s="169" t="n">
        <x:f>(P251+P253)/2</x:f>
        <x:v>0</x:v>
      </x:c>
      <x:c r="Q254" s="169" t="n">
        <x:f>(Q251+Q253)/2</x:f>
        <x:v>0</x:v>
      </x:c>
      <x:c r="R254" s="169" t="n">
        <x:f>(R251+R253)/2</x:f>
        <x:v>0</x:v>
      </x:c>
      <x:c r="S254" s="169" t="n">
        <x:f>(S251+S253)/2</x:f>
        <x:v>0</x:v>
      </x:c>
      <x:c r="T254" s="169" t="n">
        <x:f>(T251+T253)/2</x:f>
        <x:v>989655.7206619054</x:v>
      </x:c>
      <x:c r="U254" s="169" t="n">
        <x:f>(U251+U253)/2</x:f>
        <x:v>921403.6019955671</x:v>
      </x:c>
      <x:c r="V254" s="169" t="n">
        <x:f>(V251+V253)/2</x:f>
        <x:v>853151.4833292288</x:v>
      </x:c>
      <x:c r="W254" s="169" t="n">
        <x:f>(W251+W253)/2</x:f>
        <x:v>784899.3646628906</x:v>
      </x:c>
      <x:c r="X254" s="169" t="n">
        <x:f>(X251+X253)/2</x:f>
        <x:v>716647.2459965522</x:v>
      </x:c>
      <x:c r="Y254" s="169" t="n">
        <x:f>(Y251+Y253)/2</x:f>
        <x:v>648395.1273302139</x:v>
      </x:c>
      <x:c r="Z254" s="169" t="n">
        <x:f>(Z251+Z253)/2</x:f>
        <x:v>580143.0086638755</x:v>
      </x:c>
      <x:c r="AA254" s="169" t="n">
        <x:f>(AA251+AA253)/2</x:f>
        <x:v>511890.88999753725</x:v>
      </x:c>
      <x:c r="AB254" s="169" t="n">
        <x:f>(AB251+AB253)/2</x:f>
        <x:v>443638.771331199</x:v>
      </x:c>
      <x:c r="AC254" s="169" t="n">
        <x:f>(AC251+AC253)/2</x:f>
        <x:v>375386.6526648607</x:v>
      </x:c>
    </x:row>
    <x:row r="255" ht="20" customHeight="1">
      <x:c r="A255" s="170" t="str">
        <x:v>Hard assets</x:v>
      </x:c>
      <x:c r="B255" s="214" t="n">
        <x:v>2035</x:v>
      </x:c>
      <x:c r="C255" s="170" t="n">
        <x:f>'ROIC Cloud'!P$15*'ROIC Cloud'!$D$47</x:f>
        <x:v>1105684.3223946805</x:v>
      </x:c>
      <x:c r="D255" s="214" t="n">
        <x:f>'ROIC Cloud'!$D$43</x:f>
        <x:v>15</x:v>
      </x:c>
      <x:c r="E255" s="214" t="n">
        <x:f>B255+'ROIC Cloud'!$D$40</x:f>
        <x:v>2037</x:v>
      </x:c>
      <x:c r="F255" s="170" t="str">
        <x:v>Opening NBV</x:v>
      </x:c>
      <x:c r="G255" s="169" t="n">
        <x:f>IF(G$4&gt;=$E255,$C255*MAX(0,1-(G$4-$E255)/$D255),0)</x:f>
        <x:v>0</x:v>
      </x:c>
      <x:c r="H255" s="169" t="n">
        <x:f>IF(H$4&gt;=$E255,$C255*MAX(0,1-(H$4-$E255)/$D255),0)</x:f>
        <x:v>0</x:v>
      </x:c>
      <x:c r="I255" s="169" t="n">
        <x:f>IF(I$4&gt;=$E255,$C255*MAX(0,1-(I$4-$E255)/$D255),0)</x:f>
        <x:v>0</x:v>
      </x:c>
      <x:c r="J255" s="169" t="n">
        <x:f>IF(J$4&gt;=$E255,$C255*MAX(0,1-(J$4-$E255)/$D255),0)</x:f>
        <x:v>0</x:v>
      </x:c>
      <x:c r="K255" s="169" t="n">
        <x:f>IF(K$4&gt;=$E255,$C255*MAX(0,1-(K$4-$E255)/$D255),0)</x:f>
        <x:v>0</x:v>
      </x:c>
      <x:c r="L255" s="169" t="n">
        <x:f>IF(L$4&gt;=$E255,$C255*MAX(0,1-(L$4-$E255)/$D255),0)</x:f>
        <x:v>0</x:v>
      </x:c>
      <x:c r="M255" s="169" t="n">
        <x:f>IF(M$4&gt;=$E255,$C255*MAX(0,1-(M$4-$E255)/$D255),0)</x:f>
        <x:v>0</x:v>
      </x:c>
      <x:c r="N255" s="169" t="n">
        <x:f>IF(N$4&gt;=$E255,$C255*MAX(0,1-(N$4-$E255)/$D255),0)</x:f>
        <x:v>0</x:v>
      </x:c>
      <x:c r="O255" s="169" t="n">
        <x:f>IF(O$4&gt;=$E255,$C255*MAX(0,1-(O$4-$E255)/$D255),0)</x:f>
        <x:v>0</x:v>
      </x:c>
      <x:c r="P255" s="169" t="n">
        <x:f>IF(P$4&gt;=$E255,$C255*MAX(0,1-(P$4-$E255)/$D255),0)</x:f>
        <x:v>0</x:v>
      </x:c>
      <x:c r="Q255" s="169" t="n">
        <x:f>IF(Q$4&gt;=$E255,$C255*MAX(0,1-(Q$4-$E255)/$D255),0)</x:f>
        <x:v>0</x:v>
      </x:c>
      <x:c r="R255" s="169" t="n">
        <x:f>IF(R$4&gt;=$E255,$C255*MAX(0,1-(R$4-$E255)/$D255),0)</x:f>
        <x:v>0</x:v>
      </x:c>
      <x:c r="S255" s="169" t="n">
        <x:f>IF(S$4&gt;=$E255,$C255*MAX(0,1-(S$4-$E255)/$D255),0)</x:f>
        <x:v>0</x:v>
      </x:c>
      <x:c r="T255" s="169" t="n">
        <x:f>IF(T$4&gt;=$E255,$C255*MAX(0,1-(T$4-$E255)/$D255),0)</x:f>
        <x:v>0</x:v>
      </x:c>
      <x:c r="U255" s="169" t="n">
        <x:f>IF(U$4&gt;=$E255,$C255*MAX(0,1-(U$4-$E255)/$D255),0)</x:f>
        <x:v>1105684.3223946805</x:v>
      </x:c>
      <x:c r="V255" s="169" t="n">
        <x:f>IF(V$4&gt;=$E255,$C255*MAX(0,1-(V$4-$E255)/$D255),0)</x:f>
        <x:v>1031972.0342350351</x:v>
      </x:c>
      <x:c r="W255" s="169" t="n">
        <x:f>IF(W$4&gt;=$E255,$C255*MAX(0,1-(W$4-$E255)/$D255),0)</x:f>
        <x:v>958259.7460753898</x:v>
      </x:c>
      <x:c r="X255" s="169" t="n">
        <x:f>IF(X$4&gt;=$E255,$C255*MAX(0,1-(X$4-$E255)/$D255),0)</x:f>
        <x:v>884547.4579157444</x:v>
      </x:c>
      <x:c r="Y255" s="169" t="n">
        <x:f>IF(Y$4&gt;=$E255,$C255*MAX(0,1-(Y$4-$E255)/$D255),0)</x:f>
        <x:v>810835.1697560991</x:v>
      </x:c>
      <x:c r="Z255" s="169" t="n">
        <x:f>IF(Z$4&gt;=$E255,$C255*MAX(0,1-(Z$4-$E255)/$D255),0)</x:f>
        <x:v>737122.8815964537</x:v>
      </x:c>
      <x:c r="AA255" s="169" t="n">
        <x:f>IF(AA$4&gt;=$E255,$C255*MAX(0,1-(AA$4-$E255)/$D255),0)</x:f>
        <x:v>663410.5934368082</x:v>
      </x:c>
      <x:c r="AB255" s="169" t="n">
        <x:f>IF(AB$4&gt;=$E255,$C255*MAX(0,1-(AB$4-$E255)/$D255),0)</x:f>
        <x:v>589698.3052771629</x:v>
      </x:c>
      <x:c r="AC255" s="169" t="n">
        <x:f>IF(AC$4&gt;=$E255,$C255*MAX(0,1-(AC$4-$E255)/$D255),0)</x:f>
        <x:v>515986.01711751753</x:v>
      </x:c>
    </x:row>
    <x:row r="256" ht="20" customHeight="1">
      <x:c r="A256" s="170" t="str">
        <x:v>Hard assets</x:v>
      </x:c>
      <x:c r="B256" s="214" t="n">
        <x:v>2035</x:v>
      </x:c>
      <x:c r="C256" s="170" t="n">
        <x:f>'ROIC Cloud'!P$15*'ROIC Cloud'!$D$47</x:f>
        <x:v>1105684.3223946805</x:v>
      </x:c>
      <x:c r="D256" s="214" t="n">
        <x:f>'ROIC Cloud'!$D$43</x:f>
        <x:v>15</x:v>
      </x:c>
      <x:c r="E256" s="214" t="n">
        <x:f>B256+'ROIC Cloud'!$D$40</x:f>
        <x:v>2037</x:v>
      </x:c>
      <x:c r="F256" s="170" t="str">
        <x:v>Depreciation</x:v>
      </x:c>
      <x:c r="G256" s="169" t="n">
        <x:f>IF(G$4&gt;=$E255,MIN($C255/$D255,G255),0)</x:f>
        <x:v>0</x:v>
      </x:c>
      <x:c r="H256" s="169" t="n">
        <x:f>IF(H$4&gt;=$E255,MIN($C255/$D255,H255),0)</x:f>
        <x:v>0</x:v>
      </x:c>
      <x:c r="I256" s="169" t="n">
        <x:f>IF(I$4&gt;=$E255,MIN($C255/$D255,I255),0)</x:f>
        <x:v>0</x:v>
      </x:c>
      <x:c r="J256" s="169" t="n">
        <x:f>IF(J$4&gt;=$E255,MIN($C255/$D255,J255),0)</x:f>
        <x:v>0</x:v>
      </x:c>
      <x:c r="K256" s="169" t="n">
        <x:f>IF(K$4&gt;=$E255,MIN($C255/$D255,K255),0)</x:f>
        <x:v>0</x:v>
      </x:c>
      <x:c r="L256" s="169" t="n">
        <x:f>IF(L$4&gt;=$E255,MIN($C255/$D255,L255),0)</x:f>
        <x:v>0</x:v>
      </x:c>
      <x:c r="M256" s="169" t="n">
        <x:f>IF(M$4&gt;=$E255,MIN($C255/$D255,M255),0)</x:f>
        <x:v>0</x:v>
      </x:c>
      <x:c r="N256" s="169" t="n">
        <x:f>IF(N$4&gt;=$E255,MIN($C255/$D255,N255),0)</x:f>
        <x:v>0</x:v>
      </x:c>
      <x:c r="O256" s="169" t="n">
        <x:f>IF(O$4&gt;=$E255,MIN($C255/$D255,O255),0)</x:f>
        <x:v>0</x:v>
      </x:c>
      <x:c r="P256" s="169" t="n">
        <x:f>IF(P$4&gt;=$E255,MIN($C255/$D255,P255),0)</x:f>
        <x:v>0</x:v>
      </x:c>
      <x:c r="Q256" s="169" t="n">
        <x:f>IF(Q$4&gt;=$E255,MIN($C255/$D255,Q255),0)</x:f>
        <x:v>0</x:v>
      </x:c>
      <x:c r="R256" s="169" t="n">
        <x:f>IF(R$4&gt;=$E255,MIN($C255/$D255,R255),0)</x:f>
        <x:v>0</x:v>
      </x:c>
      <x:c r="S256" s="169" t="n">
        <x:f>IF(S$4&gt;=$E255,MIN($C255/$D255,S255),0)</x:f>
        <x:v>0</x:v>
      </x:c>
      <x:c r="T256" s="169" t="n">
        <x:f>IF(T$4&gt;=$E255,MIN($C255/$D255,T255),0)</x:f>
        <x:v>0</x:v>
      </x:c>
      <x:c r="U256" s="169" t="n">
        <x:f>IF(U$4&gt;=$E255,MIN($C255/$D255,U255),0)</x:f>
        <x:v>73712.28815964537</x:v>
      </x:c>
      <x:c r="V256" s="169" t="n">
        <x:f>IF(V$4&gt;=$E255,MIN($C255/$D255,V255),0)</x:f>
        <x:v>73712.28815964537</x:v>
      </x:c>
      <x:c r="W256" s="169" t="n">
        <x:f>IF(W$4&gt;=$E255,MIN($C255/$D255,W255),0)</x:f>
        <x:v>73712.28815964537</x:v>
      </x:c>
      <x:c r="X256" s="169" t="n">
        <x:f>IF(X$4&gt;=$E255,MIN($C255/$D255,X255),0)</x:f>
        <x:v>73712.28815964537</x:v>
      </x:c>
      <x:c r="Y256" s="169" t="n">
        <x:f>IF(Y$4&gt;=$E255,MIN($C255/$D255,Y255),0)</x:f>
        <x:v>73712.28815964537</x:v>
      </x:c>
      <x:c r="Z256" s="169" t="n">
        <x:f>IF(Z$4&gt;=$E255,MIN($C255/$D255,Z255),0)</x:f>
        <x:v>73712.28815964537</x:v>
      </x:c>
      <x:c r="AA256" s="169" t="n">
        <x:f>IF(AA$4&gt;=$E255,MIN($C255/$D255,AA255),0)</x:f>
        <x:v>73712.28815964537</x:v>
      </x:c>
      <x:c r="AB256" s="169" t="n">
        <x:f>IF(AB$4&gt;=$E255,MIN($C255/$D255,AB255),0)</x:f>
        <x:v>73712.28815964537</x:v>
      </x:c>
      <x:c r="AC256" s="169" t="n">
        <x:f>IF(AC$4&gt;=$E255,MIN($C255/$D255,AC255),0)</x:f>
        <x:v>73712.28815964537</x:v>
      </x:c>
    </x:row>
    <x:row r="257" ht="20" customHeight="1">
      <x:c r="A257" s="170" t="str">
        <x:v>Hard assets</x:v>
      </x:c>
      <x:c r="B257" s="214" t="n">
        <x:v>2035</x:v>
      </x:c>
      <x:c r="C257" s="170" t="n">
        <x:f>'ROIC Cloud'!P$15*'ROIC Cloud'!$D$47</x:f>
        <x:v>1105684.3223946805</x:v>
      </x:c>
      <x:c r="D257" s="214" t="n">
        <x:f>'ROIC Cloud'!$D$43</x:f>
        <x:v>15</x:v>
      </x:c>
      <x:c r="E257" s="214" t="n">
        <x:f>B257+'ROIC Cloud'!$D$40</x:f>
        <x:v>2037</x:v>
      </x:c>
      <x:c r="F257" s="170" t="str">
        <x:v>Closing NBV</x:v>
      </x:c>
      <x:c r="G257" s="169" t="n">
        <x:f>MAX(0,G255-G256)</x:f>
        <x:v>0</x:v>
      </x:c>
      <x:c r="H257" s="169" t="n">
        <x:f>MAX(0,H255-H256)</x:f>
        <x:v>0</x:v>
      </x:c>
      <x:c r="I257" s="169" t="n">
        <x:f>MAX(0,I255-I256)</x:f>
        <x:v>0</x:v>
      </x:c>
      <x:c r="J257" s="169" t="n">
        <x:f>MAX(0,J255-J256)</x:f>
        <x:v>0</x:v>
      </x:c>
      <x:c r="K257" s="169" t="n">
        <x:f>MAX(0,K255-K256)</x:f>
        <x:v>0</x:v>
      </x:c>
      <x:c r="L257" s="169" t="n">
        <x:f>MAX(0,L255-L256)</x:f>
        <x:v>0</x:v>
      </x:c>
      <x:c r="M257" s="169" t="n">
        <x:f>MAX(0,M255-M256)</x:f>
        <x:v>0</x:v>
      </x:c>
      <x:c r="N257" s="169" t="n">
        <x:f>MAX(0,N255-N256)</x:f>
        <x:v>0</x:v>
      </x:c>
      <x:c r="O257" s="169" t="n">
        <x:f>MAX(0,O255-O256)</x:f>
        <x:v>0</x:v>
      </x:c>
      <x:c r="P257" s="169" t="n">
        <x:f>MAX(0,P255-P256)</x:f>
        <x:v>0</x:v>
      </x:c>
      <x:c r="Q257" s="169" t="n">
        <x:f>MAX(0,Q255-Q256)</x:f>
        <x:v>0</x:v>
      </x:c>
      <x:c r="R257" s="169" t="n">
        <x:f>MAX(0,R255-R256)</x:f>
        <x:v>0</x:v>
      </x:c>
      <x:c r="S257" s="169" t="n">
        <x:f>MAX(0,S255-S256)</x:f>
        <x:v>0</x:v>
      </x:c>
      <x:c r="T257" s="169" t="n">
        <x:f>MAX(0,T255-T256)</x:f>
        <x:v>0</x:v>
      </x:c>
      <x:c r="U257" s="169" t="n">
        <x:f>MAX(0,U255-U256)</x:f>
        <x:v>1031972.0342350351</x:v>
      </x:c>
      <x:c r="V257" s="169" t="n">
        <x:f>MAX(0,V255-V256)</x:f>
        <x:v>958259.7460753897</x:v>
      </x:c>
      <x:c r="W257" s="169" t="n">
        <x:f>MAX(0,W255-W256)</x:f>
        <x:v>884547.4579157444</x:v>
      </x:c>
      <x:c r="X257" s="169" t="n">
        <x:f>MAX(0,X255-X256)</x:f>
        <x:v>810835.169756099</x:v>
      </x:c>
      <x:c r="Y257" s="169" t="n">
        <x:f>MAX(0,Y255-Y256)</x:f>
        <x:v>737122.8815964537</x:v>
      </x:c>
      <x:c r="Z257" s="169" t="n">
        <x:f>MAX(0,Z255-Z256)</x:f>
        <x:v>663410.5934368083</x:v>
      </x:c>
      <x:c r="AA257" s="169" t="n">
        <x:f>MAX(0,AA255-AA256)</x:f>
        <x:v>589698.3052771628</x:v>
      </x:c>
      <x:c r="AB257" s="169" t="n">
        <x:f>MAX(0,AB255-AB256)</x:f>
        <x:v>515986.01711751753</x:v>
      </x:c>
      <x:c r="AC257" s="169" t="n">
        <x:f>MAX(0,AC255-AC256)</x:f>
        <x:v>442273.72895787214</x:v>
      </x:c>
    </x:row>
    <x:row r="258" ht="20" customHeight="1">
      <x:c r="A258" s="170" t="str">
        <x:v>Hard assets</x:v>
      </x:c>
      <x:c r="B258" s="214" t="n">
        <x:v>2035</x:v>
      </x:c>
      <x:c r="C258" s="170" t="n">
        <x:f>'ROIC Cloud'!P$15*'ROIC Cloud'!$D$47</x:f>
        <x:v>1105684.3223946805</x:v>
      </x:c>
      <x:c r="D258" s="214" t="n">
        <x:f>'ROIC Cloud'!$D$43</x:f>
        <x:v>15</x:v>
      </x:c>
      <x:c r="E258" s="214" t="n">
        <x:f>B258+'ROIC Cloud'!$D$40</x:f>
        <x:v>2037</x:v>
      </x:c>
      <x:c r="F258" s="170" t="str">
        <x:v>Average NBV</x:v>
      </x:c>
      <x:c r="G258" s="169" t="n">
        <x:f>(G255+G257)/2</x:f>
        <x:v>0</x:v>
      </x:c>
      <x:c r="H258" s="169" t="n">
        <x:f>(H255+H257)/2</x:f>
        <x:v>0</x:v>
      </x:c>
      <x:c r="I258" s="169" t="n">
        <x:f>(I255+I257)/2</x:f>
        <x:v>0</x:v>
      </x:c>
      <x:c r="J258" s="169" t="n">
        <x:f>(J255+J257)/2</x:f>
        <x:v>0</x:v>
      </x:c>
      <x:c r="K258" s="169" t="n">
        <x:f>(K255+K257)/2</x:f>
        <x:v>0</x:v>
      </x:c>
      <x:c r="L258" s="169" t="n">
        <x:f>(L255+L257)/2</x:f>
        <x:v>0</x:v>
      </x:c>
      <x:c r="M258" s="169" t="n">
        <x:f>(M255+M257)/2</x:f>
        <x:v>0</x:v>
      </x:c>
      <x:c r="N258" s="169" t="n">
        <x:f>(N255+N257)/2</x:f>
        <x:v>0</x:v>
      </x:c>
      <x:c r="O258" s="169" t="n">
        <x:f>(O255+O257)/2</x:f>
        <x:v>0</x:v>
      </x:c>
      <x:c r="P258" s="169" t="n">
        <x:f>(P255+P257)/2</x:f>
        <x:v>0</x:v>
      </x:c>
      <x:c r="Q258" s="169" t="n">
        <x:f>(Q255+Q257)/2</x:f>
        <x:v>0</x:v>
      </x:c>
      <x:c r="R258" s="169" t="n">
        <x:f>(R255+R257)/2</x:f>
        <x:v>0</x:v>
      </x:c>
      <x:c r="S258" s="169" t="n">
        <x:f>(S255+S257)/2</x:f>
        <x:v>0</x:v>
      </x:c>
      <x:c r="T258" s="169" t="n">
        <x:f>(T255+T257)/2</x:f>
        <x:v>0</x:v>
      </x:c>
      <x:c r="U258" s="169" t="n">
        <x:f>(U255+U257)/2</x:f>
        <x:v>1068828.1783148577</x:v>
      </x:c>
      <x:c r="V258" s="169" t="n">
        <x:f>(V255+V257)/2</x:f>
        <x:v>995115.8901552124</x:v>
      </x:c>
      <x:c r="W258" s="169" t="n">
        <x:f>(W255+W257)/2</x:f>
        <x:v>921403.6019955671</x:v>
      </x:c>
      <x:c r="X258" s="169" t="n">
        <x:f>(X255+X257)/2</x:f>
        <x:v>847691.3138359217</x:v>
      </x:c>
      <x:c r="Y258" s="169" t="n">
        <x:f>(Y255+Y257)/2</x:f>
        <x:v>773979.0256762764</x:v>
      </x:c>
      <x:c r="Z258" s="169" t="n">
        <x:f>(Z255+Z257)/2</x:f>
        <x:v>700266.737516631</x:v>
      </x:c>
      <x:c r="AA258" s="169" t="n">
        <x:f>(AA255+AA257)/2</x:f>
        <x:v>626554.4493569855</x:v>
      </x:c>
      <x:c r="AB258" s="169" t="n">
        <x:f>(AB255+AB257)/2</x:f>
        <x:v>552842.1611973402</x:v>
      </x:c>
      <x:c r="AC258" s="169" t="n">
        <x:f>(AC255+AC257)/2</x:f>
        <x:v>479129.87303769484</x:v>
      </x:c>
    </x:row>
    <x:row r="259" ht="20" customHeight="1">
      <x:c r="A259" s="170" t="str">
        <x:v>Hard assets</x:v>
      </x:c>
      <x:c r="B259" s="214" t="n">
        <x:v>2036</x:v>
      </x:c>
      <x:c r="C259" s="170" t="n">
        <x:f>'ROIC Cloud'!Q$15*'ROIC Cloud'!$D$47</x:f>
        <x:v>1194139.068186255</x:v>
      </x:c>
      <x:c r="D259" s="214" t="n">
        <x:f>'ROIC Cloud'!$D$43</x:f>
        <x:v>15</x:v>
      </x:c>
      <x:c r="E259" s="214" t="n">
        <x:f>B259+'ROIC Cloud'!$D$40</x:f>
        <x:v>2038</x:v>
      </x:c>
      <x:c r="F259" s="170" t="str">
        <x:v>Opening NBV</x:v>
      </x:c>
      <x:c r="G259" s="169" t="n">
        <x:f>IF(G$4&gt;=$E259,$C259*MAX(0,1-(G$4-$E259)/$D259),0)</x:f>
        <x:v>0</x:v>
      </x:c>
      <x:c r="H259" s="169" t="n">
        <x:f>IF(H$4&gt;=$E259,$C259*MAX(0,1-(H$4-$E259)/$D259),0)</x:f>
        <x:v>0</x:v>
      </x:c>
      <x:c r="I259" s="169" t="n">
        <x:f>IF(I$4&gt;=$E259,$C259*MAX(0,1-(I$4-$E259)/$D259),0)</x:f>
        <x:v>0</x:v>
      </x:c>
      <x:c r="J259" s="169" t="n">
        <x:f>IF(J$4&gt;=$E259,$C259*MAX(0,1-(J$4-$E259)/$D259),0)</x:f>
        <x:v>0</x:v>
      </x:c>
      <x:c r="K259" s="169" t="n">
        <x:f>IF(K$4&gt;=$E259,$C259*MAX(0,1-(K$4-$E259)/$D259),0)</x:f>
        <x:v>0</x:v>
      </x:c>
      <x:c r="L259" s="169" t="n">
        <x:f>IF(L$4&gt;=$E259,$C259*MAX(0,1-(L$4-$E259)/$D259),0)</x:f>
        <x:v>0</x:v>
      </x:c>
      <x:c r="M259" s="169" t="n">
        <x:f>IF(M$4&gt;=$E259,$C259*MAX(0,1-(M$4-$E259)/$D259),0)</x:f>
        <x:v>0</x:v>
      </x:c>
      <x:c r="N259" s="169" t="n">
        <x:f>IF(N$4&gt;=$E259,$C259*MAX(0,1-(N$4-$E259)/$D259),0)</x:f>
        <x:v>0</x:v>
      </x:c>
      <x:c r="O259" s="169" t="n">
        <x:f>IF(O$4&gt;=$E259,$C259*MAX(0,1-(O$4-$E259)/$D259),0)</x:f>
        <x:v>0</x:v>
      </x:c>
      <x:c r="P259" s="169" t="n">
        <x:f>IF(P$4&gt;=$E259,$C259*MAX(0,1-(P$4-$E259)/$D259),0)</x:f>
        <x:v>0</x:v>
      </x:c>
      <x:c r="Q259" s="169" t="n">
        <x:f>IF(Q$4&gt;=$E259,$C259*MAX(0,1-(Q$4-$E259)/$D259),0)</x:f>
        <x:v>0</x:v>
      </x:c>
      <x:c r="R259" s="169" t="n">
        <x:f>IF(R$4&gt;=$E259,$C259*MAX(0,1-(R$4-$E259)/$D259),0)</x:f>
        <x:v>0</x:v>
      </x:c>
      <x:c r="S259" s="169" t="n">
        <x:f>IF(S$4&gt;=$E259,$C259*MAX(0,1-(S$4-$E259)/$D259),0)</x:f>
        <x:v>0</x:v>
      </x:c>
      <x:c r="T259" s="169" t="n">
        <x:f>IF(T$4&gt;=$E259,$C259*MAX(0,1-(T$4-$E259)/$D259),0)</x:f>
        <x:v>0</x:v>
      </x:c>
      <x:c r="U259" s="169" t="n">
        <x:f>IF(U$4&gt;=$E259,$C259*MAX(0,1-(U$4-$E259)/$D259),0)</x:f>
        <x:v>0</x:v>
      </x:c>
      <x:c r="V259" s="169" t="n">
        <x:f>IF(V$4&gt;=$E259,$C259*MAX(0,1-(V$4-$E259)/$D259),0)</x:f>
        <x:v>1194139.068186255</x:v>
      </x:c>
      <x:c r="W259" s="169" t="n">
        <x:f>IF(W$4&gt;=$E259,$C259*MAX(0,1-(W$4-$E259)/$D259),0)</x:f>
        <x:v>1114529.796973838</x:v>
      </x:c>
      <x:c r="X259" s="169" t="n">
        <x:f>IF(X$4&gt;=$E259,$C259*MAX(0,1-(X$4-$E259)/$D259),0)</x:f>
        <x:v>1034920.525761421</x:v>
      </x:c>
      <x:c r="Y259" s="169" t="n">
        <x:f>IF(Y$4&gt;=$E259,$C259*MAX(0,1-(Y$4-$E259)/$D259),0)</x:f>
        <x:v>955311.254549004</x:v>
      </x:c>
      <x:c r="Z259" s="169" t="n">
        <x:f>IF(Z$4&gt;=$E259,$C259*MAX(0,1-(Z$4-$E259)/$D259),0)</x:f>
        <x:v>875701.983336587</x:v>
      </x:c>
      <x:c r="AA259" s="169" t="n">
        <x:f>IF(AA$4&gt;=$E259,$C259*MAX(0,1-(AA$4-$E259)/$D259),0)</x:f>
        <x:v>796092.71212417</x:v>
      </x:c>
      <x:c r="AB259" s="169" t="n">
        <x:f>IF(AB$4&gt;=$E259,$C259*MAX(0,1-(AB$4-$E259)/$D259),0)</x:f>
        <x:v>716483.440911753</x:v>
      </x:c>
      <x:c r="AC259" s="169" t="n">
        <x:f>IF(AC$4&gt;=$E259,$C259*MAX(0,1-(AC$4-$E259)/$D259),0)</x:f>
        <x:v>636874.1696993359</x:v>
      </x:c>
    </x:row>
    <x:row r="260" ht="20" customHeight="1">
      <x:c r="A260" s="170" t="str">
        <x:v>Hard assets</x:v>
      </x:c>
      <x:c r="B260" s="214" t="n">
        <x:v>2036</x:v>
      </x:c>
      <x:c r="C260" s="170" t="n">
        <x:f>'ROIC Cloud'!Q$15*'ROIC Cloud'!$D$47</x:f>
        <x:v>1194139.068186255</x:v>
      </x:c>
      <x:c r="D260" s="214" t="n">
        <x:f>'ROIC Cloud'!$D$43</x:f>
        <x:v>15</x:v>
      </x:c>
      <x:c r="E260" s="214" t="n">
        <x:f>B260+'ROIC Cloud'!$D$40</x:f>
        <x:v>2038</x:v>
      </x:c>
      <x:c r="F260" s="170" t="str">
        <x:v>Depreciation</x:v>
      </x:c>
      <x:c r="G260" s="169" t="n">
        <x:f>IF(G$4&gt;=$E259,MIN($C259/$D259,G259),0)</x:f>
        <x:v>0</x:v>
      </x:c>
      <x:c r="H260" s="169" t="n">
        <x:f>IF(H$4&gt;=$E259,MIN($C259/$D259,H259),0)</x:f>
        <x:v>0</x:v>
      </x:c>
      <x:c r="I260" s="169" t="n">
        <x:f>IF(I$4&gt;=$E259,MIN($C259/$D259,I259),0)</x:f>
        <x:v>0</x:v>
      </x:c>
      <x:c r="J260" s="169" t="n">
        <x:f>IF(J$4&gt;=$E259,MIN($C259/$D259,J259),0)</x:f>
        <x:v>0</x:v>
      </x:c>
      <x:c r="K260" s="169" t="n">
        <x:f>IF(K$4&gt;=$E259,MIN($C259/$D259,K259),0)</x:f>
        <x:v>0</x:v>
      </x:c>
      <x:c r="L260" s="169" t="n">
        <x:f>IF(L$4&gt;=$E259,MIN($C259/$D259,L259),0)</x:f>
        <x:v>0</x:v>
      </x:c>
      <x:c r="M260" s="169" t="n">
        <x:f>IF(M$4&gt;=$E259,MIN($C259/$D259,M259),0)</x:f>
        <x:v>0</x:v>
      </x:c>
      <x:c r="N260" s="169" t="n">
        <x:f>IF(N$4&gt;=$E259,MIN($C259/$D259,N259),0)</x:f>
        <x:v>0</x:v>
      </x:c>
      <x:c r="O260" s="169" t="n">
        <x:f>IF(O$4&gt;=$E259,MIN($C259/$D259,O259),0)</x:f>
        <x:v>0</x:v>
      </x:c>
      <x:c r="P260" s="169" t="n">
        <x:f>IF(P$4&gt;=$E259,MIN($C259/$D259,P259),0)</x:f>
        <x:v>0</x:v>
      </x:c>
      <x:c r="Q260" s="169" t="n">
        <x:f>IF(Q$4&gt;=$E259,MIN($C259/$D259,Q259),0)</x:f>
        <x:v>0</x:v>
      </x:c>
      <x:c r="R260" s="169" t="n">
        <x:f>IF(R$4&gt;=$E259,MIN($C259/$D259,R259),0)</x:f>
        <x:v>0</x:v>
      </x:c>
      <x:c r="S260" s="169" t="n">
        <x:f>IF(S$4&gt;=$E259,MIN($C259/$D259,S259),0)</x:f>
        <x:v>0</x:v>
      </x:c>
      <x:c r="T260" s="169" t="n">
        <x:f>IF(T$4&gt;=$E259,MIN($C259/$D259,T259),0)</x:f>
        <x:v>0</x:v>
      </x:c>
      <x:c r="U260" s="169" t="n">
        <x:f>IF(U$4&gt;=$E259,MIN($C259/$D259,U259),0)</x:f>
        <x:v>0</x:v>
      </x:c>
      <x:c r="V260" s="169" t="n">
        <x:f>IF(V$4&gt;=$E259,MIN($C259/$D259,V259),0)</x:f>
        <x:v>79609.27121241699</x:v>
      </x:c>
      <x:c r="W260" s="169" t="n">
        <x:f>IF(W$4&gt;=$E259,MIN($C259/$D259,W259),0)</x:f>
        <x:v>79609.27121241699</x:v>
      </x:c>
      <x:c r="X260" s="169" t="n">
        <x:f>IF(X$4&gt;=$E259,MIN($C259/$D259,X259),0)</x:f>
        <x:v>79609.27121241699</x:v>
      </x:c>
      <x:c r="Y260" s="169" t="n">
        <x:f>IF(Y$4&gt;=$E259,MIN($C259/$D259,Y259),0)</x:f>
        <x:v>79609.27121241699</x:v>
      </x:c>
      <x:c r="Z260" s="169" t="n">
        <x:f>IF(Z$4&gt;=$E259,MIN($C259/$D259,Z259),0)</x:f>
        <x:v>79609.27121241699</x:v>
      </x:c>
      <x:c r="AA260" s="169" t="n">
        <x:f>IF(AA$4&gt;=$E259,MIN($C259/$D259,AA259),0)</x:f>
        <x:v>79609.27121241699</x:v>
      </x:c>
      <x:c r="AB260" s="169" t="n">
        <x:f>IF(AB$4&gt;=$E259,MIN($C259/$D259,AB259),0)</x:f>
        <x:v>79609.27121241699</x:v>
      </x:c>
      <x:c r="AC260" s="169" t="n">
        <x:f>IF(AC$4&gt;=$E259,MIN($C259/$D259,AC259),0)</x:f>
        <x:v>79609.27121241699</x:v>
      </x:c>
    </x:row>
    <x:row r="261" ht="20" customHeight="1">
      <x:c r="A261" s="170" t="str">
        <x:v>Hard assets</x:v>
      </x:c>
      <x:c r="B261" s="214" t="n">
        <x:v>2036</x:v>
      </x:c>
      <x:c r="C261" s="170" t="n">
        <x:f>'ROIC Cloud'!Q$15*'ROIC Cloud'!$D$47</x:f>
        <x:v>1194139.068186255</x:v>
      </x:c>
      <x:c r="D261" s="214" t="n">
        <x:f>'ROIC Cloud'!$D$43</x:f>
        <x:v>15</x:v>
      </x:c>
      <x:c r="E261" s="214" t="n">
        <x:f>B261+'ROIC Cloud'!$D$40</x:f>
        <x:v>2038</x:v>
      </x:c>
      <x:c r="F261" s="170" t="str">
        <x:v>Closing NBV</x:v>
      </x:c>
      <x:c r="G261" s="169" t="n">
        <x:f>MAX(0,G259-G260)</x:f>
        <x:v>0</x:v>
      </x:c>
      <x:c r="H261" s="169" t="n">
        <x:f>MAX(0,H259-H260)</x:f>
        <x:v>0</x:v>
      </x:c>
      <x:c r="I261" s="169" t="n">
        <x:f>MAX(0,I259-I260)</x:f>
        <x:v>0</x:v>
      </x:c>
      <x:c r="J261" s="169" t="n">
        <x:f>MAX(0,J259-J260)</x:f>
        <x:v>0</x:v>
      </x:c>
      <x:c r="K261" s="169" t="n">
        <x:f>MAX(0,K259-K260)</x:f>
        <x:v>0</x:v>
      </x:c>
      <x:c r="L261" s="169" t="n">
        <x:f>MAX(0,L259-L260)</x:f>
        <x:v>0</x:v>
      </x:c>
      <x:c r="M261" s="169" t="n">
        <x:f>MAX(0,M259-M260)</x:f>
        <x:v>0</x:v>
      </x:c>
      <x:c r="N261" s="169" t="n">
        <x:f>MAX(0,N259-N260)</x:f>
        <x:v>0</x:v>
      </x:c>
      <x:c r="O261" s="169" t="n">
        <x:f>MAX(0,O259-O260)</x:f>
        <x:v>0</x:v>
      </x:c>
      <x:c r="P261" s="169" t="n">
        <x:f>MAX(0,P259-P260)</x:f>
        <x:v>0</x:v>
      </x:c>
      <x:c r="Q261" s="169" t="n">
        <x:f>MAX(0,Q259-Q260)</x:f>
        <x:v>0</x:v>
      </x:c>
      <x:c r="R261" s="169" t="n">
        <x:f>MAX(0,R259-R260)</x:f>
        <x:v>0</x:v>
      </x:c>
      <x:c r="S261" s="169" t="n">
        <x:f>MAX(0,S259-S260)</x:f>
        <x:v>0</x:v>
      </x:c>
      <x:c r="T261" s="169" t="n">
        <x:f>MAX(0,T259-T260)</x:f>
        <x:v>0</x:v>
      </x:c>
      <x:c r="U261" s="169" t="n">
        <x:f>MAX(0,U259-U260)</x:f>
        <x:v>0</x:v>
      </x:c>
      <x:c r="V261" s="169" t="n">
        <x:f>MAX(0,V259-V260)</x:f>
        <x:v>1114529.796973838</x:v>
      </x:c>
      <x:c r="W261" s="169" t="n">
        <x:f>MAX(0,W259-W260)</x:f>
        <x:v>1034920.5257614211</x:v>
      </x:c>
      <x:c r="X261" s="169" t="n">
        <x:f>MAX(0,X259-X260)</x:f>
        <x:v>955311.2545490039</x:v>
      </x:c>
      <x:c r="Y261" s="169" t="n">
        <x:f>MAX(0,Y259-Y260)</x:f>
        <x:v>875701.983336587</x:v>
      </x:c>
      <x:c r="Z261" s="169" t="n">
        <x:f>MAX(0,Z259-Z260)</x:f>
        <x:v>796092.71212417</x:v>
      </x:c>
      <x:c r="AA261" s="169" t="n">
        <x:f>MAX(0,AA259-AA260)</x:f>
        <x:v>716483.4409117531</x:v>
      </x:c>
      <x:c r="AB261" s="169" t="n">
        <x:f>MAX(0,AB259-AB260)</x:f>
        <x:v>636874.1696993359</x:v>
      </x:c>
      <x:c r="AC261" s="169" t="n">
        <x:f>MAX(0,AC259-AC260)</x:f>
        <x:v>557264.898486919</x:v>
      </x:c>
    </x:row>
    <x:row r="262" ht="20" customHeight="1">
      <x:c r="A262" s="170" t="str">
        <x:v>Hard assets</x:v>
      </x:c>
      <x:c r="B262" s="214" t="n">
        <x:v>2036</x:v>
      </x:c>
      <x:c r="C262" s="170" t="n">
        <x:f>'ROIC Cloud'!Q$15*'ROIC Cloud'!$D$47</x:f>
        <x:v>1194139.068186255</x:v>
      </x:c>
      <x:c r="D262" s="214" t="n">
        <x:f>'ROIC Cloud'!$D$43</x:f>
        <x:v>15</x:v>
      </x:c>
      <x:c r="E262" s="214" t="n">
        <x:f>B262+'ROIC Cloud'!$D$40</x:f>
        <x:v>2038</x:v>
      </x:c>
      <x:c r="F262" s="170" t="str">
        <x:v>Average NBV</x:v>
      </x:c>
      <x:c r="G262" s="169" t="n">
        <x:f>(G259+G261)/2</x:f>
        <x:v>0</x:v>
      </x:c>
      <x:c r="H262" s="169" t="n">
        <x:f>(H259+H261)/2</x:f>
        <x:v>0</x:v>
      </x:c>
      <x:c r="I262" s="169" t="n">
        <x:f>(I259+I261)/2</x:f>
        <x:v>0</x:v>
      </x:c>
      <x:c r="J262" s="169" t="n">
        <x:f>(J259+J261)/2</x:f>
        <x:v>0</x:v>
      </x:c>
      <x:c r="K262" s="169" t="n">
        <x:f>(K259+K261)/2</x:f>
        <x:v>0</x:v>
      </x:c>
      <x:c r="L262" s="169" t="n">
        <x:f>(L259+L261)/2</x:f>
        <x:v>0</x:v>
      </x:c>
      <x:c r="M262" s="169" t="n">
        <x:f>(M259+M261)/2</x:f>
        <x:v>0</x:v>
      </x:c>
      <x:c r="N262" s="169" t="n">
        <x:f>(N259+N261)/2</x:f>
        <x:v>0</x:v>
      </x:c>
      <x:c r="O262" s="169" t="n">
        <x:f>(O259+O261)/2</x:f>
        <x:v>0</x:v>
      </x:c>
      <x:c r="P262" s="169" t="n">
        <x:f>(P259+P261)/2</x:f>
        <x:v>0</x:v>
      </x:c>
      <x:c r="Q262" s="169" t="n">
        <x:f>(Q259+Q261)/2</x:f>
        <x:v>0</x:v>
      </x:c>
      <x:c r="R262" s="169" t="n">
        <x:f>(R259+R261)/2</x:f>
        <x:v>0</x:v>
      </x:c>
      <x:c r="S262" s="169" t="n">
        <x:f>(S259+S261)/2</x:f>
        <x:v>0</x:v>
      </x:c>
      <x:c r="T262" s="169" t="n">
        <x:f>(T259+T261)/2</x:f>
        <x:v>0</x:v>
      </x:c>
      <x:c r="U262" s="169" t="n">
        <x:f>(U259+U261)/2</x:f>
        <x:v>0</x:v>
      </x:c>
      <x:c r="V262" s="169" t="n">
        <x:f>(V259+V261)/2</x:f>
        <x:v>1154334.4325800464</x:v>
      </x:c>
      <x:c r="W262" s="169" t="n">
        <x:f>(W259+W261)/2</x:f>
        <x:v>1074725.1613676297</x:v>
      </x:c>
      <x:c r="X262" s="169" t="n">
        <x:f>(X259+X261)/2</x:f>
        <x:v>995115.8901552125</x:v>
      </x:c>
      <x:c r="Y262" s="169" t="n">
        <x:f>(Y259+Y261)/2</x:f>
        <x:v>915506.6189427956</x:v>
      </x:c>
      <x:c r="Z262" s="169" t="n">
        <x:f>(Z259+Z261)/2</x:f>
        <x:v>835897.3477303785</x:v>
      </x:c>
      <x:c r="AA262" s="169" t="n">
        <x:f>(AA259+AA261)/2</x:f>
        <x:v>756288.0765179616</x:v>
      </x:c>
      <x:c r="AB262" s="169" t="n">
        <x:f>(AB259+AB261)/2</x:f>
        <x:v>676678.8053055445</x:v>
      </x:c>
      <x:c r="AC262" s="169" t="n">
        <x:f>(AC259+AC261)/2</x:f>
        <x:v>597069.5340931275</x:v>
      </x:c>
    </x:row>
    <x:row r="263" ht="20" customHeight="1">
      <x:c r="A263" s="170" t="str">
        <x:v>Hard assets</x:v>
      </x:c>
      <x:c r="B263" s="214" t="n">
        <x:v>2037</x:v>
      </x:c>
      <x:c r="C263" s="170" t="n">
        <x:f>'ROIC Cloud'!R$15*'ROIC Cloud'!$D$47</x:f>
        <x:v>1289670.1936411555</x:v>
      </x:c>
      <x:c r="D263" s="214" t="n">
        <x:f>'ROIC Cloud'!$D$43</x:f>
        <x:v>15</x:v>
      </x:c>
      <x:c r="E263" s="214" t="n">
        <x:f>B263+'ROIC Cloud'!$D$40</x:f>
        <x:v>2039</x:v>
      </x:c>
      <x:c r="F263" s="170" t="str">
        <x:v>Opening NBV</x:v>
      </x:c>
      <x:c r="G263" s="169" t="n">
        <x:f>IF(G$4&gt;=$E263,$C263*MAX(0,1-(G$4-$E263)/$D263),0)</x:f>
        <x:v>0</x:v>
      </x:c>
      <x:c r="H263" s="169" t="n">
        <x:f>IF(H$4&gt;=$E263,$C263*MAX(0,1-(H$4-$E263)/$D263),0)</x:f>
        <x:v>0</x:v>
      </x:c>
      <x:c r="I263" s="169" t="n">
        <x:f>IF(I$4&gt;=$E263,$C263*MAX(0,1-(I$4-$E263)/$D263),0)</x:f>
        <x:v>0</x:v>
      </x:c>
      <x:c r="J263" s="169" t="n">
        <x:f>IF(J$4&gt;=$E263,$C263*MAX(0,1-(J$4-$E263)/$D263),0)</x:f>
        <x:v>0</x:v>
      </x:c>
      <x:c r="K263" s="169" t="n">
        <x:f>IF(K$4&gt;=$E263,$C263*MAX(0,1-(K$4-$E263)/$D263),0)</x:f>
        <x:v>0</x:v>
      </x:c>
      <x:c r="L263" s="169" t="n">
        <x:f>IF(L$4&gt;=$E263,$C263*MAX(0,1-(L$4-$E263)/$D263),0)</x:f>
        <x:v>0</x:v>
      </x:c>
      <x:c r="M263" s="169" t="n">
        <x:f>IF(M$4&gt;=$E263,$C263*MAX(0,1-(M$4-$E263)/$D263),0)</x:f>
        <x:v>0</x:v>
      </x:c>
      <x:c r="N263" s="169" t="n">
        <x:f>IF(N$4&gt;=$E263,$C263*MAX(0,1-(N$4-$E263)/$D263),0)</x:f>
        <x:v>0</x:v>
      </x:c>
      <x:c r="O263" s="169" t="n">
        <x:f>IF(O$4&gt;=$E263,$C263*MAX(0,1-(O$4-$E263)/$D263),0)</x:f>
        <x:v>0</x:v>
      </x:c>
      <x:c r="P263" s="169" t="n">
        <x:f>IF(P$4&gt;=$E263,$C263*MAX(0,1-(P$4-$E263)/$D263),0)</x:f>
        <x:v>0</x:v>
      </x:c>
      <x:c r="Q263" s="169" t="n">
        <x:f>IF(Q$4&gt;=$E263,$C263*MAX(0,1-(Q$4-$E263)/$D263),0)</x:f>
        <x:v>0</x:v>
      </x:c>
      <x:c r="R263" s="169" t="n">
        <x:f>IF(R$4&gt;=$E263,$C263*MAX(0,1-(R$4-$E263)/$D263),0)</x:f>
        <x:v>0</x:v>
      </x:c>
      <x:c r="S263" s="169" t="n">
        <x:f>IF(S$4&gt;=$E263,$C263*MAX(0,1-(S$4-$E263)/$D263),0)</x:f>
        <x:v>0</x:v>
      </x:c>
      <x:c r="T263" s="169" t="n">
        <x:f>IF(T$4&gt;=$E263,$C263*MAX(0,1-(T$4-$E263)/$D263),0)</x:f>
        <x:v>0</x:v>
      </x:c>
      <x:c r="U263" s="169" t="n">
        <x:f>IF(U$4&gt;=$E263,$C263*MAX(0,1-(U$4-$E263)/$D263),0)</x:f>
        <x:v>0</x:v>
      </x:c>
      <x:c r="V263" s="169" t="n">
        <x:f>IF(V$4&gt;=$E263,$C263*MAX(0,1-(V$4-$E263)/$D263),0)</x:f>
        <x:v>0</x:v>
      </x:c>
      <x:c r="W263" s="169" t="n">
        <x:f>IF(W$4&gt;=$E263,$C263*MAX(0,1-(W$4-$E263)/$D263),0)</x:f>
        <x:v>1289670.1936411555</x:v>
      </x:c>
      <x:c r="X263" s="169" t="n">
        <x:f>IF(X$4&gt;=$E263,$C263*MAX(0,1-(X$4-$E263)/$D263),0)</x:f>
        <x:v>1203692.1807317452</x:v>
      </x:c>
      <x:c r="Y263" s="169" t="n">
        <x:f>IF(Y$4&gt;=$E263,$C263*MAX(0,1-(Y$4-$E263)/$D263),0)</x:f>
        <x:v>1117714.1678223347</x:v>
      </x:c>
      <x:c r="Z263" s="169" t="n">
        <x:f>IF(Z$4&gt;=$E263,$C263*MAX(0,1-(Z$4-$E263)/$D263),0)</x:f>
        <x:v>1031736.1549129244</x:v>
      </x:c>
      <x:c r="AA263" s="169" t="n">
        <x:f>IF(AA$4&gt;=$E263,$C263*MAX(0,1-(AA$4-$E263)/$D263),0)</x:f>
        <x:v>945758.1420035141</x:v>
      </x:c>
      <x:c r="AB263" s="169" t="n">
        <x:f>IF(AB$4&gt;=$E263,$C263*MAX(0,1-(AB$4-$E263)/$D263),0)</x:f>
        <x:v>859780.1290941037</x:v>
      </x:c>
      <x:c r="AC263" s="169" t="n">
        <x:f>IF(AC$4&gt;=$E263,$C263*MAX(0,1-(AC$4-$E263)/$D263),0)</x:f>
        <x:v>773802.1161846933</x:v>
      </x:c>
    </x:row>
    <x:row r="264" ht="20" customHeight="1">
      <x:c r="A264" s="170" t="str">
        <x:v>Hard assets</x:v>
      </x:c>
      <x:c r="B264" s="214" t="n">
        <x:v>2037</x:v>
      </x:c>
      <x:c r="C264" s="170" t="n">
        <x:f>'ROIC Cloud'!R$15*'ROIC Cloud'!$D$47</x:f>
        <x:v>1289670.1936411555</x:v>
      </x:c>
      <x:c r="D264" s="214" t="n">
        <x:f>'ROIC Cloud'!$D$43</x:f>
        <x:v>15</x:v>
      </x:c>
      <x:c r="E264" s="214" t="n">
        <x:f>B264+'ROIC Cloud'!$D$40</x:f>
        <x:v>2039</x:v>
      </x:c>
      <x:c r="F264" s="170" t="str">
        <x:v>Depreciation</x:v>
      </x:c>
      <x:c r="G264" s="169" t="n">
        <x:f>IF(G$4&gt;=$E263,MIN($C263/$D263,G263),0)</x:f>
        <x:v>0</x:v>
      </x:c>
      <x:c r="H264" s="169" t="n">
        <x:f>IF(H$4&gt;=$E263,MIN($C263/$D263,H263),0)</x:f>
        <x:v>0</x:v>
      </x:c>
      <x:c r="I264" s="169" t="n">
        <x:f>IF(I$4&gt;=$E263,MIN($C263/$D263,I263),0)</x:f>
        <x:v>0</x:v>
      </x:c>
      <x:c r="J264" s="169" t="n">
        <x:f>IF(J$4&gt;=$E263,MIN($C263/$D263,J263),0)</x:f>
        <x:v>0</x:v>
      </x:c>
      <x:c r="K264" s="169" t="n">
        <x:f>IF(K$4&gt;=$E263,MIN($C263/$D263,K263),0)</x:f>
        <x:v>0</x:v>
      </x:c>
      <x:c r="L264" s="169" t="n">
        <x:f>IF(L$4&gt;=$E263,MIN($C263/$D263,L263),0)</x:f>
        <x:v>0</x:v>
      </x:c>
      <x:c r="M264" s="169" t="n">
        <x:f>IF(M$4&gt;=$E263,MIN($C263/$D263,M263),0)</x:f>
        <x:v>0</x:v>
      </x:c>
      <x:c r="N264" s="169" t="n">
        <x:f>IF(N$4&gt;=$E263,MIN($C263/$D263,N263),0)</x:f>
        <x:v>0</x:v>
      </x:c>
      <x:c r="O264" s="169" t="n">
        <x:f>IF(O$4&gt;=$E263,MIN($C263/$D263,O263),0)</x:f>
        <x:v>0</x:v>
      </x:c>
      <x:c r="P264" s="169" t="n">
        <x:f>IF(P$4&gt;=$E263,MIN($C263/$D263,P263),0)</x:f>
        <x:v>0</x:v>
      </x:c>
      <x:c r="Q264" s="169" t="n">
        <x:f>IF(Q$4&gt;=$E263,MIN($C263/$D263,Q263),0)</x:f>
        <x:v>0</x:v>
      </x:c>
      <x:c r="R264" s="169" t="n">
        <x:f>IF(R$4&gt;=$E263,MIN($C263/$D263,R263),0)</x:f>
        <x:v>0</x:v>
      </x:c>
      <x:c r="S264" s="169" t="n">
        <x:f>IF(S$4&gt;=$E263,MIN($C263/$D263,S263),0)</x:f>
        <x:v>0</x:v>
      </x:c>
      <x:c r="T264" s="169" t="n">
        <x:f>IF(T$4&gt;=$E263,MIN($C263/$D263,T263),0)</x:f>
        <x:v>0</x:v>
      </x:c>
      <x:c r="U264" s="169" t="n">
        <x:f>IF(U$4&gt;=$E263,MIN($C263/$D263,U263),0)</x:f>
        <x:v>0</x:v>
      </x:c>
      <x:c r="V264" s="169" t="n">
        <x:f>IF(V$4&gt;=$E263,MIN($C263/$D263,V263),0)</x:f>
        <x:v>0</x:v>
      </x:c>
      <x:c r="W264" s="169" t="n">
        <x:f>IF(W$4&gt;=$E263,MIN($C263/$D263,W263),0)</x:f>
        <x:v>85978.01290941036</x:v>
      </x:c>
      <x:c r="X264" s="169" t="n">
        <x:f>IF(X$4&gt;=$E263,MIN($C263/$D263,X263),0)</x:f>
        <x:v>85978.01290941036</x:v>
      </x:c>
      <x:c r="Y264" s="169" t="n">
        <x:f>IF(Y$4&gt;=$E263,MIN($C263/$D263,Y263),0)</x:f>
        <x:v>85978.01290941036</x:v>
      </x:c>
      <x:c r="Z264" s="169" t="n">
        <x:f>IF(Z$4&gt;=$E263,MIN($C263/$D263,Z263),0)</x:f>
        <x:v>85978.01290941036</x:v>
      </x:c>
      <x:c r="AA264" s="169" t="n">
        <x:f>IF(AA$4&gt;=$E263,MIN($C263/$D263,AA263),0)</x:f>
        <x:v>85978.01290941036</x:v>
      </x:c>
      <x:c r="AB264" s="169" t="n">
        <x:f>IF(AB$4&gt;=$E263,MIN($C263/$D263,AB263),0)</x:f>
        <x:v>85978.01290941036</x:v>
      </x:c>
      <x:c r="AC264" s="169" t="n">
        <x:f>IF(AC$4&gt;=$E263,MIN($C263/$D263,AC263),0)</x:f>
        <x:v>85978.01290941036</x:v>
      </x:c>
    </x:row>
    <x:row r="265" ht="20" customHeight="1">
      <x:c r="A265" s="170" t="str">
        <x:v>Hard assets</x:v>
      </x:c>
      <x:c r="B265" s="214" t="n">
        <x:v>2037</x:v>
      </x:c>
      <x:c r="C265" s="170" t="n">
        <x:f>'ROIC Cloud'!R$15*'ROIC Cloud'!$D$47</x:f>
        <x:v>1289670.1936411555</x:v>
      </x:c>
      <x:c r="D265" s="214" t="n">
        <x:f>'ROIC Cloud'!$D$43</x:f>
        <x:v>15</x:v>
      </x:c>
      <x:c r="E265" s="214" t="n">
        <x:f>B265+'ROIC Cloud'!$D$40</x:f>
        <x:v>2039</x:v>
      </x:c>
      <x:c r="F265" s="170" t="str">
        <x:v>Closing NBV</x:v>
      </x:c>
      <x:c r="G265" s="169" t="n">
        <x:f>MAX(0,G263-G264)</x:f>
        <x:v>0</x:v>
      </x:c>
      <x:c r="H265" s="169" t="n">
        <x:f>MAX(0,H263-H264)</x:f>
        <x:v>0</x:v>
      </x:c>
      <x:c r="I265" s="169" t="n">
        <x:f>MAX(0,I263-I264)</x:f>
        <x:v>0</x:v>
      </x:c>
      <x:c r="J265" s="169" t="n">
        <x:f>MAX(0,J263-J264)</x:f>
        <x:v>0</x:v>
      </x:c>
      <x:c r="K265" s="169" t="n">
        <x:f>MAX(0,K263-K264)</x:f>
        <x:v>0</x:v>
      </x:c>
      <x:c r="L265" s="169" t="n">
        <x:f>MAX(0,L263-L264)</x:f>
        <x:v>0</x:v>
      </x:c>
      <x:c r="M265" s="169" t="n">
        <x:f>MAX(0,M263-M264)</x:f>
        <x:v>0</x:v>
      </x:c>
      <x:c r="N265" s="169" t="n">
        <x:f>MAX(0,N263-N264)</x:f>
        <x:v>0</x:v>
      </x:c>
      <x:c r="O265" s="169" t="n">
        <x:f>MAX(0,O263-O264)</x:f>
        <x:v>0</x:v>
      </x:c>
      <x:c r="P265" s="169" t="n">
        <x:f>MAX(0,P263-P264)</x:f>
        <x:v>0</x:v>
      </x:c>
      <x:c r="Q265" s="169" t="n">
        <x:f>MAX(0,Q263-Q264)</x:f>
        <x:v>0</x:v>
      </x:c>
      <x:c r="R265" s="169" t="n">
        <x:f>MAX(0,R263-R264)</x:f>
        <x:v>0</x:v>
      </x:c>
      <x:c r="S265" s="169" t="n">
        <x:f>MAX(0,S263-S264)</x:f>
        <x:v>0</x:v>
      </x:c>
      <x:c r="T265" s="169" t="n">
        <x:f>MAX(0,T263-T264)</x:f>
        <x:v>0</x:v>
      </x:c>
      <x:c r="U265" s="169" t="n">
        <x:f>MAX(0,U263-U264)</x:f>
        <x:v>0</x:v>
      </x:c>
      <x:c r="V265" s="169" t="n">
        <x:f>MAX(0,V263-V264)</x:f>
        <x:v>0</x:v>
      </x:c>
      <x:c r="W265" s="169" t="n">
        <x:f>MAX(0,W263-W264)</x:f>
        <x:v>1203692.1807317452</x:v>
      </x:c>
      <x:c r="X265" s="169" t="n">
        <x:f>MAX(0,X263-X264)</x:f>
        <x:v>1117714.167822335</x:v>
      </x:c>
      <x:c r="Y265" s="169" t="n">
        <x:f>MAX(0,Y263-Y264)</x:f>
        <x:v>1031736.1549129243</x:v>
      </x:c>
      <x:c r="Z265" s="169" t="n">
        <x:f>MAX(0,Z263-Z264)</x:f>
        <x:v>945758.142003514</x:v>
      </x:c>
      <x:c r="AA265" s="169" t="n">
        <x:f>MAX(0,AA263-AA264)</x:f>
        <x:v>859780.1290941037</x:v>
      </x:c>
      <x:c r="AB265" s="169" t="n">
        <x:f>MAX(0,AB263-AB264)</x:f>
        <x:v>773802.1161846933</x:v>
      </x:c>
      <x:c r="AC265" s="169" t="n">
        <x:f>MAX(0,AC263-AC264)</x:f>
        <x:v>687824.1032752829</x:v>
      </x:c>
    </x:row>
    <x:row r="266" ht="20" customHeight="1">
      <x:c r="A266" s="170" t="str">
        <x:v>Hard assets</x:v>
      </x:c>
      <x:c r="B266" s="214" t="n">
        <x:v>2037</x:v>
      </x:c>
      <x:c r="C266" s="170" t="n">
        <x:f>'ROIC Cloud'!R$15*'ROIC Cloud'!$D$47</x:f>
        <x:v>1289670.1936411555</x:v>
      </x:c>
      <x:c r="D266" s="214" t="n">
        <x:f>'ROIC Cloud'!$D$43</x:f>
        <x:v>15</x:v>
      </x:c>
      <x:c r="E266" s="214" t="n">
        <x:f>B266+'ROIC Cloud'!$D$40</x:f>
        <x:v>2039</x:v>
      </x:c>
      <x:c r="F266" s="170" t="str">
        <x:v>Average NBV</x:v>
      </x:c>
      <x:c r="G266" s="169" t="n">
        <x:f>(G263+G265)/2</x:f>
        <x:v>0</x:v>
      </x:c>
      <x:c r="H266" s="169" t="n">
        <x:f>(H263+H265)/2</x:f>
        <x:v>0</x:v>
      </x:c>
      <x:c r="I266" s="169" t="n">
        <x:f>(I263+I265)/2</x:f>
        <x:v>0</x:v>
      </x:c>
      <x:c r="J266" s="169" t="n">
        <x:f>(J263+J265)/2</x:f>
        <x:v>0</x:v>
      </x:c>
      <x:c r="K266" s="169" t="n">
        <x:f>(K263+K265)/2</x:f>
        <x:v>0</x:v>
      </x:c>
      <x:c r="L266" s="169" t="n">
        <x:f>(L263+L265)/2</x:f>
        <x:v>0</x:v>
      </x:c>
      <x:c r="M266" s="169" t="n">
        <x:f>(M263+M265)/2</x:f>
        <x:v>0</x:v>
      </x:c>
      <x:c r="N266" s="169" t="n">
        <x:f>(N263+N265)/2</x:f>
        <x:v>0</x:v>
      </x:c>
      <x:c r="O266" s="169" t="n">
        <x:f>(O263+O265)/2</x:f>
        <x:v>0</x:v>
      </x:c>
      <x:c r="P266" s="169" t="n">
        <x:f>(P263+P265)/2</x:f>
        <x:v>0</x:v>
      </x:c>
      <x:c r="Q266" s="169" t="n">
        <x:f>(Q263+Q265)/2</x:f>
        <x:v>0</x:v>
      </x:c>
      <x:c r="R266" s="169" t="n">
        <x:f>(R263+R265)/2</x:f>
        <x:v>0</x:v>
      </x:c>
      <x:c r="S266" s="169" t="n">
        <x:f>(S263+S265)/2</x:f>
        <x:v>0</x:v>
      </x:c>
      <x:c r="T266" s="169" t="n">
        <x:f>(T263+T265)/2</x:f>
        <x:v>0</x:v>
      </x:c>
      <x:c r="U266" s="169" t="n">
        <x:f>(U263+U265)/2</x:f>
        <x:v>0</x:v>
      </x:c>
      <x:c r="V266" s="169" t="n">
        <x:f>(V263+V265)/2</x:f>
        <x:v>0</x:v>
      </x:c>
      <x:c r="W266" s="169" t="n">
        <x:f>(W263+W265)/2</x:f>
        <x:v>1246681.1871864502</x:v>
      </x:c>
      <x:c r="X266" s="169" t="n">
        <x:f>(X263+X265)/2</x:f>
        <x:v>1160703.1742770402</x:v>
      </x:c>
      <x:c r="Y266" s="169" t="n">
        <x:f>(Y263+Y265)/2</x:f>
        <x:v>1074725.1613676294</x:v>
      </x:c>
      <x:c r="Z266" s="169" t="n">
        <x:f>(Z263+Z265)/2</x:f>
        <x:v>988747.1484582191</x:v>
      </x:c>
      <x:c r="AA266" s="169" t="n">
        <x:f>(AA263+AA265)/2</x:f>
        <x:v>902769.1355488088</x:v>
      </x:c>
      <x:c r="AB266" s="169" t="n">
        <x:f>(AB263+AB265)/2</x:f>
        <x:v>816791.1226393986</x:v>
      </x:c>
      <x:c r="AC266" s="169" t="n">
        <x:f>(AC263+AC265)/2</x:f>
        <x:v>730813.109729988</x:v>
      </x:c>
    </x:row>
    <x:row r="267" ht="20" customHeight="1">
      <x:c r="A267" s="170" t="str">
        <x:v>Hard assets</x:v>
      </x:c>
      <x:c r="B267" s="214" t="n">
        <x:v>2038</x:v>
      </x:c>
      <x:c r="C267" s="170" t="n">
        <x:f>'ROIC Cloud'!S$15*'ROIC Cloud'!$D$47</x:f>
        <x:v>1392843.809132448</x:v>
      </x:c>
      <x:c r="D267" s="214" t="n">
        <x:f>'ROIC Cloud'!$D$43</x:f>
        <x:v>15</x:v>
      </x:c>
      <x:c r="E267" s="214" t="n">
        <x:f>B267+'ROIC Cloud'!$D$40</x:f>
        <x:v>2040</x:v>
      </x:c>
      <x:c r="F267" s="170" t="str">
        <x:v>Opening NBV</x:v>
      </x:c>
      <x:c r="G267" s="169" t="n">
        <x:f>IF(G$4&gt;=$E267,$C267*MAX(0,1-(G$4-$E267)/$D267),0)</x:f>
        <x:v>0</x:v>
      </x:c>
      <x:c r="H267" s="169" t="n">
        <x:f>IF(H$4&gt;=$E267,$C267*MAX(0,1-(H$4-$E267)/$D267),0)</x:f>
        <x:v>0</x:v>
      </x:c>
      <x:c r="I267" s="169" t="n">
        <x:f>IF(I$4&gt;=$E267,$C267*MAX(0,1-(I$4-$E267)/$D267),0)</x:f>
        <x:v>0</x:v>
      </x:c>
      <x:c r="J267" s="169" t="n">
        <x:f>IF(J$4&gt;=$E267,$C267*MAX(0,1-(J$4-$E267)/$D267),0)</x:f>
        <x:v>0</x:v>
      </x:c>
      <x:c r="K267" s="169" t="n">
        <x:f>IF(K$4&gt;=$E267,$C267*MAX(0,1-(K$4-$E267)/$D267),0)</x:f>
        <x:v>0</x:v>
      </x:c>
      <x:c r="L267" s="169" t="n">
        <x:f>IF(L$4&gt;=$E267,$C267*MAX(0,1-(L$4-$E267)/$D267),0)</x:f>
        <x:v>0</x:v>
      </x:c>
      <x:c r="M267" s="169" t="n">
        <x:f>IF(M$4&gt;=$E267,$C267*MAX(0,1-(M$4-$E267)/$D267),0)</x:f>
        <x:v>0</x:v>
      </x:c>
      <x:c r="N267" s="169" t="n">
        <x:f>IF(N$4&gt;=$E267,$C267*MAX(0,1-(N$4-$E267)/$D267),0)</x:f>
        <x:v>0</x:v>
      </x:c>
      <x:c r="O267" s="169" t="n">
        <x:f>IF(O$4&gt;=$E267,$C267*MAX(0,1-(O$4-$E267)/$D267),0)</x:f>
        <x:v>0</x:v>
      </x:c>
      <x:c r="P267" s="169" t="n">
        <x:f>IF(P$4&gt;=$E267,$C267*MAX(0,1-(P$4-$E267)/$D267),0)</x:f>
        <x:v>0</x:v>
      </x:c>
      <x:c r="Q267" s="169" t="n">
        <x:f>IF(Q$4&gt;=$E267,$C267*MAX(0,1-(Q$4-$E267)/$D267),0)</x:f>
        <x:v>0</x:v>
      </x:c>
      <x:c r="R267" s="169" t="n">
        <x:f>IF(R$4&gt;=$E267,$C267*MAX(0,1-(R$4-$E267)/$D267),0)</x:f>
        <x:v>0</x:v>
      </x:c>
      <x:c r="S267" s="169" t="n">
        <x:f>IF(S$4&gt;=$E267,$C267*MAX(0,1-(S$4-$E267)/$D267),0)</x:f>
        <x:v>0</x:v>
      </x:c>
      <x:c r="T267" s="169" t="n">
        <x:f>IF(T$4&gt;=$E267,$C267*MAX(0,1-(T$4-$E267)/$D267),0)</x:f>
        <x:v>0</x:v>
      </x:c>
      <x:c r="U267" s="169" t="n">
        <x:f>IF(U$4&gt;=$E267,$C267*MAX(0,1-(U$4-$E267)/$D267),0)</x:f>
        <x:v>0</x:v>
      </x:c>
      <x:c r="V267" s="169" t="n">
        <x:f>IF(V$4&gt;=$E267,$C267*MAX(0,1-(V$4-$E267)/$D267),0)</x:f>
        <x:v>0</x:v>
      </x:c>
      <x:c r="W267" s="169" t="n">
        <x:f>IF(W$4&gt;=$E267,$C267*MAX(0,1-(W$4-$E267)/$D267),0)</x:f>
        <x:v>0</x:v>
      </x:c>
      <x:c r="X267" s="169" t="n">
        <x:f>IF(X$4&gt;=$E267,$C267*MAX(0,1-(X$4-$E267)/$D267),0)</x:f>
        <x:v>1392843.809132448</x:v>
      </x:c>
      <x:c r="Y267" s="169" t="n">
        <x:f>IF(Y$4&gt;=$E267,$C267*MAX(0,1-(Y$4-$E267)/$D267),0)</x:f>
        <x:v>1299987.5551902847</x:v>
      </x:c>
      <x:c r="Z267" s="169" t="n">
        <x:f>IF(Z$4&gt;=$E267,$C267*MAX(0,1-(Z$4-$E267)/$D267),0)</x:f>
        <x:v>1207131.3012481215</x:v>
      </x:c>
      <x:c r="AA267" s="169" t="n">
        <x:f>IF(AA$4&gt;=$E267,$C267*MAX(0,1-(AA$4-$E267)/$D267),0)</x:f>
        <x:v>1114275.0473059583</x:v>
      </x:c>
      <x:c r="AB267" s="169" t="n">
        <x:f>IF(AB$4&gt;=$E267,$C267*MAX(0,1-(AB$4-$E267)/$D267),0)</x:f>
        <x:v>1021418.7933637953</x:v>
      </x:c>
      <x:c r="AC267" s="169" t="n">
        <x:f>IF(AC$4&gt;=$E267,$C267*MAX(0,1-(AC$4-$E267)/$D267),0)</x:f>
        <x:v>928562.5394216321</x:v>
      </x:c>
    </x:row>
    <x:row r="268" ht="20" customHeight="1">
      <x:c r="A268" s="170" t="str">
        <x:v>Hard assets</x:v>
      </x:c>
      <x:c r="B268" s="214" t="n">
        <x:v>2038</x:v>
      </x:c>
      <x:c r="C268" s="170" t="n">
        <x:f>'ROIC Cloud'!S$15*'ROIC Cloud'!$D$47</x:f>
        <x:v>1392843.809132448</x:v>
      </x:c>
      <x:c r="D268" s="214" t="n">
        <x:f>'ROIC Cloud'!$D$43</x:f>
        <x:v>15</x:v>
      </x:c>
      <x:c r="E268" s="214" t="n">
        <x:f>B268+'ROIC Cloud'!$D$40</x:f>
        <x:v>2040</x:v>
      </x:c>
      <x:c r="F268" s="170" t="str">
        <x:v>Depreciation</x:v>
      </x:c>
      <x:c r="G268" s="169" t="n">
        <x:f>IF(G$4&gt;=$E267,MIN($C267/$D267,G267),0)</x:f>
        <x:v>0</x:v>
      </x:c>
      <x:c r="H268" s="169" t="n">
        <x:f>IF(H$4&gt;=$E267,MIN($C267/$D267,H267),0)</x:f>
        <x:v>0</x:v>
      </x:c>
      <x:c r="I268" s="169" t="n">
        <x:f>IF(I$4&gt;=$E267,MIN($C267/$D267,I267),0)</x:f>
        <x:v>0</x:v>
      </x:c>
      <x:c r="J268" s="169" t="n">
        <x:f>IF(J$4&gt;=$E267,MIN($C267/$D267,J267),0)</x:f>
        <x:v>0</x:v>
      </x:c>
      <x:c r="K268" s="169" t="n">
        <x:f>IF(K$4&gt;=$E267,MIN($C267/$D267,K267),0)</x:f>
        <x:v>0</x:v>
      </x:c>
      <x:c r="L268" s="169" t="n">
        <x:f>IF(L$4&gt;=$E267,MIN($C267/$D267,L267),0)</x:f>
        <x:v>0</x:v>
      </x:c>
      <x:c r="M268" s="169" t="n">
        <x:f>IF(M$4&gt;=$E267,MIN($C267/$D267,M267),0)</x:f>
        <x:v>0</x:v>
      </x:c>
      <x:c r="N268" s="169" t="n">
        <x:f>IF(N$4&gt;=$E267,MIN($C267/$D267,N267),0)</x:f>
        <x:v>0</x:v>
      </x:c>
      <x:c r="O268" s="169" t="n">
        <x:f>IF(O$4&gt;=$E267,MIN($C267/$D267,O267),0)</x:f>
        <x:v>0</x:v>
      </x:c>
      <x:c r="P268" s="169" t="n">
        <x:f>IF(P$4&gt;=$E267,MIN($C267/$D267,P267),0)</x:f>
        <x:v>0</x:v>
      </x:c>
      <x:c r="Q268" s="169" t="n">
        <x:f>IF(Q$4&gt;=$E267,MIN($C267/$D267,Q267),0)</x:f>
        <x:v>0</x:v>
      </x:c>
      <x:c r="R268" s="169" t="n">
        <x:f>IF(R$4&gt;=$E267,MIN($C267/$D267,R267),0)</x:f>
        <x:v>0</x:v>
      </x:c>
      <x:c r="S268" s="169" t="n">
        <x:f>IF(S$4&gt;=$E267,MIN($C267/$D267,S267),0)</x:f>
        <x:v>0</x:v>
      </x:c>
      <x:c r="T268" s="169" t="n">
        <x:f>IF(T$4&gt;=$E267,MIN($C267/$D267,T267),0)</x:f>
        <x:v>0</x:v>
      </x:c>
      <x:c r="U268" s="169" t="n">
        <x:f>IF(U$4&gt;=$E267,MIN($C267/$D267,U267),0)</x:f>
        <x:v>0</x:v>
      </x:c>
      <x:c r="V268" s="169" t="n">
        <x:f>IF(V$4&gt;=$E267,MIN($C267/$D267,V267),0)</x:f>
        <x:v>0</x:v>
      </x:c>
      <x:c r="W268" s="169" t="n">
        <x:f>IF(W$4&gt;=$E267,MIN($C267/$D267,W267),0)</x:f>
        <x:v>0</x:v>
      </x:c>
      <x:c r="X268" s="169" t="n">
        <x:f>IF(X$4&gt;=$E267,MIN($C267/$D267,X267),0)</x:f>
        <x:v>92856.2539421632</x:v>
      </x:c>
      <x:c r="Y268" s="169" t="n">
        <x:f>IF(Y$4&gt;=$E267,MIN($C267/$D267,Y267),0)</x:f>
        <x:v>92856.2539421632</x:v>
      </x:c>
      <x:c r="Z268" s="169" t="n">
        <x:f>IF(Z$4&gt;=$E267,MIN($C267/$D267,Z267),0)</x:f>
        <x:v>92856.2539421632</x:v>
      </x:c>
      <x:c r="AA268" s="169" t="n">
        <x:f>IF(AA$4&gt;=$E267,MIN($C267/$D267,AA267),0)</x:f>
        <x:v>92856.2539421632</x:v>
      </x:c>
      <x:c r="AB268" s="169" t="n">
        <x:f>IF(AB$4&gt;=$E267,MIN($C267/$D267,AB267),0)</x:f>
        <x:v>92856.2539421632</x:v>
      </x:c>
      <x:c r="AC268" s="169" t="n">
        <x:f>IF(AC$4&gt;=$E267,MIN($C267/$D267,AC267),0)</x:f>
        <x:v>92856.2539421632</x:v>
      </x:c>
    </x:row>
    <x:row r="269" ht="20" customHeight="1">
      <x:c r="A269" s="170" t="str">
        <x:v>Hard assets</x:v>
      </x:c>
      <x:c r="B269" s="214" t="n">
        <x:v>2038</x:v>
      </x:c>
      <x:c r="C269" s="170" t="n">
        <x:f>'ROIC Cloud'!S$15*'ROIC Cloud'!$D$47</x:f>
        <x:v>1392843.809132448</x:v>
      </x:c>
      <x:c r="D269" s="214" t="n">
        <x:f>'ROIC Cloud'!$D$43</x:f>
        <x:v>15</x:v>
      </x:c>
      <x:c r="E269" s="214" t="n">
        <x:f>B269+'ROIC Cloud'!$D$40</x:f>
        <x:v>2040</x:v>
      </x:c>
      <x:c r="F269" s="170" t="str">
        <x:v>Closing NBV</x:v>
      </x:c>
      <x:c r="G269" s="169" t="n">
        <x:f>MAX(0,G267-G268)</x:f>
        <x:v>0</x:v>
      </x:c>
      <x:c r="H269" s="169" t="n">
        <x:f>MAX(0,H267-H268)</x:f>
        <x:v>0</x:v>
      </x:c>
      <x:c r="I269" s="169" t="n">
        <x:f>MAX(0,I267-I268)</x:f>
        <x:v>0</x:v>
      </x:c>
      <x:c r="J269" s="169" t="n">
        <x:f>MAX(0,J267-J268)</x:f>
        <x:v>0</x:v>
      </x:c>
      <x:c r="K269" s="169" t="n">
        <x:f>MAX(0,K267-K268)</x:f>
        <x:v>0</x:v>
      </x:c>
      <x:c r="L269" s="169" t="n">
        <x:f>MAX(0,L267-L268)</x:f>
        <x:v>0</x:v>
      </x:c>
      <x:c r="M269" s="169" t="n">
        <x:f>MAX(0,M267-M268)</x:f>
        <x:v>0</x:v>
      </x:c>
      <x:c r="N269" s="169" t="n">
        <x:f>MAX(0,N267-N268)</x:f>
        <x:v>0</x:v>
      </x:c>
      <x:c r="O269" s="169" t="n">
        <x:f>MAX(0,O267-O268)</x:f>
        <x:v>0</x:v>
      </x:c>
      <x:c r="P269" s="169" t="n">
        <x:f>MAX(0,P267-P268)</x:f>
        <x:v>0</x:v>
      </x:c>
      <x:c r="Q269" s="169" t="n">
        <x:f>MAX(0,Q267-Q268)</x:f>
        <x:v>0</x:v>
      </x:c>
      <x:c r="R269" s="169" t="n">
        <x:f>MAX(0,R267-R268)</x:f>
        <x:v>0</x:v>
      </x:c>
      <x:c r="S269" s="169" t="n">
        <x:f>MAX(0,S267-S268)</x:f>
        <x:v>0</x:v>
      </x:c>
      <x:c r="T269" s="169" t="n">
        <x:f>MAX(0,T267-T268)</x:f>
        <x:v>0</x:v>
      </x:c>
      <x:c r="U269" s="169" t="n">
        <x:f>MAX(0,U267-U268)</x:f>
        <x:v>0</x:v>
      </x:c>
      <x:c r="V269" s="169" t="n">
        <x:f>MAX(0,V267-V268)</x:f>
        <x:v>0</x:v>
      </x:c>
      <x:c r="W269" s="169" t="n">
        <x:f>MAX(0,W267-W268)</x:f>
        <x:v>0</x:v>
      </x:c>
      <x:c r="X269" s="169" t="n">
        <x:f>MAX(0,X267-X268)</x:f>
        <x:v>1299987.5551902847</x:v>
      </x:c>
      <x:c r="Y269" s="169" t="n">
        <x:f>MAX(0,Y267-Y268)</x:f>
        <x:v>1207131.3012481215</x:v>
      </x:c>
      <x:c r="Z269" s="169" t="n">
        <x:f>MAX(0,Z267-Z268)</x:f>
        <x:v>1114275.0473059583</x:v>
      </x:c>
      <x:c r="AA269" s="169" t="n">
        <x:f>MAX(0,AA267-AA268)</x:f>
        <x:v>1021418.7933637952</x:v>
      </x:c>
      <x:c r="AB269" s="169" t="n">
        <x:f>MAX(0,AB267-AB268)</x:f>
        <x:v>928562.5394216321</x:v>
      </x:c>
      <x:c r="AC269" s="169" t="n">
        <x:f>MAX(0,AC267-AC268)</x:f>
        <x:v>835706.2854794689</x:v>
      </x:c>
    </x:row>
    <x:row r="270" ht="20" customHeight="1">
      <x:c r="A270" s="170" t="str">
        <x:v>Hard assets</x:v>
      </x:c>
      <x:c r="B270" s="214" t="n">
        <x:v>2038</x:v>
      </x:c>
      <x:c r="C270" s="170" t="n">
        <x:f>'ROIC Cloud'!S$15*'ROIC Cloud'!$D$47</x:f>
        <x:v>1392843.809132448</x:v>
      </x:c>
      <x:c r="D270" s="214" t="n">
        <x:f>'ROIC Cloud'!$D$43</x:f>
        <x:v>15</x:v>
      </x:c>
      <x:c r="E270" s="214" t="n">
        <x:f>B270+'ROIC Cloud'!$D$40</x:f>
        <x:v>2040</x:v>
      </x:c>
      <x:c r="F270" s="170" t="str">
        <x:v>Average NBV</x:v>
      </x:c>
      <x:c r="G270" s="169" t="n">
        <x:f>(G267+G269)/2</x:f>
        <x:v>0</x:v>
      </x:c>
      <x:c r="H270" s="169" t="n">
        <x:f>(H267+H269)/2</x:f>
        <x:v>0</x:v>
      </x:c>
      <x:c r="I270" s="169" t="n">
        <x:f>(I267+I269)/2</x:f>
        <x:v>0</x:v>
      </x:c>
      <x:c r="J270" s="169" t="n">
        <x:f>(J267+J269)/2</x:f>
        <x:v>0</x:v>
      </x:c>
      <x:c r="K270" s="169" t="n">
        <x:f>(K267+K269)/2</x:f>
        <x:v>0</x:v>
      </x:c>
      <x:c r="L270" s="169" t="n">
        <x:f>(L267+L269)/2</x:f>
        <x:v>0</x:v>
      </x:c>
      <x:c r="M270" s="169" t="n">
        <x:f>(M267+M269)/2</x:f>
        <x:v>0</x:v>
      </x:c>
      <x:c r="N270" s="169" t="n">
        <x:f>(N267+N269)/2</x:f>
        <x:v>0</x:v>
      </x:c>
      <x:c r="O270" s="169" t="n">
        <x:f>(O267+O269)/2</x:f>
        <x:v>0</x:v>
      </x:c>
      <x:c r="P270" s="169" t="n">
        <x:f>(P267+P269)/2</x:f>
        <x:v>0</x:v>
      </x:c>
      <x:c r="Q270" s="169" t="n">
        <x:f>(Q267+Q269)/2</x:f>
        <x:v>0</x:v>
      </x:c>
      <x:c r="R270" s="169" t="n">
        <x:f>(R267+R269)/2</x:f>
        <x:v>0</x:v>
      </x:c>
      <x:c r="S270" s="169" t="n">
        <x:f>(S267+S269)/2</x:f>
        <x:v>0</x:v>
      </x:c>
      <x:c r="T270" s="169" t="n">
        <x:f>(T267+T269)/2</x:f>
        <x:v>0</x:v>
      </x:c>
      <x:c r="U270" s="169" t="n">
        <x:f>(U267+U269)/2</x:f>
        <x:v>0</x:v>
      </x:c>
      <x:c r="V270" s="169" t="n">
        <x:f>(V267+V269)/2</x:f>
        <x:v>0</x:v>
      </x:c>
      <x:c r="W270" s="169" t="n">
        <x:f>(W267+W269)/2</x:f>
        <x:v>0</x:v>
      </x:c>
      <x:c r="X270" s="169" t="n">
        <x:f>(X267+X269)/2</x:f>
        <x:v>1346415.6821613663</x:v>
      </x:c>
      <x:c r="Y270" s="169" t="n">
        <x:f>(Y267+Y269)/2</x:f>
        <x:v>1253559.4282192031</x:v>
      </x:c>
      <x:c r="Z270" s="169" t="n">
        <x:f>(Z267+Z269)/2</x:f>
        <x:v>1160703.17427704</x:v>
      </x:c>
      <x:c r="AA270" s="169" t="n">
        <x:f>(AA267+AA269)/2</x:f>
        <x:v>1067846.9203348767</x:v>
      </x:c>
      <x:c r="AB270" s="169" t="n">
        <x:f>(AB267+AB269)/2</x:f>
        <x:v>974990.6663927137</x:v>
      </x:c>
      <x:c r="AC270" s="169" t="n">
        <x:f>(AC267+AC269)/2</x:f>
        <x:v>882134.4124505505</x:v>
      </x:c>
    </x:row>
    <x:row r="271" ht="20" customHeight="1">
      <x:c r="A271" s="170" t="str">
        <x:v>Hard assets</x:v>
      </x:c>
      <x:c r="B271" s="214" t="n">
        <x:v>2039</x:v>
      </x:c>
      <x:c r="C271" s="170" t="n">
        <x:f>'ROIC Cloud'!T$15*'ROIC Cloud'!$D$47</x:f>
        <x:v>1504271.313863044</x:v>
      </x:c>
      <x:c r="D271" s="214" t="n">
        <x:f>'ROIC Cloud'!$D$43</x:f>
        <x:v>15</x:v>
      </x:c>
      <x:c r="E271" s="214" t="n">
        <x:f>B271+'ROIC Cloud'!$D$40</x:f>
        <x:v>2041</x:v>
      </x:c>
      <x:c r="F271" s="170" t="str">
        <x:v>Opening NBV</x:v>
      </x:c>
      <x:c r="G271" s="169" t="n">
        <x:f>IF(G$4&gt;=$E271,$C271*MAX(0,1-(G$4-$E271)/$D271),0)</x:f>
        <x:v>0</x:v>
      </x:c>
      <x:c r="H271" s="169" t="n">
        <x:f>IF(H$4&gt;=$E271,$C271*MAX(0,1-(H$4-$E271)/$D271),0)</x:f>
        <x:v>0</x:v>
      </x:c>
      <x:c r="I271" s="169" t="n">
        <x:f>IF(I$4&gt;=$E271,$C271*MAX(0,1-(I$4-$E271)/$D271),0)</x:f>
        <x:v>0</x:v>
      </x:c>
      <x:c r="J271" s="169" t="n">
        <x:f>IF(J$4&gt;=$E271,$C271*MAX(0,1-(J$4-$E271)/$D271),0)</x:f>
        <x:v>0</x:v>
      </x:c>
      <x:c r="K271" s="169" t="n">
        <x:f>IF(K$4&gt;=$E271,$C271*MAX(0,1-(K$4-$E271)/$D271),0)</x:f>
        <x:v>0</x:v>
      </x:c>
      <x:c r="L271" s="169" t="n">
        <x:f>IF(L$4&gt;=$E271,$C271*MAX(0,1-(L$4-$E271)/$D271),0)</x:f>
        <x:v>0</x:v>
      </x:c>
      <x:c r="M271" s="169" t="n">
        <x:f>IF(M$4&gt;=$E271,$C271*MAX(0,1-(M$4-$E271)/$D271),0)</x:f>
        <x:v>0</x:v>
      </x:c>
      <x:c r="N271" s="169" t="n">
        <x:f>IF(N$4&gt;=$E271,$C271*MAX(0,1-(N$4-$E271)/$D271),0)</x:f>
        <x:v>0</x:v>
      </x:c>
      <x:c r="O271" s="169" t="n">
        <x:f>IF(O$4&gt;=$E271,$C271*MAX(0,1-(O$4-$E271)/$D271),0)</x:f>
        <x:v>0</x:v>
      </x:c>
      <x:c r="P271" s="169" t="n">
        <x:f>IF(P$4&gt;=$E271,$C271*MAX(0,1-(P$4-$E271)/$D271),0)</x:f>
        <x:v>0</x:v>
      </x:c>
      <x:c r="Q271" s="169" t="n">
        <x:f>IF(Q$4&gt;=$E271,$C271*MAX(0,1-(Q$4-$E271)/$D271),0)</x:f>
        <x:v>0</x:v>
      </x:c>
      <x:c r="R271" s="169" t="n">
        <x:f>IF(R$4&gt;=$E271,$C271*MAX(0,1-(R$4-$E271)/$D271),0)</x:f>
        <x:v>0</x:v>
      </x:c>
      <x:c r="S271" s="169" t="n">
        <x:f>IF(S$4&gt;=$E271,$C271*MAX(0,1-(S$4-$E271)/$D271),0)</x:f>
        <x:v>0</x:v>
      </x:c>
      <x:c r="T271" s="169" t="n">
        <x:f>IF(T$4&gt;=$E271,$C271*MAX(0,1-(T$4-$E271)/$D271),0)</x:f>
        <x:v>0</x:v>
      </x:c>
      <x:c r="U271" s="169" t="n">
        <x:f>IF(U$4&gt;=$E271,$C271*MAX(0,1-(U$4-$E271)/$D271),0)</x:f>
        <x:v>0</x:v>
      </x:c>
      <x:c r="V271" s="169" t="n">
        <x:f>IF(V$4&gt;=$E271,$C271*MAX(0,1-(V$4-$E271)/$D271),0)</x:f>
        <x:v>0</x:v>
      </x:c>
      <x:c r="W271" s="169" t="n">
        <x:f>IF(W$4&gt;=$E271,$C271*MAX(0,1-(W$4-$E271)/$D271),0)</x:f>
        <x:v>0</x:v>
      </x:c>
      <x:c r="X271" s="169" t="n">
        <x:f>IF(X$4&gt;=$E271,$C271*MAX(0,1-(X$4-$E271)/$D271),0)</x:f>
        <x:v>0</x:v>
      </x:c>
      <x:c r="Y271" s="169" t="n">
        <x:f>IF(Y$4&gt;=$E271,$C271*MAX(0,1-(Y$4-$E271)/$D271),0)</x:f>
        <x:v>1504271.313863044</x:v>
      </x:c>
      <x:c r="Z271" s="169" t="n">
        <x:f>IF(Z$4&gt;=$E271,$C271*MAX(0,1-(Z$4-$E271)/$D271),0)</x:f>
        <x:v>1403986.5596055076</x:v>
      </x:c>
      <x:c r="AA271" s="169" t="n">
        <x:f>IF(AA$4&gt;=$E271,$C271*MAX(0,1-(AA$4-$E271)/$D271),0)</x:f>
        <x:v>1303701.8053479714</x:v>
      </x:c>
      <x:c r="AB271" s="169" t="n">
        <x:f>IF(AB$4&gt;=$E271,$C271*MAX(0,1-(AB$4-$E271)/$D271),0)</x:f>
        <x:v>1203417.0510904351</x:v>
      </x:c>
      <x:c r="AC271" s="169" t="n">
        <x:f>IF(AC$4&gt;=$E271,$C271*MAX(0,1-(AC$4-$E271)/$D271),0)</x:f>
        <x:v>1103132.2968328989</x:v>
      </x:c>
    </x:row>
    <x:row r="272" ht="20" customHeight="1">
      <x:c r="A272" s="170" t="str">
        <x:v>Hard assets</x:v>
      </x:c>
      <x:c r="B272" s="214" t="n">
        <x:v>2039</x:v>
      </x:c>
      <x:c r="C272" s="170" t="n">
        <x:f>'ROIC Cloud'!T$15*'ROIC Cloud'!$D$47</x:f>
        <x:v>1504271.313863044</x:v>
      </x:c>
      <x:c r="D272" s="214" t="n">
        <x:f>'ROIC Cloud'!$D$43</x:f>
        <x:v>15</x:v>
      </x:c>
      <x:c r="E272" s="214" t="n">
        <x:f>B272+'ROIC Cloud'!$D$40</x:f>
        <x:v>2041</x:v>
      </x:c>
      <x:c r="F272" s="170" t="str">
        <x:v>Depreciation</x:v>
      </x:c>
      <x:c r="G272" s="169" t="n">
        <x:f>IF(G$4&gt;=$E271,MIN($C271/$D271,G271),0)</x:f>
        <x:v>0</x:v>
      </x:c>
      <x:c r="H272" s="169" t="n">
        <x:f>IF(H$4&gt;=$E271,MIN($C271/$D271,H271),0)</x:f>
        <x:v>0</x:v>
      </x:c>
      <x:c r="I272" s="169" t="n">
        <x:f>IF(I$4&gt;=$E271,MIN($C271/$D271,I271),0)</x:f>
        <x:v>0</x:v>
      </x:c>
      <x:c r="J272" s="169" t="n">
        <x:f>IF(J$4&gt;=$E271,MIN($C271/$D271,J271),0)</x:f>
        <x:v>0</x:v>
      </x:c>
      <x:c r="K272" s="169" t="n">
        <x:f>IF(K$4&gt;=$E271,MIN($C271/$D271,K271),0)</x:f>
        <x:v>0</x:v>
      </x:c>
      <x:c r="L272" s="169" t="n">
        <x:f>IF(L$4&gt;=$E271,MIN($C271/$D271,L271),0)</x:f>
        <x:v>0</x:v>
      </x:c>
      <x:c r="M272" s="169" t="n">
        <x:f>IF(M$4&gt;=$E271,MIN($C271/$D271,M271),0)</x:f>
        <x:v>0</x:v>
      </x:c>
      <x:c r="N272" s="169" t="n">
        <x:f>IF(N$4&gt;=$E271,MIN($C271/$D271,N271),0)</x:f>
        <x:v>0</x:v>
      </x:c>
      <x:c r="O272" s="169" t="n">
        <x:f>IF(O$4&gt;=$E271,MIN($C271/$D271,O271),0)</x:f>
        <x:v>0</x:v>
      </x:c>
      <x:c r="P272" s="169" t="n">
        <x:f>IF(P$4&gt;=$E271,MIN($C271/$D271,P271),0)</x:f>
        <x:v>0</x:v>
      </x:c>
      <x:c r="Q272" s="169" t="n">
        <x:f>IF(Q$4&gt;=$E271,MIN($C271/$D271,Q271),0)</x:f>
        <x:v>0</x:v>
      </x:c>
      <x:c r="R272" s="169" t="n">
        <x:f>IF(R$4&gt;=$E271,MIN($C271/$D271,R271),0)</x:f>
        <x:v>0</x:v>
      </x:c>
      <x:c r="S272" s="169" t="n">
        <x:f>IF(S$4&gt;=$E271,MIN($C271/$D271,S271),0)</x:f>
        <x:v>0</x:v>
      </x:c>
      <x:c r="T272" s="169" t="n">
        <x:f>IF(T$4&gt;=$E271,MIN($C271/$D271,T271),0)</x:f>
        <x:v>0</x:v>
      </x:c>
      <x:c r="U272" s="169" t="n">
        <x:f>IF(U$4&gt;=$E271,MIN($C271/$D271,U271),0)</x:f>
        <x:v>0</x:v>
      </x:c>
      <x:c r="V272" s="169" t="n">
        <x:f>IF(V$4&gt;=$E271,MIN($C271/$D271,V271),0)</x:f>
        <x:v>0</x:v>
      </x:c>
      <x:c r="W272" s="169" t="n">
        <x:f>IF(W$4&gt;=$E271,MIN($C271/$D271,W271),0)</x:f>
        <x:v>0</x:v>
      </x:c>
      <x:c r="X272" s="169" t="n">
        <x:f>IF(X$4&gt;=$E271,MIN($C271/$D271,X271),0)</x:f>
        <x:v>0</x:v>
      </x:c>
      <x:c r="Y272" s="169" t="n">
        <x:f>IF(Y$4&gt;=$E271,MIN($C271/$D271,Y271),0)</x:f>
        <x:v>100284.75425753626</x:v>
      </x:c>
      <x:c r="Z272" s="169" t="n">
        <x:f>IF(Z$4&gt;=$E271,MIN($C271/$D271,Z271),0)</x:f>
        <x:v>100284.75425753626</x:v>
      </x:c>
      <x:c r="AA272" s="169" t="n">
        <x:f>IF(AA$4&gt;=$E271,MIN($C271/$D271,AA271),0)</x:f>
        <x:v>100284.75425753626</x:v>
      </x:c>
      <x:c r="AB272" s="169" t="n">
        <x:f>IF(AB$4&gt;=$E271,MIN($C271/$D271,AB271),0)</x:f>
        <x:v>100284.75425753626</x:v>
      </x:c>
      <x:c r="AC272" s="169" t="n">
        <x:f>IF(AC$4&gt;=$E271,MIN($C271/$D271,AC271),0)</x:f>
        <x:v>100284.75425753626</x:v>
      </x:c>
    </x:row>
    <x:row r="273" ht="20" customHeight="1">
      <x:c r="A273" s="170" t="str">
        <x:v>Hard assets</x:v>
      </x:c>
      <x:c r="B273" s="214" t="n">
        <x:v>2039</x:v>
      </x:c>
      <x:c r="C273" s="170" t="n">
        <x:f>'ROIC Cloud'!T$15*'ROIC Cloud'!$D$47</x:f>
        <x:v>1504271.313863044</x:v>
      </x:c>
      <x:c r="D273" s="214" t="n">
        <x:f>'ROIC Cloud'!$D$43</x:f>
        <x:v>15</x:v>
      </x:c>
      <x:c r="E273" s="214" t="n">
        <x:f>B273+'ROIC Cloud'!$D$40</x:f>
        <x:v>2041</x:v>
      </x:c>
      <x:c r="F273" s="170" t="str">
        <x:v>Closing NBV</x:v>
      </x:c>
      <x:c r="G273" s="169" t="n">
        <x:f>MAX(0,G271-G272)</x:f>
        <x:v>0</x:v>
      </x:c>
      <x:c r="H273" s="169" t="n">
        <x:f>MAX(0,H271-H272)</x:f>
        <x:v>0</x:v>
      </x:c>
      <x:c r="I273" s="169" t="n">
        <x:f>MAX(0,I271-I272)</x:f>
        <x:v>0</x:v>
      </x:c>
      <x:c r="J273" s="169" t="n">
        <x:f>MAX(0,J271-J272)</x:f>
        <x:v>0</x:v>
      </x:c>
      <x:c r="K273" s="169" t="n">
        <x:f>MAX(0,K271-K272)</x:f>
        <x:v>0</x:v>
      </x:c>
      <x:c r="L273" s="169" t="n">
        <x:f>MAX(0,L271-L272)</x:f>
        <x:v>0</x:v>
      </x:c>
      <x:c r="M273" s="169" t="n">
        <x:f>MAX(0,M271-M272)</x:f>
        <x:v>0</x:v>
      </x:c>
      <x:c r="N273" s="169" t="n">
        <x:f>MAX(0,N271-N272)</x:f>
        <x:v>0</x:v>
      </x:c>
      <x:c r="O273" s="169" t="n">
        <x:f>MAX(0,O271-O272)</x:f>
        <x:v>0</x:v>
      </x:c>
      <x:c r="P273" s="169" t="n">
        <x:f>MAX(0,P271-P272)</x:f>
        <x:v>0</x:v>
      </x:c>
      <x:c r="Q273" s="169" t="n">
        <x:f>MAX(0,Q271-Q272)</x:f>
        <x:v>0</x:v>
      </x:c>
      <x:c r="R273" s="169" t="n">
        <x:f>MAX(0,R271-R272)</x:f>
        <x:v>0</x:v>
      </x:c>
      <x:c r="S273" s="169" t="n">
        <x:f>MAX(0,S271-S272)</x:f>
        <x:v>0</x:v>
      </x:c>
      <x:c r="T273" s="169" t="n">
        <x:f>MAX(0,T271-T272)</x:f>
        <x:v>0</x:v>
      </x:c>
      <x:c r="U273" s="169" t="n">
        <x:f>MAX(0,U271-U272)</x:f>
        <x:v>0</x:v>
      </x:c>
      <x:c r="V273" s="169" t="n">
        <x:f>MAX(0,V271-V272)</x:f>
        <x:v>0</x:v>
      </x:c>
      <x:c r="W273" s="169" t="n">
        <x:f>MAX(0,W271-W272)</x:f>
        <x:v>0</x:v>
      </x:c>
      <x:c r="X273" s="169" t="n">
        <x:f>MAX(0,X271-X272)</x:f>
        <x:v>0</x:v>
      </x:c>
      <x:c r="Y273" s="169" t="n">
        <x:f>MAX(0,Y271-Y272)</x:f>
        <x:v>1403986.5596055076</x:v>
      </x:c>
      <x:c r="Z273" s="169" t="n">
        <x:f>MAX(0,Z271-Z272)</x:f>
        <x:v>1303701.8053479714</x:v>
      </x:c>
      <x:c r="AA273" s="169" t="n">
        <x:f>MAX(0,AA271-AA272)</x:f>
        <x:v>1203417.0510904351</x:v>
      </x:c>
      <x:c r="AB273" s="169" t="n">
        <x:f>MAX(0,AB271-AB272)</x:f>
        <x:v>1103132.2968328989</x:v>
      </x:c>
      <x:c r="AC273" s="169" t="n">
        <x:f>MAX(0,AC271-AC272)</x:f>
        <x:v>1002847.5425753626</x:v>
      </x:c>
    </x:row>
    <x:row r="274" ht="20" customHeight="1">
      <x:c r="A274" s="170" t="str">
        <x:v>Hard assets</x:v>
      </x:c>
      <x:c r="B274" s="214" t="n">
        <x:v>2039</x:v>
      </x:c>
      <x:c r="C274" s="170" t="n">
        <x:f>'ROIC Cloud'!T$15*'ROIC Cloud'!$D$47</x:f>
        <x:v>1504271.313863044</x:v>
      </x:c>
      <x:c r="D274" s="214" t="n">
        <x:f>'ROIC Cloud'!$D$43</x:f>
        <x:v>15</x:v>
      </x:c>
      <x:c r="E274" s="214" t="n">
        <x:f>B274+'ROIC Cloud'!$D$40</x:f>
        <x:v>2041</x:v>
      </x:c>
      <x:c r="F274" s="170" t="str">
        <x:v>Average NBV</x:v>
      </x:c>
      <x:c r="G274" s="169" t="n">
        <x:f>(G271+G273)/2</x:f>
        <x:v>0</x:v>
      </x:c>
      <x:c r="H274" s="169" t="n">
        <x:f>(H271+H273)/2</x:f>
        <x:v>0</x:v>
      </x:c>
      <x:c r="I274" s="169" t="n">
        <x:f>(I271+I273)/2</x:f>
        <x:v>0</x:v>
      </x:c>
      <x:c r="J274" s="169" t="n">
        <x:f>(J271+J273)/2</x:f>
        <x:v>0</x:v>
      </x:c>
      <x:c r="K274" s="169" t="n">
        <x:f>(K271+K273)/2</x:f>
        <x:v>0</x:v>
      </x:c>
      <x:c r="L274" s="169" t="n">
        <x:f>(L271+L273)/2</x:f>
        <x:v>0</x:v>
      </x:c>
      <x:c r="M274" s="169" t="n">
        <x:f>(M271+M273)/2</x:f>
        <x:v>0</x:v>
      </x:c>
      <x:c r="N274" s="169" t="n">
        <x:f>(N271+N273)/2</x:f>
        <x:v>0</x:v>
      </x:c>
      <x:c r="O274" s="169" t="n">
        <x:f>(O271+O273)/2</x:f>
        <x:v>0</x:v>
      </x:c>
      <x:c r="P274" s="169" t="n">
        <x:f>(P271+P273)/2</x:f>
        <x:v>0</x:v>
      </x:c>
      <x:c r="Q274" s="169" t="n">
        <x:f>(Q271+Q273)/2</x:f>
        <x:v>0</x:v>
      </x:c>
      <x:c r="R274" s="169" t="n">
        <x:f>(R271+R273)/2</x:f>
        <x:v>0</x:v>
      </x:c>
      <x:c r="S274" s="169" t="n">
        <x:f>(S271+S273)/2</x:f>
        <x:v>0</x:v>
      </x:c>
      <x:c r="T274" s="169" t="n">
        <x:f>(T271+T273)/2</x:f>
        <x:v>0</x:v>
      </x:c>
      <x:c r="U274" s="169" t="n">
        <x:f>(U271+U273)/2</x:f>
        <x:v>0</x:v>
      </x:c>
      <x:c r="V274" s="169" t="n">
        <x:f>(V271+V273)/2</x:f>
        <x:v>0</x:v>
      </x:c>
      <x:c r="W274" s="169" t="n">
        <x:f>(W271+W273)/2</x:f>
        <x:v>0</x:v>
      </x:c>
      <x:c r="X274" s="169" t="n">
        <x:f>(X271+X273)/2</x:f>
        <x:v>0</x:v>
      </x:c>
      <x:c r="Y274" s="169" t="n">
        <x:f>(Y271+Y273)/2</x:f>
        <x:v>1454128.936734276</x:v>
      </x:c>
      <x:c r="Z274" s="169" t="n">
        <x:f>(Z271+Z273)/2</x:f>
        <x:v>1353844.1824767394</x:v>
      </x:c>
      <x:c r="AA274" s="169" t="n">
        <x:f>(AA271+AA273)/2</x:f>
        <x:v>1253559.4282192034</x:v>
      </x:c>
      <x:c r="AB274" s="169" t="n">
        <x:f>(AB271+AB273)/2</x:f>
        <x:v>1153274.6739616669</x:v>
      </x:c>
      <x:c r="AC274" s="169" t="n">
        <x:f>(AC271+AC273)/2</x:f>
        <x:v>1052989.9197041309</x:v>
      </x:c>
    </x:row>
    <x:row r="275" ht="20" customHeight="1">
      <x:c r="A275" s="170" t="str">
        <x:v>Hard assets</x:v>
      </x:c>
      <x:c r="B275" s="214" t="n">
        <x:v>2040</x:v>
      </x:c>
      <x:c r="C275" s="170" t="n">
        <x:f>'ROIC Cloud'!U$15*'ROIC Cloud'!$D$47</x:f>
        <x:v>1624613.0189720877</x:v>
      </x:c>
      <x:c r="D275" s="214" t="n">
        <x:f>'ROIC Cloud'!$D$43</x:f>
        <x:v>15</x:v>
      </x:c>
      <x:c r="E275" s="214" t="n">
        <x:f>B275+'ROIC Cloud'!$D$40</x:f>
        <x:v>2042</x:v>
      </x:c>
      <x:c r="F275" s="170" t="str">
        <x:v>Opening NBV</x:v>
      </x:c>
      <x:c r="G275" s="169" t="n">
        <x:f>IF(G$4&gt;=$E275,$C275*MAX(0,1-(G$4-$E275)/$D275),0)</x:f>
        <x:v>0</x:v>
      </x:c>
      <x:c r="H275" s="169" t="n">
        <x:f>IF(H$4&gt;=$E275,$C275*MAX(0,1-(H$4-$E275)/$D275),0)</x:f>
        <x:v>0</x:v>
      </x:c>
      <x:c r="I275" s="169" t="n">
        <x:f>IF(I$4&gt;=$E275,$C275*MAX(0,1-(I$4-$E275)/$D275),0)</x:f>
        <x:v>0</x:v>
      </x:c>
      <x:c r="J275" s="169" t="n">
        <x:f>IF(J$4&gt;=$E275,$C275*MAX(0,1-(J$4-$E275)/$D275),0)</x:f>
        <x:v>0</x:v>
      </x:c>
      <x:c r="K275" s="169" t="n">
        <x:f>IF(K$4&gt;=$E275,$C275*MAX(0,1-(K$4-$E275)/$D275),0)</x:f>
        <x:v>0</x:v>
      </x:c>
      <x:c r="L275" s="169" t="n">
        <x:f>IF(L$4&gt;=$E275,$C275*MAX(0,1-(L$4-$E275)/$D275),0)</x:f>
        <x:v>0</x:v>
      </x:c>
      <x:c r="M275" s="169" t="n">
        <x:f>IF(M$4&gt;=$E275,$C275*MAX(0,1-(M$4-$E275)/$D275),0)</x:f>
        <x:v>0</x:v>
      </x:c>
      <x:c r="N275" s="169" t="n">
        <x:f>IF(N$4&gt;=$E275,$C275*MAX(0,1-(N$4-$E275)/$D275),0)</x:f>
        <x:v>0</x:v>
      </x:c>
      <x:c r="O275" s="169" t="n">
        <x:f>IF(O$4&gt;=$E275,$C275*MAX(0,1-(O$4-$E275)/$D275),0)</x:f>
        <x:v>0</x:v>
      </x:c>
      <x:c r="P275" s="169" t="n">
        <x:f>IF(P$4&gt;=$E275,$C275*MAX(0,1-(P$4-$E275)/$D275),0)</x:f>
        <x:v>0</x:v>
      </x:c>
      <x:c r="Q275" s="169" t="n">
        <x:f>IF(Q$4&gt;=$E275,$C275*MAX(0,1-(Q$4-$E275)/$D275),0)</x:f>
        <x:v>0</x:v>
      </x:c>
      <x:c r="R275" s="169" t="n">
        <x:f>IF(R$4&gt;=$E275,$C275*MAX(0,1-(R$4-$E275)/$D275),0)</x:f>
        <x:v>0</x:v>
      </x:c>
      <x:c r="S275" s="169" t="n">
        <x:f>IF(S$4&gt;=$E275,$C275*MAX(0,1-(S$4-$E275)/$D275),0)</x:f>
        <x:v>0</x:v>
      </x:c>
      <x:c r="T275" s="169" t="n">
        <x:f>IF(T$4&gt;=$E275,$C275*MAX(0,1-(T$4-$E275)/$D275),0)</x:f>
        <x:v>0</x:v>
      </x:c>
      <x:c r="U275" s="169" t="n">
        <x:f>IF(U$4&gt;=$E275,$C275*MAX(0,1-(U$4-$E275)/$D275),0)</x:f>
        <x:v>0</x:v>
      </x:c>
      <x:c r="V275" s="169" t="n">
        <x:f>IF(V$4&gt;=$E275,$C275*MAX(0,1-(V$4-$E275)/$D275),0)</x:f>
        <x:v>0</x:v>
      </x:c>
      <x:c r="W275" s="169" t="n">
        <x:f>IF(W$4&gt;=$E275,$C275*MAX(0,1-(W$4-$E275)/$D275),0)</x:f>
        <x:v>0</x:v>
      </x:c>
      <x:c r="X275" s="169" t="n">
        <x:f>IF(X$4&gt;=$E275,$C275*MAX(0,1-(X$4-$E275)/$D275),0)</x:f>
        <x:v>0</x:v>
      </x:c>
      <x:c r="Y275" s="169" t="n">
        <x:f>IF(Y$4&gt;=$E275,$C275*MAX(0,1-(Y$4-$E275)/$D275),0)</x:f>
        <x:v>0</x:v>
      </x:c>
      <x:c r="Z275" s="169" t="n">
        <x:f>IF(Z$4&gt;=$E275,$C275*MAX(0,1-(Z$4-$E275)/$D275),0)</x:f>
        <x:v>1624613.0189720877</x:v>
      </x:c>
      <x:c r="AA275" s="169" t="n">
        <x:f>IF(AA$4&gt;=$E275,$C275*MAX(0,1-(AA$4-$E275)/$D275),0)</x:f>
        <x:v>1516305.4843739485</x:v>
      </x:c>
      <x:c r="AB275" s="169" t="n">
        <x:f>IF(AB$4&gt;=$E275,$C275*MAX(0,1-(AB$4-$E275)/$D275),0)</x:f>
        <x:v>1407997.9497758094</x:v>
      </x:c>
      <x:c r="AC275" s="169" t="n">
        <x:f>IF(AC$4&gt;=$E275,$C275*MAX(0,1-(AC$4-$E275)/$D275),0)</x:f>
        <x:v>1299690.4151776703</x:v>
      </x:c>
    </x:row>
    <x:row r="276" ht="20" customHeight="1">
      <x:c r="A276" s="170" t="str">
        <x:v>Hard assets</x:v>
      </x:c>
      <x:c r="B276" s="214" t="n">
        <x:v>2040</x:v>
      </x:c>
      <x:c r="C276" s="170" t="n">
        <x:f>'ROIC Cloud'!U$15*'ROIC Cloud'!$D$47</x:f>
        <x:v>1624613.0189720877</x:v>
      </x:c>
      <x:c r="D276" s="214" t="n">
        <x:f>'ROIC Cloud'!$D$43</x:f>
        <x:v>15</x:v>
      </x:c>
      <x:c r="E276" s="214" t="n">
        <x:f>B276+'ROIC Cloud'!$D$40</x:f>
        <x:v>2042</x:v>
      </x:c>
      <x:c r="F276" s="170" t="str">
        <x:v>Depreciation</x:v>
      </x:c>
      <x:c r="G276" s="169" t="n">
        <x:f>IF(G$4&gt;=$E275,MIN($C275/$D275,G275),0)</x:f>
        <x:v>0</x:v>
      </x:c>
      <x:c r="H276" s="169" t="n">
        <x:f>IF(H$4&gt;=$E275,MIN($C275/$D275,H275),0)</x:f>
        <x:v>0</x:v>
      </x:c>
      <x:c r="I276" s="169" t="n">
        <x:f>IF(I$4&gt;=$E275,MIN($C275/$D275,I275),0)</x:f>
        <x:v>0</x:v>
      </x:c>
      <x:c r="J276" s="169" t="n">
        <x:f>IF(J$4&gt;=$E275,MIN($C275/$D275,J275),0)</x:f>
        <x:v>0</x:v>
      </x:c>
      <x:c r="K276" s="169" t="n">
        <x:f>IF(K$4&gt;=$E275,MIN($C275/$D275,K275),0)</x:f>
        <x:v>0</x:v>
      </x:c>
      <x:c r="L276" s="169" t="n">
        <x:f>IF(L$4&gt;=$E275,MIN($C275/$D275,L275),0)</x:f>
        <x:v>0</x:v>
      </x:c>
      <x:c r="M276" s="169" t="n">
        <x:f>IF(M$4&gt;=$E275,MIN($C275/$D275,M275),0)</x:f>
        <x:v>0</x:v>
      </x:c>
      <x:c r="N276" s="169" t="n">
        <x:f>IF(N$4&gt;=$E275,MIN($C275/$D275,N275),0)</x:f>
        <x:v>0</x:v>
      </x:c>
      <x:c r="O276" s="169" t="n">
        <x:f>IF(O$4&gt;=$E275,MIN($C275/$D275,O275),0)</x:f>
        <x:v>0</x:v>
      </x:c>
      <x:c r="P276" s="169" t="n">
        <x:f>IF(P$4&gt;=$E275,MIN($C275/$D275,P275),0)</x:f>
        <x:v>0</x:v>
      </x:c>
      <x:c r="Q276" s="169" t="n">
        <x:f>IF(Q$4&gt;=$E275,MIN($C275/$D275,Q275),0)</x:f>
        <x:v>0</x:v>
      </x:c>
      <x:c r="R276" s="169" t="n">
        <x:f>IF(R$4&gt;=$E275,MIN($C275/$D275,R275),0)</x:f>
        <x:v>0</x:v>
      </x:c>
      <x:c r="S276" s="169" t="n">
        <x:f>IF(S$4&gt;=$E275,MIN($C275/$D275,S275),0)</x:f>
        <x:v>0</x:v>
      </x:c>
      <x:c r="T276" s="169" t="n">
        <x:f>IF(T$4&gt;=$E275,MIN($C275/$D275,T275),0)</x:f>
        <x:v>0</x:v>
      </x:c>
      <x:c r="U276" s="169" t="n">
        <x:f>IF(U$4&gt;=$E275,MIN($C275/$D275,U275),0)</x:f>
        <x:v>0</x:v>
      </x:c>
      <x:c r="V276" s="169" t="n">
        <x:f>IF(V$4&gt;=$E275,MIN($C275/$D275,V275),0)</x:f>
        <x:v>0</x:v>
      </x:c>
      <x:c r="W276" s="169" t="n">
        <x:f>IF(W$4&gt;=$E275,MIN($C275/$D275,W275),0)</x:f>
        <x:v>0</x:v>
      </x:c>
      <x:c r="X276" s="169" t="n">
        <x:f>IF(X$4&gt;=$E275,MIN($C275/$D275,X275),0)</x:f>
        <x:v>0</x:v>
      </x:c>
      <x:c r="Y276" s="169" t="n">
        <x:f>IF(Y$4&gt;=$E275,MIN($C275/$D275,Y275),0)</x:f>
        <x:v>0</x:v>
      </x:c>
      <x:c r="Z276" s="169" t="n">
        <x:f>IF(Z$4&gt;=$E275,MIN($C275/$D275,Z275),0)</x:f>
        <x:v>108307.53459813917</x:v>
      </x:c>
      <x:c r="AA276" s="169" t="n">
        <x:f>IF(AA$4&gt;=$E275,MIN($C275/$D275,AA275),0)</x:f>
        <x:v>108307.53459813917</x:v>
      </x:c>
      <x:c r="AB276" s="169" t="n">
        <x:f>IF(AB$4&gt;=$E275,MIN($C275/$D275,AB275),0)</x:f>
        <x:v>108307.53459813917</x:v>
      </x:c>
      <x:c r="AC276" s="169" t="n">
        <x:f>IF(AC$4&gt;=$E275,MIN($C275/$D275,AC275),0)</x:f>
        <x:v>108307.53459813917</x:v>
      </x:c>
    </x:row>
    <x:row r="277" ht="20" customHeight="1">
      <x:c r="A277" s="170" t="str">
        <x:v>Hard assets</x:v>
      </x:c>
      <x:c r="B277" s="214" t="n">
        <x:v>2040</x:v>
      </x:c>
      <x:c r="C277" s="170" t="n">
        <x:f>'ROIC Cloud'!U$15*'ROIC Cloud'!$D$47</x:f>
        <x:v>1624613.0189720877</x:v>
      </x:c>
      <x:c r="D277" s="214" t="n">
        <x:f>'ROIC Cloud'!$D$43</x:f>
        <x:v>15</x:v>
      </x:c>
      <x:c r="E277" s="214" t="n">
        <x:f>B277+'ROIC Cloud'!$D$40</x:f>
        <x:v>2042</x:v>
      </x:c>
      <x:c r="F277" s="170" t="str">
        <x:v>Closing NBV</x:v>
      </x:c>
      <x:c r="G277" s="169" t="n">
        <x:f>MAX(0,G275-G276)</x:f>
        <x:v>0</x:v>
      </x:c>
      <x:c r="H277" s="169" t="n">
        <x:f>MAX(0,H275-H276)</x:f>
        <x:v>0</x:v>
      </x:c>
      <x:c r="I277" s="169" t="n">
        <x:f>MAX(0,I275-I276)</x:f>
        <x:v>0</x:v>
      </x:c>
      <x:c r="J277" s="169" t="n">
        <x:f>MAX(0,J275-J276)</x:f>
        <x:v>0</x:v>
      </x:c>
      <x:c r="K277" s="169" t="n">
        <x:f>MAX(0,K275-K276)</x:f>
        <x:v>0</x:v>
      </x:c>
      <x:c r="L277" s="169" t="n">
        <x:f>MAX(0,L275-L276)</x:f>
        <x:v>0</x:v>
      </x:c>
      <x:c r="M277" s="169" t="n">
        <x:f>MAX(0,M275-M276)</x:f>
        <x:v>0</x:v>
      </x:c>
      <x:c r="N277" s="169" t="n">
        <x:f>MAX(0,N275-N276)</x:f>
        <x:v>0</x:v>
      </x:c>
      <x:c r="O277" s="169" t="n">
        <x:f>MAX(0,O275-O276)</x:f>
        <x:v>0</x:v>
      </x:c>
      <x:c r="P277" s="169" t="n">
        <x:f>MAX(0,P275-P276)</x:f>
        <x:v>0</x:v>
      </x:c>
      <x:c r="Q277" s="169" t="n">
        <x:f>MAX(0,Q275-Q276)</x:f>
        <x:v>0</x:v>
      </x:c>
      <x:c r="R277" s="169" t="n">
        <x:f>MAX(0,R275-R276)</x:f>
        <x:v>0</x:v>
      </x:c>
      <x:c r="S277" s="169" t="n">
        <x:f>MAX(0,S275-S276)</x:f>
        <x:v>0</x:v>
      </x:c>
      <x:c r="T277" s="169" t="n">
        <x:f>MAX(0,T275-T276)</x:f>
        <x:v>0</x:v>
      </x:c>
      <x:c r="U277" s="169" t="n">
        <x:f>MAX(0,U275-U276)</x:f>
        <x:v>0</x:v>
      </x:c>
      <x:c r="V277" s="169" t="n">
        <x:f>MAX(0,V275-V276)</x:f>
        <x:v>0</x:v>
      </x:c>
      <x:c r="W277" s="169" t="n">
        <x:f>MAX(0,W275-W276)</x:f>
        <x:v>0</x:v>
      </x:c>
      <x:c r="X277" s="169" t="n">
        <x:f>MAX(0,X275-X276)</x:f>
        <x:v>0</x:v>
      </x:c>
      <x:c r="Y277" s="169" t="n">
        <x:f>MAX(0,Y275-Y276)</x:f>
        <x:v>0</x:v>
      </x:c>
      <x:c r="Z277" s="169" t="n">
        <x:f>MAX(0,Z275-Z276)</x:f>
        <x:v>1516305.4843739485</x:v>
      </x:c>
      <x:c r="AA277" s="169" t="n">
        <x:f>MAX(0,AA275-AA276)</x:f>
        <x:v>1407997.9497758094</x:v>
      </x:c>
      <x:c r="AB277" s="169" t="n">
        <x:f>MAX(0,AB275-AB276)</x:f>
        <x:v>1299690.4151776703</x:v>
      </x:c>
      <x:c r="AC277" s="169" t="n">
        <x:f>MAX(0,AC275-AC276)</x:f>
        <x:v>1191382.8805795312</x:v>
      </x:c>
    </x:row>
    <x:row r="278" ht="20" customHeight="1">
      <x:c r="A278" s="170" t="str">
        <x:v>Hard assets</x:v>
      </x:c>
      <x:c r="B278" s="214" t="n">
        <x:v>2040</x:v>
      </x:c>
      <x:c r="C278" s="170" t="n">
        <x:f>'ROIC Cloud'!U$15*'ROIC Cloud'!$D$47</x:f>
        <x:v>1624613.0189720877</x:v>
      </x:c>
      <x:c r="D278" s="214" t="n">
        <x:f>'ROIC Cloud'!$D$43</x:f>
        <x:v>15</x:v>
      </x:c>
      <x:c r="E278" s="214" t="n">
        <x:f>B278+'ROIC Cloud'!$D$40</x:f>
        <x:v>2042</x:v>
      </x:c>
      <x:c r="F278" s="170" t="str">
        <x:v>Average NBV</x:v>
      </x:c>
      <x:c r="G278" s="169" t="n">
        <x:f>(G275+G277)/2</x:f>
        <x:v>0</x:v>
      </x:c>
      <x:c r="H278" s="169" t="n">
        <x:f>(H275+H277)/2</x:f>
        <x:v>0</x:v>
      </x:c>
      <x:c r="I278" s="169" t="n">
        <x:f>(I275+I277)/2</x:f>
        <x:v>0</x:v>
      </x:c>
      <x:c r="J278" s="169" t="n">
        <x:f>(J275+J277)/2</x:f>
        <x:v>0</x:v>
      </x:c>
      <x:c r="K278" s="169" t="n">
        <x:f>(K275+K277)/2</x:f>
        <x:v>0</x:v>
      </x:c>
      <x:c r="L278" s="169" t="n">
        <x:f>(L275+L277)/2</x:f>
        <x:v>0</x:v>
      </x:c>
      <x:c r="M278" s="169" t="n">
        <x:f>(M275+M277)/2</x:f>
        <x:v>0</x:v>
      </x:c>
      <x:c r="N278" s="169" t="n">
        <x:f>(N275+N277)/2</x:f>
        <x:v>0</x:v>
      </x:c>
      <x:c r="O278" s="169" t="n">
        <x:f>(O275+O277)/2</x:f>
        <x:v>0</x:v>
      </x:c>
      <x:c r="P278" s="169" t="n">
        <x:f>(P275+P277)/2</x:f>
        <x:v>0</x:v>
      </x:c>
      <x:c r="Q278" s="169" t="n">
        <x:f>(Q275+Q277)/2</x:f>
        <x:v>0</x:v>
      </x:c>
      <x:c r="R278" s="169" t="n">
        <x:f>(R275+R277)/2</x:f>
        <x:v>0</x:v>
      </x:c>
      <x:c r="S278" s="169" t="n">
        <x:f>(S275+S277)/2</x:f>
        <x:v>0</x:v>
      </x:c>
      <x:c r="T278" s="169" t="n">
        <x:f>(T275+T277)/2</x:f>
        <x:v>0</x:v>
      </x:c>
      <x:c r="U278" s="169" t="n">
        <x:f>(U275+U277)/2</x:f>
        <x:v>0</x:v>
      </x:c>
      <x:c r="V278" s="169" t="n">
        <x:f>(V275+V277)/2</x:f>
        <x:v>0</x:v>
      </x:c>
      <x:c r="W278" s="169" t="n">
        <x:f>(W275+W277)/2</x:f>
        <x:v>0</x:v>
      </x:c>
      <x:c r="X278" s="169" t="n">
        <x:f>(X275+X277)/2</x:f>
        <x:v>0</x:v>
      </x:c>
      <x:c r="Y278" s="169" t="n">
        <x:f>(Y275+Y277)/2</x:f>
        <x:v>0</x:v>
      </x:c>
      <x:c r="Z278" s="169" t="n">
        <x:f>(Z275+Z277)/2</x:f>
        <x:v>1570459.251673018</x:v>
      </x:c>
      <x:c r="AA278" s="169" t="n">
        <x:f>(AA275+AA277)/2</x:f>
        <x:v>1462151.717074879</x:v>
      </x:c>
      <x:c r="AB278" s="169" t="n">
        <x:f>(AB275+AB277)/2</x:f>
        <x:v>1353844.1824767399</x:v>
      </x:c>
      <x:c r="AC278" s="169" t="n">
        <x:f>(AC275+AC277)/2</x:f>
        <x:v>1245536.6478786008</x:v>
      </x:c>
    </x:row>
    <x:row r="279" ht="20" customHeight="1">
      <x:c r="A279" s="170" t="str">
        <x:v>Hard assets</x:v>
      </x:c>
      <x:c r="B279" s="214" t="n">
        <x:v>2041</x:v>
      </x:c>
      <x:c r="C279" s="170" t="n">
        <x:f>'ROIC Cloud'!V$15*'ROIC Cloud'!$D$47</x:f>
        <x:v>1754582.0604898545</x:v>
      </x:c>
      <x:c r="D279" s="214" t="n">
        <x:f>'ROIC Cloud'!$D$43</x:f>
        <x:v>15</x:v>
      </x:c>
      <x:c r="E279" s="214" t="n">
        <x:f>B279+'ROIC Cloud'!$D$40</x:f>
        <x:v>2043</x:v>
      </x:c>
      <x:c r="F279" s="170" t="str">
        <x:v>Opening NBV</x:v>
      </x:c>
      <x:c r="G279" s="169" t="n">
        <x:f>IF(G$4&gt;=$E279,$C279*MAX(0,1-(G$4-$E279)/$D279),0)</x:f>
        <x:v>0</x:v>
      </x:c>
      <x:c r="H279" s="169" t="n">
        <x:f>IF(H$4&gt;=$E279,$C279*MAX(0,1-(H$4-$E279)/$D279),0)</x:f>
        <x:v>0</x:v>
      </x:c>
      <x:c r="I279" s="169" t="n">
        <x:f>IF(I$4&gt;=$E279,$C279*MAX(0,1-(I$4-$E279)/$D279),0)</x:f>
        <x:v>0</x:v>
      </x:c>
      <x:c r="J279" s="169" t="n">
        <x:f>IF(J$4&gt;=$E279,$C279*MAX(0,1-(J$4-$E279)/$D279),0)</x:f>
        <x:v>0</x:v>
      </x:c>
      <x:c r="K279" s="169" t="n">
        <x:f>IF(K$4&gt;=$E279,$C279*MAX(0,1-(K$4-$E279)/$D279),0)</x:f>
        <x:v>0</x:v>
      </x:c>
      <x:c r="L279" s="169" t="n">
        <x:f>IF(L$4&gt;=$E279,$C279*MAX(0,1-(L$4-$E279)/$D279),0)</x:f>
        <x:v>0</x:v>
      </x:c>
      <x:c r="M279" s="169" t="n">
        <x:f>IF(M$4&gt;=$E279,$C279*MAX(0,1-(M$4-$E279)/$D279),0)</x:f>
        <x:v>0</x:v>
      </x:c>
      <x:c r="N279" s="169" t="n">
        <x:f>IF(N$4&gt;=$E279,$C279*MAX(0,1-(N$4-$E279)/$D279),0)</x:f>
        <x:v>0</x:v>
      </x:c>
      <x:c r="O279" s="169" t="n">
        <x:f>IF(O$4&gt;=$E279,$C279*MAX(0,1-(O$4-$E279)/$D279),0)</x:f>
        <x:v>0</x:v>
      </x:c>
      <x:c r="P279" s="169" t="n">
        <x:f>IF(P$4&gt;=$E279,$C279*MAX(0,1-(P$4-$E279)/$D279),0)</x:f>
        <x:v>0</x:v>
      </x:c>
      <x:c r="Q279" s="169" t="n">
        <x:f>IF(Q$4&gt;=$E279,$C279*MAX(0,1-(Q$4-$E279)/$D279),0)</x:f>
        <x:v>0</x:v>
      </x:c>
      <x:c r="R279" s="169" t="n">
        <x:f>IF(R$4&gt;=$E279,$C279*MAX(0,1-(R$4-$E279)/$D279),0)</x:f>
        <x:v>0</x:v>
      </x:c>
      <x:c r="S279" s="169" t="n">
        <x:f>IF(S$4&gt;=$E279,$C279*MAX(0,1-(S$4-$E279)/$D279),0)</x:f>
        <x:v>0</x:v>
      </x:c>
      <x:c r="T279" s="169" t="n">
        <x:f>IF(T$4&gt;=$E279,$C279*MAX(0,1-(T$4-$E279)/$D279),0)</x:f>
        <x:v>0</x:v>
      </x:c>
      <x:c r="U279" s="169" t="n">
        <x:f>IF(U$4&gt;=$E279,$C279*MAX(0,1-(U$4-$E279)/$D279),0)</x:f>
        <x:v>0</x:v>
      </x:c>
      <x:c r="V279" s="169" t="n">
        <x:f>IF(V$4&gt;=$E279,$C279*MAX(0,1-(V$4-$E279)/$D279),0)</x:f>
        <x:v>0</x:v>
      </x:c>
      <x:c r="W279" s="169" t="n">
        <x:f>IF(W$4&gt;=$E279,$C279*MAX(0,1-(W$4-$E279)/$D279),0)</x:f>
        <x:v>0</x:v>
      </x:c>
      <x:c r="X279" s="169" t="n">
        <x:f>IF(X$4&gt;=$E279,$C279*MAX(0,1-(X$4-$E279)/$D279),0)</x:f>
        <x:v>0</x:v>
      </x:c>
      <x:c r="Y279" s="169" t="n">
        <x:f>IF(Y$4&gt;=$E279,$C279*MAX(0,1-(Y$4-$E279)/$D279),0)</x:f>
        <x:v>0</x:v>
      </x:c>
      <x:c r="Z279" s="169" t="n">
        <x:f>IF(Z$4&gt;=$E279,$C279*MAX(0,1-(Z$4-$E279)/$D279),0)</x:f>
        <x:v>0</x:v>
      </x:c>
      <x:c r="AA279" s="169" t="n">
        <x:f>IF(AA$4&gt;=$E279,$C279*MAX(0,1-(AA$4-$E279)/$D279),0)</x:f>
        <x:v>1754582.0604898545</x:v>
      </x:c>
      <x:c r="AB279" s="169" t="n">
        <x:f>IF(AB$4&gt;=$E279,$C279*MAX(0,1-(AB$4-$E279)/$D279),0)</x:f>
        <x:v>1637609.9231238642</x:v>
      </x:c>
      <x:c r="AC279" s="169" t="n">
        <x:f>IF(AC$4&gt;=$E279,$C279*MAX(0,1-(AC$4-$E279)/$D279),0)</x:f>
        <x:v>1520637.785757874</x:v>
      </x:c>
    </x:row>
    <x:row r="280" ht="20" customHeight="1">
      <x:c r="A280" s="170" t="str">
        <x:v>Hard assets</x:v>
      </x:c>
      <x:c r="B280" s="214" t="n">
        <x:v>2041</x:v>
      </x:c>
      <x:c r="C280" s="170" t="n">
        <x:f>'ROIC Cloud'!V$15*'ROIC Cloud'!$D$47</x:f>
        <x:v>1754582.0604898545</x:v>
      </x:c>
      <x:c r="D280" s="214" t="n">
        <x:f>'ROIC Cloud'!$D$43</x:f>
        <x:v>15</x:v>
      </x:c>
      <x:c r="E280" s="214" t="n">
        <x:f>B280+'ROIC Cloud'!$D$40</x:f>
        <x:v>2043</x:v>
      </x:c>
      <x:c r="F280" s="170" t="str">
        <x:v>Depreciation</x:v>
      </x:c>
      <x:c r="G280" s="169" t="n">
        <x:f>IF(G$4&gt;=$E279,MIN($C279/$D279,G279),0)</x:f>
        <x:v>0</x:v>
      </x:c>
      <x:c r="H280" s="169" t="n">
        <x:f>IF(H$4&gt;=$E279,MIN($C279/$D279,H279),0)</x:f>
        <x:v>0</x:v>
      </x:c>
      <x:c r="I280" s="169" t="n">
        <x:f>IF(I$4&gt;=$E279,MIN($C279/$D279,I279),0)</x:f>
        <x:v>0</x:v>
      </x:c>
      <x:c r="J280" s="169" t="n">
        <x:f>IF(J$4&gt;=$E279,MIN($C279/$D279,J279),0)</x:f>
        <x:v>0</x:v>
      </x:c>
      <x:c r="K280" s="169" t="n">
        <x:f>IF(K$4&gt;=$E279,MIN($C279/$D279,K279),0)</x:f>
        <x:v>0</x:v>
      </x:c>
      <x:c r="L280" s="169" t="n">
        <x:f>IF(L$4&gt;=$E279,MIN($C279/$D279,L279),0)</x:f>
        <x:v>0</x:v>
      </x:c>
      <x:c r="M280" s="169" t="n">
        <x:f>IF(M$4&gt;=$E279,MIN($C279/$D279,M279),0)</x:f>
        <x:v>0</x:v>
      </x:c>
      <x:c r="N280" s="169" t="n">
        <x:f>IF(N$4&gt;=$E279,MIN($C279/$D279,N279),0)</x:f>
        <x:v>0</x:v>
      </x:c>
      <x:c r="O280" s="169" t="n">
        <x:f>IF(O$4&gt;=$E279,MIN($C279/$D279,O279),0)</x:f>
        <x:v>0</x:v>
      </x:c>
      <x:c r="P280" s="169" t="n">
        <x:f>IF(P$4&gt;=$E279,MIN($C279/$D279,P279),0)</x:f>
        <x:v>0</x:v>
      </x:c>
      <x:c r="Q280" s="169" t="n">
        <x:f>IF(Q$4&gt;=$E279,MIN($C279/$D279,Q279),0)</x:f>
        <x:v>0</x:v>
      </x:c>
      <x:c r="R280" s="169" t="n">
        <x:f>IF(R$4&gt;=$E279,MIN($C279/$D279,R279),0)</x:f>
        <x:v>0</x:v>
      </x:c>
      <x:c r="S280" s="169" t="n">
        <x:f>IF(S$4&gt;=$E279,MIN($C279/$D279,S279),0)</x:f>
        <x:v>0</x:v>
      </x:c>
      <x:c r="T280" s="169" t="n">
        <x:f>IF(T$4&gt;=$E279,MIN($C279/$D279,T279),0)</x:f>
        <x:v>0</x:v>
      </x:c>
      <x:c r="U280" s="169" t="n">
        <x:f>IF(U$4&gt;=$E279,MIN($C279/$D279,U279),0)</x:f>
        <x:v>0</x:v>
      </x:c>
      <x:c r="V280" s="169" t="n">
        <x:f>IF(V$4&gt;=$E279,MIN($C279/$D279,V279),0)</x:f>
        <x:v>0</x:v>
      </x:c>
      <x:c r="W280" s="169" t="n">
        <x:f>IF(W$4&gt;=$E279,MIN($C279/$D279,W279),0)</x:f>
        <x:v>0</x:v>
      </x:c>
      <x:c r="X280" s="169" t="n">
        <x:f>IF(X$4&gt;=$E279,MIN($C279/$D279,X279),0)</x:f>
        <x:v>0</x:v>
      </x:c>
      <x:c r="Y280" s="169" t="n">
        <x:f>IF(Y$4&gt;=$E279,MIN($C279/$D279,Y279),0)</x:f>
        <x:v>0</x:v>
      </x:c>
      <x:c r="Z280" s="169" t="n">
        <x:f>IF(Z$4&gt;=$E279,MIN($C279/$D279,Z279),0)</x:f>
        <x:v>0</x:v>
      </x:c>
      <x:c r="AA280" s="169" t="n">
        <x:f>IF(AA$4&gt;=$E279,MIN($C279/$D279,AA279),0)</x:f>
        <x:v>116972.1373659903</x:v>
      </x:c>
      <x:c r="AB280" s="169" t="n">
        <x:f>IF(AB$4&gt;=$E279,MIN($C279/$D279,AB279),0)</x:f>
        <x:v>116972.1373659903</x:v>
      </x:c>
      <x:c r="AC280" s="169" t="n">
        <x:f>IF(AC$4&gt;=$E279,MIN($C279/$D279,AC279),0)</x:f>
        <x:v>116972.1373659903</x:v>
      </x:c>
    </x:row>
    <x:row r="281" ht="20" customHeight="1">
      <x:c r="A281" s="170" t="str">
        <x:v>Hard assets</x:v>
      </x:c>
      <x:c r="B281" s="214" t="n">
        <x:v>2041</x:v>
      </x:c>
      <x:c r="C281" s="170" t="n">
        <x:f>'ROIC Cloud'!V$15*'ROIC Cloud'!$D$47</x:f>
        <x:v>1754582.0604898545</x:v>
      </x:c>
      <x:c r="D281" s="214" t="n">
        <x:f>'ROIC Cloud'!$D$43</x:f>
        <x:v>15</x:v>
      </x:c>
      <x:c r="E281" s="214" t="n">
        <x:f>B281+'ROIC Cloud'!$D$40</x:f>
        <x:v>2043</x:v>
      </x:c>
      <x:c r="F281" s="170" t="str">
        <x:v>Closing NBV</x:v>
      </x:c>
      <x:c r="G281" s="169" t="n">
        <x:f>MAX(0,G279-G280)</x:f>
        <x:v>0</x:v>
      </x:c>
      <x:c r="H281" s="169" t="n">
        <x:f>MAX(0,H279-H280)</x:f>
        <x:v>0</x:v>
      </x:c>
      <x:c r="I281" s="169" t="n">
        <x:f>MAX(0,I279-I280)</x:f>
        <x:v>0</x:v>
      </x:c>
      <x:c r="J281" s="169" t="n">
        <x:f>MAX(0,J279-J280)</x:f>
        <x:v>0</x:v>
      </x:c>
      <x:c r="K281" s="169" t="n">
        <x:f>MAX(0,K279-K280)</x:f>
        <x:v>0</x:v>
      </x:c>
      <x:c r="L281" s="169" t="n">
        <x:f>MAX(0,L279-L280)</x:f>
        <x:v>0</x:v>
      </x:c>
      <x:c r="M281" s="169" t="n">
        <x:f>MAX(0,M279-M280)</x:f>
        <x:v>0</x:v>
      </x:c>
      <x:c r="N281" s="169" t="n">
        <x:f>MAX(0,N279-N280)</x:f>
        <x:v>0</x:v>
      </x:c>
      <x:c r="O281" s="169" t="n">
        <x:f>MAX(0,O279-O280)</x:f>
        <x:v>0</x:v>
      </x:c>
      <x:c r="P281" s="169" t="n">
        <x:f>MAX(0,P279-P280)</x:f>
        <x:v>0</x:v>
      </x:c>
      <x:c r="Q281" s="169" t="n">
        <x:f>MAX(0,Q279-Q280)</x:f>
        <x:v>0</x:v>
      </x:c>
      <x:c r="R281" s="169" t="n">
        <x:f>MAX(0,R279-R280)</x:f>
        <x:v>0</x:v>
      </x:c>
      <x:c r="S281" s="169" t="n">
        <x:f>MAX(0,S279-S280)</x:f>
        <x:v>0</x:v>
      </x:c>
      <x:c r="T281" s="169" t="n">
        <x:f>MAX(0,T279-T280)</x:f>
        <x:v>0</x:v>
      </x:c>
      <x:c r="U281" s="169" t="n">
        <x:f>MAX(0,U279-U280)</x:f>
        <x:v>0</x:v>
      </x:c>
      <x:c r="V281" s="169" t="n">
        <x:f>MAX(0,V279-V280)</x:f>
        <x:v>0</x:v>
      </x:c>
      <x:c r="W281" s="169" t="n">
        <x:f>MAX(0,W279-W280)</x:f>
        <x:v>0</x:v>
      </x:c>
      <x:c r="X281" s="169" t="n">
        <x:f>MAX(0,X279-X280)</x:f>
        <x:v>0</x:v>
      </x:c>
      <x:c r="Y281" s="169" t="n">
        <x:f>MAX(0,Y279-Y280)</x:f>
        <x:v>0</x:v>
      </x:c>
      <x:c r="Z281" s="169" t="n">
        <x:f>MAX(0,Z279-Z280)</x:f>
        <x:v>0</x:v>
      </x:c>
      <x:c r="AA281" s="169" t="n">
        <x:f>MAX(0,AA279-AA280)</x:f>
        <x:v>1637609.9231238642</x:v>
      </x:c>
      <x:c r="AB281" s="169" t="n">
        <x:f>MAX(0,AB279-AB280)</x:f>
        <x:v>1520637.785757874</x:v>
      </x:c>
      <x:c r="AC281" s="169" t="n">
        <x:f>MAX(0,AC279-AC280)</x:f>
        <x:v>1403665.6483918836</x:v>
      </x:c>
    </x:row>
    <x:row r="282" ht="20" customHeight="1">
      <x:c r="A282" s="170" t="str">
        <x:v>Hard assets</x:v>
      </x:c>
      <x:c r="B282" s="214" t="n">
        <x:v>2041</x:v>
      </x:c>
      <x:c r="C282" s="170" t="n">
        <x:f>'ROIC Cloud'!V$15*'ROIC Cloud'!$D$47</x:f>
        <x:v>1754582.0604898545</x:v>
      </x:c>
      <x:c r="D282" s="214" t="n">
        <x:f>'ROIC Cloud'!$D$43</x:f>
        <x:v>15</x:v>
      </x:c>
      <x:c r="E282" s="214" t="n">
        <x:f>B282+'ROIC Cloud'!$D$40</x:f>
        <x:v>2043</x:v>
      </x:c>
      <x:c r="F282" s="170" t="str">
        <x:v>Average NBV</x:v>
      </x:c>
      <x:c r="G282" s="169" t="n">
        <x:f>(G279+G281)/2</x:f>
        <x:v>0</x:v>
      </x:c>
      <x:c r="H282" s="169" t="n">
        <x:f>(H279+H281)/2</x:f>
        <x:v>0</x:v>
      </x:c>
      <x:c r="I282" s="169" t="n">
        <x:f>(I279+I281)/2</x:f>
        <x:v>0</x:v>
      </x:c>
      <x:c r="J282" s="169" t="n">
        <x:f>(J279+J281)/2</x:f>
        <x:v>0</x:v>
      </x:c>
      <x:c r="K282" s="169" t="n">
        <x:f>(K279+K281)/2</x:f>
        <x:v>0</x:v>
      </x:c>
      <x:c r="L282" s="169" t="n">
        <x:f>(L279+L281)/2</x:f>
        <x:v>0</x:v>
      </x:c>
      <x:c r="M282" s="169" t="n">
        <x:f>(M279+M281)/2</x:f>
        <x:v>0</x:v>
      </x:c>
      <x:c r="N282" s="169" t="n">
        <x:f>(N279+N281)/2</x:f>
        <x:v>0</x:v>
      </x:c>
      <x:c r="O282" s="169" t="n">
        <x:f>(O279+O281)/2</x:f>
        <x:v>0</x:v>
      </x:c>
      <x:c r="P282" s="169" t="n">
        <x:f>(P279+P281)/2</x:f>
        <x:v>0</x:v>
      </x:c>
      <x:c r="Q282" s="169" t="n">
        <x:f>(Q279+Q281)/2</x:f>
        <x:v>0</x:v>
      </x:c>
      <x:c r="R282" s="169" t="n">
        <x:f>(R279+R281)/2</x:f>
        <x:v>0</x:v>
      </x:c>
      <x:c r="S282" s="169" t="n">
        <x:f>(S279+S281)/2</x:f>
        <x:v>0</x:v>
      </x:c>
      <x:c r="T282" s="169" t="n">
        <x:f>(T279+T281)/2</x:f>
        <x:v>0</x:v>
      </x:c>
      <x:c r="U282" s="169" t="n">
        <x:f>(U279+U281)/2</x:f>
        <x:v>0</x:v>
      </x:c>
      <x:c r="V282" s="169" t="n">
        <x:f>(V279+V281)/2</x:f>
        <x:v>0</x:v>
      </x:c>
      <x:c r="W282" s="169" t="n">
        <x:f>(W279+W281)/2</x:f>
        <x:v>0</x:v>
      </x:c>
      <x:c r="X282" s="169" t="n">
        <x:f>(X279+X281)/2</x:f>
        <x:v>0</x:v>
      </x:c>
      <x:c r="Y282" s="169" t="n">
        <x:f>(Y279+Y281)/2</x:f>
        <x:v>0</x:v>
      </x:c>
      <x:c r="Z282" s="169" t="n">
        <x:f>(Z279+Z281)/2</x:f>
        <x:v>0</x:v>
      </x:c>
      <x:c r="AA282" s="169" t="n">
        <x:f>(AA279+AA281)/2</x:f>
        <x:v>1696095.9918068594</x:v>
      </x:c>
      <x:c r="AB282" s="169" t="n">
        <x:f>(AB279+AB281)/2</x:f>
        <x:v>1579123.854440869</x:v>
      </x:c>
      <x:c r="AC282" s="169" t="n">
        <x:f>(AC279+AC281)/2</x:f>
        <x:v>1462151.7170748787</x:v>
      </x:c>
    </x:row>
    <x:row r="283" ht="20" customHeight="1">
      <x:c r="A283" s="170" t="str">
        <x:v>Hard assets</x:v>
      </x:c>
      <x:c r="B283" s="214" t="n">
        <x:v>2042</x:v>
      </x:c>
      <x:c r="C283" s="170" t="n">
        <x:f>'ROIC Cloud'!W$15*'ROIC Cloud'!$D$47</x:f>
        <x:v>1894948.625329043</x:v>
      </x:c>
      <x:c r="D283" s="214" t="n">
        <x:f>'ROIC Cloud'!$D$43</x:f>
        <x:v>15</x:v>
      </x:c>
      <x:c r="E283" s="214" t="n">
        <x:f>B283+'ROIC Cloud'!$D$40</x:f>
        <x:v>2044</x:v>
      </x:c>
      <x:c r="F283" s="170" t="str">
        <x:v>Opening NBV</x:v>
      </x:c>
      <x:c r="G283" s="169" t="n">
        <x:f>IF(G$4&gt;=$E283,$C283*MAX(0,1-(G$4-$E283)/$D283),0)</x:f>
        <x:v>0</x:v>
      </x:c>
      <x:c r="H283" s="169" t="n">
        <x:f>IF(H$4&gt;=$E283,$C283*MAX(0,1-(H$4-$E283)/$D283),0)</x:f>
        <x:v>0</x:v>
      </x:c>
      <x:c r="I283" s="169" t="n">
        <x:f>IF(I$4&gt;=$E283,$C283*MAX(0,1-(I$4-$E283)/$D283),0)</x:f>
        <x:v>0</x:v>
      </x:c>
      <x:c r="J283" s="169" t="n">
        <x:f>IF(J$4&gt;=$E283,$C283*MAX(0,1-(J$4-$E283)/$D283),0)</x:f>
        <x:v>0</x:v>
      </x:c>
      <x:c r="K283" s="169" t="n">
        <x:f>IF(K$4&gt;=$E283,$C283*MAX(0,1-(K$4-$E283)/$D283),0)</x:f>
        <x:v>0</x:v>
      </x:c>
      <x:c r="L283" s="169" t="n">
        <x:f>IF(L$4&gt;=$E283,$C283*MAX(0,1-(L$4-$E283)/$D283),0)</x:f>
        <x:v>0</x:v>
      </x:c>
      <x:c r="M283" s="169" t="n">
        <x:f>IF(M$4&gt;=$E283,$C283*MAX(0,1-(M$4-$E283)/$D283),0)</x:f>
        <x:v>0</x:v>
      </x:c>
      <x:c r="N283" s="169" t="n">
        <x:f>IF(N$4&gt;=$E283,$C283*MAX(0,1-(N$4-$E283)/$D283),0)</x:f>
        <x:v>0</x:v>
      </x:c>
      <x:c r="O283" s="169" t="n">
        <x:f>IF(O$4&gt;=$E283,$C283*MAX(0,1-(O$4-$E283)/$D283),0)</x:f>
        <x:v>0</x:v>
      </x:c>
      <x:c r="P283" s="169" t="n">
        <x:f>IF(P$4&gt;=$E283,$C283*MAX(0,1-(P$4-$E283)/$D283),0)</x:f>
        <x:v>0</x:v>
      </x:c>
      <x:c r="Q283" s="169" t="n">
        <x:f>IF(Q$4&gt;=$E283,$C283*MAX(0,1-(Q$4-$E283)/$D283),0)</x:f>
        <x:v>0</x:v>
      </x:c>
      <x:c r="R283" s="169" t="n">
        <x:f>IF(R$4&gt;=$E283,$C283*MAX(0,1-(R$4-$E283)/$D283),0)</x:f>
        <x:v>0</x:v>
      </x:c>
      <x:c r="S283" s="169" t="n">
        <x:f>IF(S$4&gt;=$E283,$C283*MAX(0,1-(S$4-$E283)/$D283),0)</x:f>
        <x:v>0</x:v>
      </x:c>
      <x:c r="T283" s="169" t="n">
        <x:f>IF(T$4&gt;=$E283,$C283*MAX(0,1-(T$4-$E283)/$D283),0)</x:f>
        <x:v>0</x:v>
      </x:c>
      <x:c r="U283" s="169" t="n">
        <x:f>IF(U$4&gt;=$E283,$C283*MAX(0,1-(U$4-$E283)/$D283),0)</x:f>
        <x:v>0</x:v>
      </x:c>
      <x:c r="V283" s="169" t="n">
        <x:f>IF(V$4&gt;=$E283,$C283*MAX(0,1-(V$4-$E283)/$D283),0)</x:f>
        <x:v>0</x:v>
      </x:c>
      <x:c r="W283" s="169" t="n">
        <x:f>IF(W$4&gt;=$E283,$C283*MAX(0,1-(W$4-$E283)/$D283),0)</x:f>
        <x:v>0</x:v>
      </x:c>
      <x:c r="X283" s="169" t="n">
        <x:f>IF(X$4&gt;=$E283,$C283*MAX(0,1-(X$4-$E283)/$D283),0)</x:f>
        <x:v>0</x:v>
      </x:c>
      <x:c r="Y283" s="169" t="n">
        <x:f>IF(Y$4&gt;=$E283,$C283*MAX(0,1-(Y$4-$E283)/$D283),0)</x:f>
        <x:v>0</x:v>
      </x:c>
      <x:c r="Z283" s="169" t="n">
        <x:f>IF(Z$4&gt;=$E283,$C283*MAX(0,1-(Z$4-$E283)/$D283),0)</x:f>
        <x:v>0</x:v>
      </x:c>
      <x:c r="AA283" s="169" t="n">
        <x:f>IF(AA$4&gt;=$E283,$C283*MAX(0,1-(AA$4-$E283)/$D283),0)</x:f>
        <x:v>0</x:v>
      </x:c>
      <x:c r="AB283" s="169" t="n">
        <x:f>IF(AB$4&gt;=$E283,$C283*MAX(0,1-(AB$4-$E283)/$D283),0)</x:f>
        <x:v>1894948.625329043</x:v>
      </x:c>
      <x:c r="AC283" s="169" t="n">
        <x:f>IF(AC$4&gt;=$E283,$C283*MAX(0,1-(AC$4-$E283)/$D283),0)</x:f>
        <x:v>1768618.7169737734</x:v>
      </x:c>
    </x:row>
    <x:row r="284" ht="20" customHeight="1">
      <x:c r="A284" s="170" t="str">
        <x:v>Hard assets</x:v>
      </x:c>
      <x:c r="B284" s="214" t="n">
        <x:v>2042</x:v>
      </x:c>
      <x:c r="C284" s="170" t="n">
        <x:f>'ROIC Cloud'!W$15*'ROIC Cloud'!$D$47</x:f>
        <x:v>1894948.625329043</x:v>
      </x:c>
      <x:c r="D284" s="214" t="n">
        <x:f>'ROIC Cloud'!$D$43</x:f>
        <x:v>15</x:v>
      </x:c>
      <x:c r="E284" s="214" t="n">
        <x:f>B284+'ROIC Cloud'!$D$40</x:f>
        <x:v>2044</x:v>
      </x:c>
      <x:c r="F284" s="170" t="str">
        <x:v>Depreciation</x:v>
      </x:c>
      <x:c r="G284" s="169" t="n">
        <x:f>IF(G$4&gt;=$E283,MIN($C283/$D283,G283),0)</x:f>
        <x:v>0</x:v>
      </x:c>
      <x:c r="H284" s="169" t="n">
        <x:f>IF(H$4&gt;=$E283,MIN($C283/$D283,H283),0)</x:f>
        <x:v>0</x:v>
      </x:c>
      <x:c r="I284" s="169" t="n">
        <x:f>IF(I$4&gt;=$E283,MIN($C283/$D283,I283),0)</x:f>
        <x:v>0</x:v>
      </x:c>
      <x:c r="J284" s="169" t="n">
        <x:f>IF(J$4&gt;=$E283,MIN($C283/$D283,J283),0)</x:f>
        <x:v>0</x:v>
      </x:c>
      <x:c r="K284" s="169" t="n">
        <x:f>IF(K$4&gt;=$E283,MIN($C283/$D283,K283),0)</x:f>
        <x:v>0</x:v>
      </x:c>
      <x:c r="L284" s="169" t="n">
        <x:f>IF(L$4&gt;=$E283,MIN($C283/$D283,L283),0)</x:f>
        <x:v>0</x:v>
      </x:c>
      <x:c r="M284" s="169" t="n">
        <x:f>IF(M$4&gt;=$E283,MIN($C283/$D283,M283),0)</x:f>
        <x:v>0</x:v>
      </x:c>
      <x:c r="N284" s="169" t="n">
        <x:f>IF(N$4&gt;=$E283,MIN($C283/$D283,N283),0)</x:f>
        <x:v>0</x:v>
      </x:c>
      <x:c r="O284" s="169" t="n">
        <x:f>IF(O$4&gt;=$E283,MIN($C283/$D283,O283),0)</x:f>
        <x:v>0</x:v>
      </x:c>
      <x:c r="P284" s="169" t="n">
        <x:f>IF(P$4&gt;=$E283,MIN($C283/$D283,P283),0)</x:f>
        <x:v>0</x:v>
      </x:c>
      <x:c r="Q284" s="169" t="n">
        <x:f>IF(Q$4&gt;=$E283,MIN($C283/$D283,Q283),0)</x:f>
        <x:v>0</x:v>
      </x:c>
      <x:c r="R284" s="169" t="n">
        <x:f>IF(R$4&gt;=$E283,MIN($C283/$D283,R283),0)</x:f>
        <x:v>0</x:v>
      </x:c>
      <x:c r="S284" s="169" t="n">
        <x:f>IF(S$4&gt;=$E283,MIN($C283/$D283,S283),0)</x:f>
        <x:v>0</x:v>
      </x:c>
      <x:c r="T284" s="169" t="n">
        <x:f>IF(T$4&gt;=$E283,MIN($C283/$D283,T283),0)</x:f>
        <x:v>0</x:v>
      </x:c>
      <x:c r="U284" s="169" t="n">
        <x:f>IF(U$4&gt;=$E283,MIN($C283/$D283,U283),0)</x:f>
        <x:v>0</x:v>
      </x:c>
      <x:c r="V284" s="169" t="n">
        <x:f>IF(V$4&gt;=$E283,MIN($C283/$D283,V283),0)</x:f>
        <x:v>0</x:v>
      </x:c>
      <x:c r="W284" s="169" t="n">
        <x:f>IF(W$4&gt;=$E283,MIN($C283/$D283,W283),0)</x:f>
        <x:v>0</x:v>
      </x:c>
      <x:c r="X284" s="169" t="n">
        <x:f>IF(X$4&gt;=$E283,MIN($C283/$D283,X283),0)</x:f>
        <x:v>0</x:v>
      </x:c>
      <x:c r="Y284" s="169" t="n">
        <x:f>IF(Y$4&gt;=$E283,MIN($C283/$D283,Y283),0)</x:f>
        <x:v>0</x:v>
      </x:c>
      <x:c r="Z284" s="169" t="n">
        <x:f>IF(Z$4&gt;=$E283,MIN($C283/$D283,Z283),0)</x:f>
        <x:v>0</x:v>
      </x:c>
      <x:c r="AA284" s="169" t="n">
        <x:f>IF(AA$4&gt;=$E283,MIN($C283/$D283,AA283),0)</x:f>
        <x:v>0</x:v>
      </x:c>
      <x:c r="AB284" s="169" t="n">
        <x:f>IF(AB$4&gt;=$E283,MIN($C283/$D283,AB283),0)</x:f>
        <x:v>126329.90835526954</x:v>
      </x:c>
      <x:c r="AC284" s="169" t="n">
        <x:f>IF(AC$4&gt;=$E283,MIN($C283/$D283,AC283),0)</x:f>
        <x:v>126329.90835526954</x:v>
      </x:c>
    </x:row>
    <x:row r="285" ht="20" customHeight="1">
      <x:c r="A285" s="170" t="str">
        <x:v>Hard assets</x:v>
      </x:c>
      <x:c r="B285" s="214" t="n">
        <x:v>2042</x:v>
      </x:c>
      <x:c r="C285" s="170" t="n">
        <x:f>'ROIC Cloud'!W$15*'ROIC Cloud'!$D$47</x:f>
        <x:v>1894948.625329043</x:v>
      </x:c>
      <x:c r="D285" s="214" t="n">
        <x:f>'ROIC Cloud'!$D$43</x:f>
        <x:v>15</x:v>
      </x:c>
      <x:c r="E285" s="214" t="n">
        <x:f>B285+'ROIC Cloud'!$D$40</x:f>
        <x:v>2044</x:v>
      </x:c>
      <x:c r="F285" s="170" t="str">
        <x:v>Closing NBV</x:v>
      </x:c>
      <x:c r="G285" s="169" t="n">
        <x:f>MAX(0,G283-G284)</x:f>
        <x:v>0</x:v>
      </x:c>
      <x:c r="H285" s="169" t="n">
        <x:f>MAX(0,H283-H284)</x:f>
        <x:v>0</x:v>
      </x:c>
      <x:c r="I285" s="169" t="n">
        <x:f>MAX(0,I283-I284)</x:f>
        <x:v>0</x:v>
      </x:c>
      <x:c r="J285" s="169" t="n">
        <x:f>MAX(0,J283-J284)</x:f>
        <x:v>0</x:v>
      </x:c>
      <x:c r="K285" s="169" t="n">
        <x:f>MAX(0,K283-K284)</x:f>
        <x:v>0</x:v>
      </x:c>
      <x:c r="L285" s="169" t="n">
        <x:f>MAX(0,L283-L284)</x:f>
        <x:v>0</x:v>
      </x:c>
      <x:c r="M285" s="169" t="n">
        <x:f>MAX(0,M283-M284)</x:f>
        <x:v>0</x:v>
      </x:c>
      <x:c r="N285" s="169" t="n">
        <x:f>MAX(0,N283-N284)</x:f>
        <x:v>0</x:v>
      </x:c>
      <x:c r="O285" s="169" t="n">
        <x:f>MAX(0,O283-O284)</x:f>
        <x:v>0</x:v>
      </x:c>
      <x:c r="P285" s="169" t="n">
        <x:f>MAX(0,P283-P284)</x:f>
        <x:v>0</x:v>
      </x:c>
      <x:c r="Q285" s="169" t="n">
        <x:f>MAX(0,Q283-Q284)</x:f>
        <x:v>0</x:v>
      </x:c>
      <x:c r="R285" s="169" t="n">
        <x:f>MAX(0,R283-R284)</x:f>
        <x:v>0</x:v>
      </x:c>
      <x:c r="S285" s="169" t="n">
        <x:f>MAX(0,S283-S284)</x:f>
        <x:v>0</x:v>
      </x:c>
      <x:c r="T285" s="169" t="n">
        <x:f>MAX(0,T283-T284)</x:f>
        <x:v>0</x:v>
      </x:c>
      <x:c r="U285" s="169" t="n">
        <x:f>MAX(0,U283-U284)</x:f>
        <x:v>0</x:v>
      </x:c>
      <x:c r="V285" s="169" t="n">
        <x:f>MAX(0,V283-V284)</x:f>
        <x:v>0</x:v>
      </x:c>
      <x:c r="W285" s="169" t="n">
        <x:f>MAX(0,W283-W284)</x:f>
        <x:v>0</x:v>
      </x:c>
      <x:c r="X285" s="169" t="n">
        <x:f>MAX(0,X283-X284)</x:f>
        <x:v>0</x:v>
      </x:c>
      <x:c r="Y285" s="169" t="n">
        <x:f>MAX(0,Y283-Y284)</x:f>
        <x:v>0</x:v>
      </x:c>
      <x:c r="Z285" s="169" t="n">
        <x:f>MAX(0,Z283-Z284)</x:f>
        <x:v>0</x:v>
      </x:c>
      <x:c r="AA285" s="169" t="n">
        <x:f>MAX(0,AA283-AA284)</x:f>
        <x:v>0</x:v>
      </x:c>
      <x:c r="AB285" s="169" t="n">
        <x:f>MAX(0,AB283-AB284)</x:f>
        <x:v>1768618.7169737734</x:v>
      </x:c>
      <x:c r="AC285" s="169" t="n">
        <x:f>MAX(0,AC283-AC284)</x:f>
        <x:v>1642288.8086185039</x:v>
      </x:c>
    </x:row>
    <x:row r="286" ht="20" customHeight="1">
      <x:c r="A286" s="170" t="str">
        <x:v>Hard assets</x:v>
      </x:c>
      <x:c r="B286" s="214" t="n">
        <x:v>2042</x:v>
      </x:c>
      <x:c r="C286" s="170" t="n">
        <x:f>'ROIC Cloud'!W$15*'ROIC Cloud'!$D$47</x:f>
        <x:v>1894948.625329043</x:v>
      </x:c>
      <x:c r="D286" s="214" t="n">
        <x:f>'ROIC Cloud'!$D$43</x:f>
        <x:v>15</x:v>
      </x:c>
      <x:c r="E286" s="214" t="n">
        <x:f>B286+'ROIC Cloud'!$D$40</x:f>
        <x:v>2044</x:v>
      </x:c>
      <x:c r="F286" s="170" t="str">
        <x:v>Average NBV</x:v>
      </x:c>
      <x:c r="G286" s="169" t="n">
        <x:f>(G283+G285)/2</x:f>
        <x:v>0</x:v>
      </x:c>
      <x:c r="H286" s="169" t="n">
        <x:f>(H283+H285)/2</x:f>
        <x:v>0</x:v>
      </x:c>
      <x:c r="I286" s="169" t="n">
        <x:f>(I283+I285)/2</x:f>
        <x:v>0</x:v>
      </x:c>
      <x:c r="J286" s="169" t="n">
        <x:f>(J283+J285)/2</x:f>
        <x:v>0</x:v>
      </x:c>
      <x:c r="K286" s="169" t="n">
        <x:f>(K283+K285)/2</x:f>
        <x:v>0</x:v>
      </x:c>
      <x:c r="L286" s="169" t="n">
        <x:f>(L283+L285)/2</x:f>
        <x:v>0</x:v>
      </x:c>
      <x:c r="M286" s="169" t="n">
        <x:f>(M283+M285)/2</x:f>
        <x:v>0</x:v>
      </x:c>
      <x:c r="N286" s="169" t="n">
        <x:f>(N283+N285)/2</x:f>
        <x:v>0</x:v>
      </x:c>
      <x:c r="O286" s="169" t="n">
        <x:f>(O283+O285)/2</x:f>
        <x:v>0</x:v>
      </x:c>
      <x:c r="P286" s="169" t="n">
        <x:f>(P283+P285)/2</x:f>
        <x:v>0</x:v>
      </x:c>
      <x:c r="Q286" s="169" t="n">
        <x:f>(Q283+Q285)/2</x:f>
        <x:v>0</x:v>
      </x:c>
      <x:c r="R286" s="169" t="n">
        <x:f>(R283+R285)/2</x:f>
        <x:v>0</x:v>
      </x:c>
      <x:c r="S286" s="169" t="n">
        <x:f>(S283+S285)/2</x:f>
        <x:v>0</x:v>
      </x:c>
      <x:c r="T286" s="169" t="n">
        <x:f>(T283+T285)/2</x:f>
        <x:v>0</x:v>
      </x:c>
      <x:c r="U286" s="169" t="n">
        <x:f>(U283+U285)/2</x:f>
        <x:v>0</x:v>
      </x:c>
      <x:c r="V286" s="169" t="n">
        <x:f>(V283+V285)/2</x:f>
        <x:v>0</x:v>
      </x:c>
      <x:c r="W286" s="169" t="n">
        <x:f>(W283+W285)/2</x:f>
        <x:v>0</x:v>
      </x:c>
      <x:c r="X286" s="169" t="n">
        <x:f>(X283+X285)/2</x:f>
        <x:v>0</x:v>
      </x:c>
      <x:c r="Y286" s="169" t="n">
        <x:f>(Y283+Y285)/2</x:f>
        <x:v>0</x:v>
      </x:c>
      <x:c r="Z286" s="169" t="n">
        <x:f>(Z283+Z285)/2</x:f>
        <x:v>0</x:v>
      </x:c>
      <x:c r="AA286" s="169" t="n">
        <x:f>(AA283+AA285)/2</x:f>
        <x:v>0</x:v>
      </x:c>
      <x:c r="AB286" s="169" t="n">
        <x:f>(AB283+AB285)/2</x:f>
        <x:v>1831783.6711514082</x:v>
      </x:c>
      <x:c r="AC286" s="169" t="n">
        <x:f>(AC283+AC285)/2</x:f>
        <x:v>1705453.7627961386</x:v>
      </x:c>
    </x:row>
    <x:row r="287" ht="20" customHeight="1">
      <x:c r="A287" s="170" t="str">
        <x:v>Hard assets</x:v>
      </x:c>
      <x:c r="B287" s="214" t="n">
        <x:v>2043</x:v>
      </x:c>
      <x:c r="C287" s="170" t="n">
        <x:f>'ROIC Cloud'!X$15*'ROIC Cloud'!$D$47</x:f>
        <x:v>2046544.5153553667</x:v>
      </x:c>
      <x:c r="D287" s="214" t="n">
        <x:f>'ROIC Cloud'!$D$43</x:f>
        <x:v>15</x:v>
      </x:c>
      <x:c r="E287" s="214" t="n">
        <x:f>B287+'ROIC Cloud'!$D$40</x:f>
        <x:v>2045</x:v>
      </x:c>
      <x:c r="F287" s="170" t="str">
        <x:v>Opening NBV</x:v>
      </x:c>
      <x:c r="G287" s="169" t="n">
        <x:f>IF(G$4&gt;=$E287,$C287*MAX(0,1-(G$4-$E287)/$D287),0)</x:f>
        <x:v>0</x:v>
      </x:c>
      <x:c r="H287" s="169" t="n">
        <x:f>IF(H$4&gt;=$E287,$C287*MAX(0,1-(H$4-$E287)/$D287),0)</x:f>
        <x:v>0</x:v>
      </x:c>
      <x:c r="I287" s="169" t="n">
        <x:f>IF(I$4&gt;=$E287,$C287*MAX(0,1-(I$4-$E287)/$D287),0)</x:f>
        <x:v>0</x:v>
      </x:c>
      <x:c r="J287" s="169" t="n">
        <x:f>IF(J$4&gt;=$E287,$C287*MAX(0,1-(J$4-$E287)/$D287),0)</x:f>
        <x:v>0</x:v>
      </x:c>
      <x:c r="K287" s="169" t="n">
        <x:f>IF(K$4&gt;=$E287,$C287*MAX(0,1-(K$4-$E287)/$D287),0)</x:f>
        <x:v>0</x:v>
      </x:c>
      <x:c r="L287" s="169" t="n">
        <x:f>IF(L$4&gt;=$E287,$C287*MAX(0,1-(L$4-$E287)/$D287),0)</x:f>
        <x:v>0</x:v>
      </x:c>
      <x:c r="M287" s="169" t="n">
        <x:f>IF(M$4&gt;=$E287,$C287*MAX(0,1-(M$4-$E287)/$D287),0)</x:f>
        <x:v>0</x:v>
      </x:c>
      <x:c r="N287" s="169" t="n">
        <x:f>IF(N$4&gt;=$E287,$C287*MAX(0,1-(N$4-$E287)/$D287),0)</x:f>
        <x:v>0</x:v>
      </x:c>
      <x:c r="O287" s="169" t="n">
        <x:f>IF(O$4&gt;=$E287,$C287*MAX(0,1-(O$4-$E287)/$D287),0)</x:f>
        <x:v>0</x:v>
      </x:c>
      <x:c r="P287" s="169" t="n">
        <x:f>IF(P$4&gt;=$E287,$C287*MAX(0,1-(P$4-$E287)/$D287),0)</x:f>
        <x:v>0</x:v>
      </x:c>
      <x:c r="Q287" s="169" t="n">
        <x:f>IF(Q$4&gt;=$E287,$C287*MAX(0,1-(Q$4-$E287)/$D287),0)</x:f>
        <x:v>0</x:v>
      </x:c>
      <x:c r="R287" s="169" t="n">
        <x:f>IF(R$4&gt;=$E287,$C287*MAX(0,1-(R$4-$E287)/$D287),0)</x:f>
        <x:v>0</x:v>
      </x:c>
      <x:c r="S287" s="169" t="n">
        <x:f>IF(S$4&gt;=$E287,$C287*MAX(0,1-(S$4-$E287)/$D287),0)</x:f>
        <x:v>0</x:v>
      </x:c>
      <x:c r="T287" s="169" t="n">
        <x:f>IF(T$4&gt;=$E287,$C287*MAX(0,1-(T$4-$E287)/$D287),0)</x:f>
        <x:v>0</x:v>
      </x:c>
      <x:c r="U287" s="169" t="n">
        <x:f>IF(U$4&gt;=$E287,$C287*MAX(0,1-(U$4-$E287)/$D287),0)</x:f>
        <x:v>0</x:v>
      </x:c>
      <x:c r="V287" s="169" t="n">
        <x:f>IF(V$4&gt;=$E287,$C287*MAX(0,1-(V$4-$E287)/$D287),0)</x:f>
        <x:v>0</x:v>
      </x:c>
      <x:c r="W287" s="169" t="n">
        <x:f>IF(W$4&gt;=$E287,$C287*MAX(0,1-(W$4-$E287)/$D287),0)</x:f>
        <x:v>0</x:v>
      </x:c>
      <x:c r="X287" s="169" t="n">
        <x:f>IF(X$4&gt;=$E287,$C287*MAX(0,1-(X$4-$E287)/$D287),0)</x:f>
        <x:v>0</x:v>
      </x:c>
      <x:c r="Y287" s="169" t="n">
        <x:f>IF(Y$4&gt;=$E287,$C287*MAX(0,1-(Y$4-$E287)/$D287),0)</x:f>
        <x:v>0</x:v>
      </x:c>
      <x:c r="Z287" s="169" t="n">
        <x:f>IF(Z$4&gt;=$E287,$C287*MAX(0,1-(Z$4-$E287)/$D287),0)</x:f>
        <x:v>0</x:v>
      </x:c>
      <x:c r="AA287" s="169" t="n">
        <x:f>IF(AA$4&gt;=$E287,$C287*MAX(0,1-(AA$4-$E287)/$D287),0)</x:f>
        <x:v>0</x:v>
      </x:c>
      <x:c r="AB287" s="169" t="n">
        <x:f>IF(AB$4&gt;=$E287,$C287*MAX(0,1-(AB$4-$E287)/$D287),0)</x:f>
        <x:v>0</x:v>
      </x:c>
      <x:c r="AC287" s="169" t="n">
        <x:f>IF(AC$4&gt;=$E287,$C287*MAX(0,1-(AC$4-$E287)/$D287),0)</x:f>
        <x:v>2046544.5153553667</x:v>
      </x:c>
    </x:row>
    <x:row r="288" ht="20" customHeight="1">
      <x:c r="A288" s="170" t="str">
        <x:v>Hard assets</x:v>
      </x:c>
      <x:c r="B288" s="214" t="n">
        <x:v>2043</x:v>
      </x:c>
      <x:c r="C288" s="170" t="n">
        <x:f>'ROIC Cloud'!X$15*'ROIC Cloud'!$D$47</x:f>
        <x:v>2046544.5153553667</x:v>
      </x:c>
      <x:c r="D288" s="214" t="n">
        <x:f>'ROIC Cloud'!$D$43</x:f>
        <x:v>15</x:v>
      </x:c>
      <x:c r="E288" s="214" t="n">
        <x:f>B288+'ROIC Cloud'!$D$40</x:f>
        <x:v>2045</x:v>
      </x:c>
      <x:c r="F288" s="170" t="str">
        <x:v>Depreciation</x:v>
      </x:c>
      <x:c r="G288" s="169" t="n">
        <x:f>IF(G$4&gt;=$E287,MIN($C287/$D287,G287),0)</x:f>
        <x:v>0</x:v>
      </x:c>
      <x:c r="H288" s="169" t="n">
        <x:f>IF(H$4&gt;=$E287,MIN($C287/$D287,H287),0)</x:f>
        <x:v>0</x:v>
      </x:c>
      <x:c r="I288" s="169" t="n">
        <x:f>IF(I$4&gt;=$E287,MIN($C287/$D287,I287),0)</x:f>
        <x:v>0</x:v>
      </x:c>
      <x:c r="J288" s="169" t="n">
        <x:f>IF(J$4&gt;=$E287,MIN($C287/$D287,J287),0)</x:f>
        <x:v>0</x:v>
      </x:c>
      <x:c r="K288" s="169" t="n">
        <x:f>IF(K$4&gt;=$E287,MIN($C287/$D287,K287),0)</x:f>
        <x:v>0</x:v>
      </x:c>
      <x:c r="L288" s="169" t="n">
        <x:f>IF(L$4&gt;=$E287,MIN($C287/$D287,L287),0)</x:f>
        <x:v>0</x:v>
      </x:c>
      <x:c r="M288" s="169" t="n">
        <x:f>IF(M$4&gt;=$E287,MIN($C287/$D287,M287),0)</x:f>
        <x:v>0</x:v>
      </x:c>
      <x:c r="N288" s="169" t="n">
        <x:f>IF(N$4&gt;=$E287,MIN($C287/$D287,N287),0)</x:f>
        <x:v>0</x:v>
      </x:c>
      <x:c r="O288" s="169" t="n">
        <x:f>IF(O$4&gt;=$E287,MIN($C287/$D287,O287),0)</x:f>
        <x:v>0</x:v>
      </x:c>
      <x:c r="P288" s="169" t="n">
        <x:f>IF(P$4&gt;=$E287,MIN($C287/$D287,P287),0)</x:f>
        <x:v>0</x:v>
      </x:c>
      <x:c r="Q288" s="169" t="n">
        <x:f>IF(Q$4&gt;=$E287,MIN($C287/$D287,Q287),0)</x:f>
        <x:v>0</x:v>
      </x:c>
      <x:c r="R288" s="169" t="n">
        <x:f>IF(R$4&gt;=$E287,MIN($C287/$D287,R287),0)</x:f>
        <x:v>0</x:v>
      </x:c>
      <x:c r="S288" s="169" t="n">
        <x:f>IF(S$4&gt;=$E287,MIN($C287/$D287,S287),0)</x:f>
        <x:v>0</x:v>
      </x:c>
      <x:c r="T288" s="169" t="n">
        <x:f>IF(T$4&gt;=$E287,MIN($C287/$D287,T287),0)</x:f>
        <x:v>0</x:v>
      </x:c>
      <x:c r="U288" s="169" t="n">
        <x:f>IF(U$4&gt;=$E287,MIN($C287/$D287,U287),0)</x:f>
        <x:v>0</x:v>
      </x:c>
      <x:c r="V288" s="169" t="n">
        <x:f>IF(V$4&gt;=$E287,MIN($C287/$D287,V287),0)</x:f>
        <x:v>0</x:v>
      </x:c>
      <x:c r="W288" s="169" t="n">
        <x:f>IF(W$4&gt;=$E287,MIN($C287/$D287,W287),0)</x:f>
        <x:v>0</x:v>
      </x:c>
      <x:c r="X288" s="169" t="n">
        <x:f>IF(X$4&gt;=$E287,MIN($C287/$D287,X287),0)</x:f>
        <x:v>0</x:v>
      </x:c>
      <x:c r="Y288" s="169" t="n">
        <x:f>IF(Y$4&gt;=$E287,MIN($C287/$D287,Y287),0)</x:f>
        <x:v>0</x:v>
      </x:c>
      <x:c r="Z288" s="169" t="n">
        <x:f>IF(Z$4&gt;=$E287,MIN($C287/$D287,Z287),0)</x:f>
        <x:v>0</x:v>
      </x:c>
      <x:c r="AA288" s="169" t="n">
        <x:f>IF(AA$4&gt;=$E287,MIN($C287/$D287,AA287),0)</x:f>
        <x:v>0</x:v>
      </x:c>
      <x:c r="AB288" s="169" t="n">
        <x:f>IF(AB$4&gt;=$E287,MIN($C287/$D287,AB287),0)</x:f>
        <x:v>0</x:v>
      </x:c>
      <x:c r="AC288" s="169" t="n">
        <x:f>IF(AC$4&gt;=$E287,MIN($C287/$D287,AC287),0)</x:f>
        <x:v>136436.3010236911</x:v>
      </x:c>
    </x:row>
    <x:row r="289" ht="20" customHeight="1">
      <x:c r="A289" s="170" t="str">
        <x:v>Hard assets</x:v>
      </x:c>
      <x:c r="B289" s="214" t="n">
        <x:v>2043</x:v>
      </x:c>
      <x:c r="C289" s="170" t="n">
        <x:f>'ROIC Cloud'!X$15*'ROIC Cloud'!$D$47</x:f>
        <x:v>2046544.5153553667</x:v>
      </x:c>
      <x:c r="D289" s="214" t="n">
        <x:f>'ROIC Cloud'!$D$43</x:f>
        <x:v>15</x:v>
      </x:c>
      <x:c r="E289" s="214" t="n">
        <x:f>B289+'ROIC Cloud'!$D$40</x:f>
        <x:v>2045</x:v>
      </x:c>
      <x:c r="F289" s="170" t="str">
        <x:v>Closing NBV</x:v>
      </x:c>
      <x:c r="G289" s="169" t="n">
        <x:f>MAX(0,G287-G288)</x:f>
        <x:v>0</x:v>
      </x:c>
      <x:c r="H289" s="169" t="n">
        <x:f>MAX(0,H287-H288)</x:f>
        <x:v>0</x:v>
      </x:c>
      <x:c r="I289" s="169" t="n">
        <x:f>MAX(0,I287-I288)</x:f>
        <x:v>0</x:v>
      </x:c>
      <x:c r="J289" s="169" t="n">
        <x:f>MAX(0,J287-J288)</x:f>
        <x:v>0</x:v>
      </x:c>
      <x:c r="K289" s="169" t="n">
        <x:f>MAX(0,K287-K288)</x:f>
        <x:v>0</x:v>
      </x:c>
      <x:c r="L289" s="169" t="n">
        <x:f>MAX(0,L287-L288)</x:f>
        <x:v>0</x:v>
      </x:c>
      <x:c r="M289" s="169" t="n">
        <x:f>MAX(0,M287-M288)</x:f>
        <x:v>0</x:v>
      </x:c>
      <x:c r="N289" s="169" t="n">
        <x:f>MAX(0,N287-N288)</x:f>
        <x:v>0</x:v>
      </x:c>
      <x:c r="O289" s="169" t="n">
        <x:f>MAX(0,O287-O288)</x:f>
        <x:v>0</x:v>
      </x:c>
      <x:c r="P289" s="169" t="n">
        <x:f>MAX(0,P287-P288)</x:f>
        <x:v>0</x:v>
      </x:c>
      <x:c r="Q289" s="169" t="n">
        <x:f>MAX(0,Q287-Q288)</x:f>
        <x:v>0</x:v>
      </x:c>
      <x:c r="R289" s="169" t="n">
        <x:f>MAX(0,R287-R288)</x:f>
        <x:v>0</x:v>
      </x:c>
      <x:c r="S289" s="169" t="n">
        <x:f>MAX(0,S287-S288)</x:f>
        <x:v>0</x:v>
      </x:c>
      <x:c r="T289" s="169" t="n">
        <x:f>MAX(0,T287-T288)</x:f>
        <x:v>0</x:v>
      </x:c>
      <x:c r="U289" s="169" t="n">
        <x:f>MAX(0,U287-U288)</x:f>
        <x:v>0</x:v>
      </x:c>
      <x:c r="V289" s="169" t="n">
        <x:f>MAX(0,V287-V288)</x:f>
        <x:v>0</x:v>
      </x:c>
      <x:c r="W289" s="169" t="n">
        <x:f>MAX(0,W287-W288)</x:f>
        <x:v>0</x:v>
      </x:c>
      <x:c r="X289" s="169" t="n">
        <x:f>MAX(0,X287-X288)</x:f>
        <x:v>0</x:v>
      </x:c>
      <x:c r="Y289" s="169" t="n">
        <x:f>MAX(0,Y287-Y288)</x:f>
        <x:v>0</x:v>
      </x:c>
      <x:c r="Z289" s="169" t="n">
        <x:f>MAX(0,Z287-Z288)</x:f>
        <x:v>0</x:v>
      </x:c>
      <x:c r="AA289" s="169" t="n">
        <x:f>MAX(0,AA287-AA288)</x:f>
        <x:v>0</x:v>
      </x:c>
      <x:c r="AB289" s="169" t="n">
        <x:f>MAX(0,AB287-AB288)</x:f>
        <x:v>0</x:v>
      </x:c>
      <x:c r="AC289" s="169" t="n">
        <x:f>MAX(0,AC287-AC288)</x:f>
        <x:v>1910108.2143316756</x:v>
      </x:c>
    </x:row>
    <x:row r="290" ht="20" customHeight="1">
      <x:c r="A290" s="170" t="str">
        <x:v>Hard assets</x:v>
      </x:c>
      <x:c r="B290" s="214" t="n">
        <x:v>2043</x:v>
      </x:c>
      <x:c r="C290" s="170" t="n">
        <x:f>'ROIC Cloud'!X$15*'ROIC Cloud'!$D$47</x:f>
        <x:v>2046544.5153553667</x:v>
      </x:c>
      <x:c r="D290" s="214" t="n">
        <x:f>'ROIC Cloud'!$D$43</x:f>
        <x:v>15</x:v>
      </x:c>
      <x:c r="E290" s="214" t="n">
        <x:f>B290+'ROIC Cloud'!$D$40</x:f>
        <x:v>2045</x:v>
      </x:c>
      <x:c r="F290" s="170" t="str">
        <x:v>Average NBV</x:v>
      </x:c>
      <x:c r="G290" s="169" t="n">
        <x:f>(G287+G289)/2</x:f>
        <x:v>0</x:v>
      </x:c>
      <x:c r="H290" s="169" t="n">
        <x:f>(H287+H289)/2</x:f>
        <x:v>0</x:v>
      </x:c>
      <x:c r="I290" s="169" t="n">
        <x:f>(I287+I289)/2</x:f>
        <x:v>0</x:v>
      </x:c>
      <x:c r="J290" s="169" t="n">
        <x:f>(J287+J289)/2</x:f>
        <x:v>0</x:v>
      </x:c>
      <x:c r="K290" s="169" t="n">
        <x:f>(K287+K289)/2</x:f>
        <x:v>0</x:v>
      </x:c>
      <x:c r="L290" s="169" t="n">
        <x:f>(L287+L289)/2</x:f>
        <x:v>0</x:v>
      </x:c>
      <x:c r="M290" s="169" t="n">
        <x:f>(M287+M289)/2</x:f>
        <x:v>0</x:v>
      </x:c>
      <x:c r="N290" s="169" t="n">
        <x:f>(N287+N289)/2</x:f>
        <x:v>0</x:v>
      </x:c>
      <x:c r="O290" s="169" t="n">
        <x:f>(O287+O289)/2</x:f>
        <x:v>0</x:v>
      </x:c>
      <x:c r="P290" s="169" t="n">
        <x:f>(P287+P289)/2</x:f>
        <x:v>0</x:v>
      </x:c>
      <x:c r="Q290" s="169" t="n">
        <x:f>(Q287+Q289)/2</x:f>
        <x:v>0</x:v>
      </x:c>
      <x:c r="R290" s="169" t="n">
        <x:f>(R287+R289)/2</x:f>
        <x:v>0</x:v>
      </x:c>
      <x:c r="S290" s="169" t="n">
        <x:f>(S287+S289)/2</x:f>
        <x:v>0</x:v>
      </x:c>
      <x:c r="T290" s="169" t="n">
        <x:f>(T287+T289)/2</x:f>
        <x:v>0</x:v>
      </x:c>
      <x:c r="U290" s="169" t="n">
        <x:f>(U287+U289)/2</x:f>
        <x:v>0</x:v>
      </x:c>
      <x:c r="V290" s="169" t="n">
        <x:f>(V287+V289)/2</x:f>
        <x:v>0</x:v>
      </x:c>
      <x:c r="W290" s="169" t="n">
        <x:f>(W287+W289)/2</x:f>
        <x:v>0</x:v>
      </x:c>
      <x:c r="X290" s="169" t="n">
        <x:f>(X287+X289)/2</x:f>
        <x:v>0</x:v>
      </x:c>
      <x:c r="Y290" s="169" t="n">
        <x:f>(Y287+Y289)/2</x:f>
        <x:v>0</x:v>
      </x:c>
      <x:c r="Z290" s="169" t="n">
        <x:f>(Z287+Z289)/2</x:f>
        <x:v>0</x:v>
      </x:c>
      <x:c r="AA290" s="169" t="n">
        <x:f>(AA287+AA289)/2</x:f>
        <x:v>0</x:v>
      </x:c>
      <x:c r="AB290" s="169" t="n">
        <x:f>(AB287+AB289)/2</x:f>
        <x:v>0</x:v>
      </x:c>
      <x:c r="AC290" s="169" t="n">
        <x:f>(AC287+AC289)/2</x:f>
        <x:v>1978326.3648435213</x:v>
      </x:c>
    </x:row>
    <x:row r="291" ht="20" customHeight="1">
      <x:c r="A291" s="170" t="str">
        <x:v>Hard assets</x:v>
      </x:c>
      <x:c r="B291" s="214" t="n">
        <x:v>2044</x:v>
      </x:c>
      <x:c r="C291" s="170" t="n">
        <x:f>'ROIC Cloud'!Y$15*'ROIC Cloud'!$D$47</x:f>
        <x:v>2210268.0765837966</x:v>
      </x:c>
      <x:c r="D291" s="214" t="n">
        <x:f>'ROIC Cloud'!$D$43</x:f>
        <x:v>15</x:v>
      </x:c>
      <x:c r="E291" s="214" t="n">
        <x:f>B291+'ROIC Cloud'!$D$40</x:f>
        <x:v>2046</x:v>
      </x:c>
      <x:c r="F291" s="170" t="str">
        <x:v>Opening NBV</x:v>
      </x:c>
      <x:c r="G291" s="169" t="n">
        <x:f>IF(G$4&gt;=$E291,$C291*MAX(0,1-(G$4-$E291)/$D291),0)</x:f>
        <x:v>0</x:v>
      </x:c>
      <x:c r="H291" s="169" t="n">
        <x:f>IF(H$4&gt;=$E291,$C291*MAX(0,1-(H$4-$E291)/$D291),0)</x:f>
        <x:v>0</x:v>
      </x:c>
      <x:c r="I291" s="169" t="n">
        <x:f>IF(I$4&gt;=$E291,$C291*MAX(0,1-(I$4-$E291)/$D291),0)</x:f>
        <x:v>0</x:v>
      </x:c>
      <x:c r="J291" s="169" t="n">
        <x:f>IF(J$4&gt;=$E291,$C291*MAX(0,1-(J$4-$E291)/$D291),0)</x:f>
        <x:v>0</x:v>
      </x:c>
      <x:c r="K291" s="169" t="n">
        <x:f>IF(K$4&gt;=$E291,$C291*MAX(0,1-(K$4-$E291)/$D291),0)</x:f>
        <x:v>0</x:v>
      </x:c>
      <x:c r="L291" s="169" t="n">
        <x:f>IF(L$4&gt;=$E291,$C291*MAX(0,1-(L$4-$E291)/$D291),0)</x:f>
        <x:v>0</x:v>
      </x:c>
      <x:c r="M291" s="169" t="n">
        <x:f>IF(M$4&gt;=$E291,$C291*MAX(0,1-(M$4-$E291)/$D291),0)</x:f>
        <x:v>0</x:v>
      </x:c>
      <x:c r="N291" s="169" t="n">
        <x:f>IF(N$4&gt;=$E291,$C291*MAX(0,1-(N$4-$E291)/$D291),0)</x:f>
        <x:v>0</x:v>
      </x:c>
      <x:c r="O291" s="169" t="n">
        <x:f>IF(O$4&gt;=$E291,$C291*MAX(0,1-(O$4-$E291)/$D291),0)</x:f>
        <x:v>0</x:v>
      </x:c>
      <x:c r="P291" s="169" t="n">
        <x:f>IF(P$4&gt;=$E291,$C291*MAX(0,1-(P$4-$E291)/$D291),0)</x:f>
        <x:v>0</x:v>
      </x:c>
      <x:c r="Q291" s="169" t="n">
        <x:f>IF(Q$4&gt;=$E291,$C291*MAX(0,1-(Q$4-$E291)/$D291),0)</x:f>
        <x:v>0</x:v>
      </x:c>
      <x:c r="R291" s="169" t="n">
        <x:f>IF(R$4&gt;=$E291,$C291*MAX(0,1-(R$4-$E291)/$D291),0)</x:f>
        <x:v>0</x:v>
      </x:c>
      <x:c r="S291" s="169" t="n">
        <x:f>IF(S$4&gt;=$E291,$C291*MAX(0,1-(S$4-$E291)/$D291),0)</x:f>
        <x:v>0</x:v>
      </x:c>
      <x:c r="T291" s="169" t="n">
        <x:f>IF(T$4&gt;=$E291,$C291*MAX(0,1-(T$4-$E291)/$D291),0)</x:f>
        <x:v>0</x:v>
      </x:c>
      <x:c r="U291" s="169" t="n">
        <x:f>IF(U$4&gt;=$E291,$C291*MAX(0,1-(U$4-$E291)/$D291),0)</x:f>
        <x:v>0</x:v>
      </x:c>
      <x:c r="V291" s="169" t="n">
        <x:f>IF(V$4&gt;=$E291,$C291*MAX(0,1-(V$4-$E291)/$D291),0)</x:f>
        <x:v>0</x:v>
      </x:c>
      <x:c r="W291" s="169" t="n">
        <x:f>IF(W$4&gt;=$E291,$C291*MAX(0,1-(W$4-$E291)/$D291),0)</x:f>
        <x:v>0</x:v>
      </x:c>
      <x:c r="X291" s="169" t="n">
        <x:f>IF(X$4&gt;=$E291,$C291*MAX(0,1-(X$4-$E291)/$D291),0)</x:f>
        <x:v>0</x:v>
      </x:c>
      <x:c r="Y291" s="169" t="n">
        <x:f>IF(Y$4&gt;=$E291,$C291*MAX(0,1-(Y$4-$E291)/$D291),0)</x:f>
        <x:v>0</x:v>
      </x:c>
      <x:c r="Z291" s="169" t="n">
        <x:f>IF(Z$4&gt;=$E291,$C291*MAX(0,1-(Z$4-$E291)/$D291),0)</x:f>
        <x:v>0</x:v>
      </x:c>
      <x:c r="AA291" s="169" t="n">
        <x:f>IF(AA$4&gt;=$E291,$C291*MAX(0,1-(AA$4-$E291)/$D291),0)</x:f>
        <x:v>0</x:v>
      </x:c>
      <x:c r="AB291" s="169" t="n">
        <x:f>IF(AB$4&gt;=$E291,$C291*MAX(0,1-(AB$4-$E291)/$D291),0)</x:f>
        <x:v>0</x:v>
      </x:c>
      <x:c r="AC291" s="169" t="n">
        <x:f>IF(AC$4&gt;=$E291,$C291*MAX(0,1-(AC$4-$E291)/$D291),0)</x:f>
        <x:v>0</x:v>
      </x:c>
    </x:row>
    <x:row r="292" ht="20" customHeight="1">
      <x:c r="A292" s="170" t="str">
        <x:v>Hard assets</x:v>
      </x:c>
      <x:c r="B292" s="214" t="n">
        <x:v>2044</x:v>
      </x:c>
      <x:c r="C292" s="170" t="n">
        <x:f>'ROIC Cloud'!Y$15*'ROIC Cloud'!$D$47</x:f>
        <x:v>2210268.0765837966</x:v>
      </x:c>
      <x:c r="D292" s="214" t="n">
        <x:f>'ROIC Cloud'!$D$43</x:f>
        <x:v>15</x:v>
      </x:c>
      <x:c r="E292" s="214" t="n">
        <x:f>B292+'ROIC Cloud'!$D$40</x:f>
        <x:v>2046</x:v>
      </x:c>
      <x:c r="F292" s="170" t="str">
        <x:v>Depreciation</x:v>
      </x:c>
      <x:c r="G292" s="169" t="n">
        <x:f>IF(G$4&gt;=$E291,MIN($C291/$D291,G291),0)</x:f>
        <x:v>0</x:v>
      </x:c>
      <x:c r="H292" s="169" t="n">
        <x:f>IF(H$4&gt;=$E291,MIN($C291/$D291,H291),0)</x:f>
        <x:v>0</x:v>
      </x:c>
      <x:c r="I292" s="169" t="n">
        <x:f>IF(I$4&gt;=$E291,MIN($C291/$D291,I291),0)</x:f>
        <x:v>0</x:v>
      </x:c>
      <x:c r="J292" s="169" t="n">
        <x:f>IF(J$4&gt;=$E291,MIN($C291/$D291,J291),0)</x:f>
        <x:v>0</x:v>
      </x:c>
      <x:c r="K292" s="169" t="n">
        <x:f>IF(K$4&gt;=$E291,MIN($C291/$D291,K291),0)</x:f>
        <x:v>0</x:v>
      </x:c>
      <x:c r="L292" s="169" t="n">
        <x:f>IF(L$4&gt;=$E291,MIN($C291/$D291,L291),0)</x:f>
        <x:v>0</x:v>
      </x:c>
      <x:c r="M292" s="169" t="n">
        <x:f>IF(M$4&gt;=$E291,MIN($C291/$D291,M291),0)</x:f>
        <x:v>0</x:v>
      </x:c>
      <x:c r="N292" s="169" t="n">
        <x:f>IF(N$4&gt;=$E291,MIN($C291/$D291,N291),0)</x:f>
        <x:v>0</x:v>
      </x:c>
      <x:c r="O292" s="169" t="n">
        <x:f>IF(O$4&gt;=$E291,MIN($C291/$D291,O291),0)</x:f>
        <x:v>0</x:v>
      </x:c>
      <x:c r="P292" s="169" t="n">
        <x:f>IF(P$4&gt;=$E291,MIN($C291/$D291,P291),0)</x:f>
        <x:v>0</x:v>
      </x:c>
      <x:c r="Q292" s="169" t="n">
        <x:f>IF(Q$4&gt;=$E291,MIN($C291/$D291,Q291),0)</x:f>
        <x:v>0</x:v>
      </x:c>
      <x:c r="R292" s="169" t="n">
        <x:f>IF(R$4&gt;=$E291,MIN($C291/$D291,R291),0)</x:f>
        <x:v>0</x:v>
      </x:c>
      <x:c r="S292" s="169" t="n">
        <x:f>IF(S$4&gt;=$E291,MIN($C291/$D291,S291),0)</x:f>
        <x:v>0</x:v>
      </x:c>
      <x:c r="T292" s="169" t="n">
        <x:f>IF(T$4&gt;=$E291,MIN($C291/$D291,T291),0)</x:f>
        <x:v>0</x:v>
      </x:c>
      <x:c r="U292" s="169" t="n">
        <x:f>IF(U$4&gt;=$E291,MIN($C291/$D291,U291),0)</x:f>
        <x:v>0</x:v>
      </x:c>
      <x:c r="V292" s="169" t="n">
        <x:f>IF(V$4&gt;=$E291,MIN($C291/$D291,V291),0)</x:f>
        <x:v>0</x:v>
      </x:c>
      <x:c r="W292" s="169" t="n">
        <x:f>IF(W$4&gt;=$E291,MIN($C291/$D291,W291),0)</x:f>
        <x:v>0</x:v>
      </x:c>
      <x:c r="X292" s="169" t="n">
        <x:f>IF(X$4&gt;=$E291,MIN($C291/$D291,X291),0)</x:f>
        <x:v>0</x:v>
      </x:c>
      <x:c r="Y292" s="169" t="n">
        <x:f>IF(Y$4&gt;=$E291,MIN($C291/$D291,Y291),0)</x:f>
        <x:v>0</x:v>
      </x:c>
      <x:c r="Z292" s="169" t="n">
        <x:f>IF(Z$4&gt;=$E291,MIN($C291/$D291,Z291),0)</x:f>
        <x:v>0</x:v>
      </x:c>
      <x:c r="AA292" s="169" t="n">
        <x:f>IF(AA$4&gt;=$E291,MIN($C291/$D291,AA291),0)</x:f>
        <x:v>0</x:v>
      </x:c>
      <x:c r="AB292" s="169" t="n">
        <x:f>IF(AB$4&gt;=$E291,MIN($C291/$D291,AB291),0)</x:f>
        <x:v>0</x:v>
      </x:c>
      <x:c r="AC292" s="169" t="n">
        <x:f>IF(AC$4&gt;=$E291,MIN($C291/$D291,AC291),0)</x:f>
        <x:v>0</x:v>
      </x:c>
    </x:row>
    <x:row r="293" ht="20" customHeight="1">
      <x:c r="A293" s="170" t="str">
        <x:v>Hard assets</x:v>
      </x:c>
      <x:c r="B293" s="214" t="n">
        <x:v>2044</x:v>
      </x:c>
      <x:c r="C293" s="170" t="n">
        <x:f>'ROIC Cloud'!Y$15*'ROIC Cloud'!$D$47</x:f>
        <x:v>2210268.0765837966</x:v>
      </x:c>
      <x:c r="D293" s="214" t="n">
        <x:f>'ROIC Cloud'!$D$43</x:f>
        <x:v>15</x:v>
      </x:c>
      <x:c r="E293" s="214" t="n">
        <x:f>B293+'ROIC Cloud'!$D$40</x:f>
        <x:v>2046</x:v>
      </x:c>
      <x:c r="F293" s="170" t="str">
        <x:v>Closing NBV</x:v>
      </x:c>
      <x:c r="G293" s="169" t="n">
        <x:f>MAX(0,G291-G292)</x:f>
        <x:v>0</x:v>
      </x:c>
      <x:c r="H293" s="169" t="n">
        <x:f>MAX(0,H291-H292)</x:f>
        <x:v>0</x:v>
      </x:c>
      <x:c r="I293" s="169" t="n">
        <x:f>MAX(0,I291-I292)</x:f>
        <x:v>0</x:v>
      </x:c>
      <x:c r="J293" s="169" t="n">
        <x:f>MAX(0,J291-J292)</x:f>
        <x:v>0</x:v>
      </x:c>
      <x:c r="K293" s="169" t="n">
        <x:f>MAX(0,K291-K292)</x:f>
        <x:v>0</x:v>
      </x:c>
      <x:c r="L293" s="169" t="n">
        <x:f>MAX(0,L291-L292)</x:f>
        <x:v>0</x:v>
      </x:c>
      <x:c r="M293" s="169" t="n">
        <x:f>MAX(0,M291-M292)</x:f>
        <x:v>0</x:v>
      </x:c>
      <x:c r="N293" s="169" t="n">
        <x:f>MAX(0,N291-N292)</x:f>
        <x:v>0</x:v>
      </x:c>
      <x:c r="O293" s="169" t="n">
        <x:f>MAX(0,O291-O292)</x:f>
        <x:v>0</x:v>
      </x:c>
      <x:c r="P293" s="169" t="n">
        <x:f>MAX(0,P291-P292)</x:f>
        <x:v>0</x:v>
      </x:c>
      <x:c r="Q293" s="169" t="n">
        <x:f>MAX(0,Q291-Q292)</x:f>
        <x:v>0</x:v>
      </x:c>
      <x:c r="R293" s="169" t="n">
        <x:f>MAX(0,R291-R292)</x:f>
        <x:v>0</x:v>
      </x:c>
      <x:c r="S293" s="169" t="n">
        <x:f>MAX(0,S291-S292)</x:f>
        <x:v>0</x:v>
      </x:c>
      <x:c r="T293" s="169" t="n">
        <x:f>MAX(0,T291-T292)</x:f>
        <x:v>0</x:v>
      </x:c>
      <x:c r="U293" s="169" t="n">
        <x:f>MAX(0,U291-U292)</x:f>
        <x:v>0</x:v>
      </x:c>
      <x:c r="V293" s="169" t="n">
        <x:f>MAX(0,V291-V292)</x:f>
        <x:v>0</x:v>
      </x:c>
      <x:c r="W293" s="169" t="n">
        <x:f>MAX(0,W291-W292)</x:f>
        <x:v>0</x:v>
      </x:c>
      <x:c r="X293" s="169" t="n">
        <x:f>MAX(0,X291-X292)</x:f>
        <x:v>0</x:v>
      </x:c>
      <x:c r="Y293" s="169" t="n">
        <x:f>MAX(0,Y291-Y292)</x:f>
        <x:v>0</x:v>
      </x:c>
      <x:c r="Z293" s="169" t="n">
        <x:f>MAX(0,Z291-Z292)</x:f>
        <x:v>0</x:v>
      </x:c>
      <x:c r="AA293" s="169" t="n">
        <x:f>MAX(0,AA291-AA292)</x:f>
        <x:v>0</x:v>
      </x:c>
      <x:c r="AB293" s="169" t="n">
        <x:f>MAX(0,AB291-AB292)</x:f>
        <x:v>0</x:v>
      </x:c>
      <x:c r="AC293" s="169" t="n">
        <x:f>MAX(0,AC291-AC292)</x:f>
        <x:v>0</x:v>
      </x:c>
    </x:row>
    <x:row r="294" ht="20" customHeight="1">
      <x:c r="A294" s="170" t="str">
        <x:v>Hard assets</x:v>
      </x:c>
      <x:c r="B294" s="214" t="n">
        <x:v>2044</x:v>
      </x:c>
      <x:c r="C294" s="170" t="n">
        <x:f>'ROIC Cloud'!Y$15*'ROIC Cloud'!$D$47</x:f>
        <x:v>2210268.0765837966</x:v>
      </x:c>
      <x:c r="D294" s="214" t="n">
        <x:f>'ROIC Cloud'!$D$43</x:f>
        <x:v>15</x:v>
      </x:c>
      <x:c r="E294" s="214" t="n">
        <x:f>B294+'ROIC Cloud'!$D$40</x:f>
        <x:v>2046</x:v>
      </x:c>
      <x:c r="F294" s="170" t="str">
        <x:v>Average NBV</x:v>
      </x:c>
      <x:c r="G294" s="169" t="n">
        <x:f>(G291+G293)/2</x:f>
        <x:v>0</x:v>
      </x:c>
      <x:c r="H294" s="169" t="n">
        <x:f>(H291+H293)/2</x:f>
        <x:v>0</x:v>
      </x:c>
      <x:c r="I294" s="169" t="n">
        <x:f>(I291+I293)/2</x:f>
        <x:v>0</x:v>
      </x:c>
      <x:c r="J294" s="169" t="n">
        <x:f>(J291+J293)/2</x:f>
        <x:v>0</x:v>
      </x:c>
      <x:c r="K294" s="169" t="n">
        <x:f>(K291+K293)/2</x:f>
        <x:v>0</x:v>
      </x:c>
      <x:c r="L294" s="169" t="n">
        <x:f>(L291+L293)/2</x:f>
        <x:v>0</x:v>
      </x:c>
      <x:c r="M294" s="169" t="n">
        <x:f>(M291+M293)/2</x:f>
        <x:v>0</x:v>
      </x:c>
      <x:c r="N294" s="169" t="n">
        <x:f>(N291+N293)/2</x:f>
        <x:v>0</x:v>
      </x:c>
      <x:c r="O294" s="169" t="n">
        <x:f>(O291+O293)/2</x:f>
        <x:v>0</x:v>
      </x:c>
      <x:c r="P294" s="169" t="n">
        <x:f>(P291+P293)/2</x:f>
        <x:v>0</x:v>
      </x:c>
      <x:c r="Q294" s="169" t="n">
        <x:f>(Q291+Q293)/2</x:f>
        <x:v>0</x:v>
      </x:c>
      <x:c r="R294" s="169" t="n">
        <x:f>(R291+R293)/2</x:f>
        <x:v>0</x:v>
      </x:c>
      <x:c r="S294" s="169" t="n">
        <x:f>(S291+S293)/2</x:f>
        <x:v>0</x:v>
      </x:c>
      <x:c r="T294" s="169" t="n">
        <x:f>(T291+T293)/2</x:f>
        <x:v>0</x:v>
      </x:c>
      <x:c r="U294" s="169" t="n">
        <x:f>(U291+U293)/2</x:f>
        <x:v>0</x:v>
      </x:c>
      <x:c r="V294" s="169" t="n">
        <x:f>(V291+V293)/2</x:f>
        <x:v>0</x:v>
      </x:c>
      <x:c r="W294" s="169" t="n">
        <x:f>(W291+W293)/2</x:f>
        <x:v>0</x:v>
      </x:c>
      <x:c r="X294" s="169" t="n">
        <x:f>(X291+X293)/2</x:f>
        <x:v>0</x:v>
      </x:c>
      <x:c r="Y294" s="169" t="n">
        <x:f>(Y291+Y293)/2</x:f>
        <x:v>0</x:v>
      </x:c>
      <x:c r="Z294" s="169" t="n">
        <x:f>(Z291+Z293)/2</x:f>
        <x:v>0</x:v>
      </x:c>
      <x:c r="AA294" s="169" t="n">
        <x:f>(AA291+AA293)/2</x:f>
        <x:v>0</x:v>
      </x:c>
      <x:c r="AB294" s="169" t="n">
        <x:f>(AB291+AB293)/2</x:f>
        <x:v>0</x:v>
      </x:c>
      <x:c r="AC294" s="169" t="n">
        <x:f>(AC291+AC293)/2</x:f>
        <x:v>0</x:v>
      </x:c>
    </x:row>
    <x:row r="295" ht="20" customHeight="1">
      <x:c r="A295" s="170" t="str">
        <x:v>Hard assets</x:v>
      </x:c>
      <x:c r="B295" s="214" t="n">
        <x:v>2045</x:v>
      </x:c>
      <x:c r="C295" s="170" t="n">
        <x:f>'ROIC Cloud'!Z$15*'ROIC Cloud'!$D$47</x:f>
        <x:v>2387089.5227105003</x:v>
      </x:c>
      <x:c r="D295" s="214" t="n">
        <x:f>'ROIC Cloud'!$D$43</x:f>
        <x:v>15</x:v>
      </x:c>
      <x:c r="E295" s="214" t="n">
        <x:f>B295+'ROIC Cloud'!$D$40</x:f>
        <x:v>2047</x:v>
      </x:c>
      <x:c r="F295" s="170" t="str">
        <x:v>Opening NBV</x:v>
      </x:c>
      <x:c r="G295" s="169" t="n">
        <x:f>IF(G$4&gt;=$E295,$C295*MAX(0,1-(G$4-$E295)/$D295),0)</x:f>
        <x:v>0</x:v>
      </x:c>
      <x:c r="H295" s="169" t="n">
        <x:f>IF(H$4&gt;=$E295,$C295*MAX(0,1-(H$4-$E295)/$D295),0)</x:f>
        <x:v>0</x:v>
      </x:c>
      <x:c r="I295" s="169" t="n">
        <x:f>IF(I$4&gt;=$E295,$C295*MAX(0,1-(I$4-$E295)/$D295),0)</x:f>
        <x:v>0</x:v>
      </x:c>
      <x:c r="J295" s="169" t="n">
        <x:f>IF(J$4&gt;=$E295,$C295*MAX(0,1-(J$4-$E295)/$D295),0)</x:f>
        <x:v>0</x:v>
      </x:c>
      <x:c r="K295" s="169" t="n">
        <x:f>IF(K$4&gt;=$E295,$C295*MAX(0,1-(K$4-$E295)/$D295),0)</x:f>
        <x:v>0</x:v>
      </x:c>
      <x:c r="L295" s="169" t="n">
        <x:f>IF(L$4&gt;=$E295,$C295*MAX(0,1-(L$4-$E295)/$D295),0)</x:f>
        <x:v>0</x:v>
      </x:c>
      <x:c r="M295" s="169" t="n">
        <x:f>IF(M$4&gt;=$E295,$C295*MAX(0,1-(M$4-$E295)/$D295),0)</x:f>
        <x:v>0</x:v>
      </x:c>
      <x:c r="N295" s="169" t="n">
        <x:f>IF(N$4&gt;=$E295,$C295*MAX(0,1-(N$4-$E295)/$D295),0)</x:f>
        <x:v>0</x:v>
      </x:c>
      <x:c r="O295" s="169" t="n">
        <x:f>IF(O$4&gt;=$E295,$C295*MAX(0,1-(O$4-$E295)/$D295),0)</x:f>
        <x:v>0</x:v>
      </x:c>
      <x:c r="P295" s="169" t="n">
        <x:f>IF(P$4&gt;=$E295,$C295*MAX(0,1-(P$4-$E295)/$D295),0)</x:f>
        <x:v>0</x:v>
      </x:c>
      <x:c r="Q295" s="169" t="n">
        <x:f>IF(Q$4&gt;=$E295,$C295*MAX(0,1-(Q$4-$E295)/$D295),0)</x:f>
        <x:v>0</x:v>
      </x:c>
      <x:c r="R295" s="169" t="n">
        <x:f>IF(R$4&gt;=$E295,$C295*MAX(0,1-(R$4-$E295)/$D295),0)</x:f>
        <x:v>0</x:v>
      </x:c>
      <x:c r="S295" s="169" t="n">
        <x:f>IF(S$4&gt;=$E295,$C295*MAX(0,1-(S$4-$E295)/$D295),0)</x:f>
        <x:v>0</x:v>
      </x:c>
      <x:c r="T295" s="169" t="n">
        <x:f>IF(T$4&gt;=$E295,$C295*MAX(0,1-(T$4-$E295)/$D295),0)</x:f>
        <x:v>0</x:v>
      </x:c>
      <x:c r="U295" s="169" t="n">
        <x:f>IF(U$4&gt;=$E295,$C295*MAX(0,1-(U$4-$E295)/$D295),0)</x:f>
        <x:v>0</x:v>
      </x:c>
      <x:c r="V295" s="169" t="n">
        <x:f>IF(V$4&gt;=$E295,$C295*MAX(0,1-(V$4-$E295)/$D295),0)</x:f>
        <x:v>0</x:v>
      </x:c>
      <x:c r="W295" s="169" t="n">
        <x:f>IF(W$4&gt;=$E295,$C295*MAX(0,1-(W$4-$E295)/$D295),0)</x:f>
        <x:v>0</x:v>
      </x:c>
      <x:c r="X295" s="169" t="n">
        <x:f>IF(X$4&gt;=$E295,$C295*MAX(0,1-(X$4-$E295)/$D295),0)</x:f>
        <x:v>0</x:v>
      </x:c>
      <x:c r="Y295" s="169" t="n">
        <x:f>IF(Y$4&gt;=$E295,$C295*MAX(0,1-(Y$4-$E295)/$D295),0)</x:f>
        <x:v>0</x:v>
      </x:c>
      <x:c r="Z295" s="169" t="n">
        <x:f>IF(Z$4&gt;=$E295,$C295*MAX(0,1-(Z$4-$E295)/$D295),0)</x:f>
        <x:v>0</x:v>
      </x:c>
      <x:c r="AA295" s="169" t="n">
        <x:f>IF(AA$4&gt;=$E295,$C295*MAX(0,1-(AA$4-$E295)/$D295),0)</x:f>
        <x:v>0</x:v>
      </x:c>
      <x:c r="AB295" s="169" t="n">
        <x:f>IF(AB$4&gt;=$E295,$C295*MAX(0,1-(AB$4-$E295)/$D295),0)</x:f>
        <x:v>0</x:v>
      </x:c>
      <x:c r="AC295" s="169" t="n">
        <x:f>IF(AC$4&gt;=$E295,$C295*MAX(0,1-(AC$4-$E295)/$D295),0)</x:f>
        <x:v>0</x:v>
      </x:c>
    </x:row>
    <x:row r="296" ht="20" customHeight="1">
      <x:c r="A296" s="170" t="str">
        <x:v>Hard assets</x:v>
      </x:c>
      <x:c r="B296" s="214" t="n">
        <x:v>2045</x:v>
      </x:c>
      <x:c r="C296" s="170" t="n">
        <x:f>'ROIC Cloud'!Z$15*'ROIC Cloud'!$D$47</x:f>
        <x:v>2387089.5227105003</x:v>
      </x:c>
      <x:c r="D296" s="214" t="n">
        <x:f>'ROIC Cloud'!$D$43</x:f>
        <x:v>15</x:v>
      </x:c>
      <x:c r="E296" s="214" t="n">
        <x:f>B296+'ROIC Cloud'!$D$40</x:f>
        <x:v>2047</x:v>
      </x:c>
      <x:c r="F296" s="170" t="str">
        <x:v>Depreciation</x:v>
      </x:c>
      <x:c r="G296" s="169" t="n">
        <x:f>IF(G$4&gt;=$E295,MIN($C295/$D295,G295),0)</x:f>
        <x:v>0</x:v>
      </x:c>
      <x:c r="H296" s="169" t="n">
        <x:f>IF(H$4&gt;=$E295,MIN($C295/$D295,H295),0)</x:f>
        <x:v>0</x:v>
      </x:c>
      <x:c r="I296" s="169" t="n">
        <x:f>IF(I$4&gt;=$E295,MIN($C295/$D295,I295),0)</x:f>
        <x:v>0</x:v>
      </x:c>
      <x:c r="J296" s="169" t="n">
        <x:f>IF(J$4&gt;=$E295,MIN($C295/$D295,J295),0)</x:f>
        <x:v>0</x:v>
      </x:c>
      <x:c r="K296" s="169" t="n">
        <x:f>IF(K$4&gt;=$E295,MIN($C295/$D295,K295),0)</x:f>
        <x:v>0</x:v>
      </x:c>
      <x:c r="L296" s="169" t="n">
        <x:f>IF(L$4&gt;=$E295,MIN($C295/$D295,L295),0)</x:f>
        <x:v>0</x:v>
      </x:c>
      <x:c r="M296" s="169" t="n">
        <x:f>IF(M$4&gt;=$E295,MIN($C295/$D295,M295),0)</x:f>
        <x:v>0</x:v>
      </x:c>
      <x:c r="N296" s="169" t="n">
        <x:f>IF(N$4&gt;=$E295,MIN($C295/$D295,N295),0)</x:f>
        <x:v>0</x:v>
      </x:c>
      <x:c r="O296" s="169" t="n">
        <x:f>IF(O$4&gt;=$E295,MIN($C295/$D295,O295),0)</x:f>
        <x:v>0</x:v>
      </x:c>
      <x:c r="P296" s="169" t="n">
        <x:f>IF(P$4&gt;=$E295,MIN($C295/$D295,P295),0)</x:f>
        <x:v>0</x:v>
      </x:c>
      <x:c r="Q296" s="169" t="n">
        <x:f>IF(Q$4&gt;=$E295,MIN($C295/$D295,Q295),0)</x:f>
        <x:v>0</x:v>
      </x:c>
      <x:c r="R296" s="169" t="n">
        <x:f>IF(R$4&gt;=$E295,MIN($C295/$D295,R295),0)</x:f>
        <x:v>0</x:v>
      </x:c>
      <x:c r="S296" s="169" t="n">
        <x:f>IF(S$4&gt;=$E295,MIN($C295/$D295,S295),0)</x:f>
        <x:v>0</x:v>
      </x:c>
      <x:c r="T296" s="169" t="n">
        <x:f>IF(T$4&gt;=$E295,MIN($C295/$D295,T295),0)</x:f>
        <x:v>0</x:v>
      </x:c>
      <x:c r="U296" s="169" t="n">
        <x:f>IF(U$4&gt;=$E295,MIN($C295/$D295,U295),0)</x:f>
        <x:v>0</x:v>
      </x:c>
      <x:c r="V296" s="169" t="n">
        <x:f>IF(V$4&gt;=$E295,MIN($C295/$D295,V295),0)</x:f>
        <x:v>0</x:v>
      </x:c>
      <x:c r="W296" s="169" t="n">
        <x:f>IF(W$4&gt;=$E295,MIN($C295/$D295,W295),0)</x:f>
        <x:v>0</x:v>
      </x:c>
      <x:c r="X296" s="169" t="n">
        <x:f>IF(X$4&gt;=$E295,MIN($C295/$D295,X295),0)</x:f>
        <x:v>0</x:v>
      </x:c>
      <x:c r="Y296" s="169" t="n">
        <x:f>IF(Y$4&gt;=$E295,MIN($C295/$D295,Y295),0)</x:f>
        <x:v>0</x:v>
      </x:c>
      <x:c r="Z296" s="169" t="n">
        <x:f>IF(Z$4&gt;=$E295,MIN($C295/$D295,Z295),0)</x:f>
        <x:v>0</x:v>
      </x:c>
      <x:c r="AA296" s="169" t="n">
        <x:f>IF(AA$4&gt;=$E295,MIN($C295/$D295,AA295),0)</x:f>
        <x:v>0</x:v>
      </x:c>
      <x:c r="AB296" s="169" t="n">
        <x:f>IF(AB$4&gt;=$E295,MIN($C295/$D295,AB295),0)</x:f>
        <x:v>0</x:v>
      </x:c>
      <x:c r="AC296" s="169" t="n">
        <x:f>IF(AC$4&gt;=$E295,MIN($C295/$D295,AC295),0)</x:f>
        <x:v>0</x:v>
      </x:c>
    </x:row>
    <x:row r="297" ht="20" customHeight="1">
      <x:c r="A297" s="170" t="str">
        <x:v>Hard assets</x:v>
      </x:c>
      <x:c r="B297" s="214" t="n">
        <x:v>2045</x:v>
      </x:c>
      <x:c r="C297" s="170" t="n">
        <x:f>'ROIC Cloud'!Z$15*'ROIC Cloud'!$D$47</x:f>
        <x:v>2387089.5227105003</x:v>
      </x:c>
      <x:c r="D297" s="214" t="n">
        <x:f>'ROIC Cloud'!$D$43</x:f>
        <x:v>15</x:v>
      </x:c>
      <x:c r="E297" s="214" t="n">
        <x:f>B297+'ROIC Cloud'!$D$40</x:f>
        <x:v>2047</x:v>
      </x:c>
      <x:c r="F297" s="170" t="str">
        <x:v>Closing NBV</x:v>
      </x:c>
      <x:c r="G297" s="169" t="n">
        <x:f>MAX(0,G295-G296)</x:f>
        <x:v>0</x:v>
      </x:c>
      <x:c r="H297" s="169" t="n">
        <x:f>MAX(0,H295-H296)</x:f>
        <x:v>0</x:v>
      </x:c>
      <x:c r="I297" s="169" t="n">
        <x:f>MAX(0,I295-I296)</x:f>
        <x:v>0</x:v>
      </x:c>
      <x:c r="J297" s="169" t="n">
        <x:f>MAX(0,J295-J296)</x:f>
        <x:v>0</x:v>
      </x:c>
      <x:c r="K297" s="169" t="n">
        <x:f>MAX(0,K295-K296)</x:f>
        <x:v>0</x:v>
      </x:c>
      <x:c r="L297" s="169" t="n">
        <x:f>MAX(0,L295-L296)</x:f>
        <x:v>0</x:v>
      </x:c>
      <x:c r="M297" s="169" t="n">
        <x:f>MAX(0,M295-M296)</x:f>
        <x:v>0</x:v>
      </x:c>
      <x:c r="N297" s="169" t="n">
        <x:f>MAX(0,N295-N296)</x:f>
        <x:v>0</x:v>
      </x:c>
      <x:c r="O297" s="169" t="n">
        <x:f>MAX(0,O295-O296)</x:f>
        <x:v>0</x:v>
      </x:c>
      <x:c r="P297" s="169" t="n">
        <x:f>MAX(0,P295-P296)</x:f>
        <x:v>0</x:v>
      </x:c>
      <x:c r="Q297" s="169" t="n">
        <x:f>MAX(0,Q295-Q296)</x:f>
        <x:v>0</x:v>
      </x:c>
      <x:c r="R297" s="169" t="n">
        <x:f>MAX(0,R295-R296)</x:f>
        <x:v>0</x:v>
      </x:c>
      <x:c r="S297" s="169" t="n">
        <x:f>MAX(0,S295-S296)</x:f>
        <x:v>0</x:v>
      </x:c>
      <x:c r="T297" s="169" t="n">
        <x:f>MAX(0,T295-T296)</x:f>
        <x:v>0</x:v>
      </x:c>
      <x:c r="U297" s="169" t="n">
        <x:f>MAX(0,U295-U296)</x:f>
        <x:v>0</x:v>
      </x:c>
      <x:c r="V297" s="169" t="n">
        <x:f>MAX(0,V295-V296)</x:f>
        <x:v>0</x:v>
      </x:c>
      <x:c r="W297" s="169" t="n">
        <x:f>MAX(0,W295-W296)</x:f>
        <x:v>0</x:v>
      </x:c>
      <x:c r="X297" s="169" t="n">
        <x:f>MAX(0,X295-X296)</x:f>
        <x:v>0</x:v>
      </x:c>
      <x:c r="Y297" s="169" t="n">
        <x:f>MAX(0,Y295-Y296)</x:f>
        <x:v>0</x:v>
      </x:c>
      <x:c r="Z297" s="169" t="n">
        <x:f>MAX(0,Z295-Z296)</x:f>
        <x:v>0</x:v>
      </x:c>
      <x:c r="AA297" s="169" t="n">
        <x:f>MAX(0,AA295-AA296)</x:f>
        <x:v>0</x:v>
      </x:c>
      <x:c r="AB297" s="169" t="n">
        <x:f>MAX(0,AB295-AB296)</x:f>
        <x:v>0</x:v>
      </x:c>
      <x:c r="AC297" s="169" t="n">
        <x:f>MAX(0,AC295-AC296)</x:f>
        <x:v>0</x:v>
      </x:c>
    </x:row>
    <x:row r="298" ht="20" customHeight="1">
      <x:c r="A298" s="170" t="str">
        <x:v>Hard assets</x:v>
      </x:c>
      <x:c r="B298" s="214" t="n">
        <x:v>2045</x:v>
      </x:c>
      <x:c r="C298" s="170" t="n">
        <x:f>'ROIC Cloud'!Z$15*'ROIC Cloud'!$D$47</x:f>
        <x:v>2387089.5227105003</x:v>
      </x:c>
      <x:c r="D298" s="214" t="n">
        <x:f>'ROIC Cloud'!$D$43</x:f>
        <x:v>15</x:v>
      </x:c>
      <x:c r="E298" s="214" t="n">
        <x:f>B298+'ROIC Cloud'!$D$40</x:f>
        <x:v>2047</x:v>
      </x:c>
      <x:c r="F298" s="170" t="str">
        <x:v>Average NBV</x:v>
      </x:c>
      <x:c r="G298" s="169" t="n">
        <x:f>(G295+G297)/2</x:f>
        <x:v>0</x:v>
      </x:c>
      <x:c r="H298" s="169" t="n">
        <x:f>(H295+H297)/2</x:f>
        <x:v>0</x:v>
      </x:c>
      <x:c r="I298" s="169" t="n">
        <x:f>(I295+I297)/2</x:f>
        <x:v>0</x:v>
      </x:c>
      <x:c r="J298" s="169" t="n">
        <x:f>(J295+J297)/2</x:f>
        <x:v>0</x:v>
      </x:c>
      <x:c r="K298" s="169" t="n">
        <x:f>(K295+K297)/2</x:f>
        <x:v>0</x:v>
      </x:c>
      <x:c r="L298" s="169" t="n">
        <x:f>(L295+L297)/2</x:f>
        <x:v>0</x:v>
      </x:c>
      <x:c r="M298" s="169" t="n">
        <x:f>(M295+M297)/2</x:f>
        <x:v>0</x:v>
      </x:c>
      <x:c r="N298" s="169" t="n">
        <x:f>(N295+N297)/2</x:f>
        <x:v>0</x:v>
      </x:c>
      <x:c r="O298" s="169" t="n">
        <x:f>(O295+O297)/2</x:f>
        <x:v>0</x:v>
      </x:c>
      <x:c r="P298" s="169" t="n">
        <x:f>(P295+P297)/2</x:f>
        <x:v>0</x:v>
      </x:c>
      <x:c r="Q298" s="169" t="n">
        <x:f>(Q295+Q297)/2</x:f>
        <x:v>0</x:v>
      </x:c>
      <x:c r="R298" s="169" t="n">
        <x:f>(R295+R297)/2</x:f>
        <x:v>0</x:v>
      </x:c>
      <x:c r="S298" s="169" t="n">
        <x:f>(S295+S297)/2</x:f>
        <x:v>0</x:v>
      </x:c>
      <x:c r="T298" s="169" t="n">
        <x:f>(T295+T297)/2</x:f>
        <x:v>0</x:v>
      </x:c>
      <x:c r="U298" s="169" t="n">
        <x:f>(U295+U297)/2</x:f>
        <x:v>0</x:v>
      </x:c>
      <x:c r="V298" s="169" t="n">
        <x:f>(V295+V297)/2</x:f>
        <x:v>0</x:v>
      </x:c>
      <x:c r="W298" s="169" t="n">
        <x:f>(W295+W297)/2</x:f>
        <x:v>0</x:v>
      </x:c>
      <x:c r="X298" s="169" t="n">
        <x:f>(X295+X297)/2</x:f>
        <x:v>0</x:v>
      </x:c>
      <x:c r="Y298" s="169" t="n">
        <x:f>(Y295+Y297)/2</x:f>
        <x:v>0</x:v>
      </x:c>
      <x:c r="Z298" s="169" t="n">
        <x:f>(Z295+Z297)/2</x:f>
        <x:v>0</x:v>
      </x:c>
      <x:c r="AA298" s="169" t="n">
        <x:f>(AA295+AA297)/2</x:f>
        <x:v>0</x:v>
      </x:c>
      <x:c r="AB298" s="169" t="n">
        <x:f>(AB295+AB297)/2</x:f>
        <x:v>0</x:v>
      </x:c>
      <x:c r="AC298" s="169" t="n">
        <x:f>(AC295+AC297)/2</x:f>
        <x:v>0</x:v>
      </x:c>
    </x:row>
    <x:row r="299" ht="20" customHeight="1">
      <x:c r="A299" s="170"/>
      <x:c r="B299" s="214"/>
      <x:c r="C299" s="170"/>
      <x:c r="D299" s="214"/>
      <x:c r="E299" s="214"/>
      <x:c r="F299" s="170"/>
      <x:c r="G299" s="169"/>
      <x:c r="H299" s="169"/>
      <x:c r="I299" s="169"/>
      <x:c r="J299" s="169"/>
      <x:c r="K299" s="169"/>
      <x:c r="L299" s="169"/>
      <x:c r="M299" s="169"/>
      <x:c r="N299" s="169"/>
      <x:c r="O299" s="169"/>
      <x:c r="P299" s="169"/>
      <x:c r="Q299" s="169"/>
      <x:c r="R299" s="169"/>
      <x:c r="S299" s="169"/>
      <x:c r="T299" s="169"/>
      <x:c r="U299" s="169"/>
      <x:c r="V299" s="169"/>
      <x:c r="W299" s="169"/>
      <x:c r="X299" s="169"/>
      <x:c r="Y299" s="169"/>
      <x:c r="Z299" s="169"/>
      <x:c r="AA299" s="169"/>
      <x:c r="AB299" s="169"/>
      <x:c r="AC299" s="169"/>
    </x:row>
    <x:row r="300" ht="20" customHeight="1">
      <x:c r="A300" s="170"/>
      <x:c r="B300" s="214"/>
      <x:c r="C300" s="170"/>
      <x:c r="D300" s="214"/>
      <x:c r="E300" s="214"/>
      <x:c r="F300" s="170"/>
      <x:c r="G300" s="169"/>
      <x:c r="H300" s="169"/>
      <x:c r="I300" s="169"/>
      <x:c r="J300" s="169"/>
      <x:c r="K300" s="169"/>
      <x:c r="L300" s="169"/>
      <x:c r="M300" s="169"/>
      <x:c r="N300" s="169"/>
      <x:c r="O300" s="169"/>
      <x:c r="P300" s="169"/>
      <x:c r="Q300" s="169"/>
      <x:c r="R300" s="169"/>
      <x:c r="S300" s="169"/>
      <x:c r="T300" s="169"/>
      <x:c r="U300" s="169"/>
      <x:c r="V300" s="169"/>
      <x:c r="W300" s="169"/>
      <x:c r="X300" s="169"/>
      <x:c r="Y300" s="169"/>
      <x:c r="Z300" s="169"/>
      <x:c r="AA300" s="169"/>
      <x:c r="AB300" s="169"/>
      <x:c r="AC300" s="169"/>
    </x:row>
    <x:row r="301" ht="20" customHeight="1">
      <x:c r="A301" s="172" t="str">
        <x:v>CONSTRUCTION CAPITAL | capex-year average 50%; subsequent uncommissioned years 100%</x:v>
      </x:c>
      <x:c r="B301" s="215" t="str">
        <x:v>CONSTRUCTION CAPITAL | capex-year average 50%; subsequent uncommissioned years 100%</x:v>
      </x:c>
      <x:c r="C301" s="172" t="str">
        <x:v>CONSTRUCTION CAPITAL | capex-year average 50%; subsequent uncommissioned years 100%</x:v>
      </x:c>
      <x:c r="D301" s="215" t="str">
        <x:v>CONSTRUCTION CAPITAL | capex-year average 50%; subsequent uncommissioned years 100%</x:v>
      </x:c>
      <x:c r="E301" s="215" t="str">
        <x:v>CONSTRUCTION CAPITAL | capex-year average 50%; subsequent uncommissioned years 100%</x:v>
      </x:c>
      <x:c r="F301" s="172" t="str">
        <x:v>CONSTRUCTION CAPITAL | capex-year average 50%; subsequent uncommissioned years 100%</x:v>
      </x:c>
      <x:c r="G301" s="172" t="str">
        <x:v>CONSTRUCTION CAPITAL | capex-year average 50%; subsequent uncommissioned years 100%</x:v>
      </x:c>
      <x:c r="H301" s="172" t="str">
        <x:v>CONSTRUCTION CAPITAL | capex-year average 50%; subsequent uncommissioned years 100%</x:v>
      </x:c>
      <x:c r="I301" s="172" t="str">
        <x:v>CONSTRUCTION CAPITAL | capex-year average 50%; subsequent uncommissioned years 100%</x:v>
      </x:c>
      <x:c r="J301" s="172" t="str">
        <x:v>CONSTRUCTION CAPITAL | capex-year average 50%; subsequent uncommissioned years 100%</x:v>
      </x:c>
      <x:c r="K301" s="172" t="str">
        <x:v>CONSTRUCTION CAPITAL | capex-year average 50%; subsequent uncommissioned years 100%</x:v>
      </x:c>
      <x:c r="L301" s="172" t="str">
        <x:v>CONSTRUCTION CAPITAL | capex-year average 50%; subsequent uncommissioned years 100%</x:v>
      </x:c>
      <x:c r="M301" s="172" t="str">
        <x:v>CONSTRUCTION CAPITAL | capex-year average 50%; subsequent uncommissioned years 100%</x:v>
      </x:c>
      <x:c r="N301" s="172" t="str">
        <x:v>CONSTRUCTION CAPITAL | capex-year average 50%; subsequent uncommissioned years 100%</x:v>
      </x:c>
      <x:c r="O301" s="172" t="str">
        <x:v>CONSTRUCTION CAPITAL | capex-year average 50%; subsequent uncommissioned years 100%</x:v>
      </x:c>
      <x:c r="P301" s="172" t="str">
        <x:v>CONSTRUCTION CAPITAL | capex-year average 50%; subsequent uncommissioned years 100%</x:v>
      </x:c>
      <x:c r="Q301" s="172" t="str">
        <x:v>CONSTRUCTION CAPITAL | capex-year average 50%; subsequent uncommissioned years 100%</x:v>
      </x:c>
      <x:c r="R301" s="172" t="str">
        <x:v>CONSTRUCTION CAPITAL | capex-year average 50%; subsequent uncommissioned years 100%</x:v>
      </x:c>
      <x:c r="S301" s="172" t="str">
        <x:v>CONSTRUCTION CAPITAL | capex-year average 50%; subsequent uncommissioned years 100%</x:v>
      </x:c>
      <x:c r="T301" s="172" t="str">
        <x:v>CONSTRUCTION CAPITAL | capex-year average 50%; subsequent uncommissioned years 100%</x:v>
      </x:c>
      <x:c r="U301" s="172" t="str">
        <x:v>CONSTRUCTION CAPITAL | capex-year average 50%; subsequent uncommissioned years 100%</x:v>
      </x:c>
      <x:c r="V301" s="172" t="str">
        <x:v>CONSTRUCTION CAPITAL | capex-year average 50%; subsequent uncommissioned years 100%</x:v>
      </x:c>
      <x:c r="W301" s="172" t="str">
        <x:v>CONSTRUCTION CAPITAL | capex-year average 50%; subsequent uncommissioned years 100%</x:v>
      </x:c>
      <x:c r="X301" s="172" t="str">
        <x:v>CONSTRUCTION CAPITAL | capex-year average 50%; subsequent uncommissioned years 100%</x:v>
      </x:c>
      <x:c r="Y301" s="172" t="str">
        <x:v>CONSTRUCTION CAPITAL | capex-year average 50%; subsequent uncommissioned years 100%</x:v>
      </x:c>
      <x:c r="Z301" s="172" t="str">
        <x:v>CONSTRUCTION CAPITAL | capex-year average 50%; subsequent uncommissioned years 100%</x:v>
      </x:c>
      <x:c r="AA301" s="172" t="str">
        <x:v>CONSTRUCTION CAPITAL | capex-year average 50%; subsequent uncommissioned years 100%</x:v>
      </x:c>
      <x:c r="AB301" s="172" t="str">
        <x:v>CONSTRUCTION CAPITAL | capex-year average 50%; subsequent uncommissioned years 100%</x:v>
      </x:c>
      <x:c r="AC301" s="172" t="str">
        <x:v>CONSTRUCTION CAPITAL | capex-year average 50%; subsequent uncommissioned years 100%</x:v>
      </x:c>
    </x:row>
    <x:row r="302" ht="20" customHeight="1">
      <x:c r="A302" s="170" t="str">
        <x:v>Construction</x:v>
      </x:c>
      <x:c r="B302" s="214" t="n">
        <x:v>2023</x:v>
      </x:c>
      <x:c r="C302" s="170" t="n">
        <x:f>'ROIC Cloud'!D$15</x:f>
        <x:v>53827.444923643474</x:v>
      </x:c>
      <x:c r="D302" s="214"/>
      <x:c r="E302" s="214" t="n">
        <x:f>B302+'ROIC Cloud'!$D$40</x:f>
        <x:v>2025</x:v>
      </x:c>
      <x:c r="F302" s="170" t="str">
        <x:v>Average WIP</x:v>
      </x:c>
      <x:c r="G302" s="169" t="n">
        <x:f>IF(G$4=$B302,$C302/2,IF(AND(G$4&gt;$B302,G$4&lt;$E302),$C302,0))</x:f>
        <x:v>26913.722461821737</x:v>
      </x:c>
      <x:c r="H302" s="169" t="n">
        <x:f>IF(H$4=$B302,$C302/2,IF(AND(H$4&gt;$B302,H$4&lt;$E302),$C302,0))</x:f>
        <x:v>53827.444923643474</x:v>
      </x:c>
      <x:c r="I302" s="169" t="n">
        <x:f>IF(I$4=$B302,$C302/2,IF(AND(I$4&gt;$B302,I$4&lt;$E302),$C302,0))</x:f>
        <x:v>0</x:v>
      </x:c>
      <x:c r="J302" s="169" t="n">
        <x:f>IF(J$4=$B302,$C302/2,IF(AND(J$4&gt;$B302,J$4&lt;$E302),$C302,0))</x:f>
        <x:v>0</x:v>
      </x:c>
      <x:c r="K302" s="169" t="n">
        <x:f>IF(K$4=$B302,$C302/2,IF(AND(K$4&gt;$B302,K$4&lt;$E302),$C302,0))</x:f>
        <x:v>0</x:v>
      </x:c>
      <x:c r="L302" s="169" t="n">
        <x:f>IF(L$4=$B302,$C302/2,IF(AND(L$4&gt;$B302,L$4&lt;$E302),$C302,0))</x:f>
        <x:v>0</x:v>
      </x:c>
      <x:c r="M302" s="169" t="n">
        <x:f>IF(M$4=$B302,$C302/2,IF(AND(M$4&gt;$B302,M$4&lt;$E302),$C302,0))</x:f>
        <x:v>0</x:v>
      </x:c>
      <x:c r="N302" s="169" t="n">
        <x:f>IF(N$4=$B302,$C302/2,IF(AND(N$4&gt;$B302,N$4&lt;$E302),$C302,0))</x:f>
        <x:v>0</x:v>
      </x:c>
      <x:c r="O302" s="169" t="n">
        <x:f>IF(O$4=$B302,$C302/2,IF(AND(O$4&gt;$B302,O$4&lt;$E302),$C302,0))</x:f>
        <x:v>0</x:v>
      </x:c>
      <x:c r="P302" s="169" t="n">
        <x:f>IF(P$4=$B302,$C302/2,IF(AND(P$4&gt;$B302,P$4&lt;$E302),$C302,0))</x:f>
        <x:v>0</x:v>
      </x:c>
      <x:c r="Q302" s="169" t="n">
        <x:f>IF(Q$4=$B302,$C302/2,IF(AND(Q$4&gt;$B302,Q$4&lt;$E302),$C302,0))</x:f>
        <x:v>0</x:v>
      </x:c>
      <x:c r="R302" s="169" t="n">
        <x:f>IF(R$4=$B302,$C302/2,IF(AND(R$4&gt;$B302,R$4&lt;$E302),$C302,0))</x:f>
        <x:v>0</x:v>
      </x:c>
      <x:c r="S302" s="169" t="n">
        <x:f>IF(S$4=$B302,$C302/2,IF(AND(S$4&gt;$B302,S$4&lt;$E302),$C302,0))</x:f>
        <x:v>0</x:v>
      </x:c>
      <x:c r="T302" s="169" t="n">
        <x:f>IF(T$4=$B302,$C302/2,IF(AND(T$4&gt;$B302,T$4&lt;$E302),$C302,0))</x:f>
        <x:v>0</x:v>
      </x:c>
      <x:c r="U302" s="169" t="n">
        <x:f>IF(U$4=$B302,$C302/2,IF(AND(U$4&gt;$B302,U$4&lt;$E302),$C302,0))</x:f>
        <x:v>0</x:v>
      </x:c>
      <x:c r="V302" s="169" t="n">
        <x:f>IF(V$4=$B302,$C302/2,IF(AND(V$4&gt;$B302,V$4&lt;$E302),$C302,0))</x:f>
        <x:v>0</x:v>
      </x:c>
      <x:c r="W302" s="169" t="n">
        <x:f>IF(W$4=$B302,$C302/2,IF(AND(W$4&gt;$B302,W$4&lt;$E302),$C302,0))</x:f>
        <x:v>0</x:v>
      </x:c>
      <x:c r="X302" s="169" t="n">
        <x:f>IF(X$4=$B302,$C302/2,IF(AND(X$4&gt;$B302,X$4&lt;$E302),$C302,0))</x:f>
        <x:v>0</x:v>
      </x:c>
      <x:c r="Y302" s="169" t="n">
        <x:f>IF(Y$4=$B302,$C302/2,IF(AND(Y$4&gt;$B302,Y$4&lt;$E302),$C302,0))</x:f>
        <x:v>0</x:v>
      </x:c>
      <x:c r="Z302" s="169" t="n">
        <x:f>IF(Z$4=$B302,$C302/2,IF(AND(Z$4&gt;$B302,Z$4&lt;$E302),$C302,0))</x:f>
        <x:v>0</x:v>
      </x:c>
      <x:c r="AA302" s="169" t="n">
        <x:f>IF(AA$4=$B302,$C302/2,IF(AND(AA$4&gt;$B302,AA$4&lt;$E302),$C302,0))</x:f>
        <x:v>0</x:v>
      </x:c>
      <x:c r="AB302" s="169" t="n">
        <x:f>IF(AB$4=$B302,$C302/2,IF(AND(AB$4&gt;$B302,AB$4&lt;$E302),$C302,0))</x:f>
        <x:v>0</x:v>
      </x:c>
      <x:c r="AC302" s="169" t="n">
        <x:f>IF(AC$4=$B302,$C302/2,IF(AND(AC$4&gt;$B302,AC$4&lt;$E302),$C302,0))</x:f>
        <x:v>0</x:v>
      </x:c>
    </x:row>
    <x:row r="303" ht="20" customHeight="1">
      <x:c r="A303" s="170" t="str">
        <x:v>Construction</x:v>
      </x:c>
      <x:c r="B303" s="214" t="n">
        <x:v>2024</x:v>
      </x:c>
      <x:c r="C303" s="170" t="n">
        <x:f>'ROIC Cloud'!E$15</x:f>
        <x:v>140318.21487638683</x:v>
      </x:c>
      <x:c r="D303" s="214"/>
      <x:c r="E303" s="214" t="n">
        <x:f>B303+'ROIC Cloud'!$D$40</x:f>
        <x:v>2026</x:v>
      </x:c>
      <x:c r="F303" s="170" t="str">
        <x:v>Average WIP</x:v>
      </x:c>
      <x:c r="G303" s="169" t="n">
        <x:f>IF(G$4=$B303,$C303/2,IF(AND(G$4&gt;$B303,G$4&lt;$E303),$C303,0))</x:f>
        <x:v>0</x:v>
      </x:c>
      <x:c r="H303" s="169" t="n">
        <x:f>IF(H$4=$B303,$C303/2,IF(AND(H$4&gt;$B303,H$4&lt;$E303),$C303,0))</x:f>
        <x:v>70159.10743819342</x:v>
      </x:c>
      <x:c r="I303" s="169" t="n">
        <x:f>IF(I$4=$B303,$C303/2,IF(AND(I$4&gt;$B303,I$4&lt;$E303),$C303,0))</x:f>
        <x:v>140318.21487638683</x:v>
      </x:c>
      <x:c r="J303" s="169" t="n">
        <x:f>IF(J$4=$B303,$C303/2,IF(AND(J$4&gt;$B303,J$4&lt;$E303),$C303,0))</x:f>
        <x:v>0</x:v>
      </x:c>
      <x:c r="K303" s="169" t="n">
        <x:f>IF(K$4=$B303,$C303/2,IF(AND(K$4&gt;$B303,K$4&lt;$E303),$C303,0))</x:f>
        <x:v>0</x:v>
      </x:c>
      <x:c r="L303" s="169" t="n">
        <x:f>IF(L$4=$B303,$C303/2,IF(AND(L$4&gt;$B303,L$4&lt;$E303),$C303,0))</x:f>
        <x:v>0</x:v>
      </x:c>
      <x:c r="M303" s="169" t="n">
        <x:f>IF(M$4=$B303,$C303/2,IF(AND(M$4&gt;$B303,M$4&lt;$E303),$C303,0))</x:f>
        <x:v>0</x:v>
      </x:c>
      <x:c r="N303" s="169" t="n">
        <x:f>IF(N$4=$B303,$C303/2,IF(AND(N$4&gt;$B303,N$4&lt;$E303),$C303,0))</x:f>
        <x:v>0</x:v>
      </x:c>
      <x:c r="O303" s="169" t="n">
        <x:f>IF(O$4=$B303,$C303/2,IF(AND(O$4&gt;$B303,O$4&lt;$E303),$C303,0))</x:f>
        <x:v>0</x:v>
      </x:c>
      <x:c r="P303" s="169" t="n">
        <x:f>IF(P$4=$B303,$C303/2,IF(AND(P$4&gt;$B303,P$4&lt;$E303),$C303,0))</x:f>
        <x:v>0</x:v>
      </x:c>
      <x:c r="Q303" s="169" t="n">
        <x:f>IF(Q$4=$B303,$C303/2,IF(AND(Q$4&gt;$B303,Q$4&lt;$E303),$C303,0))</x:f>
        <x:v>0</x:v>
      </x:c>
      <x:c r="R303" s="169" t="n">
        <x:f>IF(R$4=$B303,$C303/2,IF(AND(R$4&gt;$B303,R$4&lt;$E303),$C303,0))</x:f>
        <x:v>0</x:v>
      </x:c>
      <x:c r="S303" s="169" t="n">
        <x:f>IF(S$4=$B303,$C303/2,IF(AND(S$4&gt;$B303,S$4&lt;$E303),$C303,0))</x:f>
        <x:v>0</x:v>
      </x:c>
      <x:c r="T303" s="169" t="n">
        <x:f>IF(T$4=$B303,$C303/2,IF(AND(T$4&gt;$B303,T$4&lt;$E303),$C303,0))</x:f>
        <x:v>0</x:v>
      </x:c>
      <x:c r="U303" s="169" t="n">
        <x:f>IF(U$4=$B303,$C303/2,IF(AND(U$4&gt;$B303,U$4&lt;$E303),$C303,0))</x:f>
        <x:v>0</x:v>
      </x:c>
      <x:c r="V303" s="169" t="n">
        <x:f>IF(V$4=$B303,$C303/2,IF(AND(V$4&gt;$B303,V$4&lt;$E303),$C303,0))</x:f>
        <x:v>0</x:v>
      </x:c>
      <x:c r="W303" s="169" t="n">
        <x:f>IF(W$4=$B303,$C303/2,IF(AND(W$4&gt;$B303,W$4&lt;$E303),$C303,0))</x:f>
        <x:v>0</x:v>
      </x:c>
      <x:c r="X303" s="169" t="n">
        <x:f>IF(X$4=$B303,$C303/2,IF(AND(X$4&gt;$B303,X$4&lt;$E303),$C303,0))</x:f>
        <x:v>0</x:v>
      </x:c>
      <x:c r="Y303" s="169" t="n">
        <x:f>IF(Y$4=$B303,$C303/2,IF(AND(Y$4&gt;$B303,Y$4&lt;$E303),$C303,0))</x:f>
        <x:v>0</x:v>
      </x:c>
      <x:c r="Z303" s="169" t="n">
        <x:f>IF(Z$4=$B303,$C303/2,IF(AND(Z$4&gt;$B303,Z$4&lt;$E303),$C303,0))</x:f>
        <x:v>0</x:v>
      </x:c>
      <x:c r="AA303" s="169" t="n">
        <x:f>IF(AA$4=$B303,$C303/2,IF(AND(AA$4&gt;$B303,AA$4&lt;$E303),$C303,0))</x:f>
        <x:v>0</x:v>
      </x:c>
      <x:c r="AB303" s="169" t="n">
        <x:f>IF(AB$4=$B303,$C303/2,IF(AND(AB$4&gt;$B303,AB$4&lt;$E303),$C303,0))</x:f>
        <x:v>0</x:v>
      </x:c>
      <x:c r="AC303" s="169" t="n">
        <x:f>IF(AC$4=$B303,$C303/2,IF(AND(AC$4&gt;$B303,AC$4&lt;$E303),$C303,0))</x:f>
        <x:v>0</x:v>
      </x:c>
    </x:row>
    <x:row r="304" ht="20" customHeight="1">
      <x:c r="A304" s="170" t="str">
        <x:v>Construction</x:v>
      </x:c>
      <x:c r="B304" s="214" t="n">
        <x:v>2025</x:v>
      </x:c>
      <x:c r="C304" s="170" t="n">
        <x:f>'ROIC Cloud'!F$15</x:f>
        <x:v>237756.45191185622</x:v>
      </x:c>
      <x:c r="D304" s="214"/>
      <x:c r="E304" s="214" t="n">
        <x:f>B304+'ROIC Cloud'!$D$40</x:f>
        <x:v>2027</x:v>
      </x:c>
      <x:c r="F304" s="170" t="str">
        <x:v>Average WIP</x:v>
      </x:c>
      <x:c r="G304" s="169" t="n">
        <x:f>IF(G$4=$B304,$C304/2,IF(AND(G$4&gt;$B304,G$4&lt;$E304),$C304,0))</x:f>
        <x:v>0</x:v>
      </x:c>
      <x:c r="H304" s="169" t="n">
        <x:f>IF(H$4=$B304,$C304/2,IF(AND(H$4&gt;$B304,H$4&lt;$E304),$C304,0))</x:f>
        <x:v>0</x:v>
      </x:c>
      <x:c r="I304" s="169" t="n">
        <x:f>IF(I$4=$B304,$C304/2,IF(AND(I$4&gt;$B304,I$4&lt;$E304),$C304,0))</x:f>
        <x:v>118878.22595592811</x:v>
      </x:c>
      <x:c r="J304" s="169" t="n">
        <x:f>IF(J$4=$B304,$C304/2,IF(AND(J$4&gt;$B304,J$4&lt;$E304),$C304,0))</x:f>
        <x:v>237756.45191185622</x:v>
      </x:c>
      <x:c r="K304" s="169" t="n">
        <x:f>IF(K$4=$B304,$C304/2,IF(AND(K$4&gt;$B304,K$4&lt;$E304),$C304,0))</x:f>
        <x:v>0</x:v>
      </x:c>
      <x:c r="L304" s="169" t="n">
        <x:f>IF(L$4=$B304,$C304/2,IF(AND(L$4&gt;$B304,L$4&lt;$E304),$C304,0))</x:f>
        <x:v>0</x:v>
      </x:c>
      <x:c r="M304" s="169" t="n">
        <x:f>IF(M$4=$B304,$C304/2,IF(AND(M$4&gt;$B304,M$4&lt;$E304),$C304,0))</x:f>
        <x:v>0</x:v>
      </x:c>
      <x:c r="N304" s="169" t="n">
        <x:f>IF(N$4=$B304,$C304/2,IF(AND(N$4&gt;$B304,N$4&lt;$E304),$C304,0))</x:f>
        <x:v>0</x:v>
      </x:c>
      <x:c r="O304" s="169" t="n">
        <x:f>IF(O$4=$B304,$C304/2,IF(AND(O$4&gt;$B304,O$4&lt;$E304),$C304,0))</x:f>
        <x:v>0</x:v>
      </x:c>
      <x:c r="P304" s="169" t="n">
        <x:f>IF(P$4=$B304,$C304/2,IF(AND(P$4&gt;$B304,P$4&lt;$E304),$C304,0))</x:f>
        <x:v>0</x:v>
      </x:c>
      <x:c r="Q304" s="169" t="n">
        <x:f>IF(Q$4=$B304,$C304/2,IF(AND(Q$4&gt;$B304,Q$4&lt;$E304),$C304,0))</x:f>
        <x:v>0</x:v>
      </x:c>
      <x:c r="R304" s="169" t="n">
        <x:f>IF(R$4=$B304,$C304/2,IF(AND(R$4&gt;$B304,R$4&lt;$E304),$C304,0))</x:f>
        <x:v>0</x:v>
      </x:c>
      <x:c r="S304" s="169" t="n">
        <x:f>IF(S$4=$B304,$C304/2,IF(AND(S$4&gt;$B304,S$4&lt;$E304),$C304,0))</x:f>
        <x:v>0</x:v>
      </x:c>
      <x:c r="T304" s="169" t="n">
        <x:f>IF(T$4=$B304,$C304/2,IF(AND(T$4&gt;$B304,T$4&lt;$E304),$C304,0))</x:f>
        <x:v>0</x:v>
      </x:c>
      <x:c r="U304" s="169" t="n">
        <x:f>IF(U$4=$B304,$C304/2,IF(AND(U$4&gt;$B304,U$4&lt;$E304),$C304,0))</x:f>
        <x:v>0</x:v>
      </x:c>
      <x:c r="V304" s="169" t="n">
        <x:f>IF(V$4=$B304,$C304/2,IF(AND(V$4&gt;$B304,V$4&lt;$E304),$C304,0))</x:f>
        <x:v>0</x:v>
      </x:c>
      <x:c r="W304" s="169" t="n">
        <x:f>IF(W$4=$B304,$C304/2,IF(AND(W$4&gt;$B304,W$4&lt;$E304),$C304,0))</x:f>
        <x:v>0</x:v>
      </x:c>
      <x:c r="X304" s="169" t="n">
        <x:f>IF(X$4=$B304,$C304/2,IF(AND(X$4&gt;$B304,X$4&lt;$E304),$C304,0))</x:f>
        <x:v>0</x:v>
      </x:c>
      <x:c r="Y304" s="169" t="n">
        <x:f>IF(Y$4=$B304,$C304/2,IF(AND(Y$4&gt;$B304,Y$4&lt;$E304),$C304,0))</x:f>
        <x:v>0</x:v>
      </x:c>
      <x:c r="Z304" s="169" t="n">
        <x:f>IF(Z$4=$B304,$C304/2,IF(AND(Z$4&gt;$B304,Z$4&lt;$E304),$C304,0))</x:f>
        <x:v>0</x:v>
      </x:c>
      <x:c r="AA304" s="169" t="n">
        <x:f>IF(AA$4=$B304,$C304/2,IF(AND(AA$4&gt;$B304,AA$4&lt;$E304),$C304,0))</x:f>
        <x:v>0</x:v>
      </x:c>
      <x:c r="AB304" s="169" t="n">
        <x:f>IF(AB$4=$B304,$C304/2,IF(AND(AB$4&gt;$B304,AB$4&lt;$E304),$C304,0))</x:f>
        <x:v>0</x:v>
      </x:c>
      <x:c r="AC304" s="169" t="n">
        <x:f>IF(AC$4=$B304,$C304/2,IF(AND(AC$4&gt;$B304,AC$4&lt;$E304),$C304,0))</x:f>
        <x:v>0</x:v>
      </x:c>
    </x:row>
    <x:row r="305" ht="20" customHeight="1">
      <x:c r="A305" s="170" t="str">
        <x:v>Construction</x:v>
      </x:c>
      <x:c r="B305" s="214" t="n">
        <x:v>2026</x:v>
      </x:c>
      <x:c r="C305" s="170" t="n">
        <x:f>'ROIC Cloud'!G$15</x:f>
        <x:v>540959.1965956268</x:v>
      </x:c>
      <x:c r="D305" s="214"/>
      <x:c r="E305" s="214" t="n">
        <x:f>B305+'ROIC Cloud'!$D$40</x:f>
        <x:v>2028</x:v>
      </x:c>
      <x:c r="F305" s="170" t="str">
        <x:v>Average WIP</x:v>
      </x:c>
      <x:c r="G305" s="169" t="n">
        <x:f>IF(G$4=$B305,$C305/2,IF(AND(G$4&gt;$B305,G$4&lt;$E305),$C305,0))</x:f>
        <x:v>0</x:v>
      </x:c>
      <x:c r="H305" s="169" t="n">
        <x:f>IF(H$4=$B305,$C305/2,IF(AND(H$4&gt;$B305,H$4&lt;$E305),$C305,0))</x:f>
        <x:v>0</x:v>
      </x:c>
      <x:c r="I305" s="169" t="n">
        <x:f>IF(I$4=$B305,$C305/2,IF(AND(I$4&gt;$B305,I$4&lt;$E305),$C305,0))</x:f>
        <x:v>0</x:v>
      </x:c>
      <x:c r="J305" s="169" t="n">
        <x:f>IF(J$4=$B305,$C305/2,IF(AND(J$4&gt;$B305,J$4&lt;$E305),$C305,0))</x:f>
        <x:v>270479.5982978134</x:v>
      </x:c>
      <x:c r="K305" s="169" t="n">
        <x:f>IF(K$4=$B305,$C305/2,IF(AND(K$4&gt;$B305,K$4&lt;$E305),$C305,0))</x:f>
        <x:v>540959.1965956268</x:v>
      </x:c>
      <x:c r="L305" s="169" t="n">
        <x:f>IF(L$4=$B305,$C305/2,IF(AND(L$4&gt;$B305,L$4&lt;$E305),$C305,0))</x:f>
        <x:v>0</x:v>
      </x:c>
      <x:c r="M305" s="169" t="n">
        <x:f>IF(M$4=$B305,$C305/2,IF(AND(M$4&gt;$B305,M$4&lt;$E305),$C305,0))</x:f>
        <x:v>0</x:v>
      </x:c>
      <x:c r="N305" s="169" t="n">
        <x:f>IF(N$4=$B305,$C305/2,IF(AND(N$4&gt;$B305,N$4&lt;$E305),$C305,0))</x:f>
        <x:v>0</x:v>
      </x:c>
      <x:c r="O305" s="169" t="n">
        <x:f>IF(O$4=$B305,$C305/2,IF(AND(O$4&gt;$B305,O$4&lt;$E305),$C305,0))</x:f>
        <x:v>0</x:v>
      </x:c>
      <x:c r="P305" s="169" t="n">
        <x:f>IF(P$4=$B305,$C305/2,IF(AND(P$4&gt;$B305,P$4&lt;$E305),$C305,0))</x:f>
        <x:v>0</x:v>
      </x:c>
      <x:c r="Q305" s="169" t="n">
        <x:f>IF(Q$4=$B305,$C305/2,IF(AND(Q$4&gt;$B305,Q$4&lt;$E305),$C305,0))</x:f>
        <x:v>0</x:v>
      </x:c>
      <x:c r="R305" s="169" t="n">
        <x:f>IF(R$4=$B305,$C305/2,IF(AND(R$4&gt;$B305,R$4&lt;$E305),$C305,0))</x:f>
        <x:v>0</x:v>
      </x:c>
      <x:c r="S305" s="169" t="n">
        <x:f>IF(S$4=$B305,$C305/2,IF(AND(S$4&gt;$B305,S$4&lt;$E305),$C305,0))</x:f>
        <x:v>0</x:v>
      </x:c>
      <x:c r="T305" s="169" t="n">
        <x:f>IF(T$4=$B305,$C305/2,IF(AND(T$4&gt;$B305,T$4&lt;$E305),$C305,0))</x:f>
        <x:v>0</x:v>
      </x:c>
      <x:c r="U305" s="169" t="n">
        <x:f>IF(U$4=$B305,$C305/2,IF(AND(U$4&gt;$B305,U$4&lt;$E305),$C305,0))</x:f>
        <x:v>0</x:v>
      </x:c>
      <x:c r="V305" s="169" t="n">
        <x:f>IF(V$4=$B305,$C305/2,IF(AND(V$4&gt;$B305,V$4&lt;$E305),$C305,0))</x:f>
        <x:v>0</x:v>
      </x:c>
      <x:c r="W305" s="169" t="n">
        <x:f>IF(W$4=$B305,$C305/2,IF(AND(W$4&gt;$B305,W$4&lt;$E305),$C305,0))</x:f>
        <x:v>0</x:v>
      </x:c>
      <x:c r="X305" s="169" t="n">
        <x:f>IF(X$4=$B305,$C305/2,IF(AND(X$4&gt;$B305,X$4&lt;$E305),$C305,0))</x:f>
        <x:v>0</x:v>
      </x:c>
      <x:c r="Y305" s="169" t="n">
        <x:f>IF(Y$4=$B305,$C305/2,IF(AND(Y$4&gt;$B305,Y$4&lt;$E305),$C305,0))</x:f>
        <x:v>0</x:v>
      </x:c>
      <x:c r="Z305" s="169" t="n">
        <x:f>IF(Z$4=$B305,$C305/2,IF(AND(Z$4&gt;$B305,Z$4&lt;$E305),$C305,0))</x:f>
        <x:v>0</x:v>
      </x:c>
      <x:c r="AA305" s="169" t="n">
        <x:f>IF(AA$4=$B305,$C305/2,IF(AND(AA$4&gt;$B305,AA$4&lt;$E305),$C305,0))</x:f>
        <x:v>0</x:v>
      </x:c>
      <x:c r="AB305" s="169" t="n">
        <x:f>IF(AB$4=$B305,$C305/2,IF(AND(AB$4&gt;$B305,AB$4&lt;$E305),$C305,0))</x:f>
        <x:v>0</x:v>
      </x:c>
      <x:c r="AC305" s="169" t="n">
        <x:f>IF(AC$4=$B305,$C305/2,IF(AND(AC$4&gt;$B305,AC$4&lt;$E305),$C305,0))</x:f>
        <x:v>0</x:v>
      </x:c>
    </x:row>
    <x:row r="306" ht="20" customHeight="1">
      <x:c r="A306" s="170" t="str">
        <x:v>Construction</x:v>
      </x:c>
      <x:c r="B306" s="214" t="n">
        <x:v>2027</x:v>
      </x:c>
      <x:c r="C306" s="170" t="n">
        <x:f>'ROIC Cloud'!H$15</x:f>
        <x:v>1131247.763119769</x:v>
      </x:c>
      <x:c r="D306" s="214"/>
      <x:c r="E306" s="214" t="n">
        <x:f>B306+'ROIC Cloud'!$D$40</x:f>
        <x:v>2029</x:v>
      </x:c>
      <x:c r="F306" s="170" t="str">
        <x:v>Average WIP</x:v>
      </x:c>
      <x:c r="G306" s="169" t="n">
        <x:f>IF(G$4=$B306,$C306/2,IF(AND(G$4&gt;$B306,G$4&lt;$E306),$C306,0))</x:f>
        <x:v>0</x:v>
      </x:c>
      <x:c r="H306" s="169" t="n">
        <x:f>IF(H$4=$B306,$C306/2,IF(AND(H$4&gt;$B306,H$4&lt;$E306),$C306,0))</x:f>
        <x:v>0</x:v>
      </x:c>
      <x:c r="I306" s="169" t="n">
        <x:f>IF(I$4=$B306,$C306/2,IF(AND(I$4&gt;$B306,I$4&lt;$E306),$C306,0))</x:f>
        <x:v>0</x:v>
      </x:c>
      <x:c r="J306" s="169" t="n">
        <x:f>IF(J$4=$B306,$C306/2,IF(AND(J$4&gt;$B306,J$4&lt;$E306),$C306,0))</x:f>
        <x:v>0</x:v>
      </x:c>
      <x:c r="K306" s="169" t="n">
        <x:f>IF(K$4=$B306,$C306/2,IF(AND(K$4&gt;$B306,K$4&lt;$E306),$C306,0))</x:f>
        <x:v>565623.8815598845</x:v>
      </x:c>
      <x:c r="L306" s="169" t="n">
        <x:f>IF(L$4=$B306,$C306/2,IF(AND(L$4&gt;$B306,L$4&lt;$E306),$C306,0))</x:f>
        <x:v>1131247.763119769</x:v>
      </x:c>
      <x:c r="M306" s="169" t="n">
        <x:f>IF(M$4=$B306,$C306/2,IF(AND(M$4&gt;$B306,M$4&lt;$E306),$C306,0))</x:f>
        <x:v>0</x:v>
      </x:c>
      <x:c r="N306" s="169" t="n">
        <x:f>IF(N$4=$B306,$C306/2,IF(AND(N$4&gt;$B306,N$4&lt;$E306),$C306,0))</x:f>
        <x:v>0</x:v>
      </x:c>
      <x:c r="O306" s="169" t="n">
        <x:f>IF(O$4=$B306,$C306/2,IF(AND(O$4&gt;$B306,O$4&lt;$E306),$C306,0))</x:f>
        <x:v>0</x:v>
      </x:c>
      <x:c r="P306" s="169" t="n">
        <x:f>IF(P$4=$B306,$C306/2,IF(AND(P$4&gt;$B306,P$4&lt;$E306),$C306,0))</x:f>
        <x:v>0</x:v>
      </x:c>
      <x:c r="Q306" s="169" t="n">
        <x:f>IF(Q$4=$B306,$C306/2,IF(AND(Q$4&gt;$B306,Q$4&lt;$E306),$C306,0))</x:f>
        <x:v>0</x:v>
      </x:c>
      <x:c r="R306" s="169" t="n">
        <x:f>IF(R$4=$B306,$C306/2,IF(AND(R$4&gt;$B306,R$4&lt;$E306),$C306,0))</x:f>
        <x:v>0</x:v>
      </x:c>
      <x:c r="S306" s="169" t="n">
        <x:f>IF(S$4=$B306,$C306/2,IF(AND(S$4&gt;$B306,S$4&lt;$E306),$C306,0))</x:f>
        <x:v>0</x:v>
      </x:c>
      <x:c r="T306" s="169" t="n">
        <x:f>IF(T$4=$B306,$C306/2,IF(AND(T$4&gt;$B306,T$4&lt;$E306),$C306,0))</x:f>
        <x:v>0</x:v>
      </x:c>
      <x:c r="U306" s="169" t="n">
        <x:f>IF(U$4=$B306,$C306/2,IF(AND(U$4&gt;$B306,U$4&lt;$E306),$C306,0))</x:f>
        <x:v>0</x:v>
      </x:c>
      <x:c r="V306" s="169" t="n">
        <x:f>IF(V$4=$B306,$C306/2,IF(AND(V$4&gt;$B306,V$4&lt;$E306),$C306,0))</x:f>
        <x:v>0</x:v>
      </x:c>
      <x:c r="W306" s="169" t="n">
        <x:f>IF(W$4=$B306,$C306/2,IF(AND(W$4&gt;$B306,W$4&lt;$E306),$C306,0))</x:f>
        <x:v>0</x:v>
      </x:c>
      <x:c r="X306" s="169" t="n">
        <x:f>IF(X$4=$B306,$C306/2,IF(AND(X$4&gt;$B306,X$4&lt;$E306),$C306,0))</x:f>
        <x:v>0</x:v>
      </x:c>
      <x:c r="Y306" s="169" t="n">
        <x:f>IF(Y$4=$B306,$C306/2,IF(AND(Y$4&gt;$B306,Y$4&lt;$E306),$C306,0))</x:f>
        <x:v>0</x:v>
      </x:c>
      <x:c r="Z306" s="169" t="n">
        <x:f>IF(Z$4=$B306,$C306/2,IF(AND(Z$4&gt;$B306,Z$4&lt;$E306),$C306,0))</x:f>
        <x:v>0</x:v>
      </x:c>
      <x:c r="AA306" s="169" t="n">
        <x:f>IF(AA$4=$B306,$C306/2,IF(AND(AA$4&gt;$B306,AA$4&lt;$E306),$C306,0))</x:f>
        <x:v>0</x:v>
      </x:c>
      <x:c r="AB306" s="169" t="n">
        <x:f>IF(AB$4=$B306,$C306/2,IF(AND(AB$4&gt;$B306,AB$4&lt;$E306),$C306,0))</x:f>
        <x:v>0</x:v>
      </x:c>
      <x:c r="AC306" s="169" t="n">
        <x:f>IF(AC$4=$B306,$C306/2,IF(AND(AC$4&gt;$B306,AC$4&lt;$E306),$C306,0))</x:f>
        <x:v>0</x:v>
      </x:c>
    </x:row>
    <x:row r="307" ht="20" customHeight="1">
      <x:c r="A307" s="170" t="str">
        <x:v>Construction</x:v>
      </x:c>
      <x:c r="B307" s="214" t="n">
        <x:v>2028</x:v>
      </x:c>
      <x:c r="C307" s="170" t="n">
        <x:f>'ROIC Cloud'!I$15</x:f>
        <x:v>1747859.1047929816</x:v>
      </x:c>
      <x:c r="D307" s="214"/>
      <x:c r="E307" s="214" t="n">
        <x:f>B307+'ROIC Cloud'!$D$40</x:f>
        <x:v>2030</x:v>
      </x:c>
      <x:c r="F307" s="170" t="str">
        <x:v>Average WIP</x:v>
      </x:c>
      <x:c r="G307" s="169" t="n">
        <x:f>IF(G$4=$B307,$C307/2,IF(AND(G$4&gt;$B307,G$4&lt;$E307),$C307,0))</x:f>
        <x:v>0</x:v>
      </x:c>
      <x:c r="H307" s="169" t="n">
        <x:f>IF(H$4=$B307,$C307/2,IF(AND(H$4&gt;$B307,H$4&lt;$E307),$C307,0))</x:f>
        <x:v>0</x:v>
      </x:c>
      <x:c r="I307" s="169" t="n">
        <x:f>IF(I$4=$B307,$C307/2,IF(AND(I$4&gt;$B307,I$4&lt;$E307),$C307,0))</x:f>
        <x:v>0</x:v>
      </x:c>
      <x:c r="J307" s="169" t="n">
        <x:f>IF(J$4=$B307,$C307/2,IF(AND(J$4&gt;$B307,J$4&lt;$E307),$C307,0))</x:f>
        <x:v>0</x:v>
      </x:c>
      <x:c r="K307" s="169" t="n">
        <x:f>IF(K$4=$B307,$C307/2,IF(AND(K$4&gt;$B307,K$4&lt;$E307),$C307,0))</x:f>
        <x:v>0</x:v>
      </x:c>
      <x:c r="L307" s="169" t="n">
        <x:f>IF(L$4=$B307,$C307/2,IF(AND(L$4&gt;$B307,L$4&lt;$E307),$C307,0))</x:f>
        <x:v>873929.5523964908</x:v>
      </x:c>
      <x:c r="M307" s="169" t="n">
        <x:f>IF(M$4=$B307,$C307/2,IF(AND(M$4&gt;$B307,M$4&lt;$E307),$C307,0))</x:f>
        <x:v>1747859.1047929816</x:v>
      </x:c>
      <x:c r="N307" s="169" t="n">
        <x:f>IF(N$4=$B307,$C307/2,IF(AND(N$4&gt;$B307,N$4&lt;$E307),$C307,0))</x:f>
        <x:v>0</x:v>
      </x:c>
      <x:c r="O307" s="169" t="n">
        <x:f>IF(O$4=$B307,$C307/2,IF(AND(O$4&gt;$B307,O$4&lt;$E307),$C307,0))</x:f>
        <x:v>0</x:v>
      </x:c>
      <x:c r="P307" s="169" t="n">
        <x:f>IF(P$4=$B307,$C307/2,IF(AND(P$4&gt;$B307,P$4&lt;$E307),$C307,0))</x:f>
        <x:v>0</x:v>
      </x:c>
      <x:c r="Q307" s="169" t="n">
        <x:f>IF(Q$4=$B307,$C307/2,IF(AND(Q$4&gt;$B307,Q$4&lt;$E307),$C307,0))</x:f>
        <x:v>0</x:v>
      </x:c>
      <x:c r="R307" s="169" t="n">
        <x:f>IF(R$4=$B307,$C307/2,IF(AND(R$4&gt;$B307,R$4&lt;$E307),$C307,0))</x:f>
        <x:v>0</x:v>
      </x:c>
      <x:c r="S307" s="169" t="n">
        <x:f>IF(S$4=$B307,$C307/2,IF(AND(S$4&gt;$B307,S$4&lt;$E307),$C307,0))</x:f>
        <x:v>0</x:v>
      </x:c>
      <x:c r="T307" s="169" t="n">
        <x:f>IF(T$4=$B307,$C307/2,IF(AND(T$4&gt;$B307,T$4&lt;$E307),$C307,0))</x:f>
        <x:v>0</x:v>
      </x:c>
      <x:c r="U307" s="169" t="n">
        <x:f>IF(U$4=$B307,$C307/2,IF(AND(U$4&gt;$B307,U$4&lt;$E307),$C307,0))</x:f>
        <x:v>0</x:v>
      </x:c>
      <x:c r="V307" s="169" t="n">
        <x:f>IF(V$4=$B307,$C307/2,IF(AND(V$4&gt;$B307,V$4&lt;$E307),$C307,0))</x:f>
        <x:v>0</x:v>
      </x:c>
      <x:c r="W307" s="169" t="n">
        <x:f>IF(W$4=$B307,$C307/2,IF(AND(W$4&gt;$B307,W$4&lt;$E307),$C307,0))</x:f>
        <x:v>0</x:v>
      </x:c>
      <x:c r="X307" s="169" t="n">
        <x:f>IF(X$4=$B307,$C307/2,IF(AND(X$4&gt;$B307,X$4&lt;$E307),$C307,0))</x:f>
        <x:v>0</x:v>
      </x:c>
      <x:c r="Y307" s="169" t="n">
        <x:f>IF(Y$4=$B307,$C307/2,IF(AND(Y$4&gt;$B307,Y$4&lt;$E307),$C307,0))</x:f>
        <x:v>0</x:v>
      </x:c>
      <x:c r="Z307" s="169" t="n">
        <x:f>IF(Z$4=$B307,$C307/2,IF(AND(Z$4&gt;$B307,Z$4&lt;$E307),$C307,0))</x:f>
        <x:v>0</x:v>
      </x:c>
      <x:c r="AA307" s="169" t="n">
        <x:f>IF(AA$4=$B307,$C307/2,IF(AND(AA$4&gt;$B307,AA$4&lt;$E307),$C307,0))</x:f>
        <x:v>0</x:v>
      </x:c>
      <x:c r="AB307" s="169" t="n">
        <x:f>IF(AB$4=$B307,$C307/2,IF(AND(AB$4&gt;$B307,AB$4&lt;$E307),$C307,0))</x:f>
        <x:v>0</x:v>
      </x:c>
      <x:c r="AC307" s="169" t="n">
        <x:f>IF(AC$4=$B307,$C307/2,IF(AND(AC$4&gt;$B307,AC$4&lt;$E307),$C307,0))</x:f>
        <x:v>0</x:v>
      </x:c>
    </x:row>
    <x:row r="308" ht="20" customHeight="1">
      <x:c r="A308" s="170" t="str">
        <x:v>Construction</x:v>
      </x:c>
      <x:c r="B308" s="214" t="n">
        <x:v>2029</x:v>
      </x:c>
      <x:c r="C308" s="170" t="n">
        <x:f>'ROIC Cloud'!J$15</x:f>
        <x:v>1922645.01527228</x:v>
      </x:c>
      <x:c r="D308" s="214"/>
      <x:c r="E308" s="214" t="n">
        <x:f>B308+'ROIC Cloud'!$D$40</x:f>
        <x:v>2031</x:v>
      </x:c>
      <x:c r="F308" s="170" t="str">
        <x:v>Average WIP</x:v>
      </x:c>
      <x:c r="G308" s="169" t="n">
        <x:f>IF(G$4=$B308,$C308/2,IF(AND(G$4&gt;$B308,G$4&lt;$E308),$C308,0))</x:f>
        <x:v>0</x:v>
      </x:c>
      <x:c r="H308" s="169" t="n">
        <x:f>IF(H$4=$B308,$C308/2,IF(AND(H$4&gt;$B308,H$4&lt;$E308),$C308,0))</x:f>
        <x:v>0</x:v>
      </x:c>
      <x:c r="I308" s="169" t="n">
        <x:f>IF(I$4=$B308,$C308/2,IF(AND(I$4&gt;$B308,I$4&lt;$E308),$C308,0))</x:f>
        <x:v>0</x:v>
      </x:c>
      <x:c r="J308" s="169" t="n">
        <x:f>IF(J$4=$B308,$C308/2,IF(AND(J$4&gt;$B308,J$4&lt;$E308),$C308,0))</x:f>
        <x:v>0</x:v>
      </x:c>
      <x:c r="K308" s="169" t="n">
        <x:f>IF(K$4=$B308,$C308/2,IF(AND(K$4&gt;$B308,K$4&lt;$E308),$C308,0))</x:f>
        <x:v>0</x:v>
      </x:c>
      <x:c r="L308" s="169" t="n">
        <x:f>IF(L$4=$B308,$C308/2,IF(AND(L$4&gt;$B308,L$4&lt;$E308),$C308,0))</x:f>
        <x:v>0</x:v>
      </x:c>
      <x:c r="M308" s="169" t="n">
        <x:f>IF(M$4=$B308,$C308/2,IF(AND(M$4&gt;$B308,M$4&lt;$E308),$C308,0))</x:f>
        <x:v>961322.50763614</x:v>
      </x:c>
      <x:c r="N308" s="169" t="n">
        <x:f>IF(N$4=$B308,$C308/2,IF(AND(N$4&gt;$B308,N$4&lt;$E308),$C308,0))</x:f>
        <x:v>1922645.01527228</x:v>
      </x:c>
      <x:c r="O308" s="169" t="n">
        <x:f>IF(O$4=$B308,$C308/2,IF(AND(O$4&gt;$B308,O$4&lt;$E308),$C308,0))</x:f>
        <x:v>0</x:v>
      </x:c>
      <x:c r="P308" s="169" t="n">
        <x:f>IF(P$4=$B308,$C308/2,IF(AND(P$4&gt;$B308,P$4&lt;$E308),$C308,0))</x:f>
        <x:v>0</x:v>
      </x:c>
      <x:c r="Q308" s="169" t="n">
        <x:f>IF(Q$4=$B308,$C308/2,IF(AND(Q$4&gt;$B308,Q$4&lt;$E308),$C308,0))</x:f>
        <x:v>0</x:v>
      </x:c>
      <x:c r="R308" s="169" t="n">
        <x:f>IF(R$4=$B308,$C308/2,IF(AND(R$4&gt;$B308,R$4&lt;$E308),$C308,0))</x:f>
        <x:v>0</x:v>
      </x:c>
      <x:c r="S308" s="169" t="n">
        <x:f>IF(S$4=$B308,$C308/2,IF(AND(S$4&gt;$B308,S$4&lt;$E308),$C308,0))</x:f>
        <x:v>0</x:v>
      </x:c>
      <x:c r="T308" s="169" t="n">
        <x:f>IF(T$4=$B308,$C308/2,IF(AND(T$4&gt;$B308,T$4&lt;$E308),$C308,0))</x:f>
        <x:v>0</x:v>
      </x:c>
      <x:c r="U308" s="169" t="n">
        <x:f>IF(U$4=$B308,$C308/2,IF(AND(U$4&gt;$B308,U$4&lt;$E308),$C308,0))</x:f>
        <x:v>0</x:v>
      </x:c>
      <x:c r="V308" s="169" t="n">
        <x:f>IF(V$4=$B308,$C308/2,IF(AND(V$4&gt;$B308,V$4&lt;$E308),$C308,0))</x:f>
        <x:v>0</x:v>
      </x:c>
      <x:c r="W308" s="169" t="n">
        <x:f>IF(W$4=$B308,$C308/2,IF(AND(W$4&gt;$B308,W$4&lt;$E308),$C308,0))</x:f>
        <x:v>0</x:v>
      </x:c>
      <x:c r="X308" s="169" t="n">
        <x:f>IF(X$4=$B308,$C308/2,IF(AND(X$4&gt;$B308,X$4&lt;$E308),$C308,0))</x:f>
        <x:v>0</x:v>
      </x:c>
      <x:c r="Y308" s="169" t="n">
        <x:f>IF(Y$4=$B308,$C308/2,IF(AND(Y$4&gt;$B308,Y$4&lt;$E308),$C308,0))</x:f>
        <x:v>0</x:v>
      </x:c>
      <x:c r="Z308" s="169" t="n">
        <x:f>IF(Z$4=$B308,$C308/2,IF(AND(Z$4&gt;$B308,Z$4&lt;$E308),$C308,0))</x:f>
        <x:v>0</x:v>
      </x:c>
      <x:c r="AA308" s="169" t="n">
        <x:f>IF(AA$4=$B308,$C308/2,IF(AND(AA$4&gt;$B308,AA$4&lt;$E308),$C308,0))</x:f>
        <x:v>0</x:v>
      </x:c>
      <x:c r="AB308" s="169" t="n">
        <x:f>IF(AB$4=$B308,$C308/2,IF(AND(AB$4&gt;$B308,AB$4&lt;$E308),$C308,0))</x:f>
        <x:v>0</x:v>
      </x:c>
      <x:c r="AC308" s="169" t="n">
        <x:f>IF(AC$4=$B308,$C308/2,IF(AND(AC$4&gt;$B308,AC$4&lt;$E308),$C308,0))</x:f>
        <x:v>0</x:v>
      </x:c>
    </x:row>
    <x:row r="309" ht="20" customHeight="1">
      <x:c r="A309" s="170" t="str">
        <x:v>Construction</x:v>
      </x:c>
      <x:c r="B309" s="214" t="n">
        <x:v>2030</x:v>
      </x:c>
      <x:c r="C309" s="170" t="n">
        <x:f>'ROIC Cloud'!K$15</x:f>
        <x:v>2076456.6164940624</x:v>
      </x:c>
      <x:c r="D309" s="214"/>
      <x:c r="E309" s="214" t="n">
        <x:f>B309+'ROIC Cloud'!$D$40</x:f>
        <x:v>2032</x:v>
      </x:c>
      <x:c r="F309" s="170" t="str">
        <x:v>Average WIP</x:v>
      </x:c>
      <x:c r="G309" s="169" t="n">
        <x:f>IF(G$4=$B309,$C309/2,IF(AND(G$4&gt;$B309,G$4&lt;$E309),$C309,0))</x:f>
        <x:v>0</x:v>
      </x:c>
      <x:c r="H309" s="169" t="n">
        <x:f>IF(H$4=$B309,$C309/2,IF(AND(H$4&gt;$B309,H$4&lt;$E309),$C309,0))</x:f>
        <x:v>0</x:v>
      </x:c>
      <x:c r="I309" s="169" t="n">
        <x:f>IF(I$4=$B309,$C309/2,IF(AND(I$4&gt;$B309,I$4&lt;$E309),$C309,0))</x:f>
        <x:v>0</x:v>
      </x:c>
      <x:c r="J309" s="169" t="n">
        <x:f>IF(J$4=$B309,$C309/2,IF(AND(J$4&gt;$B309,J$4&lt;$E309),$C309,0))</x:f>
        <x:v>0</x:v>
      </x:c>
      <x:c r="K309" s="169" t="n">
        <x:f>IF(K$4=$B309,$C309/2,IF(AND(K$4&gt;$B309,K$4&lt;$E309),$C309,0))</x:f>
        <x:v>0</x:v>
      </x:c>
      <x:c r="L309" s="169" t="n">
        <x:f>IF(L$4=$B309,$C309/2,IF(AND(L$4&gt;$B309,L$4&lt;$E309),$C309,0))</x:f>
        <x:v>0</x:v>
      </x:c>
      <x:c r="M309" s="169" t="n">
        <x:f>IF(M$4=$B309,$C309/2,IF(AND(M$4&gt;$B309,M$4&lt;$E309),$C309,0))</x:f>
        <x:v>0</x:v>
      </x:c>
      <x:c r="N309" s="169" t="n">
        <x:f>IF(N$4=$B309,$C309/2,IF(AND(N$4&gt;$B309,N$4&lt;$E309),$C309,0))</x:f>
        <x:v>1038228.3082470312</x:v>
      </x:c>
      <x:c r="O309" s="169" t="n">
        <x:f>IF(O$4=$B309,$C309/2,IF(AND(O$4&gt;$B309,O$4&lt;$E309),$C309,0))</x:f>
        <x:v>2076456.6164940624</x:v>
      </x:c>
      <x:c r="P309" s="169" t="n">
        <x:f>IF(P$4=$B309,$C309/2,IF(AND(P$4&gt;$B309,P$4&lt;$E309),$C309,0))</x:f>
        <x:v>0</x:v>
      </x:c>
      <x:c r="Q309" s="169" t="n">
        <x:f>IF(Q$4=$B309,$C309/2,IF(AND(Q$4&gt;$B309,Q$4&lt;$E309),$C309,0))</x:f>
        <x:v>0</x:v>
      </x:c>
      <x:c r="R309" s="169" t="n">
        <x:f>IF(R$4=$B309,$C309/2,IF(AND(R$4&gt;$B309,R$4&lt;$E309),$C309,0))</x:f>
        <x:v>0</x:v>
      </x:c>
      <x:c r="S309" s="169" t="n">
        <x:f>IF(S$4=$B309,$C309/2,IF(AND(S$4&gt;$B309,S$4&lt;$E309),$C309,0))</x:f>
        <x:v>0</x:v>
      </x:c>
      <x:c r="T309" s="169" t="n">
        <x:f>IF(T$4=$B309,$C309/2,IF(AND(T$4&gt;$B309,T$4&lt;$E309),$C309,0))</x:f>
        <x:v>0</x:v>
      </x:c>
      <x:c r="U309" s="169" t="n">
        <x:f>IF(U$4=$B309,$C309/2,IF(AND(U$4&gt;$B309,U$4&lt;$E309),$C309,0))</x:f>
        <x:v>0</x:v>
      </x:c>
      <x:c r="V309" s="169" t="n">
        <x:f>IF(V$4=$B309,$C309/2,IF(AND(V$4&gt;$B309,V$4&lt;$E309),$C309,0))</x:f>
        <x:v>0</x:v>
      </x:c>
      <x:c r="W309" s="169" t="n">
        <x:f>IF(W$4=$B309,$C309/2,IF(AND(W$4&gt;$B309,W$4&lt;$E309),$C309,0))</x:f>
        <x:v>0</x:v>
      </x:c>
      <x:c r="X309" s="169" t="n">
        <x:f>IF(X$4=$B309,$C309/2,IF(AND(X$4&gt;$B309,X$4&lt;$E309),$C309,0))</x:f>
        <x:v>0</x:v>
      </x:c>
      <x:c r="Y309" s="169" t="n">
        <x:f>IF(Y$4=$B309,$C309/2,IF(AND(Y$4&gt;$B309,Y$4&lt;$E309),$C309,0))</x:f>
        <x:v>0</x:v>
      </x:c>
      <x:c r="Z309" s="169" t="n">
        <x:f>IF(Z$4=$B309,$C309/2,IF(AND(Z$4&gt;$B309,Z$4&lt;$E309),$C309,0))</x:f>
        <x:v>0</x:v>
      </x:c>
      <x:c r="AA309" s="169" t="n">
        <x:f>IF(AA$4=$B309,$C309/2,IF(AND(AA$4&gt;$B309,AA$4&lt;$E309),$C309,0))</x:f>
        <x:v>0</x:v>
      </x:c>
      <x:c r="AB309" s="169" t="n">
        <x:f>IF(AB$4=$B309,$C309/2,IF(AND(AB$4&gt;$B309,AB$4&lt;$E309),$C309,0))</x:f>
        <x:v>0</x:v>
      </x:c>
      <x:c r="AC309" s="169" t="n">
        <x:f>IF(AC$4=$B309,$C309/2,IF(AND(AC$4&gt;$B309,AC$4&lt;$E309),$C309,0))</x:f>
        <x:v>0</x:v>
      </x:c>
    </x:row>
    <x:row r="310" ht="20" customHeight="1">
      <x:c r="A310" s="170" t="str">
        <x:v>Construction</x:v>
      </x:c>
      <x:c r="B310" s="214" t="n">
        <x:v>2031</x:v>
      </x:c>
      <x:c r="C310" s="170" t="n">
        <x:f>'ROIC Cloud'!L$15</x:f>
        <x:v>2242573.1458135876</x:v>
      </x:c>
      <x:c r="D310" s="214"/>
      <x:c r="E310" s="214" t="n">
        <x:f>B310+'ROIC Cloud'!$D$40</x:f>
        <x:v>2033</x:v>
      </x:c>
      <x:c r="F310" s="170" t="str">
        <x:v>Average WIP</x:v>
      </x:c>
      <x:c r="G310" s="169" t="n">
        <x:f>IF(G$4=$B310,$C310/2,IF(AND(G$4&gt;$B310,G$4&lt;$E310),$C310,0))</x:f>
        <x:v>0</x:v>
      </x:c>
      <x:c r="H310" s="169" t="n">
        <x:f>IF(H$4=$B310,$C310/2,IF(AND(H$4&gt;$B310,H$4&lt;$E310),$C310,0))</x:f>
        <x:v>0</x:v>
      </x:c>
      <x:c r="I310" s="169" t="n">
        <x:f>IF(I$4=$B310,$C310/2,IF(AND(I$4&gt;$B310,I$4&lt;$E310),$C310,0))</x:f>
        <x:v>0</x:v>
      </x:c>
      <x:c r="J310" s="169" t="n">
        <x:f>IF(J$4=$B310,$C310/2,IF(AND(J$4&gt;$B310,J$4&lt;$E310),$C310,0))</x:f>
        <x:v>0</x:v>
      </x:c>
      <x:c r="K310" s="169" t="n">
        <x:f>IF(K$4=$B310,$C310/2,IF(AND(K$4&gt;$B310,K$4&lt;$E310),$C310,0))</x:f>
        <x:v>0</x:v>
      </x:c>
      <x:c r="L310" s="169" t="n">
        <x:f>IF(L$4=$B310,$C310/2,IF(AND(L$4&gt;$B310,L$4&lt;$E310),$C310,0))</x:f>
        <x:v>0</x:v>
      </x:c>
      <x:c r="M310" s="169" t="n">
        <x:f>IF(M$4=$B310,$C310/2,IF(AND(M$4&gt;$B310,M$4&lt;$E310),$C310,0))</x:f>
        <x:v>0</x:v>
      </x:c>
      <x:c r="N310" s="169" t="n">
        <x:f>IF(N$4=$B310,$C310/2,IF(AND(N$4&gt;$B310,N$4&lt;$E310),$C310,0))</x:f>
        <x:v>0</x:v>
      </x:c>
      <x:c r="O310" s="169" t="n">
        <x:f>IF(O$4=$B310,$C310/2,IF(AND(O$4&gt;$B310,O$4&lt;$E310),$C310,0))</x:f>
        <x:v>1121286.5729067938</x:v>
      </x:c>
      <x:c r="P310" s="169" t="n">
        <x:f>IF(P$4=$B310,$C310/2,IF(AND(P$4&gt;$B310,P$4&lt;$E310),$C310,0))</x:f>
        <x:v>2242573.1458135876</x:v>
      </x:c>
      <x:c r="Q310" s="169" t="n">
        <x:f>IF(Q$4=$B310,$C310/2,IF(AND(Q$4&gt;$B310,Q$4&lt;$E310),$C310,0))</x:f>
        <x:v>0</x:v>
      </x:c>
      <x:c r="R310" s="169" t="n">
        <x:f>IF(R$4=$B310,$C310/2,IF(AND(R$4&gt;$B310,R$4&lt;$E310),$C310,0))</x:f>
        <x:v>0</x:v>
      </x:c>
      <x:c r="S310" s="169" t="n">
        <x:f>IF(S$4=$B310,$C310/2,IF(AND(S$4&gt;$B310,S$4&lt;$E310),$C310,0))</x:f>
        <x:v>0</x:v>
      </x:c>
      <x:c r="T310" s="169" t="n">
        <x:f>IF(T$4=$B310,$C310/2,IF(AND(T$4&gt;$B310,T$4&lt;$E310),$C310,0))</x:f>
        <x:v>0</x:v>
      </x:c>
      <x:c r="U310" s="169" t="n">
        <x:f>IF(U$4=$B310,$C310/2,IF(AND(U$4&gt;$B310,U$4&lt;$E310),$C310,0))</x:f>
        <x:v>0</x:v>
      </x:c>
      <x:c r="V310" s="169" t="n">
        <x:f>IF(V$4=$B310,$C310/2,IF(AND(V$4&gt;$B310,V$4&lt;$E310),$C310,0))</x:f>
        <x:v>0</x:v>
      </x:c>
      <x:c r="W310" s="169" t="n">
        <x:f>IF(W$4=$B310,$C310/2,IF(AND(W$4&gt;$B310,W$4&lt;$E310),$C310,0))</x:f>
        <x:v>0</x:v>
      </x:c>
      <x:c r="X310" s="169" t="n">
        <x:f>IF(X$4=$B310,$C310/2,IF(AND(X$4&gt;$B310,X$4&lt;$E310),$C310,0))</x:f>
        <x:v>0</x:v>
      </x:c>
      <x:c r="Y310" s="169" t="n">
        <x:f>IF(Y$4=$B310,$C310/2,IF(AND(Y$4&gt;$B310,Y$4&lt;$E310),$C310,0))</x:f>
        <x:v>0</x:v>
      </x:c>
      <x:c r="Z310" s="169" t="n">
        <x:f>IF(Z$4=$B310,$C310/2,IF(AND(Z$4&gt;$B310,Z$4&lt;$E310),$C310,0))</x:f>
        <x:v>0</x:v>
      </x:c>
      <x:c r="AA310" s="169" t="n">
        <x:f>IF(AA$4=$B310,$C310/2,IF(AND(AA$4&gt;$B310,AA$4&lt;$E310),$C310,0))</x:f>
        <x:v>0</x:v>
      </x:c>
      <x:c r="AB310" s="169" t="n">
        <x:f>IF(AB$4=$B310,$C310/2,IF(AND(AB$4&gt;$B310,AB$4&lt;$E310),$C310,0))</x:f>
        <x:v>0</x:v>
      </x:c>
      <x:c r="AC310" s="169" t="n">
        <x:f>IF(AC$4=$B310,$C310/2,IF(AND(AC$4&gt;$B310,AC$4&lt;$E310),$C310,0))</x:f>
        <x:v>0</x:v>
      </x:c>
    </x:row>
    <x:row r="311" ht="20" customHeight="1">
      <x:c r="A311" s="170" t="str">
        <x:v>Construction</x:v>
      </x:c>
      <x:c r="B311" s="214" t="n">
        <x:v>2032</x:v>
      </x:c>
      <x:c r="C311" s="170" t="n">
        <x:f>'ROIC Cloud'!M$15</x:f>
        <x:v>2421978.9974786746</x:v>
      </x:c>
      <x:c r="D311" s="214"/>
      <x:c r="E311" s="214" t="n">
        <x:f>B311+'ROIC Cloud'!$D$40</x:f>
        <x:v>2034</x:v>
      </x:c>
      <x:c r="F311" s="170" t="str">
        <x:v>Average WIP</x:v>
      </x:c>
      <x:c r="G311" s="169" t="n">
        <x:f>IF(G$4=$B311,$C311/2,IF(AND(G$4&gt;$B311,G$4&lt;$E311),$C311,0))</x:f>
        <x:v>0</x:v>
      </x:c>
      <x:c r="H311" s="169" t="n">
        <x:f>IF(H$4=$B311,$C311/2,IF(AND(H$4&gt;$B311,H$4&lt;$E311),$C311,0))</x:f>
        <x:v>0</x:v>
      </x:c>
      <x:c r="I311" s="169" t="n">
        <x:f>IF(I$4=$B311,$C311/2,IF(AND(I$4&gt;$B311,I$4&lt;$E311),$C311,0))</x:f>
        <x:v>0</x:v>
      </x:c>
      <x:c r="J311" s="169" t="n">
        <x:f>IF(J$4=$B311,$C311/2,IF(AND(J$4&gt;$B311,J$4&lt;$E311),$C311,0))</x:f>
        <x:v>0</x:v>
      </x:c>
      <x:c r="K311" s="169" t="n">
        <x:f>IF(K$4=$B311,$C311/2,IF(AND(K$4&gt;$B311,K$4&lt;$E311),$C311,0))</x:f>
        <x:v>0</x:v>
      </x:c>
      <x:c r="L311" s="169" t="n">
        <x:f>IF(L$4=$B311,$C311/2,IF(AND(L$4&gt;$B311,L$4&lt;$E311),$C311,0))</x:f>
        <x:v>0</x:v>
      </x:c>
      <x:c r="M311" s="169" t="n">
        <x:f>IF(M$4=$B311,$C311/2,IF(AND(M$4&gt;$B311,M$4&lt;$E311),$C311,0))</x:f>
        <x:v>0</x:v>
      </x:c>
      <x:c r="N311" s="169" t="n">
        <x:f>IF(N$4=$B311,$C311/2,IF(AND(N$4&gt;$B311,N$4&lt;$E311),$C311,0))</x:f>
        <x:v>0</x:v>
      </x:c>
      <x:c r="O311" s="169" t="n">
        <x:f>IF(O$4=$B311,$C311/2,IF(AND(O$4&gt;$B311,O$4&lt;$E311),$C311,0))</x:f>
        <x:v>0</x:v>
      </x:c>
      <x:c r="P311" s="169" t="n">
        <x:f>IF(P$4=$B311,$C311/2,IF(AND(P$4&gt;$B311,P$4&lt;$E311),$C311,0))</x:f>
        <x:v>1210989.4987393373</x:v>
      </x:c>
      <x:c r="Q311" s="169" t="n">
        <x:f>IF(Q$4=$B311,$C311/2,IF(AND(Q$4&gt;$B311,Q$4&lt;$E311),$C311,0))</x:f>
        <x:v>2421978.9974786746</x:v>
      </x:c>
      <x:c r="R311" s="169" t="n">
        <x:f>IF(R$4=$B311,$C311/2,IF(AND(R$4&gt;$B311,R$4&lt;$E311),$C311,0))</x:f>
        <x:v>0</x:v>
      </x:c>
      <x:c r="S311" s="169" t="n">
        <x:f>IF(S$4=$B311,$C311/2,IF(AND(S$4&gt;$B311,S$4&lt;$E311),$C311,0))</x:f>
        <x:v>0</x:v>
      </x:c>
      <x:c r="T311" s="169" t="n">
        <x:f>IF(T$4=$B311,$C311/2,IF(AND(T$4&gt;$B311,T$4&lt;$E311),$C311,0))</x:f>
        <x:v>0</x:v>
      </x:c>
      <x:c r="U311" s="169" t="n">
        <x:f>IF(U$4=$B311,$C311/2,IF(AND(U$4&gt;$B311,U$4&lt;$E311),$C311,0))</x:f>
        <x:v>0</x:v>
      </x:c>
      <x:c r="V311" s="169" t="n">
        <x:f>IF(V$4=$B311,$C311/2,IF(AND(V$4&gt;$B311,V$4&lt;$E311),$C311,0))</x:f>
        <x:v>0</x:v>
      </x:c>
      <x:c r="W311" s="169" t="n">
        <x:f>IF(W$4=$B311,$C311/2,IF(AND(W$4&gt;$B311,W$4&lt;$E311),$C311,0))</x:f>
        <x:v>0</x:v>
      </x:c>
      <x:c r="X311" s="169" t="n">
        <x:f>IF(X$4=$B311,$C311/2,IF(AND(X$4&gt;$B311,X$4&lt;$E311),$C311,0))</x:f>
        <x:v>0</x:v>
      </x:c>
      <x:c r="Y311" s="169" t="n">
        <x:f>IF(Y$4=$B311,$C311/2,IF(AND(Y$4&gt;$B311,Y$4&lt;$E311),$C311,0))</x:f>
        <x:v>0</x:v>
      </x:c>
      <x:c r="Z311" s="169" t="n">
        <x:f>IF(Z$4=$B311,$C311/2,IF(AND(Z$4&gt;$B311,Z$4&lt;$E311),$C311,0))</x:f>
        <x:v>0</x:v>
      </x:c>
      <x:c r="AA311" s="169" t="n">
        <x:f>IF(AA$4=$B311,$C311/2,IF(AND(AA$4&gt;$B311,AA$4&lt;$E311),$C311,0))</x:f>
        <x:v>0</x:v>
      </x:c>
      <x:c r="AB311" s="169" t="n">
        <x:f>IF(AB$4=$B311,$C311/2,IF(AND(AB$4&gt;$B311,AB$4&lt;$E311),$C311,0))</x:f>
        <x:v>0</x:v>
      </x:c>
      <x:c r="AC311" s="169" t="n">
        <x:f>IF(AC$4=$B311,$C311/2,IF(AND(AC$4&gt;$B311,AC$4&lt;$E311),$C311,0))</x:f>
        <x:v>0</x:v>
      </x:c>
    </x:row>
    <x:row r="312" ht="20" customHeight="1">
      <x:c r="A312" s="170" t="str">
        <x:v>Construction</x:v>
      </x:c>
      <x:c r="B312" s="214" t="n">
        <x:v>2033</x:v>
      </x:c>
      <x:c r="C312" s="170" t="n">
        <x:f>'ROIC Cloud'!N$15</x:f>
        <x:v>2615737.317276969</x:v>
      </x:c>
      <x:c r="D312" s="214"/>
      <x:c r="E312" s="214" t="n">
        <x:f>B312+'ROIC Cloud'!$D$40</x:f>
        <x:v>2035</x:v>
      </x:c>
      <x:c r="F312" s="170" t="str">
        <x:v>Average WIP</x:v>
      </x:c>
      <x:c r="G312" s="169" t="n">
        <x:f>IF(G$4=$B312,$C312/2,IF(AND(G$4&gt;$B312,G$4&lt;$E312),$C312,0))</x:f>
        <x:v>0</x:v>
      </x:c>
      <x:c r="H312" s="169" t="n">
        <x:f>IF(H$4=$B312,$C312/2,IF(AND(H$4&gt;$B312,H$4&lt;$E312),$C312,0))</x:f>
        <x:v>0</x:v>
      </x:c>
      <x:c r="I312" s="169" t="n">
        <x:f>IF(I$4=$B312,$C312/2,IF(AND(I$4&gt;$B312,I$4&lt;$E312),$C312,0))</x:f>
        <x:v>0</x:v>
      </x:c>
      <x:c r="J312" s="169" t="n">
        <x:f>IF(J$4=$B312,$C312/2,IF(AND(J$4&gt;$B312,J$4&lt;$E312),$C312,0))</x:f>
        <x:v>0</x:v>
      </x:c>
      <x:c r="K312" s="169" t="n">
        <x:f>IF(K$4=$B312,$C312/2,IF(AND(K$4&gt;$B312,K$4&lt;$E312),$C312,0))</x:f>
        <x:v>0</x:v>
      </x:c>
      <x:c r="L312" s="169" t="n">
        <x:f>IF(L$4=$B312,$C312/2,IF(AND(L$4&gt;$B312,L$4&lt;$E312),$C312,0))</x:f>
        <x:v>0</x:v>
      </x:c>
      <x:c r="M312" s="169" t="n">
        <x:f>IF(M$4=$B312,$C312/2,IF(AND(M$4&gt;$B312,M$4&lt;$E312),$C312,0))</x:f>
        <x:v>0</x:v>
      </x:c>
      <x:c r="N312" s="169" t="n">
        <x:f>IF(N$4=$B312,$C312/2,IF(AND(N$4&gt;$B312,N$4&lt;$E312),$C312,0))</x:f>
        <x:v>0</x:v>
      </x:c>
      <x:c r="O312" s="169" t="n">
        <x:f>IF(O$4=$B312,$C312/2,IF(AND(O$4&gt;$B312,O$4&lt;$E312),$C312,0))</x:f>
        <x:v>0</x:v>
      </x:c>
      <x:c r="P312" s="169" t="n">
        <x:f>IF(P$4=$B312,$C312/2,IF(AND(P$4&gt;$B312,P$4&lt;$E312),$C312,0))</x:f>
        <x:v>0</x:v>
      </x:c>
      <x:c r="Q312" s="169" t="n">
        <x:f>IF(Q$4=$B312,$C312/2,IF(AND(Q$4&gt;$B312,Q$4&lt;$E312),$C312,0))</x:f>
        <x:v>1307868.6586384845</x:v>
      </x:c>
      <x:c r="R312" s="169" t="n">
        <x:f>IF(R$4=$B312,$C312/2,IF(AND(R$4&gt;$B312,R$4&lt;$E312),$C312,0))</x:f>
        <x:v>2615737.317276969</x:v>
      </x:c>
      <x:c r="S312" s="169" t="n">
        <x:f>IF(S$4=$B312,$C312/2,IF(AND(S$4&gt;$B312,S$4&lt;$E312),$C312,0))</x:f>
        <x:v>0</x:v>
      </x:c>
      <x:c r="T312" s="169" t="n">
        <x:f>IF(T$4=$B312,$C312/2,IF(AND(T$4&gt;$B312,T$4&lt;$E312),$C312,0))</x:f>
        <x:v>0</x:v>
      </x:c>
      <x:c r="U312" s="169" t="n">
        <x:f>IF(U$4=$B312,$C312/2,IF(AND(U$4&gt;$B312,U$4&lt;$E312),$C312,0))</x:f>
        <x:v>0</x:v>
      </x:c>
      <x:c r="V312" s="169" t="n">
        <x:f>IF(V$4=$B312,$C312/2,IF(AND(V$4&gt;$B312,V$4&lt;$E312),$C312,0))</x:f>
        <x:v>0</x:v>
      </x:c>
      <x:c r="W312" s="169" t="n">
        <x:f>IF(W$4=$B312,$C312/2,IF(AND(W$4&gt;$B312,W$4&lt;$E312),$C312,0))</x:f>
        <x:v>0</x:v>
      </x:c>
      <x:c r="X312" s="169" t="n">
        <x:f>IF(X$4=$B312,$C312/2,IF(AND(X$4&gt;$B312,X$4&lt;$E312),$C312,0))</x:f>
        <x:v>0</x:v>
      </x:c>
      <x:c r="Y312" s="169" t="n">
        <x:f>IF(Y$4=$B312,$C312/2,IF(AND(Y$4&gt;$B312,Y$4&lt;$E312),$C312,0))</x:f>
        <x:v>0</x:v>
      </x:c>
      <x:c r="Z312" s="169" t="n">
        <x:f>IF(Z$4=$B312,$C312/2,IF(AND(Z$4&gt;$B312,Z$4&lt;$E312),$C312,0))</x:f>
        <x:v>0</x:v>
      </x:c>
      <x:c r="AA312" s="169" t="n">
        <x:f>IF(AA$4=$B312,$C312/2,IF(AND(AA$4&gt;$B312,AA$4&lt;$E312),$C312,0))</x:f>
        <x:v>0</x:v>
      </x:c>
      <x:c r="AB312" s="169" t="n">
        <x:f>IF(AB$4=$B312,$C312/2,IF(AND(AB$4&gt;$B312,AB$4&lt;$E312),$C312,0))</x:f>
        <x:v>0</x:v>
      </x:c>
      <x:c r="AC312" s="169" t="n">
        <x:f>IF(AC$4=$B312,$C312/2,IF(AND(AC$4&gt;$B312,AC$4&lt;$E312),$C312,0))</x:f>
        <x:v>0</x:v>
      </x:c>
    </x:row>
    <x:row r="313" ht="20" customHeight="1">
      <x:c r="A313" s="170" t="str">
        <x:v>Construction</x:v>
      </x:c>
      <x:c r="B313" s="214" t="n">
        <x:v>2034</x:v>
      </x:c>
      <x:c r="C313" s="170" t="n">
        <x:f>'ROIC Cloud'!O$15</x:f>
        <x:v>2824996.3026591265</x:v>
      </x:c>
      <x:c r="D313" s="214"/>
      <x:c r="E313" s="214" t="n">
        <x:f>B313+'ROIC Cloud'!$D$40</x:f>
        <x:v>2036</x:v>
      </x:c>
      <x:c r="F313" s="170" t="str">
        <x:v>Average WIP</x:v>
      </x:c>
      <x:c r="G313" s="169" t="n">
        <x:f>IF(G$4=$B313,$C313/2,IF(AND(G$4&gt;$B313,G$4&lt;$E313),$C313,0))</x:f>
        <x:v>0</x:v>
      </x:c>
      <x:c r="H313" s="169" t="n">
        <x:f>IF(H$4=$B313,$C313/2,IF(AND(H$4&gt;$B313,H$4&lt;$E313),$C313,0))</x:f>
        <x:v>0</x:v>
      </x:c>
      <x:c r="I313" s="169" t="n">
        <x:f>IF(I$4=$B313,$C313/2,IF(AND(I$4&gt;$B313,I$4&lt;$E313),$C313,0))</x:f>
        <x:v>0</x:v>
      </x:c>
      <x:c r="J313" s="169" t="n">
        <x:f>IF(J$4=$B313,$C313/2,IF(AND(J$4&gt;$B313,J$4&lt;$E313),$C313,0))</x:f>
        <x:v>0</x:v>
      </x:c>
      <x:c r="K313" s="169" t="n">
        <x:f>IF(K$4=$B313,$C313/2,IF(AND(K$4&gt;$B313,K$4&lt;$E313),$C313,0))</x:f>
        <x:v>0</x:v>
      </x:c>
      <x:c r="L313" s="169" t="n">
        <x:f>IF(L$4=$B313,$C313/2,IF(AND(L$4&gt;$B313,L$4&lt;$E313),$C313,0))</x:f>
        <x:v>0</x:v>
      </x:c>
      <x:c r="M313" s="169" t="n">
        <x:f>IF(M$4=$B313,$C313/2,IF(AND(M$4&gt;$B313,M$4&lt;$E313),$C313,0))</x:f>
        <x:v>0</x:v>
      </x:c>
      <x:c r="N313" s="169" t="n">
        <x:f>IF(N$4=$B313,$C313/2,IF(AND(N$4&gt;$B313,N$4&lt;$E313),$C313,0))</x:f>
        <x:v>0</x:v>
      </x:c>
      <x:c r="O313" s="169" t="n">
        <x:f>IF(O$4=$B313,$C313/2,IF(AND(O$4&gt;$B313,O$4&lt;$E313),$C313,0))</x:f>
        <x:v>0</x:v>
      </x:c>
      <x:c r="P313" s="169" t="n">
        <x:f>IF(P$4=$B313,$C313/2,IF(AND(P$4&gt;$B313,P$4&lt;$E313),$C313,0))</x:f>
        <x:v>0</x:v>
      </x:c>
      <x:c r="Q313" s="169" t="n">
        <x:f>IF(Q$4=$B313,$C313/2,IF(AND(Q$4&gt;$B313,Q$4&lt;$E313),$C313,0))</x:f>
        <x:v>0</x:v>
      </x:c>
      <x:c r="R313" s="169" t="n">
        <x:f>IF(R$4=$B313,$C313/2,IF(AND(R$4&gt;$B313,R$4&lt;$E313),$C313,0))</x:f>
        <x:v>1412498.1513295632</x:v>
      </x:c>
      <x:c r="S313" s="169" t="n">
        <x:f>IF(S$4=$B313,$C313/2,IF(AND(S$4&gt;$B313,S$4&lt;$E313),$C313,0))</x:f>
        <x:v>2824996.3026591265</x:v>
      </x:c>
      <x:c r="T313" s="169" t="n">
        <x:f>IF(T$4=$B313,$C313/2,IF(AND(T$4&gt;$B313,T$4&lt;$E313),$C313,0))</x:f>
        <x:v>0</x:v>
      </x:c>
      <x:c r="U313" s="169" t="n">
        <x:f>IF(U$4=$B313,$C313/2,IF(AND(U$4&gt;$B313,U$4&lt;$E313),$C313,0))</x:f>
        <x:v>0</x:v>
      </x:c>
      <x:c r="V313" s="169" t="n">
        <x:f>IF(V$4=$B313,$C313/2,IF(AND(V$4&gt;$B313,V$4&lt;$E313),$C313,0))</x:f>
        <x:v>0</x:v>
      </x:c>
      <x:c r="W313" s="169" t="n">
        <x:f>IF(W$4=$B313,$C313/2,IF(AND(W$4&gt;$B313,W$4&lt;$E313),$C313,0))</x:f>
        <x:v>0</x:v>
      </x:c>
      <x:c r="X313" s="169" t="n">
        <x:f>IF(X$4=$B313,$C313/2,IF(AND(X$4&gt;$B313,X$4&lt;$E313),$C313,0))</x:f>
        <x:v>0</x:v>
      </x:c>
      <x:c r="Y313" s="169" t="n">
        <x:f>IF(Y$4=$B313,$C313/2,IF(AND(Y$4&gt;$B313,Y$4&lt;$E313),$C313,0))</x:f>
        <x:v>0</x:v>
      </x:c>
      <x:c r="Z313" s="169" t="n">
        <x:f>IF(Z$4=$B313,$C313/2,IF(AND(Z$4&gt;$B313,Z$4&lt;$E313),$C313,0))</x:f>
        <x:v>0</x:v>
      </x:c>
      <x:c r="AA313" s="169" t="n">
        <x:f>IF(AA$4=$B313,$C313/2,IF(AND(AA$4&gt;$B313,AA$4&lt;$E313),$C313,0))</x:f>
        <x:v>0</x:v>
      </x:c>
      <x:c r="AB313" s="169" t="n">
        <x:f>IF(AB$4=$B313,$C313/2,IF(AND(AB$4&gt;$B313,AB$4&lt;$E313),$C313,0))</x:f>
        <x:v>0</x:v>
      </x:c>
      <x:c r="AC313" s="169" t="n">
        <x:f>IF(AC$4=$B313,$C313/2,IF(AND(AC$4&gt;$B313,AC$4&lt;$E313),$C313,0))</x:f>
        <x:v>0</x:v>
      </x:c>
    </x:row>
    <x:row r="314" ht="20" customHeight="1">
      <x:c r="A314" s="170" t="str">
        <x:v>Construction</x:v>
      </x:c>
      <x:c r="B314" s="214" t="n">
        <x:v>2035</x:v>
      </x:c>
      <x:c r="C314" s="170" t="n">
        <x:f>'ROIC Cloud'!P$15</x:f>
        <x:v>3050996.0068718567</x:v>
      </x:c>
      <x:c r="D314" s="214"/>
      <x:c r="E314" s="214" t="n">
        <x:f>B314+'ROIC Cloud'!$D$40</x:f>
        <x:v>2037</x:v>
      </x:c>
      <x:c r="F314" s="170" t="str">
        <x:v>Average WIP</x:v>
      </x:c>
      <x:c r="G314" s="169" t="n">
        <x:f>IF(G$4=$B314,$C314/2,IF(AND(G$4&gt;$B314,G$4&lt;$E314),$C314,0))</x:f>
        <x:v>0</x:v>
      </x:c>
      <x:c r="H314" s="169" t="n">
        <x:f>IF(H$4=$B314,$C314/2,IF(AND(H$4&gt;$B314,H$4&lt;$E314),$C314,0))</x:f>
        <x:v>0</x:v>
      </x:c>
      <x:c r="I314" s="169" t="n">
        <x:f>IF(I$4=$B314,$C314/2,IF(AND(I$4&gt;$B314,I$4&lt;$E314),$C314,0))</x:f>
        <x:v>0</x:v>
      </x:c>
      <x:c r="J314" s="169" t="n">
        <x:f>IF(J$4=$B314,$C314/2,IF(AND(J$4&gt;$B314,J$4&lt;$E314),$C314,0))</x:f>
        <x:v>0</x:v>
      </x:c>
      <x:c r="K314" s="169" t="n">
        <x:f>IF(K$4=$B314,$C314/2,IF(AND(K$4&gt;$B314,K$4&lt;$E314),$C314,0))</x:f>
        <x:v>0</x:v>
      </x:c>
      <x:c r="L314" s="169" t="n">
        <x:f>IF(L$4=$B314,$C314/2,IF(AND(L$4&gt;$B314,L$4&lt;$E314),$C314,0))</x:f>
        <x:v>0</x:v>
      </x:c>
      <x:c r="M314" s="169" t="n">
        <x:f>IF(M$4=$B314,$C314/2,IF(AND(M$4&gt;$B314,M$4&lt;$E314),$C314,0))</x:f>
        <x:v>0</x:v>
      </x:c>
      <x:c r="N314" s="169" t="n">
        <x:f>IF(N$4=$B314,$C314/2,IF(AND(N$4&gt;$B314,N$4&lt;$E314),$C314,0))</x:f>
        <x:v>0</x:v>
      </x:c>
      <x:c r="O314" s="169" t="n">
        <x:f>IF(O$4=$B314,$C314/2,IF(AND(O$4&gt;$B314,O$4&lt;$E314),$C314,0))</x:f>
        <x:v>0</x:v>
      </x:c>
      <x:c r="P314" s="169" t="n">
        <x:f>IF(P$4=$B314,$C314/2,IF(AND(P$4&gt;$B314,P$4&lt;$E314),$C314,0))</x:f>
        <x:v>0</x:v>
      </x:c>
      <x:c r="Q314" s="169" t="n">
        <x:f>IF(Q$4=$B314,$C314/2,IF(AND(Q$4&gt;$B314,Q$4&lt;$E314),$C314,0))</x:f>
        <x:v>0</x:v>
      </x:c>
      <x:c r="R314" s="169" t="n">
        <x:f>IF(R$4=$B314,$C314/2,IF(AND(R$4&gt;$B314,R$4&lt;$E314),$C314,0))</x:f>
        <x:v>0</x:v>
      </x:c>
      <x:c r="S314" s="169" t="n">
        <x:f>IF(S$4=$B314,$C314/2,IF(AND(S$4&gt;$B314,S$4&lt;$E314),$C314,0))</x:f>
        <x:v>1525498.0034359284</x:v>
      </x:c>
      <x:c r="T314" s="169" t="n">
        <x:f>IF(T$4=$B314,$C314/2,IF(AND(T$4&gt;$B314,T$4&lt;$E314),$C314,0))</x:f>
        <x:v>3050996.0068718567</x:v>
      </x:c>
      <x:c r="U314" s="169" t="n">
        <x:f>IF(U$4=$B314,$C314/2,IF(AND(U$4&gt;$B314,U$4&lt;$E314),$C314,0))</x:f>
        <x:v>0</x:v>
      </x:c>
      <x:c r="V314" s="169" t="n">
        <x:f>IF(V$4=$B314,$C314/2,IF(AND(V$4&gt;$B314,V$4&lt;$E314),$C314,0))</x:f>
        <x:v>0</x:v>
      </x:c>
      <x:c r="W314" s="169" t="n">
        <x:f>IF(W$4=$B314,$C314/2,IF(AND(W$4&gt;$B314,W$4&lt;$E314),$C314,0))</x:f>
        <x:v>0</x:v>
      </x:c>
      <x:c r="X314" s="169" t="n">
        <x:f>IF(X$4=$B314,$C314/2,IF(AND(X$4&gt;$B314,X$4&lt;$E314),$C314,0))</x:f>
        <x:v>0</x:v>
      </x:c>
      <x:c r="Y314" s="169" t="n">
        <x:f>IF(Y$4=$B314,$C314/2,IF(AND(Y$4&gt;$B314,Y$4&lt;$E314),$C314,0))</x:f>
        <x:v>0</x:v>
      </x:c>
      <x:c r="Z314" s="169" t="n">
        <x:f>IF(Z$4=$B314,$C314/2,IF(AND(Z$4&gt;$B314,Z$4&lt;$E314),$C314,0))</x:f>
        <x:v>0</x:v>
      </x:c>
      <x:c r="AA314" s="169" t="n">
        <x:f>IF(AA$4=$B314,$C314/2,IF(AND(AA$4&gt;$B314,AA$4&lt;$E314),$C314,0))</x:f>
        <x:v>0</x:v>
      </x:c>
      <x:c r="AB314" s="169" t="n">
        <x:f>IF(AB$4=$B314,$C314/2,IF(AND(AB$4&gt;$B314,AB$4&lt;$E314),$C314,0))</x:f>
        <x:v>0</x:v>
      </x:c>
      <x:c r="AC314" s="169" t="n">
        <x:f>IF(AC$4=$B314,$C314/2,IF(AND(AC$4&gt;$B314,AC$4&lt;$E314),$C314,0))</x:f>
        <x:v>0</x:v>
      </x:c>
    </x:row>
    <x:row r="315" ht="20" customHeight="1">
      <x:c r="A315" s="170" t="str">
        <x:v>Construction</x:v>
      </x:c>
      <x:c r="B315" s="214" t="n">
        <x:v>2036</x:v>
      </x:c>
      <x:c r="C315" s="170" t="n">
        <x:f>'ROIC Cloud'!Q$15</x:f>
        <x:v>3295075.6874216055</x:v>
      </x:c>
      <x:c r="D315" s="214"/>
      <x:c r="E315" s="214" t="n">
        <x:f>B315+'ROIC Cloud'!$D$40</x:f>
        <x:v>2038</x:v>
      </x:c>
      <x:c r="F315" s="170" t="str">
        <x:v>Average WIP</x:v>
      </x:c>
      <x:c r="G315" s="169" t="n">
        <x:f>IF(G$4=$B315,$C315/2,IF(AND(G$4&gt;$B315,G$4&lt;$E315),$C315,0))</x:f>
        <x:v>0</x:v>
      </x:c>
      <x:c r="H315" s="169" t="n">
        <x:f>IF(H$4=$B315,$C315/2,IF(AND(H$4&gt;$B315,H$4&lt;$E315),$C315,0))</x:f>
        <x:v>0</x:v>
      </x:c>
      <x:c r="I315" s="169" t="n">
        <x:f>IF(I$4=$B315,$C315/2,IF(AND(I$4&gt;$B315,I$4&lt;$E315),$C315,0))</x:f>
        <x:v>0</x:v>
      </x:c>
      <x:c r="J315" s="169" t="n">
        <x:f>IF(J$4=$B315,$C315/2,IF(AND(J$4&gt;$B315,J$4&lt;$E315),$C315,0))</x:f>
        <x:v>0</x:v>
      </x:c>
      <x:c r="K315" s="169" t="n">
        <x:f>IF(K$4=$B315,$C315/2,IF(AND(K$4&gt;$B315,K$4&lt;$E315),$C315,0))</x:f>
        <x:v>0</x:v>
      </x:c>
      <x:c r="L315" s="169" t="n">
        <x:f>IF(L$4=$B315,$C315/2,IF(AND(L$4&gt;$B315,L$4&lt;$E315),$C315,0))</x:f>
        <x:v>0</x:v>
      </x:c>
      <x:c r="M315" s="169" t="n">
        <x:f>IF(M$4=$B315,$C315/2,IF(AND(M$4&gt;$B315,M$4&lt;$E315),$C315,0))</x:f>
        <x:v>0</x:v>
      </x:c>
      <x:c r="N315" s="169" t="n">
        <x:f>IF(N$4=$B315,$C315/2,IF(AND(N$4&gt;$B315,N$4&lt;$E315),$C315,0))</x:f>
        <x:v>0</x:v>
      </x:c>
      <x:c r="O315" s="169" t="n">
        <x:f>IF(O$4=$B315,$C315/2,IF(AND(O$4&gt;$B315,O$4&lt;$E315),$C315,0))</x:f>
        <x:v>0</x:v>
      </x:c>
      <x:c r="P315" s="169" t="n">
        <x:f>IF(P$4=$B315,$C315/2,IF(AND(P$4&gt;$B315,P$4&lt;$E315),$C315,0))</x:f>
        <x:v>0</x:v>
      </x:c>
      <x:c r="Q315" s="169" t="n">
        <x:f>IF(Q$4=$B315,$C315/2,IF(AND(Q$4&gt;$B315,Q$4&lt;$E315),$C315,0))</x:f>
        <x:v>0</x:v>
      </x:c>
      <x:c r="R315" s="169" t="n">
        <x:f>IF(R$4=$B315,$C315/2,IF(AND(R$4&gt;$B315,R$4&lt;$E315),$C315,0))</x:f>
        <x:v>0</x:v>
      </x:c>
      <x:c r="S315" s="169" t="n">
        <x:f>IF(S$4=$B315,$C315/2,IF(AND(S$4&gt;$B315,S$4&lt;$E315),$C315,0))</x:f>
        <x:v>0</x:v>
      </x:c>
      <x:c r="T315" s="169" t="n">
        <x:f>IF(T$4=$B315,$C315/2,IF(AND(T$4&gt;$B315,T$4&lt;$E315),$C315,0))</x:f>
        <x:v>1647537.8437108027</x:v>
      </x:c>
      <x:c r="U315" s="169" t="n">
        <x:f>IF(U$4=$B315,$C315/2,IF(AND(U$4&gt;$B315,U$4&lt;$E315),$C315,0))</x:f>
        <x:v>3295075.6874216055</x:v>
      </x:c>
      <x:c r="V315" s="169" t="n">
        <x:f>IF(V$4=$B315,$C315/2,IF(AND(V$4&gt;$B315,V$4&lt;$E315),$C315,0))</x:f>
        <x:v>0</x:v>
      </x:c>
      <x:c r="W315" s="169" t="n">
        <x:f>IF(W$4=$B315,$C315/2,IF(AND(W$4&gt;$B315,W$4&lt;$E315),$C315,0))</x:f>
        <x:v>0</x:v>
      </x:c>
      <x:c r="X315" s="169" t="n">
        <x:f>IF(X$4=$B315,$C315/2,IF(AND(X$4&gt;$B315,X$4&lt;$E315),$C315,0))</x:f>
        <x:v>0</x:v>
      </x:c>
      <x:c r="Y315" s="169" t="n">
        <x:f>IF(Y$4=$B315,$C315/2,IF(AND(Y$4&gt;$B315,Y$4&lt;$E315),$C315,0))</x:f>
        <x:v>0</x:v>
      </x:c>
      <x:c r="Z315" s="169" t="n">
        <x:f>IF(Z$4=$B315,$C315/2,IF(AND(Z$4&gt;$B315,Z$4&lt;$E315),$C315,0))</x:f>
        <x:v>0</x:v>
      </x:c>
      <x:c r="AA315" s="169" t="n">
        <x:f>IF(AA$4=$B315,$C315/2,IF(AND(AA$4&gt;$B315,AA$4&lt;$E315),$C315,0))</x:f>
        <x:v>0</x:v>
      </x:c>
      <x:c r="AB315" s="169" t="n">
        <x:f>IF(AB$4=$B315,$C315/2,IF(AND(AB$4&gt;$B315,AB$4&lt;$E315),$C315,0))</x:f>
        <x:v>0</x:v>
      </x:c>
      <x:c r="AC315" s="169" t="n">
        <x:f>IF(AC$4=$B315,$C315/2,IF(AND(AC$4&gt;$B315,AC$4&lt;$E315),$C315,0))</x:f>
        <x:v>0</x:v>
      </x:c>
    </x:row>
    <x:row r="316" ht="20" customHeight="1">
      <x:c r="A316" s="170" t="str">
        <x:v>Construction</x:v>
      </x:c>
      <x:c r="B316" s="214" t="n">
        <x:v>2037</x:v>
      </x:c>
      <x:c r="C316" s="170" t="n">
        <x:f>'ROIC Cloud'!R$15</x:f>
        <x:v>3558681.742415334</x:v>
      </x:c>
      <x:c r="D316" s="214"/>
      <x:c r="E316" s="214" t="n">
        <x:f>B316+'ROIC Cloud'!$D$40</x:f>
        <x:v>2039</x:v>
      </x:c>
      <x:c r="F316" s="170" t="str">
        <x:v>Average WIP</x:v>
      </x:c>
      <x:c r="G316" s="169" t="n">
        <x:f>IF(G$4=$B316,$C316/2,IF(AND(G$4&gt;$B316,G$4&lt;$E316),$C316,0))</x:f>
        <x:v>0</x:v>
      </x:c>
      <x:c r="H316" s="169" t="n">
        <x:f>IF(H$4=$B316,$C316/2,IF(AND(H$4&gt;$B316,H$4&lt;$E316),$C316,0))</x:f>
        <x:v>0</x:v>
      </x:c>
      <x:c r="I316" s="169" t="n">
        <x:f>IF(I$4=$B316,$C316/2,IF(AND(I$4&gt;$B316,I$4&lt;$E316),$C316,0))</x:f>
        <x:v>0</x:v>
      </x:c>
      <x:c r="J316" s="169" t="n">
        <x:f>IF(J$4=$B316,$C316/2,IF(AND(J$4&gt;$B316,J$4&lt;$E316),$C316,0))</x:f>
        <x:v>0</x:v>
      </x:c>
      <x:c r="K316" s="169" t="n">
        <x:f>IF(K$4=$B316,$C316/2,IF(AND(K$4&gt;$B316,K$4&lt;$E316),$C316,0))</x:f>
        <x:v>0</x:v>
      </x:c>
      <x:c r="L316" s="169" t="n">
        <x:f>IF(L$4=$B316,$C316/2,IF(AND(L$4&gt;$B316,L$4&lt;$E316),$C316,0))</x:f>
        <x:v>0</x:v>
      </x:c>
      <x:c r="M316" s="169" t="n">
        <x:f>IF(M$4=$B316,$C316/2,IF(AND(M$4&gt;$B316,M$4&lt;$E316),$C316,0))</x:f>
        <x:v>0</x:v>
      </x:c>
      <x:c r="N316" s="169" t="n">
        <x:f>IF(N$4=$B316,$C316/2,IF(AND(N$4&gt;$B316,N$4&lt;$E316),$C316,0))</x:f>
        <x:v>0</x:v>
      </x:c>
      <x:c r="O316" s="169" t="n">
        <x:f>IF(O$4=$B316,$C316/2,IF(AND(O$4&gt;$B316,O$4&lt;$E316),$C316,0))</x:f>
        <x:v>0</x:v>
      </x:c>
      <x:c r="P316" s="169" t="n">
        <x:f>IF(P$4=$B316,$C316/2,IF(AND(P$4&gt;$B316,P$4&lt;$E316),$C316,0))</x:f>
        <x:v>0</x:v>
      </x:c>
      <x:c r="Q316" s="169" t="n">
        <x:f>IF(Q$4=$B316,$C316/2,IF(AND(Q$4&gt;$B316,Q$4&lt;$E316),$C316,0))</x:f>
        <x:v>0</x:v>
      </x:c>
      <x:c r="R316" s="169" t="n">
        <x:f>IF(R$4=$B316,$C316/2,IF(AND(R$4&gt;$B316,R$4&lt;$E316),$C316,0))</x:f>
        <x:v>0</x:v>
      </x:c>
      <x:c r="S316" s="169" t="n">
        <x:f>IF(S$4=$B316,$C316/2,IF(AND(S$4&gt;$B316,S$4&lt;$E316),$C316,0))</x:f>
        <x:v>0</x:v>
      </x:c>
      <x:c r="T316" s="169" t="n">
        <x:f>IF(T$4=$B316,$C316/2,IF(AND(T$4&gt;$B316,T$4&lt;$E316),$C316,0))</x:f>
        <x:v>0</x:v>
      </x:c>
      <x:c r="U316" s="169" t="n">
        <x:f>IF(U$4=$B316,$C316/2,IF(AND(U$4&gt;$B316,U$4&lt;$E316),$C316,0))</x:f>
        <x:v>1779340.871207667</x:v>
      </x:c>
      <x:c r="V316" s="169" t="n">
        <x:f>IF(V$4=$B316,$C316/2,IF(AND(V$4&gt;$B316,V$4&lt;$E316),$C316,0))</x:f>
        <x:v>3558681.742415334</x:v>
      </x:c>
      <x:c r="W316" s="169" t="n">
        <x:f>IF(W$4=$B316,$C316/2,IF(AND(W$4&gt;$B316,W$4&lt;$E316),$C316,0))</x:f>
        <x:v>0</x:v>
      </x:c>
      <x:c r="X316" s="169" t="n">
        <x:f>IF(X$4=$B316,$C316/2,IF(AND(X$4&gt;$B316,X$4&lt;$E316),$C316,0))</x:f>
        <x:v>0</x:v>
      </x:c>
      <x:c r="Y316" s="169" t="n">
        <x:f>IF(Y$4=$B316,$C316/2,IF(AND(Y$4&gt;$B316,Y$4&lt;$E316),$C316,0))</x:f>
        <x:v>0</x:v>
      </x:c>
      <x:c r="Z316" s="169" t="n">
        <x:f>IF(Z$4=$B316,$C316/2,IF(AND(Z$4&gt;$B316,Z$4&lt;$E316),$C316,0))</x:f>
        <x:v>0</x:v>
      </x:c>
      <x:c r="AA316" s="169" t="n">
        <x:f>IF(AA$4=$B316,$C316/2,IF(AND(AA$4&gt;$B316,AA$4&lt;$E316),$C316,0))</x:f>
        <x:v>0</x:v>
      </x:c>
      <x:c r="AB316" s="169" t="n">
        <x:f>IF(AB$4=$B316,$C316/2,IF(AND(AB$4&gt;$B316,AB$4&lt;$E316),$C316,0))</x:f>
        <x:v>0</x:v>
      </x:c>
      <x:c r="AC316" s="169" t="n">
        <x:f>IF(AC$4=$B316,$C316/2,IF(AND(AC$4&gt;$B316,AC$4&lt;$E316),$C316,0))</x:f>
        <x:v>0</x:v>
      </x:c>
    </x:row>
    <x:row r="317" ht="20" customHeight="1">
      <x:c r="A317" s="170" t="str">
        <x:v>Construction</x:v>
      </x:c>
      <x:c r="B317" s="214" t="n">
        <x:v>2038</x:v>
      </x:c>
      <x:c r="C317" s="170" t="n">
        <x:f>'ROIC Cloud'!S$15</x:f>
        <x:v>3843376.281808561</x:v>
      </x:c>
      <x:c r="D317" s="214"/>
      <x:c r="E317" s="214" t="n">
        <x:f>B317+'ROIC Cloud'!$D$40</x:f>
        <x:v>2040</x:v>
      </x:c>
      <x:c r="F317" s="170" t="str">
        <x:v>Average WIP</x:v>
      </x:c>
      <x:c r="G317" s="169" t="n">
        <x:f>IF(G$4=$B317,$C317/2,IF(AND(G$4&gt;$B317,G$4&lt;$E317),$C317,0))</x:f>
        <x:v>0</x:v>
      </x:c>
      <x:c r="H317" s="169" t="n">
        <x:f>IF(H$4=$B317,$C317/2,IF(AND(H$4&gt;$B317,H$4&lt;$E317),$C317,0))</x:f>
        <x:v>0</x:v>
      </x:c>
      <x:c r="I317" s="169" t="n">
        <x:f>IF(I$4=$B317,$C317/2,IF(AND(I$4&gt;$B317,I$4&lt;$E317),$C317,0))</x:f>
        <x:v>0</x:v>
      </x:c>
      <x:c r="J317" s="169" t="n">
        <x:f>IF(J$4=$B317,$C317/2,IF(AND(J$4&gt;$B317,J$4&lt;$E317),$C317,0))</x:f>
        <x:v>0</x:v>
      </x:c>
      <x:c r="K317" s="169" t="n">
        <x:f>IF(K$4=$B317,$C317/2,IF(AND(K$4&gt;$B317,K$4&lt;$E317),$C317,0))</x:f>
        <x:v>0</x:v>
      </x:c>
      <x:c r="L317" s="169" t="n">
        <x:f>IF(L$4=$B317,$C317/2,IF(AND(L$4&gt;$B317,L$4&lt;$E317),$C317,0))</x:f>
        <x:v>0</x:v>
      </x:c>
      <x:c r="M317" s="169" t="n">
        <x:f>IF(M$4=$B317,$C317/2,IF(AND(M$4&gt;$B317,M$4&lt;$E317),$C317,0))</x:f>
        <x:v>0</x:v>
      </x:c>
      <x:c r="N317" s="169" t="n">
        <x:f>IF(N$4=$B317,$C317/2,IF(AND(N$4&gt;$B317,N$4&lt;$E317),$C317,0))</x:f>
        <x:v>0</x:v>
      </x:c>
      <x:c r="O317" s="169" t="n">
        <x:f>IF(O$4=$B317,$C317/2,IF(AND(O$4&gt;$B317,O$4&lt;$E317),$C317,0))</x:f>
        <x:v>0</x:v>
      </x:c>
      <x:c r="P317" s="169" t="n">
        <x:f>IF(P$4=$B317,$C317/2,IF(AND(P$4&gt;$B317,P$4&lt;$E317),$C317,0))</x:f>
        <x:v>0</x:v>
      </x:c>
      <x:c r="Q317" s="169" t="n">
        <x:f>IF(Q$4=$B317,$C317/2,IF(AND(Q$4&gt;$B317,Q$4&lt;$E317),$C317,0))</x:f>
        <x:v>0</x:v>
      </x:c>
      <x:c r="R317" s="169" t="n">
        <x:f>IF(R$4=$B317,$C317/2,IF(AND(R$4&gt;$B317,R$4&lt;$E317),$C317,0))</x:f>
        <x:v>0</x:v>
      </x:c>
      <x:c r="S317" s="169" t="n">
        <x:f>IF(S$4=$B317,$C317/2,IF(AND(S$4&gt;$B317,S$4&lt;$E317),$C317,0))</x:f>
        <x:v>0</x:v>
      </x:c>
      <x:c r="T317" s="169" t="n">
        <x:f>IF(T$4=$B317,$C317/2,IF(AND(T$4&gt;$B317,T$4&lt;$E317),$C317,0))</x:f>
        <x:v>0</x:v>
      </x:c>
      <x:c r="U317" s="169" t="n">
        <x:f>IF(U$4=$B317,$C317/2,IF(AND(U$4&gt;$B317,U$4&lt;$E317),$C317,0))</x:f>
        <x:v>0</x:v>
      </x:c>
      <x:c r="V317" s="169" t="n">
        <x:f>IF(V$4=$B317,$C317/2,IF(AND(V$4&gt;$B317,V$4&lt;$E317),$C317,0))</x:f>
        <x:v>1921688.1409042806</x:v>
      </x:c>
      <x:c r="W317" s="169" t="n">
        <x:f>IF(W$4=$B317,$C317/2,IF(AND(W$4&gt;$B317,W$4&lt;$E317),$C317,0))</x:f>
        <x:v>3843376.281808561</x:v>
      </x:c>
      <x:c r="X317" s="169" t="n">
        <x:f>IF(X$4=$B317,$C317/2,IF(AND(X$4&gt;$B317,X$4&lt;$E317),$C317,0))</x:f>
        <x:v>0</x:v>
      </x:c>
      <x:c r="Y317" s="169" t="n">
        <x:f>IF(Y$4=$B317,$C317/2,IF(AND(Y$4&gt;$B317,Y$4&lt;$E317),$C317,0))</x:f>
        <x:v>0</x:v>
      </x:c>
      <x:c r="Z317" s="169" t="n">
        <x:f>IF(Z$4=$B317,$C317/2,IF(AND(Z$4&gt;$B317,Z$4&lt;$E317),$C317,0))</x:f>
        <x:v>0</x:v>
      </x:c>
      <x:c r="AA317" s="169" t="n">
        <x:f>IF(AA$4=$B317,$C317/2,IF(AND(AA$4&gt;$B317,AA$4&lt;$E317),$C317,0))</x:f>
        <x:v>0</x:v>
      </x:c>
      <x:c r="AB317" s="169" t="n">
        <x:f>IF(AB$4=$B317,$C317/2,IF(AND(AB$4&gt;$B317,AB$4&lt;$E317),$C317,0))</x:f>
        <x:v>0</x:v>
      </x:c>
      <x:c r="AC317" s="169" t="n">
        <x:f>IF(AC$4=$B317,$C317/2,IF(AND(AC$4&gt;$B317,AC$4&lt;$E317),$C317,0))</x:f>
        <x:v>0</x:v>
      </x:c>
    </x:row>
    <x:row r="318" ht="20" customHeight="1">
      <x:c r="A318" s="170" t="str">
        <x:v>Construction</x:v>
      </x:c>
      <x:c r="B318" s="214" t="n">
        <x:v>2039</x:v>
      </x:c>
      <x:c r="C318" s="170" t="n">
        <x:f>'ROIC Cloud'!T$15</x:f>
        <x:v>4150846.384353246</x:v>
      </x:c>
      <x:c r="D318" s="214"/>
      <x:c r="E318" s="214" t="n">
        <x:f>B318+'ROIC Cloud'!$D$40</x:f>
        <x:v>2041</x:v>
      </x:c>
      <x:c r="F318" s="170" t="str">
        <x:v>Average WIP</x:v>
      </x:c>
      <x:c r="G318" s="169" t="n">
        <x:f>IF(G$4=$B318,$C318/2,IF(AND(G$4&gt;$B318,G$4&lt;$E318),$C318,0))</x:f>
        <x:v>0</x:v>
      </x:c>
      <x:c r="H318" s="169" t="n">
        <x:f>IF(H$4=$B318,$C318/2,IF(AND(H$4&gt;$B318,H$4&lt;$E318),$C318,0))</x:f>
        <x:v>0</x:v>
      </x:c>
      <x:c r="I318" s="169" t="n">
        <x:f>IF(I$4=$B318,$C318/2,IF(AND(I$4&gt;$B318,I$4&lt;$E318),$C318,0))</x:f>
        <x:v>0</x:v>
      </x:c>
      <x:c r="J318" s="169" t="n">
        <x:f>IF(J$4=$B318,$C318/2,IF(AND(J$4&gt;$B318,J$4&lt;$E318),$C318,0))</x:f>
        <x:v>0</x:v>
      </x:c>
      <x:c r="K318" s="169" t="n">
        <x:f>IF(K$4=$B318,$C318/2,IF(AND(K$4&gt;$B318,K$4&lt;$E318),$C318,0))</x:f>
        <x:v>0</x:v>
      </x:c>
      <x:c r="L318" s="169" t="n">
        <x:f>IF(L$4=$B318,$C318/2,IF(AND(L$4&gt;$B318,L$4&lt;$E318),$C318,0))</x:f>
        <x:v>0</x:v>
      </x:c>
      <x:c r="M318" s="169" t="n">
        <x:f>IF(M$4=$B318,$C318/2,IF(AND(M$4&gt;$B318,M$4&lt;$E318),$C318,0))</x:f>
        <x:v>0</x:v>
      </x:c>
      <x:c r="N318" s="169" t="n">
        <x:f>IF(N$4=$B318,$C318/2,IF(AND(N$4&gt;$B318,N$4&lt;$E318),$C318,0))</x:f>
        <x:v>0</x:v>
      </x:c>
      <x:c r="O318" s="169" t="n">
        <x:f>IF(O$4=$B318,$C318/2,IF(AND(O$4&gt;$B318,O$4&lt;$E318),$C318,0))</x:f>
        <x:v>0</x:v>
      </x:c>
      <x:c r="P318" s="169" t="n">
        <x:f>IF(P$4=$B318,$C318/2,IF(AND(P$4&gt;$B318,P$4&lt;$E318),$C318,0))</x:f>
        <x:v>0</x:v>
      </x:c>
      <x:c r="Q318" s="169" t="n">
        <x:f>IF(Q$4=$B318,$C318/2,IF(AND(Q$4&gt;$B318,Q$4&lt;$E318),$C318,0))</x:f>
        <x:v>0</x:v>
      </x:c>
      <x:c r="R318" s="169" t="n">
        <x:f>IF(R$4=$B318,$C318/2,IF(AND(R$4&gt;$B318,R$4&lt;$E318),$C318,0))</x:f>
        <x:v>0</x:v>
      </x:c>
      <x:c r="S318" s="169" t="n">
        <x:f>IF(S$4=$B318,$C318/2,IF(AND(S$4&gt;$B318,S$4&lt;$E318),$C318,0))</x:f>
        <x:v>0</x:v>
      </x:c>
      <x:c r="T318" s="169" t="n">
        <x:f>IF(T$4=$B318,$C318/2,IF(AND(T$4&gt;$B318,T$4&lt;$E318),$C318,0))</x:f>
        <x:v>0</x:v>
      </x:c>
      <x:c r="U318" s="169" t="n">
        <x:f>IF(U$4=$B318,$C318/2,IF(AND(U$4&gt;$B318,U$4&lt;$E318),$C318,0))</x:f>
        <x:v>0</x:v>
      </x:c>
      <x:c r="V318" s="169" t="n">
        <x:f>IF(V$4=$B318,$C318/2,IF(AND(V$4&gt;$B318,V$4&lt;$E318),$C318,0))</x:f>
        <x:v>0</x:v>
      </x:c>
      <x:c r="W318" s="169" t="n">
        <x:f>IF(W$4=$B318,$C318/2,IF(AND(W$4&gt;$B318,W$4&lt;$E318),$C318,0))</x:f>
        <x:v>2075423.192176623</x:v>
      </x:c>
      <x:c r="X318" s="169" t="n">
        <x:f>IF(X$4=$B318,$C318/2,IF(AND(X$4&gt;$B318,X$4&lt;$E318),$C318,0))</x:f>
        <x:v>4150846.384353246</x:v>
      </x:c>
      <x:c r="Y318" s="169" t="n">
        <x:f>IF(Y$4=$B318,$C318/2,IF(AND(Y$4&gt;$B318,Y$4&lt;$E318),$C318,0))</x:f>
        <x:v>0</x:v>
      </x:c>
      <x:c r="Z318" s="169" t="n">
        <x:f>IF(Z$4=$B318,$C318/2,IF(AND(Z$4&gt;$B318,Z$4&lt;$E318),$C318,0))</x:f>
        <x:v>0</x:v>
      </x:c>
      <x:c r="AA318" s="169" t="n">
        <x:f>IF(AA$4=$B318,$C318/2,IF(AND(AA$4&gt;$B318,AA$4&lt;$E318),$C318,0))</x:f>
        <x:v>0</x:v>
      </x:c>
      <x:c r="AB318" s="169" t="n">
        <x:f>IF(AB$4=$B318,$C318/2,IF(AND(AB$4&gt;$B318,AB$4&lt;$E318),$C318,0))</x:f>
        <x:v>0</x:v>
      </x:c>
      <x:c r="AC318" s="169" t="n">
        <x:f>IF(AC$4=$B318,$C318/2,IF(AND(AC$4&gt;$B318,AC$4&lt;$E318),$C318,0))</x:f>
        <x:v>0</x:v>
      </x:c>
    </x:row>
    <x:row r="319" ht="20" customHeight="1">
      <x:c r="A319" s="170" t="str">
        <x:v>Construction</x:v>
      </x:c>
      <x:c r="B319" s="214" t="n">
        <x:v>2040</x:v>
      </x:c>
      <x:c r="C319" s="170" t="n">
        <x:f>'ROIC Cloud'!U$15</x:f>
        <x:v>4482914.095101506</x:v>
      </x:c>
      <x:c r="D319" s="214"/>
      <x:c r="E319" s="214" t="n">
        <x:f>B319+'ROIC Cloud'!$D$40</x:f>
        <x:v>2042</x:v>
      </x:c>
      <x:c r="F319" s="170" t="str">
        <x:v>Average WIP</x:v>
      </x:c>
      <x:c r="G319" s="169" t="n">
        <x:f>IF(G$4=$B319,$C319/2,IF(AND(G$4&gt;$B319,G$4&lt;$E319),$C319,0))</x:f>
        <x:v>0</x:v>
      </x:c>
      <x:c r="H319" s="169" t="n">
        <x:f>IF(H$4=$B319,$C319/2,IF(AND(H$4&gt;$B319,H$4&lt;$E319),$C319,0))</x:f>
        <x:v>0</x:v>
      </x:c>
      <x:c r="I319" s="169" t="n">
        <x:f>IF(I$4=$B319,$C319/2,IF(AND(I$4&gt;$B319,I$4&lt;$E319),$C319,0))</x:f>
        <x:v>0</x:v>
      </x:c>
      <x:c r="J319" s="169" t="n">
        <x:f>IF(J$4=$B319,$C319/2,IF(AND(J$4&gt;$B319,J$4&lt;$E319),$C319,0))</x:f>
        <x:v>0</x:v>
      </x:c>
      <x:c r="K319" s="169" t="n">
        <x:f>IF(K$4=$B319,$C319/2,IF(AND(K$4&gt;$B319,K$4&lt;$E319),$C319,0))</x:f>
        <x:v>0</x:v>
      </x:c>
      <x:c r="L319" s="169" t="n">
        <x:f>IF(L$4=$B319,$C319/2,IF(AND(L$4&gt;$B319,L$4&lt;$E319),$C319,0))</x:f>
        <x:v>0</x:v>
      </x:c>
      <x:c r="M319" s="169" t="n">
        <x:f>IF(M$4=$B319,$C319/2,IF(AND(M$4&gt;$B319,M$4&lt;$E319),$C319,0))</x:f>
        <x:v>0</x:v>
      </x:c>
      <x:c r="N319" s="169" t="n">
        <x:f>IF(N$4=$B319,$C319/2,IF(AND(N$4&gt;$B319,N$4&lt;$E319),$C319,0))</x:f>
        <x:v>0</x:v>
      </x:c>
      <x:c r="O319" s="169" t="n">
        <x:f>IF(O$4=$B319,$C319/2,IF(AND(O$4&gt;$B319,O$4&lt;$E319),$C319,0))</x:f>
        <x:v>0</x:v>
      </x:c>
      <x:c r="P319" s="169" t="n">
        <x:f>IF(P$4=$B319,$C319/2,IF(AND(P$4&gt;$B319,P$4&lt;$E319),$C319,0))</x:f>
        <x:v>0</x:v>
      </x:c>
      <x:c r="Q319" s="169" t="n">
        <x:f>IF(Q$4=$B319,$C319/2,IF(AND(Q$4&gt;$B319,Q$4&lt;$E319),$C319,0))</x:f>
        <x:v>0</x:v>
      </x:c>
      <x:c r="R319" s="169" t="n">
        <x:f>IF(R$4=$B319,$C319/2,IF(AND(R$4&gt;$B319,R$4&lt;$E319),$C319,0))</x:f>
        <x:v>0</x:v>
      </x:c>
      <x:c r="S319" s="169" t="n">
        <x:f>IF(S$4=$B319,$C319/2,IF(AND(S$4&gt;$B319,S$4&lt;$E319),$C319,0))</x:f>
        <x:v>0</x:v>
      </x:c>
      <x:c r="T319" s="169" t="n">
        <x:f>IF(T$4=$B319,$C319/2,IF(AND(T$4&gt;$B319,T$4&lt;$E319),$C319,0))</x:f>
        <x:v>0</x:v>
      </x:c>
      <x:c r="U319" s="169" t="n">
        <x:f>IF(U$4=$B319,$C319/2,IF(AND(U$4&gt;$B319,U$4&lt;$E319),$C319,0))</x:f>
        <x:v>0</x:v>
      </x:c>
      <x:c r="V319" s="169" t="n">
        <x:f>IF(V$4=$B319,$C319/2,IF(AND(V$4&gt;$B319,V$4&lt;$E319),$C319,0))</x:f>
        <x:v>0</x:v>
      </x:c>
      <x:c r="W319" s="169" t="n">
        <x:f>IF(W$4=$B319,$C319/2,IF(AND(W$4&gt;$B319,W$4&lt;$E319),$C319,0))</x:f>
        <x:v>0</x:v>
      </x:c>
      <x:c r="X319" s="169" t="n">
        <x:f>IF(X$4=$B319,$C319/2,IF(AND(X$4&gt;$B319,X$4&lt;$E319),$C319,0))</x:f>
        <x:v>2241457.047550753</x:v>
      </x:c>
      <x:c r="Y319" s="169" t="n">
        <x:f>IF(Y$4=$B319,$C319/2,IF(AND(Y$4&gt;$B319,Y$4&lt;$E319),$C319,0))</x:f>
        <x:v>4482914.095101506</x:v>
      </x:c>
      <x:c r="Z319" s="169" t="n">
        <x:f>IF(Z$4=$B319,$C319/2,IF(AND(Z$4&gt;$B319,Z$4&lt;$E319),$C319,0))</x:f>
        <x:v>0</x:v>
      </x:c>
      <x:c r="AA319" s="169" t="n">
        <x:f>IF(AA$4=$B319,$C319/2,IF(AND(AA$4&gt;$B319,AA$4&lt;$E319),$C319,0))</x:f>
        <x:v>0</x:v>
      </x:c>
      <x:c r="AB319" s="169" t="n">
        <x:f>IF(AB$4=$B319,$C319/2,IF(AND(AB$4&gt;$B319,AB$4&lt;$E319),$C319,0))</x:f>
        <x:v>0</x:v>
      </x:c>
      <x:c r="AC319" s="169" t="n">
        <x:f>IF(AC$4=$B319,$C319/2,IF(AND(AC$4&gt;$B319,AC$4&lt;$E319),$C319,0))</x:f>
        <x:v>0</x:v>
      </x:c>
    </x:row>
    <x:row r="320" ht="20" customHeight="1">
      <x:c r="A320" s="170" t="str">
        <x:v>Construction</x:v>
      </x:c>
      <x:c r="B320" s="214" t="n">
        <x:v>2041</x:v>
      </x:c>
      <x:c r="C320" s="170" t="n">
        <x:f>'ROIC Cloud'!V$15</x:f>
        <x:v>4841547.222709627</x:v>
      </x:c>
      <x:c r="D320" s="214"/>
      <x:c r="E320" s="214" t="n">
        <x:f>B320+'ROIC Cloud'!$D$40</x:f>
        <x:v>2043</x:v>
      </x:c>
      <x:c r="F320" s="170" t="str">
        <x:v>Average WIP</x:v>
      </x:c>
      <x:c r="G320" s="169" t="n">
        <x:f>IF(G$4=$B320,$C320/2,IF(AND(G$4&gt;$B320,G$4&lt;$E320),$C320,0))</x:f>
        <x:v>0</x:v>
      </x:c>
      <x:c r="H320" s="169" t="n">
        <x:f>IF(H$4=$B320,$C320/2,IF(AND(H$4&gt;$B320,H$4&lt;$E320),$C320,0))</x:f>
        <x:v>0</x:v>
      </x:c>
      <x:c r="I320" s="169" t="n">
        <x:f>IF(I$4=$B320,$C320/2,IF(AND(I$4&gt;$B320,I$4&lt;$E320),$C320,0))</x:f>
        <x:v>0</x:v>
      </x:c>
      <x:c r="J320" s="169" t="n">
        <x:f>IF(J$4=$B320,$C320/2,IF(AND(J$4&gt;$B320,J$4&lt;$E320),$C320,0))</x:f>
        <x:v>0</x:v>
      </x:c>
      <x:c r="K320" s="169" t="n">
        <x:f>IF(K$4=$B320,$C320/2,IF(AND(K$4&gt;$B320,K$4&lt;$E320),$C320,0))</x:f>
        <x:v>0</x:v>
      </x:c>
      <x:c r="L320" s="169" t="n">
        <x:f>IF(L$4=$B320,$C320/2,IF(AND(L$4&gt;$B320,L$4&lt;$E320),$C320,0))</x:f>
        <x:v>0</x:v>
      </x:c>
      <x:c r="M320" s="169" t="n">
        <x:f>IF(M$4=$B320,$C320/2,IF(AND(M$4&gt;$B320,M$4&lt;$E320),$C320,0))</x:f>
        <x:v>0</x:v>
      </x:c>
      <x:c r="N320" s="169" t="n">
        <x:f>IF(N$4=$B320,$C320/2,IF(AND(N$4&gt;$B320,N$4&lt;$E320),$C320,0))</x:f>
        <x:v>0</x:v>
      </x:c>
      <x:c r="O320" s="169" t="n">
        <x:f>IF(O$4=$B320,$C320/2,IF(AND(O$4&gt;$B320,O$4&lt;$E320),$C320,0))</x:f>
        <x:v>0</x:v>
      </x:c>
      <x:c r="P320" s="169" t="n">
        <x:f>IF(P$4=$B320,$C320/2,IF(AND(P$4&gt;$B320,P$4&lt;$E320),$C320,0))</x:f>
        <x:v>0</x:v>
      </x:c>
      <x:c r="Q320" s="169" t="n">
        <x:f>IF(Q$4=$B320,$C320/2,IF(AND(Q$4&gt;$B320,Q$4&lt;$E320),$C320,0))</x:f>
        <x:v>0</x:v>
      </x:c>
      <x:c r="R320" s="169" t="n">
        <x:f>IF(R$4=$B320,$C320/2,IF(AND(R$4&gt;$B320,R$4&lt;$E320),$C320,0))</x:f>
        <x:v>0</x:v>
      </x:c>
      <x:c r="S320" s="169" t="n">
        <x:f>IF(S$4=$B320,$C320/2,IF(AND(S$4&gt;$B320,S$4&lt;$E320),$C320,0))</x:f>
        <x:v>0</x:v>
      </x:c>
      <x:c r="T320" s="169" t="n">
        <x:f>IF(T$4=$B320,$C320/2,IF(AND(T$4&gt;$B320,T$4&lt;$E320),$C320,0))</x:f>
        <x:v>0</x:v>
      </x:c>
      <x:c r="U320" s="169" t="n">
        <x:f>IF(U$4=$B320,$C320/2,IF(AND(U$4&gt;$B320,U$4&lt;$E320),$C320,0))</x:f>
        <x:v>0</x:v>
      </x:c>
      <x:c r="V320" s="169" t="n">
        <x:f>IF(V$4=$B320,$C320/2,IF(AND(V$4&gt;$B320,V$4&lt;$E320),$C320,0))</x:f>
        <x:v>0</x:v>
      </x:c>
      <x:c r="W320" s="169" t="n">
        <x:f>IF(W$4=$B320,$C320/2,IF(AND(W$4&gt;$B320,W$4&lt;$E320),$C320,0))</x:f>
        <x:v>0</x:v>
      </x:c>
      <x:c r="X320" s="169" t="n">
        <x:f>IF(X$4=$B320,$C320/2,IF(AND(X$4&gt;$B320,X$4&lt;$E320),$C320,0))</x:f>
        <x:v>0</x:v>
      </x:c>
      <x:c r="Y320" s="169" t="n">
        <x:f>IF(Y$4=$B320,$C320/2,IF(AND(Y$4&gt;$B320,Y$4&lt;$E320),$C320,0))</x:f>
        <x:v>2420773.6113548134</x:v>
      </x:c>
      <x:c r="Z320" s="169" t="n">
        <x:f>IF(Z$4=$B320,$C320/2,IF(AND(Z$4&gt;$B320,Z$4&lt;$E320),$C320,0))</x:f>
        <x:v>4841547.222709627</x:v>
      </x:c>
      <x:c r="AA320" s="169" t="n">
        <x:f>IF(AA$4=$B320,$C320/2,IF(AND(AA$4&gt;$B320,AA$4&lt;$E320),$C320,0))</x:f>
        <x:v>0</x:v>
      </x:c>
      <x:c r="AB320" s="169" t="n">
        <x:f>IF(AB$4=$B320,$C320/2,IF(AND(AB$4&gt;$B320,AB$4&lt;$E320),$C320,0))</x:f>
        <x:v>0</x:v>
      </x:c>
      <x:c r="AC320" s="169" t="n">
        <x:f>IF(AC$4=$B320,$C320/2,IF(AND(AC$4&gt;$B320,AC$4&lt;$E320),$C320,0))</x:f>
        <x:v>0</x:v>
      </x:c>
    </x:row>
    <x:row r="321" ht="20" customHeight="1">
      <x:c r="A321" s="170" t="str">
        <x:v>Construction</x:v>
      </x:c>
      <x:c r="B321" s="214" t="n">
        <x:v>2042</x:v>
      </x:c>
      <x:c r="C321" s="170" t="n">
        <x:f>'ROIC Cloud'!W$15</x:f>
        <x:v>5228871.0005263975</x:v>
      </x:c>
      <x:c r="D321" s="214"/>
      <x:c r="E321" s="214" t="n">
        <x:f>B321+'ROIC Cloud'!$D$40</x:f>
        <x:v>2044</x:v>
      </x:c>
      <x:c r="F321" s="170" t="str">
        <x:v>Average WIP</x:v>
      </x:c>
      <x:c r="G321" s="169" t="n">
        <x:f>IF(G$4=$B321,$C321/2,IF(AND(G$4&gt;$B321,G$4&lt;$E321),$C321,0))</x:f>
        <x:v>0</x:v>
      </x:c>
      <x:c r="H321" s="169" t="n">
        <x:f>IF(H$4=$B321,$C321/2,IF(AND(H$4&gt;$B321,H$4&lt;$E321),$C321,0))</x:f>
        <x:v>0</x:v>
      </x:c>
      <x:c r="I321" s="169" t="n">
        <x:f>IF(I$4=$B321,$C321/2,IF(AND(I$4&gt;$B321,I$4&lt;$E321),$C321,0))</x:f>
        <x:v>0</x:v>
      </x:c>
      <x:c r="J321" s="169" t="n">
        <x:f>IF(J$4=$B321,$C321/2,IF(AND(J$4&gt;$B321,J$4&lt;$E321),$C321,0))</x:f>
        <x:v>0</x:v>
      </x:c>
      <x:c r="K321" s="169" t="n">
        <x:f>IF(K$4=$B321,$C321/2,IF(AND(K$4&gt;$B321,K$4&lt;$E321),$C321,0))</x:f>
        <x:v>0</x:v>
      </x:c>
      <x:c r="L321" s="169" t="n">
        <x:f>IF(L$4=$B321,$C321/2,IF(AND(L$4&gt;$B321,L$4&lt;$E321),$C321,0))</x:f>
        <x:v>0</x:v>
      </x:c>
      <x:c r="M321" s="169" t="n">
        <x:f>IF(M$4=$B321,$C321/2,IF(AND(M$4&gt;$B321,M$4&lt;$E321),$C321,0))</x:f>
        <x:v>0</x:v>
      </x:c>
      <x:c r="N321" s="169" t="n">
        <x:f>IF(N$4=$B321,$C321/2,IF(AND(N$4&gt;$B321,N$4&lt;$E321),$C321,0))</x:f>
        <x:v>0</x:v>
      </x:c>
      <x:c r="O321" s="169" t="n">
        <x:f>IF(O$4=$B321,$C321/2,IF(AND(O$4&gt;$B321,O$4&lt;$E321),$C321,0))</x:f>
        <x:v>0</x:v>
      </x:c>
      <x:c r="P321" s="169" t="n">
        <x:f>IF(P$4=$B321,$C321/2,IF(AND(P$4&gt;$B321,P$4&lt;$E321),$C321,0))</x:f>
        <x:v>0</x:v>
      </x:c>
      <x:c r="Q321" s="169" t="n">
        <x:f>IF(Q$4=$B321,$C321/2,IF(AND(Q$4&gt;$B321,Q$4&lt;$E321),$C321,0))</x:f>
        <x:v>0</x:v>
      </x:c>
      <x:c r="R321" s="169" t="n">
        <x:f>IF(R$4=$B321,$C321/2,IF(AND(R$4&gt;$B321,R$4&lt;$E321),$C321,0))</x:f>
        <x:v>0</x:v>
      </x:c>
      <x:c r="S321" s="169" t="n">
        <x:f>IF(S$4=$B321,$C321/2,IF(AND(S$4&gt;$B321,S$4&lt;$E321),$C321,0))</x:f>
        <x:v>0</x:v>
      </x:c>
      <x:c r="T321" s="169" t="n">
        <x:f>IF(T$4=$B321,$C321/2,IF(AND(T$4&gt;$B321,T$4&lt;$E321),$C321,0))</x:f>
        <x:v>0</x:v>
      </x:c>
      <x:c r="U321" s="169" t="n">
        <x:f>IF(U$4=$B321,$C321/2,IF(AND(U$4&gt;$B321,U$4&lt;$E321),$C321,0))</x:f>
        <x:v>0</x:v>
      </x:c>
      <x:c r="V321" s="169" t="n">
        <x:f>IF(V$4=$B321,$C321/2,IF(AND(V$4&gt;$B321,V$4&lt;$E321),$C321,0))</x:f>
        <x:v>0</x:v>
      </x:c>
      <x:c r="W321" s="169" t="n">
        <x:f>IF(W$4=$B321,$C321/2,IF(AND(W$4&gt;$B321,W$4&lt;$E321),$C321,0))</x:f>
        <x:v>0</x:v>
      </x:c>
      <x:c r="X321" s="169" t="n">
        <x:f>IF(X$4=$B321,$C321/2,IF(AND(X$4&gt;$B321,X$4&lt;$E321),$C321,0))</x:f>
        <x:v>0</x:v>
      </x:c>
      <x:c r="Y321" s="169" t="n">
        <x:f>IF(Y$4=$B321,$C321/2,IF(AND(Y$4&gt;$B321,Y$4&lt;$E321),$C321,0))</x:f>
        <x:v>0</x:v>
      </x:c>
      <x:c r="Z321" s="169" t="n">
        <x:f>IF(Z$4=$B321,$C321/2,IF(AND(Z$4&gt;$B321,Z$4&lt;$E321),$C321,0))</x:f>
        <x:v>2614435.5002631987</x:v>
      </x:c>
      <x:c r="AA321" s="169" t="n">
        <x:f>IF(AA$4=$B321,$C321/2,IF(AND(AA$4&gt;$B321,AA$4&lt;$E321),$C321,0))</x:f>
        <x:v>5228871.0005263975</x:v>
      </x:c>
      <x:c r="AB321" s="169" t="n">
        <x:f>IF(AB$4=$B321,$C321/2,IF(AND(AB$4&gt;$B321,AB$4&lt;$E321),$C321,0))</x:f>
        <x:v>0</x:v>
      </x:c>
      <x:c r="AC321" s="169" t="n">
        <x:f>IF(AC$4=$B321,$C321/2,IF(AND(AC$4&gt;$B321,AC$4&lt;$E321),$C321,0))</x:f>
        <x:v>0</x:v>
      </x:c>
    </x:row>
    <x:row r="322" ht="20" customHeight="1">
      <x:c r="A322" s="170" t="str">
        <x:v>Construction</x:v>
      </x:c>
      <x:c r="B322" s="214" t="n">
        <x:v>2043</x:v>
      </x:c>
      <x:c r="C322" s="170" t="n">
        <x:f>'ROIC Cloud'!X$15</x:f>
        <x:v>5647180.68056851</x:v>
      </x:c>
      <x:c r="D322" s="214"/>
      <x:c r="E322" s="214" t="n">
        <x:f>B322+'ROIC Cloud'!$D$40</x:f>
        <x:v>2045</x:v>
      </x:c>
      <x:c r="F322" s="170" t="str">
        <x:v>Average WIP</x:v>
      </x:c>
      <x:c r="G322" s="169" t="n">
        <x:f>IF(G$4=$B322,$C322/2,IF(AND(G$4&gt;$B322,G$4&lt;$E322),$C322,0))</x:f>
        <x:v>0</x:v>
      </x:c>
      <x:c r="H322" s="169" t="n">
        <x:f>IF(H$4=$B322,$C322/2,IF(AND(H$4&gt;$B322,H$4&lt;$E322),$C322,0))</x:f>
        <x:v>0</x:v>
      </x:c>
      <x:c r="I322" s="169" t="n">
        <x:f>IF(I$4=$B322,$C322/2,IF(AND(I$4&gt;$B322,I$4&lt;$E322),$C322,0))</x:f>
        <x:v>0</x:v>
      </x:c>
      <x:c r="J322" s="169" t="n">
        <x:f>IF(J$4=$B322,$C322/2,IF(AND(J$4&gt;$B322,J$4&lt;$E322),$C322,0))</x:f>
        <x:v>0</x:v>
      </x:c>
      <x:c r="K322" s="169" t="n">
        <x:f>IF(K$4=$B322,$C322/2,IF(AND(K$4&gt;$B322,K$4&lt;$E322),$C322,0))</x:f>
        <x:v>0</x:v>
      </x:c>
      <x:c r="L322" s="169" t="n">
        <x:f>IF(L$4=$B322,$C322/2,IF(AND(L$4&gt;$B322,L$4&lt;$E322),$C322,0))</x:f>
        <x:v>0</x:v>
      </x:c>
      <x:c r="M322" s="169" t="n">
        <x:f>IF(M$4=$B322,$C322/2,IF(AND(M$4&gt;$B322,M$4&lt;$E322),$C322,0))</x:f>
        <x:v>0</x:v>
      </x:c>
      <x:c r="N322" s="169" t="n">
        <x:f>IF(N$4=$B322,$C322/2,IF(AND(N$4&gt;$B322,N$4&lt;$E322),$C322,0))</x:f>
        <x:v>0</x:v>
      </x:c>
      <x:c r="O322" s="169" t="n">
        <x:f>IF(O$4=$B322,$C322/2,IF(AND(O$4&gt;$B322,O$4&lt;$E322),$C322,0))</x:f>
        <x:v>0</x:v>
      </x:c>
      <x:c r="P322" s="169" t="n">
        <x:f>IF(P$4=$B322,$C322/2,IF(AND(P$4&gt;$B322,P$4&lt;$E322),$C322,0))</x:f>
        <x:v>0</x:v>
      </x:c>
      <x:c r="Q322" s="169" t="n">
        <x:f>IF(Q$4=$B322,$C322/2,IF(AND(Q$4&gt;$B322,Q$4&lt;$E322),$C322,0))</x:f>
        <x:v>0</x:v>
      </x:c>
      <x:c r="R322" s="169" t="n">
        <x:f>IF(R$4=$B322,$C322/2,IF(AND(R$4&gt;$B322,R$4&lt;$E322),$C322,0))</x:f>
        <x:v>0</x:v>
      </x:c>
      <x:c r="S322" s="169" t="n">
        <x:f>IF(S$4=$B322,$C322/2,IF(AND(S$4&gt;$B322,S$4&lt;$E322),$C322,0))</x:f>
        <x:v>0</x:v>
      </x:c>
      <x:c r="T322" s="169" t="n">
        <x:f>IF(T$4=$B322,$C322/2,IF(AND(T$4&gt;$B322,T$4&lt;$E322),$C322,0))</x:f>
        <x:v>0</x:v>
      </x:c>
      <x:c r="U322" s="169" t="n">
        <x:f>IF(U$4=$B322,$C322/2,IF(AND(U$4&gt;$B322,U$4&lt;$E322),$C322,0))</x:f>
        <x:v>0</x:v>
      </x:c>
      <x:c r="V322" s="169" t="n">
        <x:f>IF(V$4=$B322,$C322/2,IF(AND(V$4&gt;$B322,V$4&lt;$E322),$C322,0))</x:f>
        <x:v>0</x:v>
      </x:c>
      <x:c r="W322" s="169" t="n">
        <x:f>IF(W$4=$B322,$C322/2,IF(AND(W$4&gt;$B322,W$4&lt;$E322),$C322,0))</x:f>
        <x:v>0</x:v>
      </x:c>
      <x:c r="X322" s="169" t="n">
        <x:f>IF(X$4=$B322,$C322/2,IF(AND(X$4&gt;$B322,X$4&lt;$E322),$C322,0))</x:f>
        <x:v>0</x:v>
      </x:c>
      <x:c r="Y322" s="169" t="n">
        <x:f>IF(Y$4=$B322,$C322/2,IF(AND(Y$4&gt;$B322,Y$4&lt;$E322),$C322,0))</x:f>
        <x:v>0</x:v>
      </x:c>
      <x:c r="Z322" s="169" t="n">
        <x:f>IF(Z$4=$B322,$C322/2,IF(AND(Z$4&gt;$B322,Z$4&lt;$E322),$C322,0))</x:f>
        <x:v>0</x:v>
      </x:c>
      <x:c r="AA322" s="169" t="n">
        <x:f>IF(AA$4=$B322,$C322/2,IF(AND(AA$4&gt;$B322,AA$4&lt;$E322),$C322,0))</x:f>
        <x:v>2823590.340284255</x:v>
      </x:c>
      <x:c r="AB322" s="169" t="n">
        <x:f>IF(AB$4=$B322,$C322/2,IF(AND(AB$4&gt;$B322,AB$4&lt;$E322),$C322,0))</x:f>
        <x:v>5647180.68056851</x:v>
      </x:c>
      <x:c r="AC322" s="169" t="n">
        <x:f>IF(AC$4=$B322,$C322/2,IF(AND(AC$4&gt;$B322,AC$4&lt;$E322),$C322,0))</x:f>
        <x:v>0</x:v>
      </x:c>
    </x:row>
    <x:row r="323" ht="20" customHeight="1">
      <x:c r="A323" s="170" t="str">
        <x:v>Construction</x:v>
      </x:c>
      <x:c r="B323" s="214" t="n">
        <x:v>2044</x:v>
      </x:c>
      <x:c r="C323" s="170" t="n">
        <x:f>'ROIC Cloud'!Y$15</x:f>
        <x:v>6098955.135013992</x:v>
      </x:c>
      <x:c r="D323" s="214"/>
      <x:c r="E323" s="214" t="n">
        <x:f>B323+'ROIC Cloud'!$D$40</x:f>
        <x:v>2046</x:v>
      </x:c>
      <x:c r="F323" s="170" t="str">
        <x:v>Average WIP</x:v>
      </x:c>
      <x:c r="G323" s="169" t="n">
        <x:f>IF(G$4=$B323,$C323/2,IF(AND(G$4&gt;$B323,G$4&lt;$E323),$C323,0))</x:f>
        <x:v>0</x:v>
      </x:c>
      <x:c r="H323" s="169" t="n">
        <x:f>IF(H$4=$B323,$C323/2,IF(AND(H$4&gt;$B323,H$4&lt;$E323),$C323,0))</x:f>
        <x:v>0</x:v>
      </x:c>
      <x:c r="I323" s="169" t="n">
        <x:f>IF(I$4=$B323,$C323/2,IF(AND(I$4&gt;$B323,I$4&lt;$E323),$C323,0))</x:f>
        <x:v>0</x:v>
      </x:c>
      <x:c r="J323" s="169" t="n">
        <x:f>IF(J$4=$B323,$C323/2,IF(AND(J$4&gt;$B323,J$4&lt;$E323),$C323,0))</x:f>
        <x:v>0</x:v>
      </x:c>
      <x:c r="K323" s="169" t="n">
        <x:f>IF(K$4=$B323,$C323/2,IF(AND(K$4&gt;$B323,K$4&lt;$E323),$C323,0))</x:f>
        <x:v>0</x:v>
      </x:c>
      <x:c r="L323" s="169" t="n">
        <x:f>IF(L$4=$B323,$C323/2,IF(AND(L$4&gt;$B323,L$4&lt;$E323),$C323,0))</x:f>
        <x:v>0</x:v>
      </x:c>
      <x:c r="M323" s="169" t="n">
        <x:f>IF(M$4=$B323,$C323/2,IF(AND(M$4&gt;$B323,M$4&lt;$E323),$C323,0))</x:f>
        <x:v>0</x:v>
      </x:c>
      <x:c r="N323" s="169" t="n">
        <x:f>IF(N$4=$B323,$C323/2,IF(AND(N$4&gt;$B323,N$4&lt;$E323),$C323,0))</x:f>
        <x:v>0</x:v>
      </x:c>
      <x:c r="O323" s="169" t="n">
        <x:f>IF(O$4=$B323,$C323/2,IF(AND(O$4&gt;$B323,O$4&lt;$E323),$C323,0))</x:f>
        <x:v>0</x:v>
      </x:c>
      <x:c r="P323" s="169" t="n">
        <x:f>IF(P$4=$B323,$C323/2,IF(AND(P$4&gt;$B323,P$4&lt;$E323),$C323,0))</x:f>
        <x:v>0</x:v>
      </x:c>
      <x:c r="Q323" s="169" t="n">
        <x:f>IF(Q$4=$B323,$C323/2,IF(AND(Q$4&gt;$B323,Q$4&lt;$E323),$C323,0))</x:f>
        <x:v>0</x:v>
      </x:c>
      <x:c r="R323" s="169" t="n">
        <x:f>IF(R$4=$B323,$C323/2,IF(AND(R$4&gt;$B323,R$4&lt;$E323),$C323,0))</x:f>
        <x:v>0</x:v>
      </x:c>
      <x:c r="S323" s="169" t="n">
        <x:f>IF(S$4=$B323,$C323/2,IF(AND(S$4&gt;$B323,S$4&lt;$E323),$C323,0))</x:f>
        <x:v>0</x:v>
      </x:c>
      <x:c r="T323" s="169" t="n">
        <x:f>IF(T$4=$B323,$C323/2,IF(AND(T$4&gt;$B323,T$4&lt;$E323),$C323,0))</x:f>
        <x:v>0</x:v>
      </x:c>
      <x:c r="U323" s="169" t="n">
        <x:f>IF(U$4=$B323,$C323/2,IF(AND(U$4&gt;$B323,U$4&lt;$E323),$C323,0))</x:f>
        <x:v>0</x:v>
      </x:c>
      <x:c r="V323" s="169" t="n">
        <x:f>IF(V$4=$B323,$C323/2,IF(AND(V$4&gt;$B323,V$4&lt;$E323),$C323,0))</x:f>
        <x:v>0</x:v>
      </x:c>
      <x:c r="W323" s="169" t="n">
        <x:f>IF(W$4=$B323,$C323/2,IF(AND(W$4&gt;$B323,W$4&lt;$E323),$C323,0))</x:f>
        <x:v>0</x:v>
      </x:c>
      <x:c r="X323" s="169" t="n">
        <x:f>IF(X$4=$B323,$C323/2,IF(AND(X$4&gt;$B323,X$4&lt;$E323),$C323,0))</x:f>
        <x:v>0</x:v>
      </x:c>
      <x:c r="Y323" s="169" t="n">
        <x:f>IF(Y$4=$B323,$C323/2,IF(AND(Y$4&gt;$B323,Y$4&lt;$E323),$C323,0))</x:f>
        <x:v>0</x:v>
      </x:c>
      <x:c r="Z323" s="169" t="n">
        <x:f>IF(Z$4=$B323,$C323/2,IF(AND(Z$4&gt;$B323,Z$4&lt;$E323),$C323,0))</x:f>
        <x:v>0</x:v>
      </x:c>
      <x:c r="AA323" s="169" t="n">
        <x:f>IF(AA$4=$B323,$C323/2,IF(AND(AA$4&gt;$B323,AA$4&lt;$E323),$C323,0))</x:f>
        <x:v>0</x:v>
      </x:c>
      <x:c r="AB323" s="169" t="n">
        <x:f>IF(AB$4=$B323,$C323/2,IF(AND(AB$4&gt;$B323,AB$4&lt;$E323),$C323,0))</x:f>
        <x:v>3049477.567506996</x:v>
      </x:c>
      <x:c r="AC323" s="169" t="n">
        <x:f>IF(AC$4=$B323,$C323/2,IF(AND(AC$4&gt;$B323,AC$4&lt;$E323),$C323,0))</x:f>
        <x:v>6098955.135013992</x:v>
      </x:c>
    </x:row>
    <x:row r="324" ht="20" customHeight="1">
      <x:c r="A324" s="170" t="str">
        <x:v>Construction</x:v>
      </x:c>
      <x:c r="B324" s="214" t="n">
        <x:v>2045</x:v>
      </x:c>
      <x:c r="C324" s="170" t="n">
        <x:f>'ROIC Cloud'!Z$15</x:f>
        <x:v>6586871.545815111</x:v>
      </x:c>
      <x:c r="D324" s="214"/>
      <x:c r="E324" s="214" t="n">
        <x:f>B324+'ROIC Cloud'!$D$40</x:f>
        <x:v>2047</x:v>
      </x:c>
      <x:c r="F324" s="170" t="str">
        <x:v>Average WIP</x:v>
      </x:c>
      <x:c r="G324" s="169" t="n">
        <x:f>IF(G$4=$B324,$C324/2,IF(AND(G$4&gt;$B324,G$4&lt;$E324),$C324,0))</x:f>
        <x:v>0</x:v>
      </x:c>
      <x:c r="H324" s="169" t="n">
        <x:f>IF(H$4=$B324,$C324/2,IF(AND(H$4&gt;$B324,H$4&lt;$E324),$C324,0))</x:f>
        <x:v>0</x:v>
      </x:c>
      <x:c r="I324" s="169" t="n">
        <x:f>IF(I$4=$B324,$C324/2,IF(AND(I$4&gt;$B324,I$4&lt;$E324),$C324,0))</x:f>
        <x:v>0</x:v>
      </x:c>
      <x:c r="J324" s="169" t="n">
        <x:f>IF(J$4=$B324,$C324/2,IF(AND(J$4&gt;$B324,J$4&lt;$E324),$C324,0))</x:f>
        <x:v>0</x:v>
      </x:c>
      <x:c r="K324" s="169" t="n">
        <x:f>IF(K$4=$B324,$C324/2,IF(AND(K$4&gt;$B324,K$4&lt;$E324),$C324,0))</x:f>
        <x:v>0</x:v>
      </x:c>
      <x:c r="L324" s="169" t="n">
        <x:f>IF(L$4=$B324,$C324/2,IF(AND(L$4&gt;$B324,L$4&lt;$E324),$C324,0))</x:f>
        <x:v>0</x:v>
      </x:c>
      <x:c r="M324" s="169" t="n">
        <x:f>IF(M$4=$B324,$C324/2,IF(AND(M$4&gt;$B324,M$4&lt;$E324),$C324,0))</x:f>
        <x:v>0</x:v>
      </x:c>
      <x:c r="N324" s="169" t="n">
        <x:f>IF(N$4=$B324,$C324/2,IF(AND(N$4&gt;$B324,N$4&lt;$E324),$C324,0))</x:f>
        <x:v>0</x:v>
      </x:c>
      <x:c r="O324" s="169" t="n">
        <x:f>IF(O$4=$B324,$C324/2,IF(AND(O$4&gt;$B324,O$4&lt;$E324),$C324,0))</x:f>
        <x:v>0</x:v>
      </x:c>
      <x:c r="P324" s="169" t="n">
        <x:f>IF(P$4=$B324,$C324/2,IF(AND(P$4&gt;$B324,P$4&lt;$E324),$C324,0))</x:f>
        <x:v>0</x:v>
      </x:c>
      <x:c r="Q324" s="169" t="n">
        <x:f>IF(Q$4=$B324,$C324/2,IF(AND(Q$4&gt;$B324,Q$4&lt;$E324),$C324,0))</x:f>
        <x:v>0</x:v>
      </x:c>
      <x:c r="R324" s="169" t="n">
        <x:f>IF(R$4=$B324,$C324/2,IF(AND(R$4&gt;$B324,R$4&lt;$E324),$C324,0))</x:f>
        <x:v>0</x:v>
      </x:c>
      <x:c r="S324" s="169" t="n">
        <x:f>IF(S$4=$B324,$C324/2,IF(AND(S$4&gt;$B324,S$4&lt;$E324),$C324,0))</x:f>
        <x:v>0</x:v>
      </x:c>
      <x:c r="T324" s="169" t="n">
        <x:f>IF(T$4=$B324,$C324/2,IF(AND(T$4&gt;$B324,T$4&lt;$E324),$C324,0))</x:f>
        <x:v>0</x:v>
      </x:c>
      <x:c r="U324" s="169" t="n">
        <x:f>IF(U$4=$B324,$C324/2,IF(AND(U$4&gt;$B324,U$4&lt;$E324),$C324,0))</x:f>
        <x:v>0</x:v>
      </x:c>
      <x:c r="V324" s="169" t="n">
        <x:f>IF(V$4=$B324,$C324/2,IF(AND(V$4&gt;$B324,V$4&lt;$E324),$C324,0))</x:f>
        <x:v>0</x:v>
      </x:c>
      <x:c r="W324" s="169" t="n">
        <x:f>IF(W$4=$B324,$C324/2,IF(AND(W$4&gt;$B324,W$4&lt;$E324),$C324,0))</x:f>
        <x:v>0</x:v>
      </x:c>
      <x:c r="X324" s="169" t="n">
        <x:f>IF(X$4=$B324,$C324/2,IF(AND(X$4&gt;$B324,X$4&lt;$E324),$C324,0))</x:f>
        <x:v>0</x:v>
      </x:c>
      <x:c r="Y324" s="169" t="n">
        <x:f>IF(Y$4=$B324,$C324/2,IF(AND(Y$4&gt;$B324,Y$4&lt;$E324),$C324,0))</x:f>
        <x:v>0</x:v>
      </x:c>
      <x:c r="Z324" s="169" t="n">
        <x:f>IF(Z$4=$B324,$C324/2,IF(AND(Z$4&gt;$B324,Z$4&lt;$E324),$C324,0))</x:f>
        <x:v>0</x:v>
      </x:c>
      <x:c r="AA324" s="169" t="n">
        <x:f>IF(AA$4=$B324,$C324/2,IF(AND(AA$4&gt;$B324,AA$4&lt;$E324),$C324,0))</x:f>
        <x:v>0</x:v>
      </x:c>
      <x:c r="AB324" s="169" t="n">
        <x:f>IF(AB$4=$B324,$C324/2,IF(AND(AB$4&gt;$B324,AB$4&lt;$E324),$C324,0))</x:f>
        <x:v>0</x:v>
      </x:c>
      <x:c r="AC324" s="169" t="n">
        <x:f>IF(AC$4=$B324,$C324/2,IF(AND(AC$4&gt;$B324,AC$4&lt;$E324),$C324,0))</x:f>
        <x:v>3293435.7729075556</x:v>
      </x:c>
    </x:row>
  </x:sheetData>
  <x:mergeCells>
    <x:mergeCell ref="A1:AC1"/>
    <x:mergeCell ref="A2:AC3"/>
    <x:mergeCell ref="A6:F6"/>
    <x:mergeCell ref="A7:F7"/>
    <x:mergeCell ref="A8:F8"/>
    <x:mergeCell ref="A9:F9"/>
    <x:mergeCell ref="A11:F11"/>
    <x:mergeCell ref="A12:F12"/>
    <x:mergeCell ref="A13:F13"/>
    <x:mergeCell ref="A14:F14"/>
    <x:mergeCell ref="A16:F16"/>
    <x:mergeCell ref="A17:F17"/>
    <x:mergeCell ref="A18:F18"/>
    <x:mergeCell ref="A19:F19"/>
    <x:mergeCell ref="A20:F20"/>
    <x:mergeCell ref="A301:AC30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13" hidden="0" customWidth="1"/>
    <x:col min="4" max="4" width="20" hidden="0" customWidth="1"/>
    <x:col min="5" max="5" width="20" hidden="0" customWidth="1"/>
    <x:col min="6" max="6" width="20" hidden="0" customWidth="1"/>
    <x:col min="7" max="7" width="20" hidden="0" customWidth="1"/>
    <x:col min="8" max="8" width="20" hidden="0" customWidth="1"/>
    <x:col min="9" max="9" width="15" hidden="0" customWidth="1"/>
    <x:col min="10" max="10" width="3"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s>
  <x:sheetData>
    <x:row r="1" ht="30" customHeight="1">
      <x:c r="A1" s="172" t="str">
        <x:v>SHARE / GM SCENARIOS | formula-driven, 36 cases</x:v>
      </x:c>
      <x:c r="B1" s="172" t="str">
        <x:v>SHARE / GM SCENARIOS | formula-driven, 36 cases</x:v>
      </x:c>
      <x:c r="C1" s="172" t="str">
        <x:v>SHARE / GM SCENARIOS | formula-driven, 36 cases</x:v>
      </x:c>
      <x:c r="D1" s="172" t="str">
        <x:v>SHARE / GM SCENARIOS | formula-driven, 36 cases</x:v>
      </x:c>
      <x:c r="E1" s="172" t="str">
        <x:v>SHARE / GM SCENARIOS | formula-driven, 36 cases</x:v>
      </x:c>
      <x:c r="F1" s="172" t="str">
        <x:v>SHARE / GM SCENARIOS | formula-driven, 36 cases</x:v>
      </x:c>
      <x:c r="G1" s="172" t="str">
        <x:v>SHARE / GM SCENARIOS | formula-driven, 36 cases</x:v>
      </x:c>
      <x:c r="H1" s="172" t="str">
        <x:v>SHARE / GM SCENARIOS | formula-driven, 36 cases</x:v>
      </x:c>
      <x:c r="I1" s="172" t="str">
        <x:v>SHARE / GM SCENARIOS | formula-driven, 36 cases</x:v>
      </x:c>
      <x:c r="J1" s="172" t="str">
        <x:v>SHARE / GM SCENARIOS | formula-driven, 36 cases</x:v>
      </x:c>
      <x:c r="K1" s="172" t="str">
        <x:v>SHARE / GM SCENARIOS | formula-driven, 36 cases</x:v>
      </x:c>
      <x:c r="L1" s="172" t="str">
        <x:v>SHARE / GM SCENARIOS | formula-driven, 36 cases</x:v>
      </x:c>
      <x:c r="M1" s="172" t="str">
        <x:v>SHARE / GM SCENARIOS | formula-driven, 36 cases</x:v>
      </x:c>
      <x:c r="N1" s="172" t="str">
        <x:v>SHARE / GM SCENARIOS | formula-driven, 36 cases</x:v>
      </x:c>
      <x:c r="O1" s="172" t="str">
        <x:v>SHARE / GM SCENARIOS | formula-driven, 36 cases</x:v>
      </x:c>
      <x:c r="P1" s="172" t="str">
        <x:v>SHARE / GM SCENARIOS | formula-driven, 36 cases</x:v>
      </x:c>
      <x:c r="Q1" s="172" t="str">
        <x:v>SHARE / GM SCENARIOS | formula-driven, 36 cases</x:v>
      </x:c>
      <x:c r="R1" s="172" t="str">
        <x:v>SHARE / GM SCENARIOS | formula-driven, 36 cases</x:v>
      </x:c>
      <x:c r="S1" s="172" t="str">
        <x:v>SHARE / GM SCENARIOS | formula-driven, 36 cases</x:v>
      </x:c>
      <x:c r="T1" s="172" t="str">
        <x:v>SHARE / GM SCENARIOS | formula-driven, 36 cases</x:v>
      </x:c>
      <x:c r="U1" s="172" t="str">
        <x:v>SHARE / GM SCENARIOS | formula-driven, 36 cases</x:v>
      </x:c>
      <x:c r="V1" s="172" t="str">
        <x:v>SHARE / GM SCENARIOS | formula-driven, 36 cases</x:v>
      </x:c>
      <x:c r="W1" s="172" t="str">
        <x:v>SHARE / GM SCENARIOS | formula-driven, 36 cases</x:v>
      </x:c>
      <x:c r="X1" s="172" t="str">
        <x:v>SHARE / GM SCENARIOS | formula-driven, 36 cases</x:v>
      </x:c>
      <x:c r="Y1" s="172" t="str">
        <x:v>SHARE / GM SCENARIOS | formula-driven, 36 cases</x:v>
      </x:c>
      <x:c r="Z1" s="172" t="str">
        <x:v>SHARE / GM SCENARIOS | formula-driven, 36 cases</x:v>
      </x:c>
      <x:c r="AA1" s="172" t="str">
        <x:v>SHARE / GM SCENARIOS | formula-driven, 36 cases</x:v>
      </x:c>
      <x:c r="AB1" s="169"/>
      <x:c r="AC1" s="169"/>
    </x:row>
    <x:row r="2" ht="20" customHeight="1">
      <x:c r="A2" s="170" t="str">
        <x:v>Each row recalculates projected cash distributions, terminal value and dated PV. Commercial assumptions match the main model; only the row's share and margin-floor inputs differ.</x:v>
      </x:c>
      <x:c r="B2" s="170" t="str">
        <x:v>Each row recalculates projected cash distributions, terminal value and dated PV. Commercial assumptions match the main model; only the row's share and margin-floor inputs differ.</x:v>
      </x:c>
      <x:c r="C2" s="170" t="str">
        <x:v>Each row recalculates projected cash distributions, terminal value and dated PV. Commercial assumptions match the main model; only the row's share and margin-floor inputs differ.</x:v>
      </x:c>
      <x:c r="D2" s="170" t="str">
        <x:v>Each row recalculates projected cash distributions, terminal value and dated PV. Commercial assumptions match the main model; only the row's share and margin-floor inputs differ.</x:v>
      </x:c>
      <x:c r="E2" s="170" t="str">
        <x:v>Each row recalculates projected cash distributions, terminal value and dated PV. Commercial assumptions match the main model; only the row's share and margin-floor inputs differ.</x:v>
      </x:c>
      <x:c r="F2" s="170" t="str">
        <x:v>Each row recalculates projected cash distributions, terminal value and dated PV. Commercial assumptions match the main model; only the row's share and margin-floor inputs differ.</x:v>
      </x:c>
      <x:c r="G2" s="170" t="str">
        <x:v>Each row recalculates projected cash distributions, terminal value and dated PV. Commercial assumptions match the main model; only the row's share and margin-floor inputs differ.</x:v>
      </x:c>
      <x:c r="H2" s="170" t="str">
        <x:v>Each row recalculates projected cash distributions, terminal value and dated PV. Commercial assumptions match the main model; only the row's share and margin-floor inputs differ.</x:v>
      </x:c>
      <x:c r="I2" s="170" t="str">
        <x:v>Each row recalculates projected cash distributions, terminal value and dated PV. Commercial assumptions match the main model; only the row's share and margin-floor inputs differ.</x:v>
      </x:c>
      <x:c r="J2" s="170" t="str">
        <x:v>Each row recalculates projected cash distributions, terminal value and dated PV. Commercial assumptions match the main model; only the row's share and margin-floor inputs differ.</x:v>
      </x:c>
      <x:c r="K2" s="170" t="str">
        <x:v>Each row recalculates projected cash distributions, terminal value and dated PV. Commercial assumptions match the main model; only the row's share and margin-floor inputs differ.</x:v>
      </x:c>
      <x:c r="L2" s="170" t="str">
        <x:v>Each row recalculates projected cash distributions, terminal value and dated PV. Commercial assumptions match the main model; only the row's share and margin-floor inputs differ.</x:v>
      </x:c>
      <x:c r="M2" s="170" t="str">
        <x:v>Each row recalculates projected cash distributions, terminal value and dated PV. Commercial assumptions match the main model; only the row's share and margin-floor inputs differ.</x:v>
      </x:c>
      <x:c r="N2" s="170" t="str">
        <x:v>Each row recalculates projected cash distributions, terminal value and dated PV. Commercial assumptions match the main model; only the row's share and margin-floor inputs differ.</x:v>
      </x:c>
      <x:c r="O2" s="170" t="str">
        <x:v>Each row recalculates projected cash distributions, terminal value and dated PV. Commercial assumptions match the main model; only the row's share and margin-floor inputs differ.</x:v>
      </x:c>
      <x:c r="P2" s="170" t="str">
        <x:v>Each row recalculates projected cash distributions, terminal value and dated PV. Commercial assumptions match the main model; only the row's share and margin-floor inputs differ.</x:v>
      </x:c>
      <x:c r="Q2" s="170" t="str">
        <x:v>Each row recalculates projected cash distributions, terminal value and dated PV. Commercial assumptions match the main model; only the row's share and margin-floor inputs differ.</x:v>
      </x:c>
      <x:c r="R2" s="170" t="str">
        <x:v>Each row recalculates projected cash distributions, terminal value and dated PV. Commercial assumptions match the main model; only the row's share and margin-floor inputs differ.</x:v>
      </x:c>
      <x:c r="S2" s="170" t="str">
        <x:v>Each row recalculates projected cash distributions, terminal value and dated PV. Commercial assumptions match the main model; only the row's share and margin-floor inputs differ.</x:v>
      </x:c>
      <x:c r="T2" s="170" t="str">
        <x:v>Each row recalculates projected cash distributions, terminal value and dated PV. Commercial assumptions match the main model; only the row's share and margin-floor inputs differ.</x:v>
      </x:c>
      <x:c r="U2" s="170" t="str">
        <x:v>Each row recalculates projected cash distributions, terminal value and dated PV. Commercial assumptions match the main model; only the row's share and margin-floor inputs differ.</x:v>
      </x:c>
      <x:c r="V2" s="170" t="str">
        <x:v>Each row recalculates projected cash distributions, terminal value and dated PV. Commercial assumptions match the main model; only the row's share and margin-floor inputs differ.</x:v>
      </x:c>
      <x:c r="W2" s="170" t="str">
        <x:v>Each row recalculates projected cash distributions, terminal value and dated PV. Commercial assumptions match the main model; only the row's share and margin-floor inputs differ.</x:v>
      </x:c>
      <x:c r="X2" s="170" t="str">
        <x:v>Each row recalculates projected cash distributions, terminal value and dated PV. Commercial assumptions match the main model; only the row's share and margin-floor inputs differ.</x:v>
      </x:c>
      <x:c r="Y2" s="170" t="str">
        <x:v>Each row recalculates projected cash distributions, terminal value and dated PV. Commercial assumptions match the main model; only the row's share and margin-floor inputs differ.</x:v>
      </x:c>
      <x:c r="Z2" s="170" t="str">
        <x:v>Each row recalculates projected cash distributions, terminal value and dated PV. Commercial assumptions match the main model; only the row's share and margin-floor inputs differ.</x:v>
      </x:c>
      <x:c r="AA2" s="170" t="str">
        <x:v>Each row recalculates projected cash distributions, terminal value and dated PV. Commercial assumptions match the main model; only the row's share and margin-floor inputs differ.</x:v>
      </x:c>
      <x:c r="AB2" s="169"/>
      <x:c r="AC2" s="169"/>
    </x:row>
    <x:row r="3" ht="20" customHeight="1">
      <x:c r="A3" s="170" t="str">
        <x:v>Each row recalculates projected cash distributions, terminal value and dated PV. Commercial assumptions match the main model; only the row's share and margin-floor inputs differ.</x:v>
      </x:c>
      <x:c r="B3" s="170" t="str">
        <x:v>Each row recalculates projected cash distributions, terminal value and dated PV. Commercial assumptions match the main model; only the row's share and margin-floor inputs differ.</x:v>
      </x:c>
      <x:c r="C3" s="170" t="str">
        <x:v>Each row recalculates projected cash distributions, terminal value and dated PV. Commercial assumptions match the main model; only the row's share and margin-floor inputs differ.</x:v>
      </x:c>
      <x:c r="D3" s="170" t="str">
        <x:v>Each row recalculates projected cash distributions, terminal value and dated PV. Commercial assumptions match the main model; only the row's share and margin-floor inputs differ.</x:v>
      </x:c>
      <x:c r="E3" s="170" t="str">
        <x:v>Each row recalculates projected cash distributions, terminal value and dated PV. Commercial assumptions match the main model; only the row's share and margin-floor inputs differ.</x:v>
      </x:c>
      <x:c r="F3" s="170" t="str">
        <x:v>Each row recalculates projected cash distributions, terminal value and dated PV. Commercial assumptions match the main model; only the row's share and margin-floor inputs differ.</x:v>
      </x:c>
      <x:c r="G3" s="170" t="str">
        <x:v>Each row recalculates projected cash distributions, terminal value and dated PV. Commercial assumptions match the main model; only the row's share and margin-floor inputs differ.</x:v>
      </x:c>
      <x:c r="H3" s="170" t="str">
        <x:v>Each row recalculates projected cash distributions, terminal value and dated PV. Commercial assumptions match the main model; only the row's share and margin-floor inputs differ.</x:v>
      </x:c>
      <x:c r="I3" s="170" t="str">
        <x:v>Each row recalculates projected cash distributions, terminal value and dated PV. Commercial assumptions match the main model; only the row's share and margin-floor inputs differ.</x:v>
      </x:c>
      <x:c r="J3" s="170" t="str">
        <x:v>Each row recalculates projected cash distributions, terminal value and dated PV. Commercial assumptions match the main model; only the row's share and margin-floor inputs differ.</x:v>
      </x:c>
      <x:c r="K3" s="170" t="str">
        <x:v>Each row recalculates projected cash distributions, terminal value and dated PV. Commercial assumptions match the main model; only the row's share and margin-floor inputs differ.</x:v>
      </x:c>
      <x:c r="L3" s="170" t="str">
        <x:v>Each row recalculates projected cash distributions, terminal value and dated PV. Commercial assumptions match the main model; only the row's share and margin-floor inputs differ.</x:v>
      </x:c>
      <x:c r="M3" s="170" t="str">
        <x:v>Each row recalculates projected cash distributions, terminal value and dated PV. Commercial assumptions match the main model; only the row's share and margin-floor inputs differ.</x:v>
      </x:c>
      <x:c r="N3" s="170" t="str">
        <x:v>Each row recalculates projected cash distributions, terminal value and dated PV. Commercial assumptions match the main model; only the row's share and margin-floor inputs differ.</x:v>
      </x:c>
      <x:c r="O3" s="170" t="str">
        <x:v>Each row recalculates projected cash distributions, terminal value and dated PV. Commercial assumptions match the main model; only the row's share and margin-floor inputs differ.</x:v>
      </x:c>
      <x:c r="P3" s="170" t="str">
        <x:v>Each row recalculates projected cash distributions, terminal value and dated PV. Commercial assumptions match the main model; only the row's share and margin-floor inputs differ.</x:v>
      </x:c>
      <x:c r="Q3" s="170" t="str">
        <x:v>Each row recalculates projected cash distributions, terminal value and dated PV. Commercial assumptions match the main model; only the row's share and margin-floor inputs differ.</x:v>
      </x:c>
      <x:c r="R3" s="170" t="str">
        <x:v>Each row recalculates projected cash distributions, terminal value and dated PV. Commercial assumptions match the main model; only the row's share and margin-floor inputs differ.</x:v>
      </x:c>
      <x:c r="S3" s="170" t="str">
        <x:v>Each row recalculates projected cash distributions, terminal value and dated PV. Commercial assumptions match the main model; only the row's share and margin-floor inputs differ.</x:v>
      </x:c>
      <x:c r="T3" s="170" t="str">
        <x:v>Each row recalculates projected cash distributions, terminal value and dated PV. Commercial assumptions match the main model; only the row's share and margin-floor inputs differ.</x:v>
      </x:c>
      <x:c r="U3" s="170" t="str">
        <x:v>Each row recalculates projected cash distributions, terminal value and dated PV. Commercial assumptions match the main model; only the row's share and margin-floor inputs differ.</x:v>
      </x:c>
      <x:c r="V3" s="170" t="str">
        <x:v>Each row recalculates projected cash distributions, terminal value and dated PV. Commercial assumptions match the main model; only the row's share and margin-floor inputs differ.</x:v>
      </x:c>
      <x:c r="W3" s="170" t="str">
        <x:v>Each row recalculates projected cash distributions, terminal value and dated PV. Commercial assumptions match the main model; only the row's share and margin-floor inputs differ.</x:v>
      </x:c>
      <x:c r="X3" s="170" t="str">
        <x:v>Each row recalculates projected cash distributions, terminal value and dated PV. Commercial assumptions match the main model; only the row's share and margin-floor inputs differ.</x:v>
      </x:c>
      <x:c r="Y3" s="170" t="str">
        <x:v>Each row recalculates projected cash distributions, terminal value and dated PV. Commercial assumptions match the main model; only the row's share and margin-floor inputs differ.</x:v>
      </x:c>
      <x:c r="Z3" s="170" t="str">
        <x:v>Each row recalculates projected cash distributions, terminal value and dated PV. Commercial assumptions match the main model; only the row's share and margin-floor inputs differ.</x:v>
      </x:c>
      <x:c r="AA3" s="170" t="str">
        <x:v>Each row recalculates projected cash distributions, terminal value and dated PV. Commercial assumptions match the main model; only the row's share and margin-floor inputs differ.</x:v>
      </x:c>
      <x:c r="AB3" s="169"/>
      <x:c r="AC3" s="169"/>
    </x:row>
    <x:row r="4" ht="34" customHeight="1">
      <x:c r="A4" s="212" t="str">
        <x:v>Case</x:v>
      </x:c>
      <x:c r="B4" s="212" t="str">
        <x:v>Share CY31+</x:v>
      </x:c>
      <x:c r="C4" s="212" t="str">
        <x:v>GM floor</x:v>
      </x:c>
      <x:c r="D4" s="212" t="str">
        <x:v>PV CY26–28</x:v>
      </x:c>
      <x:c r="E4" s="212" t="str">
        <x:v>PV CY29–45</x:v>
      </x:c>
      <x:c r="F4" s="212" t="str">
        <x:v>Terminal value</x:v>
      </x:c>
      <x:c r="G4" s="212" t="str">
        <x:v>PV terminal</x:v>
      </x:c>
      <x:c r="H4" s="212" t="str">
        <x:v>Dated equity PV</x:v>
      </x:c>
      <x:c r="I4" s="212" t="str">
        <x:v>US$/share</x:v>
      </x:c>
      <x:c r="J4" s="211"/>
      <x:c r="K4" s="213" t="n">
        <x:v>2029</x:v>
      </x:c>
      <x:c r="L4" s="213" t="n">
        <x:v>2030</x:v>
      </x:c>
      <x:c r="M4" s="213" t="n">
        <x:v>2031</x:v>
      </x:c>
      <x:c r="N4" s="213" t="n">
        <x:v>2032</x:v>
      </x:c>
      <x:c r="O4" s="213" t="n">
        <x:v>2033</x:v>
      </x:c>
      <x:c r="P4" s="213" t="n">
        <x:v>2034</x:v>
      </x:c>
      <x:c r="Q4" s="213" t="n">
        <x:v>2035</x:v>
      </x:c>
      <x:c r="R4" s="213" t="n">
        <x:v>2036</x:v>
      </x:c>
      <x:c r="S4" s="213" t="n">
        <x:v>2037</x:v>
      </x:c>
      <x:c r="T4" s="213" t="n">
        <x:v>2038</x:v>
      </x:c>
      <x:c r="U4" s="213" t="n">
        <x:v>2039</x:v>
      </x:c>
      <x:c r="V4" s="213" t="n">
        <x:v>2040</x:v>
      </x:c>
      <x:c r="W4" s="213" t="n">
        <x:v>2041</x:v>
      </x:c>
      <x:c r="X4" s="213" t="n">
        <x:v>2042</x:v>
      </x:c>
      <x:c r="Y4" s="213" t="n">
        <x:v>2043</x:v>
      </x:c>
      <x:c r="Z4" s="213" t="n">
        <x:v>2044</x:v>
      </x:c>
      <x:c r="AA4" s="213" t="n">
        <x:v>2045</x:v>
      </x:c>
      <x:c r="AB4" s="169"/>
      <x:c r="AC4" s="169"/>
    </x:row>
    <x:row r="5" ht="18" customHeight="1">
      <x:c r="A5" s="169"/>
      <x:c r="B5" s="169"/>
      <x:c r="C5" s="169"/>
      <x:c r="D5" s="169"/>
      <x:c r="E5" s="169"/>
      <x:c r="F5" s="169"/>
      <x:c r="G5" s="169"/>
      <x:c r="H5" s="169"/>
      <x:c r="I5" s="169"/>
      <x:c r="J5" s="169"/>
      <x:c r="K5" s="169"/>
      <x:c r="L5" s="169"/>
      <x:c r="M5" s="169"/>
      <x:c r="N5" s="169"/>
      <x:c r="O5" s="169"/>
      <x:c r="P5" s="169"/>
      <x:c r="Q5" s="169"/>
      <x:c r="R5" s="169"/>
      <x:c r="S5" s="169"/>
      <x:c r="T5" s="169"/>
      <x:c r="U5" s="169"/>
      <x:c r="V5" s="169"/>
      <x:c r="W5" s="169"/>
      <x:c r="X5" s="169"/>
      <x:c r="Y5" s="169"/>
      <x:c r="Z5" s="169"/>
      <x:c r="AA5" s="169"/>
      <x:c r="AB5" s="169"/>
      <x:c r="AC5" s="169"/>
    </x:row>
    <x:row r="6" ht="18" customHeight="1">
      <x:c r="A6" s="169" t="n">
        <x:v>1</x:v>
      </x:c>
      <x:c r="B6" s="174" t="n">
        <x:f>'Capa DCF - Base'!D97</x:f>
        <x:v>0.4</x:v>
      </x:c>
      <x:c r="C6" s="174" t="n">
        <x:f>'Capa DCF - Base'!E96</x:f>
        <x:v>0.58</x:v>
      </x:c>
      <x:c r="D6" s="169" t="n">
        <x:f>NPV('Capa DCF - Base'!$D$81,'Capa DCF - Base'!$G$79:$I$79)</x:f>
        <x:v>586118.0536624773</x:v>
      </x:c>
      <x:c r="E6" s="169" t="n">
        <x:f>NPV('Capa DCF - Base'!$D$81,K6:AA6)/(1+'Capa DCF - Base'!$D$81)^3</x:f>
        <x:v>2615215.9105047863</x:v>
      </x:c>
      <x:c r="F6" s="169" t="n">
        <x:f>IF('Audit &amp; Checks'!$D$10=1,AA6*(1+'Capa DCF - Base'!$D$83)/('Capa DCF - Base'!$D$81-'Capa DCF - Base'!$D$83),0)</x:f>
        <x:v>13443836.366013844</x:v>
      </x:c>
      <x:c r="G6" s="169" t="n">
        <x:f>F6/(1+'Capa DCF - Base'!$D$81)^'Audit &amp; Checks'!$D$7</x:f>
        <x:v>1998340.6120072142</x:v>
      </x:c>
      <x:c r="H6" s="169" t="n">
        <x:f>SUM(D6:E6,G6)*'Audit &amp; Checks'!$D$9</x:f>
        <x:v>5533073.79918262</x:v>
      </x:c>
      <x:c r="I6" s="173" t="n">
        <x:f>IF('Audit &amp; Checks'!$D$10=1,H6/'Capa DCF - Base'!$D$86,0)</x:f>
        <x:v>229.58812444741162</x:v>
      </x:c>
      <x:c r="J6" s="169"/>
      <x:c r="K6" s="169" t="n">
        <x:f>('Capa DCF - Base'!J$6*(1-'Capa DCF - Base'!J$13-'Capa DCF - Base'!J$14)*'Capa DCF - Base'!J$53*(1+'Audit &amp; Checks'!$D$19)+'Capa DCF - Base'!J$57)*(MAX($C6,'Capa DCF - Base'!$I$61-1*'Audit &amp; Checks'!$D$18)-'Capa DCF - Base'!J$67)*(1-'Capa DCF - Base'!J$71)*'Capa DCF - Base'!J$78</x:f>
        <x:v>403773.32274527336</x:v>
      </x:c>
      <x:c r="L6" s="169" t="n">
        <x:f>('Capa DCF - Base'!K$6*(1-'Capa DCF - Base'!K$13-'Capa DCF - Base'!K$14)*'Capa DCF - Base'!K$53*(1+'Audit &amp; Checks'!$D$19)+'Capa DCF - Base'!K$57)*(MAX($C6,'Capa DCF - Base'!$I$61-2*'Audit &amp; Checks'!$D$18)-'Capa DCF - Base'!K$67)*(1-'Capa DCF - Base'!K$71)*'Capa DCF - Base'!K$78</x:f>
        <x:v>384968.63749367814</x:v>
      </x:c>
      <x:c r="M6" s="169" t="n">
        <x:f>('Capa DCF - Base'!L$6*(1-'Capa DCF - Base'!L$13-'Capa DCF - Base'!L$14)*$B6*(1+'Audit &amp; Checks'!$D$19)+'Capa DCF - Base'!L$57)*(MAX($C6,'Capa DCF - Base'!$I$61-3*'Audit &amp; Checks'!$D$18)-'Capa DCF - Base'!L$67)*(1-'Capa DCF - Base'!L$71)*'Capa DCF - Base'!L$78</x:f>
        <x:v>302648.2625398841</x:v>
      </x:c>
      <x:c r="N6" s="169" t="n">
        <x:f>('Capa DCF - Base'!M$6*(1-'Capa DCF - Base'!M$13-'Capa DCF - Base'!M$14)*$B6*(1+'Audit &amp; Checks'!$D$19)+'Capa DCF - Base'!M$57)*(MAX($C6,'Capa DCF - Base'!$I$61-4*'Audit &amp; Checks'!$D$18)-'Capa DCF - Base'!M$67)*(1-'Capa DCF - Base'!M$71)*'Capa DCF - Base'!M$78</x:f>
        <x:v>322681.198613453</x:v>
      </x:c>
      <x:c r="O6" s="169" t="n">
        <x:f>('Capa DCF - Base'!N$6*(1-'Capa DCF - Base'!N$13-'Capa DCF - Base'!N$14)*$B6*(1+'Audit &amp; Checks'!$D$19)+'Capa DCF - Base'!N$57)*(MAX($C6,'Capa DCF - Base'!$I$61-5*'Audit &amp; Checks'!$D$18)-'Capa DCF - Base'!N$67)*(1-'Capa DCF - Base'!N$71)*'Capa DCF - Base'!N$78</x:f>
        <x:v>343556.5724816852</x:v>
      </x:c>
      <x:c r="P6" s="169" t="n">
        <x:f>('Capa DCF - Base'!O$6*(1-'Capa DCF - Base'!O$13-'Capa DCF - Base'!O$14)*$B6*(1+'Audit &amp; Checks'!$D$19)+'Capa DCF - Base'!O$57)*(MAX($C6,'Capa DCF - Base'!$I$61-6*'Audit &amp; Checks'!$D$18)-'Capa DCF - Base'!O$67)*(1-'Capa DCF - Base'!O$71)*'Capa DCF - Base'!O$78</x:f>
        <x:v>356893.16014218115</x:v>
      </x:c>
      <x:c r="Q6" s="169" t="n">
        <x:f>('Capa DCF - Base'!P$6*(1-'Capa DCF - Base'!P$13-'Capa DCF - Base'!P$14)*$B6*(1+'Audit &amp; Checks'!$D$19)+'Capa DCF - Base'!P$57)*(MAX($C6,'Capa DCF - Base'!$I$61-7*'Audit &amp; Checks'!$D$18)-'Capa DCF - Base'!P$67)*(1-'Capa DCF - Base'!P$71)*'Capa DCF - Base'!P$78</x:f>
        <x:v>370305.6188108228</x:v>
      </x:c>
      <x:c r="R6" s="169" t="n">
        <x:f>('Capa DCF - Base'!Q$6*(1-'Capa DCF - Base'!Q$13-'Capa DCF - Base'!Q$14)*$B6*(1+'Audit &amp; Checks'!$D$19)+'Capa DCF - Base'!Q$57)*(MAX($C6,'Capa DCF - Base'!$I$61-8*'Audit &amp; Checks'!$D$18)-'Capa DCF - Base'!Q$67)*(1-'Capa DCF - Base'!Q$71)*'Capa DCF - Base'!Q$78</x:f>
        <x:v>399066.800578643</x:v>
      </x:c>
      <x:c r="S6" s="169" t="n">
        <x:f>('Capa DCF - Base'!R$6*(1-'Capa DCF - Base'!R$13-'Capa DCF - Base'!R$14)*$B6*(1+'Audit &amp; Checks'!$D$19)+'Capa DCF - Base'!R$57)*(MAX($C6,'Capa DCF - Base'!$I$61-9*'Audit &amp; Checks'!$D$18)-'Capa DCF - Base'!R$67)*(1-'Capa DCF - Base'!R$71)*'Capa DCF - Base'!R$78</x:f>
        <x:v>430128.8768878889</x:v>
      </x:c>
      <x:c r="T6" s="169" t="n">
        <x:f>('Capa DCF - Base'!S$6*(1-'Capa DCF - Base'!S$13-'Capa DCF - Base'!S$14)*$B6*(1+'Audit &amp; Checks'!$D$19)+'Capa DCF - Base'!S$57)*(MAX($C6,'Capa DCF - Base'!$I$61-10*'Audit &amp; Checks'!$D$18)-'Capa DCF - Base'!S$67)*(1-'Capa DCF - Base'!S$71)*'Capa DCF - Base'!S$78</x:f>
        <x:v>463675.91930187424</x:v>
      </x:c>
      <x:c r="U6" s="169" t="n">
        <x:f>('Capa DCF - Base'!T$6*(1-'Capa DCF - Base'!T$13-'Capa DCF - Base'!T$14)*$B6*(1+'Audit &amp; Checks'!$D$19)+'Capa DCF - Base'!T$57)*(MAX($C6,'Capa DCF - Base'!$I$61-11*'Audit &amp; Checks'!$D$18)-'Capa DCF - Base'!T$67)*(1-'Capa DCF - Base'!T$71)*'Capa DCF - Base'!T$78</x:f>
        <x:v>499906.72510897863</x:v>
      </x:c>
      <x:c r="V6" s="169" t="n">
        <x:f>('Capa DCF - Base'!U$6*(1-'Capa DCF - Base'!U$13-'Capa DCF - Base'!U$14)*$B6*(1+'Audit &amp; Checks'!$D$19)+'Capa DCF - Base'!U$57)*(MAX($C6,'Capa DCF - Base'!$I$61-12*'Audit &amp; Checks'!$D$18)-'Capa DCF - Base'!U$67)*(1-'Capa DCF - Base'!U$71)*'Capa DCF - Base'!U$78</x:f>
        <x:v>539035.9953806513</x:v>
      </x:c>
      <x:c r="W6" s="169" t="n">
        <x:f>('Capa DCF - Base'!V$6*(1-'Capa DCF - Base'!V$13-'Capa DCF - Base'!V$14)*$B6*(1+'Audit &amp; Checks'!$D$19)+'Capa DCF - Base'!V$57)*(MAX($C6,'Capa DCF - Base'!$I$61-13*'Audit &amp; Checks'!$D$18)-'Capa DCF - Base'!V$67)*(1-'Capa DCF - Base'!V$71)*'Capa DCF - Base'!V$78</x:f>
        <x:v>581295.6072740577</x:v>
      </x:c>
      <x:c r="X6" s="169" t="n">
        <x:f>('Capa DCF - Base'!W$6*(1-'Capa DCF - Base'!W$13-'Capa DCF - Base'!W$14)*$B6*(1+'Audit &amp; Checks'!$D$19)+'Capa DCF - Base'!W$57)*(MAX($C6,'Capa DCF - Base'!$I$61-14*'Audit &amp; Checks'!$D$18)-'Capa DCF - Base'!W$67)*(1-'Capa DCF - Base'!W$71)*'Capa DCF - Base'!W$78</x:f>
        <x:v>626935.9881189367</x:v>
      </x:c>
      <x:c r="Y6" s="169" t="n">
        <x:f>('Capa DCF - Base'!X$6*(1-'Capa DCF - Base'!X$13-'Capa DCF - Base'!X$14)*$B6*(1+'Audit &amp; Checks'!$D$19)+'Capa DCF - Base'!X$57)*(MAX($C6,'Capa DCF - Base'!$I$61-15*'Audit &amp; Checks'!$D$18)-'Capa DCF - Base'!X$67)*(1-'Capa DCF - Base'!X$71)*'Capa DCF - Base'!X$78</x:f>
        <x:v>676227.5994314062</x:v>
      </x:c>
      <x:c r="Z6" s="169" t="n">
        <x:f>('Capa DCF - Base'!Y$6*(1-'Capa DCF - Base'!Y$13-'Capa DCF - Base'!Y$14)*$B6*(1+'Audit &amp; Checks'!$D$19)+'Capa DCF - Base'!Y$57)*(MAX($C6,'Capa DCF - Base'!$I$61-16*'Audit &amp; Checks'!$D$18)-'Capa DCF - Base'!Y$67)*(1-'Capa DCF - Base'!Y$71)*'Capa DCF - Base'!Y$78</x:f>
        <x:v>729462.5396488733</x:v>
      </x:c>
      <x:c r="AA6" s="169" t="n">
        <x:f>('Capa DCF - Base'!Z$6*(1-'Capa DCF - Base'!Z$13-'Capa DCF - Base'!Z$14)*$B6*(1+'Audit &amp; Checks'!$D$19)+'Capa DCF - Base'!Z$57)*(MAX($C6,'Capa DCF - Base'!$I$61-17*'Audit &amp; Checks'!$D$18)-'Capa DCF - Base'!Z$67)*(1-'Capa DCF - Base'!Z$71)*'Capa DCF - Base'!Z$78</x:f>
        <x:v>983695.3438546717</x:v>
      </x:c>
      <x:c r="AB6" s="169"/>
      <x:c r="AC6" s="169"/>
    </x:row>
    <x:row r="7" ht="18" customHeight="1">
      <x:c r="A7" s="169" t="n">
        <x:v>2</x:v>
      </x:c>
      <x:c r="B7" s="174" t="n">
        <x:f>'Capa DCF - Base'!D97</x:f>
        <x:v>0.4</x:v>
      </x:c>
      <x:c r="C7" s="174" t="n">
        <x:f>'Capa DCF - Base'!F96</x:f>
        <x:v>0.6</x:v>
      </x:c>
      <x:c r="D7" s="169" t="n">
        <x:f>NPV('Capa DCF - Base'!$D$81,'Capa DCF - Base'!$G$79:$I$79)</x:f>
        <x:v>586118.0536624773</x:v>
      </x:c>
      <x:c r="E7" s="169" t="n">
        <x:f>NPV('Capa DCF - Base'!$D$81,K7:AA7)/(1+'Capa DCF - Base'!$D$81)^3</x:f>
        <x:v>2671075.3457264286</x:v>
      </x:c>
      <x:c r="F7" s="169" t="n">
        <x:f>IF('Audit &amp; Checks'!$D$10=1,AA7*(1+'Capa DCF - Base'!$D$83)/('Capa DCF - Base'!$D$81-'Capa DCF - Base'!$D$83),0)</x:f>
        <x:v>13960906.995475914</x:v>
      </x:c>
      <x:c r="G7" s="169" t="n">
        <x:f>F7/(1+'Capa DCF - Base'!$D$81)^'Audit &amp; Checks'!$D$7</x:f>
        <x:v>2075199.866315184</x:v>
      </x:c>
      <x:c r="H7" s="169" t="n">
        <x:f>SUM(D7:E7,G7)*'Audit &amp; Checks'!$D$9</x:f>
        <x:v>5674302.311263548</x:v>
      </x:c>
      <x:c r="I7" s="173" t="n">
        <x:f>IF('Audit &amp; Checks'!$D$10=1,H7/'Capa DCF - Base'!$D$86,0)</x:f>
        <x:v>235.44822868313477</x:v>
      </x:c>
      <x:c r="J7" s="169"/>
      <x:c r="K7" s="169" t="n">
        <x:f>('Capa DCF - Base'!J$6*(1-'Capa DCF - Base'!J$13-'Capa DCF - Base'!J$14)*'Capa DCF - Base'!J$53*(1+'Audit &amp; Checks'!$D$19)+'Capa DCF - Base'!J$57)*(MAX($C7,'Capa DCF - Base'!$I$61-1*'Audit &amp; Checks'!$D$18)-'Capa DCF - Base'!J$67)*(1-'Capa DCF - Base'!J$71)*'Capa DCF - Base'!J$78</x:f>
        <x:v>403773.32274527336</x:v>
      </x:c>
      <x:c r="L7" s="169" t="n">
        <x:f>('Capa DCF - Base'!K$6*(1-'Capa DCF - Base'!K$13-'Capa DCF - Base'!K$14)*'Capa DCF - Base'!K$53*(1+'Audit &amp; Checks'!$D$19)+'Capa DCF - Base'!K$57)*(MAX($C7,'Capa DCF - Base'!$I$61-2*'Audit &amp; Checks'!$D$18)-'Capa DCF - Base'!K$67)*(1-'Capa DCF - Base'!K$71)*'Capa DCF - Base'!K$78</x:f>
        <x:v>384968.63749367814</x:v>
      </x:c>
      <x:c r="M7" s="169" t="n">
        <x:f>('Capa DCF - Base'!L$6*(1-'Capa DCF - Base'!L$13-'Capa DCF - Base'!L$14)*$B7*(1+'Audit &amp; Checks'!$D$19)+'Capa DCF - Base'!L$57)*(MAX($C7,'Capa DCF - Base'!$I$61-3*'Audit &amp; Checks'!$D$18)-'Capa DCF - Base'!L$67)*(1-'Capa DCF - Base'!L$71)*'Capa DCF - Base'!L$78</x:f>
        <x:v>302648.2625398841</x:v>
      </x:c>
      <x:c r="N7" s="169" t="n">
        <x:f>('Capa DCF - Base'!M$6*(1-'Capa DCF - Base'!M$13-'Capa DCF - Base'!M$14)*$B7*(1+'Audit &amp; Checks'!$D$19)+'Capa DCF - Base'!M$57)*(MAX($C7,'Capa DCF - Base'!$I$61-4*'Audit &amp; Checks'!$D$18)-'Capa DCF - Base'!M$67)*(1-'Capa DCF - Base'!M$71)*'Capa DCF - Base'!M$78</x:f>
        <x:v>322681.198613453</x:v>
      </x:c>
      <x:c r="O7" s="169" t="n">
        <x:f>('Capa DCF - Base'!N$6*(1-'Capa DCF - Base'!N$13-'Capa DCF - Base'!N$14)*$B7*(1+'Audit &amp; Checks'!$D$19)+'Capa DCF - Base'!N$57)*(MAX($C7,'Capa DCF - Base'!$I$61-5*'Audit &amp; Checks'!$D$18)-'Capa DCF - Base'!N$67)*(1-'Capa DCF - Base'!N$71)*'Capa DCF - Base'!N$78</x:f>
        <x:v>343556.5724816852</x:v>
      </x:c>
      <x:c r="P7" s="169" t="n">
        <x:f>('Capa DCF - Base'!O$6*(1-'Capa DCF - Base'!O$13-'Capa DCF - Base'!O$14)*$B7*(1+'Audit &amp; Checks'!$D$19)+'Capa DCF - Base'!O$57)*(MAX($C7,'Capa DCF - Base'!$I$61-6*'Audit &amp; Checks'!$D$18)-'Capa DCF - Base'!O$67)*(1-'Capa DCF - Base'!O$71)*'Capa DCF - Base'!O$78</x:f>
        <x:v>356893.16014218115</x:v>
      </x:c>
      <x:c r="Q7" s="169" t="n">
        <x:f>('Capa DCF - Base'!P$6*(1-'Capa DCF - Base'!P$13-'Capa DCF - Base'!P$14)*$B7*(1+'Audit &amp; Checks'!$D$19)+'Capa DCF - Base'!P$57)*(MAX($C7,'Capa DCF - Base'!$I$61-7*'Audit &amp; Checks'!$D$18)-'Capa DCF - Base'!P$67)*(1-'Capa DCF - Base'!P$71)*'Capa DCF - Base'!P$78</x:f>
        <x:v>384548.14261123905</x:v>
      </x:c>
      <x:c r="R7" s="169" t="n">
        <x:f>('Capa DCF - Base'!Q$6*(1-'Capa DCF - Base'!Q$13-'Capa DCF - Base'!Q$14)*$B7*(1+'Audit &amp; Checks'!$D$19)+'Capa DCF - Base'!Q$57)*(MAX($C7,'Capa DCF - Base'!$I$61-8*'Audit &amp; Checks'!$D$18)-'Capa DCF - Base'!Q$67)*(1-'Capa DCF - Base'!Q$71)*'Capa DCF - Base'!Q$78</x:f>
        <x:v>414415.5236778216</x:v>
      </x:c>
      <x:c r="S7" s="169" t="n">
        <x:f>('Capa DCF - Base'!R$6*(1-'Capa DCF - Base'!R$13-'Capa DCF - Base'!R$14)*$B7*(1+'Audit &amp; Checks'!$D$19)+'Capa DCF - Base'!R$57)*(MAX($C7,'Capa DCF - Base'!$I$61-9*'Audit &amp; Checks'!$D$18)-'Capa DCF - Base'!R$67)*(1-'Capa DCF - Base'!R$71)*'Capa DCF - Base'!R$78</x:f>
        <x:v>446672.29522973066</x:v>
      </x:c>
      <x:c r="T7" s="169" t="n">
        <x:f>('Capa DCF - Base'!S$6*(1-'Capa DCF - Base'!S$13-'Capa DCF - Base'!S$14)*$B7*(1+'Audit &amp; Checks'!$D$19)+'Capa DCF - Base'!S$57)*(MAX($C7,'Capa DCF - Base'!$I$61-10*'Audit &amp; Checks'!$D$18)-'Capa DCF - Base'!S$67)*(1-'Capa DCF - Base'!S$71)*'Capa DCF - Base'!S$78</x:f>
        <x:v>481509.60850579245</x:v>
      </x:c>
      <x:c r="U7" s="169" t="n">
        <x:f>('Capa DCF - Base'!T$6*(1-'Capa DCF - Base'!T$13-'Capa DCF - Base'!T$14)*$B7*(1+'Audit &amp; Checks'!$D$19)+'Capa DCF - Base'!T$57)*(MAX($C7,'Capa DCF - Base'!$I$61-11*'Audit &amp; Checks'!$D$18)-'Capa DCF - Base'!T$67)*(1-'Capa DCF - Base'!T$71)*'Capa DCF - Base'!T$78</x:f>
        <x:v>519133.9068439393</x:v>
      </x:c>
      <x:c r="V7" s="169" t="n">
        <x:f>('Capa DCF - Base'!U$6*(1-'Capa DCF - Base'!U$13-'Capa DCF - Base'!U$14)*$B7*(1+'Audit &amp; Checks'!$D$19)+'Capa DCF - Base'!U$57)*(MAX($C7,'Capa DCF - Base'!$I$61-12*'Audit &amp; Checks'!$D$18)-'Capa DCF - Base'!U$67)*(1-'Capa DCF - Base'!U$71)*'Capa DCF - Base'!U$78</x:f>
        <x:v>559768.1490491378</x:v>
      </x:c>
      <x:c r="W7" s="169" t="n">
        <x:f>('Capa DCF - Base'!V$6*(1-'Capa DCF - Base'!V$13-'Capa DCF - Base'!V$14)*$B7*(1+'Audit &amp; Checks'!$D$19)+'Capa DCF - Base'!V$57)*(MAX($C7,'Capa DCF - Base'!$I$61-13*'Audit &amp; Checks'!$D$18)-'Capa DCF - Base'!V$67)*(1-'Capa DCF - Base'!V$71)*'Capa DCF - Base'!V$78</x:f>
        <x:v>603653.1306307524</x:v>
      </x:c>
      <x:c r="X7" s="169" t="n">
        <x:f>('Capa DCF - Base'!W$6*(1-'Capa DCF - Base'!W$13-'Capa DCF - Base'!W$14)*$B7*(1+'Audit &amp; Checks'!$D$19)+'Capa DCF - Base'!W$57)*(MAX($C7,'Capa DCF - Base'!$I$61-14*'Audit &amp; Checks'!$D$18)-'Capa DCF - Base'!W$67)*(1-'Capa DCF - Base'!W$71)*'Capa DCF - Base'!W$78</x:f>
        <x:v>651048.910738896</x:v>
      </x:c>
      <x:c r="Y7" s="169" t="n">
        <x:f>('Capa DCF - Base'!X$6*(1-'Capa DCF - Base'!X$13-'Capa DCF - Base'!X$14)*$B7*(1+'Audit &amp; Checks'!$D$19)+'Capa DCF - Base'!X$57)*(MAX($C7,'Capa DCF - Base'!$I$61-15*'Audit &amp; Checks'!$D$18)-'Capa DCF - Base'!X$67)*(1-'Capa DCF - Base'!X$71)*'Capa DCF - Base'!X$78</x:f>
        <x:v>702236.3532556911</x:v>
      </x:c>
      <x:c r="Z7" s="169" t="n">
        <x:f>('Capa DCF - Base'!Y$6*(1-'Capa DCF - Base'!Y$13-'Capa DCF - Base'!Y$14)*$B7*(1+'Audit &amp; Checks'!$D$19)+'Capa DCF - Base'!Y$57)*(MAX($C7,'Capa DCF - Base'!$I$61-16*'Audit &amp; Checks'!$D$18)-'Capa DCF - Base'!Y$67)*(1-'Capa DCF - Base'!Y$71)*'Capa DCF - Base'!Y$78</x:f>
        <x:v>757518.7911738298</x:v>
      </x:c>
      <x:c r="AA7" s="169" t="n">
        <x:f>('Capa DCF - Base'!Z$6*(1-'Capa DCF - Base'!Z$13-'Capa DCF - Base'!Z$14)*$B7*(1+'Audit &amp; Checks'!$D$19)+'Capa DCF - Base'!Z$57)*(MAX($C7,'Capa DCF - Base'!$I$61-17*'Audit &amp; Checks'!$D$18)-'Capa DCF - Base'!Z$67)*(1-'Capa DCF - Base'!Z$71)*'Capa DCF - Base'!Z$78</x:f>
        <x:v>1021529.7801567744</x:v>
      </x:c>
      <x:c r="AB7" s="169"/>
      <x:c r="AC7" s="169"/>
    </x:row>
    <x:row r="8" ht="18" customHeight="1">
      <x:c r="A8" s="169" t="n">
        <x:v>3</x:v>
      </x:c>
      <x:c r="B8" s="174" t="n">
        <x:f>'Capa DCF - Base'!D97</x:f>
        <x:v>0.4</x:v>
      </x:c>
      <x:c r="C8" s="174" t="n">
        <x:f>'Capa DCF - Base'!G96</x:f>
        <x:v>0.62</x:v>
      </x:c>
      <x:c r="D8" s="169" t="n">
        <x:f>NPV('Capa DCF - Base'!$D$81,'Capa DCF - Base'!$G$79:$I$79)</x:f>
        <x:v>586118.0536624773</x:v>
      </x:c>
      <x:c r="E8" s="169" t="n">
        <x:f>NPV('Capa DCF - Base'!$D$81,K8:AA8)/(1+'Capa DCF - Base'!$D$81)^3</x:f>
        <x:v>2732540.6157343574</x:v>
      </x:c>
      <x:c r="F8" s="169" t="n">
        <x:f>IF('Audit &amp; Checks'!$D$10=1,AA8*(1+'Capa DCF - Base'!$D$83)/('Capa DCF - Base'!$D$81-'Capa DCF - Base'!$D$83),0)</x:f>
        <x:v>14477977.624937987</x:v>
      </x:c>
      <x:c r="G8" s="169" t="n">
        <x:f>F8/(1+'Capa DCF - Base'!$D$81)^'Audit &amp; Checks'!$D$7</x:f>
        <x:v>2152059.120623154</x:v>
      </x:c>
      <x:c r="H8" s="169" t="n">
        <x:f>SUM(D8:E8,G8)*'Audit &amp; Checks'!$D$9</x:f>
        <x:v>5821496.100040959</x:v>
      </x:c>
      <x:c r="I8" s="173" t="n">
        <x:f>IF('Audit &amp; Checks'!$D$10=1,H8/'Capa DCF - Base'!$D$86,0)</x:f>
        <x:v>241.5558547734838</x:v>
      </x:c>
      <x:c r="J8" s="169"/>
      <x:c r="K8" s="169" t="n">
        <x:f>('Capa DCF - Base'!J$6*(1-'Capa DCF - Base'!J$13-'Capa DCF - Base'!J$14)*'Capa DCF - Base'!J$53*(1+'Audit &amp; Checks'!$D$19)+'Capa DCF - Base'!J$57)*(MAX($C8,'Capa DCF - Base'!$I$61-1*'Audit &amp; Checks'!$D$18)-'Capa DCF - Base'!J$67)*(1-'Capa DCF - Base'!J$71)*'Capa DCF - Base'!J$78</x:f>
        <x:v>403773.32274527336</x:v>
      </x:c>
      <x:c r="L8" s="169" t="n">
        <x:f>('Capa DCF - Base'!K$6*(1-'Capa DCF - Base'!K$13-'Capa DCF - Base'!K$14)*'Capa DCF - Base'!K$53*(1+'Audit &amp; Checks'!$D$19)+'Capa DCF - Base'!K$57)*(MAX($C8,'Capa DCF - Base'!$I$61-2*'Audit &amp; Checks'!$D$18)-'Capa DCF - Base'!K$67)*(1-'Capa DCF - Base'!K$71)*'Capa DCF - Base'!K$78</x:f>
        <x:v>384968.63749367814</x:v>
      </x:c>
      <x:c r="M8" s="169" t="n">
        <x:f>('Capa DCF - Base'!L$6*(1-'Capa DCF - Base'!L$13-'Capa DCF - Base'!L$14)*$B8*(1+'Audit &amp; Checks'!$D$19)+'Capa DCF - Base'!L$57)*(MAX($C8,'Capa DCF - Base'!$I$61-3*'Audit &amp; Checks'!$D$18)-'Capa DCF - Base'!L$67)*(1-'Capa DCF - Base'!L$71)*'Capa DCF - Base'!L$78</x:f>
        <x:v>302648.2625398841</x:v>
      </x:c>
      <x:c r="N8" s="169" t="n">
        <x:f>('Capa DCF - Base'!M$6*(1-'Capa DCF - Base'!M$13-'Capa DCF - Base'!M$14)*$B8*(1+'Audit &amp; Checks'!$D$19)+'Capa DCF - Base'!M$57)*(MAX($C8,'Capa DCF - Base'!$I$61-4*'Audit &amp; Checks'!$D$18)-'Capa DCF - Base'!M$67)*(1-'Capa DCF - Base'!M$71)*'Capa DCF - Base'!M$78</x:f>
        <x:v>322681.198613453</x:v>
      </x:c>
      <x:c r="O8" s="169" t="n">
        <x:f>('Capa DCF - Base'!N$6*(1-'Capa DCF - Base'!N$13-'Capa DCF - Base'!N$14)*$B8*(1+'Audit &amp; Checks'!$D$19)+'Capa DCF - Base'!N$57)*(MAX($C8,'Capa DCF - Base'!$I$61-5*'Audit &amp; Checks'!$D$18)-'Capa DCF - Base'!N$67)*(1-'Capa DCF - Base'!N$71)*'Capa DCF - Base'!N$78</x:f>
        <x:v>343556.5724816852</x:v>
      </x:c>
      <x:c r="P8" s="169" t="n">
        <x:f>('Capa DCF - Base'!O$6*(1-'Capa DCF - Base'!O$13-'Capa DCF - Base'!O$14)*$B8*(1+'Audit &amp; Checks'!$D$19)+'Capa DCF - Base'!O$57)*(MAX($C8,'Capa DCF - Base'!$I$61-6*'Audit &amp; Checks'!$D$18)-'Capa DCF - Base'!O$67)*(1-'Capa DCF - Base'!O$71)*'Capa DCF - Base'!O$78</x:f>
        <x:v>370111.4253326324</x:v>
      </x:c>
      <x:c r="Q8" s="169" t="n">
        <x:f>('Capa DCF - Base'!P$6*(1-'Capa DCF - Base'!P$13-'Capa DCF - Base'!P$14)*$B8*(1+'Audit &amp; Checks'!$D$19)+'Capa DCF - Base'!P$57)*(MAX($C8,'Capa DCF - Base'!$I$61-7*'Audit &amp; Checks'!$D$18)-'Capa DCF - Base'!P$67)*(1-'Capa DCF - Base'!P$71)*'Capa DCF - Base'!P$78</x:f>
        <x:v>398790.6664116553</x:v>
      </x:c>
      <x:c r="R8" s="169" t="n">
        <x:f>('Capa DCF - Base'!Q$6*(1-'Capa DCF - Base'!Q$13-'Capa DCF - Base'!Q$14)*$B8*(1+'Audit &amp; Checks'!$D$19)+'Capa DCF - Base'!Q$57)*(MAX($C8,'Capa DCF - Base'!$I$61-8*'Audit &amp; Checks'!$D$18)-'Capa DCF - Base'!Q$67)*(1-'Capa DCF - Base'!Q$71)*'Capa DCF - Base'!Q$78</x:f>
        <x:v>429764.2467770002</x:v>
      </x:c>
      <x:c r="S8" s="169" t="n">
        <x:f>('Capa DCF - Base'!R$6*(1-'Capa DCF - Base'!R$13-'Capa DCF - Base'!R$14)*$B8*(1+'Audit &amp; Checks'!$D$19)+'Capa DCF - Base'!R$57)*(MAX($C8,'Capa DCF - Base'!$I$61-9*'Audit &amp; Checks'!$D$18)-'Capa DCF - Base'!R$67)*(1-'Capa DCF - Base'!R$71)*'Capa DCF - Base'!R$78</x:f>
        <x:v>463215.7135715726</x:v>
      </x:c>
      <x:c r="T8" s="169" t="n">
        <x:f>('Capa DCF - Base'!S$6*(1-'Capa DCF - Base'!S$13-'Capa DCF - Base'!S$14)*$B8*(1+'Audit &amp; Checks'!$D$19)+'Capa DCF - Base'!S$57)*(MAX($C8,'Capa DCF - Base'!$I$61-10*'Audit &amp; Checks'!$D$18)-'Capa DCF - Base'!S$67)*(1-'Capa DCF - Base'!S$71)*'Capa DCF - Base'!S$78</x:f>
        <x:v>499343.29770971084</x:v>
      </x:c>
      <x:c r="U8" s="169" t="n">
        <x:f>('Capa DCF - Base'!T$6*(1-'Capa DCF - Base'!T$13-'Capa DCF - Base'!T$14)*$B8*(1+'Audit &amp; Checks'!$D$19)+'Capa DCF - Base'!T$57)*(MAX($C8,'Capa DCF - Base'!$I$61-11*'Audit &amp; Checks'!$D$18)-'Capa DCF - Base'!T$67)*(1-'Capa DCF - Base'!T$71)*'Capa DCF - Base'!T$78</x:f>
        <x:v>538361.0885789001</x:v>
      </x:c>
      <x:c r="V8" s="169" t="n">
        <x:f>('Capa DCF - Base'!U$6*(1-'Capa DCF - Base'!U$13-'Capa DCF - Base'!U$14)*$B8*(1+'Audit &amp; Checks'!$D$19)+'Capa DCF - Base'!U$57)*(MAX($C8,'Capa DCF - Base'!$I$61-12*'Audit &amp; Checks'!$D$18)-'Capa DCF - Base'!U$67)*(1-'Capa DCF - Base'!U$71)*'Capa DCF - Base'!U$78</x:f>
        <x:v>580500.3027176245</x:v>
      </x:c>
      <x:c r="W8" s="169" t="n">
        <x:f>('Capa DCF - Base'!V$6*(1-'Capa DCF - Base'!V$13-'Capa DCF - Base'!V$14)*$B8*(1+'Audit &amp; Checks'!$D$19)+'Capa DCF - Base'!V$57)*(MAX($C8,'Capa DCF - Base'!$I$61-13*'Audit &amp; Checks'!$D$18)-'Capa DCF - Base'!V$67)*(1-'Capa DCF - Base'!V$71)*'Capa DCF - Base'!V$78</x:f>
        <x:v>626010.6539874469</x:v>
      </x:c>
      <x:c r="X8" s="169" t="n">
        <x:f>('Capa DCF - Base'!W$6*(1-'Capa DCF - Base'!W$13-'Capa DCF - Base'!W$14)*$B8*(1+'Audit &amp; Checks'!$D$19)+'Capa DCF - Base'!W$57)*(MAX($C8,'Capa DCF - Base'!$I$61-14*'Audit &amp; Checks'!$D$18)-'Capa DCF - Base'!W$67)*(1-'Capa DCF - Base'!W$71)*'Capa DCF - Base'!W$78</x:f>
        <x:v>675161.833358855</x:v>
      </x:c>
      <x:c r="Y8" s="169" t="n">
        <x:f>('Capa DCF - Base'!X$6*(1-'Capa DCF - Base'!X$13-'Capa DCF - Base'!X$14)*$B8*(1+'Audit &amp; Checks'!$D$19)+'Capa DCF - Base'!X$57)*(MAX($C8,'Capa DCF - Base'!$I$61-15*'Audit &amp; Checks'!$D$18)-'Capa DCF - Base'!X$67)*(1-'Capa DCF - Base'!X$71)*'Capa DCF - Base'!X$78</x:f>
        <x:v>728245.1070799759</x:v>
      </x:c>
      <x:c r="Z8" s="169" t="n">
        <x:f>('Capa DCF - Base'!Y$6*(1-'Capa DCF - Base'!Y$13-'Capa DCF - Base'!Y$14)*$B8*(1+'Audit &amp; Checks'!$D$19)+'Capa DCF - Base'!Y$57)*(MAX($C8,'Capa DCF - Base'!$I$61-16*'Audit &amp; Checks'!$D$18)-'Capa DCF - Base'!Y$67)*(1-'Capa DCF - Base'!Y$71)*'Capa DCF - Base'!Y$78</x:f>
        <x:v>785575.0426987866</x:v>
      </x:c>
      <x:c r="AA8" s="169" t="n">
        <x:f>('Capa DCF - Base'!Z$6*(1-'Capa DCF - Base'!Z$13-'Capa DCF - Base'!Z$14)*$B8*(1+'Audit &amp; Checks'!$D$19)+'Capa DCF - Base'!Z$57)*(MAX($C8,'Capa DCF - Base'!$I$61-17*'Audit &amp; Checks'!$D$18)-'Capa DCF - Base'!Z$67)*(1-'Capa DCF - Base'!Z$71)*'Capa DCF - Base'!Z$78</x:f>
        <x:v>1059364.2164588773</x:v>
      </x:c>
      <x:c r="AB8" s="169"/>
      <x:c r="AC8" s="169"/>
    </x:row>
    <x:row r="9" ht="18" customHeight="1">
      <x:c r="A9" s="169" t="n">
        <x:v>4</x:v>
      </x:c>
      <x:c r="B9" s="174" t="n">
        <x:f>'Capa DCF - Base'!D97</x:f>
        <x:v>0.4</x:v>
      </x:c>
      <x:c r="C9" s="174" t="n">
        <x:f>'Capa DCF - Base'!H96</x:f>
        <x:v>0.64</x:v>
      </x:c>
      <x:c r="D9" s="169" t="n">
        <x:f>NPV('Capa DCF - Base'!$D$81,'Capa DCF - Base'!$G$79:$I$79)</x:f>
        <x:v>586118.0536624773</x:v>
      </x:c>
      <x:c r="E9" s="169" t="n">
        <x:f>NPV('Capa DCF - Base'!$D$81,K9:AA9)/(1+'Capa DCF - Base'!$D$81)^3</x:f>
        <x:v>2799729.874191654</x:v>
      </x:c>
      <x:c r="F9" s="169" t="n">
        <x:f>IF('Audit &amp; Checks'!$D$10=1,AA9*(1+'Capa DCF - Base'!$D$83)/('Capa DCF - Base'!$D$81-'Capa DCF - Base'!$D$83),0)</x:f>
        <x:v>14995048.254400058</x:v>
      </x:c>
      <x:c r="G9" s="169" t="n">
        <x:f>F9/(1+'Capa DCF - Base'!$D$81)^'Audit &amp; Checks'!$D$7</x:f>
        <x:v>2228918.3749311236</x:v>
      </x:c>
      <x:c r="H9" s="169" t="n">
        <x:f>SUM(D9:E9,G9)*'Audit &amp; Checks'!$D$9</x:f>
        <x:v>5974780.895101944</x:v>
      </x:c>
      <x:c r="I9" s="173" t="n">
        <x:f>IF('Audit &amp; Checks'!$D$10=1,H9/'Capa DCF - Base'!$D$86,0)</x:f>
        <x:v>247.91621971377361</x:v>
      </x:c>
      <x:c r="J9" s="169"/>
      <x:c r="K9" s="169" t="n">
        <x:f>('Capa DCF - Base'!J$6*(1-'Capa DCF - Base'!J$13-'Capa DCF - Base'!J$14)*'Capa DCF - Base'!J$53*(1+'Audit &amp; Checks'!$D$19)+'Capa DCF - Base'!J$57)*(MAX($C9,'Capa DCF - Base'!$I$61-1*'Audit &amp; Checks'!$D$18)-'Capa DCF - Base'!J$67)*(1-'Capa DCF - Base'!J$71)*'Capa DCF - Base'!J$78</x:f>
        <x:v>403773.32274527336</x:v>
      </x:c>
      <x:c r="L9" s="169" t="n">
        <x:f>('Capa DCF - Base'!K$6*(1-'Capa DCF - Base'!K$13-'Capa DCF - Base'!K$14)*'Capa DCF - Base'!K$53*(1+'Audit &amp; Checks'!$D$19)+'Capa DCF - Base'!K$57)*(MAX($C9,'Capa DCF - Base'!$I$61-2*'Audit &amp; Checks'!$D$18)-'Capa DCF - Base'!K$67)*(1-'Capa DCF - Base'!K$71)*'Capa DCF - Base'!K$78</x:f>
        <x:v>384968.63749367814</x:v>
      </x:c>
      <x:c r="M9" s="169" t="n">
        <x:f>('Capa DCF - Base'!L$6*(1-'Capa DCF - Base'!L$13-'Capa DCF - Base'!L$14)*$B9*(1+'Audit &amp; Checks'!$D$19)+'Capa DCF - Base'!L$57)*(MAX($C9,'Capa DCF - Base'!$I$61-3*'Audit &amp; Checks'!$D$18)-'Capa DCF - Base'!L$67)*(1-'Capa DCF - Base'!L$71)*'Capa DCF - Base'!L$78</x:f>
        <x:v>302648.2625398841</x:v>
      </x:c>
      <x:c r="N9" s="169" t="n">
        <x:f>('Capa DCF - Base'!M$6*(1-'Capa DCF - Base'!M$13-'Capa DCF - Base'!M$14)*$B9*(1+'Audit &amp; Checks'!$D$19)+'Capa DCF - Base'!M$57)*(MAX($C9,'Capa DCF - Base'!$I$61-4*'Audit &amp; Checks'!$D$18)-'Capa DCF - Base'!M$67)*(1-'Capa DCF - Base'!M$71)*'Capa DCF - Base'!M$78</x:f>
        <x:v>322681.198613453</x:v>
      </x:c>
      <x:c r="O9" s="169" t="n">
        <x:f>('Capa DCF - Base'!N$6*(1-'Capa DCF - Base'!N$13-'Capa DCF - Base'!N$14)*$B9*(1+'Audit &amp; Checks'!$D$19)+'Capa DCF - Base'!N$57)*(MAX($C9,'Capa DCF - Base'!$I$61-5*'Audit &amp; Checks'!$D$18)-'Capa DCF - Base'!N$67)*(1-'Capa DCF - Base'!N$71)*'Capa DCF - Base'!N$78</x:f>
        <x:v>355826.4500703167</x:v>
      </x:c>
      <x:c r="P9" s="169" t="n">
        <x:f>('Capa DCF - Base'!O$6*(1-'Capa DCF - Base'!O$13-'Capa DCF - Base'!O$14)*$B9*(1+'Audit &amp; Checks'!$D$19)+'Capa DCF - Base'!O$57)*(MAX($C9,'Capa DCF - Base'!$I$61-6*'Audit &amp; Checks'!$D$18)-'Capa DCF - Base'!O$67)*(1-'Capa DCF - Base'!O$71)*'Capa DCF - Base'!O$78</x:f>
        <x:v>383329.6905230835</x:v>
      </x:c>
      <x:c r="Q9" s="169" t="n">
        <x:f>('Capa DCF - Base'!P$6*(1-'Capa DCF - Base'!P$13-'Capa DCF - Base'!P$14)*$B9*(1+'Audit &amp; Checks'!$D$19)+'Capa DCF - Base'!P$57)*(MAX($C9,'Capa DCF - Base'!$I$61-7*'Audit &amp; Checks'!$D$18)-'Capa DCF - Base'!P$67)*(1-'Capa DCF - Base'!P$71)*'Capa DCF - Base'!P$78</x:f>
        <x:v>413033.1902120716</x:v>
      </x:c>
      <x:c r="R9" s="169" t="n">
        <x:f>('Capa DCF - Base'!Q$6*(1-'Capa DCF - Base'!Q$13-'Capa DCF - Base'!Q$14)*$B9*(1+'Audit &amp; Checks'!$D$19)+'Capa DCF - Base'!Q$57)*(MAX($C9,'Capa DCF - Base'!$I$61-8*'Audit &amp; Checks'!$D$18)-'Capa DCF - Base'!Q$67)*(1-'Capa DCF - Base'!Q$71)*'Capa DCF - Base'!Q$78</x:f>
        <x:v>445112.9698761788</x:v>
      </x:c>
      <x:c r="S9" s="169" t="n">
        <x:f>('Capa DCF - Base'!R$6*(1-'Capa DCF - Base'!R$13-'Capa DCF - Base'!R$14)*$B9*(1+'Audit &amp; Checks'!$D$19)+'Capa DCF - Base'!R$57)*(MAX($C9,'Capa DCF - Base'!$I$61-9*'Audit &amp; Checks'!$D$18)-'Capa DCF - Base'!R$67)*(1-'Capa DCF - Base'!R$71)*'Capa DCF - Base'!R$78</x:f>
        <x:v>479759.1319134145</x:v>
      </x:c>
      <x:c r="T9" s="169" t="n">
        <x:f>('Capa DCF - Base'!S$6*(1-'Capa DCF - Base'!S$13-'Capa DCF - Base'!S$14)*$B9*(1+'Audit &amp; Checks'!$D$19)+'Capa DCF - Base'!S$57)*(MAX($C9,'Capa DCF - Base'!$I$61-10*'Audit &amp; Checks'!$D$18)-'Capa DCF - Base'!S$67)*(1-'Capa DCF - Base'!S$71)*'Capa DCF - Base'!S$78</x:f>
        <x:v>517176.986913629</x:v>
      </x:c>
      <x:c r="U9" s="169" t="n">
        <x:f>('Capa DCF - Base'!T$6*(1-'Capa DCF - Base'!T$13-'Capa DCF - Base'!T$14)*$B9*(1+'Audit &amp; Checks'!$D$19)+'Capa DCF - Base'!T$57)*(MAX($C9,'Capa DCF - Base'!$I$61-11*'Audit &amp; Checks'!$D$18)-'Capa DCF - Base'!T$67)*(1-'Capa DCF - Base'!T$71)*'Capa DCF - Base'!T$78</x:f>
        <x:v>557588.2703138607</x:v>
      </x:c>
      <x:c r="V9" s="169" t="n">
        <x:f>('Capa DCF - Base'!U$6*(1-'Capa DCF - Base'!U$13-'Capa DCF - Base'!U$14)*$B9*(1+'Audit &amp; Checks'!$D$19)+'Capa DCF - Base'!U$57)*(MAX($C9,'Capa DCF - Base'!$I$61-12*'Audit &amp; Checks'!$D$18)-'Capa DCF - Base'!U$67)*(1-'Capa DCF - Base'!U$71)*'Capa DCF - Base'!U$78</x:f>
        <x:v>601232.4563861111</x:v>
      </x:c>
      <x:c r="W9" s="169" t="n">
        <x:f>('Capa DCF - Base'!V$6*(1-'Capa DCF - Base'!V$13-'Capa DCF - Base'!V$14)*$B9*(1+'Audit &amp; Checks'!$D$19)+'Capa DCF - Base'!V$57)*(MAX($C9,'Capa DCF - Base'!$I$61-13*'Audit &amp; Checks'!$D$18)-'Capa DCF - Base'!V$67)*(1-'Capa DCF - Base'!V$71)*'Capa DCF - Base'!V$78</x:f>
        <x:v>648368.1773441414</x:v>
      </x:c>
      <x:c r="X9" s="169" t="n">
        <x:f>('Capa DCF - Base'!W$6*(1-'Capa DCF - Base'!W$13-'Capa DCF - Base'!W$14)*$B9*(1+'Audit &amp; Checks'!$D$19)+'Capa DCF - Base'!W$57)*(MAX($C9,'Capa DCF - Base'!$I$61-14*'Audit &amp; Checks'!$D$18)-'Capa DCF - Base'!W$67)*(1-'Capa DCF - Base'!W$71)*'Capa DCF - Base'!W$78</x:f>
        <x:v>699274.7559788142</x:v>
      </x:c>
      <x:c r="Y9" s="169" t="n">
        <x:f>('Capa DCF - Base'!X$6*(1-'Capa DCF - Base'!X$13-'Capa DCF - Base'!X$14)*$B9*(1+'Audit &amp; Checks'!$D$19)+'Capa DCF - Base'!X$57)*(MAX($C9,'Capa DCF - Base'!$I$61-15*'Audit &amp; Checks'!$D$18)-'Capa DCF - Base'!X$67)*(1-'Capa DCF - Base'!X$71)*'Capa DCF - Base'!X$78</x:f>
        <x:v>754253.8609042608</x:v>
      </x:c>
      <x:c r="Z9" s="169" t="n">
        <x:f>('Capa DCF - Base'!Y$6*(1-'Capa DCF - Base'!Y$13-'Capa DCF - Base'!Y$14)*$B9*(1+'Audit &amp; Checks'!$D$19)+'Capa DCF - Base'!Y$57)*(MAX($C9,'Capa DCF - Base'!$I$61-16*'Audit &amp; Checks'!$D$18)-'Capa DCF - Base'!Y$67)*(1-'Capa DCF - Base'!Y$71)*'Capa DCF - Base'!Y$78</x:f>
        <x:v>813631.2942237434</x:v>
      </x:c>
      <x:c r="AA9" s="169" t="n">
        <x:f>('Capa DCF - Base'!Z$6*(1-'Capa DCF - Base'!Z$13-'Capa DCF - Base'!Z$14)*$B9*(1+'Audit &amp; Checks'!$D$19)+'Capa DCF - Base'!Z$57)*(MAX($C9,'Capa DCF - Base'!$I$61-17*'Audit &amp; Checks'!$D$18)-'Capa DCF - Base'!Z$67)*(1-'Capa DCF - Base'!Z$71)*'Capa DCF - Base'!Z$78</x:f>
        <x:v>1097198.6527609802</x:v>
      </x:c>
      <x:c r="AB9" s="169"/>
      <x:c r="AC9" s="169"/>
    </x:row>
    <x:row r="10" ht="18" customHeight="1">
      <x:c r="A10" s="169" t="n">
        <x:v>5</x:v>
      </x:c>
      <x:c r="B10" s="174" t="n">
        <x:f>'Capa DCF - Base'!D97</x:f>
        <x:v>0.4</x:v>
      </x:c>
      <x:c r="C10" s="174" t="n">
        <x:f>'Capa DCF - Base'!I96</x:f>
        <x:v>0.66</x:v>
      </x:c>
      <x:c r="D10" s="169" t="n">
        <x:f>NPV('Capa DCF - Base'!$D$81,'Capa DCF - Base'!$G$79:$I$79)</x:f>
        <x:v>586118.0536624773</x:v>
      </x:c>
      <x:c r="E10" s="169" t="n">
        <x:f>NPV('Capa DCF - Base'!$D$81,K10:AA10)/(1+'Capa DCF - Base'!$D$81)^3</x:f>
        <x:v>2872629.0111547736</x:v>
      </x:c>
      <x:c r="F10" s="169" t="n">
        <x:f>IF('Audit &amp; Checks'!$D$10=1,AA10*(1+'Capa DCF - Base'!$D$83)/('Capa DCF - Base'!$D$81-'Capa DCF - Base'!$D$83),0)</x:f>
        <x:v>15512118.883862127</x:v>
      </x:c>
      <x:c r="G10" s="169" t="n">
        <x:f>F10/(1+'Capa DCF - Base'!$D$81)^'Audit &amp; Checks'!$D$7</x:f>
        <x:v>2305777.629239093</x:v>
      </x:c>
      <x:c r="H10" s="169" t="n">
        <x:f>SUM(D10:E10,G10)*'Audit &amp; Checks'!$D$9</x:f>
        <x:v>6134141.68178399</x:v>
      </x:c>
      <x:c r="I10" s="173" t="n">
        <x:f>IF('Audit &amp; Checks'!$D$10=1,H10/'Capa DCF - Base'!$D$86,0)</x:f>
        <x:v>254.52870048896224</x:v>
      </x:c>
      <x:c r="J10" s="169"/>
      <x:c r="K10" s="169" t="n">
        <x:f>('Capa DCF - Base'!J$6*(1-'Capa DCF - Base'!J$13-'Capa DCF - Base'!J$14)*'Capa DCF - Base'!J$53*(1+'Audit &amp; Checks'!$D$19)+'Capa DCF - Base'!J$57)*(MAX($C10,'Capa DCF - Base'!$I$61-1*'Audit &amp; Checks'!$D$18)-'Capa DCF - Base'!J$67)*(1-'Capa DCF - Base'!J$71)*'Capa DCF - Base'!J$78</x:f>
        <x:v>403773.32274527336</x:v>
      </x:c>
      <x:c r="L10" s="169" t="n">
        <x:f>('Capa DCF - Base'!K$6*(1-'Capa DCF - Base'!K$13-'Capa DCF - Base'!K$14)*'Capa DCF - Base'!K$53*(1+'Audit &amp; Checks'!$D$19)+'Capa DCF - Base'!K$57)*(MAX($C10,'Capa DCF - Base'!$I$61-2*'Audit &amp; Checks'!$D$18)-'Capa DCF - Base'!K$67)*(1-'Capa DCF - Base'!K$71)*'Capa DCF - Base'!K$78</x:f>
        <x:v>384968.63749367814</x:v>
      </x:c>
      <x:c r="M10" s="169" t="n">
        <x:f>('Capa DCF - Base'!L$6*(1-'Capa DCF - Base'!L$13-'Capa DCF - Base'!L$14)*$B10*(1+'Audit &amp; Checks'!$D$19)+'Capa DCF - Base'!L$57)*(MAX($C10,'Capa DCF - Base'!$I$61-3*'Audit &amp; Checks'!$D$18)-'Capa DCF - Base'!L$67)*(1-'Capa DCF - Base'!L$71)*'Capa DCF - Base'!L$78</x:f>
        <x:v>302648.2625398842</x:v>
      </x:c>
      <x:c r="N10" s="169" t="n">
        <x:f>('Capa DCF - Base'!M$6*(1-'Capa DCF - Base'!M$13-'Capa DCF - Base'!M$14)*$B10*(1+'Audit &amp; Checks'!$D$19)+'Capa DCF - Base'!M$57)*(MAX($C10,'Capa DCF - Base'!$I$61-4*'Audit &amp; Checks'!$D$18)-'Capa DCF - Base'!M$67)*(1-'Capa DCF - Base'!M$71)*'Capa DCF - Base'!M$78</x:f>
        <x:v>333808.1364966755</x:v>
      </x:c>
      <x:c r="O10" s="169" t="n">
        <x:f>('Capa DCF - Base'!N$6*(1-'Capa DCF - Base'!N$13-'Capa DCF - Base'!N$14)*$B10*(1+'Audit &amp; Checks'!$D$19)+'Capa DCF - Base'!N$57)*(MAX($C10,'Capa DCF - Base'!$I$61-5*'Audit &amp; Checks'!$D$18)-'Capa DCF - Base'!N$67)*(1-'Capa DCF - Base'!N$71)*'Capa DCF - Base'!N$78</x:f>
        <x:v>368096.3276589485</x:v>
      </x:c>
      <x:c r="P10" s="169" t="n">
        <x:f>('Capa DCF - Base'!O$6*(1-'Capa DCF - Base'!O$13-'Capa DCF - Base'!O$14)*$B10*(1+'Audit &amp; Checks'!$D$19)+'Capa DCF - Base'!O$57)*(MAX($C10,'Capa DCF - Base'!$I$61-6*'Audit &amp; Checks'!$D$18)-'Capa DCF - Base'!O$67)*(1-'Capa DCF - Base'!O$71)*'Capa DCF - Base'!O$78</x:f>
        <x:v>396547.95571353467</x:v>
      </x:c>
      <x:c r="Q10" s="169" t="n">
        <x:f>('Capa DCF - Base'!P$6*(1-'Capa DCF - Base'!P$13-'Capa DCF - Base'!P$14)*$B10*(1+'Audit &amp; Checks'!$D$19)+'Capa DCF - Base'!P$57)*(MAX($C10,'Capa DCF - Base'!$I$61-7*'Audit &amp; Checks'!$D$18)-'Capa DCF - Base'!P$67)*(1-'Capa DCF - Base'!P$71)*'Capa DCF - Base'!P$78</x:f>
        <x:v>427275.7140124878</x:v>
      </x:c>
      <x:c r="R10" s="169" t="n">
        <x:f>('Capa DCF - Base'!Q$6*(1-'Capa DCF - Base'!Q$13-'Capa DCF - Base'!Q$14)*$B10*(1+'Audit &amp; Checks'!$D$19)+'Capa DCF - Base'!Q$57)*(MAX($C10,'Capa DCF - Base'!$I$61-8*'Audit &amp; Checks'!$D$18)-'Capa DCF - Base'!Q$67)*(1-'Capa DCF - Base'!Q$71)*'Capa DCF - Base'!Q$78</x:f>
        <x:v>460461.6929753573</x:v>
      </x:c>
      <x:c r="S10" s="169" t="n">
        <x:f>('Capa DCF - Base'!R$6*(1-'Capa DCF - Base'!R$13-'Capa DCF - Base'!R$14)*$B10*(1+'Audit &amp; Checks'!$D$19)+'Capa DCF - Base'!R$57)*(MAX($C10,'Capa DCF - Base'!$I$61-9*'Audit &amp; Checks'!$D$18)-'Capa DCF - Base'!R$67)*(1-'Capa DCF - Base'!R$71)*'Capa DCF - Base'!R$78</x:f>
        <x:v>496302.5502552565</x:v>
      </x:c>
      <x:c r="T10" s="169" t="n">
        <x:f>('Capa DCF - Base'!S$6*(1-'Capa DCF - Base'!S$13-'Capa DCF - Base'!S$14)*$B10*(1+'Audit &amp; Checks'!$D$19)+'Capa DCF - Base'!S$57)*(MAX($C10,'Capa DCF - Base'!$I$61-10*'Audit &amp; Checks'!$D$18)-'Capa DCF - Base'!S$67)*(1-'Capa DCF - Base'!S$71)*'Capa DCF - Base'!S$78</x:f>
        <x:v>535010.6761175472</x:v>
      </x:c>
      <x:c r="U10" s="169" t="n">
        <x:f>('Capa DCF - Base'!T$6*(1-'Capa DCF - Base'!T$13-'Capa DCF - Base'!T$14)*$B10*(1+'Audit &amp; Checks'!$D$19)+'Capa DCF - Base'!T$57)*(MAX($C10,'Capa DCF - Base'!$I$61-11*'Audit &amp; Checks'!$D$18)-'Capa DCF - Base'!T$67)*(1-'Capa DCF - Base'!T$71)*'Capa DCF - Base'!T$78</x:f>
        <x:v>576815.4520488215</x:v>
      </x:c>
      <x:c r="V10" s="169" t="n">
        <x:f>('Capa DCF - Base'!U$6*(1-'Capa DCF - Base'!U$13-'Capa DCF - Base'!U$14)*$B10*(1+'Audit &amp; Checks'!$D$19)+'Capa DCF - Base'!U$57)*(MAX($C10,'Capa DCF - Base'!$I$61-12*'Audit &amp; Checks'!$D$18)-'Capa DCF - Base'!U$67)*(1-'Capa DCF - Base'!U$71)*'Capa DCF - Base'!U$78</x:f>
        <x:v>621964.6100545976</x:v>
      </x:c>
      <x:c r="W10" s="169" t="n">
        <x:f>('Capa DCF - Base'!V$6*(1-'Capa DCF - Base'!V$13-'Capa DCF - Base'!V$14)*$B10*(1+'Audit &amp; Checks'!$D$19)+'Capa DCF - Base'!V$57)*(MAX($C10,'Capa DCF - Base'!$I$61-13*'Audit &amp; Checks'!$D$18)-'Capa DCF - Base'!V$67)*(1-'Capa DCF - Base'!V$71)*'Capa DCF - Base'!V$78</x:f>
        <x:v>670725.700700836</x:v>
      </x:c>
      <x:c r="X10" s="169" t="n">
        <x:f>('Capa DCF - Base'!W$6*(1-'Capa DCF - Base'!W$13-'Capa DCF - Base'!W$14)*$B10*(1+'Audit &amp; Checks'!$D$19)+'Capa DCF - Base'!W$57)*(MAX($C10,'Capa DCF - Base'!$I$61-14*'Audit &amp; Checks'!$D$18)-'Capa DCF - Base'!W$67)*(1-'Capa DCF - Base'!W$71)*'Capa DCF - Base'!W$78</x:f>
        <x:v>723387.6785987733</x:v>
      </x:c>
      <x:c r="Y10" s="169" t="n">
        <x:f>('Capa DCF - Base'!X$6*(1-'Capa DCF - Base'!X$13-'Capa DCF - Base'!X$14)*$B10*(1+'Audit &amp; Checks'!$D$19)+'Capa DCF - Base'!X$57)*(MAX($C10,'Capa DCF - Base'!$I$61-15*'Audit &amp; Checks'!$D$18)-'Capa DCF - Base'!X$67)*(1-'Capa DCF - Base'!X$71)*'Capa DCF - Base'!X$78</x:f>
        <x:v>780262.6147285458</x:v>
      </x:c>
      <x:c r="Z10" s="169" t="n">
        <x:f>('Capa DCF - Base'!Y$6*(1-'Capa DCF - Base'!Y$13-'Capa DCF - Base'!Y$14)*$B10*(1+'Audit &amp; Checks'!$D$19)+'Capa DCF - Base'!Y$57)*(MAX($C10,'Capa DCF - Base'!$I$61-16*'Audit &amp; Checks'!$D$18)-'Capa DCF - Base'!Y$67)*(1-'Capa DCF - Base'!Y$71)*'Capa DCF - Base'!Y$78</x:f>
        <x:v>841687.5457487</x:v>
      </x:c>
      <x:c r="AA10" s="169" t="n">
        <x:f>('Capa DCF - Base'!Z$6*(1-'Capa DCF - Base'!Z$13-'Capa DCF - Base'!Z$14)*$B10*(1+'Audit &amp; Checks'!$D$19)+'Capa DCF - Base'!Z$57)*(MAX($C10,'Capa DCF - Base'!$I$61-17*'Audit &amp; Checks'!$D$18)-'Capa DCF - Base'!Z$67)*(1-'Capa DCF - Base'!Z$71)*'Capa DCF - Base'!Z$78</x:f>
        <x:v>1135033.0890630828</x:v>
      </x:c>
      <x:c r="AB10" s="169"/>
      <x:c r="AC10" s="169"/>
    </x:row>
    <x:row r="11" ht="18" customHeight="1">
      <x:c r="A11" s="169" t="n">
        <x:v>6</x:v>
      </x:c>
      <x:c r="B11" s="174" t="n">
        <x:f>'Capa DCF - Base'!D97</x:f>
        <x:v>0.4</x:v>
      </x:c>
      <x:c r="C11" s="174" t="n">
        <x:f>'Capa DCF - Base'!J96</x:f>
        <x:v>0.68</x:v>
      </x:c>
      <x:c r="D11" s="169" t="n">
        <x:f>NPV('Capa DCF - Base'!$D$81,'Capa DCF - Base'!$G$79:$I$79)</x:f>
        <x:v>586118.0536624773</x:v>
      </x:c>
      <x:c r="E11" s="169" t="n">
        <x:f>NPV('Capa DCF - Base'!$D$81,K11:AA11)/(1+'Capa DCF - Base'!$D$81)^3</x:f>
        <x:v>2951222.7165905545</x:v>
      </x:c>
      <x:c r="F11" s="169" t="n">
        <x:f>IF('Audit &amp; Checks'!$D$10=1,AA11*(1+'Capa DCF - Base'!$D$83)/('Capa DCF - Base'!$D$81-'Capa DCF - Base'!$D$83),0)</x:f>
        <x:v>16029189.513324201</x:v>
      </x:c>
      <x:c r="G11" s="169" t="n">
        <x:f>F11/(1+'Capa DCF - Base'!$D$81)^'Audit &amp; Checks'!$D$7</x:f>
        <x:v>2382636.8835470635</x:v>
      </x:c>
      <x:c r="H11" s="169" t="n">
        <x:f>SUM(D11:E11,G11)*'Audit &amp; Checks'!$D$9</x:f>
        <x:v>6299562.168386127</x:v>
      </x:c>
      <x:c r="I11" s="173" t="n">
        <x:f>IF('Audit &amp; Checks'!$D$10=1,H11/'Capa DCF - Base'!$D$86,0)</x:f>
        <x:v>261.39262109486003</x:v>
      </x:c>
      <x:c r="J11" s="169"/>
      <x:c r="K11" s="169" t="n">
        <x:f>('Capa DCF - Base'!J$6*(1-'Capa DCF - Base'!J$13-'Capa DCF - Base'!J$14)*'Capa DCF - Base'!J$53*(1+'Audit &amp; Checks'!$D$19)+'Capa DCF - Base'!J$57)*(MAX($C11,'Capa DCF - Base'!$I$61-1*'Audit &amp; Checks'!$D$18)-'Capa DCF - Base'!J$67)*(1-'Capa DCF - Base'!J$71)*'Capa DCF - Base'!J$78</x:f>
        <x:v>403773.32274527336</x:v>
      </x:c>
      <x:c r="L11" s="169" t="n">
        <x:f>('Capa DCF - Base'!K$6*(1-'Capa DCF - Base'!K$13-'Capa DCF - Base'!K$14)*'Capa DCF - Base'!K$53*(1+'Audit &amp; Checks'!$D$19)+'Capa DCF - Base'!K$57)*(MAX($C11,'Capa DCF - Base'!$I$61-2*'Audit &amp; Checks'!$D$18)-'Capa DCF - Base'!K$67)*(1-'Capa DCF - Base'!K$71)*'Capa DCF - Base'!K$78</x:f>
        <x:v>384968.63749367837</x:v>
      </x:c>
      <x:c r="M11" s="169" t="n">
        <x:f>('Capa DCF - Base'!L$6*(1-'Capa DCF - Base'!L$13-'Capa DCF - Base'!L$14)*$B11*(1+'Audit &amp; Checks'!$D$19)+'Capa DCF - Base'!L$57)*(MAX($C11,'Capa DCF - Base'!$I$61-3*'Audit &amp; Checks'!$D$18)-'Capa DCF - Base'!L$67)*(1-'Capa DCF - Base'!L$71)*'Capa DCF - Base'!L$78</x:f>
        <x:v>312736.53795788035</x:v>
      </x:c>
      <x:c r="N11" s="169" t="n">
        <x:f>('Capa DCF - Base'!M$6*(1-'Capa DCF - Base'!M$13-'Capa DCF - Base'!M$14)*$B11*(1+'Audit &amp; Checks'!$D$19)+'Capa DCF - Base'!M$57)*(MAX($C11,'Capa DCF - Base'!$I$61-4*'Audit &amp; Checks'!$D$18)-'Capa DCF - Base'!M$67)*(1-'Capa DCF - Base'!M$71)*'Capa DCF - Base'!M$78</x:f>
        <x:v>344935.0743798981</x:v>
      </x:c>
      <x:c r="O11" s="169" t="n">
        <x:f>('Capa DCF - Base'!N$6*(1-'Capa DCF - Base'!N$13-'Capa DCF - Base'!N$14)*$B11*(1+'Audit &amp; Checks'!$D$19)+'Capa DCF - Base'!N$57)*(MAX($C11,'Capa DCF - Base'!$I$61-5*'Audit &amp; Checks'!$D$18)-'Capa DCF - Base'!N$67)*(1-'Capa DCF - Base'!N$71)*'Capa DCF - Base'!N$78</x:f>
        <x:v>380366.2052475801</x:v>
      </x:c>
      <x:c r="P11" s="169" t="n">
        <x:f>('Capa DCF - Base'!O$6*(1-'Capa DCF - Base'!O$13-'Capa DCF - Base'!O$14)*$B11*(1+'Audit &amp; Checks'!$D$19)+'Capa DCF - Base'!O$57)*(MAX($C11,'Capa DCF - Base'!$I$61-6*'Audit &amp; Checks'!$D$18)-'Capa DCF - Base'!O$67)*(1-'Capa DCF - Base'!O$71)*'Capa DCF - Base'!O$78</x:f>
        <x:v>409766.2209039858</x:v>
      </x:c>
      <x:c r="Q11" s="169" t="n">
        <x:f>('Capa DCF - Base'!P$6*(1-'Capa DCF - Base'!P$13-'Capa DCF - Base'!P$14)*$B11*(1+'Audit &amp; Checks'!$D$19)+'Capa DCF - Base'!P$57)*(MAX($C11,'Capa DCF - Base'!$I$61-7*'Audit &amp; Checks'!$D$18)-'Capa DCF - Base'!P$67)*(1-'Capa DCF - Base'!P$71)*'Capa DCF - Base'!P$78</x:f>
        <x:v>441518.2378129041</x:v>
      </x:c>
      <x:c r="R11" s="169" t="n">
        <x:f>('Capa DCF - Base'!Q$6*(1-'Capa DCF - Base'!Q$13-'Capa DCF - Base'!Q$14)*$B11*(1+'Audit &amp; Checks'!$D$19)+'Capa DCF - Base'!Q$57)*(MAX($C11,'Capa DCF - Base'!$I$61-8*'Audit &amp; Checks'!$D$18)-'Capa DCF - Base'!Q$67)*(1-'Capa DCF - Base'!Q$71)*'Capa DCF - Base'!Q$78</x:f>
        <x:v>475810.41607453604</x:v>
      </x:c>
      <x:c r="S11" s="169" t="n">
        <x:f>('Capa DCF - Base'!R$6*(1-'Capa DCF - Base'!R$13-'Capa DCF - Base'!R$14)*$B11*(1+'Audit &amp; Checks'!$D$19)+'Capa DCF - Base'!R$57)*(MAX($C11,'Capa DCF - Base'!$I$61-9*'Audit &amp; Checks'!$D$18)-'Capa DCF - Base'!R$67)*(1-'Capa DCF - Base'!R$71)*'Capa DCF - Base'!R$78</x:f>
        <x:v>512845.96859709825</x:v>
      </x:c>
      <x:c r="T11" s="169" t="n">
        <x:f>('Capa DCF - Base'!S$6*(1-'Capa DCF - Base'!S$13-'Capa DCF - Base'!S$14)*$B11*(1+'Audit &amp; Checks'!$D$19)+'Capa DCF - Base'!S$57)*(MAX($C11,'Capa DCF - Base'!$I$61-10*'Audit &amp; Checks'!$D$18)-'Capa DCF - Base'!S$67)*(1-'Capa DCF - Base'!S$71)*'Capa DCF - Base'!S$78</x:f>
        <x:v>552844.3653214655</x:v>
      </x:c>
      <x:c r="U11" s="169" t="n">
        <x:f>('Capa DCF - Base'!T$6*(1-'Capa DCF - Base'!T$13-'Capa DCF - Base'!T$14)*$B11*(1+'Audit &amp; Checks'!$D$19)+'Capa DCF - Base'!T$57)*(MAX($C11,'Capa DCF - Base'!$I$61-11*'Audit &amp; Checks'!$D$18)-'Capa DCF - Base'!T$67)*(1-'Capa DCF - Base'!T$71)*'Capa DCF - Base'!T$78</x:f>
        <x:v>596042.6337837823</x:v>
      </x:c>
      <x:c r="V11" s="169" t="n">
        <x:f>('Capa DCF - Base'!U$6*(1-'Capa DCF - Base'!U$13-'Capa DCF - Base'!U$14)*$B11*(1+'Audit &amp; Checks'!$D$19)+'Capa DCF - Base'!U$57)*(MAX($C11,'Capa DCF - Base'!$I$61-12*'Audit &amp; Checks'!$D$18)-'Capa DCF - Base'!U$67)*(1-'Capa DCF - Base'!U$71)*'Capa DCF - Base'!U$78</x:f>
        <x:v>642696.7637230842</x:v>
      </x:c>
      <x:c r="W11" s="169" t="n">
        <x:f>('Capa DCF - Base'!V$6*(1-'Capa DCF - Base'!V$13-'Capa DCF - Base'!V$14)*$B11*(1+'Audit &amp; Checks'!$D$19)+'Capa DCF - Base'!V$57)*(MAX($C11,'Capa DCF - Base'!$I$61-13*'Audit &amp; Checks'!$D$18)-'Capa DCF - Base'!V$67)*(1-'Capa DCF - Base'!V$71)*'Capa DCF - Base'!V$78</x:f>
        <x:v>693083.2240575305</x:v>
      </x:c>
      <x:c r="X11" s="169" t="n">
        <x:f>('Capa DCF - Base'!W$6*(1-'Capa DCF - Base'!W$13-'Capa DCF - Base'!W$14)*$B11*(1+'Audit &amp; Checks'!$D$19)+'Capa DCF - Base'!W$57)*(MAX($C11,'Capa DCF - Base'!$I$61-14*'Audit &amp; Checks'!$D$18)-'Capa DCF - Base'!W$67)*(1-'Capa DCF - Base'!W$71)*'Capa DCF - Base'!W$78</x:f>
        <x:v>747500.6012187324</x:v>
      </x:c>
      <x:c r="Y11" s="169" t="n">
        <x:f>('Capa DCF - Base'!X$6*(1-'Capa DCF - Base'!X$13-'Capa DCF - Base'!X$14)*$B11*(1+'Audit &amp; Checks'!$D$19)+'Capa DCF - Base'!X$57)*(MAX($C11,'Capa DCF - Base'!$I$61-15*'Audit &amp; Checks'!$D$18)-'Capa DCF - Base'!X$67)*(1-'Capa DCF - Base'!X$71)*'Capa DCF - Base'!X$78</x:f>
        <x:v>806271.3685528305</x:v>
      </x:c>
      <x:c r="Z11" s="169" t="n">
        <x:f>('Capa DCF - Base'!Y$6*(1-'Capa DCF - Base'!Y$13-'Capa DCF - Base'!Y$14)*$B11*(1+'Audit &amp; Checks'!$D$19)+'Capa DCF - Base'!Y$57)*(MAX($C11,'Capa DCF - Base'!$I$61-16*'Audit &amp; Checks'!$D$18)-'Capa DCF - Base'!Y$67)*(1-'Capa DCF - Base'!Y$71)*'Capa DCF - Base'!Y$78</x:f>
        <x:v>869743.7972736566</x:v>
      </x:c>
      <x:c r="AA11" s="169" t="n">
        <x:f>('Capa DCF - Base'!Z$6*(1-'Capa DCF - Base'!Z$13-'Capa DCF - Base'!Z$14)*$B11*(1+'Audit &amp; Checks'!$D$19)+'Capa DCF - Base'!Z$57)*(MAX($C11,'Capa DCF - Base'!$I$61-17*'Audit &amp; Checks'!$D$18)-'Capa DCF - Base'!Z$67)*(1-'Capa DCF - Base'!Z$71)*'Capa DCF - Base'!Z$78</x:f>
        <x:v>1172867.5253651857</x:v>
      </x:c>
      <x:c r="AB11" s="169"/>
      <x:c r="AC11" s="169"/>
    </x:row>
    <x:row r="12" ht="18" customHeight="1">
      <x:c r="A12" s="169" t="n">
        <x:v>7</x:v>
      </x:c>
      <x:c r="B12" s="174" t="n">
        <x:f>'Capa DCF - Base'!D98</x:f>
        <x:v>0.45</x:v>
      </x:c>
      <x:c r="C12" s="174" t="n">
        <x:f>'Capa DCF - Base'!E96</x:f>
        <x:v>0.58</x:v>
      </x:c>
      <x:c r="D12" s="169" t="n">
        <x:f>NPV('Capa DCF - Base'!$D$81,'Capa DCF - Base'!$G$79:$I$79)</x:f>
        <x:v>586118.0536624773</x:v>
      </x:c>
      <x:c r="E12" s="169" t="n">
        <x:f>NPV('Capa DCF - Base'!$D$81,K12:AA12)/(1+'Capa DCF - Base'!$D$81)^3</x:f>
        <x:v>2871077.788575085</x:v>
      </x:c>
      <x:c r="F12" s="169" t="n">
        <x:f>IF('Audit &amp; Checks'!$D$10=1,AA12*(1+'Capa DCF - Base'!$D$83)/('Capa DCF - Base'!$D$81-'Capa DCF - Base'!$D$83),0)</x:f>
        <x:v>15101272.957847035</x:v>
      </x:c>
      <x:c r="G12" s="169" t="n">
        <x:f>F12/(1+'Capa DCF - Base'!$D$81)^'Audit &amp; Checks'!$D$7</x:f>
        <x:v>2244708.000237271</x:v>
      </x:c>
      <x:c r="H12" s="169" t="n">
        <x:f>SUM(D12:E12,G12)*'Audit &amp; Checks'!$D$9</x:f>
        <x:v>6067505.628297913</x:v>
      </x:c>
      <x:c r="I12" s="173" t="n">
        <x:f>IF('Audit &amp; Checks'!$D$10=1,H12/'Capa DCF - Base'!$D$86,0)</x:f>
        <x:v>251.76371901651092</x:v>
      </x:c>
      <x:c r="J12" s="169"/>
      <x:c r="K12" s="169" t="n">
        <x:f>('Capa DCF - Base'!J$6*(1-'Capa DCF - Base'!J$13-'Capa DCF - Base'!J$14)*'Capa DCF - Base'!J$53*(1+'Audit &amp; Checks'!$D$19)+'Capa DCF - Base'!J$57)*(MAX($C12,'Capa DCF - Base'!$I$61-1*'Audit &amp; Checks'!$D$18)-'Capa DCF - Base'!J$67)*(1-'Capa DCF - Base'!J$71)*'Capa DCF - Base'!J$78</x:f>
        <x:v>403773.32274527336</x:v>
      </x:c>
      <x:c r="L12" s="169" t="n">
        <x:f>('Capa DCF - Base'!K$6*(1-'Capa DCF - Base'!K$13-'Capa DCF - Base'!K$14)*'Capa DCF - Base'!K$53*(1+'Audit &amp; Checks'!$D$19)+'Capa DCF - Base'!K$57)*(MAX($C12,'Capa DCF - Base'!$I$61-2*'Audit &amp; Checks'!$D$18)-'Capa DCF - Base'!K$67)*(1-'Capa DCF - Base'!K$71)*'Capa DCF - Base'!K$78</x:f>
        <x:v>384968.63749367814</x:v>
      </x:c>
      <x:c r="M12" s="169" t="n">
        <x:f>('Capa DCF - Base'!L$6*(1-'Capa DCF - Base'!L$13-'Capa DCF - Base'!L$14)*$B12*(1+'Audit &amp; Checks'!$D$19)+'Capa DCF - Base'!L$57)*(MAX($C12,'Capa DCF - Base'!$I$61-3*'Audit &amp; Checks'!$D$18)-'Capa DCF - Base'!L$67)*(1-'Capa DCF - Base'!L$71)*'Capa DCF - Base'!L$78</x:f>
        <x:v>338922.92323529214</x:v>
      </x:c>
      <x:c r="N12" s="169" t="n">
        <x:f>('Capa DCF - Base'!M$6*(1-'Capa DCF - Base'!M$13-'Capa DCF - Base'!M$14)*$B12*(1+'Audit &amp; Checks'!$D$19)+'Capa DCF - Base'!M$57)*(MAX($C12,'Capa DCF - Base'!$I$61-4*'Audit &amp; Checks'!$D$18)-'Capa DCF - Base'!M$67)*(1-'Capa DCF - Base'!M$71)*'Capa DCF - Base'!M$78</x:f>
        <x:v>361511.85538879293</x:v>
      </x:c>
      <x:c r="O12" s="169" t="n">
        <x:f>('Capa DCF - Base'!N$6*(1-'Capa DCF - Base'!N$13-'Capa DCF - Base'!N$14)*$B12*(1+'Audit &amp; Checks'!$D$19)+'Capa DCF - Base'!N$57)*(MAX($C12,'Capa DCF - Base'!$I$61-5*'Audit &amp; Checks'!$D$18)-'Capa DCF - Base'!N$67)*(1-'Capa DCF - Base'!N$71)*'Capa DCF - Base'!N$78</x:f>
        <x:v>385048.53006129013</x:v>
      </x:c>
      <x:c r="P12" s="169" t="n">
        <x:f>('Capa DCF - Base'!O$6*(1-'Capa DCF - Base'!O$13-'Capa DCF - Base'!O$14)*$B12*(1+'Audit &amp; Checks'!$D$19)+'Capa DCF - Base'!O$57)*(MAX($C12,'Capa DCF - Base'!$I$61-6*'Audit &amp; Checks'!$D$18)-'Capa DCF - Base'!O$67)*(1-'Capa DCF - Base'!O$71)*'Capa DCF - Base'!O$78</x:f>
        <x:v>400104.07025008404</x:v>
      </x:c>
      <x:c r="Q12" s="169" t="n">
        <x:f>('Capa DCF - Base'!P$6*(1-'Capa DCF - Base'!P$13-'Capa DCF - Base'!P$14)*$B12*(1+'Audit &amp; Checks'!$D$19)+'Capa DCF - Base'!P$57)*(MAX($C12,'Capa DCF - Base'!$I$61-7*'Audit &amp; Checks'!$D$18)-'Capa DCF - Base'!P$67)*(1-'Capa DCF - Base'!P$71)*'Capa DCF - Base'!P$78</x:f>
        <x:v>415244.9653230419</x:v>
      </x:c>
      <x:c r="R12" s="169" t="n">
        <x:f>('Capa DCF - Base'!Q$6*(1-'Capa DCF - Base'!Q$13-'Capa DCF - Base'!Q$14)*$B12*(1+'Audit &amp; Checks'!$D$19)+'Capa DCF - Base'!Q$57)*(MAX($C12,'Capa DCF - Base'!$I$61-8*'Audit &amp; Checks'!$D$18)-'Capa DCF - Base'!Q$67)*(1-'Capa DCF - Base'!Q$71)*'Capa DCF - Base'!Q$78</x:f>
        <x:v>447601.2948118395</x:v>
      </x:c>
      <x:c r="S12" s="169" t="n">
        <x:f>('Capa DCF - Base'!R$6*(1-'Capa DCF - Base'!R$13-'Capa DCF - Base'!R$14)*$B12*(1+'Audit &amp; Checks'!$D$19)+'Capa DCF - Base'!R$57)*(MAX($C12,'Capa DCF - Base'!$I$61-9*'Audit &amp; Checks'!$D$18)-'Capa DCF - Base'!R$67)*(1-'Capa DCF - Base'!R$71)*'Capa DCF - Base'!R$78</x:f>
        <x:v>482546.1306597412</x:v>
      </x:c>
      <x:c r="T12" s="169" t="n">
        <x:f>('Capa DCF - Base'!S$6*(1-'Capa DCF - Base'!S$13-'Capa DCF - Base'!S$14)*$B12*(1+'Audit &amp; Checks'!$D$19)+'Capa DCF - Base'!S$57)*(MAX($C12,'Capa DCF - Base'!$I$61-10*'Audit &amp; Checks'!$D$18)-'Capa DCF - Base'!S$67)*(1-'Capa DCF - Base'!S$71)*'Capa DCF - Base'!S$78</x:f>
        <x:v>520286.55337547464</x:v>
      </x:c>
      <x:c r="U12" s="169" t="n">
        <x:f>('Capa DCF - Base'!T$6*(1-'Capa DCF - Base'!T$13-'Capa DCF - Base'!T$14)*$B12*(1+'Audit &amp; Checks'!$D$19)+'Capa DCF - Base'!T$57)*(MAX($C12,'Capa DCF - Base'!$I$61-11*'Audit &amp; Checks'!$D$18)-'Capa DCF - Base'!T$67)*(1-'Capa DCF - Base'!T$71)*'Capa DCF - Base'!T$78</x:f>
        <x:v>561046.2099084671</x:v>
      </x:c>
      <x:c r="V12" s="169" t="n">
        <x:f>('Capa DCF - Base'!U$6*(1-'Capa DCF - Base'!U$13-'Capa DCF - Base'!U$14)*$B12*(1+'Audit &amp; Checks'!$D$19)+'Capa DCF - Base'!U$57)*(MAX($C12,'Capa DCF - Base'!$I$61-12*'Audit &amp; Checks'!$D$18)-'Capa DCF - Base'!U$67)*(1-'Capa DCF - Base'!U$71)*'Capa DCF - Base'!U$78</x:f>
        <x:v>605066.6389640989</x:v>
      </x:c>
      <x:c r="W12" s="169" t="n">
        <x:f>('Capa DCF - Base'!V$6*(1-'Capa DCF - Base'!V$13-'Capa DCF - Base'!V$14)*$B12*(1+'Audit &amp; Checks'!$D$19)+'Capa DCF - Base'!V$57)*(MAX($C12,'Capa DCF - Base'!$I$61-13*'Audit &amp; Checks'!$D$18)-'Capa DCF - Base'!V$67)*(1-'Capa DCF - Base'!V$71)*'Capa DCF - Base'!V$78</x:f>
        <x:v>652608.7023441811</x:v>
      </x:c>
      <x:c r="X12" s="169" t="n">
        <x:f>('Capa DCF - Base'!W$6*(1-'Capa DCF - Base'!W$13-'Capa DCF - Base'!W$14)*$B12*(1+'Audit &amp; Checks'!$D$19)+'Capa DCF - Base'!W$57)*(MAX($C12,'Capa DCF - Base'!$I$61-14*'Audit &amp; Checks'!$D$18)-'Capa DCF - Base'!W$67)*(1-'Capa DCF - Base'!W$71)*'Capa DCF - Base'!W$78</x:f>
        <x:v>703954.1307946701</x:v>
      </x:c>
      <x:c r="Y12" s="169" t="n">
        <x:f>('Capa DCF - Base'!X$6*(1-'Capa DCF - Base'!X$13-'Capa DCF - Base'!X$14)*$B12*(1+'Audit &amp; Checks'!$D$19)+'Capa DCF - Base'!X$57)*(MAX($C12,'Capa DCF - Base'!$I$61-15*'Audit &amp; Checks'!$D$18)-'Capa DCF - Base'!X$67)*(1-'Capa DCF - Base'!X$71)*'Capa DCF - Base'!X$78</x:f>
        <x:v>759407.1935211982</x:v>
      </x:c>
      <x:c r="Z12" s="169" t="n">
        <x:f>('Capa DCF - Base'!Y$6*(1-'Capa DCF - Base'!Y$13-'Capa DCF - Base'!Y$14)*$B12*(1+'Audit &amp; Checks'!$D$19)+'Capa DCF - Base'!Y$57)*(MAX($C12,'Capa DCF - Base'!$I$61-16*'Audit &amp; Checks'!$D$18)-'Capa DCF - Base'!Y$67)*(1-'Capa DCF - Base'!Y$71)*'Capa DCF - Base'!Y$78</x:f>
        <x:v>819296.5012658485</x:v>
      </x:c>
      <x:c r="AA12" s="169" t="n">
        <x:f>('Capa DCF - Base'!Z$6*(1-'Capa DCF - Base'!Z$13-'Capa DCF - Base'!Z$14)*$B12*(1+'Audit &amp; Checks'!$D$19)+'Capa DCF - Base'!Z$57)*(MAX($C12,'Capa DCF - Base'!$I$61-17*'Audit &amp; Checks'!$D$18)-'Capa DCF - Base'!Z$67)*(1-'Capa DCF - Base'!Z$71)*'Capa DCF - Base'!Z$78</x:f>
        <x:v>1104971.1920375882</x:v>
      </x:c>
      <x:c r="AB12" s="169"/>
      <x:c r="AC12" s="169"/>
    </x:row>
    <x:row r="13" ht="18" customHeight="1">
      <x:c r="A13" s="169" t="n">
        <x:v>8</x:v>
      </x:c>
      <x:c r="B13" s="174" t="n">
        <x:f>'Capa DCF - Base'!D98</x:f>
        <x:v>0.45</x:v>
      </x:c>
      <x:c r="C13" s="174" t="n">
        <x:f>'Capa DCF - Base'!F96</x:f>
        <x:v>0.6</x:v>
      </x:c>
      <x:c r="D13" s="169" t="n">
        <x:f>NPV('Capa DCF - Base'!$D$81,'Capa DCF - Base'!$G$79:$I$79)</x:f>
        <x:v>586118.0536624773</x:v>
      </x:c>
      <x:c r="E13" s="169" t="n">
        <x:f>NPV('Capa DCF - Base'!$D$81,K13:AA13)/(1+'Capa DCF - Base'!$D$81)^3</x:f>
        <x:v>2933774.822355612</x:v>
      </x:c>
      <x:c r="F13" s="169" t="n">
        <x:f>IF('Audit &amp; Checks'!$D$10=1,AA13*(1+'Capa DCF - Base'!$D$83)/('Capa DCF - Base'!$D$81-'Capa DCF - Base'!$D$83),0)</x:f>
        <x:v>15682091.148533462</x:v>
      </x:c>
      <x:c r="G13" s="169" t="n">
        <x:f>F13/(1+'Capa DCF - Base'!$D$81)^'Audit &amp; Checks'!$D$7</x:f>
        <x:v>2331042.92332332</x:v>
      </x:c>
      <x:c r="H13" s="169" t="n">
        <x:f>SUM(D13:E13,G13)*'Audit &amp; Checks'!$D$9</x:f>
        <x:v>6226093.402147801</x:v>
      </x:c>
      <x:c r="I13" s="173" t="n">
        <x:f>IF('Audit &amp; Checks'!$D$10=1,H13/'Capa DCF - Base'!$D$86,0)</x:f>
        <x:v>258.3441245704482</x:v>
      </x:c>
      <x:c r="J13" s="169"/>
      <x:c r="K13" s="169" t="n">
        <x:f>('Capa DCF - Base'!J$6*(1-'Capa DCF - Base'!J$13-'Capa DCF - Base'!J$14)*'Capa DCF - Base'!J$53*(1+'Audit &amp; Checks'!$D$19)+'Capa DCF - Base'!J$57)*(MAX($C13,'Capa DCF - Base'!$I$61-1*'Audit &amp; Checks'!$D$18)-'Capa DCF - Base'!J$67)*(1-'Capa DCF - Base'!J$71)*'Capa DCF - Base'!J$78</x:f>
        <x:v>403773.32274527336</x:v>
      </x:c>
      <x:c r="L13" s="169" t="n">
        <x:f>('Capa DCF - Base'!K$6*(1-'Capa DCF - Base'!K$13-'Capa DCF - Base'!K$14)*'Capa DCF - Base'!K$53*(1+'Audit &amp; Checks'!$D$19)+'Capa DCF - Base'!K$57)*(MAX($C13,'Capa DCF - Base'!$I$61-2*'Audit &amp; Checks'!$D$18)-'Capa DCF - Base'!K$67)*(1-'Capa DCF - Base'!K$71)*'Capa DCF - Base'!K$78</x:f>
        <x:v>384968.63749367814</x:v>
      </x:c>
      <x:c r="M13" s="169" t="n">
        <x:f>('Capa DCF - Base'!L$6*(1-'Capa DCF - Base'!L$13-'Capa DCF - Base'!L$14)*$B13*(1+'Audit &amp; Checks'!$D$19)+'Capa DCF - Base'!L$57)*(MAX($C13,'Capa DCF - Base'!$I$61-3*'Audit &amp; Checks'!$D$18)-'Capa DCF - Base'!L$67)*(1-'Capa DCF - Base'!L$71)*'Capa DCF - Base'!L$78</x:f>
        <x:v>338922.92323529214</x:v>
      </x:c>
      <x:c r="N13" s="169" t="n">
        <x:f>('Capa DCF - Base'!M$6*(1-'Capa DCF - Base'!M$13-'Capa DCF - Base'!M$14)*$B13*(1+'Audit &amp; Checks'!$D$19)+'Capa DCF - Base'!M$57)*(MAX($C13,'Capa DCF - Base'!$I$61-4*'Audit &amp; Checks'!$D$18)-'Capa DCF - Base'!M$67)*(1-'Capa DCF - Base'!M$71)*'Capa DCF - Base'!M$78</x:f>
        <x:v>361511.85538879293</x:v>
      </x:c>
      <x:c r="O13" s="169" t="n">
        <x:f>('Capa DCF - Base'!N$6*(1-'Capa DCF - Base'!N$13-'Capa DCF - Base'!N$14)*$B13*(1+'Audit &amp; Checks'!$D$19)+'Capa DCF - Base'!N$57)*(MAX($C13,'Capa DCF - Base'!$I$61-5*'Audit &amp; Checks'!$D$18)-'Capa DCF - Base'!N$67)*(1-'Capa DCF - Base'!N$71)*'Capa DCF - Base'!N$78</x:f>
        <x:v>385048.53006129013</x:v>
      </x:c>
      <x:c r="P13" s="169" t="n">
        <x:f>('Capa DCF - Base'!O$6*(1-'Capa DCF - Base'!O$13-'Capa DCF - Base'!O$14)*$B13*(1+'Audit &amp; Checks'!$D$19)+'Capa DCF - Base'!O$57)*(MAX($C13,'Capa DCF - Base'!$I$61-6*'Audit &amp; Checks'!$D$18)-'Capa DCF - Base'!O$67)*(1-'Capa DCF - Base'!O$71)*'Capa DCF - Base'!O$78</x:f>
        <x:v>400104.07025008404</x:v>
      </x:c>
      <x:c r="Q13" s="169" t="n">
        <x:f>('Capa DCF - Base'!P$6*(1-'Capa DCF - Base'!P$13-'Capa DCF - Base'!P$14)*$B13*(1+'Audit &amp; Checks'!$D$19)+'Capa DCF - Base'!P$57)*(MAX($C13,'Capa DCF - Base'!$I$61-7*'Audit &amp; Checks'!$D$18)-'Capa DCF - Base'!P$67)*(1-'Capa DCF - Base'!P$71)*'Capa DCF - Base'!P$78</x:f>
        <x:v>431215.9255277742</x:v>
      </x:c>
      <x:c r="R13" s="169" t="n">
        <x:f>('Capa DCF - Base'!Q$6*(1-'Capa DCF - Base'!Q$13-'Capa DCF - Base'!Q$14)*$B13*(1+'Audit &amp; Checks'!$D$19)+'Capa DCF - Base'!Q$57)*(MAX($C13,'Capa DCF - Base'!$I$61-8*'Audit &amp; Checks'!$D$18)-'Capa DCF - Base'!Q$67)*(1-'Capa DCF - Base'!Q$71)*'Capa DCF - Base'!Q$78</x:f>
        <x:v>464816.72922767955</x:v>
      </x:c>
      <x:c r="S13" s="169" t="n">
        <x:f>('Capa DCF - Base'!R$6*(1-'Capa DCF - Base'!R$13-'Capa DCF - Base'!R$14)*$B13*(1+'Audit &amp; Checks'!$D$19)+'Capa DCF - Base'!R$57)*(MAX($C13,'Capa DCF - Base'!$I$61-9*'Audit &amp; Checks'!$D$18)-'Capa DCF - Base'!R$67)*(1-'Capa DCF - Base'!R$71)*'Capa DCF - Base'!R$78</x:f>
        <x:v>501105.5972235774</x:v>
      </x:c>
      <x:c r="T13" s="169" t="n">
        <x:f>('Capa DCF - Base'!S$6*(1-'Capa DCF - Base'!S$13-'Capa DCF - Base'!S$14)*$B13*(1+'Audit &amp; Checks'!$D$19)+'Capa DCF - Base'!S$57)*(MAX($C13,'Capa DCF - Base'!$I$61-10*'Audit &amp; Checks'!$D$18)-'Capa DCF - Base'!S$67)*(1-'Capa DCF - Base'!S$71)*'Capa DCF - Base'!S$78</x:f>
        <x:v>540297.5746591468</x:v>
      </x:c>
      <x:c r="U13" s="169" t="n">
        <x:f>('Capa DCF - Base'!T$6*(1-'Capa DCF - Base'!T$13-'Capa DCF - Base'!T$14)*$B13*(1+'Audit &amp; Checks'!$D$19)+'Capa DCF - Base'!T$57)*(MAX($C13,'Capa DCF - Base'!$I$61-11*'Audit &amp; Checks'!$D$18)-'Capa DCF - Base'!T$67)*(1-'Capa DCF - Base'!T$71)*'Capa DCF - Base'!T$78</x:f>
        <x:v>582624.9102895621</x:v>
      </x:c>
      <x:c r="V13" s="169" t="n">
        <x:f>('Capa DCF - Base'!U$6*(1-'Capa DCF - Base'!U$13-'Capa DCF - Base'!U$14)*$B13*(1+'Audit &amp; Checks'!$D$19)+'Capa DCF - Base'!U$57)*(MAX($C13,'Capa DCF - Base'!$I$61-12*'Audit &amp; Checks'!$D$18)-'Capa DCF - Base'!U$67)*(1-'Capa DCF - Base'!U$71)*'Capa DCF - Base'!U$78</x:f>
        <x:v>628338.4327704103</x:v>
      </x:c>
      <x:c r="W13" s="169" t="n">
        <x:f>('Capa DCF - Base'!V$6*(1-'Capa DCF - Base'!V$13-'Capa DCF - Base'!V$14)*$B13*(1+'Audit &amp; Checks'!$D$19)+'Capa DCF - Base'!V$57)*(MAX($C13,'Capa DCF - Base'!$I$61-13*'Audit &amp; Checks'!$D$18)-'Capa DCF - Base'!V$67)*(1-'Capa DCF - Base'!V$71)*'Capa DCF - Base'!V$78</x:f>
        <x:v>677709.0370497266</x:v>
      </x:c>
      <x:c r="X13" s="169" t="n">
        <x:f>('Capa DCF - Base'!W$6*(1-'Capa DCF - Base'!W$13-'Capa DCF - Base'!W$14)*$B13*(1+'Audit &amp; Checks'!$D$19)+'Capa DCF - Base'!W$57)*(MAX($C13,'Capa DCF - Base'!$I$61-14*'Audit &amp; Checks'!$D$18)-'Capa DCF - Base'!W$67)*(1-'Capa DCF - Base'!W$71)*'Capa DCF - Base'!W$78</x:f>
        <x:v>731029.2896713882</x:v>
      </x:c>
      <x:c r="Y13" s="169" t="n">
        <x:f>('Capa DCF - Base'!X$6*(1-'Capa DCF - Base'!X$13-'Capa DCF - Base'!X$14)*$B13*(1+'Audit &amp; Checks'!$D$19)+'Capa DCF - Base'!X$57)*(MAX($C13,'Capa DCF - Base'!$I$61-15*'Audit &amp; Checks'!$D$18)-'Capa DCF - Base'!X$67)*(1-'Capa DCF - Base'!X$71)*'Capa DCF - Base'!X$78</x:f>
        <x:v>788615.1625027828</x:v>
      </x:c>
      <x:c r="Z13" s="169" t="n">
        <x:f>('Capa DCF - Base'!Y$6*(1-'Capa DCF - Base'!Y$13-'Capa DCF - Base'!Y$14)*$B13*(1+'Audit &amp; Checks'!$D$19)+'Capa DCF - Base'!Y$57)*(MAX($C13,'Capa DCF - Base'!$I$61-16*'Audit &amp; Checks'!$D$18)-'Capa DCF - Base'!Y$67)*(1-'Capa DCF - Base'!Y$71)*'Capa DCF - Base'!Y$78</x:f>
        <x:v>850807.9051606888</x:v>
      </x:c>
      <x:c r="AA13" s="169" t="n">
        <x:f>('Capa DCF - Base'!Z$6*(1-'Capa DCF - Base'!Z$13-'Capa DCF - Base'!Z$14)*$B13*(1+'Audit &amp; Checks'!$D$19)+'Capa DCF - Base'!Z$57)*(MAX($C13,'Capa DCF - Base'!$I$61-17*'Audit &amp; Checks'!$D$18)-'Capa DCF - Base'!Z$67)*(1-'Capa DCF - Base'!Z$71)*'Capa DCF - Base'!Z$78</x:f>
        <x:v>1147470.084039034</x:v>
      </x:c>
      <x:c r="AB13" s="169"/>
      <x:c r="AC13" s="169"/>
    </x:row>
    <x:row r="14" ht="18" customHeight="1">
      <x:c r="A14" s="169" t="n">
        <x:v>9</x:v>
      </x:c>
      <x:c r="B14" s="174" t="n">
        <x:f>'Capa DCF - Base'!D98</x:f>
        <x:v>0.45</x:v>
      </x:c>
      <x:c r="C14" s="174" t="n">
        <x:f>'Capa DCF - Base'!G96</x:f>
        <x:v>0.62</x:v>
      </x:c>
      <x:c r="D14" s="169" t="n">
        <x:f>NPV('Capa DCF - Base'!$D$81,'Capa DCF - Base'!$G$79:$I$79)</x:f>
        <x:v>586118.0536624773</x:v>
      </x:c>
      <x:c r="E14" s="169" t="n">
        <x:f>NPV('Capa DCF - Base'!$D$81,K14:AA14)/(1+'Capa DCF - Base'!$D$81)^3</x:f>
        <x:v>3002756.418480369</x:v>
      </x:c>
      <x:c r="F14" s="169" t="n">
        <x:f>IF('Audit &amp; Checks'!$D$10=1,AA14*(1+'Capa DCF - Base'!$D$83)/('Capa DCF - Base'!$D$81-'Capa DCF - Base'!$D$83),0)</x:f>
        <x:v>16262909.339219885</x:v>
      </x:c>
      <x:c r="G14" s="169" t="n">
        <x:f>F14/(1+'Capa DCF - Base'!$D$81)^'Audit &amp; Checks'!$D$7</x:f>
        <x:v>2417377.8464093693</x:v>
      </x:c>
      <x:c r="H14" s="169" t="n">
        <x:f>SUM(D14:E14,G14)*'Audit &amp; Checks'!$D$9</x:f>
        <x:v>6391368.69975264</x:v>
      </x:c>
      <x:c r="I14" s="173" t="n">
        <x:f>IF('Audit &amp; Checks'!$D$10=1,H14/'Capa DCF - Base'!$D$86,0)</x:f>
        <x:v>265.2020207366241</x:v>
      </x:c>
      <x:c r="J14" s="169"/>
      <x:c r="K14" s="169" t="n">
        <x:f>('Capa DCF - Base'!J$6*(1-'Capa DCF - Base'!J$13-'Capa DCF - Base'!J$14)*'Capa DCF - Base'!J$53*(1+'Audit &amp; Checks'!$D$19)+'Capa DCF - Base'!J$57)*(MAX($C14,'Capa DCF - Base'!$I$61-1*'Audit &amp; Checks'!$D$18)-'Capa DCF - Base'!J$67)*(1-'Capa DCF - Base'!J$71)*'Capa DCF - Base'!J$78</x:f>
        <x:v>403773.32274527336</x:v>
      </x:c>
      <x:c r="L14" s="169" t="n">
        <x:f>('Capa DCF - Base'!K$6*(1-'Capa DCF - Base'!K$13-'Capa DCF - Base'!K$14)*'Capa DCF - Base'!K$53*(1+'Audit &amp; Checks'!$D$19)+'Capa DCF - Base'!K$57)*(MAX($C14,'Capa DCF - Base'!$I$61-2*'Audit &amp; Checks'!$D$18)-'Capa DCF - Base'!K$67)*(1-'Capa DCF - Base'!K$71)*'Capa DCF - Base'!K$78</x:f>
        <x:v>384968.63749367814</x:v>
      </x:c>
      <x:c r="M14" s="169" t="n">
        <x:f>('Capa DCF - Base'!L$6*(1-'Capa DCF - Base'!L$13-'Capa DCF - Base'!L$14)*$B14*(1+'Audit &amp; Checks'!$D$19)+'Capa DCF - Base'!L$57)*(MAX($C14,'Capa DCF - Base'!$I$61-3*'Audit &amp; Checks'!$D$18)-'Capa DCF - Base'!L$67)*(1-'Capa DCF - Base'!L$71)*'Capa DCF - Base'!L$78</x:f>
        <x:v>338922.92323529214</x:v>
      </x:c>
      <x:c r="N14" s="169" t="n">
        <x:f>('Capa DCF - Base'!M$6*(1-'Capa DCF - Base'!M$13-'Capa DCF - Base'!M$14)*$B14*(1+'Audit &amp; Checks'!$D$19)+'Capa DCF - Base'!M$57)*(MAX($C14,'Capa DCF - Base'!$I$61-4*'Audit &amp; Checks'!$D$18)-'Capa DCF - Base'!M$67)*(1-'Capa DCF - Base'!M$71)*'Capa DCF - Base'!M$78</x:f>
        <x:v>361511.85538879293</x:v>
      </x:c>
      <x:c r="O14" s="169" t="n">
        <x:f>('Capa DCF - Base'!N$6*(1-'Capa DCF - Base'!N$13-'Capa DCF - Base'!N$14)*$B14*(1+'Audit &amp; Checks'!$D$19)+'Capa DCF - Base'!N$57)*(MAX($C14,'Capa DCF - Base'!$I$61-5*'Audit &amp; Checks'!$D$18)-'Capa DCF - Base'!N$67)*(1-'Capa DCF - Base'!N$71)*'Capa DCF - Base'!N$78</x:f>
        <x:v>385048.53006129013</x:v>
      </x:c>
      <x:c r="P14" s="169" t="n">
        <x:f>('Capa DCF - Base'!O$6*(1-'Capa DCF - Base'!O$13-'Capa DCF - Base'!O$14)*$B14*(1+'Audit &amp; Checks'!$D$19)+'Capa DCF - Base'!O$57)*(MAX($C14,'Capa DCF - Base'!$I$61-6*'Audit &amp; Checks'!$D$18)-'Capa DCF - Base'!O$67)*(1-'Capa DCF - Base'!O$71)*'Capa DCF - Base'!O$78</x:f>
        <x:v>414922.73951860575</x:v>
      </x:c>
      <x:c r="Q14" s="169" t="n">
        <x:f>('Capa DCF - Base'!P$6*(1-'Capa DCF - Base'!P$13-'Capa DCF - Base'!P$14)*$B14*(1+'Audit &amp; Checks'!$D$19)+'Capa DCF - Base'!P$57)*(MAX($C14,'Capa DCF - Base'!$I$61-7*'Audit &amp; Checks'!$D$18)-'Capa DCF - Base'!P$67)*(1-'Capa DCF - Base'!P$71)*'Capa DCF - Base'!P$78</x:f>
        <x:v>447186.88573250663</x:v>
      </x:c>
      <x:c r="R14" s="169" t="n">
        <x:f>('Capa DCF - Base'!Q$6*(1-'Capa DCF - Base'!Q$13-'Capa DCF - Base'!Q$14)*$B14*(1+'Audit &amp; Checks'!$D$19)+'Capa DCF - Base'!Q$57)*(MAX($C14,'Capa DCF - Base'!$I$61-8*'Audit &amp; Checks'!$D$18)-'Capa DCF - Base'!Q$67)*(1-'Capa DCF - Base'!Q$71)*'Capa DCF - Base'!Q$78</x:f>
        <x:v>482032.1636435195</x:v>
      </x:c>
      <x:c r="S14" s="169" t="n">
        <x:f>('Capa DCF - Base'!R$6*(1-'Capa DCF - Base'!R$13-'Capa DCF - Base'!R$14)*$B14*(1+'Audit &amp; Checks'!$D$19)+'Capa DCF - Base'!R$57)*(MAX($C14,'Capa DCF - Base'!$I$61-9*'Audit &amp; Checks'!$D$18)-'Capa DCF - Base'!R$67)*(1-'Capa DCF - Base'!R$71)*'Capa DCF - Base'!R$78</x:f>
        <x:v>519665.0637874136</x:v>
      </x:c>
      <x:c r="T14" s="169" t="n">
        <x:f>('Capa DCF - Base'!S$6*(1-'Capa DCF - Base'!S$13-'Capa DCF - Base'!S$14)*$B14*(1+'Audit &amp; Checks'!$D$19)+'Capa DCF - Base'!S$57)*(MAX($C14,'Capa DCF - Base'!$I$61-10*'Audit &amp; Checks'!$D$18)-'Capa DCF - Base'!S$67)*(1-'Capa DCF - Base'!S$71)*'Capa DCF - Base'!S$78</x:f>
        <x:v>560308.5959428189</x:v>
      </x:c>
      <x:c r="U14" s="169" t="n">
        <x:f>('Capa DCF - Base'!T$6*(1-'Capa DCF - Base'!T$13-'Capa DCF - Base'!T$14)*$B14*(1+'Audit &amp; Checks'!$D$19)+'Capa DCF - Base'!T$57)*(MAX($C14,'Capa DCF - Base'!$I$61-11*'Audit &amp; Checks'!$D$18)-'Capa DCF - Base'!T$67)*(1-'Capa DCF - Base'!T$71)*'Capa DCF - Base'!T$78</x:f>
        <x:v>604203.6106706569</x:v>
      </x:c>
      <x:c r="V14" s="169" t="n">
        <x:f>('Capa DCF - Base'!U$6*(1-'Capa DCF - Base'!U$13-'Capa DCF - Base'!U$14)*$B14*(1+'Audit &amp; Checks'!$D$19)+'Capa DCF - Base'!U$57)*(MAX($C14,'Capa DCF - Base'!$I$61-12*'Audit &amp; Checks'!$D$18)-'Capa DCF - Base'!U$67)*(1-'Capa DCF - Base'!U$71)*'Capa DCF - Base'!U$78</x:f>
        <x:v>651610.2265767219</x:v>
      </x:c>
      <x:c r="W14" s="169" t="n">
        <x:f>('Capa DCF - Base'!V$6*(1-'Capa DCF - Base'!V$13-'Capa DCF - Base'!V$14)*$B14*(1+'Audit &amp; Checks'!$D$19)+'Capa DCF - Base'!V$57)*(MAX($C14,'Capa DCF - Base'!$I$61-13*'Audit &amp; Checks'!$D$18)-'Capa DCF - Base'!V$67)*(1-'Capa DCF - Base'!V$71)*'Capa DCF - Base'!V$78</x:f>
        <x:v>702809.371755272</x:v>
      </x:c>
      <x:c r="X14" s="169" t="n">
        <x:f>('Capa DCF - Base'!W$6*(1-'Capa DCF - Base'!W$13-'Capa DCF - Base'!W$14)*$B14*(1+'Audit &amp; Checks'!$D$19)+'Capa DCF - Base'!W$57)*(MAX($C14,'Capa DCF - Base'!$I$61-14*'Audit &amp; Checks'!$D$18)-'Capa DCF - Base'!W$67)*(1-'Capa DCF - Base'!W$71)*'Capa DCF - Base'!W$78</x:f>
        <x:v>758104.4485481062</x:v>
      </x:c>
      <x:c r="Y14" s="169" t="n">
        <x:f>('Capa DCF - Base'!X$6*(1-'Capa DCF - Base'!X$13-'Capa DCF - Base'!X$14)*$B14*(1+'Audit &amp; Checks'!$D$19)+'Capa DCF - Base'!X$57)*(MAX($C14,'Capa DCF - Base'!$I$61-15*'Audit &amp; Checks'!$D$18)-'Capa DCF - Base'!X$67)*(1-'Capa DCF - Base'!X$71)*'Capa DCF - Base'!X$78</x:f>
        <x:v>817823.1314843674</x:v>
      </x:c>
      <x:c r="Z14" s="169" t="n">
        <x:f>('Capa DCF - Base'!Y$6*(1-'Capa DCF - Base'!Y$13-'Capa DCF - Base'!Y$14)*$B14*(1+'Audit &amp; Checks'!$D$19)+'Capa DCF - Base'!Y$57)*(MAX($C14,'Capa DCF - Base'!$I$61-16*'Audit &amp; Checks'!$D$18)-'Capa DCF - Base'!Y$67)*(1-'Capa DCF - Base'!Y$71)*'Capa DCF - Base'!Y$78</x:f>
        <x:v>882319.3090555292</x:v>
      </x:c>
      <x:c r="AA14" s="169" t="n">
        <x:f>('Capa DCF - Base'!Z$6*(1-'Capa DCF - Base'!Z$13-'Capa DCF - Base'!Z$14)*$B14*(1+'Audit &amp; Checks'!$D$19)+'Capa DCF - Base'!Z$57)*(MAX($C14,'Capa DCF - Base'!$I$61-17*'Audit &amp; Checks'!$D$18)-'Capa DCF - Base'!Z$67)*(1-'Capa DCF - Base'!Z$71)*'Capa DCF - Base'!Z$78</x:f>
        <x:v>1189968.9760404797</x:v>
      </x:c>
      <x:c r="AB14" s="169"/>
      <x:c r="AC14" s="169"/>
    </x:row>
    <x:row r="15" ht="18" customHeight="1">
      <x:c r="A15" s="169" t="n">
        <x:v>10</x:v>
      </x:c>
      <x:c r="B15" s="174" t="n">
        <x:f>'Capa DCF - Base'!D98</x:f>
        <x:v>0.45</x:v>
      </x:c>
      <x:c r="C15" s="174" t="n">
        <x:f>'Capa DCF - Base'!H96</x:f>
        <x:v>0.64</x:v>
      </x:c>
      <x:c r="D15" s="169" t="n">
        <x:f>NPV('Capa DCF - Base'!$D$81,'Capa DCF - Base'!$G$79:$I$79)</x:f>
        <x:v>586118.0536624773</x:v>
      </x:c>
      <x:c r="E15" s="169" t="n">
        <x:f>NPV('Capa DCF - Base'!$D$81,K15:AA15)/(1+'Capa DCF - Base'!$D$81)^3</x:f>
        <x:v>3078153.2996412865</x:v>
      </x:c>
      <x:c r="F15" s="169" t="n">
        <x:f>IF('Audit &amp; Checks'!$D$10=1,AA15*(1+'Capa DCF - Base'!$D$83)/('Capa DCF - Base'!$D$81-'Capa DCF - Base'!$D$83),0)</x:f>
        <x:v>16843727.52990631</x:v>
      </x:c>
      <x:c r="G15" s="169" t="n">
        <x:f>F15/(1+'Capa DCF - Base'!$D$81)^'Audit &amp; Checks'!$D$7</x:f>
        <x:v>2503712.7694954183</x:v>
      </x:c>
      <x:c r="H15" s="169" t="n">
        <x:f>SUM(D15:E15,G15)*'Audit &amp; Checks'!$D$9</x:f>
        <x:v>6563470.62564505</x:v>
      </x:c>
      <x:c r="I15" s="173" t="n">
        <x:f>IF('Audit &amp; Checks'!$D$10=1,H15/'Capa DCF - Base'!$D$86,0)</x:f>
        <x:v>272.34317948734645</x:v>
      </x:c>
      <x:c r="J15" s="169"/>
      <x:c r="K15" s="169" t="n">
        <x:f>('Capa DCF - Base'!J$6*(1-'Capa DCF - Base'!J$13-'Capa DCF - Base'!J$14)*'Capa DCF - Base'!J$53*(1+'Audit &amp; Checks'!$D$19)+'Capa DCF - Base'!J$57)*(MAX($C15,'Capa DCF - Base'!$I$61-1*'Audit &amp; Checks'!$D$18)-'Capa DCF - Base'!J$67)*(1-'Capa DCF - Base'!J$71)*'Capa DCF - Base'!J$78</x:f>
        <x:v>403773.32274527336</x:v>
      </x:c>
      <x:c r="L15" s="169" t="n">
        <x:f>('Capa DCF - Base'!K$6*(1-'Capa DCF - Base'!K$13-'Capa DCF - Base'!K$14)*'Capa DCF - Base'!K$53*(1+'Audit &amp; Checks'!$D$19)+'Capa DCF - Base'!K$57)*(MAX($C15,'Capa DCF - Base'!$I$61-2*'Audit &amp; Checks'!$D$18)-'Capa DCF - Base'!K$67)*(1-'Capa DCF - Base'!K$71)*'Capa DCF - Base'!K$78</x:f>
        <x:v>384968.63749367814</x:v>
      </x:c>
      <x:c r="M15" s="169" t="n">
        <x:f>('Capa DCF - Base'!L$6*(1-'Capa DCF - Base'!L$13-'Capa DCF - Base'!L$14)*$B15*(1+'Audit &amp; Checks'!$D$19)+'Capa DCF - Base'!L$57)*(MAX($C15,'Capa DCF - Base'!$I$61-3*'Audit &amp; Checks'!$D$18)-'Capa DCF - Base'!L$67)*(1-'Capa DCF - Base'!L$71)*'Capa DCF - Base'!L$78</x:f>
        <x:v>338922.92323529214</x:v>
      </x:c>
      <x:c r="N15" s="169" t="n">
        <x:f>('Capa DCF - Base'!M$6*(1-'Capa DCF - Base'!M$13-'Capa DCF - Base'!M$14)*$B15*(1+'Audit &amp; Checks'!$D$19)+'Capa DCF - Base'!M$57)*(MAX($C15,'Capa DCF - Base'!$I$61-4*'Audit &amp; Checks'!$D$18)-'Capa DCF - Base'!M$67)*(1-'Capa DCF - Base'!M$71)*'Capa DCF - Base'!M$78</x:f>
        <x:v>361511.85538879293</x:v>
      </x:c>
      <x:c r="O15" s="169" t="n">
        <x:f>('Capa DCF - Base'!N$6*(1-'Capa DCF - Base'!N$13-'Capa DCF - Base'!N$14)*$B15*(1+'Audit &amp; Checks'!$D$19)+'Capa DCF - Base'!N$57)*(MAX($C15,'Capa DCF - Base'!$I$61-5*'Audit &amp; Checks'!$D$18)-'Capa DCF - Base'!N$67)*(1-'Capa DCF - Base'!N$71)*'Capa DCF - Base'!N$78</x:f>
        <x:v>398800.26327776484</x:v>
      </x:c>
      <x:c r="P15" s="169" t="n">
        <x:f>('Capa DCF - Base'!O$6*(1-'Capa DCF - Base'!O$13-'Capa DCF - Base'!O$14)*$B15*(1+'Audit &amp; Checks'!$D$19)+'Capa DCF - Base'!O$57)*(MAX($C15,'Capa DCF - Base'!$I$61-6*'Audit &amp; Checks'!$D$18)-'Capa DCF - Base'!O$67)*(1-'Capa DCF - Base'!O$71)*'Capa DCF - Base'!O$78</x:f>
        <x:v>429741.4087871274</x:v>
      </x:c>
      <x:c r="Q15" s="169" t="n">
        <x:f>('Capa DCF - Base'!P$6*(1-'Capa DCF - Base'!P$13-'Capa DCF - Base'!P$14)*$B15*(1+'Audit &amp; Checks'!$D$19)+'Capa DCF - Base'!P$57)*(MAX($C15,'Capa DCF - Base'!$I$61-7*'Audit &amp; Checks'!$D$18)-'Capa DCF - Base'!P$67)*(1-'Capa DCF - Base'!P$71)*'Capa DCF - Base'!P$78</x:f>
        <x:v>463157.84593723895</x:v>
      </x:c>
      <x:c r="R15" s="169" t="n">
        <x:f>('Capa DCF - Base'!Q$6*(1-'Capa DCF - Base'!Q$13-'Capa DCF - Base'!Q$14)*$B15*(1+'Audit &amp; Checks'!$D$19)+'Capa DCF - Base'!Q$57)*(MAX($C15,'Capa DCF - Base'!$I$61-8*'Audit &amp; Checks'!$D$18)-'Capa DCF - Base'!Q$67)*(1-'Capa DCF - Base'!Q$71)*'Capa DCF - Base'!Q$78</x:f>
        <x:v>499247.5980593595</x:v>
      </x:c>
      <x:c r="S15" s="169" t="n">
        <x:f>('Capa DCF - Base'!R$6*(1-'Capa DCF - Base'!R$13-'Capa DCF - Base'!R$14)*$B15*(1+'Audit &amp; Checks'!$D$19)+'Capa DCF - Base'!R$57)*(MAX($C15,'Capa DCF - Base'!$I$61-9*'Audit &amp; Checks'!$D$18)-'Capa DCF - Base'!R$67)*(1-'Capa DCF - Base'!R$71)*'Capa DCF - Base'!R$78</x:f>
        <x:v>538224.5303512499</x:v>
      </x:c>
      <x:c r="T15" s="169" t="n">
        <x:f>('Capa DCF - Base'!S$6*(1-'Capa DCF - Base'!S$13-'Capa DCF - Base'!S$14)*$B15*(1+'Audit &amp; Checks'!$D$19)+'Capa DCF - Base'!S$57)*(MAX($C15,'Capa DCF - Base'!$I$61-10*'Audit &amp; Checks'!$D$18)-'Capa DCF - Base'!S$67)*(1-'Capa DCF - Base'!S$71)*'Capa DCF - Base'!S$78</x:f>
        <x:v>580319.6172264911</x:v>
      </x:c>
      <x:c r="U15" s="169" t="n">
        <x:f>('Capa DCF - Base'!T$6*(1-'Capa DCF - Base'!T$13-'Capa DCF - Base'!T$14)*$B15*(1+'Audit &amp; Checks'!$D$19)+'Capa DCF - Base'!T$57)*(MAX($C15,'Capa DCF - Base'!$I$61-11*'Audit &amp; Checks'!$D$18)-'Capa DCF - Base'!T$67)*(1-'Capa DCF - Base'!T$71)*'Capa DCF - Base'!T$78</x:f>
        <x:v>625782.3110517518</x:v>
      </x:c>
      <x:c r="V15" s="169" t="n">
        <x:f>('Capa DCF - Base'!U$6*(1-'Capa DCF - Base'!U$13-'Capa DCF - Base'!U$14)*$B15*(1+'Audit &amp; Checks'!$D$19)+'Capa DCF - Base'!U$57)*(MAX($C15,'Capa DCF - Base'!$I$61-12*'Audit &amp; Checks'!$D$18)-'Capa DCF - Base'!U$67)*(1-'Capa DCF - Base'!U$71)*'Capa DCF - Base'!U$78</x:f>
        <x:v>674882.0203830334</x:v>
      </x:c>
      <x:c r="W15" s="169" t="n">
        <x:f>('Capa DCF - Base'!V$6*(1-'Capa DCF - Base'!V$13-'Capa DCF - Base'!V$14)*$B15*(1+'Audit &amp; Checks'!$D$19)+'Capa DCF - Base'!V$57)*(MAX($C15,'Capa DCF - Base'!$I$61-13*'Audit &amp; Checks'!$D$18)-'Capa DCF - Base'!V$67)*(1-'Capa DCF - Base'!V$71)*'Capa DCF - Base'!V$78</x:f>
        <x:v>727909.7064608175</x:v>
      </x:c>
      <x:c r="X15" s="169" t="n">
        <x:f>('Capa DCF - Base'!W$6*(1-'Capa DCF - Base'!W$13-'Capa DCF - Base'!W$14)*$B15*(1+'Audit &amp; Checks'!$D$19)+'Capa DCF - Base'!W$57)*(MAX($C15,'Capa DCF - Base'!$I$61-14*'Audit &amp; Checks'!$D$18)-'Capa DCF - Base'!W$67)*(1-'Capa DCF - Base'!W$71)*'Capa DCF - Base'!W$78</x:f>
        <x:v>785179.6074248245</x:v>
      </x:c>
      <x:c r="Y15" s="169" t="n">
        <x:f>('Capa DCF - Base'!X$6*(1-'Capa DCF - Base'!X$13-'Capa DCF - Base'!X$14)*$B15*(1+'Audit &amp; Checks'!$D$19)+'Capa DCF - Base'!X$57)*(MAX($C15,'Capa DCF - Base'!$I$61-15*'Audit &amp; Checks'!$D$18)-'Capa DCF - Base'!X$67)*(1-'Capa DCF - Base'!X$71)*'Capa DCF - Base'!X$78</x:f>
        <x:v>847031.100465952</x:v>
      </x:c>
      <x:c r="Z15" s="169" t="n">
        <x:f>('Capa DCF - Base'!Y$6*(1-'Capa DCF - Base'!Y$13-'Capa DCF - Base'!Y$14)*$B15*(1+'Audit &amp; Checks'!$D$19)+'Capa DCF - Base'!Y$57)*(MAX($C15,'Capa DCF - Base'!$I$61-16*'Audit &amp; Checks'!$D$18)-'Capa DCF - Base'!Y$67)*(1-'Capa DCF - Base'!Y$71)*'Capa DCF - Base'!Y$78</x:f>
        <x:v>913830.7129503698</x:v>
      </x:c>
      <x:c r="AA15" s="169" t="n">
        <x:f>('Capa DCF - Base'!Z$6*(1-'Capa DCF - Base'!Z$13-'Capa DCF - Base'!Z$14)*$B15*(1+'Audit &amp; Checks'!$D$19)+'Capa DCF - Base'!Z$57)*(MAX($C15,'Capa DCF - Base'!$I$61-17*'Audit &amp; Checks'!$D$18)-'Capa DCF - Base'!Z$67)*(1-'Capa DCF - Base'!Z$71)*'Capa DCF - Base'!Z$78</x:f>
        <x:v>1232467.8680419256</x:v>
      </x:c>
      <x:c r="AB15" s="169"/>
      <x:c r="AC15" s="169"/>
    </x:row>
    <x:row r="16" ht="18" customHeight="1">
      <x:c r="A16" s="169" t="n">
        <x:v>11</x:v>
      </x:c>
      <x:c r="B16" s="174" t="n">
        <x:f>'Capa DCF - Base'!D98</x:f>
        <x:v>0.45</x:v>
      </x:c>
      <x:c r="C16" s="174" t="n">
        <x:f>'Capa DCF - Base'!I96</x:f>
        <x:v>0.66</x:v>
      </x:c>
      <x:c r="D16" s="169" t="n">
        <x:f>NPV('Capa DCF - Base'!$D$81,'Capa DCF - Base'!$G$79:$I$79)</x:f>
        <x:v>586118.0536624773</x:v>
      </x:c>
      <x:c r="E16" s="169" t="n">
        <x:f>NPV('Capa DCF - Base'!$D$81,K16:AA16)/(1+'Capa DCF - Base'!$D$81)^3</x:f>
        <x:v>3159947.1719549424</x:v>
      </x:c>
      <x:c r="F16" s="169" t="n">
        <x:f>IF('Audit &amp; Checks'!$D$10=1,AA16*(1+'Capa DCF - Base'!$D$83)/('Capa DCF - Base'!$D$81-'Capa DCF - Base'!$D$83),0)</x:f>
        <x:v>17424545.720592733</x:v>
      </x:c>
      <x:c r="G16" s="169" t="n">
        <x:f>F16/(1+'Capa DCF - Base'!$D$81)^'Audit &amp; Checks'!$D$7</x:f>
        <x:v>2590047.692581467</x:v>
      </x:c>
      <x:c r="H16" s="169" t="n">
        <x:f>SUM(D16:E16,G16)*'Audit &amp; Checks'!$D$9</x:f>
        <x:v>6742379.71295156</x:v>
      </x:c>
      <x:c r="I16" s="173" t="n">
        <x:f>IF('Audit &amp; Checks'!$D$10=1,H16/'Capa DCF - Base'!$D$86,0)</x:f>
        <x:v>279.76679306852947</x:v>
      </x:c>
      <x:c r="J16" s="169"/>
      <x:c r="K16" s="169" t="n">
        <x:f>('Capa DCF - Base'!J$6*(1-'Capa DCF - Base'!J$13-'Capa DCF - Base'!J$14)*'Capa DCF - Base'!J$53*(1+'Audit &amp; Checks'!$D$19)+'Capa DCF - Base'!J$57)*(MAX($C16,'Capa DCF - Base'!$I$61-1*'Audit &amp; Checks'!$D$18)-'Capa DCF - Base'!J$67)*(1-'Capa DCF - Base'!J$71)*'Capa DCF - Base'!J$78</x:f>
        <x:v>403773.32274527336</x:v>
      </x:c>
      <x:c r="L16" s="169" t="n">
        <x:f>('Capa DCF - Base'!K$6*(1-'Capa DCF - Base'!K$13-'Capa DCF - Base'!K$14)*'Capa DCF - Base'!K$53*(1+'Audit &amp; Checks'!$D$19)+'Capa DCF - Base'!K$57)*(MAX($C16,'Capa DCF - Base'!$I$61-2*'Audit &amp; Checks'!$D$18)-'Capa DCF - Base'!K$67)*(1-'Capa DCF - Base'!K$71)*'Capa DCF - Base'!K$78</x:f>
        <x:v>384968.63749367814</x:v>
      </x:c>
      <x:c r="M16" s="169" t="n">
        <x:f>('Capa DCF - Base'!L$6*(1-'Capa DCF - Base'!L$13-'Capa DCF - Base'!L$14)*$B16*(1+'Audit &amp; Checks'!$D$19)+'Capa DCF - Base'!L$57)*(MAX($C16,'Capa DCF - Base'!$I$61-3*'Audit &amp; Checks'!$D$18)-'Capa DCF - Base'!L$67)*(1-'Capa DCF - Base'!L$71)*'Capa DCF - Base'!L$78</x:f>
        <x:v>338922.9232352923</x:v>
      </x:c>
      <x:c r="N16" s="169" t="n">
        <x:f>('Capa DCF - Base'!M$6*(1-'Capa DCF - Base'!M$13-'Capa DCF - Base'!M$14)*$B16*(1+'Audit &amp; Checks'!$D$19)+'Capa DCF - Base'!M$57)*(MAX($C16,'Capa DCF - Base'!$I$61-4*'Audit &amp; Checks'!$D$18)-'Capa DCF - Base'!M$67)*(1-'Capa DCF - Base'!M$71)*'Capa DCF - Base'!M$78</x:f>
        <x:v>373977.78143668245</x:v>
      </x:c>
      <x:c r="O16" s="169" t="n">
        <x:f>('Capa DCF - Base'!N$6*(1-'Capa DCF - Base'!N$13-'Capa DCF - Base'!N$14)*$B16*(1+'Audit &amp; Checks'!$D$19)+'Capa DCF - Base'!N$57)*(MAX($C16,'Capa DCF - Base'!$I$61-5*'Audit &amp; Checks'!$D$18)-'Capa DCF - Base'!N$67)*(1-'Capa DCF - Base'!N$71)*'Capa DCF - Base'!N$78</x:f>
        <x:v>412551.9964942395</x:v>
      </x:c>
      <x:c r="P16" s="169" t="n">
        <x:f>('Capa DCF - Base'!O$6*(1-'Capa DCF - Base'!O$13-'Capa DCF - Base'!O$14)*$B16*(1+'Audit &amp; Checks'!$D$19)+'Capa DCF - Base'!O$57)*(MAX($C16,'Capa DCF - Base'!$I$61-6*'Audit &amp; Checks'!$D$18)-'Capa DCF - Base'!O$67)*(1-'Capa DCF - Base'!O$71)*'Capa DCF - Base'!O$78</x:f>
        <x:v>444560.078055649</x:v>
      </x:c>
      <x:c r="Q16" s="169" t="n">
        <x:f>('Capa DCF - Base'!P$6*(1-'Capa DCF - Base'!P$13-'Capa DCF - Base'!P$14)*$B16*(1+'Audit &amp; Checks'!$D$19)+'Capa DCF - Base'!P$57)*(MAX($C16,'Capa DCF - Base'!$I$61-7*'Audit &amp; Checks'!$D$18)-'Capa DCF - Base'!P$67)*(1-'Capa DCF - Base'!P$71)*'Capa DCF - Base'!P$78</x:f>
        <x:v>479128.8061419714</x:v>
      </x:c>
      <x:c r="R16" s="169" t="n">
        <x:f>('Capa DCF - Base'!Q$6*(1-'Capa DCF - Base'!Q$13-'Capa DCF - Base'!Q$14)*$B16*(1+'Audit &amp; Checks'!$D$19)+'Capa DCF - Base'!Q$57)*(MAX($C16,'Capa DCF - Base'!$I$61-8*'Audit &amp; Checks'!$D$18)-'Capa DCF - Base'!Q$67)*(1-'Capa DCF - Base'!Q$71)*'Capa DCF - Base'!Q$78</x:f>
        <x:v>516463.03247519955</x:v>
      </x:c>
      <x:c r="S16" s="169" t="n">
        <x:f>('Capa DCF - Base'!R$6*(1-'Capa DCF - Base'!R$13-'Capa DCF - Base'!R$14)*$B16*(1+'Audit &amp; Checks'!$D$19)+'Capa DCF - Base'!R$57)*(MAX($C16,'Capa DCF - Base'!$I$61-9*'Audit &amp; Checks'!$D$18)-'Capa DCF - Base'!R$67)*(1-'Capa DCF - Base'!R$71)*'Capa DCF - Base'!R$78</x:f>
        <x:v>556783.996915086</x:v>
      </x:c>
      <x:c r="T16" s="169" t="n">
        <x:f>('Capa DCF - Base'!S$6*(1-'Capa DCF - Base'!S$13-'Capa DCF - Base'!S$14)*$B16*(1+'Audit &amp; Checks'!$D$19)+'Capa DCF - Base'!S$57)*(MAX($C16,'Capa DCF - Base'!$I$61-10*'Audit &amp; Checks'!$D$18)-'Capa DCF - Base'!S$67)*(1-'Capa DCF - Base'!S$71)*'Capa DCF - Base'!S$78</x:f>
        <x:v>600330.6385101632</x:v>
      </x:c>
      <x:c r="U16" s="169" t="n">
        <x:f>('Capa DCF - Base'!T$6*(1-'Capa DCF - Base'!T$13-'Capa DCF - Base'!T$14)*$B16*(1+'Audit &amp; Checks'!$D$19)+'Capa DCF - Base'!T$57)*(MAX($C16,'Capa DCF - Base'!$I$61-11*'Audit &amp; Checks'!$D$18)-'Capa DCF - Base'!T$67)*(1-'Capa DCF - Base'!T$71)*'Capa DCF - Base'!T$78</x:f>
        <x:v>647361.0114328468</x:v>
      </x:c>
      <x:c r="V16" s="169" t="n">
        <x:f>('Capa DCF - Base'!U$6*(1-'Capa DCF - Base'!U$13-'Capa DCF - Base'!U$14)*$B16*(1+'Audit &amp; Checks'!$D$19)+'Capa DCF - Base'!U$57)*(MAX($C16,'Capa DCF - Base'!$I$61-12*'Audit &amp; Checks'!$D$18)-'Capa DCF - Base'!U$67)*(1-'Capa DCF - Base'!U$71)*'Capa DCF - Base'!U$78</x:f>
        <x:v>698153.814189345</x:v>
      </x:c>
      <x:c r="W16" s="169" t="n">
        <x:f>('Capa DCF - Base'!V$6*(1-'Capa DCF - Base'!V$13-'Capa DCF - Base'!V$14)*$B16*(1+'Audit &amp; Checks'!$D$19)+'Capa DCF - Base'!V$57)*(MAX($C16,'Capa DCF - Base'!$I$61-13*'Audit &amp; Checks'!$D$18)-'Capa DCF - Base'!V$67)*(1-'Capa DCF - Base'!V$71)*'Capa DCF - Base'!V$78</x:f>
        <x:v>753010.041166363</x:v>
      </x:c>
      <x:c r="X16" s="169" t="n">
        <x:f>('Capa DCF - Base'!W$6*(1-'Capa DCF - Base'!W$13-'Capa DCF - Base'!W$14)*$B16*(1+'Audit &amp; Checks'!$D$19)+'Capa DCF - Base'!W$57)*(MAX($C16,'Capa DCF - Base'!$I$61-14*'Audit &amp; Checks'!$D$18)-'Capa DCF - Base'!W$67)*(1-'Capa DCF - Base'!W$71)*'Capa DCF - Base'!W$78</x:f>
        <x:v>812254.7663015425</x:v>
      </x:c>
      <x:c r="Y16" s="169" t="n">
        <x:f>('Capa DCF - Base'!X$6*(1-'Capa DCF - Base'!X$13-'Capa DCF - Base'!X$14)*$B16*(1+'Audit &amp; Checks'!$D$19)+'Capa DCF - Base'!X$57)*(MAX($C16,'Capa DCF - Base'!$I$61-15*'Audit &amp; Checks'!$D$18)-'Capa DCF - Base'!X$67)*(1-'Capa DCF - Base'!X$71)*'Capa DCF - Base'!X$78</x:f>
        <x:v>876239.0694475365</x:v>
      </x:c>
      <x:c r="Z16" s="169" t="n">
        <x:f>('Capa DCF - Base'!Y$6*(1-'Capa DCF - Base'!Y$13-'Capa DCF - Base'!Y$14)*$B16*(1+'Audit &amp; Checks'!$D$19)+'Capa DCF - Base'!Y$57)*(MAX($C16,'Capa DCF - Base'!$I$61-16*'Audit &amp; Checks'!$D$18)-'Capa DCF - Base'!Y$67)*(1-'Capa DCF - Base'!Y$71)*'Capa DCF - Base'!Y$78</x:f>
        <x:v>945342.11684521</x:v>
      </x:c>
      <x:c r="AA16" s="169" t="n">
        <x:f>('Capa DCF - Base'!Z$6*(1-'Capa DCF - Base'!Z$13-'Capa DCF - Base'!Z$14)*$B16*(1+'Audit &amp; Checks'!$D$19)+'Capa DCF - Base'!Z$57)*(MAX($C16,'Capa DCF - Base'!$I$61-17*'Audit &amp; Checks'!$D$18)-'Capa DCF - Base'!Z$67)*(1-'Capa DCF - Base'!Z$71)*'Capa DCF - Base'!Z$78</x:f>
        <x:v>1274966.7600433712</x:v>
      </x:c>
      <x:c r="AB16" s="169"/>
      <x:c r="AC16" s="169"/>
    </x:row>
    <x:row r="17" ht="18" customHeight="1">
      <x:c r="A17" s="169" t="n">
        <x:v>12</x:v>
      </x:c>
      <x:c r="B17" s="174" t="n">
        <x:f>'Capa DCF - Base'!D98</x:f>
        <x:v>0.45</x:v>
      </x:c>
      <x:c r="C17" s="174" t="n">
        <x:f>'Capa DCF - Base'!J96</x:f>
        <x:v>0.68</x:v>
      </x:c>
      <x:c r="D17" s="169" t="n">
        <x:f>NPV('Capa DCF - Base'!$D$81,'Capa DCF - Base'!$G$79:$I$79)</x:f>
        <x:v>586118.0536624773</x:v>
      </x:c>
      <x:c r="E17" s="169" t="n">
        <x:f>NPV('Capa DCF - Base'!$D$81,K17:AA17)/(1+'Capa DCF - Base'!$D$81)^3</x:f>
        <x:v>3248118.1494173957</x:v>
      </x:c>
      <x:c r="F17" s="169" t="n">
        <x:f>IF('Audit &amp; Checks'!$D$10=1,AA17*(1+'Capa DCF - Base'!$D$83)/('Capa DCF - Base'!$D$81-'Capa DCF - Base'!$D$83),0)</x:f>
        <x:v>18005363.911279164</x:v>
      </x:c>
      <x:c r="G17" s="169" t="n">
        <x:f>F17/(1+'Capa DCF - Base'!$D$81)^'Audit &amp; Checks'!$D$7</x:f>
        <x:v>2676382.615667517</x:v>
      </x:c>
      <x:c r="H17" s="169" t="n">
        <x:f>SUM(D17:E17,G17)*'Audit &amp; Checks'!$D$9</x:f>
        <x:v>6928074.800592615</x:v>
      </x:c>
      <x:c r="I17" s="173" t="n">
        <x:f>IF('Audit &amp; Checks'!$D$10=1,H17/'Capa DCF - Base'!$D$86,0)</x:f>
        <x:v>287.47198342707946</x:v>
      </x:c>
      <x:c r="J17" s="169"/>
      <x:c r="K17" s="169" t="n">
        <x:f>('Capa DCF - Base'!J$6*(1-'Capa DCF - Base'!J$13-'Capa DCF - Base'!J$14)*'Capa DCF - Base'!J$53*(1+'Audit &amp; Checks'!$D$19)+'Capa DCF - Base'!J$57)*(MAX($C17,'Capa DCF - Base'!$I$61-1*'Audit &amp; Checks'!$D$18)-'Capa DCF - Base'!J$67)*(1-'Capa DCF - Base'!J$71)*'Capa DCF - Base'!J$78</x:f>
        <x:v>403773.32274527336</x:v>
      </x:c>
      <x:c r="L17" s="169" t="n">
        <x:f>('Capa DCF - Base'!K$6*(1-'Capa DCF - Base'!K$13-'Capa DCF - Base'!K$14)*'Capa DCF - Base'!K$53*(1+'Audit &amp; Checks'!$D$19)+'Capa DCF - Base'!K$57)*(MAX($C17,'Capa DCF - Base'!$I$61-2*'Audit &amp; Checks'!$D$18)-'Capa DCF - Base'!K$67)*(1-'Capa DCF - Base'!K$71)*'Capa DCF - Base'!K$78</x:f>
        <x:v>384968.63749367837</x:v>
      </x:c>
      <x:c r="M17" s="169" t="n">
        <x:f>('Capa DCF - Base'!L$6*(1-'Capa DCF - Base'!L$13-'Capa DCF - Base'!L$14)*$B17*(1+'Audit &amp; Checks'!$D$19)+'Capa DCF - Base'!L$57)*(MAX($C17,'Capa DCF - Base'!$I$61-3*'Audit &amp; Checks'!$D$18)-'Capa DCF - Base'!L$67)*(1-'Capa DCF - Base'!L$71)*'Capa DCF - Base'!L$78</x:f>
        <x:v>350220.354009802</x:v>
      </x:c>
      <x:c r="N17" s="169" t="n">
        <x:f>('Capa DCF - Base'!M$6*(1-'Capa DCF - Base'!M$13-'Capa DCF - Base'!M$14)*$B17*(1+'Audit &amp; Checks'!$D$19)+'Capa DCF - Base'!M$57)*(MAX($C17,'Capa DCF - Base'!$I$61-4*'Audit &amp; Checks'!$D$18)-'Capa DCF - Base'!M$67)*(1-'Capa DCF - Base'!M$71)*'Capa DCF - Base'!M$78</x:f>
        <x:v>386443.70748457185</x:v>
      </x:c>
      <x:c r="O17" s="169" t="n">
        <x:f>('Capa DCF - Base'!N$6*(1-'Capa DCF - Base'!N$13-'Capa DCF - Base'!N$14)*$B17*(1+'Audit &amp; Checks'!$D$19)+'Capa DCF - Base'!N$57)*(MAX($C17,'Capa DCF - Base'!$I$61-5*'Audit &amp; Checks'!$D$18)-'Capa DCF - Base'!N$67)*(1-'Capa DCF - Base'!N$71)*'Capa DCF - Base'!N$78</x:f>
        <x:v>426303.7297107142</x:v>
      </x:c>
      <x:c r="P17" s="169" t="n">
        <x:f>('Capa DCF - Base'!O$6*(1-'Capa DCF - Base'!O$13-'Capa DCF - Base'!O$14)*$B17*(1+'Audit &amp; Checks'!$D$19)+'Capa DCF - Base'!O$57)*(MAX($C17,'Capa DCF - Base'!$I$61-6*'Audit &amp; Checks'!$D$18)-'Capa DCF - Base'!O$67)*(1-'Capa DCF - Base'!O$71)*'Capa DCF - Base'!O$78</x:f>
        <x:v>459378.74732417066</x:v>
      </x:c>
      <x:c r="Q17" s="169" t="n">
        <x:f>('Capa DCF - Base'!P$6*(1-'Capa DCF - Base'!P$13-'Capa DCF - Base'!P$14)*$B17*(1+'Audit &amp; Checks'!$D$19)+'Capa DCF - Base'!P$57)*(MAX($C17,'Capa DCF - Base'!$I$61-7*'Audit &amp; Checks'!$D$18)-'Capa DCF - Base'!P$67)*(1-'Capa DCF - Base'!P$71)*'Capa DCF - Base'!P$78</x:f>
        <x:v>495099.76634670375</x:v>
      </x:c>
      <x:c r="R17" s="169" t="n">
        <x:f>('Capa DCF - Base'!Q$6*(1-'Capa DCF - Base'!Q$13-'Capa DCF - Base'!Q$14)*$B17*(1+'Audit &amp; Checks'!$D$19)+'Capa DCF - Base'!Q$57)*(MAX($C17,'Capa DCF - Base'!$I$61-8*'Audit &amp; Checks'!$D$18)-'Capa DCF - Base'!Q$67)*(1-'Capa DCF - Base'!Q$71)*'Capa DCF - Base'!Q$78</x:f>
        <x:v>533678.4668910395</x:v>
      </x:c>
      <x:c r="S17" s="169" t="n">
        <x:f>('Capa DCF - Base'!R$6*(1-'Capa DCF - Base'!R$13-'Capa DCF - Base'!R$14)*$B17*(1+'Audit &amp; Checks'!$D$19)+'Capa DCF - Base'!R$57)*(MAX($C17,'Capa DCF - Base'!$I$61-9*'Audit &amp; Checks'!$D$18)-'Capa DCF - Base'!R$67)*(1-'Capa DCF - Base'!R$71)*'Capa DCF - Base'!R$78</x:f>
        <x:v>575343.4634789223</x:v>
      </x:c>
      <x:c r="T17" s="169" t="n">
        <x:f>('Capa DCF - Base'!S$6*(1-'Capa DCF - Base'!S$13-'Capa DCF - Base'!S$14)*$B17*(1+'Audit &amp; Checks'!$D$19)+'Capa DCF - Base'!S$57)*(MAX($C17,'Capa DCF - Base'!$I$61-10*'Audit &amp; Checks'!$D$18)-'Capa DCF - Base'!S$67)*(1-'Capa DCF - Base'!S$71)*'Capa DCF - Base'!S$78</x:f>
        <x:v>620341.6597938352</x:v>
      </x:c>
      <x:c r="U17" s="169" t="n">
        <x:f>('Capa DCF - Base'!T$6*(1-'Capa DCF - Base'!T$13-'Capa DCF - Base'!T$14)*$B17*(1+'Audit &amp; Checks'!$D$19)+'Capa DCF - Base'!T$57)*(MAX($C17,'Capa DCF - Base'!$I$61-11*'Audit &amp; Checks'!$D$18)-'Capa DCF - Base'!T$67)*(1-'Capa DCF - Base'!T$71)*'Capa DCF - Base'!T$78</x:f>
        <x:v>668939.7118139416</x:v>
      </x:c>
      <x:c r="V17" s="169" t="n">
        <x:f>('Capa DCF - Base'!U$6*(1-'Capa DCF - Base'!U$13-'Capa DCF - Base'!U$14)*$B17*(1+'Audit &amp; Checks'!$D$19)+'Capa DCF - Base'!U$57)*(MAX($C17,'Capa DCF - Base'!$I$61-12*'Audit &amp; Checks'!$D$18)-'Capa DCF - Base'!U$67)*(1-'Capa DCF - Base'!U$71)*'Capa DCF - Base'!U$78</x:f>
        <x:v>721425.6079956566</x:v>
      </x:c>
      <x:c r="W17" s="169" t="n">
        <x:f>('Capa DCF - Base'!V$6*(1-'Capa DCF - Base'!V$13-'Capa DCF - Base'!V$14)*$B17*(1+'Audit &amp; Checks'!$D$19)+'Capa DCF - Base'!V$57)*(MAX($C17,'Capa DCF - Base'!$I$61-13*'Audit &amp; Checks'!$D$18)-'Capa DCF - Base'!V$67)*(1-'Capa DCF - Base'!V$71)*'Capa DCF - Base'!V$78</x:f>
        <x:v>778110.3758719084</x:v>
      </x:c>
      <x:c r="X17" s="169" t="n">
        <x:f>('Capa DCF - Base'!W$6*(1-'Capa DCF - Base'!W$13-'Capa DCF - Base'!W$14)*$B17*(1+'Audit &amp; Checks'!$D$19)+'Capa DCF - Base'!W$57)*(MAX($C17,'Capa DCF - Base'!$I$61-14*'Audit &amp; Checks'!$D$18)-'Capa DCF - Base'!W$67)*(1-'Capa DCF - Base'!W$71)*'Capa DCF - Base'!W$78</x:f>
        <x:v>839329.9251782605</x:v>
      </x:c>
      <x:c r="Y17" s="169" t="n">
        <x:f>('Capa DCF - Base'!X$6*(1-'Capa DCF - Base'!X$13-'Capa DCF - Base'!X$14)*$B17*(1+'Audit &amp; Checks'!$D$19)+'Capa DCF - Base'!X$57)*(MAX($C17,'Capa DCF - Base'!$I$61-15*'Audit &amp; Checks'!$D$18)-'Capa DCF - Base'!X$67)*(1-'Capa DCF - Base'!X$71)*'Capa DCF - Base'!X$78</x:f>
        <x:v>905447.038429121</x:v>
      </x:c>
      <x:c r="Z17" s="169" t="n">
        <x:f>('Capa DCF - Base'!Y$6*(1-'Capa DCF - Base'!Y$13-'Capa DCF - Base'!Y$14)*$B17*(1+'Audit &amp; Checks'!$D$19)+'Capa DCF - Base'!Y$57)*(MAX($C17,'Capa DCF - Base'!$I$61-16*'Audit &amp; Checks'!$D$18)-'Capa DCF - Base'!Y$67)*(1-'Capa DCF - Base'!Y$71)*'Capa DCF - Base'!Y$78</x:f>
        <x:v>976853.5207400504</x:v>
      </x:c>
      <x:c r="AA17" s="169" t="n">
        <x:f>('Capa DCF - Base'!Z$6*(1-'Capa DCF - Base'!Z$13-'Capa DCF - Base'!Z$14)*$B17*(1+'Audit &amp; Checks'!$D$19)+'Capa DCF - Base'!Z$57)*(MAX($C17,'Capa DCF - Base'!$I$61-17*'Audit &amp; Checks'!$D$18)-'Capa DCF - Base'!Z$67)*(1-'Capa DCF - Base'!Z$71)*'Capa DCF - Base'!Z$78</x:f>
        <x:v>1317465.652044817</x:v>
      </x:c>
      <x:c r="AB17" s="169"/>
      <x:c r="AC17" s="169"/>
    </x:row>
    <x:row r="18" ht="18" customHeight="1">
      <x:c r="A18" s="169" t="n">
        <x:v>13</x:v>
      </x:c>
      <x:c r="B18" s="174" t="n">
        <x:f>'Capa DCF - Base'!D99</x:f>
        <x:v>0.5</x:v>
      </x:c>
      <x:c r="C18" s="174" t="n">
        <x:f>'Capa DCF - Base'!E96</x:f>
        <x:v>0.58</x:v>
      </x:c>
      <x:c r="D18" s="169" t="n">
        <x:f>NPV('Capa DCF - Base'!$D$81,'Capa DCF - Base'!$G$79:$I$79)</x:f>
        <x:v>586118.0536624773</x:v>
      </x:c>
      <x:c r="E18" s="169" t="n">
        <x:f>NPV('Capa DCF - Base'!$D$81,K18:AA18)/(1+'Capa DCF - Base'!$D$81)^3</x:f>
        <x:v>3126939.6666453844</x:v>
      </x:c>
      <x:c r="F18" s="169" t="n">
        <x:f>IF('Audit &amp; Checks'!$D$10=1,AA18*(1+'Capa DCF - Base'!$D$83)/('Capa DCF - Base'!$D$81-'Capa DCF - Base'!$D$83),0)</x:f>
        <x:v>16758709.549680231</x:v>
      </x:c>
      <x:c r="G18" s="169" t="n">
        <x:f>F18/(1+'Capa DCF - Base'!$D$81)^'Audit &amp; Checks'!$D$7</x:f>
        <x:v>2491075.3884673286</x:v>
      </x:c>
      <x:c r="H18" s="169" t="n">
        <x:f>SUM(D18:E18,G18)*'Audit &amp; Checks'!$D$9</x:f>
        <x:v>6601937.457413207</x:v>
      </x:c>
      <x:c r="I18" s="173" t="n">
        <x:f>IF('Audit &amp; Checks'!$D$10=1,H18/'Capa DCF - Base'!$D$86,0)</x:f>
        <x:v>273.93931358561025</x:v>
      </x:c>
      <x:c r="J18" s="169"/>
      <x:c r="K18" s="169" t="n">
        <x:f>('Capa DCF - Base'!J$6*(1-'Capa DCF - Base'!J$13-'Capa DCF - Base'!J$14)*'Capa DCF - Base'!J$53*(1+'Audit &amp; Checks'!$D$19)+'Capa DCF - Base'!J$57)*(MAX($C18,'Capa DCF - Base'!$I$61-1*'Audit &amp; Checks'!$D$18)-'Capa DCF - Base'!J$67)*(1-'Capa DCF - Base'!J$71)*'Capa DCF - Base'!J$78</x:f>
        <x:v>403773.32274527336</x:v>
      </x:c>
      <x:c r="L18" s="169" t="n">
        <x:f>('Capa DCF - Base'!K$6*(1-'Capa DCF - Base'!K$13-'Capa DCF - Base'!K$14)*'Capa DCF - Base'!K$53*(1+'Audit &amp; Checks'!$D$19)+'Capa DCF - Base'!K$57)*(MAX($C18,'Capa DCF - Base'!$I$61-2*'Audit &amp; Checks'!$D$18)-'Capa DCF - Base'!K$67)*(1-'Capa DCF - Base'!K$71)*'Capa DCF - Base'!K$78</x:f>
        <x:v>384968.63749367814</x:v>
      </x:c>
      <x:c r="M18" s="169" t="n">
        <x:f>('Capa DCF - Base'!L$6*(1-'Capa DCF - Base'!L$13-'Capa DCF - Base'!L$14)*$B18*(1+'Audit &amp; Checks'!$D$19)+'Capa DCF - Base'!L$57)*(MAX($C18,'Capa DCF - Base'!$I$61-3*'Audit &amp; Checks'!$D$18)-'Capa DCF - Base'!L$67)*(1-'Capa DCF - Base'!L$71)*'Capa DCF - Base'!L$78</x:f>
        <x:v>375197.5839307002</x:v>
      </x:c>
      <x:c r="N18" s="169" t="n">
        <x:f>('Capa DCF - Base'!M$6*(1-'Capa DCF - Base'!M$13-'Capa DCF - Base'!M$14)*$B18*(1+'Audit &amp; Checks'!$D$19)+'Capa DCF - Base'!M$57)*(MAX($C18,'Capa DCF - Base'!$I$61-4*'Audit &amp; Checks'!$D$18)-'Capa DCF - Base'!M$67)*(1-'Capa DCF - Base'!M$71)*'Capa DCF - Base'!M$78</x:f>
        <x:v>400342.512164133</x:v>
      </x:c>
      <x:c r="O18" s="169" t="n">
        <x:f>('Capa DCF - Base'!N$6*(1-'Capa DCF - Base'!N$13-'Capa DCF - Base'!N$14)*$B18*(1+'Audit &amp; Checks'!$D$19)+'Capa DCF - Base'!N$57)*(MAX($C18,'Capa DCF - Base'!$I$61-5*'Audit &amp; Checks'!$D$18)-'Capa DCF - Base'!N$67)*(1-'Capa DCF - Base'!N$71)*'Capa DCF - Base'!N$78</x:f>
        <x:v>426540.4876408952</x:v>
      </x:c>
      <x:c r="P18" s="169" t="n">
        <x:f>('Capa DCF - Base'!O$6*(1-'Capa DCF - Base'!O$13-'Capa DCF - Base'!O$14)*$B18*(1+'Audit &amp; Checks'!$D$19)+'Capa DCF - Base'!O$57)*(MAX($C18,'Capa DCF - Base'!$I$61-6*'Audit &amp; Checks'!$D$18)-'Capa DCF - Base'!O$67)*(1-'Capa DCF - Base'!O$71)*'Capa DCF - Base'!O$78</x:f>
        <x:v>443314.980357987</x:v>
      </x:c>
      <x:c r="Q18" s="169" t="n">
        <x:f>('Capa DCF - Base'!P$6*(1-'Capa DCF - Base'!P$13-'Capa DCF - Base'!P$14)*$B18*(1+'Audit &amp; Checks'!$D$19)+'Capa DCF - Base'!P$57)*(MAX($C18,'Capa DCF - Base'!$I$61-7*'Audit &amp; Checks'!$D$18)-'Capa DCF - Base'!P$67)*(1-'Capa DCF - Base'!P$71)*'Capa DCF - Base'!P$78</x:f>
        <x:v>460184.3118352608</x:v>
      </x:c>
      <x:c r="R18" s="169" t="n">
        <x:f>('Capa DCF - Base'!Q$6*(1-'Capa DCF - Base'!Q$13-'Capa DCF - Base'!Q$14)*$B18*(1+'Audit &amp; Checks'!$D$19)+'Capa DCF - Base'!Q$57)*(MAX($C18,'Capa DCF - Base'!$I$61-8*'Audit &amp; Checks'!$D$18)-'Capa DCF - Base'!Q$67)*(1-'Capa DCF - Base'!Q$71)*'Capa DCF - Base'!Q$78</x:f>
        <x:v>496135.78904503613</x:v>
      </x:c>
      <x:c r="S18" s="169" t="n">
        <x:f>('Capa DCF - Base'!R$6*(1-'Capa DCF - Base'!R$13-'Capa DCF - Base'!R$14)*$B18*(1+'Audit &amp; Checks'!$D$19)+'Capa DCF - Base'!R$57)*(MAX($C18,'Capa DCF - Base'!$I$61-9*'Audit &amp; Checks'!$D$18)-'Capa DCF - Base'!R$67)*(1-'Capa DCF - Base'!R$71)*'Capa DCF - Base'!R$78</x:f>
        <x:v>534963.3844315934</x:v>
      </x:c>
      <x:c r="T18" s="169" t="n">
        <x:f>('Capa DCF - Base'!S$6*(1-'Capa DCF - Base'!S$13-'Capa DCF - Base'!S$14)*$B18*(1+'Audit &amp; Checks'!$D$19)+'Capa DCF - Base'!S$57)*(MAX($C18,'Capa DCF - Base'!$I$61-10*'Audit &amp; Checks'!$D$18)-'Capa DCF - Base'!S$67)*(1-'Capa DCF - Base'!S$71)*'Capa DCF - Base'!S$78</x:f>
        <x:v>576897.1874490752</x:v>
      </x:c>
      <x:c r="U18" s="169" t="n">
        <x:f>('Capa DCF - Base'!T$6*(1-'Capa DCF - Base'!T$13-'Capa DCF - Base'!T$14)*$B18*(1+'Audit &amp; Checks'!$D$19)+'Capa DCF - Base'!T$57)*(MAX($C18,'Capa DCF - Base'!$I$61-11*'Audit &amp; Checks'!$D$18)-'Capa DCF - Base'!T$67)*(1-'Capa DCF - Base'!T$71)*'Capa DCF - Base'!T$78</x:f>
        <x:v>622185.6947079556</x:v>
      </x:c>
      <x:c r="V18" s="169" t="n">
        <x:f>('Capa DCF - Base'!U$6*(1-'Capa DCF - Base'!U$13-'Capa DCF - Base'!U$14)*$B18*(1+'Audit &amp; Checks'!$D$19)+'Capa DCF - Base'!U$57)*(MAX($C18,'Capa DCF - Base'!$I$61-12*'Audit &amp; Checks'!$D$18)-'Capa DCF - Base'!U$67)*(1-'Capa DCF - Base'!U$71)*'Capa DCF - Base'!U$78</x:f>
        <x:v>671097.2825475466</x:v>
      </x:c>
      <x:c r="W18" s="169" t="n">
        <x:f>('Capa DCF - Base'!V$6*(1-'Capa DCF - Base'!V$13-'Capa DCF - Base'!V$14)*$B18*(1+'Audit &amp; Checks'!$D$19)+'Capa DCF - Base'!V$57)*(MAX($C18,'Capa DCF - Base'!$I$61-13*'Audit &amp; Checks'!$D$18)-'Capa DCF - Base'!V$67)*(1-'Capa DCF - Base'!V$71)*'Capa DCF - Base'!V$78</x:f>
        <x:v>723921.7974143047</x:v>
      </x:c>
      <x:c r="X18" s="169" t="n">
        <x:f>('Capa DCF - Base'!W$6*(1-'Capa DCF - Base'!W$13-'Capa DCF - Base'!W$14)*$B18*(1+'Audit &amp; Checks'!$D$19)+'Capa DCF - Base'!W$57)*(MAX($C18,'Capa DCF - Base'!$I$61-14*'Audit &amp; Checks'!$D$18)-'Capa DCF - Base'!W$67)*(1-'Capa DCF - Base'!W$71)*'Capa DCF - Base'!W$78</x:f>
        <x:v>780972.2734704035</x:v>
      </x:c>
      <x:c r="Y18" s="169" t="n">
        <x:f>('Capa DCF - Base'!X$6*(1-'Capa DCF - Base'!X$13-'Capa DCF - Base'!X$14)*$B18*(1+'Audit &amp; Checks'!$D$19)+'Capa DCF - Base'!X$57)*(MAX($C18,'Capa DCF - Base'!$I$61-15*'Audit &amp; Checks'!$D$18)-'Capa DCF - Base'!X$67)*(1-'Capa DCF - Base'!X$71)*'Capa DCF - Base'!X$78</x:f>
        <x:v>842586.78761099</x:v>
      </x:c>
      <x:c r="Z18" s="169" t="n">
        <x:f>('Capa DCF - Base'!Y$6*(1-'Capa DCF - Base'!Y$13-'Capa DCF - Base'!Y$14)*$B18*(1+'Audit &amp; Checks'!$D$19)+'Capa DCF - Base'!Y$57)*(MAX($C18,'Capa DCF - Base'!$I$61-16*'Audit &amp; Checks'!$D$18)-'Capa DCF - Base'!Y$67)*(1-'Capa DCF - Base'!Y$71)*'Capa DCF - Base'!Y$78</x:f>
        <x:v>909130.4628828239</x:v>
      </x:c>
      <x:c r="AA18" s="169" t="n">
        <x:f>('Capa DCF - Base'!Z$6*(1-'Capa DCF - Base'!Z$13-'Capa DCF - Base'!Z$14)*$B18*(1+'Audit &amp; Checks'!$D$19)+'Capa DCF - Base'!Z$57)*(MAX($C18,'Capa DCF - Base'!$I$61-17*'Audit &amp; Checks'!$D$18)-'Capa DCF - Base'!Z$67)*(1-'Capa DCF - Base'!Z$71)*'Capa DCF - Base'!Z$78</x:f>
        <x:v>1226247.040220505</x:v>
      </x:c>
      <x:c r="AB18" s="169"/>
      <x:c r="AC18" s="169"/>
    </x:row>
    <x:row r="19" ht="18" customHeight="1">
      <x:c r="A19" s="169" t="n">
        <x:v>14</x:v>
      </x:c>
      <x:c r="B19" s="174" t="n">
        <x:f>'Capa DCF - Base'!D99</x:f>
        <x:v>0.5</x:v>
      </x:c>
      <x:c r="C19" s="174" t="n">
        <x:f>'Capa DCF - Base'!F96</x:f>
        <x:v>0.6</x:v>
      </x:c>
      <x:c r="D19" s="169" t="n">
        <x:f>NPV('Capa DCF - Base'!$D$81,'Capa DCF - Base'!$G$79:$I$79)</x:f>
        <x:v>586118.0536624773</x:v>
      </x:c>
      <x:c r="E19" s="169" t="n">
        <x:f>NPV('Capa DCF - Base'!$D$81,K19:AA19)/(1+'Capa DCF - Base'!$D$81)^3</x:f>
        <x:v>3196474.2989847967</x:v>
      </x:c>
      <x:c r="F19" s="169" t="n">
        <x:f>IF('Audit &amp; Checks'!$D$10=1,AA19*(1+'Capa DCF - Base'!$D$83)/('Capa DCF - Base'!$D$81-'Capa DCF - Base'!$D$83),0)</x:f>
        <x:v>17403275.30159101</x:v>
      </x:c>
      <x:c r="G19" s="169" t="n">
        <x:f>F19/(1+'Capa DCF - Base'!$D$81)^'Audit &amp; Checks'!$D$7</x:f>
        <x:v>2586885.9803314568</x:v>
      </x:c>
      <x:c r="H19" s="169" t="n">
        <x:f>SUM(D19:E19,G19)*'Audit &amp; Checks'!$D$9</x:f>
        <x:v>6777884.493032055</x:v>
      </x:c>
      <x:c r="I19" s="173" t="n">
        <x:f>IF('Audit &amp; Checks'!$D$10=1,H19/'Capa DCF - Base'!$D$86,0)</x:f>
        <x:v>281.2400204577616</x:v>
      </x:c>
      <x:c r="J19" s="169"/>
      <x:c r="K19" s="169" t="n">
        <x:f>('Capa DCF - Base'!J$6*(1-'Capa DCF - Base'!J$13-'Capa DCF - Base'!J$14)*'Capa DCF - Base'!J$53*(1+'Audit &amp; Checks'!$D$19)+'Capa DCF - Base'!J$57)*(MAX($C19,'Capa DCF - Base'!$I$61-1*'Audit &amp; Checks'!$D$18)-'Capa DCF - Base'!J$67)*(1-'Capa DCF - Base'!J$71)*'Capa DCF - Base'!J$78</x:f>
        <x:v>403773.32274527336</x:v>
      </x:c>
      <x:c r="L19" s="169" t="n">
        <x:f>('Capa DCF - Base'!K$6*(1-'Capa DCF - Base'!K$13-'Capa DCF - Base'!K$14)*'Capa DCF - Base'!K$53*(1+'Audit &amp; Checks'!$D$19)+'Capa DCF - Base'!K$57)*(MAX($C19,'Capa DCF - Base'!$I$61-2*'Audit &amp; Checks'!$D$18)-'Capa DCF - Base'!K$67)*(1-'Capa DCF - Base'!K$71)*'Capa DCF - Base'!K$78</x:f>
        <x:v>384968.63749367814</x:v>
      </x:c>
      <x:c r="M19" s="169" t="n">
        <x:f>('Capa DCF - Base'!L$6*(1-'Capa DCF - Base'!L$13-'Capa DCF - Base'!L$14)*$B19*(1+'Audit &amp; Checks'!$D$19)+'Capa DCF - Base'!L$57)*(MAX($C19,'Capa DCF - Base'!$I$61-3*'Audit &amp; Checks'!$D$18)-'Capa DCF - Base'!L$67)*(1-'Capa DCF - Base'!L$71)*'Capa DCF - Base'!L$78</x:f>
        <x:v>375197.5839307002</x:v>
      </x:c>
      <x:c r="N19" s="169" t="n">
        <x:f>('Capa DCF - Base'!M$6*(1-'Capa DCF - Base'!M$13-'Capa DCF - Base'!M$14)*$B19*(1+'Audit &amp; Checks'!$D$19)+'Capa DCF - Base'!M$57)*(MAX($C19,'Capa DCF - Base'!$I$61-4*'Audit &amp; Checks'!$D$18)-'Capa DCF - Base'!M$67)*(1-'Capa DCF - Base'!M$71)*'Capa DCF - Base'!M$78</x:f>
        <x:v>400342.512164133</x:v>
      </x:c>
      <x:c r="O19" s="169" t="n">
        <x:f>('Capa DCF - Base'!N$6*(1-'Capa DCF - Base'!N$13-'Capa DCF - Base'!N$14)*$B19*(1+'Audit &amp; Checks'!$D$19)+'Capa DCF - Base'!N$57)*(MAX($C19,'Capa DCF - Base'!$I$61-5*'Audit &amp; Checks'!$D$18)-'Capa DCF - Base'!N$67)*(1-'Capa DCF - Base'!N$71)*'Capa DCF - Base'!N$78</x:f>
        <x:v>426540.4876408952</x:v>
      </x:c>
      <x:c r="P19" s="169" t="n">
        <x:f>('Capa DCF - Base'!O$6*(1-'Capa DCF - Base'!O$13-'Capa DCF - Base'!O$14)*$B19*(1+'Audit &amp; Checks'!$D$19)+'Capa DCF - Base'!O$57)*(MAX($C19,'Capa DCF - Base'!$I$61-6*'Audit &amp; Checks'!$D$18)-'Capa DCF - Base'!O$67)*(1-'Capa DCF - Base'!O$71)*'Capa DCF - Base'!O$78</x:f>
        <x:v>443314.980357987</x:v>
      </x:c>
      <x:c r="Q19" s="169" t="n">
        <x:f>('Capa DCF - Base'!P$6*(1-'Capa DCF - Base'!P$13-'Capa DCF - Base'!P$14)*$B19*(1+'Audit &amp; Checks'!$D$19)+'Capa DCF - Base'!P$57)*(MAX($C19,'Capa DCF - Base'!$I$61-7*'Audit &amp; Checks'!$D$18)-'Capa DCF - Base'!P$67)*(1-'Capa DCF - Base'!P$71)*'Capa DCF - Base'!P$78</x:f>
        <x:v>477883.70844430936</x:v>
      </x:c>
      <x:c r="R19" s="169" t="n">
        <x:f>('Capa DCF - Base'!Q$6*(1-'Capa DCF - Base'!Q$13-'Capa DCF - Base'!Q$14)*$B19*(1+'Audit &amp; Checks'!$D$19)+'Capa DCF - Base'!Q$57)*(MAX($C19,'Capa DCF - Base'!$I$61-8*'Audit &amp; Checks'!$D$18)-'Capa DCF - Base'!Q$67)*(1-'Capa DCF - Base'!Q$71)*'Capa DCF - Base'!Q$78</x:f>
        <x:v>515217.9347775376</x:v>
      </x:c>
      <x:c r="S19" s="169" t="n">
        <x:f>('Capa DCF - Base'!R$6*(1-'Capa DCF - Base'!R$13-'Capa DCF - Base'!R$14)*$B19*(1+'Audit &amp; Checks'!$D$19)+'Capa DCF - Base'!R$57)*(MAX($C19,'Capa DCF - Base'!$I$61-9*'Audit &amp; Checks'!$D$18)-'Capa DCF - Base'!R$67)*(1-'Capa DCF - Base'!R$71)*'Capa DCF - Base'!R$78</x:f>
        <x:v>555538.8992174239</x:v>
      </x:c>
      <x:c r="T19" s="169" t="n">
        <x:f>('Capa DCF - Base'!S$6*(1-'Capa DCF - Base'!S$13-'Capa DCF - Base'!S$14)*$B19*(1+'Audit &amp; Checks'!$D$19)+'Capa DCF - Base'!S$57)*(MAX($C19,'Capa DCF - Base'!$I$61-10*'Audit &amp; Checks'!$D$18)-'Capa DCF - Base'!S$67)*(1-'Capa DCF - Base'!S$71)*'Capa DCF - Base'!S$78</x:f>
        <x:v>599085.5408125011</x:v>
      </x:c>
      <x:c r="U19" s="169" t="n">
        <x:f>('Capa DCF - Base'!T$6*(1-'Capa DCF - Base'!T$13-'Capa DCF - Base'!T$14)*$B19*(1+'Audit &amp; Checks'!$D$19)+'Capa DCF - Base'!T$57)*(MAX($C19,'Capa DCF - Base'!$I$61-11*'Audit &amp; Checks'!$D$18)-'Capa DCF - Base'!T$67)*(1-'Capa DCF - Base'!T$71)*'Capa DCF - Base'!T$78</x:f>
        <x:v>646115.9137351847</x:v>
      </x:c>
      <x:c r="V19" s="169" t="n">
        <x:f>('Capa DCF - Base'!U$6*(1-'Capa DCF - Base'!U$13-'Capa DCF - Base'!U$14)*$B19*(1+'Audit &amp; Checks'!$D$19)+'Capa DCF - Base'!U$57)*(MAX($C19,'Capa DCF - Base'!$I$61-12*'Audit &amp; Checks'!$D$18)-'Capa DCF - Base'!U$67)*(1-'Capa DCF - Base'!U$71)*'Capa DCF - Base'!U$78</x:f>
        <x:v>696908.7164916829</x:v>
      </x:c>
      <x:c r="W19" s="169" t="n">
        <x:f>('Capa DCF - Base'!V$6*(1-'Capa DCF - Base'!V$13-'Capa DCF - Base'!V$14)*$B19*(1+'Audit &amp; Checks'!$D$19)+'Capa DCF - Base'!V$57)*(MAX($C19,'Capa DCF - Base'!$I$61-13*'Audit &amp; Checks'!$D$18)-'Capa DCF - Base'!V$67)*(1-'Capa DCF - Base'!V$71)*'Capa DCF - Base'!V$78</x:f>
        <x:v>751764.9434687011</x:v>
      </x:c>
      <x:c r="X19" s="169" t="n">
        <x:f>('Capa DCF - Base'!W$6*(1-'Capa DCF - Base'!W$13-'Capa DCF - Base'!W$14)*$B19*(1+'Audit &amp; Checks'!$D$19)+'Capa DCF - Base'!W$57)*(MAX($C19,'Capa DCF - Base'!$I$61-14*'Audit &amp; Checks'!$D$18)-'Capa DCF - Base'!W$67)*(1-'Capa DCF - Base'!W$71)*'Capa DCF - Base'!W$78</x:f>
        <x:v>811009.6686038806</x:v>
      </x:c>
      <x:c r="Y19" s="169" t="n">
        <x:f>('Capa DCF - Base'!X$6*(1-'Capa DCF - Base'!X$13-'Capa DCF - Base'!X$14)*$B19*(1+'Audit &amp; Checks'!$D$19)+'Capa DCF - Base'!X$57)*(MAX($C19,'Capa DCF - Base'!$I$61-15*'Audit &amp; Checks'!$D$18)-'Capa DCF - Base'!X$67)*(1-'Capa DCF - Base'!X$71)*'Capa DCF - Base'!X$78</x:f>
        <x:v>874993.9717498744</x:v>
      </x:c>
      <x:c r="Z19" s="169" t="n">
        <x:f>('Capa DCF - Base'!Y$6*(1-'Capa DCF - Base'!Y$13-'Capa DCF - Base'!Y$14)*$B19*(1+'Audit &amp; Checks'!$D$19)+'Capa DCF - Base'!Y$57)*(MAX($C19,'Capa DCF - Base'!$I$61-16*'Audit &amp; Checks'!$D$18)-'Capa DCF - Base'!Y$67)*(1-'Capa DCF - Base'!Y$71)*'Capa DCF - Base'!Y$78</x:f>
        <x:v>944097.0191475478</x:v>
      </x:c>
      <x:c r="AA19" s="169" t="n">
        <x:f>('Capa DCF - Base'!Z$6*(1-'Capa DCF - Base'!Z$13-'Capa DCF - Base'!Z$14)*$B19*(1+'Audit &amp; Checks'!$D$19)+'Capa DCF - Base'!Z$57)*(MAX($C19,'Capa DCF - Base'!$I$61-17*'Audit &amp; Checks'!$D$18)-'Capa DCF - Base'!Z$67)*(1-'Capa DCF - Base'!Z$71)*'Capa DCF - Base'!Z$78</x:f>
        <x:v>1273410.3879212937</x:v>
      </x:c>
      <x:c r="AB19" s="169"/>
      <x:c r="AC19" s="169"/>
    </x:row>
    <x:row r="20" ht="18" customHeight="1">
      <x:c r="A20" s="169" t="n">
        <x:v>15</x:v>
      </x:c>
      <x:c r="B20" s="174" t="n">
        <x:f>'Capa DCF - Base'!D99</x:f>
        <x:v>0.5</x:v>
      </x:c>
      <x:c r="C20" s="174" t="n">
        <x:f>'Capa DCF - Base'!G96</x:f>
        <x:v>0.62</x:v>
      </x:c>
      <x:c r="D20" s="169" t="n">
        <x:f>NPV('Capa DCF - Base'!$D$81,'Capa DCF - Base'!$G$79:$I$79)</x:f>
        <x:v>586118.0536624773</x:v>
      </x:c>
      <x:c r="E20" s="169" t="n">
        <x:f>NPV('Capa DCF - Base'!$D$81,K20:AA20)/(1+'Capa DCF - Base'!$D$81)^3</x:f>
        <x:v>3272972.2212263807</x:v>
      </x:c>
      <x:c r="F20" s="169" t="n">
        <x:f>IF('Audit &amp; Checks'!$D$10=1,AA20*(1+'Capa DCF - Base'!$D$83)/('Capa DCF - Base'!$D$81-'Capa DCF - Base'!$D$83),0)</x:f>
        <x:v>18047841.05350179</x:v>
      </x:c>
      <x:c r="G20" s="169" t="n">
        <x:f>F20/(1+'Capa DCF - Base'!$D$81)^'Audit &amp; Checks'!$D$7</x:f>
        <x:v>2682696.572195585</x:v>
      </x:c>
      <x:c r="H20" s="169" t="n">
        <x:f>SUM(D20:E20,G20)*'Audit &amp; Checks'!$D$9</x:f>
        <x:v>6961241.299464322</x:v>
      </x:c>
      <x:c r="I20" s="173" t="n">
        <x:f>IF('Audit &amp; Checks'!$D$10=1,H20/'Capa DCF - Base'!$D$86,0)</x:f>
        <x:v>288.84818669976437</x:v>
      </x:c>
      <x:c r="J20" s="169"/>
      <x:c r="K20" s="169" t="n">
        <x:f>('Capa DCF - Base'!J$6*(1-'Capa DCF - Base'!J$13-'Capa DCF - Base'!J$14)*'Capa DCF - Base'!J$53*(1+'Audit &amp; Checks'!$D$19)+'Capa DCF - Base'!J$57)*(MAX($C20,'Capa DCF - Base'!$I$61-1*'Audit &amp; Checks'!$D$18)-'Capa DCF - Base'!J$67)*(1-'Capa DCF - Base'!J$71)*'Capa DCF - Base'!J$78</x:f>
        <x:v>403773.32274527336</x:v>
      </x:c>
      <x:c r="L20" s="169" t="n">
        <x:f>('Capa DCF - Base'!K$6*(1-'Capa DCF - Base'!K$13-'Capa DCF - Base'!K$14)*'Capa DCF - Base'!K$53*(1+'Audit &amp; Checks'!$D$19)+'Capa DCF - Base'!K$57)*(MAX($C20,'Capa DCF - Base'!$I$61-2*'Audit &amp; Checks'!$D$18)-'Capa DCF - Base'!K$67)*(1-'Capa DCF - Base'!K$71)*'Capa DCF - Base'!K$78</x:f>
        <x:v>384968.63749367814</x:v>
      </x:c>
      <x:c r="M20" s="169" t="n">
        <x:f>('Capa DCF - Base'!L$6*(1-'Capa DCF - Base'!L$13-'Capa DCF - Base'!L$14)*$B20*(1+'Audit &amp; Checks'!$D$19)+'Capa DCF - Base'!L$57)*(MAX($C20,'Capa DCF - Base'!$I$61-3*'Audit &amp; Checks'!$D$18)-'Capa DCF - Base'!L$67)*(1-'Capa DCF - Base'!L$71)*'Capa DCF - Base'!L$78</x:f>
        <x:v>375197.5839307002</x:v>
      </x:c>
      <x:c r="N20" s="169" t="n">
        <x:f>('Capa DCF - Base'!M$6*(1-'Capa DCF - Base'!M$13-'Capa DCF - Base'!M$14)*$B20*(1+'Audit &amp; Checks'!$D$19)+'Capa DCF - Base'!M$57)*(MAX($C20,'Capa DCF - Base'!$I$61-4*'Audit &amp; Checks'!$D$18)-'Capa DCF - Base'!M$67)*(1-'Capa DCF - Base'!M$71)*'Capa DCF - Base'!M$78</x:f>
        <x:v>400342.512164133</x:v>
      </x:c>
      <x:c r="O20" s="169" t="n">
        <x:f>('Capa DCF - Base'!N$6*(1-'Capa DCF - Base'!N$13-'Capa DCF - Base'!N$14)*$B20*(1+'Audit &amp; Checks'!$D$19)+'Capa DCF - Base'!N$57)*(MAX($C20,'Capa DCF - Base'!$I$61-5*'Audit &amp; Checks'!$D$18)-'Capa DCF - Base'!N$67)*(1-'Capa DCF - Base'!N$71)*'Capa DCF - Base'!N$78</x:f>
        <x:v>426540.4876408952</x:v>
      </x:c>
      <x:c r="P20" s="169" t="n">
        <x:f>('Capa DCF - Base'!O$6*(1-'Capa DCF - Base'!O$13-'Capa DCF - Base'!O$14)*$B20*(1+'Audit &amp; Checks'!$D$19)+'Capa DCF - Base'!O$57)*(MAX($C20,'Capa DCF - Base'!$I$61-6*'Audit &amp; Checks'!$D$18)-'Capa DCF - Base'!O$67)*(1-'Capa DCF - Base'!O$71)*'Capa DCF - Base'!O$78</x:f>
        <x:v>459734.0537045791</x:v>
      </x:c>
      <x:c r="Q20" s="169" t="n">
        <x:f>('Capa DCF - Base'!P$6*(1-'Capa DCF - Base'!P$13-'Capa DCF - Base'!P$14)*$B20*(1+'Audit &amp; Checks'!$D$19)+'Capa DCF - Base'!P$57)*(MAX($C20,'Capa DCF - Base'!$I$61-7*'Audit &amp; Checks'!$D$18)-'Capa DCF - Base'!P$67)*(1-'Capa DCF - Base'!P$71)*'Capa DCF - Base'!P$78</x:f>
        <x:v>495583.1050533579</x:v>
      </x:c>
      <x:c r="R20" s="169" t="n">
        <x:f>('Capa DCF - Base'!Q$6*(1-'Capa DCF - Base'!Q$13-'Capa DCF - Base'!Q$14)*$B20*(1+'Audit &amp; Checks'!$D$19)+'Capa DCF - Base'!Q$57)*(MAX($C20,'Capa DCF - Base'!$I$61-8*'Audit &amp; Checks'!$D$18)-'Capa DCF - Base'!Q$67)*(1-'Capa DCF - Base'!Q$71)*'Capa DCF - Base'!Q$78</x:f>
        <x:v>534300.080510039</x:v>
      </x:c>
      <x:c r="S20" s="169" t="n">
        <x:f>('Capa DCF - Base'!R$6*(1-'Capa DCF - Base'!R$13-'Capa DCF - Base'!R$14)*$B20*(1+'Audit &amp; Checks'!$D$19)+'Capa DCF - Base'!R$57)*(MAX($C20,'Capa DCF - Base'!$I$61-9*'Audit &amp; Checks'!$D$18)-'Capa DCF - Base'!R$67)*(1-'Capa DCF - Base'!R$71)*'Capa DCF - Base'!R$78</x:f>
        <x:v>576114.4140032545</x:v>
      </x:c>
      <x:c r="T20" s="169" t="n">
        <x:f>('Capa DCF - Base'!S$6*(1-'Capa DCF - Base'!S$13-'Capa DCF - Base'!S$14)*$B20*(1+'Audit &amp; Checks'!$D$19)+'Capa DCF - Base'!S$57)*(MAX($C20,'Capa DCF - Base'!$I$61-10*'Audit &amp; Checks'!$D$18)-'Capa DCF - Base'!S$67)*(1-'Capa DCF - Base'!S$71)*'Capa DCF - Base'!S$78</x:f>
        <x:v>621273.8941759272</x:v>
      </x:c>
      <x:c r="U20" s="169" t="n">
        <x:f>('Capa DCF - Base'!T$6*(1-'Capa DCF - Base'!T$13-'Capa DCF - Base'!T$14)*$B20*(1+'Audit &amp; Checks'!$D$19)+'Capa DCF - Base'!T$57)*(MAX($C20,'Capa DCF - Base'!$I$61-11*'Audit &amp; Checks'!$D$18)-'Capa DCF - Base'!T$67)*(1-'Capa DCF - Base'!T$71)*'Capa DCF - Base'!T$78</x:f>
        <x:v>670046.1327624137</x:v>
      </x:c>
      <x:c r="V20" s="169" t="n">
        <x:f>('Capa DCF - Base'!U$6*(1-'Capa DCF - Base'!U$13-'Capa DCF - Base'!U$14)*$B20*(1+'Audit &amp; Checks'!$D$19)+'Capa DCF - Base'!U$57)*(MAX($C20,'Capa DCF - Base'!$I$61-12*'Audit &amp; Checks'!$D$18)-'Capa DCF - Base'!U$67)*(1-'Capa DCF - Base'!U$71)*'Capa DCF - Base'!U$78</x:f>
        <x:v>722720.1504358193</x:v>
      </x:c>
      <x:c r="W20" s="169" t="n">
        <x:f>('Capa DCF - Base'!V$6*(1-'Capa DCF - Base'!V$13-'Capa DCF - Base'!V$14)*$B20*(1+'Audit &amp; Checks'!$D$19)+'Capa DCF - Base'!V$57)*(MAX($C20,'Capa DCF - Base'!$I$61-13*'Audit &amp; Checks'!$D$18)-'Capa DCF - Base'!V$67)*(1-'Capa DCF - Base'!V$71)*'Capa DCF - Base'!V$78</x:f>
        <x:v>779608.0895230974</x:v>
      </x:c>
      <x:c r="X20" s="169" t="n">
        <x:f>('Capa DCF - Base'!W$6*(1-'Capa DCF - Base'!W$13-'Capa DCF - Base'!W$14)*$B20*(1+'Audit &amp; Checks'!$D$19)+'Capa DCF - Base'!W$57)*(MAX($C20,'Capa DCF - Base'!$I$61-14*'Audit &amp; Checks'!$D$18)-'Capa DCF - Base'!W$67)*(1-'Capa DCF - Base'!W$71)*'Capa DCF - Base'!W$78</x:f>
        <x:v>841047.0637373576</x:v>
      </x:c>
      <x:c r="Y20" s="169" t="n">
        <x:f>('Capa DCF - Base'!X$6*(1-'Capa DCF - Base'!X$13-'Capa DCF - Base'!X$14)*$B20*(1+'Audit &amp; Checks'!$D$19)+'Capa DCF - Base'!X$57)*(MAX($C20,'Capa DCF - Base'!$I$61-15*'Audit &amp; Checks'!$D$18)-'Capa DCF - Base'!X$67)*(1-'Capa DCF - Base'!X$71)*'Capa DCF - Base'!X$78</x:f>
        <x:v>907401.1558887586</x:v>
      </x:c>
      <x:c r="Z20" s="169" t="n">
        <x:f>('Capa DCF - Base'!Y$6*(1-'Capa DCF - Base'!Y$13-'Capa DCF - Base'!Y$14)*$B20*(1+'Audit &amp; Checks'!$D$19)+'Capa DCF - Base'!Y$57)*(MAX($C20,'Capa DCF - Base'!$I$61-16*'Audit &amp; Checks'!$D$18)-'Capa DCF - Base'!Y$67)*(1-'Capa DCF - Base'!Y$71)*'Capa DCF - Base'!Y$78</x:f>
        <x:v>979063.5754122718</x:v>
      </x:c>
      <x:c r="AA20" s="169" t="n">
        <x:f>('Capa DCF - Base'!Z$6*(1-'Capa DCF - Base'!Z$13-'Capa DCF - Base'!Z$14)*$B20*(1+'Audit &amp; Checks'!$D$19)+'Capa DCF - Base'!Z$57)*(MAX($C20,'Capa DCF - Base'!$I$61-17*'Audit &amp; Checks'!$D$18)-'Capa DCF - Base'!Z$67)*(1-'Capa DCF - Base'!Z$71)*'Capa DCF - Base'!Z$78</x:f>
        <x:v>1320573.7356220824</x:v>
      </x:c>
      <x:c r="AB20" s="169"/>
      <x:c r="AC20" s="169"/>
    </x:row>
    <x:row r="21" ht="18" customHeight="1">
      <x:c r="A21" s="169" t="n">
        <x:v>16</x:v>
      </x:c>
      <x:c r="B21" s="174" t="n">
        <x:f>'Capa DCF - Base'!D99</x:f>
        <x:v>0.5</x:v>
      </x:c>
      <x:c r="C21" s="174" t="n">
        <x:f>'Capa DCF - Base'!H96</x:f>
        <x:v>0.64</x:v>
      </x:c>
      <x:c r="D21" s="169" t="n">
        <x:f>NPV('Capa DCF - Base'!$D$81,'Capa DCF - Base'!$G$79:$I$79)</x:f>
        <x:v>586118.0536624773</x:v>
      </x:c>
      <x:c r="E21" s="169" t="n">
        <x:f>NPV('Capa DCF - Base'!$D$81,K21:AA21)/(1+'Capa DCF - Base'!$D$81)^3</x:f>
        <x:v>3356576.725090921</x:v>
      </x:c>
      <x:c r="F21" s="169" t="n">
        <x:f>IF('Audit &amp; Checks'!$D$10=1,AA21*(1+'Capa DCF - Base'!$D$83)/('Capa DCF - Base'!$D$81-'Capa DCF - Base'!$D$83),0)</x:f>
        <x:v>18692406.80541257</x:v>
      </x:c>
      <x:c r="G21" s="169" t="n">
        <x:f>F21/(1+'Capa DCF - Base'!$D$81)^'Audit &amp; Checks'!$D$7</x:f>
        <x:v>2778507.1640597135</x:v>
      </x:c>
      <x:c r="H21" s="169" t="n">
        <x:f>SUM(D21:E21,G21)*'Audit &amp; Checks'!$D$9</x:f>
        <x:v>7152160.356188157</x:v>
      </x:c>
      <x:c r="I21" s="173" t="n">
        <x:f>IF('Audit &amp; Checks'!$D$10=1,H21/'Capa DCF - Base'!$D$86,0)</x:f>
        <x:v>296.77013926091934</x:v>
      </x:c>
      <x:c r="J21" s="169"/>
      <x:c r="K21" s="169" t="n">
        <x:f>('Capa DCF - Base'!J$6*(1-'Capa DCF - Base'!J$13-'Capa DCF - Base'!J$14)*'Capa DCF - Base'!J$53*(1+'Audit &amp; Checks'!$D$19)+'Capa DCF - Base'!J$57)*(MAX($C21,'Capa DCF - Base'!$I$61-1*'Audit &amp; Checks'!$D$18)-'Capa DCF - Base'!J$67)*(1-'Capa DCF - Base'!J$71)*'Capa DCF - Base'!J$78</x:f>
        <x:v>403773.32274527336</x:v>
      </x:c>
      <x:c r="L21" s="169" t="n">
        <x:f>('Capa DCF - Base'!K$6*(1-'Capa DCF - Base'!K$13-'Capa DCF - Base'!K$14)*'Capa DCF - Base'!K$53*(1+'Audit &amp; Checks'!$D$19)+'Capa DCF - Base'!K$57)*(MAX($C21,'Capa DCF - Base'!$I$61-2*'Audit &amp; Checks'!$D$18)-'Capa DCF - Base'!K$67)*(1-'Capa DCF - Base'!K$71)*'Capa DCF - Base'!K$78</x:f>
        <x:v>384968.63749367814</x:v>
      </x:c>
      <x:c r="M21" s="169" t="n">
        <x:f>('Capa DCF - Base'!L$6*(1-'Capa DCF - Base'!L$13-'Capa DCF - Base'!L$14)*$B21*(1+'Audit &amp; Checks'!$D$19)+'Capa DCF - Base'!L$57)*(MAX($C21,'Capa DCF - Base'!$I$61-3*'Audit &amp; Checks'!$D$18)-'Capa DCF - Base'!L$67)*(1-'Capa DCF - Base'!L$71)*'Capa DCF - Base'!L$78</x:f>
        <x:v>375197.5839307002</x:v>
      </x:c>
      <x:c r="N21" s="169" t="n">
        <x:f>('Capa DCF - Base'!M$6*(1-'Capa DCF - Base'!M$13-'Capa DCF - Base'!M$14)*$B21*(1+'Audit &amp; Checks'!$D$19)+'Capa DCF - Base'!M$57)*(MAX($C21,'Capa DCF - Base'!$I$61-4*'Audit &amp; Checks'!$D$18)-'Capa DCF - Base'!M$67)*(1-'Capa DCF - Base'!M$71)*'Capa DCF - Base'!M$78</x:f>
        <x:v>400342.512164133</x:v>
      </x:c>
      <x:c r="O21" s="169" t="n">
        <x:f>('Capa DCF - Base'!N$6*(1-'Capa DCF - Base'!N$13-'Capa DCF - Base'!N$14)*$B21*(1+'Audit &amp; Checks'!$D$19)+'Capa DCF - Base'!N$57)*(MAX($C21,'Capa DCF - Base'!$I$61-5*'Audit &amp; Checks'!$D$18)-'Capa DCF - Base'!N$67)*(1-'Capa DCF - Base'!N$71)*'Capa DCF - Base'!N$78</x:f>
        <x:v>441774.0764852129</x:v>
      </x:c>
      <x:c r="P21" s="169" t="n">
        <x:f>('Capa DCF - Base'!O$6*(1-'Capa DCF - Base'!O$13-'Capa DCF - Base'!O$14)*$B21*(1+'Audit &amp; Checks'!$D$19)+'Capa DCF - Base'!O$57)*(MAX($C21,'Capa DCF - Base'!$I$61-6*'Audit &amp; Checks'!$D$18)-'Capa DCF - Base'!O$67)*(1-'Capa DCF - Base'!O$71)*'Capa DCF - Base'!O$78</x:f>
        <x:v>476153.1270511712</x:v>
      </x:c>
      <x:c r="Q21" s="169" t="n">
        <x:f>('Capa DCF - Base'!P$6*(1-'Capa DCF - Base'!P$13-'Capa DCF - Base'!P$14)*$B21*(1+'Audit &amp; Checks'!$D$19)+'Capa DCF - Base'!P$57)*(MAX($C21,'Capa DCF - Base'!$I$61-7*'Audit &amp; Checks'!$D$18)-'Capa DCF - Base'!P$67)*(1-'Capa DCF - Base'!P$71)*'Capa DCF - Base'!P$78</x:f>
        <x:v>513282.5016624064</x:v>
      </x:c>
      <x:c r="R21" s="169" t="n">
        <x:f>('Capa DCF - Base'!Q$6*(1-'Capa DCF - Base'!Q$13-'Capa DCF - Base'!Q$14)*$B21*(1+'Audit &amp; Checks'!$D$19)+'Capa DCF - Base'!Q$57)*(MAX($C21,'Capa DCF - Base'!$I$61-8*'Audit &amp; Checks'!$D$18)-'Capa DCF - Base'!Q$67)*(1-'Capa DCF - Base'!Q$71)*'Capa DCF - Base'!Q$78</x:f>
        <x:v>553382.2262425403</x:v>
      </x:c>
      <x:c r="S21" s="169" t="n">
        <x:f>('Capa DCF - Base'!R$6*(1-'Capa DCF - Base'!R$13-'Capa DCF - Base'!R$14)*$B21*(1+'Audit &amp; Checks'!$D$19)+'Capa DCF - Base'!R$57)*(MAX($C21,'Capa DCF - Base'!$I$61-9*'Audit &amp; Checks'!$D$18)-'Capa DCF - Base'!R$67)*(1-'Capa DCF - Base'!R$71)*'Capa DCF - Base'!R$78</x:f>
        <x:v>596689.928789085</x:v>
      </x:c>
      <x:c r="T21" s="169" t="n">
        <x:f>('Capa DCF - Base'!S$6*(1-'Capa DCF - Base'!S$13-'Capa DCF - Base'!S$14)*$B21*(1+'Audit &amp; Checks'!$D$19)+'Capa DCF - Base'!S$57)*(MAX($C21,'Capa DCF - Base'!$I$61-10*'Audit &amp; Checks'!$D$18)-'Capa DCF - Base'!S$67)*(1-'Capa DCF - Base'!S$71)*'Capa DCF - Base'!S$78</x:f>
        <x:v>643462.2475393531</x:v>
      </x:c>
      <x:c r="U21" s="169" t="n">
        <x:f>('Capa DCF - Base'!T$6*(1-'Capa DCF - Base'!T$13-'Capa DCF - Base'!T$14)*$B21*(1+'Audit &amp; Checks'!$D$19)+'Capa DCF - Base'!T$57)*(MAX($C21,'Capa DCF - Base'!$I$61-11*'Audit &amp; Checks'!$D$18)-'Capa DCF - Base'!T$67)*(1-'Capa DCF - Base'!T$71)*'Capa DCF - Base'!T$78</x:f>
        <x:v>693976.3517896427</x:v>
      </x:c>
      <x:c r="V21" s="169" t="n">
        <x:f>('Capa DCF - Base'!U$6*(1-'Capa DCF - Base'!U$13-'Capa DCF - Base'!U$14)*$B21*(1+'Audit &amp; Checks'!$D$19)+'Capa DCF - Base'!U$57)*(MAX($C21,'Capa DCF - Base'!$I$61-12*'Audit &amp; Checks'!$D$18)-'Capa DCF - Base'!U$67)*(1-'Capa DCF - Base'!U$71)*'Capa DCF - Base'!U$78</x:f>
        <x:v>748531.5843799557</x:v>
      </x:c>
      <x:c r="W21" s="169" t="n">
        <x:f>('Capa DCF - Base'!V$6*(1-'Capa DCF - Base'!V$13-'Capa DCF - Base'!V$14)*$B21*(1+'Audit &amp; Checks'!$D$19)+'Capa DCF - Base'!V$57)*(MAX($C21,'Capa DCF - Base'!$I$61-13*'Audit &amp; Checks'!$D$18)-'Capa DCF - Base'!V$67)*(1-'Capa DCF - Base'!V$71)*'Capa DCF - Base'!V$78</x:f>
        <x:v>807451.2355774937</x:v>
      </x:c>
      <x:c r="X21" s="169" t="n">
        <x:f>('Capa DCF - Base'!W$6*(1-'Capa DCF - Base'!W$13-'Capa DCF - Base'!W$14)*$B21*(1+'Audit &amp; Checks'!$D$19)+'Capa DCF - Base'!W$57)*(MAX($C21,'Capa DCF - Base'!$I$61-14*'Audit &amp; Checks'!$D$18)-'Capa DCF - Base'!W$67)*(1-'Capa DCF - Base'!W$71)*'Capa DCF - Base'!W$78</x:f>
        <x:v>871084.4588708346</x:v>
      </x:c>
      <x:c r="Y21" s="169" t="n">
        <x:f>('Capa DCF - Base'!X$6*(1-'Capa DCF - Base'!X$13-'Capa DCF - Base'!X$14)*$B21*(1+'Audit &amp; Checks'!$D$19)+'Capa DCF - Base'!X$57)*(MAX($C21,'Capa DCF - Base'!$I$61-15*'Audit &amp; Checks'!$D$18)-'Capa DCF - Base'!X$67)*(1-'Capa DCF - Base'!X$71)*'Capa DCF - Base'!X$78</x:f>
        <x:v>939808.3400276429</x:v>
      </x:c>
      <x:c r="Z21" s="169" t="n">
        <x:f>('Capa DCF - Base'!Y$6*(1-'Capa DCF - Base'!Y$13-'Capa DCF - Base'!Y$14)*$B21*(1+'Audit &amp; Checks'!$D$19)+'Capa DCF - Base'!Y$57)*(MAX($C21,'Capa DCF - Base'!$I$61-16*'Audit &amp; Checks'!$D$18)-'Capa DCF - Base'!Y$67)*(1-'Capa DCF - Base'!Y$71)*'Capa DCF - Base'!Y$78</x:f>
        <x:v>1014030.1316769958</x:v>
      </x:c>
      <x:c r="AA21" s="169" t="n">
        <x:f>('Capa DCF - Base'!Z$6*(1-'Capa DCF - Base'!Z$13-'Capa DCF - Base'!Z$14)*$B21*(1+'Audit &amp; Checks'!$D$19)+'Capa DCF - Base'!Z$57)*(MAX($C21,'Capa DCF - Base'!$I$61-17*'Audit &amp; Checks'!$D$18)-'Capa DCF - Base'!Z$67)*(1-'Capa DCF - Base'!Z$71)*'Capa DCF - Base'!Z$78</x:f>
        <x:v>1367737.0833228712</x:v>
      </x:c>
      <x:c r="AB21" s="169"/>
      <x:c r="AC21" s="169"/>
    </x:row>
    <x:row r="22" ht="18" customHeight="1">
      <x:c r="A22" s="169" t="n">
        <x:v>17</x:v>
      </x:c>
      <x:c r="B22" s="174" t="n">
        <x:f>'Capa DCF - Base'!D99</x:f>
        <x:v>0.5</x:v>
      </x:c>
      <x:c r="C22" s="174" t="n">
        <x:f>'Capa DCF - Base'!I96</x:f>
        <x:v>0.66</x:v>
      </x:c>
      <x:c r="D22" s="169" t="n">
        <x:f>NPV('Capa DCF - Base'!$D$81,'Capa DCF - Base'!$G$79:$I$79)</x:f>
        <x:v>586118.0536624773</x:v>
      </x:c>
      <x:c r="E22" s="169" t="n">
        <x:f>NPV('Capa DCF - Base'!$D$81,K22:AA22)/(1+'Capa DCF - Base'!$D$81)^3</x:f>
        <x:v>3447265.33275511</x:v>
      </x:c>
      <x:c r="F22" s="169" t="n">
        <x:f>IF('Audit &amp; Checks'!$D$10=1,AA22*(1+'Capa DCF - Base'!$D$83)/('Capa DCF - Base'!$D$81-'Capa DCF - Base'!$D$83),0)</x:f>
        <x:v>19336972.557323348</x:v>
      </x:c>
      <x:c r="G22" s="169" t="n">
        <x:f>F22/(1+'Capa DCF - Base'!$D$81)^'Audit &amp; Checks'!$D$7</x:f>
        <x:v>2874317.7559238416</x:v>
      </x:c>
      <x:c r="H22" s="169" t="n">
        <x:f>SUM(D22:E22,G22)*'Audit &amp; Checks'!$D$9</x:f>
        <x:v>7350617.744119128</x:v>
      </x:c>
      <x:c r="I22" s="173" t="n">
        <x:f>IF('Audit &amp; Checks'!$D$10=1,H22/'Capa DCF - Base'!$D$86,0)</x:f>
        <x:v>305.0048856480966</x:v>
      </x:c>
      <x:c r="J22" s="169"/>
      <x:c r="K22" s="169" t="n">
        <x:f>('Capa DCF - Base'!J$6*(1-'Capa DCF - Base'!J$13-'Capa DCF - Base'!J$14)*'Capa DCF - Base'!J$53*(1+'Audit &amp; Checks'!$D$19)+'Capa DCF - Base'!J$57)*(MAX($C22,'Capa DCF - Base'!$I$61-1*'Audit &amp; Checks'!$D$18)-'Capa DCF - Base'!J$67)*(1-'Capa DCF - Base'!J$71)*'Capa DCF - Base'!J$78</x:f>
        <x:v>403773.32274527336</x:v>
      </x:c>
      <x:c r="L22" s="169" t="n">
        <x:f>('Capa DCF - Base'!K$6*(1-'Capa DCF - Base'!K$13-'Capa DCF - Base'!K$14)*'Capa DCF - Base'!K$53*(1+'Audit &amp; Checks'!$D$19)+'Capa DCF - Base'!K$57)*(MAX($C22,'Capa DCF - Base'!$I$61-2*'Audit &amp; Checks'!$D$18)-'Capa DCF - Base'!K$67)*(1-'Capa DCF - Base'!K$71)*'Capa DCF - Base'!K$78</x:f>
        <x:v>384968.63749367814</x:v>
      </x:c>
      <x:c r="M22" s="169" t="n">
        <x:f>('Capa DCF - Base'!L$6*(1-'Capa DCF - Base'!L$13-'Capa DCF - Base'!L$14)*$B22*(1+'Audit &amp; Checks'!$D$19)+'Capa DCF - Base'!L$57)*(MAX($C22,'Capa DCF - Base'!$I$61-3*'Audit &amp; Checks'!$D$18)-'Capa DCF - Base'!L$67)*(1-'Capa DCF - Base'!L$71)*'Capa DCF - Base'!L$78</x:f>
        <x:v>375197.5839307003</x:v>
      </x:c>
      <x:c r="N22" s="169" t="n">
        <x:f>('Capa DCF - Base'!M$6*(1-'Capa DCF - Base'!M$13-'Capa DCF - Base'!M$14)*$B22*(1+'Audit &amp; Checks'!$D$19)+'Capa DCF - Base'!M$57)*(MAX($C22,'Capa DCF - Base'!$I$61-4*'Audit &amp; Checks'!$D$18)-'Capa DCF - Base'!M$67)*(1-'Capa DCF - Base'!M$71)*'Capa DCF - Base'!M$78</x:f>
        <x:v>414147.4263766894</x:v>
      </x:c>
      <x:c r="O22" s="169" t="n">
        <x:f>('Capa DCF - Base'!N$6*(1-'Capa DCF - Base'!N$13-'Capa DCF - Base'!N$14)*$B22*(1+'Audit &amp; Checks'!$D$19)+'Capa DCF - Base'!N$57)*(MAX($C22,'Capa DCF - Base'!$I$61-5*'Audit &amp; Checks'!$D$18)-'Capa DCF - Base'!N$67)*(1-'Capa DCF - Base'!N$71)*'Capa DCF - Base'!N$78</x:f>
        <x:v>457007.6653295305</x:v>
      </x:c>
      <x:c r="P22" s="169" t="n">
        <x:f>('Capa DCF - Base'!O$6*(1-'Capa DCF - Base'!O$13-'Capa DCF - Base'!O$14)*$B22*(1+'Audit &amp; Checks'!$D$19)+'Capa DCF - Base'!O$57)*(MAX($C22,'Capa DCF - Base'!$I$61-6*'Audit &amp; Checks'!$D$18)-'Capa DCF - Base'!O$67)*(1-'Capa DCF - Base'!O$71)*'Capa DCF - Base'!O$78</x:f>
        <x:v>492572.2003977634</x:v>
      </x:c>
      <x:c r="Q22" s="169" t="n">
        <x:f>('Capa DCF - Base'!P$6*(1-'Capa DCF - Base'!P$13-'Capa DCF - Base'!P$14)*$B22*(1+'Audit &amp; Checks'!$D$19)+'Capa DCF - Base'!P$57)*(MAX($C22,'Capa DCF - Base'!$I$61-7*'Audit &amp; Checks'!$D$18)-'Capa DCF - Base'!P$67)*(1-'Capa DCF - Base'!P$71)*'Capa DCF - Base'!P$78</x:f>
        <x:v>530981.8982714548</x:v>
      </x:c>
      <x:c r="R22" s="169" t="n">
        <x:f>('Capa DCF - Base'!Q$6*(1-'Capa DCF - Base'!Q$13-'Capa DCF - Base'!Q$14)*$B22*(1+'Audit &amp; Checks'!$D$19)+'Capa DCF - Base'!Q$57)*(MAX($C22,'Capa DCF - Base'!$I$61-8*'Audit &amp; Checks'!$D$18)-'Capa DCF - Base'!Q$67)*(1-'Capa DCF - Base'!Q$71)*'Capa DCF - Base'!Q$78</x:f>
        <x:v>572464.3719750418</x:v>
      </x:c>
      <x:c r="S22" s="169" t="n">
        <x:f>('Capa DCF - Base'!R$6*(1-'Capa DCF - Base'!R$13-'Capa DCF - Base'!R$14)*$B22*(1+'Audit &amp; Checks'!$D$19)+'Capa DCF - Base'!R$57)*(MAX($C22,'Capa DCF - Base'!$I$61-9*'Audit &amp; Checks'!$D$18)-'Capa DCF - Base'!R$67)*(1-'Capa DCF - Base'!R$71)*'Capa DCF - Base'!R$78</x:f>
        <x:v>617265.4435749155</x:v>
      </x:c>
      <x:c r="T22" s="169" t="n">
        <x:f>('Capa DCF - Base'!S$6*(1-'Capa DCF - Base'!S$13-'Capa DCF - Base'!S$14)*$B22*(1+'Audit &amp; Checks'!$D$19)+'Capa DCF - Base'!S$57)*(MAX($C22,'Capa DCF - Base'!$I$61-10*'Audit &amp; Checks'!$D$18)-'Capa DCF - Base'!S$67)*(1-'Capa DCF - Base'!S$71)*'Capa DCF - Base'!S$78</x:f>
        <x:v>665650.6009027791</x:v>
      </x:c>
      <x:c r="U22" s="169" t="n">
        <x:f>('Capa DCF - Base'!T$6*(1-'Capa DCF - Base'!T$13-'Capa DCF - Base'!T$14)*$B22*(1+'Audit &amp; Checks'!$D$19)+'Capa DCF - Base'!T$57)*(MAX($C22,'Capa DCF - Base'!$I$61-11*'Audit &amp; Checks'!$D$18)-'Capa DCF - Base'!T$67)*(1-'Capa DCF - Base'!T$71)*'Capa DCF - Base'!T$78</x:f>
        <x:v>717906.5708168718</x:v>
      </x:c>
      <x:c r="V22" s="169" t="n">
        <x:f>('Capa DCF - Base'!U$6*(1-'Capa DCF - Base'!U$13-'Capa DCF - Base'!U$14)*$B22*(1+'Audit &amp; Checks'!$D$19)+'Capa DCF - Base'!U$57)*(MAX($C22,'Capa DCF - Base'!$I$61-12*'Audit &amp; Checks'!$D$18)-'Capa DCF - Base'!U$67)*(1-'Capa DCF - Base'!U$71)*'Capa DCF - Base'!U$78</x:f>
        <x:v>774343.018324092</x:v>
      </x:c>
      <x:c r="W22" s="169" t="n">
        <x:f>('Capa DCF - Base'!V$6*(1-'Capa DCF - Base'!V$13-'Capa DCF - Base'!V$14)*$B22*(1+'Audit &amp; Checks'!$D$19)+'Capa DCF - Base'!V$57)*(MAX($C22,'Capa DCF - Base'!$I$61-13*'Audit &amp; Checks'!$D$18)-'Capa DCF - Base'!V$67)*(1-'Capa DCF - Base'!V$71)*'Capa DCF - Base'!V$78</x:f>
        <x:v>835294.3816318901</x:v>
      </x:c>
      <x:c r="X22" s="169" t="n">
        <x:f>('Capa DCF - Base'!W$6*(1-'Capa DCF - Base'!W$13-'Capa DCF - Base'!W$14)*$B22*(1+'Audit &amp; Checks'!$D$19)+'Capa DCF - Base'!W$57)*(MAX($C22,'Capa DCF - Base'!$I$61-14*'Audit &amp; Checks'!$D$18)-'Capa DCF - Base'!W$67)*(1-'Capa DCF - Base'!W$71)*'Capa DCF - Base'!W$78</x:f>
        <x:v>901121.8540043118</x:v>
      </x:c>
      <x:c r="Y22" s="169" t="n">
        <x:f>('Capa DCF - Base'!X$6*(1-'Capa DCF - Base'!X$13-'Capa DCF - Base'!X$14)*$B22*(1+'Audit &amp; Checks'!$D$19)+'Capa DCF - Base'!X$57)*(MAX($C22,'Capa DCF - Base'!$I$61-15*'Audit &amp; Checks'!$D$18)-'Capa DCF - Base'!X$67)*(1-'Capa DCF - Base'!X$71)*'Capa DCF - Base'!X$78</x:f>
        <x:v>972215.5241665272</x:v>
      </x:c>
      <x:c r="Z22" s="169" t="n">
        <x:f>('Capa DCF - Base'!Y$6*(1-'Capa DCF - Base'!Y$13-'Capa DCF - Base'!Y$14)*$B22*(1+'Audit &amp; Checks'!$D$19)+'Capa DCF - Base'!Y$57)*(MAX($C22,'Capa DCF - Base'!$I$61-16*'Audit &amp; Checks'!$D$18)-'Capa DCF - Base'!Y$67)*(1-'Capa DCF - Base'!Y$71)*'Capa DCF - Base'!Y$78</x:f>
        <x:v>1048996.6879417198</x:v>
      </x:c>
      <x:c r="AA22" s="169" t="n">
        <x:f>('Capa DCF - Base'!Z$6*(1-'Capa DCF - Base'!Z$13-'Capa DCF - Base'!Z$14)*$B22*(1+'Audit &amp; Checks'!$D$19)+'Capa DCF - Base'!Z$57)*(MAX($C22,'Capa DCF - Base'!$I$61-17*'Audit &amp; Checks'!$D$18)-'Capa DCF - Base'!Z$67)*(1-'Capa DCF - Base'!Z$71)*'Capa DCF - Base'!Z$78</x:f>
        <x:v>1414900.4310236599</x:v>
      </x:c>
      <x:c r="AB22" s="169"/>
      <x:c r="AC22" s="169"/>
    </x:row>
    <x:row r="23" ht="18" customHeight="1">
      <x:c r="A23" s="169" t="n">
        <x:v>18</x:v>
      </x:c>
      <x:c r="B23" s="174" t="n">
        <x:f>'Capa DCF - Base'!D99</x:f>
        <x:v>0.5</x:v>
      </x:c>
      <x:c r="C23" s="174" t="n">
        <x:f>'Capa DCF - Base'!J96</x:f>
        <x:v>0.68</x:v>
      </x:c>
      <x:c r="D23" s="169" t="n">
        <x:f>NPV('Capa DCF - Base'!$D$81,'Capa DCF - Base'!$G$79:$I$79)</x:f>
        <x:v>586118.0536624773</x:v>
      </x:c>
      <x:c r="E23" s="169" t="n">
        <x:f>NPV('Capa DCF - Base'!$D$81,K23:AA23)/(1+'Capa DCF - Base'!$D$81)^3</x:f>
        <x:v>3545013.5822442374</x:v>
      </x:c>
      <x:c r="F23" s="169" t="n">
        <x:f>IF('Audit &amp; Checks'!$D$10=1,AA23*(1+'Capa DCF - Base'!$D$83)/('Capa DCF - Base'!$D$81-'Capa DCF - Base'!$D$83),0)</x:f>
        <x:v>19981538.309234127</x:v>
      </x:c>
      <x:c r="G23" s="169" t="n">
        <x:f>F23/(1+'Capa DCF - Base'!$D$81)^'Audit &amp; Checks'!$D$7</x:f>
        <x:v>2970128.3477879697</x:v>
      </x:c>
      <x:c r="H23" s="169" t="n">
        <x:f>SUM(D23:E23,G23)*'Audit &amp; Checks'!$D$9</x:f>
        <x:v>7556587.432799104</x:v>
      </x:c>
      <x:c r="I23" s="173" t="n">
        <x:f>IF('Audit &amp; Checks'!$D$10=1,H23/'Capa DCF - Base'!$D$86,0)</x:f>
        <x:v>313.5513457592989</x:v>
      </x:c>
      <x:c r="J23" s="169"/>
      <x:c r="K23" s="169" t="n">
        <x:f>('Capa DCF - Base'!J$6*(1-'Capa DCF - Base'!J$13-'Capa DCF - Base'!J$14)*'Capa DCF - Base'!J$53*(1+'Audit &amp; Checks'!$D$19)+'Capa DCF - Base'!J$57)*(MAX($C23,'Capa DCF - Base'!$I$61-1*'Audit &amp; Checks'!$D$18)-'Capa DCF - Base'!J$67)*(1-'Capa DCF - Base'!J$71)*'Capa DCF - Base'!J$78</x:f>
        <x:v>403773.32274527336</x:v>
      </x:c>
      <x:c r="L23" s="169" t="n">
        <x:f>('Capa DCF - Base'!K$6*(1-'Capa DCF - Base'!K$13-'Capa DCF - Base'!K$14)*'Capa DCF - Base'!K$53*(1+'Audit &amp; Checks'!$D$19)+'Capa DCF - Base'!K$57)*(MAX($C23,'Capa DCF - Base'!$I$61-2*'Audit &amp; Checks'!$D$18)-'Capa DCF - Base'!K$67)*(1-'Capa DCF - Base'!K$71)*'Capa DCF - Base'!K$78</x:f>
        <x:v>384968.63749367837</x:v>
      </x:c>
      <x:c r="M23" s="169" t="n">
        <x:f>('Capa DCF - Base'!L$6*(1-'Capa DCF - Base'!L$13-'Capa DCF - Base'!L$14)*$B23*(1+'Audit &amp; Checks'!$D$19)+'Capa DCF - Base'!L$57)*(MAX($C23,'Capa DCF - Base'!$I$61-3*'Audit &amp; Checks'!$D$18)-'Capa DCF - Base'!L$67)*(1-'Capa DCF - Base'!L$71)*'Capa DCF - Base'!L$78</x:f>
        <x:v>387704.1700617237</x:v>
      </x:c>
      <x:c r="N23" s="169" t="n">
        <x:f>('Capa DCF - Base'!M$6*(1-'Capa DCF - Base'!M$13-'Capa DCF - Base'!M$14)*$B23*(1+'Audit &amp; Checks'!$D$19)+'Capa DCF - Base'!M$57)*(MAX($C23,'Capa DCF - Base'!$I$61-4*'Audit &amp; Checks'!$D$18)-'Capa DCF - Base'!M$67)*(1-'Capa DCF - Base'!M$71)*'Capa DCF - Base'!M$78</x:f>
        <x:v>427952.3405892456</x:v>
      </x:c>
      <x:c r="O23" s="169" t="n">
        <x:f>('Capa DCF - Base'!N$6*(1-'Capa DCF - Base'!N$13-'Capa DCF - Base'!N$14)*$B23*(1+'Audit &amp; Checks'!$D$19)+'Capa DCF - Base'!N$57)*(MAX($C23,'Capa DCF - Base'!$I$61-5*'Audit &amp; Checks'!$D$18)-'Capa DCF - Base'!N$67)*(1-'Capa DCF - Base'!N$71)*'Capa DCF - Base'!N$78</x:f>
        <x:v>472241.25417384825</x:v>
      </x:c>
      <x:c r="P23" s="169" t="n">
        <x:f>('Capa DCF - Base'!O$6*(1-'Capa DCF - Base'!O$13-'Capa DCF - Base'!O$14)*$B23*(1+'Audit &amp; Checks'!$D$19)+'Capa DCF - Base'!O$57)*(MAX($C23,'Capa DCF - Base'!$I$61-6*'Audit &amp; Checks'!$D$18)-'Capa DCF - Base'!O$67)*(1-'Capa DCF - Base'!O$71)*'Capa DCF - Base'!O$78</x:f>
        <x:v>508991.27374435554</x:v>
      </x:c>
      <x:c r="Q23" s="169" t="n">
        <x:f>('Capa DCF - Base'!P$6*(1-'Capa DCF - Base'!P$13-'Capa DCF - Base'!P$14)*$B23*(1+'Audit &amp; Checks'!$D$19)+'Capa DCF - Base'!P$57)*(MAX($C23,'Capa DCF - Base'!$I$61-7*'Audit &amp; Checks'!$D$18)-'Capa DCF - Base'!P$67)*(1-'Capa DCF - Base'!P$71)*'Capa DCF - Base'!P$78</x:f>
        <x:v>548681.2948805034</x:v>
      </x:c>
      <x:c r="R23" s="169" t="n">
        <x:f>('Capa DCF - Base'!Q$6*(1-'Capa DCF - Base'!Q$13-'Capa DCF - Base'!Q$14)*$B23*(1+'Audit &amp; Checks'!$D$19)+'Capa DCF - Base'!Q$57)*(MAX($C23,'Capa DCF - Base'!$I$61-8*'Audit &amp; Checks'!$D$18)-'Capa DCF - Base'!Q$67)*(1-'Capa DCF - Base'!Q$71)*'Capa DCF - Base'!Q$78</x:f>
        <x:v>591546.5177075432</x:v>
      </x:c>
      <x:c r="S23" s="169" t="n">
        <x:f>('Capa DCF - Base'!R$6*(1-'Capa DCF - Base'!R$13-'Capa DCF - Base'!R$14)*$B23*(1+'Audit &amp; Checks'!$D$19)+'Capa DCF - Base'!R$57)*(MAX($C23,'Capa DCF - Base'!$I$61-9*'Audit &amp; Checks'!$D$18)-'Capa DCF - Base'!R$67)*(1-'Capa DCF - Base'!R$71)*'Capa DCF - Base'!R$78</x:f>
        <x:v>637840.958360746</x:v>
      </x:c>
      <x:c r="T23" s="169" t="n">
        <x:f>('Capa DCF - Base'!S$6*(1-'Capa DCF - Base'!S$13-'Capa DCF - Base'!S$14)*$B23*(1+'Audit &amp; Checks'!$D$19)+'Capa DCF - Base'!S$57)*(MAX($C23,'Capa DCF - Base'!$I$61-10*'Audit &amp; Checks'!$D$18)-'Capa DCF - Base'!S$67)*(1-'Capa DCF - Base'!S$71)*'Capa DCF - Base'!S$78</x:f>
        <x:v>687838.9542662051</x:v>
      </x:c>
      <x:c r="U23" s="169" t="n">
        <x:f>('Capa DCF - Base'!T$6*(1-'Capa DCF - Base'!T$13-'Capa DCF - Base'!T$14)*$B23*(1+'Audit &amp; Checks'!$D$19)+'Capa DCF - Base'!T$57)*(MAX($C23,'Capa DCF - Base'!$I$61-11*'Audit &amp; Checks'!$D$18)-'Capa DCF - Base'!T$67)*(1-'Capa DCF - Base'!T$71)*'Capa DCF - Base'!T$78</x:f>
        <x:v>741836.7898441008</x:v>
      </x:c>
      <x:c r="V23" s="169" t="n">
        <x:f>('Capa DCF - Base'!U$6*(1-'Capa DCF - Base'!U$13-'Capa DCF - Base'!U$14)*$B23*(1+'Audit &amp; Checks'!$D$19)+'Capa DCF - Base'!U$57)*(MAX($C23,'Capa DCF - Base'!$I$61-12*'Audit &amp; Checks'!$D$18)-'Capa DCF - Base'!U$67)*(1-'Capa DCF - Base'!U$71)*'Capa DCF - Base'!U$78</x:f>
        <x:v>800154.4522682284</x:v>
      </x:c>
      <x:c r="W23" s="169" t="n">
        <x:f>('Capa DCF - Base'!V$6*(1-'Capa DCF - Base'!V$13-'Capa DCF - Base'!V$14)*$B23*(1+'Audit &amp; Checks'!$D$19)+'Capa DCF - Base'!V$57)*(MAX($C23,'Capa DCF - Base'!$I$61-13*'Audit &amp; Checks'!$D$18)-'Capa DCF - Base'!V$67)*(1-'Capa DCF - Base'!V$71)*'Capa DCF - Base'!V$78</x:f>
        <x:v>863137.5276862864</x:v>
      </x:c>
      <x:c r="X23" s="169" t="n">
        <x:f>('Capa DCF - Base'!W$6*(1-'Capa DCF - Base'!W$13-'Capa DCF - Base'!W$14)*$B23*(1+'Audit &amp; Checks'!$D$19)+'Capa DCF - Base'!W$57)*(MAX($C23,'Capa DCF - Base'!$I$61-14*'Audit &amp; Checks'!$D$18)-'Capa DCF - Base'!W$67)*(1-'Capa DCF - Base'!W$71)*'Capa DCF - Base'!W$78</x:f>
        <x:v>931159.2491377889</x:v>
      </x:c>
      <x:c r="Y23" s="169" t="n">
        <x:f>('Capa DCF - Base'!X$6*(1-'Capa DCF - Base'!X$13-'Capa DCF - Base'!X$14)*$B23*(1+'Audit &amp; Checks'!$D$19)+'Capa DCF - Base'!X$57)*(MAX($C23,'Capa DCF - Base'!$I$61-15*'Audit &amp; Checks'!$D$18)-'Capa DCF - Base'!X$67)*(1-'Capa DCF - Base'!X$71)*'Capa DCF - Base'!X$78</x:f>
        <x:v>1004622.7083054115</x:v>
      </x:c>
      <x:c r="Z23" s="169" t="n">
        <x:f>('Capa DCF - Base'!Y$6*(1-'Capa DCF - Base'!Y$13-'Capa DCF - Base'!Y$14)*$B23*(1+'Audit &amp; Checks'!$D$19)+'Capa DCF - Base'!Y$57)*(MAX($C23,'Capa DCF - Base'!$I$61-16*'Audit &amp; Checks'!$D$18)-'Capa DCF - Base'!Y$67)*(1-'Capa DCF - Base'!Y$71)*'Capa DCF - Base'!Y$78</x:f>
        <x:v>1083963.244206444</x:v>
      </x:c>
      <x:c r="AA23" s="169" t="n">
        <x:f>('Capa DCF - Base'!Z$6*(1-'Capa DCF - Base'!Z$13-'Capa DCF - Base'!Z$14)*$B23*(1+'Audit &amp; Checks'!$D$19)+'Capa DCF - Base'!Z$57)*(MAX($C23,'Capa DCF - Base'!$I$61-17*'Audit &amp; Checks'!$D$18)-'Capa DCF - Base'!Z$67)*(1-'Capa DCF - Base'!Z$71)*'Capa DCF - Base'!Z$78</x:f>
        <x:v>1462063.7787244485</x:v>
      </x:c>
      <x:c r="AB23" s="169"/>
      <x:c r="AC23" s="169"/>
    </x:row>
    <x:row r="24" ht="18" customHeight="1">
      <x:c r="A24" s="169" t="n">
        <x:v>19</x:v>
      </x:c>
      <x:c r="B24" s="174" t="n">
        <x:f>'Capa DCF - Base'!D100</x:f>
        <x:v>0.55</x:v>
      </x:c>
      <x:c r="C24" s="174" t="n">
        <x:f>'Capa DCF - Base'!E96</x:f>
        <x:v>0.58</x:v>
      </x:c>
      <x:c r="D24" s="169" t="n">
        <x:f>NPV('Capa DCF - Base'!$D$81,'Capa DCF - Base'!$G$79:$I$79)</x:f>
        <x:v>586118.0536624773</x:v>
      </x:c>
      <x:c r="E24" s="169" t="n">
        <x:f>NPV('Capa DCF - Base'!$D$81,K24:AA24)/(1+'Capa DCF - Base'!$D$81)^3</x:f>
        <x:v>3382801.544715686</x:v>
      </x:c>
      <x:c r="F24" s="169" t="n">
        <x:f>IF('Audit &amp; Checks'!$D$10=1,AA24*(1+'Capa DCF - Base'!$D$83)/('Capa DCF - Base'!$D$81-'Capa DCF - Base'!$D$83),0)</x:f>
        <x:v>18416146.14151343</x:v>
      </x:c>
      <x:c r="G24" s="169" t="n">
        <x:f>F24/(1+'Capa DCF - Base'!$D$81)^'Audit &amp; Checks'!$D$7</x:f>
        <x:v>2737442.776697387</x:v>
      </x:c>
      <x:c r="H24" s="169" t="n">
        <x:f>SUM(D24:E24,G24)*'Audit &amp; Checks'!$D$9</x:f>
        <x:v>7136369.2865285035</x:v>
      </x:c>
      <x:c r="I24" s="173" t="n">
        <x:f>IF('Audit &amp; Checks'!$D$10=1,H24/'Capa DCF - Base'!$D$86,0)</x:f>
        <x:v>296.11490815470967</x:v>
      </x:c>
      <x:c r="J24" s="169"/>
      <x:c r="K24" s="169" t="n">
        <x:f>('Capa DCF - Base'!J$6*(1-'Capa DCF - Base'!J$13-'Capa DCF - Base'!J$14)*'Capa DCF - Base'!J$53*(1+'Audit &amp; Checks'!$D$19)+'Capa DCF - Base'!J$57)*(MAX($C24,'Capa DCF - Base'!$I$61-1*'Audit &amp; Checks'!$D$18)-'Capa DCF - Base'!J$67)*(1-'Capa DCF - Base'!J$71)*'Capa DCF - Base'!J$78</x:f>
        <x:v>403773.32274527336</x:v>
      </x:c>
      <x:c r="L24" s="169" t="n">
        <x:f>('Capa DCF - Base'!K$6*(1-'Capa DCF - Base'!K$13-'Capa DCF - Base'!K$14)*'Capa DCF - Base'!K$53*(1+'Audit &amp; Checks'!$D$19)+'Capa DCF - Base'!K$57)*(MAX($C24,'Capa DCF - Base'!$I$61-2*'Audit &amp; Checks'!$D$18)-'Capa DCF - Base'!K$67)*(1-'Capa DCF - Base'!K$71)*'Capa DCF - Base'!K$78</x:f>
        <x:v>384968.63749367814</x:v>
      </x:c>
      <x:c r="M24" s="169" t="n">
        <x:f>('Capa DCF - Base'!L$6*(1-'Capa DCF - Base'!L$13-'Capa DCF - Base'!L$14)*$B24*(1+'Audit &amp; Checks'!$D$19)+'Capa DCF - Base'!L$57)*(MAX($C24,'Capa DCF - Base'!$I$61-3*'Audit &amp; Checks'!$D$18)-'Capa DCF - Base'!L$67)*(1-'Capa DCF - Base'!L$71)*'Capa DCF - Base'!L$78</x:f>
        <x:v>411472.2446261082</x:v>
      </x:c>
      <x:c r="N24" s="169" t="n">
        <x:f>('Capa DCF - Base'!M$6*(1-'Capa DCF - Base'!M$13-'Capa DCF - Base'!M$14)*$B24*(1+'Audit &amp; Checks'!$D$19)+'Capa DCF - Base'!M$57)*(MAX($C24,'Capa DCF - Base'!$I$61-4*'Audit &amp; Checks'!$D$18)-'Capa DCF - Base'!M$67)*(1-'Capa DCF - Base'!M$71)*'Capa DCF - Base'!M$78</x:f>
        <x:v>439173.16893947305</x:v>
      </x:c>
      <x:c r="O24" s="169" t="n">
        <x:f>('Capa DCF - Base'!N$6*(1-'Capa DCF - Base'!N$13-'Capa DCF - Base'!N$14)*$B24*(1+'Audit &amp; Checks'!$D$19)+'Capa DCF - Base'!N$57)*(MAX($C24,'Capa DCF - Base'!$I$61-5*'Audit &amp; Checks'!$D$18)-'Capa DCF - Base'!N$67)*(1-'Capa DCF - Base'!N$71)*'Capa DCF - Base'!N$78</x:f>
        <x:v>468032.44522050023</x:v>
      </x:c>
      <x:c r="P24" s="169" t="n">
        <x:f>('Capa DCF - Base'!O$6*(1-'Capa DCF - Base'!O$13-'Capa DCF - Base'!O$14)*$B24*(1+'Audit &amp; Checks'!$D$19)+'Capa DCF - Base'!O$57)*(MAX($C24,'Capa DCF - Base'!$I$61-6*'Audit &amp; Checks'!$D$18)-'Capa DCF - Base'!O$67)*(1-'Capa DCF - Base'!O$71)*'Capa DCF - Base'!O$78</x:f>
        <x:v>486525.89046589</x:v>
      </x:c>
      <x:c r="Q24" s="169" t="n">
        <x:f>('Capa DCF - Base'!P$6*(1-'Capa DCF - Base'!P$13-'Capa DCF - Base'!P$14)*$B24*(1+'Audit &amp; Checks'!$D$19)+'Capa DCF - Base'!P$57)*(MAX($C24,'Capa DCF - Base'!$I$61-7*'Audit &amp; Checks'!$D$18)-'Capa DCF - Base'!P$67)*(1-'Capa DCF - Base'!P$71)*'Capa DCF - Base'!P$78</x:f>
        <x:v>505123.65834747994</x:v>
      </x:c>
      <x:c r="R24" s="169" t="n">
        <x:f>('Capa DCF - Base'!Q$6*(1-'Capa DCF - Base'!Q$13-'Capa DCF - Base'!Q$14)*$B24*(1+'Audit &amp; Checks'!$D$19)+'Capa DCF - Base'!Q$57)*(MAX($C24,'Capa DCF - Base'!$I$61-8*'Audit &amp; Checks'!$D$18)-'Capa DCF - Base'!Q$67)*(1-'Capa DCF - Base'!Q$71)*'Capa DCF - Base'!Q$78</x:f>
        <x:v>544670.2832782328</x:v>
      </x:c>
      <x:c r="S24" s="169" t="n">
        <x:f>('Capa DCF - Base'!R$6*(1-'Capa DCF - Base'!R$13-'Capa DCF - Base'!R$14)*$B24*(1+'Audit &amp; Checks'!$D$19)+'Capa DCF - Base'!R$57)*(MAX($C24,'Capa DCF - Base'!$I$61-9*'Audit &amp; Checks'!$D$18)-'Capa DCF - Base'!R$67)*(1-'Capa DCF - Base'!R$71)*'Capa DCF - Base'!R$78</x:f>
        <x:v>587380.6382034457</x:v>
      </x:c>
      <x:c r="T24" s="169" t="n">
        <x:f>('Capa DCF - Base'!S$6*(1-'Capa DCF - Base'!S$13-'Capa DCF - Base'!S$14)*$B24*(1+'Audit &amp; Checks'!$D$19)+'Capa DCF - Base'!S$57)*(MAX($C24,'Capa DCF - Base'!$I$61-10*'Audit &amp; Checks'!$D$18)-'Capa DCF - Base'!S$67)*(1-'Capa DCF - Base'!S$71)*'Capa DCF - Base'!S$78</x:f>
        <x:v>633507.8215226758</x:v>
      </x:c>
      <x:c r="U24" s="169" t="n">
        <x:f>('Capa DCF - Base'!T$6*(1-'Capa DCF - Base'!T$13-'Capa DCF - Base'!T$14)*$B24*(1+'Audit &amp; Checks'!$D$19)+'Capa DCF - Base'!T$57)*(MAX($C24,'Capa DCF - Base'!$I$61-11*'Audit &amp; Checks'!$D$18)-'Capa DCF - Base'!T$67)*(1-'Capa DCF - Base'!T$71)*'Capa DCF - Base'!T$78</x:f>
        <x:v>683325.1795074441</x:v>
      </x:c>
      <x:c r="V24" s="169" t="n">
        <x:f>('Capa DCF - Base'!U$6*(1-'Capa DCF - Base'!U$13-'Capa DCF - Base'!U$14)*$B24*(1+'Audit &amp; Checks'!$D$19)+'Capa DCF - Base'!U$57)*(MAX($C24,'Capa DCF - Base'!$I$61-12*'Audit &amp; Checks'!$D$18)-'Capa DCF - Base'!U$67)*(1-'Capa DCF - Base'!U$71)*'Capa DCF - Base'!U$78</x:f>
        <x:v>737127.9261309942</x:v>
      </x:c>
      <x:c r="W24" s="169" t="n">
        <x:f>('Capa DCF - Base'!V$6*(1-'Capa DCF - Base'!V$13-'Capa DCF - Base'!V$14)*$B24*(1+'Audit &amp; Checks'!$D$19)+'Capa DCF - Base'!V$57)*(MAX($C24,'Capa DCF - Base'!$I$61-13*'Audit &amp; Checks'!$D$18)-'Capa DCF - Base'!V$67)*(1-'Capa DCF - Base'!V$71)*'Capa DCF - Base'!V$78</x:f>
        <x:v>795234.8924844281</x:v>
      </x:c>
      <x:c r="X24" s="169" t="n">
        <x:f>('Capa DCF - Base'!W$6*(1-'Capa DCF - Base'!W$13-'Capa DCF - Base'!W$14)*$B24*(1+'Audit &amp; Checks'!$D$19)+'Capa DCF - Base'!W$57)*(MAX($C24,'Capa DCF - Base'!$I$61-14*'Audit &amp; Checks'!$D$18)-'Capa DCF - Base'!W$67)*(1-'Capa DCF - Base'!W$71)*'Capa DCF - Base'!W$78</x:f>
        <x:v>857990.4161461368</x:v>
      </x:c>
      <x:c r="Y24" s="169" t="n">
        <x:f>('Capa DCF - Base'!X$6*(1-'Capa DCF - Base'!X$13-'Capa DCF - Base'!X$14)*$B24*(1+'Audit &amp; Checks'!$D$19)+'Capa DCF - Base'!X$57)*(MAX($C24,'Capa DCF - Base'!$I$61-15*'Audit &amp; Checks'!$D$18)-'Capa DCF - Base'!X$67)*(1-'Capa DCF - Base'!X$71)*'Capa DCF - Base'!X$78</x:f>
        <x:v>925766.3817007821</x:v>
      </x:c>
      <x:c r="Z24" s="169" t="n">
        <x:f>('Capa DCF - Base'!Y$6*(1-'Capa DCF - Base'!Y$13-'Capa DCF - Base'!Y$14)*$B24*(1+'Audit &amp; Checks'!$D$19)+'Capa DCF - Base'!Y$57)*(MAX($C24,'Capa DCF - Base'!$I$61-16*'Audit &amp; Checks'!$D$18)-'Capa DCF - Base'!Y$67)*(1-'Capa DCF - Base'!Y$71)*'Capa DCF - Base'!Y$78</x:f>
        <x:v>998964.4244997994</x:v>
      </x:c>
      <x:c r="AA24" s="169" t="n">
        <x:f>('Capa DCF - Base'!Z$6*(1-'Capa DCF - Base'!Z$13-'Capa DCF - Base'!Z$14)*$B24*(1+'Audit &amp; Checks'!$D$19)+'Capa DCF - Base'!Z$57)*(MAX($C24,'Capa DCF - Base'!$I$61-17*'Audit &amp; Checks'!$D$18)-'Capa DCF - Base'!Z$67)*(1-'Capa DCF - Base'!Z$71)*'Capa DCF - Base'!Z$78</x:f>
        <x:v>1347522.888403422</x:v>
      </x:c>
      <x:c r="AB24" s="169"/>
      <x:c r="AC24" s="169"/>
    </x:row>
    <x:row r="25" ht="18" customHeight="1">
      <x:c r="A25" s="169" t="n">
        <x:v>20</x:v>
      </x:c>
      <x:c r="B25" s="174" t="n">
        <x:f>'Capa DCF - Base'!D100</x:f>
        <x:v>0.55</x:v>
      </x:c>
      <x:c r="C25" s="174" t="n">
        <x:f>'Capa DCF - Base'!F96</x:f>
        <x:v>0.6</x:v>
      </x:c>
      <x:c r="D25" s="169" t="n">
        <x:f>NPV('Capa DCF - Base'!$D$81,'Capa DCF - Base'!$G$79:$I$79)</x:f>
        <x:v>586118.0536624773</x:v>
      </x:c>
      <x:c r="E25" s="169" t="n">
        <x:f>NPV('Capa DCF - Base'!$D$81,K25:AA25)/(1+'Capa DCF - Base'!$D$81)^3</x:f>
        <x:v>3459173.77561398</x:v>
      </x:c>
      <x:c r="F25" s="169" t="n">
        <x:f>IF('Audit &amp; Checks'!$D$10=1,AA25*(1+'Capa DCF - Base'!$D$83)/('Capa DCF - Base'!$D$81-'Capa DCF - Base'!$D$83),0)</x:f>
        <x:v>19124459.45464856</x:v>
      </x:c>
      <x:c r="G25" s="169" t="n">
        <x:f>F25/(1+'Capa DCF - Base'!$D$81)^'Audit &amp; Checks'!$D$7</x:f>
        <x:v>2842729.037339594</x:v>
      </x:c>
      <x:c r="H25" s="169" t="n">
        <x:f>SUM(D25:E25,G25)*'Audit &amp; Checks'!$D$9</x:f>
        <x:v>7329675.583916307</x:v>
      </x:c>
      <x:c r="I25" s="173" t="n">
        <x:f>IF('Audit &amp; Checks'!$D$10=1,H25/'Capa DCF - Base'!$D$86,0)</x:f>
        <x:v>304.135916345075</x:v>
      </x:c>
      <x:c r="J25" s="169"/>
      <x:c r="K25" s="169" t="n">
        <x:f>('Capa DCF - Base'!J$6*(1-'Capa DCF - Base'!J$13-'Capa DCF - Base'!J$14)*'Capa DCF - Base'!J$53*(1+'Audit &amp; Checks'!$D$19)+'Capa DCF - Base'!J$57)*(MAX($C25,'Capa DCF - Base'!$I$61-1*'Audit &amp; Checks'!$D$18)-'Capa DCF - Base'!J$67)*(1-'Capa DCF - Base'!J$71)*'Capa DCF - Base'!J$78</x:f>
        <x:v>403773.32274527336</x:v>
      </x:c>
      <x:c r="L25" s="169" t="n">
        <x:f>('Capa DCF - Base'!K$6*(1-'Capa DCF - Base'!K$13-'Capa DCF - Base'!K$14)*'Capa DCF - Base'!K$53*(1+'Audit &amp; Checks'!$D$19)+'Capa DCF - Base'!K$57)*(MAX($C25,'Capa DCF - Base'!$I$61-2*'Audit &amp; Checks'!$D$18)-'Capa DCF - Base'!K$67)*(1-'Capa DCF - Base'!K$71)*'Capa DCF - Base'!K$78</x:f>
        <x:v>384968.63749367814</x:v>
      </x:c>
      <x:c r="M25" s="169" t="n">
        <x:f>('Capa DCF - Base'!L$6*(1-'Capa DCF - Base'!L$13-'Capa DCF - Base'!L$14)*$B25*(1+'Audit &amp; Checks'!$D$19)+'Capa DCF - Base'!L$57)*(MAX($C25,'Capa DCF - Base'!$I$61-3*'Audit &amp; Checks'!$D$18)-'Capa DCF - Base'!L$67)*(1-'Capa DCF - Base'!L$71)*'Capa DCF - Base'!L$78</x:f>
        <x:v>411472.2446261082</x:v>
      </x:c>
      <x:c r="N25" s="169" t="n">
        <x:f>('Capa DCF - Base'!M$6*(1-'Capa DCF - Base'!M$13-'Capa DCF - Base'!M$14)*$B25*(1+'Audit &amp; Checks'!$D$19)+'Capa DCF - Base'!M$57)*(MAX($C25,'Capa DCF - Base'!$I$61-4*'Audit &amp; Checks'!$D$18)-'Capa DCF - Base'!M$67)*(1-'Capa DCF - Base'!M$71)*'Capa DCF - Base'!M$78</x:f>
        <x:v>439173.16893947305</x:v>
      </x:c>
      <x:c r="O25" s="169" t="n">
        <x:f>('Capa DCF - Base'!N$6*(1-'Capa DCF - Base'!N$13-'Capa DCF - Base'!N$14)*$B25*(1+'Audit &amp; Checks'!$D$19)+'Capa DCF - Base'!N$57)*(MAX($C25,'Capa DCF - Base'!$I$61-5*'Audit &amp; Checks'!$D$18)-'Capa DCF - Base'!N$67)*(1-'Capa DCF - Base'!N$71)*'Capa DCF - Base'!N$78</x:f>
        <x:v>468032.44522050023</x:v>
      </x:c>
      <x:c r="P25" s="169" t="n">
        <x:f>('Capa DCF - Base'!O$6*(1-'Capa DCF - Base'!O$13-'Capa DCF - Base'!O$14)*$B25*(1+'Audit &amp; Checks'!$D$19)+'Capa DCF - Base'!O$57)*(MAX($C25,'Capa DCF - Base'!$I$61-6*'Audit &amp; Checks'!$D$18)-'Capa DCF - Base'!O$67)*(1-'Capa DCF - Base'!O$71)*'Capa DCF - Base'!O$78</x:f>
        <x:v>486525.89046589</x:v>
      </x:c>
      <x:c r="Q25" s="169" t="n">
        <x:f>('Capa DCF - Base'!P$6*(1-'Capa DCF - Base'!P$13-'Capa DCF - Base'!P$14)*$B25*(1+'Audit &amp; Checks'!$D$19)+'Capa DCF - Base'!P$57)*(MAX($C25,'Capa DCF - Base'!$I$61-7*'Audit &amp; Checks'!$D$18)-'Capa DCF - Base'!P$67)*(1-'Capa DCF - Base'!P$71)*'Capa DCF - Base'!P$78</x:f>
        <x:v>524551.4913608445</x:v>
      </x:c>
      <x:c r="R25" s="169" t="n">
        <x:f>('Capa DCF - Base'!Q$6*(1-'Capa DCF - Base'!Q$13-'Capa DCF - Base'!Q$14)*$B25*(1+'Audit &amp; Checks'!$D$19)+'Capa DCF - Base'!Q$57)*(MAX($C25,'Capa DCF - Base'!$I$61-8*'Audit &amp; Checks'!$D$18)-'Capa DCF - Base'!Q$67)*(1-'Capa DCF - Base'!Q$71)*'Capa DCF - Base'!Q$78</x:f>
        <x:v>565619.1403273955</x:v>
      </x:c>
      <x:c r="S25" s="169" t="n">
        <x:f>('Capa DCF - Base'!R$6*(1-'Capa DCF - Base'!R$13-'Capa DCF - Base'!R$14)*$B25*(1+'Audit &amp; Checks'!$D$19)+'Capa DCF - Base'!R$57)*(MAX($C25,'Capa DCF - Base'!$I$61-9*'Audit &amp; Checks'!$D$18)-'Capa DCF - Base'!R$67)*(1-'Capa DCF - Base'!R$71)*'Capa DCF - Base'!R$78</x:f>
        <x:v>609972.2012112705</x:v>
      </x:c>
      <x:c r="T25" s="169" t="n">
        <x:f>('Capa DCF - Base'!S$6*(1-'Capa DCF - Base'!S$13-'Capa DCF - Base'!S$14)*$B25*(1+'Audit &amp; Checks'!$D$19)+'Capa DCF - Base'!S$57)*(MAX($C25,'Capa DCF - Base'!$I$61-10*'Audit &amp; Checks'!$D$18)-'Capa DCF - Base'!S$67)*(1-'Capa DCF - Base'!S$71)*'Capa DCF - Base'!S$78</x:f>
        <x:v>657873.5069658556</x:v>
      </x:c>
      <x:c r="U25" s="169" t="n">
        <x:f>('Capa DCF - Base'!T$6*(1-'Capa DCF - Base'!T$13-'Capa DCF - Base'!T$14)*$B25*(1+'Audit &amp; Checks'!$D$19)+'Capa DCF - Base'!T$57)*(MAX($C25,'Capa DCF - Base'!$I$61-11*'Audit &amp; Checks'!$D$18)-'Capa DCF - Base'!T$67)*(1-'Capa DCF - Base'!T$71)*'Capa DCF - Base'!T$78</x:f>
        <x:v>709606.9171808073</x:v>
      </x:c>
      <x:c r="V25" s="169" t="n">
        <x:f>('Capa DCF - Base'!U$6*(1-'Capa DCF - Base'!U$13-'Capa DCF - Base'!U$14)*$B25*(1+'Audit &amp; Checks'!$D$19)+'Capa DCF - Base'!U$57)*(MAX($C25,'Capa DCF - Base'!$I$61-12*'Audit &amp; Checks'!$D$18)-'Capa DCF - Base'!U$67)*(1-'Capa DCF - Base'!U$71)*'Capa DCF - Base'!U$78</x:f>
        <x:v>765479.0002129555</x:v>
      </x:c>
      <x:c r="W25" s="169" t="n">
        <x:f>('Capa DCF - Base'!V$6*(1-'Capa DCF - Base'!V$13-'Capa DCF - Base'!V$14)*$B25*(1+'Audit &amp; Checks'!$D$19)+'Capa DCF - Base'!V$57)*(MAX($C25,'Capa DCF - Base'!$I$61-13*'Audit &amp; Checks'!$D$18)-'Capa DCF - Base'!V$67)*(1-'Capa DCF - Base'!V$71)*'Capa DCF - Base'!V$78</x:f>
        <x:v>825820.8498876755</x:v>
      </x:c>
      <x:c r="X25" s="169" t="n">
        <x:f>('Capa DCF - Base'!W$6*(1-'Capa DCF - Base'!W$13-'Capa DCF - Base'!W$14)*$B25*(1+'Audit &amp; Checks'!$D$19)+'Capa DCF - Base'!W$57)*(MAX($C25,'Capa DCF - Base'!$I$61-14*'Audit &amp; Checks'!$D$18)-'Capa DCF - Base'!W$67)*(1-'Capa DCF - Base'!W$71)*'Capa DCF - Base'!W$78</x:f>
        <x:v>890990.047536373</x:v>
      </x:c>
      <x:c r="Y25" s="169" t="n">
        <x:f>('Capa DCF - Base'!X$6*(1-'Capa DCF - Base'!X$13-'Capa DCF - Base'!X$14)*$B25*(1+'Audit &amp; Checks'!$D$19)+'Capa DCF - Base'!X$57)*(MAX($C25,'Capa DCF - Base'!$I$61-15*'Audit &amp; Checks'!$D$18)-'Capa DCF - Base'!X$67)*(1-'Capa DCF - Base'!X$71)*'Capa DCF - Base'!X$78</x:f>
        <x:v>961372.7809969662</x:v>
      </x:c>
      <x:c r="Z25" s="169" t="n">
        <x:f>('Capa DCF - Base'!Y$6*(1-'Capa DCF - Base'!Y$13-'Capa DCF - Base'!Y$14)*$B25*(1+'Audit &amp; Checks'!$D$19)+'Capa DCF - Base'!Y$57)*(MAX($C25,'Capa DCF - Base'!$I$61-16*'Audit &amp; Checks'!$D$18)-'Capa DCF - Base'!Y$67)*(1-'Capa DCF - Base'!Y$71)*'Capa DCF - Base'!Y$78</x:f>
        <x:v>1037386.1331344069</x:v>
      </x:c>
      <x:c r="AA25" s="169" t="n">
        <x:f>('Capa DCF - Base'!Z$6*(1-'Capa DCF - Base'!Z$13-'Capa DCF - Base'!Z$14)*$B25*(1+'Audit &amp; Checks'!$D$19)+'Capa DCF - Base'!Z$57)*(MAX($C25,'Capa DCF - Base'!$I$61-17*'Audit &amp; Checks'!$D$18)-'Capa DCF - Base'!Z$67)*(1-'Capa DCF - Base'!Z$71)*'Capa DCF - Base'!Z$78</x:f>
        <x:v>1399350.6918035536</x:v>
      </x:c>
      <x:c r="AB25" s="169"/>
      <x:c r="AC25" s="169"/>
    </x:row>
    <x:row r="26" ht="18" customHeight="1">
      <x:c r="A26" s="169" t="n">
        <x:v>21</x:v>
      </x:c>
      <x:c r="B26" s="174" t="n">
        <x:f>'Capa DCF - Base'!D100</x:f>
        <x:v>0.55</x:v>
      </x:c>
      <x:c r="C26" s="174" t="n">
        <x:f>'Capa DCF - Base'!G96</x:f>
        <x:v>0.62</x:v>
      </x:c>
      <x:c r="D26" s="169" t="n">
        <x:f>NPV('Capa DCF - Base'!$D$81,'Capa DCF - Base'!$G$79:$I$79)</x:f>
        <x:v>586118.0536624773</x:v>
      </x:c>
      <x:c r="E26" s="169" t="n">
        <x:f>NPV('Capa DCF - Base'!$D$81,K26:AA26)/(1+'Capa DCF - Base'!$D$81)^3</x:f>
        <x:v>3543188.0239723925</x:v>
      </x:c>
      <x:c r="F26" s="169" t="n">
        <x:f>IF('Audit &amp; Checks'!$D$10=1,AA26*(1+'Capa DCF - Base'!$D$83)/('Capa DCF - Base'!$D$81-'Capa DCF - Base'!$D$83),0)</x:f>
        <x:v>19832772.767783694</x:v>
      </x:c>
      <x:c r="G26" s="169" t="n">
        <x:f>F26/(1+'Capa DCF - Base'!$D$81)^'Audit &amp; Checks'!$D$7</x:f>
        <x:v>2948015.2979818014</x:v>
      </x:c>
      <x:c r="H26" s="169" t="n">
        <x:f>SUM(D26:E26,G26)*'Audit &amp; Checks'!$D$9</x:f>
        <x:v>7531113.899176004</x:v>
      </x:c>
      <x:c r="I26" s="173" t="n">
        <x:f>IF('Audit &amp; Checks'!$D$10=1,H26/'Capa DCF - Base'!$D$86,0)</x:f>
        <x:v>312.49435266290476</x:v>
      </x:c>
      <x:c r="J26" s="169"/>
      <x:c r="K26" s="169" t="n">
        <x:f>('Capa DCF - Base'!J$6*(1-'Capa DCF - Base'!J$13-'Capa DCF - Base'!J$14)*'Capa DCF - Base'!J$53*(1+'Audit &amp; Checks'!$D$19)+'Capa DCF - Base'!J$57)*(MAX($C26,'Capa DCF - Base'!$I$61-1*'Audit &amp; Checks'!$D$18)-'Capa DCF - Base'!J$67)*(1-'Capa DCF - Base'!J$71)*'Capa DCF - Base'!J$78</x:f>
        <x:v>403773.32274527336</x:v>
      </x:c>
      <x:c r="L26" s="169" t="n">
        <x:f>('Capa DCF - Base'!K$6*(1-'Capa DCF - Base'!K$13-'Capa DCF - Base'!K$14)*'Capa DCF - Base'!K$53*(1+'Audit &amp; Checks'!$D$19)+'Capa DCF - Base'!K$57)*(MAX($C26,'Capa DCF - Base'!$I$61-2*'Audit &amp; Checks'!$D$18)-'Capa DCF - Base'!K$67)*(1-'Capa DCF - Base'!K$71)*'Capa DCF - Base'!K$78</x:f>
        <x:v>384968.63749367814</x:v>
      </x:c>
      <x:c r="M26" s="169" t="n">
        <x:f>('Capa DCF - Base'!L$6*(1-'Capa DCF - Base'!L$13-'Capa DCF - Base'!L$14)*$B26*(1+'Audit &amp; Checks'!$D$19)+'Capa DCF - Base'!L$57)*(MAX($C26,'Capa DCF - Base'!$I$61-3*'Audit &amp; Checks'!$D$18)-'Capa DCF - Base'!L$67)*(1-'Capa DCF - Base'!L$71)*'Capa DCF - Base'!L$78</x:f>
        <x:v>411472.2446261082</x:v>
      </x:c>
      <x:c r="N26" s="169" t="n">
        <x:f>('Capa DCF - Base'!M$6*(1-'Capa DCF - Base'!M$13-'Capa DCF - Base'!M$14)*$B26*(1+'Audit &amp; Checks'!$D$19)+'Capa DCF - Base'!M$57)*(MAX($C26,'Capa DCF - Base'!$I$61-4*'Audit &amp; Checks'!$D$18)-'Capa DCF - Base'!M$67)*(1-'Capa DCF - Base'!M$71)*'Capa DCF - Base'!M$78</x:f>
        <x:v>439173.16893947305</x:v>
      </x:c>
      <x:c r="O26" s="169" t="n">
        <x:f>('Capa DCF - Base'!N$6*(1-'Capa DCF - Base'!N$13-'Capa DCF - Base'!N$14)*$B26*(1+'Audit &amp; Checks'!$D$19)+'Capa DCF - Base'!N$57)*(MAX($C26,'Capa DCF - Base'!$I$61-5*'Audit &amp; Checks'!$D$18)-'Capa DCF - Base'!N$67)*(1-'Capa DCF - Base'!N$71)*'Capa DCF - Base'!N$78</x:f>
        <x:v>468032.44522050023</x:v>
      </x:c>
      <x:c r="P26" s="169" t="n">
        <x:f>('Capa DCF - Base'!O$6*(1-'Capa DCF - Base'!O$13-'Capa DCF - Base'!O$14)*$B26*(1+'Audit &amp; Checks'!$D$19)+'Capa DCF - Base'!O$57)*(MAX($C26,'Capa DCF - Base'!$I$61-6*'Audit &amp; Checks'!$D$18)-'Capa DCF - Base'!O$67)*(1-'Capa DCF - Base'!O$71)*'Capa DCF - Base'!O$78</x:f>
        <x:v>504545.36789055256</x:v>
      </x:c>
      <x:c r="Q26" s="169" t="n">
        <x:f>('Capa DCF - Base'!P$6*(1-'Capa DCF - Base'!P$13-'Capa DCF - Base'!P$14)*$B26*(1+'Audit &amp; Checks'!$D$19)+'Capa DCF - Base'!P$57)*(MAX($C26,'Capa DCF - Base'!$I$61-7*'Audit &amp; Checks'!$D$18)-'Capa DCF - Base'!P$67)*(1-'Capa DCF - Base'!P$71)*'Capa DCF - Base'!P$78</x:f>
        <x:v>543979.3243742092</x:v>
      </x:c>
      <x:c r="R26" s="169" t="n">
        <x:f>('Capa DCF - Base'!Q$6*(1-'Capa DCF - Base'!Q$13-'Capa DCF - Base'!Q$14)*$B26*(1+'Audit &amp; Checks'!$D$19)+'Capa DCF - Base'!Q$57)*(MAX($C26,'Capa DCF - Base'!$I$61-8*'Audit &amp; Checks'!$D$18)-'Capa DCF - Base'!Q$67)*(1-'Capa DCF - Base'!Q$71)*'Capa DCF - Base'!Q$78</x:f>
        <x:v>586567.9973765583</x:v>
      </x:c>
      <x:c r="S26" s="169" t="n">
        <x:f>('Capa DCF - Base'!R$6*(1-'Capa DCF - Base'!R$13-'Capa DCF - Base'!R$14)*$B26*(1+'Audit &amp; Checks'!$D$19)+'Capa DCF - Base'!R$57)*(MAX($C26,'Capa DCF - Base'!$I$61-9*'Audit &amp; Checks'!$D$18)-'Capa DCF - Base'!R$67)*(1-'Capa DCF - Base'!R$71)*'Capa DCF - Base'!R$78</x:f>
        <x:v>632563.7642190955</x:v>
      </x:c>
      <x:c r="T26" s="169" t="n">
        <x:f>('Capa DCF - Base'!S$6*(1-'Capa DCF - Base'!S$13-'Capa DCF - Base'!S$14)*$B26*(1+'Audit &amp; Checks'!$D$19)+'Capa DCF - Base'!S$57)*(MAX($C26,'Capa DCF - Base'!$I$61-10*'Audit &amp; Checks'!$D$18)-'Capa DCF - Base'!S$67)*(1-'Capa DCF - Base'!S$71)*'Capa DCF - Base'!S$78</x:f>
        <x:v>682239.1924090354</x:v>
      </x:c>
      <x:c r="U26" s="169" t="n">
        <x:f>('Capa DCF - Base'!T$6*(1-'Capa DCF - Base'!T$13-'Capa DCF - Base'!T$14)*$B26*(1+'Audit &amp; Checks'!$D$19)+'Capa DCF - Base'!T$57)*(MAX($C26,'Capa DCF - Base'!$I$61-11*'Audit &amp; Checks'!$D$18)-'Capa DCF - Base'!T$67)*(1-'Capa DCF - Base'!T$71)*'Capa DCF - Base'!T$78</x:f>
        <x:v>735888.6548541705</x:v>
      </x:c>
      <x:c r="V26" s="169" t="n">
        <x:f>('Capa DCF - Base'!U$6*(1-'Capa DCF - Base'!U$13-'Capa DCF - Base'!U$14)*$B26*(1+'Audit &amp; Checks'!$D$19)+'Capa DCF - Base'!U$57)*(MAX($C26,'Capa DCF - Base'!$I$61-12*'Audit &amp; Checks'!$D$18)-'Capa DCF - Base'!U$67)*(1-'Capa DCF - Base'!U$71)*'Capa DCF - Base'!U$78</x:f>
        <x:v>793830.0742949168</x:v>
      </x:c>
      <x:c r="W26" s="169" t="n">
        <x:f>('Capa DCF - Base'!V$6*(1-'Capa DCF - Base'!V$13-'Capa DCF - Base'!V$14)*$B26*(1+'Audit &amp; Checks'!$D$19)+'Capa DCF - Base'!V$57)*(MAX($C26,'Capa DCF - Base'!$I$61-13*'Audit &amp; Checks'!$D$18)-'Capa DCF - Base'!V$67)*(1-'Capa DCF - Base'!V$71)*'Capa DCF - Base'!V$78</x:f>
        <x:v>856406.8072909227</x:v>
      </x:c>
      <x:c r="X26" s="169" t="n">
        <x:f>('Capa DCF - Base'!W$6*(1-'Capa DCF - Base'!W$13-'Capa DCF - Base'!W$14)*$B26*(1+'Audit &amp; Checks'!$D$19)+'Capa DCF - Base'!W$57)*(MAX($C26,'Capa DCF - Base'!$I$61-14*'Audit &amp; Checks'!$D$18)-'Capa DCF - Base'!W$67)*(1-'Capa DCF - Base'!W$71)*'Capa DCF - Base'!W$78</x:f>
        <x:v>923989.678926609</x:v>
      </x:c>
      <x:c r="Y26" s="169" t="n">
        <x:f>('Capa DCF - Base'!X$6*(1-'Capa DCF - Base'!X$13-'Capa DCF - Base'!X$14)*$B26*(1+'Audit &amp; Checks'!$D$19)+'Capa DCF - Base'!X$57)*(MAX($C26,'Capa DCF - Base'!$I$61-15*'Audit &amp; Checks'!$D$18)-'Capa DCF - Base'!X$67)*(1-'Capa DCF - Base'!X$71)*'Capa DCF - Base'!X$78</x:f>
        <x:v>996979.1802931501</x:v>
      </x:c>
      <x:c r="Z26" s="169" t="n">
        <x:f>('Capa DCF - Base'!Y$6*(1-'Capa DCF - Base'!Y$13-'Capa DCF - Base'!Y$14)*$B26*(1+'Audit &amp; Checks'!$D$19)+'Capa DCF - Base'!Y$57)*(MAX($C26,'Capa DCF - Base'!$I$61-16*'Audit &amp; Checks'!$D$18)-'Capa DCF - Base'!Y$67)*(1-'Capa DCF - Base'!Y$71)*'Capa DCF - Base'!Y$78</x:f>
        <x:v>1075807.8417690147</x:v>
      </x:c>
      <x:c r="AA26" s="169" t="n">
        <x:f>('Capa DCF - Base'!Z$6*(1-'Capa DCF - Base'!Z$13-'Capa DCF - Base'!Z$14)*$B26*(1+'Audit &amp; Checks'!$D$19)+'Capa DCF - Base'!Z$57)*(MAX($C26,'Capa DCF - Base'!$I$61-17*'Audit &amp; Checks'!$D$18)-'Capa DCF - Base'!Z$67)*(1-'Capa DCF - Base'!Z$71)*'Capa DCF - Base'!Z$78</x:f>
        <x:v>1451178.4952036852</x:v>
      </x:c>
      <x:c r="AB26" s="169"/>
      <x:c r="AC26" s="169"/>
    </x:row>
    <x:row r="27" ht="18" customHeight="1">
      <x:c r="A27" s="169" t="n">
        <x:v>22</x:v>
      </x:c>
      <x:c r="B27" s="174" t="n">
        <x:f>'Capa DCF - Base'!D100</x:f>
        <x:v>0.55</x:v>
      </x:c>
      <x:c r="C27" s="174" t="n">
        <x:f>'Capa DCF - Base'!H96</x:f>
        <x:v>0.64</x:v>
      </x:c>
      <x:c r="D27" s="169" t="n">
        <x:f>NPV('Capa DCF - Base'!$D$81,'Capa DCF - Base'!$G$79:$I$79)</x:f>
        <x:v>586118.0536624773</x:v>
      </x:c>
      <x:c r="E27" s="169" t="n">
        <x:f>NPV('Capa DCF - Base'!$D$81,K27:AA27)/(1+'Capa DCF - Base'!$D$81)^3</x:f>
        <x:v>3635000.1505405544</x:v>
      </x:c>
      <x:c r="F27" s="169" t="n">
        <x:f>IF('Audit &amp; Checks'!$D$10=1,AA27*(1+'Capa DCF - Base'!$D$83)/('Capa DCF - Base'!$D$81-'Capa DCF - Base'!$D$83),0)</x:f>
        <x:v>20541086.080918826</x:v>
      </x:c>
      <x:c r="G27" s="169" t="n">
        <x:f>F27/(1+'Capa DCF - Base'!$D$81)^'Audit &amp; Checks'!$D$7</x:f>
        <x:v>3053301.5586240087</x:v>
      </x:c>
      <x:c r="H27" s="169" t="n">
        <x:f>SUM(D27:E27,G27)*'Audit &amp; Checks'!$D$9</x:f>
        <x:v>7740850.086731263</x:v>
      </x:c>
      <x:c r="I27" s="173" t="n">
        <x:f>IF('Audit &amp; Checks'!$D$10=1,H27/'Capa DCF - Base'!$D$86,0)</x:f>
        <x:v>321.1970990344923</x:v>
      </x:c>
      <x:c r="J27" s="169"/>
      <x:c r="K27" s="169" t="n">
        <x:f>('Capa DCF - Base'!J$6*(1-'Capa DCF - Base'!J$13-'Capa DCF - Base'!J$14)*'Capa DCF - Base'!J$53*(1+'Audit &amp; Checks'!$D$19)+'Capa DCF - Base'!J$57)*(MAX($C27,'Capa DCF - Base'!$I$61-1*'Audit &amp; Checks'!$D$18)-'Capa DCF - Base'!J$67)*(1-'Capa DCF - Base'!J$71)*'Capa DCF - Base'!J$78</x:f>
        <x:v>403773.32274527336</x:v>
      </x:c>
      <x:c r="L27" s="169" t="n">
        <x:f>('Capa DCF - Base'!K$6*(1-'Capa DCF - Base'!K$13-'Capa DCF - Base'!K$14)*'Capa DCF - Base'!K$53*(1+'Audit &amp; Checks'!$D$19)+'Capa DCF - Base'!K$57)*(MAX($C27,'Capa DCF - Base'!$I$61-2*'Audit &amp; Checks'!$D$18)-'Capa DCF - Base'!K$67)*(1-'Capa DCF - Base'!K$71)*'Capa DCF - Base'!K$78</x:f>
        <x:v>384968.63749367814</x:v>
      </x:c>
      <x:c r="M27" s="169" t="n">
        <x:f>('Capa DCF - Base'!L$6*(1-'Capa DCF - Base'!L$13-'Capa DCF - Base'!L$14)*$B27*(1+'Audit &amp; Checks'!$D$19)+'Capa DCF - Base'!L$57)*(MAX($C27,'Capa DCF - Base'!$I$61-3*'Audit &amp; Checks'!$D$18)-'Capa DCF - Base'!L$67)*(1-'Capa DCF - Base'!L$71)*'Capa DCF - Base'!L$78</x:f>
        <x:v>411472.2446261082</x:v>
      </x:c>
      <x:c r="N27" s="169" t="n">
        <x:f>('Capa DCF - Base'!M$6*(1-'Capa DCF - Base'!M$13-'Capa DCF - Base'!M$14)*$B27*(1+'Audit &amp; Checks'!$D$19)+'Capa DCF - Base'!M$57)*(MAX($C27,'Capa DCF - Base'!$I$61-4*'Audit &amp; Checks'!$D$18)-'Capa DCF - Base'!M$67)*(1-'Capa DCF - Base'!M$71)*'Capa DCF - Base'!M$78</x:f>
        <x:v>439173.16893947305</x:v>
      </x:c>
      <x:c r="O27" s="169" t="n">
        <x:f>('Capa DCF - Base'!N$6*(1-'Capa DCF - Base'!N$13-'Capa DCF - Base'!N$14)*$B27*(1+'Audit &amp; Checks'!$D$19)+'Capa DCF - Base'!N$57)*(MAX($C27,'Capa DCF - Base'!$I$61-5*'Audit &amp; Checks'!$D$18)-'Capa DCF - Base'!N$67)*(1-'Capa DCF - Base'!N$71)*'Capa DCF - Base'!N$78</x:f>
        <x:v>484747.8896926609</x:v>
      </x:c>
      <x:c r="P27" s="169" t="n">
        <x:f>('Capa DCF - Base'!O$6*(1-'Capa DCF - Base'!O$13-'Capa DCF - Base'!O$14)*$B27*(1+'Audit &amp; Checks'!$D$19)+'Capa DCF - Base'!O$57)*(MAX($C27,'Capa DCF - Base'!$I$61-6*'Audit &amp; Checks'!$D$18)-'Capa DCF - Base'!O$67)*(1-'Capa DCF - Base'!O$71)*'Capa DCF - Base'!O$78</x:f>
        <x:v>522564.8453152152</x:v>
      </x:c>
      <x:c r="Q27" s="169" t="n">
        <x:f>('Capa DCF - Base'!P$6*(1-'Capa DCF - Base'!P$13-'Capa DCF - Base'!P$14)*$B27*(1+'Audit &amp; Checks'!$D$19)+'Capa DCF - Base'!P$57)*(MAX($C27,'Capa DCF - Base'!$I$61-7*'Audit &amp; Checks'!$D$18)-'Capa DCF - Base'!P$67)*(1-'Capa DCF - Base'!P$71)*'Capa DCF - Base'!P$78</x:f>
        <x:v>563407.1573875739</x:v>
      </x:c>
      <x:c r="R27" s="169" t="n">
        <x:f>('Capa DCF - Base'!Q$6*(1-'Capa DCF - Base'!Q$13-'Capa DCF - Base'!Q$14)*$B27*(1+'Audit &amp; Checks'!$D$19)+'Capa DCF - Base'!Q$57)*(MAX($C27,'Capa DCF - Base'!$I$61-8*'Audit &amp; Checks'!$D$18)-'Capa DCF - Base'!Q$67)*(1-'Capa DCF - Base'!Q$71)*'Capa DCF - Base'!Q$78</x:f>
        <x:v>607516.8544257211</x:v>
      </x:c>
      <x:c r="S27" s="169" t="n">
        <x:f>('Capa DCF - Base'!R$6*(1-'Capa DCF - Base'!R$13-'Capa DCF - Base'!R$14)*$B27*(1+'Audit &amp; Checks'!$D$19)+'Capa DCF - Base'!R$57)*(MAX($C27,'Capa DCF - Base'!$I$61-9*'Audit &amp; Checks'!$D$18)-'Capa DCF - Base'!R$67)*(1-'Capa DCF - Base'!R$71)*'Capa DCF - Base'!R$78</x:f>
        <x:v>655155.3272269203</x:v>
      </x:c>
      <x:c r="T27" s="169" t="n">
        <x:f>('Capa DCF - Base'!S$6*(1-'Capa DCF - Base'!S$13-'Capa DCF - Base'!S$14)*$B27*(1+'Audit &amp; Checks'!$D$19)+'Capa DCF - Base'!S$57)*(MAX($C27,'Capa DCF - Base'!$I$61-10*'Audit &amp; Checks'!$D$18)-'Capa DCF - Base'!S$67)*(1-'Capa DCF - Base'!S$71)*'Capa DCF - Base'!S$78</x:f>
        <x:v>706604.8778522154</x:v>
      </x:c>
      <x:c r="U27" s="169" t="n">
        <x:f>('Capa DCF - Base'!T$6*(1-'Capa DCF - Base'!T$13-'Capa DCF - Base'!T$14)*$B27*(1+'Audit &amp; Checks'!$D$19)+'Capa DCF - Base'!T$57)*(MAX($C27,'Capa DCF - Base'!$I$61-11*'Audit &amp; Checks'!$D$18)-'Capa DCF - Base'!T$67)*(1-'Capa DCF - Base'!T$71)*'Capa DCF - Base'!T$78</x:f>
        <x:v>762170.3925275339</x:v>
      </x:c>
      <x:c r="V27" s="169" t="n">
        <x:f>('Capa DCF - Base'!U$6*(1-'Capa DCF - Base'!U$13-'Capa DCF - Base'!U$14)*$B27*(1+'Audit &amp; Checks'!$D$19)+'Capa DCF - Base'!U$57)*(MAX($C27,'Capa DCF - Base'!$I$61-12*'Audit &amp; Checks'!$D$18)-'Capa DCF - Base'!U$67)*(1-'Capa DCF - Base'!U$71)*'Capa DCF - Base'!U$78</x:f>
        <x:v>822181.148376878</x:v>
      </x:c>
      <x:c r="W27" s="169" t="n">
        <x:f>('Capa DCF - Base'!V$6*(1-'Capa DCF - Base'!V$13-'Capa DCF - Base'!V$14)*$B27*(1+'Audit &amp; Checks'!$D$19)+'Capa DCF - Base'!V$57)*(MAX($C27,'Capa DCF - Base'!$I$61-13*'Audit &amp; Checks'!$D$18)-'Capa DCF - Base'!V$67)*(1-'Capa DCF - Base'!V$71)*'Capa DCF - Base'!V$78</x:f>
        <x:v>886992.76469417</x:v>
      </x:c>
      <x:c r="X27" s="169" t="n">
        <x:f>('Capa DCF - Base'!W$6*(1-'Capa DCF - Base'!W$13-'Capa DCF - Base'!W$14)*$B27*(1+'Audit &amp; Checks'!$D$19)+'Capa DCF - Base'!W$57)*(MAX($C27,'Capa DCF - Base'!$I$61-14*'Audit &amp; Checks'!$D$18)-'Capa DCF - Base'!W$67)*(1-'Capa DCF - Base'!W$71)*'Capa DCF - Base'!W$78</x:f>
        <x:v>956989.3103168451</x:v>
      </x:c>
      <x:c r="Y27" s="169" t="n">
        <x:f>('Capa DCF - Base'!X$6*(1-'Capa DCF - Base'!X$13-'Capa DCF - Base'!X$14)*$B27*(1+'Audit &amp; Checks'!$D$19)+'Capa DCF - Base'!X$57)*(MAX($C27,'Capa DCF - Base'!$I$61-15*'Audit &amp; Checks'!$D$18)-'Capa DCF - Base'!X$67)*(1-'Capa DCF - Base'!X$71)*'Capa DCF - Base'!X$78</x:f>
        <x:v>1032585.579589334</x:v>
      </x:c>
      <x:c r="Z27" s="169" t="n">
        <x:f>('Capa DCF - Base'!Y$6*(1-'Capa DCF - Base'!Y$13-'Capa DCF - Base'!Y$14)*$B27*(1+'Audit &amp; Checks'!$D$19)+'Capa DCF - Base'!Y$57)*(MAX($C27,'Capa DCF - Base'!$I$61-16*'Audit &amp; Checks'!$D$18)-'Capa DCF - Base'!Y$67)*(1-'Capa DCF - Base'!Y$71)*'Capa DCF - Base'!Y$78</x:f>
        <x:v>1114229.5504036224</x:v>
      </x:c>
      <x:c r="AA27" s="169" t="n">
        <x:f>('Capa DCF - Base'!Z$6*(1-'Capa DCF - Base'!Z$13-'Capa DCF - Base'!Z$14)*$B27*(1+'Audit &amp; Checks'!$D$19)+'Capa DCF - Base'!Z$57)*(MAX($C27,'Capa DCF - Base'!$I$61-17*'Audit &amp; Checks'!$D$18)-'Capa DCF - Base'!Z$67)*(1-'Capa DCF - Base'!Z$71)*'Capa DCF - Base'!Z$78</x:f>
        <x:v>1503006.298603817</x:v>
      </x:c>
      <x:c r="AB27" s="169"/>
      <x:c r="AC27" s="169"/>
    </x:row>
    <x:row r="28" ht="18" customHeight="1">
      <x:c r="A28" s="169" t="n">
        <x:v>23</x:v>
      </x:c>
      <x:c r="B28" s="174" t="n">
        <x:f>'Capa DCF - Base'!D100</x:f>
        <x:v>0.55</x:v>
      </x:c>
      <x:c r="C28" s="174" t="n">
        <x:f>'Capa DCF - Base'!I96</x:f>
        <x:v>0.66</x:v>
      </x:c>
      <x:c r="D28" s="169" t="n">
        <x:f>NPV('Capa DCF - Base'!$D$81,'Capa DCF - Base'!$G$79:$I$79)</x:f>
        <x:v>586118.0536624773</x:v>
      </x:c>
      <x:c r="E28" s="169" t="n">
        <x:f>NPV('Capa DCF - Base'!$D$81,K28:AA28)/(1+'Capa DCF - Base'!$D$81)^3</x:f>
        <x:v>3734583.49355528</x:v>
      </x:c>
      <x:c r="F28" s="169" t="n">
        <x:f>IF('Audit &amp; Checks'!$D$10=1,AA28*(1+'Capa DCF - Base'!$D$83)/('Capa DCF - Base'!$D$81-'Capa DCF - Base'!$D$83),0)</x:f>
        <x:v>21249399.39405396</x:v>
      </x:c>
      <x:c r="G28" s="169" t="n">
        <x:f>F28/(1+'Capa DCF - Base'!$D$81)^'Audit &amp; Checks'!$D$7</x:f>
        <x:v>3158587.819266216</x:v>
      </x:c>
      <x:c r="H28" s="169" t="n">
        <x:f>SUM(D28:E28,G28)*'Audit &amp; Checks'!$D$9</x:f>
        <x:v>7958855.775286698</x:v>
      </x:c>
      <x:c r="I28" s="173" t="n">
        <x:f>IF('Audit &amp; Checks'!$D$10=1,H28/'Capa DCF - Base'!$D$86,0)</x:f>
        <x:v>330.2429782276638</x:v>
      </x:c>
      <x:c r="J28" s="169"/>
      <x:c r="K28" s="169" t="n">
        <x:f>('Capa DCF - Base'!J$6*(1-'Capa DCF - Base'!J$13-'Capa DCF - Base'!J$14)*'Capa DCF - Base'!J$53*(1+'Audit &amp; Checks'!$D$19)+'Capa DCF - Base'!J$57)*(MAX($C28,'Capa DCF - Base'!$I$61-1*'Audit &amp; Checks'!$D$18)-'Capa DCF - Base'!J$67)*(1-'Capa DCF - Base'!J$71)*'Capa DCF - Base'!J$78</x:f>
        <x:v>403773.32274527336</x:v>
      </x:c>
      <x:c r="L28" s="169" t="n">
        <x:f>('Capa DCF - Base'!K$6*(1-'Capa DCF - Base'!K$13-'Capa DCF - Base'!K$14)*'Capa DCF - Base'!K$53*(1+'Audit &amp; Checks'!$D$19)+'Capa DCF - Base'!K$57)*(MAX($C28,'Capa DCF - Base'!$I$61-2*'Audit &amp; Checks'!$D$18)-'Capa DCF - Base'!K$67)*(1-'Capa DCF - Base'!K$71)*'Capa DCF - Base'!K$78</x:f>
        <x:v>384968.63749367814</x:v>
      </x:c>
      <x:c r="M28" s="169" t="n">
        <x:f>('Capa DCF - Base'!L$6*(1-'Capa DCF - Base'!L$13-'Capa DCF - Base'!L$14)*$B28*(1+'Audit &amp; Checks'!$D$19)+'Capa DCF - Base'!L$57)*(MAX($C28,'Capa DCF - Base'!$I$61-3*'Audit &amp; Checks'!$D$18)-'Capa DCF - Base'!L$67)*(1-'Capa DCF - Base'!L$71)*'Capa DCF - Base'!L$78</x:f>
        <x:v>411472.2446261083</x:v>
      </x:c>
      <x:c r="N28" s="169" t="n">
        <x:f>('Capa DCF - Base'!M$6*(1-'Capa DCF - Base'!M$13-'Capa DCF - Base'!M$14)*$B28*(1+'Audit &amp; Checks'!$D$19)+'Capa DCF - Base'!M$57)*(MAX($C28,'Capa DCF - Base'!$I$61-4*'Audit &amp; Checks'!$D$18)-'Capa DCF - Base'!M$67)*(1-'Capa DCF - Base'!M$71)*'Capa DCF - Base'!M$78</x:f>
        <x:v>454317.07131669624</x:v>
      </x:c>
      <x:c r="O28" s="169" t="n">
        <x:f>('Capa DCF - Base'!N$6*(1-'Capa DCF - Base'!N$13-'Capa DCF - Base'!N$14)*$B28*(1+'Audit &amp; Checks'!$D$19)+'Capa DCF - Base'!N$57)*(MAX($C28,'Capa DCF - Base'!$I$61-5*'Audit &amp; Checks'!$D$18)-'Capa DCF - Base'!N$67)*(1-'Capa DCF - Base'!N$71)*'Capa DCF - Base'!N$78</x:f>
        <x:v>501463.33416482166</x:v>
      </x:c>
      <x:c r="P28" s="169" t="n">
        <x:f>('Capa DCF - Base'!O$6*(1-'Capa DCF - Base'!O$13-'Capa DCF - Base'!O$14)*$B28*(1+'Audit &amp; Checks'!$D$19)+'Capa DCF - Base'!O$57)*(MAX($C28,'Capa DCF - Base'!$I$61-6*'Audit &amp; Checks'!$D$18)-'Capa DCF - Base'!O$67)*(1-'Capa DCF - Base'!O$71)*'Capa DCF - Base'!O$78</x:f>
        <x:v>540584.3227398777</x:v>
      </x:c>
      <x:c r="Q28" s="169" t="n">
        <x:f>('Capa DCF - Base'!P$6*(1-'Capa DCF - Base'!P$13-'Capa DCF - Base'!P$14)*$B28*(1+'Audit &amp; Checks'!$D$19)+'Capa DCF - Base'!P$57)*(MAX($C28,'Capa DCF - Base'!$I$61-7*'Audit &amp; Checks'!$D$18)-'Capa DCF - Base'!P$67)*(1-'Capa DCF - Base'!P$71)*'Capa DCF - Base'!P$78</x:f>
        <x:v>582834.9904009384</x:v>
      </x:c>
      <x:c r="R28" s="169" t="n">
        <x:f>('Capa DCF - Base'!Q$6*(1-'Capa DCF - Base'!Q$13-'Capa DCF - Base'!Q$14)*$B28*(1+'Audit &amp; Checks'!$D$19)+'Capa DCF - Base'!Q$57)*(MAX($C28,'Capa DCF - Base'!$I$61-8*'Audit &amp; Checks'!$D$18)-'Capa DCF - Base'!Q$67)*(1-'Capa DCF - Base'!Q$71)*'Capa DCF - Base'!Q$78</x:f>
        <x:v>628465.711474884</x:v>
      </x:c>
      <x:c r="S28" s="169" t="n">
        <x:f>('Capa DCF - Base'!R$6*(1-'Capa DCF - Base'!R$13-'Capa DCF - Base'!R$14)*$B28*(1+'Audit &amp; Checks'!$D$19)+'Capa DCF - Base'!R$57)*(MAX($C28,'Capa DCF - Base'!$I$61-9*'Audit &amp; Checks'!$D$18)-'Capa DCF - Base'!R$67)*(1-'Capa DCF - Base'!R$71)*'Capa DCF - Base'!R$78</x:f>
        <x:v>677746.8902347451</x:v>
      </x:c>
      <x:c r="T28" s="169" t="n">
        <x:f>('Capa DCF - Base'!S$6*(1-'Capa DCF - Base'!S$13-'Capa DCF - Base'!S$14)*$B28*(1+'Audit &amp; Checks'!$D$19)+'Capa DCF - Base'!S$57)*(MAX($C28,'Capa DCF - Base'!$I$61-10*'Audit &amp; Checks'!$D$18)-'Capa DCF - Base'!S$67)*(1-'Capa DCF - Base'!S$71)*'Capa DCF - Base'!S$78</x:f>
        <x:v>730970.5632953952</x:v>
      </x:c>
      <x:c r="U28" s="169" t="n">
        <x:f>('Capa DCF - Base'!T$6*(1-'Capa DCF - Base'!T$13-'Capa DCF - Base'!T$14)*$B28*(1+'Audit &amp; Checks'!$D$19)+'Capa DCF - Base'!T$57)*(MAX($C28,'Capa DCF - Base'!$I$61-11*'Audit &amp; Checks'!$D$18)-'Capa DCF - Base'!T$67)*(1-'Capa DCF - Base'!T$71)*'Capa DCF - Base'!T$78</x:f>
        <x:v>788452.1302008972</x:v>
      </x:c>
      <x:c r="V28" s="169" t="n">
        <x:f>('Capa DCF - Base'!U$6*(1-'Capa DCF - Base'!U$13-'Capa DCF - Base'!U$14)*$B28*(1+'Audit &amp; Checks'!$D$19)+'Capa DCF - Base'!U$57)*(MAX($C28,'Capa DCF - Base'!$I$61-12*'Audit &amp; Checks'!$D$18)-'Capa DCF - Base'!U$67)*(1-'Capa DCF - Base'!U$71)*'Capa DCF - Base'!U$78</x:f>
        <x:v>850532.2224588394</x:v>
      </x:c>
      <x:c r="W28" s="169" t="n">
        <x:f>('Capa DCF - Base'!V$6*(1-'Capa DCF - Base'!V$13-'Capa DCF - Base'!V$14)*$B28*(1+'Audit &amp; Checks'!$D$19)+'Capa DCF - Base'!V$57)*(MAX($C28,'Capa DCF - Base'!$I$61-13*'Audit &amp; Checks'!$D$18)-'Capa DCF - Base'!V$67)*(1-'Capa DCF - Base'!V$71)*'Capa DCF - Base'!V$78</x:f>
        <x:v>917578.7220974172</x:v>
      </x:c>
      <x:c r="X28" s="169" t="n">
        <x:f>('Capa DCF - Base'!W$6*(1-'Capa DCF - Base'!W$13-'Capa DCF - Base'!W$14)*$B28*(1+'Audit &amp; Checks'!$D$19)+'Capa DCF - Base'!W$57)*(MAX($C28,'Capa DCF - Base'!$I$61-14*'Audit &amp; Checks'!$D$18)-'Capa DCF - Base'!W$67)*(1-'Capa DCF - Base'!W$71)*'Capa DCF - Base'!W$78</x:f>
        <x:v>989988.941707081</x:v>
      </x:c>
      <x:c r="Y28" s="169" t="n">
        <x:f>('Capa DCF - Base'!X$6*(1-'Capa DCF - Base'!X$13-'Capa DCF - Base'!X$14)*$B28*(1+'Audit &amp; Checks'!$D$19)+'Capa DCF - Base'!X$57)*(MAX($C28,'Capa DCF - Base'!$I$61-15*'Audit &amp; Checks'!$D$18)-'Capa DCF - Base'!X$67)*(1-'Capa DCF - Base'!X$71)*'Capa DCF - Base'!X$78</x:f>
        <x:v>1068191.9788855182</x:v>
      </x:c>
      <x:c r="Z28" s="169" t="n">
        <x:f>('Capa DCF - Base'!Y$6*(1-'Capa DCF - Base'!Y$13-'Capa DCF - Base'!Y$14)*$B28*(1+'Audit &amp; Checks'!$D$19)+'Capa DCF - Base'!Y$57)*(MAX($C28,'Capa DCF - Base'!$I$61-16*'Audit &amp; Checks'!$D$18)-'Capa DCF - Base'!Y$67)*(1-'Capa DCF - Base'!Y$71)*'Capa DCF - Base'!Y$78</x:f>
        <x:v>1152651.2590382302</x:v>
      </x:c>
      <x:c r="AA28" s="169" t="n">
        <x:f>('Capa DCF - Base'!Z$6*(1-'Capa DCF - Base'!Z$13-'Capa DCF - Base'!Z$14)*$B28*(1+'Audit &amp; Checks'!$D$19)+'Capa DCF - Base'!Z$57)*(MAX($C28,'Capa DCF - Base'!$I$61-17*'Audit &amp; Checks'!$D$18)-'Capa DCF - Base'!Z$67)*(1-'Capa DCF - Base'!Z$71)*'Capa DCF - Base'!Z$78</x:f>
        <x:v>1554834.1020039485</x:v>
      </x:c>
      <x:c r="AB28" s="169"/>
      <x:c r="AC28" s="169"/>
    </x:row>
    <x:row r="29" ht="18" customHeight="1">
      <x:c r="A29" s="169" t="n">
        <x:v>24</x:v>
      </x:c>
      <x:c r="B29" s="174" t="n">
        <x:f>'Capa DCF - Base'!D100</x:f>
        <x:v>0.55</x:v>
      </x:c>
      <x:c r="C29" s="174" t="n">
        <x:f>'Capa DCF - Base'!J96</x:f>
        <x:v>0.68</x:v>
      </x:c>
      <x:c r="D29" s="169" t="n">
        <x:f>NPV('Capa DCF - Base'!$D$81,'Capa DCF - Base'!$G$79:$I$79)</x:f>
        <x:v>586118.0536624773</x:v>
      </x:c>
      <x:c r="E29" s="169" t="n">
        <x:f>NPV('Capa DCF - Base'!$D$81,K29:AA29)/(1+'Capa DCF - Base'!$D$81)^3</x:f>
        <x:v>3841909.015071078</x:v>
      </x:c>
      <x:c r="F29" s="169" t="n">
        <x:f>IF('Audit &amp; Checks'!$D$10=1,AA29*(1+'Capa DCF - Base'!$D$83)/('Capa DCF - Base'!$D$81-'Capa DCF - Base'!$D$83),0)</x:f>
        <x:v>21957712.70718909</x:v>
      </x:c>
      <x:c r="G29" s="169" t="n">
        <x:f>F29/(1+'Capa DCF - Base'!$D$81)^'Audit &amp; Checks'!$D$7</x:f>
        <x:v>3263874.079908423</x:v>
      </x:c>
      <x:c r="H29" s="169" t="n">
        <x:f>SUM(D29:E29,G29)*'Audit &amp; Checks'!$D$9</x:f>
        <x:v>8185100.065005591</x:v>
      </x:c>
      <x:c r="I29" s="173" t="n">
        <x:f>IF('Audit &amp; Checks'!$D$10=1,H29/'Capa DCF - Base'!$D$86,0)</x:f>
        <x:v>339.63070809151833</x:v>
      </x:c>
      <x:c r="J29" s="169"/>
      <x:c r="K29" s="169" t="n">
        <x:f>('Capa DCF - Base'!J$6*(1-'Capa DCF - Base'!J$13-'Capa DCF - Base'!J$14)*'Capa DCF - Base'!J$53*(1+'Audit &amp; Checks'!$D$19)+'Capa DCF - Base'!J$57)*(MAX($C29,'Capa DCF - Base'!$I$61-1*'Audit &amp; Checks'!$D$18)-'Capa DCF - Base'!J$67)*(1-'Capa DCF - Base'!J$71)*'Capa DCF - Base'!J$78</x:f>
        <x:v>403773.32274527336</x:v>
      </x:c>
      <x:c r="L29" s="169" t="n">
        <x:f>('Capa DCF - Base'!K$6*(1-'Capa DCF - Base'!K$13-'Capa DCF - Base'!K$14)*'Capa DCF - Base'!K$53*(1+'Audit &amp; Checks'!$D$19)+'Capa DCF - Base'!K$57)*(MAX($C29,'Capa DCF - Base'!$I$61-2*'Audit &amp; Checks'!$D$18)-'Capa DCF - Base'!K$67)*(1-'Capa DCF - Base'!K$71)*'Capa DCF - Base'!K$78</x:f>
        <x:v>384968.63749367837</x:v>
      </x:c>
      <x:c r="M29" s="169" t="n">
        <x:f>('Capa DCF - Base'!L$6*(1-'Capa DCF - Base'!L$13-'Capa DCF - Base'!L$14)*$B29*(1+'Audit &amp; Checks'!$D$19)+'Capa DCF - Base'!L$57)*(MAX($C29,'Capa DCF - Base'!$I$61-3*'Audit &amp; Checks'!$D$18)-'Capa DCF - Base'!L$67)*(1-'Capa DCF - Base'!L$71)*'Capa DCF - Base'!L$78</x:f>
        <x:v>425187.98611364537</x:v>
      </x:c>
      <x:c r="N29" s="169" t="n">
        <x:f>('Capa DCF - Base'!M$6*(1-'Capa DCF - Base'!M$13-'Capa DCF - Base'!M$14)*$B29*(1+'Audit &amp; Checks'!$D$19)+'Capa DCF - Base'!M$57)*(MAX($C29,'Capa DCF - Base'!$I$61-4*'Audit &amp; Checks'!$D$18)-'Capa DCF - Base'!M$67)*(1-'Capa DCF - Base'!M$71)*'Capa DCF - Base'!M$78</x:f>
        <x:v>469460.9736939195</x:v>
      </x:c>
      <x:c r="O29" s="169" t="n">
        <x:f>('Capa DCF - Base'!N$6*(1-'Capa DCF - Base'!N$13-'Capa DCF - Base'!N$14)*$B29*(1+'Audit &amp; Checks'!$D$19)+'Capa DCF - Base'!N$57)*(MAX($C29,'Capa DCF - Base'!$I$61-5*'Audit &amp; Checks'!$D$18)-'Capa DCF - Base'!N$67)*(1-'Capa DCF - Base'!N$71)*'Capa DCF - Base'!N$78</x:f>
        <x:v>518178.77863698243</x:v>
      </x:c>
      <x:c r="P29" s="169" t="n">
        <x:f>('Capa DCF - Base'!O$6*(1-'Capa DCF - Base'!O$13-'Capa DCF - Base'!O$14)*$B29*(1+'Audit &amp; Checks'!$D$19)+'Capa DCF - Base'!O$57)*(MAX($C29,'Capa DCF - Base'!$I$61-6*'Audit &amp; Checks'!$D$18)-'Capa DCF - Base'!O$67)*(1-'Capa DCF - Base'!O$71)*'Capa DCF - Base'!O$78</x:f>
        <x:v>558603.8001645404</x:v>
      </x:c>
      <x:c r="Q29" s="169" t="n">
        <x:f>('Capa DCF - Base'!P$6*(1-'Capa DCF - Base'!P$13-'Capa DCF - Base'!P$14)*$B29*(1+'Audit &amp; Checks'!$D$19)+'Capa DCF - Base'!P$57)*(MAX($C29,'Capa DCF - Base'!$I$61-7*'Audit &amp; Checks'!$D$18)-'Capa DCF - Base'!P$67)*(1-'Capa DCF - Base'!P$71)*'Capa DCF - Base'!P$78</x:f>
        <x:v>602262.823414303</x:v>
      </x:c>
      <x:c r="R29" s="169" t="n">
        <x:f>('Capa DCF - Base'!Q$6*(1-'Capa DCF - Base'!Q$13-'Capa DCF - Base'!Q$14)*$B29*(1+'Audit &amp; Checks'!$D$19)+'Capa DCF - Base'!Q$57)*(MAX($C29,'Capa DCF - Base'!$I$61-8*'Audit &amp; Checks'!$D$18)-'Capa DCF - Base'!Q$67)*(1-'Capa DCF - Base'!Q$71)*'Capa DCF - Base'!Q$78</x:f>
        <x:v>649414.5685240468</x:v>
      </x:c>
      <x:c r="S29" s="169" t="n">
        <x:f>('Capa DCF - Base'!R$6*(1-'Capa DCF - Base'!R$13-'Capa DCF - Base'!R$14)*$B29*(1+'Audit &amp; Checks'!$D$19)+'Capa DCF - Base'!R$57)*(MAX($C29,'Capa DCF - Base'!$I$61-9*'Audit &amp; Checks'!$D$18)-'Capa DCF - Base'!R$67)*(1-'Capa DCF - Base'!R$71)*'Capa DCF - Base'!R$78</x:f>
        <x:v>700338.45324257</x:v>
      </x:c>
      <x:c r="T29" s="169" t="n">
        <x:f>('Capa DCF - Base'!S$6*(1-'Capa DCF - Base'!S$13-'Capa DCF - Base'!S$14)*$B29*(1+'Audit &amp; Checks'!$D$19)+'Capa DCF - Base'!S$57)*(MAX($C29,'Capa DCF - Base'!$I$61-10*'Audit &amp; Checks'!$D$18)-'Capa DCF - Base'!S$67)*(1-'Capa DCF - Base'!S$71)*'Capa DCF - Base'!S$78</x:f>
        <x:v>755336.2487385749</x:v>
      </x:c>
      <x:c r="U29" s="169" t="n">
        <x:f>('Capa DCF - Base'!T$6*(1-'Capa DCF - Base'!T$13-'Capa DCF - Base'!T$14)*$B29*(1+'Audit &amp; Checks'!$D$19)+'Capa DCF - Base'!T$57)*(MAX($C29,'Capa DCF - Base'!$I$61-11*'Audit &amp; Checks'!$D$18)-'Capa DCF - Base'!T$67)*(1-'Capa DCF - Base'!T$71)*'Capa DCF - Base'!T$78</x:f>
        <x:v>814733.8678742605</x:v>
      </x:c>
      <x:c r="V29" s="169" t="n">
        <x:f>('Capa DCF - Base'!U$6*(1-'Capa DCF - Base'!U$13-'Capa DCF - Base'!U$14)*$B29*(1+'Audit &amp; Checks'!$D$19)+'Capa DCF - Base'!U$57)*(MAX($C29,'Capa DCF - Base'!$I$61-12*'Audit &amp; Checks'!$D$18)-'Capa DCF - Base'!U$67)*(1-'Capa DCF - Base'!U$71)*'Capa DCF - Base'!U$78</x:f>
        <x:v>878883.2965408007</x:v>
      </x:c>
      <x:c r="W29" s="169" t="n">
        <x:f>('Capa DCF - Base'!V$6*(1-'Capa DCF - Base'!V$13-'Capa DCF - Base'!V$14)*$B29*(1+'Audit &amp; Checks'!$D$19)+'Capa DCF - Base'!V$57)*(MAX($C29,'Capa DCF - Base'!$I$61-13*'Audit &amp; Checks'!$D$18)-'Capa DCF - Base'!V$67)*(1-'Capa DCF - Base'!V$71)*'Capa DCF - Base'!V$78</x:f>
        <x:v>948164.6795006645</x:v>
      </x:c>
      <x:c r="X29" s="169" t="n">
        <x:f>('Capa DCF - Base'!W$6*(1-'Capa DCF - Base'!W$13-'Capa DCF - Base'!W$14)*$B29*(1+'Audit &amp; Checks'!$D$19)+'Capa DCF - Base'!W$57)*(MAX($C29,'Capa DCF - Base'!$I$61-14*'Audit &amp; Checks'!$D$18)-'Capa DCF - Base'!W$67)*(1-'Capa DCF - Base'!W$71)*'Capa DCF - Base'!W$78</x:f>
        <x:v>1022988.5730973171</x:v>
      </x:c>
      <x:c r="Y29" s="169" t="n">
        <x:f>('Capa DCF - Base'!X$6*(1-'Capa DCF - Base'!X$13-'Capa DCF - Base'!X$14)*$B29*(1+'Audit &amp; Checks'!$D$19)+'Capa DCF - Base'!X$57)*(MAX($C29,'Capa DCF - Base'!$I$61-15*'Audit &amp; Checks'!$D$18)-'Capa DCF - Base'!X$67)*(1-'Capa DCF - Base'!X$71)*'Capa DCF - Base'!X$78</x:f>
        <x:v>1103798.378181702</x:v>
      </x:c>
      <x:c r="Z29" s="169" t="n">
        <x:f>('Capa DCF - Base'!Y$6*(1-'Capa DCF - Base'!Y$13-'Capa DCF - Base'!Y$14)*$B29*(1+'Audit &amp; Checks'!$D$19)+'Capa DCF - Base'!Y$57)*(MAX($C29,'Capa DCF - Base'!$I$61-16*'Audit &amp; Checks'!$D$18)-'Capa DCF - Base'!Y$67)*(1-'Capa DCF - Base'!Y$71)*'Capa DCF - Base'!Y$78</x:f>
        <x:v>1191072.9676728377</x:v>
      </x:c>
      <x:c r="AA29" s="169" t="n">
        <x:f>('Capa DCF - Base'!Z$6*(1-'Capa DCF - Base'!Z$13-'Capa DCF - Base'!Z$14)*$B29*(1+'Audit &amp; Checks'!$D$19)+'Capa DCF - Base'!Z$57)*(MAX($C29,'Capa DCF - Base'!$I$61-17*'Audit &amp; Checks'!$D$18)-'Capa DCF - Base'!Z$67)*(1-'Capa DCF - Base'!Z$71)*'Capa DCF - Base'!Z$78</x:f>
        <x:v>1606661.9054040802</x:v>
      </x:c>
      <x:c r="AB29" s="169"/>
      <x:c r="AC29" s="169"/>
    </x:row>
    <x:row r="30" ht="18" customHeight="1">
      <x:c r="A30" s="169" t="n">
        <x:v>25</x:v>
      </x:c>
      <x:c r="B30" s="174" t="n">
        <x:f>'Capa DCF - Base'!D101</x:f>
        <x:v>0.6</x:v>
      </x:c>
      <x:c r="C30" s="174" t="n">
        <x:f>'Capa DCF - Base'!E96</x:f>
        <x:v>0.58</x:v>
      </x:c>
      <x:c r="D30" s="169" t="n">
        <x:f>NPV('Capa DCF - Base'!$D$81,'Capa DCF - Base'!$G$79:$I$79)</x:f>
        <x:v>586118.0536624773</x:v>
      </x:c>
      <x:c r="E30" s="169" t="n">
        <x:f>NPV('Capa DCF - Base'!$D$81,K30:AA30)/(1+'Capa DCF - Base'!$D$81)^3</x:f>
        <x:v>3638663.422785983</x:v>
      </x:c>
      <x:c r="F30" s="169" t="n">
        <x:f>IF('Audit &amp; Checks'!$D$10=1,AA30*(1+'Capa DCF - Base'!$D$83)/('Capa DCF - Base'!$D$81-'Capa DCF - Base'!$D$83),0)</x:f>
        <x:v>20073582.73334662</x:v>
      </x:c>
      <x:c r="G30" s="169" t="n">
        <x:f>F30/(1+'Capa DCF - Base'!$D$81)^'Audit &amp; Checks'!$D$7</x:f>
        <x:v>2983810.1649274435</x:v>
      </x:c>
      <x:c r="H30" s="169" t="n">
        <x:f>SUM(D30:E30,G30)*'Audit &amp; Checks'!$D$9</x:f>
        <x:v>7670801.115643795</x:v>
      </x:c>
      <x:c r="I30" s="173" t="n">
        <x:f>IF('Audit &amp; Checks'!$D$10=1,H30/'Capa DCF - Base'!$D$86,0)</x:f>
        <x:v>318.2905027238089</x:v>
      </x:c>
      <x:c r="J30" s="169"/>
      <x:c r="K30" s="169" t="n">
        <x:f>('Capa DCF - Base'!J$6*(1-'Capa DCF - Base'!J$13-'Capa DCF - Base'!J$14)*'Capa DCF - Base'!J$53*(1+'Audit &amp; Checks'!$D$19)+'Capa DCF - Base'!J$57)*(MAX($C30,'Capa DCF - Base'!$I$61-1*'Audit &amp; Checks'!$D$18)-'Capa DCF - Base'!J$67)*(1-'Capa DCF - Base'!J$71)*'Capa DCF - Base'!J$78</x:f>
        <x:v>403773.32274527336</x:v>
      </x:c>
      <x:c r="L30" s="169" t="n">
        <x:f>('Capa DCF - Base'!K$6*(1-'Capa DCF - Base'!K$13-'Capa DCF - Base'!K$14)*'Capa DCF - Base'!K$53*(1+'Audit &amp; Checks'!$D$19)+'Capa DCF - Base'!K$57)*(MAX($C30,'Capa DCF - Base'!$I$61-2*'Audit &amp; Checks'!$D$18)-'Capa DCF - Base'!K$67)*(1-'Capa DCF - Base'!K$71)*'Capa DCF - Base'!K$78</x:f>
        <x:v>384968.63749367814</x:v>
      </x:c>
      <x:c r="M30" s="169" t="n">
        <x:f>('Capa DCF - Base'!L$6*(1-'Capa DCF - Base'!L$13-'Capa DCF - Base'!L$14)*$B30*(1+'Audit &amp; Checks'!$D$19)+'Capa DCF - Base'!L$57)*(MAX($C30,'Capa DCF - Base'!$I$61-3*'Audit &amp; Checks'!$D$18)-'Capa DCF - Base'!L$67)*(1-'Capa DCF - Base'!L$71)*'Capa DCF - Base'!L$78</x:f>
        <x:v>447746.9053215162</x:v>
      </x:c>
      <x:c r="N30" s="169" t="n">
        <x:f>('Capa DCF - Base'!M$6*(1-'Capa DCF - Base'!M$13-'Capa DCF - Base'!M$14)*$B30*(1+'Audit &amp; Checks'!$D$19)+'Capa DCF - Base'!M$57)*(MAX($C30,'Capa DCF - Base'!$I$61-4*'Audit &amp; Checks'!$D$18)-'Capa DCF - Base'!M$67)*(1-'Capa DCF - Base'!M$71)*'Capa DCF - Base'!M$78</x:f>
        <x:v>478003.8257148131</x:v>
      </x:c>
      <x:c r="O30" s="169" t="n">
        <x:f>('Capa DCF - Base'!N$6*(1-'Capa DCF - Base'!N$13-'Capa DCF - Base'!N$14)*$B30*(1+'Audit &amp; Checks'!$D$19)+'Capa DCF - Base'!N$57)*(MAX($C30,'Capa DCF - Base'!$I$61-5*'Audit &amp; Checks'!$D$18)-'Capa DCF - Base'!N$67)*(1-'Capa DCF - Base'!N$71)*'Capa DCF - Base'!N$78</x:f>
        <x:v>509524.40280010505</x:v>
      </x:c>
      <x:c r="P30" s="169" t="n">
        <x:f>('Capa DCF - Base'!O$6*(1-'Capa DCF - Base'!O$13-'Capa DCF - Base'!O$14)*$B30*(1+'Audit &amp; Checks'!$D$19)+'Capa DCF - Base'!O$57)*(MAX($C30,'Capa DCF - Base'!$I$61-6*'Audit &amp; Checks'!$D$18)-'Capa DCF - Base'!O$67)*(1-'Capa DCF - Base'!O$71)*'Capa DCF - Base'!O$78</x:f>
        <x:v>529736.8005737927</x:v>
      </x:c>
      <x:c r="Q30" s="169" t="n">
        <x:f>('Capa DCF - Base'!P$6*(1-'Capa DCF - Base'!P$13-'Capa DCF - Base'!P$14)*$B30*(1+'Audit &amp; Checks'!$D$19)+'Capa DCF - Base'!P$57)*(MAX($C30,'Capa DCF - Base'!$I$61-7*'Audit &amp; Checks'!$D$18)-'Capa DCF - Base'!P$67)*(1-'Capa DCF - Base'!P$71)*'Capa DCF - Base'!P$78</x:f>
        <x:v>550063.0048596988</x:v>
      </x:c>
      <x:c r="R30" s="169" t="n">
        <x:f>('Capa DCF - Base'!Q$6*(1-'Capa DCF - Base'!Q$13-'Capa DCF - Base'!Q$14)*$B30*(1+'Audit &amp; Checks'!$D$19)+'Capa DCF - Base'!Q$57)*(MAX($C30,'Capa DCF - Base'!$I$61-8*'Audit &amp; Checks'!$D$18)-'Capa DCF - Base'!Q$67)*(1-'Capa DCF - Base'!Q$71)*'Capa DCF - Base'!Q$78</x:f>
        <x:v>593204.7775114293</x:v>
      </x:c>
      <x:c r="S30" s="169" t="n">
        <x:f>('Capa DCF - Base'!R$6*(1-'Capa DCF - Base'!R$13-'Capa DCF - Base'!R$14)*$B30*(1+'Audit &amp; Checks'!$D$19)+'Capa DCF - Base'!R$57)*(MAX($C30,'Capa DCF - Base'!$I$61-9*'Audit &amp; Checks'!$D$18)-'Capa DCF - Base'!R$67)*(1-'Capa DCF - Base'!R$71)*'Capa DCF - Base'!R$78</x:f>
        <x:v>639797.8919752981</x:v>
      </x:c>
      <x:c r="T30" s="169" t="n">
        <x:f>('Capa DCF - Base'!S$6*(1-'Capa DCF - Base'!S$13-'Capa DCF - Base'!S$14)*$B30*(1+'Audit &amp; Checks'!$D$19)+'Capa DCF - Base'!S$57)*(MAX($C30,'Capa DCF - Base'!$I$61-10*'Audit &amp; Checks'!$D$18)-'Capa DCF - Base'!S$67)*(1-'Capa DCF - Base'!S$71)*'Capa DCF - Base'!S$78</x:f>
        <x:v>690118.4555962761</x:v>
      </x:c>
      <x:c r="U30" s="169" t="n">
        <x:f>('Capa DCF - Base'!T$6*(1-'Capa DCF - Base'!T$13-'Capa DCF - Base'!T$14)*$B30*(1+'Audit &amp; Checks'!$D$19)+'Capa DCF - Base'!T$57)*(MAX($C30,'Capa DCF - Base'!$I$61-11*'Audit &amp; Checks'!$D$18)-'Capa DCF - Base'!T$67)*(1-'Capa DCF - Base'!T$71)*'Capa DCF - Base'!T$78</x:f>
        <x:v>744464.6643069326</x:v>
      </x:c>
      <x:c r="V30" s="169" t="n">
        <x:f>('Capa DCF - Base'!U$6*(1-'Capa DCF - Base'!U$13-'Capa DCF - Base'!U$14)*$B30*(1+'Audit &amp; Checks'!$D$19)+'Capa DCF - Base'!U$57)*(MAX($C30,'Capa DCF - Base'!$I$61-12*'Audit &amp; Checks'!$D$18)-'Capa DCF - Base'!U$67)*(1-'Capa DCF - Base'!U$71)*'Capa DCF - Base'!U$78</x:f>
        <x:v>803158.5697144417</x:v>
      </x:c>
      <x:c r="W30" s="169" t="n">
        <x:f>('Capa DCF - Base'!V$6*(1-'Capa DCF - Base'!V$13-'Capa DCF - Base'!V$14)*$B30*(1+'Audit &amp; Checks'!$D$19)+'Capa DCF - Base'!V$57)*(MAX($C30,'Capa DCF - Base'!$I$61-13*'Audit &amp; Checks'!$D$18)-'Capa DCF - Base'!V$67)*(1-'Capa DCF - Base'!V$71)*'Capa DCF - Base'!V$78</x:f>
        <x:v>866547.9875545516</x:v>
      </x:c>
      <x:c r="X30" s="169" t="n">
        <x:f>('Capa DCF - Base'!W$6*(1-'Capa DCF - Base'!W$13-'Capa DCF - Base'!W$14)*$B30*(1+'Audit &amp; Checks'!$D$19)+'Capa DCF - Base'!W$57)*(MAX($C30,'Capa DCF - Base'!$I$61-14*'Audit &amp; Checks'!$D$18)-'Capa DCF - Base'!W$67)*(1-'Capa DCF - Base'!W$71)*'Capa DCF - Base'!W$78</x:f>
        <x:v>935008.5588218699</x:v>
      </x:c>
      <x:c r="Y30" s="169" t="n">
        <x:f>('Capa DCF - Base'!X$6*(1-'Capa DCF - Base'!X$13-'Capa DCF - Base'!X$14)*$B30*(1+'Audit &amp; Checks'!$D$19)+'Capa DCF - Base'!X$57)*(MAX($C30,'Capa DCF - Base'!$I$61-15*'Audit &amp; Checks'!$D$18)-'Capa DCF - Base'!X$67)*(1-'Capa DCF - Base'!X$71)*'Capa DCF - Base'!X$78</x:f>
        <x:v>1008945.9757905739</x:v>
      </x:c>
      <x:c r="Z30" s="169" t="n">
        <x:f>('Capa DCF - Base'!Y$6*(1-'Capa DCF - Base'!Y$13-'Capa DCF - Base'!Y$14)*$B30*(1+'Audit &amp; Checks'!$D$19)+'Capa DCF - Base'!Y$57)*(MAX($C30,'Capa DCF - Base'!$I$61-16*'Audit &amp; Checks'!$D$18)-'Capa DCF - Base'!Y$67)*(1-'Capa DCF - Base'!Y$71)*'Capa DCF - Base'!Y$78</x:f>
        <x:v>1088798.3861167745</x:v>
      </x:c>
      <x:c r="AA30" s="169" t="n">
        <x:f>('Capa DCF - Base'!Z$6*(1-'Capa DCF - Base'!Z$13-'Capa DCF - Base'!Z$14)*$B30*(1+'Audit &amp; Checks'!$D$19)+'Capa DCF - Base'!Z$57)*(MAX($C30,'Capa DCF - Base'!$I$61-17*'Audit &amp; Checks'!$D$18)-'Capa DCF - Base'!Z$67)*(1-'Capa DCF - Base'!Z$71)*'Capa DCF - Base'!Z$78</x:f>
        <x:v>1468798.7365863384</x:v>
      </x:c>
      <x:c r="AB30" s="169"/>
      <x:c r="AC30" s="169"/>
    </x:row>
    <x:row r="31" ht="18" customHeight="1">
      <x:c r="A31" s="169" t="n">
        <x:v>26</x:v>
      </x:c>
      <x:c r="B31" s="174" t="n">
        <x:f>'Capa DCF - Base'!D101</x:f>
        <x:v>0.6</x:v>
      </x:c>
      <x:c r="C31" s="174" t="n">
        <x:f>'Capa DCF - Base'!F96</x:f>
        <x:v>0.6</x:v>
      </x:c>
      <x:c r="D31" s="169" t="n">
        <x:f>NPV('Capa DCF - Base'!$D$81,'Capa DCF - Base'!$G$79:$I$79)</x:f>
        <x:v>586118.0536624773</x:v>
      </x:c>
      <x:c r="E31" s="169" t="n">
        <x:f>NPV('Capa DCF - Base'!$D$81,K31:AA31)/(1+'Capa DCF - Base'!$D$81)^3</x:f>
        <x:v>3721873.252243164</x:v>
      </x:c>
      <x:c r="F31" s="169" t="n">
        <x:f>IF('Audit &amp; Checks'!$D$10=1,AA31*(1+'Capa DCF - Base'!$D$83)/('Capa DCF - Base'!$D$81-'Capa DCF - Base'!$D$83),0)</x:f>
        <x:v>20845643.607706103</x:v>
      </x:c>
      <x:c r="G31" s="169" t="n">
        <x:f>F31/(1+'Capa DCF - Base'!$D$81)^'Audit &amp; Checks'!$D$7</x:f>
        <x:v>3098572.09434773</x:v>
      </x:c>
      <x:c r="H31" s="169" t="n">
        <x:f>SUM(D31:E31,G31)*'Audit &amp; Checks'!$D$9</x:f>
        <x:v>7881466.674800559</x:v>
      </x:c>
      <x:c r="I31" s="173" t="n">
        <x:f>IF('Audit &amp; Checks'!$D$10=1,H31/'Capa DCF - Base'!$D$86,0)</x:f>
        <x:v>327.03181223238835</x:v>
      </x:c>
      <x:c r="J31" s="169"/>
      <x:c r="K31" s="169" t="n">
        <x:f>('Capa DCF - Base'!J$6*(1-'Capa DCF - Base'!J$13-'Capa DCF - Base'!J$14)*'Capa DCF - Base'!J$53*(1+'Audit &amp; Checks'!$D$19)+'Capa DCF - Base'!J$57)*(MAX($C31,'Capa DCF - Base'!$I$61-1*'Audit &amp; Checks'!$D$18)-'Capa DCF - Base'!J$67)*(1-'Capa DCF - Base'!J$71)*'Capa DCF - Base'!J$78</x:f>
        <x:v>403773.32274527336</x:v>
      </x:c>
      <x:c r="L31" s="169" t="n">
        <x:f>('Capa DCF - Base'!K$6*(1-'Capa DCF - Base'!K$13-'Capa DCF - Base'!K$14)*'Capa DCF - Base'!K$53*(1+'Audit &amp; Checks'!$D$19)+'Capa DCF - Base'!K$57)*(MAX($C31,'Capa DCF - Base'!$I$61-2*'Audit &amp; Checks'!$D$18)-'Capa DCF - Base'!K$67)*(1-'Capa DCF - Base'!K$71)*'Capa DCF - Base'!K$78</x:f>
        <x:v>384968.63749367814</x:v>
      </x:c>
      <x:c r="M31" s="169" t="n">
        <x:f>('Capa DCF - Base'!L$6*(1-'Capa DCF - Base'!L$13-'Capa DCF - Base'!L$14)*$B31*(1+'Audit &amp; Checks'!$D$19)+'Capa DCF - Base'!L$57)*(MAX($C31,'Capa DCF - Base'!$I$61-3*'Audit &amp; Checks'!$D$18)-'Capa DCF - Base'!L$67)*(1-'Capa DCF - Base'!L$71)*'Capa DCF - Base'!L$78</x:f>
        <x:v>447746.9053215162</x:v>
      </x:c>
      <x:c r="N31" s="169" t="n">
        <x:f>('Capa DCF - Base'!M$6*(1-'Capa DCF - Base'!M$13-'Capa DCF - Base'!M$14)*$B31*(1+'Audit &amp; Checks'!$D$19)+'Capa DCF - Base'!M$57)*(MAX($C31,'Capa DCF - Base'!$I$61-4*'Audit &amp; Checks'!$D$18)-'Capa DCF - Base'!M$67)*(1-'Capa DCF - Base'!M$71)*'Capa DCF - Base'!M$78</x:f>
        <x:v>478003.8257148131</x:v>
      </x:c>
      <x:c r="O31" s="169" t="n">
        <x:f>('Capa DCF - Base'!N$6*(1-'Capa DCF - Base'!N$13-'Capa DCF - Base'!N$14)*$B31*(1+'Audit &amp; Checks'!$D$19)+'Capa DCF - Base'!N$57)*(MAX($C31,'Capa DCF - Base'!$I$61-5*'Audit &amp; Checks'!$D$18)-'Capa DCF - Base'!N$67)*(1-'Capa DCF - Base'!N$71)*'Capa DCF - Base'!N$78</x:f>
        <x:v>509524.40280010505</x:v>
      </x:c>
      <x:c r="P31" s="169" t="n">
        <x:f>('Capa DCF - Base'!O$6*(1-'Capa DCF - Base'!O$13-'Capa DCF - Base'!O$14)*$B31*(1+'Audit &amp; Checks'!$D$19)+'Capa DCF - Base'!O$57)*(MAX($C31,'Capa DCF - Base'!$I$61-6*'Audit &amp; Checks'!$D$18)-'Capa DCF - Base'!O$67)*(1-'Capa DCF - Base'!O$71)*'Capa DCF - Base'!O$78</x:f>
        <x:v>529736.8005737927</x:v>
      </x:c>
      <x:c r="Q31" s="169" t="n">
        <x:f>('Capa DCF - Base'!P$6*(1-'Capa DCF - Base'!P$13-'Capa DCF - Base'!P$14)*$B31*(1+'Audit &amp; Checks'!$D$19)+'Capa DCF - Base'!P$57)*(MAX($C31,'Capa DCF - Base'!$I$61-7*'Audit &amp; Checks'!$D$18)-'Capa DCF - Base'!P$67)*(1-'Capa DCF - Base'!P$71)*'Capa DCF - Base'!P$78</x:f>
        <x:v>571219.2742773795</x:v>
      </x:c>
      <x:c r="R31" s="169" t="n">
        <x:f>('Capa DCF - Base'!Q$6*(1-'Capa DCF - Base'!Q$13-'Capa DCF - Base'!Q$14)*$B31*(1+'Audit &amp; Checks'!$D$19)+'Capa DCF - Base'!Q$57)*(MAX($C31,'Capa DCF - Base'!$I$61-8*'Audit &amp; Checks'!$D$18)-'Capa DCF - Base'!Q$67)*(1-'Capa DCF - Base'!Q$71)*'Capa DCF - Base'!Q$78</x:f>
        <x:v>616020.3458772535</x:v>
      </x:c>
      <x:c r="S31" s="169" t="n">
        <x:f>('Capa DCF - Base'!R$6*(1-'Capa DCF - Base'!R$13-'Capa DCF - Base'!R$14)*$B31*(1+'Audit &amp; Checks'!$D$19)+'Capa DCF - Base'!R$57)*(MAX($C31,'Capa DCF - Base'!$I$61-9*'Audit &amp; Checks'!$D$18)-'Capa DCF - Base'!R$67)*(1-'Capa DCF - Base'!R$71)*'Capa DCF - Base'!R$78</x:f>
        <x:v>664405.5032051171</x:v>
      </x:c>
      <x:c r="T31" s="169" t="n">
        <x:f>('Capa DCF - Base'!S$6*(1-'Capa DCF - Base'!S$13-'Capa DCF - Base'!S$14)*$B31*(1+'Audit &amp; Checks'!$D$19)+'Capa DCF - Base'!S$57)*(MAX($C31,'Capa DCF - Base'!$I$61-10*'Audit &amp; Checks'!$D$18)-'Capa DCF - Base'!S$67)*(1-'Capa DCF - Base'!S$71)*'Capa DCF - Base'!S$78</x:f>
        <x:v>716661.4731192096</x:v>
      </x:c>
      <x:c r="U31" s="169" t="n">
        <x:f>('Capa DCF - Base'!T$6*(1-'Capa DCF - Base'!T$13-'Capa DCF - Base'!T$14)*$B31*(1+'Audit &amp; Checks'!$D$19)+'Capa DCF - Base'!T$57)*(MAX($C31,'Capa DCF - Base'!$I$61-11*'Audit &amp; Checks'!$D$18)-'Capa DCF - Base'!T$67)*(1-'Capa DCF - Base'!T$71)*'Capa DCF - Base'!T$78</x:f>
        <x:v>773097.92062643</x:v>
      </x:c>
      <x:c r="V31" s="169" t="n">
        <x:f>('Capa DCF - Base'!U$6*(1-'Capa DCF - Base'!U$13-'Capa DCF - Base'!U$14)*$B31*(1+'Audit &amp; Checks'!$D$19)+'Capa DCF - Base'!U$57)*(MAX($C31,'Capa DCF - Base'!$I$61-12*'Audit &amp; Checks'!$D$18)-'Capa DCF - Base'!U$67)*(1-'Capa DCF - Base'!U$71)*'Capa DCF - Base'!U$78</x:f>
        <x:v>834049.283934228</x:v>
      </x:c>
      <x:c r="W31" s="169" t="n">
        <x:f>('Capa DCF - Base'!V$6*(1-'Capa DCF - Base'!V$13-'Capa DCF - Base'!V$14)*$B31*(1+'Audit &amp; Checks'!$D$19)+'Capa DCF - Base'!V$57)*(MAX($C31,'Capa DCF - Base'!$I$61-13*'Audit &amp; Checks'!$D$18)-'Capa DCF - Base'!V$67)*(1-'Capa DCF - Base'!V$71)*'Capa DCF - Base'!V$78</x:f>
        <x:v>899876.7563066497</x:v>
      </x:c>
      <x:c r="X31" s="169" t="n">
        <x:f>('Capa DCF - Base'!W$6*(1-'Capa DCF - Base'!W$13-'Capa DCF - Base'!W$14)*$B31*(1+'Audit &amp; Checks'!$D$19)+'Capa DCF - Base'!W$57)*(MAX($C31,'Capa DCF - Base'!$I$61-14*'Audit &amp; Checks'!$D$18)-'Capa DCF - Base'!W$67)*(1-'Capa DCF - Base'!W$71)*'Capa DCF - Base'!W$78</x:f>
        <x:v>970970.426468865</x:v>
      </x:c>
      <x:c r="Y31" s="169" t="n">
        <x:f>('Capa DCF - Base'!X$6*(1-'Capa DCF - Base'!X$13-'Capa DCF - Base'!X$14)*$B31*(1+'Audit &amp; Checks'!$D$19)+'Capa DCF - Base'!X$57)*(MAX($C31,'Capa DCF - Base'!$I$61-15*'Audit &amp; Checks'!$D$18)-'Capa DCF - Base'!X$67)*(1-'Capa DCF - Base'!X$71)*'Capa DCF - Base'!X$78</x:f>
        <x:v>1047751.5902440576</x:v>
      </x:c>
      <x:c r="Z31" s="169" t="n">
        <x:f>('Capa DCF - Base'!Y$6*(1-'Capa DCF - Base'!Y$13-'Capa DCF - Base'!Y$14)*$B31*(1+'Audit &amp; Checks'!$D$19)+'Capa DCF - Base'!Y$57)*(MAX($C31,'Capa DCF - Base'!$I$61-16*'Audit &amp; Checks'!$D$18)-'Capa DCF - Base'!Y$67)*(1-'Capa DCF - Base'!Y$71)*'Capa DCF - Base'!Y$78</x:f>
        <x:v>1130675.2471212659</x:v>
      </x:c>
      <x:c r="AA31" s="169" t="n">
        <x:f>('Capa DCF - Base'!Z$6*(1-'Capa DCF - Base'!Z$13-'Capa DCF - Base'!Z$14)*$B31*(1+'Audit &amp; Checks'!$D$19)+'Capa DCF - Base'!Z$57)*(MAX($C31,'Capa DCF - Base'!$I$61-17*'Audit &amp; Checks'!$D$18)-'Capa DCF - Base'!Z$67)*(1-'Capa DCF - Base'!Z$71)*'Capa DCF - Base'!Z$78</x:f>
        <x:v>1525290.9956858128</x:v>
      </x:c>
      <x:c r="AB31" s="169"/>
      <x:c r="AC31" s="169"/>
    </x:row>
    <x:row r="32" ht="18" customHeight="1">
      <x:c r="A32" s="169" t="n">
        <x:v>27</x:v>
      </x:c>
      <x:c r="B32" s="174" t="n">
        <x:f>'Capa DCF - Base'!D101</x:f>
        <x:v>0.6</x:v>
      </x:c>
      <x:c r="C32" s="174" t="n">
        <x:f>'Capa DCF - Base'!G96</x:f>
        <x:v>0.62</x:v>
      </x:c>
      <x:c r="D32" s="169" t="n">
        <x:f>NPV('Capa DCF - Base'!$D$81,'Capa DCF - Base'!$G$79:$I$79)</x:f>
        <x:v>586118.0536624773</x:v>
      </x:c>
      <x:c r="E32" s="169" t="n">
        <x:f>NPV('Capa DCF - Base'!$D$81,K32:AA32)/(1+'Capa DCF - Base'!$D$81)^3</x:f>
        <x:v>3813403.8267184035</x:v>
      </x:c>
      <x:c r="F32" s="169" t="n">
        <x:f>IF('Audit &amp; Checks'!$D$10=1,AA32*(1+'Capa DCF - Base'!$D$83)/('Capa DCF - Base'!$D$81-'Capa DCF - Base'!$D$83),0)</x:f>
        <x:v>21617704.482065592</x:v>
      </x:c>
      <x:c r="G32" s="169" t="n">
        <x:f>F32/(1+'Capa DCF - Base'!$D$81)^'Audit &amp; Checks'!$D$7</x:f>
        <x:v>3213334.0237680166</x:v>
      </x:c>
      <x:c r="H32" s="169" t="n">
        <x:f>SUM(D32:E32,G32)*'Audit &amp; Checks'!$D$9</x:f>
        <x:v>8100986.498887684</x:v>
      </x:c>
      <x:c r="I32" s="173" t="n">
        <x:f>IF('Audit &amp; Checks'!$D$10=1,H32/'Capa DCF - Base'!$D$86,0)</x:f>
        <x:v>336.140518626045</x:v>
      </x:c>
      <x:c r="J32" s="169"/>
      <x:c r="K32" s="169" t="n">
        <x:f>('Capa DCF - Base'!J$6*(1-'Capa DCF - Base'!J$13-'Capa DCF - Base'!J$14)*'Capa DCF - Base'!J$53*(1+'Audit &amp; Checks'!$D$19)+'Capa DCF - Base'!J$57)*(MAX($C32,'Capa DCF - Base'!$I$61-1*'Audit &amp; Checks'!$D$18)-'Capa DCF - Base'!J$67)*(1-'Capa DCF - Base'!J$71)*'Capa DCF - Base'!J$78</x:f>
        <x:v>403773.32274527336</x:v>
      </x:c>
      <x:c r="L32" s="169" t="n">
        <x:f>('Capa DCF - Base'!K$6*(1-'Capa DCF - Base'!K$13-'Capa DCF - Base'!K$14)*'Capa DCF - Base'!K$53*(1+'Audit &amp; Checks'!$D$19)+'Capa DCF - Base'!K$57)*(MAX($C32,'Capa DCF - Base'!$I$61-2*'Audit &amp; Checks'!$D$18)-'Capa DCF - Base'!K$67)*(1-'Capa DCF - Base'!K$71)*'Capa DCF - Base'!K$78</x:f>
        <x:v>384968.63749367814</x:v>
      </x:c>
      <x:c r="M32" s="169" t="n">
        <x:f>('Capa DCF - Base'!L$6*(1-'Capa DCF - Base'!L$13-'Capa DCF - Base'!L$14)*$B32*(1+'Audit &amp; Checks'!$D$19)+'Capa DCF - Base'!L$57)*(MAX($C32,'Capa DCF - Base'!$I$61-3*'Audit &amp; Checks'!$D$18)-'Capa DCF - Base'!L$67)*(1-'Capa DCF - Base'!L$71)*'Capa DCF - Base'!L$78</x:f>
        <x:v>447746.9053215162</x:v>
      </x:c>
      <x:c r="N32" s="169" t="n">
        <x:f>('Capa DCF - Base'!M$6*(1-'Capa DCF - Base'!M$13-'Capa DCF - Base'!M$14)*$B32*(1+'Audit &amp; Checks'!$D$19)+'Capa DCF - Base'!M$57)*(MAX($C32,'Capa DCF - Base'!$I$61-4*'Audit &amp; Checks'!$D$18)-'Capa DCF - Base'!M$67)*(1-'Capa DCF - Base'!M$71)*'Capa DCF - Base'!M$78</x:f>
        <x:v>478003.8257148131</x:v>
      </x:c>
      <x:c r="O32" s="169" t="n">
        <x:f>('Capa DCF - Base'!N$6*(1-'Capa DCF - Base'!N$13-'Capa DCF - Base'!N$14)*$B32*(1+'Audit &amp; Checks'!$D$19)+'Capa DCF - Base'!N$57)*(MAX($C32,'Capa DCF - Base'!$I$61-5*'Audit &amp; Checks'!$D$18)-'Capa DCF - Base'!N$67)*(1-'Capa DCF - Base'!N$71)*'Capa DCF - Base'!N$78</x:f>
        <x:v>509524.40280010505</x:v>
      </x:c>
      <x:c r="P32" s="169" t="n">
        <x:f>('Capa DCF - Base'!O$6*(1-'Capa DCF - Base'!O$13-'Capa DCF - Base'!O$14)*$B32*(1+'Audit &amp; Checks'!$D$19)+'Capa DCF - Base'!O$57)*(MAX($C32,'Capa DCF - Base'!$I$61-6*'Audit &amp; Checks'!$D$18)-'Capa DCF - Base'!O$67)*(1-'Capa DCF - Base'!O$71)*'Capa DCF - Base'!O$78</x:f>
        <x:v>549356.6820765258</x:v>
      </x:c>
      <x:c r="Q32" s="169" t="n">
        <x:f>('Capa DCF - Base'!P$6*(1-'Capa DCF - Base'!P$13-'Capa DCF - Base'!P$14)*$B32*(1+'Audit &amp; Checks'!$D$19)+'Capa DCF - Base'!P$57)*(MAX($C32,'Capa DCF - Base'!$I$61-7*'Audit &amp; Checks'!$D$18)-'Capa DCF - Base'!P$67)*(1-'Capa DCF - Base'!P$71)*'Capa DCF - Base'!P$78</x:f>
        <x:v>592375.5436950602</x:v>
      </x:c>
      <x:c r="R32" s="169" t="n">
        <x:f>('Capa DCF - Base'!Q$6*(1-'Capa DCF - Base'!Q$13-'Capa DCF - Base'!Q$14)*$B32*(1+'Audit &amp; Checks'!$D$19)+'Capa DCF - Base'!Q$57)*(MAX($C32,'Capa DCF - Base'!$I$61-8*'Audit &amp; Checks'!$D$18)-'Capa DCF - Base'!Q$67)*(1-'Capa DCF - Base'!Q$71)*'Capa DCF - Base'!Q$78</x:f>
        <x:v>638835.9142430777</x:v>
      </x:c>
      <x:c r="S32" s="169" t="n">
        <x:f>('Capa DCF - Base'!R$6*(1-'Capa DCF - Base'!R$13-'Capa DCF - Base'!R$14)*$B32*(1+'Audit &amp; Checks'!$D$19)+'Capa DCF - Base'!R$57)*(MAX($C32,'Capa DCF - Base'!$I$61-9*'Audit &amp; Checks'!$D$18)-'Capa DCF - Base'!R$67)*(1-'Capa DCF - Base'!R$71)*'Capa DCF - Base'!R$78</x:f>
        <x:v>689013.1144349363</x:v>
      </x:c>
      <x:c r="T32" s="169" t="n">
        <x:f>('Capa DCF - Base'!S$6*(1-'Capa DCF - Base'!S$13-'Capa DCF - Base'!S$14)*$B32*(1+'Audit &amp; Checks'!$D$19)+'Capa DCF - Base'!S$57)*(MAX($C32,'Capa DCF - Base'!$I$61-10*'Audit &amp; Checks'!$D$18)-'Capa DCF - Base'!S$67)*(1-'Capa DCF - Base'!S$71)*'Capa DCF - Base'!S$78</x:f>
        <x:v>743204.4906421434</x:v>
      </x:c>
      <x:c r="U32" s="169" t="n">
        <x:f>('Capa DCF - Base'!T$6*(1-'Capa DCF - Base'!T$13-'Capa DCF - Base'!T$14)*$B32*(1+'Audit &amp; Checks'!$D$19)+'Capa DCF - Base'!T$57)*(MAX($C32,'Capa DCF - Base'!$I$61-11*'Audit &amp; Checks'!$D$18)-'Capa DCF - Base'!T$67)*(1-'Capa DCF - Base'!T$71)*'Capa DCF - Base'!T$78</x:f>
        <x:v>801731.1769459276</x:v>
      </x:c>
      <x:c r="V32" s="169" t="n">
        <x:f>('Capa DCF - Base'!U$6*(1-'Capa DCF - Base'!U$13-'Capa DCF - Base'!U$14)*$B32*(1+'Audit &amp; Checks'!$D$19)+'Capa DCF - Base'!U$57)*(MAX($C32,'Capa DCF - Base'!$I$61-12*'Audit &amp; Checks'!$D$18)-'Capa DCF - Base'!U$67)*(1-'Capa DCF - Base'!U$71)*'Capa DCF - Base'!U$78</x:f>
        <x:v>864939.9981540142</x:v>
      </x:c>
      <x:c r="W32" s="169" t="n">
        <x:f>('Capa DCF - Base'!V$6*(1-'Capa DCF - Base'!V$13-'Capa DCF - Base'!V$14)*$B32*(1+'Audit &amp; Checks'!$D$19)+'Capa DCF - Base'!V$57)*(MAX($C32,'Capa DCF - Base'!$I$61-13*'Audit &amp; Checks'!$D$18)-'Capa DCF - Base'!V$67)*(1-'Capa DCF - Base'!V$71)*'Capa DCF - Base'!V$78</x:f>
        <x:v>933205.5250587479</x:v>
      </x:c>
      <x:c r="X32" s="169" t="n">
        <x:f>('Capa DCF - Base'!W$6*(1-'Capa DCF - Base'!W$13-'Capa DCF - Base'!W$14)*$B32*(1+'Audit &amp; Checks'!$D$19)+'Capa DCF - Base'!W$57)*(MAX($C32,'Capa DCF - Base'!$I$61-14*'Audit &amp; Checks'!$D$18)-'Capa DCF - Base'!W$67)*(1-'Capa DCF - Base'!W$71)*'Capa DCF - Base'!W$78</x:f>
        <x:v>1006932.29411586</x:v>
      </x:c>
      <x:c r="Y32" s="169" t="n">
        <x:f>('Capa DCF - Base'!X$6*(1-'Capa DCF - Base'!X$13-'Capa DCF - Base'!X$14)*$B32*(1+'Audit &amp; Checks'!$D$19)+'Capa DCF - Base'!X$57)*(MAX($C32,'Capa DCF - Base'!$I$61-15*'Audit &amp; Checks'!$D$18)-'Capa DCF - Base'!X$67)*(1-'Capa DCF - Base'!X$71)*'Capa DCF - Base'!X$78</x:f>
        <x:v>1086557.2046975412</x:v>
      </x:c>
      <x:c r="Z32" s="169" t="n">
        <x:f>('Capa DCF - Base'!Y$6*(1-'Capa DCF - Base'!Y$13-'Capa DCF - Base'!Y$14)*$B32*(1+'Audit &amp; Checks'!$D$19)+'Capa DCF - Base'!Y$57)*(MAX($C32,'Capa DCF - Base'!$I$61-16*'Audit &amp; Checks'!$D$18)-'Capa DCF - Base'!Y$67)*(1-'Capa DCF - Base'!Y$71)*'Capa DCF - Base'!Y$78</x:f>
        <x:v>1172552.1081257572</x:v>
      </x:c>
      <x:c r="AA32" s="169" t="n">
        <x:f>('Capa DCF - Base'!Z$6*(1-'Capa DCF - Base'!Z$13-'Capa DCF - Base'!Z$14)*$B32*(1+'Audit &amp; Checks'!$D$19)+'Capa DCF - Base'!Z$57)*(MAX($C32,'Capa DCF - Base'!$I$61-17*'Audit &amp; Checks'!$D$18)-'Capa DCF - Base'!Z$67)*(1-'Capa DCF - Base'!Z$71)*'Capa DCF - Base'!Z$78</x:f>
        <x:v>1581783.2547852874</x:v>
      </x:c>
      <x:c r="AB32" s="169"/>
      <x:c r="AC32" s="169"/>
    </x:row>
    <x:row r="33" ht="18" customHeight="1">
      <x:c r="A33" s="169" t="n">
        <x:v>28</x:v>
      </x:c>
      <x:c r="B33" s="174" t="n">
        <x:f>'Capa DCF - Base'!D101</x:f>
        <x:v>0.6</x:v>
      </x:c>
      <x:c r="C33" s="174" t="n">
        <x:f>'Capa DCF - Base'!H96</x:f>
        <x:v>0.64</x:v>
      </x:c>
      <x:c r="D33" s="169" t="n">
        <x:f>NPV('Capa DCF - Base'!$D$81,'Capa DCF - Base'!$G$79:$I$79)</x:f>
        <x:v>586118.0536624773</x:v>
      </x:c>
      <x:c r="E33" s="169" t="n">
        <x:f>NPV('Capa DCF - Base'!$D$81,K33:AA33)/(1+'Capa DCF - Base'!$D$81)^3</x:f>
        <x:v>3913423.575990187</x:v>
      </x:c>
      <x:c r="F33" s="169" t="n">
        <x:f>IF('Audit &amp; Checks'!$D$10=1,AA33*(1+'Capa DCF - Base'!$D$83)/('Capa DCF - Base'!$D$81-'Capa DCF - Base'!$D$83),0)</x:f>
        <x:v>22389765.356425077</x:v>
      </x:c>
      <x:c r="G33" s="169" t="n">
        <x:f>F33/(1+'Capa DCF - Base'!$D$81)^'Audit &amp; Checks'!$D$7</x:f>
        <x:v>3328095.9531883025</x:v>
      </x:c>
      <x:c r="H33" s="169" t="n">
        <x:f>SUM(D33:E33,G33)*'Audit &amp; Checks'!$D$9</x:f>
        <x:v>8329539.817274367</x:v>
      </x:c>
      <x:c r="I33" s="173" t="n">
        <x:f>IF('Audit &amp; Checks'!$D$10=1,H33/'Capa DCF - Base'!$D$86,0)</x:f>
        <x:v>345.62405880806506</x:v>
      </x:c>
      <x:c r="J33" s="169"/>
      <x:c r="K33" s="169" t="n">
        <x:f>('Capa DCF - Base'!J$6*(1-'Capa DCF - Base'!J$13-'Capa DCF - Base'!J$14)*'Capa DCF - Base'!J$53*(1+'Audit &amp; Checks'!$D$19)+'Capa DCF - Base'!J$57)*(MAX($C33,'Capa DCF - Base'!$I$61-1*'Audit &amp; Checks'!$D$18)-'Capa DCF - Base'!J$67)*(1-'Capa DCF - Base'!J$71)*'Capa DCF - Base'!J$78</x:f>
        <x:v>403773.32274527336</x:v>
      </x:c>
      <x:c r="L33" s="169" t="n">
        <x:f>('Capa DCF - Base'!K$6*(1-'Capa DCF - Base'!K$13-'Capa DCF - Base'!K$14)*'Capa DCF - Base'!K$53*(1+'Audit &amp; Checks'!$D$19)+'Capa DCF - Base'!K$57)*(MAX($C33,'Capa DCF - Base'!$I$61-2*'Audit &amp; Checks'!$D$18)-'Capa DCF - Base'!K$67)*(1-'Capa DCF - Base'!K$71)*'Capa DCF - Base'!K$78</x:f>
        <x:v>384968.63749367814</x:v>
      </x:c>
      <x:c r="M33" s="169" t="n">
        <x:f>('Capa DCF - Base'!L$6*(1-'Capa DCF - Base'!L$13-'Capa DCF - Base'!L$14)*$B33*(1+'Audit &amp; Checks'!$D$19)+'Capa DCF - Base'!L$57)*(MAX($C33,'Capa DCF - Base'!$I$61-3*'Audit &amp; Checks'!$D$18)-'Capa DCF - Base'!L$67)*(1-'Capa DCF - Base'!L$71)*'Capa DCF - Base'!L$78</x:f>
        <x:v>447746.9053215162</x:v>
      </x:c>
      <x:c r="N33" s="169" t="n">
        <x:f>('Capa DCF - Base'!M$6*(1-'Capa DCF - Base'!M$13-'Capa DCF - Base'!M$14)*$B33*(1+'Audit &amp; Checks'!$D$19)+'Capa DCF - Base'!M$57)*(MAX($C33,'Capa DCF - Base'!$I$61-4*'Audit &amp; Checks'!$D$18)-'Capa DCF - Base'!M$67)*(1-'Capa DCF - Base'!M$71)*'Capa DCF - Base'!M$78</x:f>
        <x:v>478003.8257148131</x:v>
      </x:c>
      <x:c r="O33" s="169" t="n">
        <x:f>('Capa DCF - Base'!N$6*(1-'Capa DCF - Base'!N$13-'Capa DCF - Base'!N$14)*$B33*(1+'Audit &amp; Checks'!$D$19)+'Capa DCF - Base'!N$57)*(MAX($C33,'Capa DCF - Base'!$I$61-5*'Audit &amp; Checks'!$D$18)-'Capa DCF - Base'!N$67)*(1-'Capa DCF - Base'!N$71)*'Capa DCF - Base'!N$78</x:f>
        <x:v>527721.7029001088</x:v>
      </x:c>
      <x:c r="P33" s="169" t="n">
        <x:f>('Capa DCF - Base'!O$6*(1-'Capa DCF - Base'!O$13-'Capa DCF - Base'!O$14)*$B33*(1+'Audit &amp; Checks'!$D$19)+'Capa DCF - Base'!O$57)*(MAX($C33,'Capa DCF - Base'!$I$61-6*'Audit &amp; Checks'!$D$18)-'Capa DCF - Base'!O$67)*(1-'Capa DCF - Base'!O$71)*'Capa DCF - Base'!O$78</x:f>
        <x:v>568976.5635792589</x:v>
      </x:c>
      <x:c r="Q33" s="169" t="n">
        <x:f>('Capa DCF - Base'!P$6*(1-'Capa DCF - Base'!P$13-'Capa DCF - Base'!P$14)*$B33*(1+'Audit &amp; Checks'!$D$19)+'Capa DCF - Base'!P$57)*(MAX($C33,'Capa DCF - Base'!$I$61-7*'Audit &amp; Checks'!$D$18)-'Capa DCF - Base'!P$67)*(1-'Capa DCF - Base'!P$71)*'Capa DCF - Base'!P$78</x:f>
        <x:v>613531.813112741</x:v>
      </x:c>
      <x:c r="R33" s="169" t="n">
        <x:f>('Capa DCF - Base'!Q$6*(1-'Capa DCF - Base'!Q$13-'Capa DCF - Base'!Q$14)*$B33*(1+'Audit &amp; Checks'!$D$19)+'Capa DCF - Base'!Q$57)*(MAX($C33,'Capa DCF - Base'!$I$61-8*'Audit &amp; Checks'!$D$18)-'Capa DCF - Base'!Q$67)*(1-'Capa DCF - Base'!Q$71)*'Capa DCF - Base'!Q$78</x:f>
        <x:v>661651.4826089019</x:v>
      </x:c>
      <x:c r="S33" s="169" t="n">
        <x:f>('Capa DCF - Base'!R$6*(1-'Capa DCF - Base'!R$13-'Capa DCF - Base'!R$14)*$B33*(1+'Audit &amp; Checks'!$D$19)+'Capa DCF - Base'!R$57)*(MAX($C33,'Capa DCF - Base'!$I$61-9*'Audit &amp; Checks'!$D$18)-'Capa DCF - Base'!R$67)*(1-'Capa DCF - Base'!R$71)*'Capa DCF - Base'!R$78</x:f>
        <x:v>713620.7256647554</x:v>
      </x:c>
      <x:c r="T33" s="169" t="n">
        <x:f>('Capa DCF - Base'!S$6*(1-'Capa DCF - Base'!S$13-'Capa DCF - Base'!S$14)*$B33*(1+'Audit &amp; Checks'!$D$19)+'Capa DCF - Base'!S$57)*(MAX($C33,'Capa DCF - Base'!$I$61-10*'Audit &amp; Checks'!$D$18)-'Capa DCF - Base'!S$67)*(1-'Capa DCF - Base'!S$71)*'Capa DCF - Base'!S$78</x:f>
        <x:v>769747.5081650772</x:v>
      </x:c>
      <x:c r="U33" s="169" t="n">
        <x:f>('Capa DCF - Base'!T$6*(1-'Capa DCF - Base'!T$13-'Capa DCF - Base'!T$14)*$B33*(1+'Audit &amp; Checks'!$D$19)+'Capa DCF - Base'!T$57)*(MAX($C33,'Capa DCF - Base'!$I$61-11*'Audit &amp; Checks'!$D$18)-'Capa DCF - Base'!T$67)*(1-'Capa DCF - Base'!T$71)*'Capa DCF - Base'!T$78</x:f>
        <x:v>830364.4332654248</x:v>
      </x:c>
      <x:c r="V33" s="169" t="n">
        <x:f>('Capa DCF - Base'!U$6*(1-'Capa DCF - Base'!U$13-'Capa DCF - Base'!U$14)*$B33*(1+'Audit &amp; Checks'!$D$19)+'Capa DCF - Base'!U$57)*(MAX($C33,'Capa DCF - Base'!$I$61-12*'Audit &amp; Checks'!$D$18)-'Capa DCF - Base'!U$67)*(1-'Capa DCF - Base'!U$71)*'Capa DCF - Base'!U$78</x:f>
        <x:v>895830.7123738005</x:v>
      </x:c>
      <x:c r="W33" s="169" t="n">
        <x:f>('Capa DCF - Base'!V$6*(1-'Capa DCF - Base'!V$13-'Capa DCF - Base'!V$14)*$B33*(1+'Audit &amp; Checks'!$D$19)+'Capa DCF - Base'!V$57)*(MAX($C33,'Capa DCF - Base'!$I$61-13*'Audit &amp; Checks'!$D$18)-'Capa DCF - Base'!V$67)*(1-'Capa DCF - Base'!V$71)*'Capa DCF - Base'!V$78</x:f>
        <x:v>966534.2938108459</x:v>
      </x:c>
      <x:c r="X33" s="169" t="n">
        <x:f>('Capa DCF - Base'!W$6*(1-'Capa DCF - Base'!W$13-'Capa DCF - Base'!W$14)*$B33*(1+'Audit &amp; Checks'!$D$19)+'Capa DCF - Base'!W$57)*(MAX($C33,'Capa DCF - Base'!$I$61-14*'Audit &amp; Checks'!$D$18)-'Capa DCF - Base'!W$67)*(1-'Capa DCF - Base'!W$71)*'Capa DCF - Base'!W$78</x:f>
        <x:v>1042894.161762855</x:v>
      </x:c>
      <x:c r="Y33" s="169" t="n">
        <x:f>('Capa DCF - Base'!X$6*(1-'Capa DCF - Base'!X$13-'Capa DCF - Base'!X$14)*$B33*(1+'Audit &amp; Checks'!$D$19)+'Capa DCF - Base'!X$57)*(MAX($C33,'Capa DCF - Base'!$I$61-15*'Audit &amp; Checks'!$D$18)-'Capa DCF - Base'!X$67)*(1-'Capa DCF - Base'!X$71)*'Capa DCF - Base'!X$78</x:f>
        <x:v>1125362.8191510248</x:v>
      </x:c>
      <x:c r="Z33" s="169" t="n">
        <x:f>('Capa DCF - Base'!Y$6*(1-'Capa DCF - Base'!Y$13-'Capa DCF - Base'!Y$14)*$B33*(1+'Audit &amp; Checks'!$D$19)+'Capa DCF - Base'!Y$57)*(MAX($C33,'Capa DCF - Base'!$I$61-16*'Audit &amp; Checks'!$D$18)-'Capa DCF - Base'!Y$67)*(1-'Capa DCF - Base'!Y$71)*'Capa DCF - Base'!Y$78</x:f>
        <x:v>1214428.9691302488</x:v>
      </x:c>
      <x:c r="AA33" s="169" t="n">
        <x:f>('Capa DCF - Base'!Z$6*(1-'Capa DCF - Base'!Z$13-'Capa DCF - Base'!Z$14)*$B33*(1+'Audit &amp; Checks'!$D$19)+'Capa DCF - Base'!Z$57)*(MAX($C33,'Capa DCF - Base'!$I$61-17*'Audit &amp; Checks'!$D$18)-'Capa DCF - Base'!Z$67)*(1-'Capa DCF - Base'!Z$71)*'Capa DCF - Base'!Z$78</x:f>
        <x:v>1638275.513884762</x:v>
      </x:c>
      <x:c r="AB33" s="169"/>
      <x:c r="AC33" s="169"/>
    </x:row>
    <x:row r="34" ht="18" customHeight="1">
      <x:c r="A34" s="169" t="n">
        <x:v>29</x:v>
      </x:c>
      <x:c r="B34" s="174" t="n">
        <x:f>'Capa DCF - Base'!D101</x:f>
        <x:v>0.6</x:v>
      </x:c>
      <x:c r="C34" s="174" t="n">
        <x:f>'Capa DCF - Base'!I96</x:f>
        <x:v>0.66</x:v>
      </x:c>
      <x:c r="D34" s="169" t="n">
        <x:f>NPV('Capa DCF - Base'!$D$81,'Capa DCF - Base'!$G$79:$I$79)</x:f>
        <x:v>586118.0536624773</x:v>
      </x:c>
      <x:c r="E34" s="169" t="n">
        <x:f>NPV('Capa DCF - Base'!$D$81,K34:AA34)/(1+'Capa DCF - Base'!$D$81)^3</x:f>
        <x:v>4021901.6543554487</x:v>
      </x:c>
      <x:c r="F34" s="169" t="n">
        <x:f>IF('Audit &amp; Checks'!$D$10=1,AA34*(1+'Capa DCF - Base'!$D$83)/('Capa DCF - Base'!$D$81-'Capa DCF - Base'!$D$83),0)</x:f>
        <x:v>23161826.230784565</x:v>
      </x:c>
      <x:c r="G34" s="169" t="n">
        <x:f>F34/(1+'Capa DCF - Base'!$D$81)^'Audit &amp; Checks'!$D$7</x:f>
        <x:v>3442857.8826085893</x:v>
      </x:c>
      <x:c r="H34" s="169" t="n">
        <x:f>SUM(D34:E34,G34)*'Audit &amp; Checks'!$D$9</x:f>
        <x:v>8567093.806454265</x:v>
      </x:c>
      <x:c r="I34" s="173" t="n">
        <x:f>IF('Audit &amp; Checks'!$D$10=1,H34/'Capa DCF - Base'!$D$86,0)</x:f>
        <x:v>355.48107080723094</x:v>
      </x:c>
      <x:c r="J34" s="169"/>
      <x:c r="K34" s="169" t="n">
        <x:f>('Capa DCF - Base'!J$6*(1-'Capa DCF - Base'!J$13-'Capa DCF - Base'!J$14)*'Capa DCF - Base'!J$53*(1+'Audit &amp; Checks'!$D$19)+'Capa DCF - Base'!J$57)*(MAX($C34,'Capa DCF - Base'!$I$61-1*'Audit &amp; Checks'!$D$18)-'Capa DCF - Base'!J$67)*(1-'Capa DCF - Base'!J$71)*'Capa DCF - Base'!J$78</x:f>
        <x:v>403773.32274527336</x:v>
      </x:c>
      <x:c r="L34" s="169" t="n">
        <x:f>('Capa DCF - Base'!K$6*(1-'Capa DCF - Base'!K$13-'Capa DCF - Base'!K$14)*'Capa DCF - Base'!K$53*(1+'Audit &amp; Checks'!$D$19)+'Capa DCF - Base'!K$57)*(MAX($C34,'Capa DCF - Base'!$I$61-2*'Audit &amp; Checks'!$D$18)-'Capa DCF - Base'!K$67)*(1-'Capa DCF - Base'!K$71)*'Capa DCF - Base'!K$78</x:f>
        <x:v>384968.63749367814</x:v>
      </x:c>
      <x:c r="M34" s="169" t="n">
        <x:f>('Capa DCF - Base'!L$6*(1-'Capa DCF - Base'!L$13-'Capa DCF - Base'!L$14)*$B34*(1+'Audit &amp; Checks'!$D$19)+'Capa DCF - Base'!L$57)*(MAX($C34,'Capa DCF - Base'!$I$61-3*'Audit &amp; Checks'!$D$18)-'Capa DCF - Base'!L$67)*(1-'Capa DCF - Base'!L$71)*'Capa DCF - Base'!L$78</x:f>
        <x:v>447746.90532151633</x:v>
      </x:c>
      <x:c r="N34" s="169" t="n">
        <x:f>('Capa DCF - Base'!M$6*(1-'Capa DCF - Base'!M$13-'Capa DCF - Base'!M$14)*$B34*(1+'Audit &amp; Checks'!$D$19)+'Capa DCF - Base'!M$57)*(MAX($C34,'Capa DCF - Base'!$I$61-4*'Audit &amp; Checks'!$D$18)-'Capa DCF - Base'!M$67)*(1-'Capa DCF - Base'!M$71)*'Capa DCF - Base'!M$78</x:f>
        <x:v>494486.7162567032</x:v>
      </x:c>
      <x:c r="O34" s="169" t="n">
        <x:f>('Capa DCF - Base'!N$6*(1-'Capa DCF - Base'!N$13-'Capa DCF - Base'!N$14)*$B34*(1+'Audit &amp; Checks'!$D$19)+'Capa DCF - Base'!N$57)*(MAX($C34,'Capa DCF - Base'!$I$61-5*'Audit &amp; Checks'!$D$18)-'Capa DCF - Base'!N$67)*(1-'Capa DCF - Base'!N$71)*'Capa DCF - Base'!N$78</x:f>
        <x:v>545919.0030001126</x:v>
      </x:c>
      <x:c r="P34" s="169" t="n">
        <x:f>('Capa DCF - Base'!O$6*(1-'Capa DCF - Base'!O$13-'Capa DCF - Base'!O$14)*$B34*(1+'Audit &amp; Checks'!$D$19)+'Capa DCF - Base'!O$57)*(MAX($C34,'Capa DCF - Base'!$I$61-6*'Audit &amp; Checks'!$D$18)-'Capa DCF - Base'!O$67)*(1-'Capa DCF - Base'!O$71)*'Capa DCF - Base'!O$78</x:f>
        <x:v>588596.445081992</x:v>
      </x:c>
      <x:c r="Q34" s="169" t="n">
        <x:f>('Capa DCF - Base'!P$6*(1-'Capa DCF - Base'!P$13-'Capa DCF - Base'!P$14)*$B34*(1+'Audit &amp; Checks'!$D$19)+'Capa DCF - Base'!P$57)*(MAX($C34,'Capa DCF - Base'!$I$61-7*'Audit &amp; Checks'!$D$18)-'Capa DCF - Base'!P$67)*(1-'Capa DCF - Base'!P$71)*'Capa DCF - Base'!P$78</x:f>
        <x:v>634688.0825304217</x:v>
      </x:c>
      <x:c r="R34" s="169" t="n">
        <x:f>('Capa DCF - Base'!Q$6*(1-'Capa DCF - Base'!Q$13-'Capa DCF - Base'!Q$14)*$B34*(1+'Audit &amp; Checks'!$D$19)+'Capa DCF - Base'!Q$57)*(MAX($C34,'Capa DCF - Base'!$I$61-8*'Audit &amp; Checks'!$D$18)-'Capa DCF - Base'!Q$67)*(1-'Capa DCF - Base'!Q$71)*'Capa DCF - Base'!Q$78</x:f>
        <x:v>684467.0509747262</x:v>
      </x:c>
      <x:c r="S34" s="169" t="n">
        <x:f>('Capa DCF - Base'!R$6*(1-'Capa DCF - Base'!R$13-'Capa DCF - Base'!R$14)*$B34*(1+'Audit &amp; Checks'!$D$19)+'Capa DCF - Base'!R$57)*(MAX($C34,'Capa DCF - Base'!$I$61-9*'Audit &amp; Checks'!$D$18)-'Capa DCF - Base'!R$67)*(1-'Capa DCF - Base'!R$71)*'Capa DCF - Base'!R$78</x:f>
        <x:v>738228.3368945747</x:v>
      </x:c>
      <x:c r="T34" s="169" t="n">
        <x:f>('Capa DCF - Base'!S$6*(1-'Capa DCF - Base'!S$13-'Capa DCF - Base'!S$14)*$B34*(1+'Audit &amp; Checks'!$D$19)+'Capa DCF - Base'!S$57)*(MAX($C34,'Capa DCF - Base'!$I$61-10*'Audit &amp; Checks'!$D$18)-'Capa DCF - Base'!S$67)*(1-'Capa DCF - Base'!S$71)*'Capa DCF - Base'!S$78</x:f>
        <x:v>796290.525688011</x:v>
      </x:c>
      <x:c r="U34" s="169" t="n">
        <x:f>('Capa DCF - Base'!T$6*(1-'Capa DCF - Base'!T$13-'Capa DCF - Base'!T$14)*$B34*(1+'Audit &amp; Checks'!$D$19)+'Capa DCF - Base'!T$57)*(MAX($C34,'Capa DCF - Base'!$I$61-11*'Audit &amp; Checks'!$D$18)-'Capa DCF - Base'!T$67)*(1-'Capa DCF - Base'!T$71)*'Capa DCF - Base'!T$78</x:f>
        <x:v>858997.6895849223</x:v>
      </x:c>
      <x:c r="V34" s="169" t="n">
        <x:f>('Capa DCF - Base'!U$6*(1-'Capa DCF - Base'!U$13-'Capa DCF - Base'!U$14)*$B34*(1+'Audit &amp; Checks'!$D$19)+'Capa DCF - Base'!U$57)*(MAX($C34,'Capa DCF - Base'!$I$61-12*'Audit &amp; Checks'!$D$18)-'Capa DCF - Base'!U$67)*(1-'Capa DCF - Base'!U$71)*'Capa DCF - Base'!U$78</x:f>
        <x:v>926721.4265935867</x:v>
      </x:c>
      <x:c r="W34" s="169" t="n">
        <x:f>('Capa DCF - Base'!V$6*(1-'Capa DCF - Base'!V$13-'Capa DCF - Base'!V$14)*$B34*(1+'Audit &amp; Checks'!$D$19)+'Capa DCF - Base'!V$57)*(MAX($C34,'Capa DCF - Base'!$I$61-13*'Audit &amp; Checks'!$D$18)-'Capa DCF - Base'!V$67)*(1-'Capa DCF - Base'!V$71)*'Capa DCF - Base'!V$78</x:f>
        <x:v>999863.062562944</x:v>
      </x:c>
      <x:c r="X34" s="169" t="n">
        <x:f>('Capa DCF - Base'!W$6*(1-'Capa DCF - Base'!W$13-'Capa DCF - Base'!W$14)*$B34*(1+'Audit &amp; Checks'!$D$19)+'Capa DCF - Base'!W$57)*(MAX($C34,'Capa DCF - Base'!$I$61-14*'Audit &amp; Checks'!$D$18)-'Capa DCF - Base'!W$67)*(1-'Capa DCF - Base'!W$71)*'Capa DCF - Base'!W$78</x:f>
        <x:v>1078856.02940985</x:v>
      </x:c>
      <x:c r="Y34" s="169" t="n">
        <x:f>('Capa DCF - Base'!X$6*(1-'Capa DCF - Base'!X$13-'Capa DCF - Base'!X$14)*$B34*(1+'Audit &amp; Checks'!$D$19)+'Capa DCF - Base'!X$57)*(MAX($C34,'Capa DCF - Base'!$I$61-15*'Audit &amp; Checks'!$D$18)-'Capa DCF - Base'!X$67)*(1-'Capa DCF - Base'!X$71)*'Capa DCF - Base'!X$78</x:f>
        <x:v>1164168.4336045084</x:v>
      </x:c>
      <x:c r="Z34" s="169" t="n">
        <x:f>('Capa DCF - Base'!Y$6*(1-'Capa DCF - Base'!Y$13-'Capa DCF - Base'!Y$14)*$B34*(1+'Audit &amp; Checks'!$D$19)+'Capa DCF - Base'!Y$57)*(MAX($C34,'Capa DCF - Base'!$I$61-16*'Audit &amp; Checks'!$D$18)-'Capa DCF - Base'!Y$67)*(1-'Capa DCF - Base'!Y$71)*'Capa DCF - Base'!Y$78</x:f>
        <x:v>1256305.8301347399</x:v>
      </x:c>
      <x:c r="AA34" s="169" t="n">
        <x:f>('Capa DCF - Base'!Z$6*(1-'Capa DCF - Base'!Z$13-'Capa DCF - Base'!Z$14)*$B34*(1+'Audit &amp; Checks'!$D$19)+'Capa DCF - Base'!Z$57)*(MAX($C34,'Capa DCF - Base'!$I$61-17*'Audit &amp; Checks'!$D$18)-'Capa DCF - Base'!Z$67)*(1-'Capa DCF - Base'!Z$71)*'Capa DCF - Base'!Z$78</x:f>
        <x:v>1694767.7729842367</x:v>
      </x:c>
      <x:c r="AB34" s="169"/>
      <x:c r="AC34" s="169"/>
    </x:row>
    <x:row r="35" ht="18" customHeight="1">
      <x:c r="A35" s="169" t="n">
        <x:v>30</x:v>
      </x:c>
      <x:c r="B35" s="174" t="n">
        <x:f>'Capa DCF - Base'!D101</x:f>
        <x:v>0.6</x:v>
      </x:c>
      <x:c r="C35" s="174" t="n">
        <x:f>'Capa DCF - Base'!J96</x:f>
        <x:v>0.68</x:v>
      </x:c>
      <x:c r="D35" s="169" t="n">
        <x:f>NPV('Capa DCF - Base'!$D$81,'Capa DCF - Base'!$G$79:$I$79)</x:f>
        <x:v>586118.0536624773</x:v>
      </x:c>
      <x:c r="E35" s="169" t="n">
        <x:f>NPV('Capa DCF - Base'!$D$81,K35:AA35)/(1+'Capa DCF - Base'!$D$81)^3</x:f>
        <x:v>4138804.4478979185</x:v>
      </x:c>
      <x:c r="F35" s="169" t="n">
        <x:f>IF('Audit &amp; Checks'!$D$10=1,AA35*(1+'Capa DCF - Base'!$D$83)/('Capa DCF - Base'!$D$81-'Capa DCF - Base'!$D$83),0)</x:f>
        <x:v>23933887.10514405</x:v>
      </x:c>
      <x:c r="G35" s="169" t="n">
        <x:f>F35/(1+'Capa DCF - Base'!$D$81)^'Audit &amp; Checks'!$D$7</x:f>
        <x:v>3557619.8120288756</x:v>
      </x:c>
      <x:c r="H35" s="169" t="n">
        <x:f>SUM(D35:E35,G35)*'Audit &amp; Checks'!$D$9</x:f>
        <x:v>8813612.697212078</x:v>
      </x:c>
      <x:c r="I35" s="173" t="n">
        <x:f>IF('Audit &amp; Checks'!$D$10=1,H35/'Capa DCF - Base'!$D$86,0)</x:f>
        <x:v>365.71007042373765</x:v>
      </x:c>
      <x:c r="J35" s="169"/>
      <x:c r="K35" s="169" t="n">
        <x:f>('Capa DCF - Base'!J$6*(1-'Capa DCF - Base'!J$13-'Capa DCF - Base'!J$14)*'Capa DCF - Base'!J$53*(1+'Audit &amp; Checks'!$D$19)+'Capa DCF - Base'!J$57)*(MAX($C35,'Capa DCF - Base'!$I$61-1*'Audit &amp; Checks'!$D$18)-'Capa DCF - Base'!J$67)*(1-'Capa DCF - Base'!J$71)*'Capa DCF - Base'!J$78</x:f>
        <x:v>403773.32274527336</x:v>
      </x:c>
      <x:c r="L35" s="169" t="n">
        <x:f>('Capa DCF - Base'!K$6*(1-'Capa DCF - Base'!K$13-'Capa DCF - Base'!K$14)*'Capa DCF - Base'!K$53*(1+'Audit &amp; Checks'!$D$19)+'Capa DCF - Base'!K$57)*(MAX($C35,'Capa DCF - Base'!$I$61-2*'Audit &amp; Checks'!$D$18)-'Capa DCF - Base'!K$67)*(1-'Capa DCF - Base'!K$71)*'Capa DCF - Base'!K$78</x:f>
        <x:v>384968.63749367837</x:v>
      </x:c>
      <x:c r="M35" s="169" t="n">
        <x:f>('Capa DCF - Base'!L$6*(1-'Capa DCF - Base'!L$13-'Capa DCF - Base'!L$14)*$B35*(1+'Audit &amp; Checks'!$D$19)+'Capa DCF - Base'!L$57)*(MAX($C35,'Capa DCF - Base'!$I$61-3*'Audit &amp; Checks'!$D$18)-'Capa DCF - Base'!L$67)*(1-'Capa DCF - Base'!L$71)*'Capa DCF - Base'!L$78</x:f>
        <x:v>462671.8021655669</x:v>
      </x:c>
      <x:c r="N35" s="169" t="n">
        <x:f>('Capa DCF - Base'!M$6*(1-'Capa DCF - Base'!M$13-'Capa DCF - Base'!M$14)*$B35*(1+'Audit &amp; Checks'!$D$19)+'Capa DCF - Base'!M$57)*(MAX($C35,'Capa DCF - Base'!$I$61-4*'Audit &amp; Checks'!$D$18)-'Capa DCF - Base'!M$67)*(1-'Capa DCF - Base'!M$71)*'Capa DCF - Base'!M$78</x:f>
        <x:v>510969.60679859336</x:v>
      </x:c>
      <x:c r="O35" s="169" t="n">
        <x:f>('Capa DCF - Base'!N$6*(1-'Capa DCF - Base'!N$13-'Capa DCF - Base'!N$14)*$B35*(1+'Audit &amp; Checks'!$D$19)+'Capa DCF - Base'!N$57)*(MAX($C35,'Capa DCF - Base'!$I$61-5*'Audit &amp; Checks'!$D$18)-'Capa DCF - Base'!N$67)*(1-'Capa DCF - Base'!N$71)*'Capa DCF - Base'!N$78</x:f>
        <x:v>564116.3031001164</x:v>
      </x:c>
      <x:c r="P35" s="169" t="n">
        <x:f>('Capa DCF - Base'!O$6*(1-'Capa DCF - Base'!O$13-'Capa DCF - Base'!O$14)*$B35*(1+'Audit &amp; Checks'!$D$19)+'Capa DCF - Base'!O$57)*(MAX($C35,'Capa DCF - Base'!$I$61-6*'Audit &amp; Checks'!$D$18)-'Capa DCF - Base'!O$67)*(1-'Capa DCF - Base'!O$71)*'Capa DCF - Base'!O$78</x:f>
        <x:v>608216.3265847251</x:v>
      </x:c>
      <x:c r="Q35" s="169" t="n">
        <x:f>('Capa DCF - Base'!P$6*(1-'Capa DCF - Base'!P$13-'Capa DCF - Base'!P$14)*$B35*(1+'Audit &amp; Checks'!$D$19)+'Capa DCF - Base'!P$57)*(MAX($C35,'Capa DCF - Base'!$I$61-7*'Audit &amp; Checks'!$D$18)-'Capa DCF - Base'!P$67)*(1-'Capa DCF - Base'!P$71)*'Capa DCF - Base'!P$78</x:f>
        <x:v>655844.3519481025</x:v>
      </x:c>
      <x:c r="R35" s="169" t="n">
        <x:f>('Capa DCF - Base'!Q$6*(1-'Capa DCF - Base'!Q$13-'Capa DCF - Base'!Q$14)*$B35*(1+'Audit &amp; Checks'!$D$19)+'Capa DCF - Base'!Q$57)*(MAX($C35,'Capa DCF - Base'!$I$61-8*'Audit &amp; Checks'!$D$18)-'Capa DCF - Base'!Q$67)*(1-'Capa DCF - Base'!Q$71)*'Capa DCF - Base'!Q$78</x:f>
        <x:v>707282.6193405504</x:v>
      </x:c>
      <x:c r="S35" s="169" t="n">
        <x:f>('Capa DCF - Base'!R$6*(1-'Capa DCF - Base'!R$13-'Capa DCF - Base'!R$14)*$B35*(1+'Audit &amp; Checks'!$D$19)+'Capa DCF - Base'!R$57)*(MAX($C35,'Capa DCF - Base'!$I$61-9*'Audit &amp; Checks'!$D$18)-'Capa DCF - Base'!R$67)*(1-'Capa DCF - Base'!R$71)*'Capa DCF - Base'!R$78</x:f>
        <x:v>762835.9481243938</x:v>
      </x:c>
      <x:c r="T35" s="169" t="n">
        <x:f>('Capa DCF - Base'!S$6*(1-'Capa DCF - Base'!S$13-'Capa DCF - Base'!S$14)*$B35*(1+'Audit &amp; Checks'!$D$19)+'Capa DCF - Base'!S$57)*(MAX($C35,'Capa DCF - Base'!$I$61-10*'Audit &amp; Checks'!$D$18)-'Capa DCF - Base'!S$67)*(1-'Capa DCF - Base'!S$71)*'Capa DCF - Base'!S$78</x:f>
        <x:v>822833.5432109446</x:v>
      </x:c>
      <x:c r="U35" s="169" t="n">
        <x:f>('Capa DCF - Base'!T$6*(1-'Capa DCF - Base'!T$13-'Capa DCF - Base'!T$14)*$B35*(1+'Audit &amp; Checks'!$D$19)+'Capa DCF - Base'!T$57)*(MAX($C35,'Capa DCF - Base'!$I$61-11*'Audit &amp; Checks'!$D$18)-'Capa DCF - Base'!T$67)*(1-'Capa DCF - Base'!T$71)*'Capa DCF - Base'!T$78</x:f>
        <x:v>887630.9459044196</x:v>
      </x:c>
      <x:c r="V35" s="169" t="n">
        <x:f>('Capa DCF - Base'!U$6*(1-'Capa DCF - Base'!U$13-'Capa DCF - Base'!U$14)*$B35*(1+'Audit &amp; Checks'!$D$19)+'Capa DCF - Base'!U$57)*(MAX($C35,'Capa DCF - Base'!$I$61-12*'Audit &amp; Checks'!$D$18)-'Capa DCF - Base'!U$67)*(1-'Capa DCF - Base'!U$71)*'Capa DCF - Base'!U$78</x:f>
        <x:v>957612.1408133729</x:v>
      </x:c>
      <x:c r="W35" s="169" t="n">
        <x:f>('Capa DCF - Base'!V$6*(1-'Capa DCF - Base'!V$13-'Capa DCF - Base'!V$14)*$B35*(1+'Audit &amp; Checks'!$D$19)+'Capa DCF - Base'!V$57)*(MAX($C35,'Capa DCF - Base'!$I$61-13*'Audit &amp; Checks'!$D$18)-'Capa DCF - Base'!V$67)*(1-'Capa DCF - Base'!V$71)*'Capa DCF - Base'!V$78</x:f>
        <x:v>1033191.8313150421</x:v>
      </x:c>
      <x:c r="X35" s="169" t="n">
        <x:f>('Capa DCF - Base'!W$6*(1-'Capa DCF - Base'!W$13-'Capa DCF - Base'!W$14)*$B35*(1+'Audit &amp; Checks'!$D$19)+'Capa DCF - Base'!W$57)*(MAX($C35,'Capa DCF - Base'!$I$61-14*'Audit &amp; Checks'!$D$18)-'Capa DCF - Base'!W$67)*(1-'Capa DCF - Base'!W$71)*'Capa DCF - Base'!W$78</x:f>
        <x:v>1114817.897056845</x:v>
      </x:c>
      <x:c r="Y35" s="169" t="n">
        <x:f>('Capa DCF - Base'!X$6*(1-'Capa DCF - Base'!X$13-'Capa DCF - Base'!X$14)*$B35*(1+'Audit &amp; Checks'!$D$19)+'Capa DCF - Base'!X$57)*(MAX($C35,'Capa DCF - Base'!$I$61-15*'Audit &amp; Checks'!$D$18)-'Capa DCF - Base'!X$67)*(1-'Capa DCF - Base'!X$71)*'Capa DCF - Base'!X$78</x:f>
        <x:v>1202974.048057992</x:v>
      </x:c>
      <x:c r="Z35" s="169" t="n">
        <x:f>('Capa DCF - Base'!Y$6*(1-'Capa DCF - Base'!Y$13-'Capa DCF - Base'!Y$14)*$B35*(1+'Audit &amp; Checks'!$D$19)+'Capa DCF - Base'!Y$57)*(MAX($C35,'Capa DCF - Base'!$I$61-16*'Audit &amp; Checks'!$D$18)-'Capa DCF - Base'!Y$67)*(1-'Capa DCF - Base'!Y$71)*'Capa DCF - Base'!Y$78</x:f>
        <x:v>1298182.6911392314</x:v>
      </x:c>
      <x:c r="AA35" s="169" t="n">
        <x:f>('Capa DCF - Base'!Z$6*(1-'Capa DCF - Base'!Z$13-'Capa DCF - Base'!Z$14)*$B35*(1+'Audit &amp; Checks'!$D$19)+'Capa DCF - Base'!Z$57)*(MAX($C35,'Capa DCF - Base'!$I$61-17*'Audit &amp; Checks'!$D$18)-'Capa DCF - Base'!Z$67)*(1-'Capa DCF - Base'!Z$71)*'Capa DCF - Base'!Z$78</x:f>
        <x:v>1751260.0320837114</x:v>
      </x:c>
      <x:c r="AB35" s="169"/>
      <x:c r="AC35" s="169"/>
    </x:row>
    <x:row r="36" ht="18" customHeight="1">
      <x:c r="A36" s="169" t="n">
        <x:v>31</x:v>
      </x:c>
      <x:c r="B36" s="174" t="n">
        <x:f>'Capa DCF - Base'!D102</x:f>
        <x:v>0.65</x:v>
      </x:c>
      <x:c r="C36" s="174" t="n">
        <x:f>'Capa DCF - Base'!E96</x:f>
        <x:v>0.58</x:v>
      </x:c>
      <x:c r="D36" s="169" t="n">
        <x:f>NPV('Capa DCF - Base'!$D$81,'Capa DCF - Base'!$G$79:$I$79)</x:f>
        <x:v>586118.0536624773</x:v>
      </x:c>
      <x:c r="E36" s="169" t="n">
        <x:f>NPV('Capa DCF - Base'!$D$81,K36:AA36)/(1+'Capa DCF - Base'!$D$81)^3</x:f>
        <x:v>3894525.3008562825</x:v>
      </x:c>
      <x:c r="F36" s="169" t="n">
        <x:f>IF('Audit &amp; Checks'!$D$10=1,AA36*(1+'Capa DCF - Base'!$D$83)/('Capa DCF - Base'!$D$81-'Capa DCF - Base'!$D$83),0)</x:f>
        <x:v>21731019.325179815</x:v>
      </x:c>
      <x:c r="G36" s="169" t="n">
        <x:f>F36/(1+'Capa DCF - Base'!$D$81)^'Audit &amp; Checks'!$D$7</x:f>
        <x:v>3230177.5531575014</x:v>
      </x:c>
      <x:c r="H36" s="169" t="n">
        <x:f>SUM(D36:E36,G36)*'Audit &amp; Checks'!$D$9</x:f>
        <x:v>8205232.944759089</x:v>
      </x:c>
      <x:c r="I36" s="173" t="n">
        <x:f>IF('Audit &amp; Checks'!$D$10=1,H36/'Capa DCF - Base'!$D$86,0)</x:f>
        <x:v>340.4660972929082</x:v>
      </x:c>
      <x:c r="J36" s="169"/>
      <x:c r="K36" s="169" t="n">
        <x:f>('Capa DCF - Base'!J$6*(1-'Capa DCF - Base'!J$13-'Capa DCF - Base'!J$14)*'Capa DCF - Base'!J$53*(1+'Audit &amp; Checks'!$D$19)+'Capa DCF - Base'!J$57)*(MAX($C36,'Capa DCF - Base'!$I$61-1*'Audit &amp; Checks'!$D$18)-'Capa DCF - Base'!J$67)*(1-'Capa DCF - Base'!J$71)*'Capa DCF - Base'!J$78</x:f>
        <x:v>403773.32274527336</x:v>
      </x:c>
      <x:c r="L36" s="169" t="n">
        <x:f>('Capa DCF - Base'!K$6*(1-'Capa DCF - Base'!K$13-'Capa DCF - Base'!K$14)*'Capa DCF - Base'!K$53*(1+'Audit &amp; Checks'!$D$19)+'Capa DCF - Base'!K$57)*(MAX($C36,'Capa DCF - Base'!$I$61-2*'Audit &amp; Checks'!$D$18)-'Capa DCF - Base'!K$67)*(1-'Capa DCF - Base'!K$71)*'Capa DCF - Base'!K$78</x:f>
        <x:v>384968.63749367814</x:v>
      </x:c>
      <x:c r="M36" s="169" t="n">
        <x:f>('Capa DCF - Base'!L$6*(1-'Capa DCF - Base'!L$13-'Capa DCF - Base'!L$14)*$B36*(1+'Audit &amp; Checks'!$D$19)+'Capa DCF - Base'!L$57)*(MAX($C36,'Capa DCF - Base'!$I$61-3*'Audit &amp; Checks'!$D$18)-'Capa DCF - Base'!L$67)*(1-'Capa DCF - Base'!L$71)*'Capa DCF - Base'!L$78</x:f>
        <x:v>484021.5660169242</x:v>
      </x:c>
      <x:c r="N36" s="169" t="n">
        <x:f>('Capa DCF - Base'!M$6*(1-'Capa DCF - Base'!M$13-'Capa DCF - Base'!M$14)*$B36*(1+'Audit &amp; Checks'!$D$19)+'Capa DCF - Base'!M$57)*(MAX($C36,'Capa DCF - Base'!$I$61-4*'Audit &amp; Checks'!$D$18)-'Capa DCF - Base'!M$67)*(1-'Capa DCF - Base'!M$71)*'Capa DCF - Base'!M$78</x:f>
        <x:v>516834.48249015317</x:v>
      </x:c>
      <x:c r="O36" s="169" t="n">
        <x:f>('Capa DCF - Base'!N$6*(1-'Capa DCF - Base'!N$13-'Capa DCF - Base'!N$14)*$B36*(1+'Audit &amp; Checks'!$D$19)+'Capa DCF - Base'!N$57)*(MAX($C36,'Capa DCF - Base'!$I$61-5*'Audit &amp; Checks'!$D$18)-'Capa DCF - Base'!N$67)*(1-'Capa DCF - Base'!N$71)*'Capa DCF - Base'!N$78</x:f>
        <x:v>551016.3603797102</x:v>
      </x:c>
      <x:c r="P36" s="169" t="n">
        <x:f>('Capa DCF - Base'!O$6*(1-'Capa DCF - Base'!O$13-'Capa DCF - Base'!O$14)*$B36*(1+'Audit &amp; Checks'!$D$19)+'Capa DCF - Base'!O$57)*(MAX($C36,'Capa DCF - Base'!$I$61-6*'Audit &amp; Checks'!$D$18)-'Capa DCF - Base'!O$67)*(1-'Capa DCF - Base'!O$71)*'Capa DCF - Base'!O$78</x:f>
        <x:v>572947.7106816956</x:v>
      </x:c>
      <x:c r="Q36" s="169" t="n">
        <x:f>('Capa DCF - Base'!P$6*(1-'Capa DCF - Base'!P$13-'Capa DCF - Base'!P$14)*$B36*(1+'Audit &amp; Checks'!$D$19)+'Capa DCF - Base'!P$57)*(MAX($C36,'Capa DCF - Base'!$I$61-7*'Audit &amp; Checks'!$D$18)-'Capa DCF - Base'!P$67)*(1-'Capa DCF - Base'!P$71)*'Capa DCF - Base'!P$78</x:f>
        <x:v>595002.3513719179</x:v>
      </x:c>
      <x:c r="R36" s="169" t="n">
        <x:f>('Capa DCF - Base'!Q$6*(1-'Capa DCF - Base'!Q$13-'Capa DCF - Base'!Q$14)*$B36*(1+'Audit &amp; Checks'!$D$19)+'Capa DCF - Base'!Q$57)*(MAX($C36,'Capa DCF - Base'!$I$61-8*'Audit &amp; Checks'!$D$18)-'Capa DCF - Base'!Q$67)*(1-'Capa DCF - Base'!Q$71)*'Capa DCF - Base'!Q$78</x:f>
        <x:v>641739.2717446258</x:v>
      </x:c>
      <x:c r="S36" s="169" t="n">
        <x:f>('Capa DCF - Base'!R$6*(1-'Capa DCF - Base'!R$13-'Capa DCF - Base'!R$14)*$B36*(1+'Audit &amp; Checks'!$D$19)+'Capa DCF - Base'!R$57)*(MAX($C36,'Capa DCF - Base'!$I$61-9*'Audit &amp; Checks'!$D$18)-'Capa DCF - Base'!R$67)*(1-'Capa DCF - Base'!R$71)*'Capa DCF - Base'!R$78</x:f>
        <x:v>692215.1457471502</x:v>
      </x:c>
      <x:c r="T36" s="169" t="n">
        <x:f>('Capa DCF - Base'!S$6*(1-'Capa DCF - Base'!S$13-'Capa DCF - Base'!S$14)*$B36*(1+'Audit &amp; Checks'!$D$19)+'Capa DCF - Base'!S$57)*(MAX($C36,'Capa DCF - Base'!$I$61-10*'Audit &amp; Checks'!$D$18)-'Capa DCF - Base'!S$67)*(1-'Capa DCF - Base'!S$71)*'Capa DCF - Base'!S$78</x:f>
        <x:v>746729.0896698767</x:v>
      </x:c>
      <x:c r="U36" s="169" t="n">
        <x:f>('Capa DCF - Base'!T$6*(1-'Capa DCF - Base'!T$13-'Capa DCF - Base'!T$14)*$B36*(1+'Audit &amp; Checks'!$D$19)+'Capa DCF - Base'!T$57)*(MAX($C36,'Capa DCF - Base'!$I$61-11*'Audit &amp; Checks'!$D$18)-'Capa DCF - Base'!T$67)*(1-'Capa DCF - Base'!T$71)*'Capa DCF - Base'!T$78</x:f>
        <x:v>805604.149106421</x:v>
      </x:c>
      <x:c r="V36" s="169" t="n">
        <x:f>('Capa DCF - Base'!U$6*(1-'Capa DCF - Base'!U$13-'Capa DCF - Base'!U$14)*$B36*(1+'Audit &amp; Checks'!$D$19)+'Capa DCF - Base'!U$57)*(MAX($C36,'Capa DCF - Base'!$I$61-12*'Audit &amp; Checks'!$D$18)-'Capa DCF - Base'!U$67)*(1-'Capa DCF - Base'!U$71)*'Capa DCF - Base'!U$78</x:f>
        <x:v>869189.2132978892</x:v>
      </x:c>
      <x:c r="W36" s="169" t="n">
        <x:f>('Capa DCF - Base'!V$6*(1-'Capa DCF - Base'!V$13-'Capa DCF - Base'!V$14)*$B36*(1+'Audit &amp; Checks'!$D$19)+'Capa DCF - Base'!V$57)*(MAX($C36,'Capa DCF - Base'!$I$61-13*'Audit &amp; Checks'!$D$18)-'Capa DCF - Base'!V$67)*(1-'Capa DCF - Base'!V$71)*'Capa DCF - Base'!V$78</x:f>
        <x:v>937861.0826246748</x:v>
      </x:c>
      <x:c r="X36" s="169" t="n">
        <x:f>('Capa DCF - Base'!W$6*(1-'Capa DCF - Base'!W$13-'Capa DCF - Base'!W$14)*$B36*(1+'Audit &amp; Checks'!$D$19)+'Capa DCF - Base'!W$57)*(MAX($C36,'Capa DCF - Base'!$I$61-14*'Audit &amp; Checks'!$D$18)-'Capa DCF - Base'!W$67)*(1-'Capa DCF - Base'!W$71)*'Capa DCF - Base'!W$78</x:f>
        <x:v>1012026.7014976031</x:v>
      </x:c>
      <x:c r="Y36" s="169" t="n">
        <x:f>('Capa DCF - Base'!X$6*(1-'Capa DCF - Base'!X$13-'Capa DCF - Base'!X$14)*$B36*(1+'Audit &amp; Checks'!$D$19)+'Capa DCF - Base'!X$57)*(MAX($C36,'Capa DCF - Base'!$I$61-15*'Audit &amp; Checks'!$D$18)-'Capa DCF - Base'!X$67)*(1-'Capa DCF - Base'!X$71)*'Capa DCF - Base'!X$78</x:f>
        <x:v>1092125.569880366</x:v>
      </x:c>
      <x:c r="Z36" s="169" t="n">
        <x:f>('Capa DCF - Base'!Y$6*(1-'Capa DCF - Base'!Y$13-'Capa DCF - Base'!Y$14)*$B36*(1+'Audit &amp; Checks'!$D$19)+'Capa DCF - Base'!Y$57)*(MAX($C36,'Capa DCF - Base'!$I$61-16*'Audit &amp; Checks'!$D$18)-'Capa DCF - Base'!Y$67)*(1-'Capa DCF - Base'!Y$71)*'Capa DCF - Base'!Y$78</x:f>
        <x:v>1178632.3477337498</x:v>
      </x:c>
      <x:c r="AA36" s="169" t="n">
        <x:f>('Capa DCF - Base'!Z$6*(1-'Capa DCF - Base'!Z$13-'Capa DCF - Base'!Z$14)*$B36*(1+'Audit &amp; Checks'!$D$19)+'Capa DCF - Base'!Z$57)*(MAX($C36,'Capa DCF - Base'!$I$61-17*'Audit &amp; Checks'!$D$18)-'Capa DCF - Base'!Z$67)*(1-'Capa DCF - Base'!Z$71)*'Capa DCF - Base'!Z$78</x:f>
        <x:v>1590074.584769255</x:v>
      </x:c>
      <x:c r="AB36" s="169"/>
      <x:c r="AC36" s="169"/>
    </x:row>
    <x:row r="37" ht="18" customHeight="1">
      <x:c r="A37" s="169" t="n">
        <x:v>32</x:v>
      </x:c>
      <x:c r="B37" s="174" t="n">
        <x:f>'Capa DCF - Base'!D102</x:f>
        <x:v>0.65</x:v>
      </x:c>
      <x:c r="C37" s="174" t="n">
        <x:f>'Capa DCF - Base'!F96</x:f>
        <x:v>0.6</x:v>
      </x:c>
      <x:c r="D37" s="169" t="n">
        <x:f>NPV('Capa DCF - Base'!$D$81,'Capa DCF - Base'!$G$79:$I$79)</x:f>
        <x:v>586118.0536624773</x:v>
      </x:c>
      <x:c r="E37" s="169" t="n">
        <x:f>NPV('Capa DCF - Base'!$D$81,K37:AA37)/(1+'Capa DCF - Base'!$D$81)^3</x:f>
        <x:v>3984572.7288723486</x:v>
      </x:c>
      <x:c r="F37" s="169" t="n">
        <x:f>IF('Audit &amp; Checks'!$D$10=1,AA37*(1+'Capa DCF - Base'!$D$83)/('Capa DCF - Base'!$D$81-'Capa DCF - Base'!$D$83),0)</x:f>
        <x:v>22566827.760763653</x:v>
      </x:c>
      <x:c r="G37" s="169" t="n">
        <x:f>F37/(1+'Capa DCF - Base'!$D$81)^'Audit &amp; Checks'!$D$7</x:f>
        <x:v>3354415.1513558663</x:v>
      </x:c>
      <x:c r="H37" s="169" t="n">
        <x:f>SUM(D37:E37,G37)*'Audit &amp; Checks'!$D$9</x:f>
        <x:v>8433257.765684813</x:v>
      </x:c>
      <x:c r="I37" s="173" t="n">
        <x:f>IF('Audit &amp; Checks'!$D$10=1,H37/'Capa DCF - Base'!$D$86,0)</x:f>
        <x:v>349.9277081197018</x:v>
      </x:c>
      <x:c r="J37" s="169"/>
      <x:c r="K37" s="169" t="n">
        <x:f>('Capa DCF - Base'!J$6*(1-'Capa DCF - Base'!J$13-'Capa DCF - Base'!J$14)*'Capa DCF - Base'!J$53*(1+'Audit &amp; Checks'!$D$19)+'Capa DCF - Base'!J$57)*(MAX($C37,'Capa DCF - Base'!$I$61-1*'Audit &amp; Checks'!$D$18)-'Capa DCF - Base'!J$67)*(1-'Capa DCF - Base'!J$71)*'Capa DCF - Base'!J$78</x:f>
        <x:v>403773.32274527336</x:v>
      </x:c>
      <x:c r="L37" s="169" t="n">
        <x:f>('Capa DCF - Base'!K$6*(1-'Capa DCF - Base'!K$13-'Capa DCF - Base'!K$14)*'Capa DCF - Base'!K$53*(1+'Audit &amp; Checks'!$D$19)+'Capa DCF - Base'!K$57)*(MAX($C37,'Capa DCF - Base'!$I$61-2*'Audit &amp; Checks'!$D$18)-'Capa DCF - Base'!K$67)*(1-'Capa DCF - Base'!K$71)*'Capa DCF - Base'!K$78</x:f>
        <x:v>384968.63749367814</x:v>
      </x:c>
      <x:c r="M37" s="169" t="n">
        <x:f>('Capa DCF - Base'!L$6*(1-'Capa DCF - Base'!L$13-'Capa DCF - Base'!L$14)*$B37*(1+'Audit &amp; Checks'!$D$19)+'Capa DCF - Base'!L$57)*(MAX($C37,'Capa DCF - Base'!$I$61-3*'Audit &amp; Checks'!$D$18)-'Capa DCF - Base'!L$67)*(1-'Capa DCF - Base'!L$71)*'Capa DCF - Base'!L$78</x:f>
        <x:v>484021.5660169242</x:v>
      </x:c>
      <x:c r="N37" s="169" t="n">
        <x:f>('Capa DCF - Base'!M$6*(1-'Capa DCF - Base'!M$13-'Capa DCF - Base'!M$14)*$B37*(1+'Audit &amp; Checks'!$D$19)+'Capa DCF - Base'!M$57)*(MAX($C37,'Capa DCF - Base'!$I$61-4*'Audit &amp; Checks'!$D$18)-'Capa DCF - Base'!M$67)*(1-'Capa DCF - Base'!M$71)*'Capa DCF - Base'!M$78</x:f>
        <x:v>516834.48249015317</x:v>
      </x:c>
      <x:c r="O37" s="169" t="n">
        <x:f>('Capa DCF - Base'!N$6*(1-'Capa DCF - Base'!N$13-'Capa DCF - Base'!N$14)*$B37*(1+'Audit &amp; Checks'!$D$19)+'Capa DCF - Base'!N$57)*(MAX($C37,'Capa DCF - Base'!$I$61-5*'Audit &amp; Checks'!$D$18)-'Capa DCF - Base'!N$67)*(1-'Capa DCF - Base'!N$71)*'Capa DCF - Base'!N$78</x:f>
        <x:v>551016.3603797102</x:v>
      </x:c>
      <x:c r="P37" s="169" t="n">
        <x:f>('Capa DCF - Base'!O$6*(1-'Capa DCF - Base'!O$13-'Capa DCF - Base'!O$14)*$B37*(1+'Audit &amp; Checks'!$D$19)+'Capa DCF - Base'!O$57)*(MAX($C37,'Capa DCF - Base'!$I$61-6*'Audit &amp; Checks'!$D$18)-'Capa DCF - Base'!O$67)*(1-'Capa DCF - Base'!O$71)*'Capa DCF - Base'!O$78</x:f>
        <x:v>572947.7106816956</x:v>
      </x:c>
      <x:c r="Q37" s="169" t="n">
        <x:f>('Capa DCF - Base'!P$6*(1-'Capa DCF - Base'!P$13-'Capa DCF - Base'!P$14)*$B37*(1+'Audit &amp; Checks'!$D$19)+'Capa DCF - Base'!P$57)*(MAX($C37,'Capa DCF - Base'!$I$61-7*'Audit &amp; Checks'!$D$18)-'Capa DCF - Base'!P$67)*(1-'Capa DCF - Base'!P$71)*'Capa DCF - Base'!P$78</x:f>
        <x:v>617887.0571939148</x:v>
      </x:c>
      <x:c r="R37" s="169" t="n">
        <x:f>('Capa DCF - Base'!Q$6*(1-'Capa DCF - Base'!Q$13-'Capa DCF - Base'!Q$14)*$B37*(1+'Audit &amp; Checks'!$D$19)+'Capa DCF - Base'!Q$57)*(MAX($C37,'Capa DCF - Base'!$I$61-8*'Audit &amp; Checks'!$D$18)-'Capa DCF - Base'!Q$67)*(1-'Capa DCF - Base'!Q$71)*'Capa DCF - Base'!Q$78</x:f>
        <x:v>666421.5514271115</x:v>
      </x:c>
      <x:c r="S37" s="169" t="n">
        <x:f>('Capa DCF - Base'!R$6*(1-'Capa DCF - Base'!R$13-'Capa DCF - Base'!R$14)*$B37*(1+'Audit &amp; Checks'!$D$19)+'Capa DCF - Base'!R$57)*(MAX($C37,'Capa DCF - Base'!$I$61-9*'Audit &amp; Checks'!$D$18)-'Capa DCF - Base'!R$67)*(1-'Capa DCF - Base'!R$71)*'Capa DCF - Base'!R$78</x:f>
        <x:v>718838.8051989636</x:v>
      </x:c>
      <x:c r="T37" s="169" t="n">
        <x:f>('Capa DCF - Base'!S$6*(1-'Capa DCF - Base'!S$13-'Capa DCF - Base'!S$14)*$B37*(1+'Audit &amp; Checks'!$D$19)+'Capa DCF - Base'!S$57)*(MAX($C37,'Capa DCF - Base'!$I$61-10*'Audit &amp; Checks'!$D$18)-'Capa DCF - Base'!S$67)*(1-'Capa DCF - Base'!S$71)*'Capa DCF - Base'!S$78</x:f>
        <x:v>775449.4392725643</x:v>
      </x:c>
      <x:c r="U37" s="169" t="n">
        <x:f>('Capa DCF - Base'!T$6*(1-'Capa DCF - Base'!T$13-'Capa DCF - Base'!T$14)*$B37*(1+'Audit &amp; Checks'!$D$19)+'Capa DCF - Base'!T$57)*(MAX($C37,'Capa DCF - Base'!$I$61-11*'Audit &amp; Checks'!$D$18)-'Capa DCF - Base'!T$67)*(1-'Capa DCF - Base'!T$71)*'Capa DCF - Base'!T$78</x:f>
        <x:v>836588.9240720527</x:v>
      </x:c>
      <x:c r="V37" s="169" t="n">
        <x:f>('Capa DCF - Base'!U$6*(1-'Capa DCF - Base'!U$13-'Capa DCF - Base'!U$14)*$B37*(1+'Audit &amp; Checks'!$D$19)+'Capa DCF - Base'!U$57)*(MAX($C37,'Capa DCF - Base'!$I$61-12*'Audit &amp; Checks'!$D$18)-'Capa DCF - Base'!U$67)*(1-'Capa DCF - Base'!U$71)*'Capa DCF - Base'!U$78</x:f>
        <x:v>902619.5676555005</x:v>
      </x:c>
      <x:c r="W37" s="169" t="n">
        <x:f>('Capa DCF - Base'!V$6*(1-'Capa DCF - Base'!V$13-'Capa DCF - Base'!V$14)*$B37*(1+'Audit &amp; Checks'!$D$19)+'Capa DCF - Base'!V$57)*(MAX($C37,'Capa DCF - Base'!$I$61-13*'Audit &amp; Checks'!$D$18)-'Capa DCF - Base'!V$67)*(1-'Capa DCF - Base'!V$71)*'Capa DCF - Base'!V$78</x:f>
        <x:v>973932.6627256239</x:v>
      </x:c>
      <x:c r="X37" s="169" t="n">
        <x:f>('Capa DCF - Base'!W$6*(1-'Capa DCF - Base'!W$13-'Capa DCF - Base'!W$14)*$B37*(1+'Audit &amp; Checks'!$D$19)+'Capa DCF - Base'!W$57)*(MAX($C37,'Capa DCF - Base'!$I$61-14*'Audit &amp; Checks'!$D$18)-'Capa DCF - Base'!W$67)*(1-'Capa DCF - Base'!W$71)*'Capa DCF - Base'!W$78</x:f>
        <x:v>1050950.8054013571</x:v>
      </x:c>
      <x:c r="Y37" s="169" t="n">
        <x:f>('Capa DCF - Base'!X$6*(1-'Capa DCF - Base'!X$13-'Capa DCF - Base'!X$14)*$B37*(1+'Audit &amp; Checks'!$D$19)+'Capa DCF - Base'!X$57)*(MAX($C37,'Capa DCF - Base'!$I$61-15*'Audit &amp; Checks'!$D$18)-'Capa DCF - Base'!X$67)*(1-'Capa DCF - Base'!X$71)*'Capa DCF - Base'!X$78</x:f>
        <x:v>1134130.3994911492</x:v>
      </x:c>
      <x:c r="Z37" s="169" t="n">
        <x:f>('Capa DCF - Base'!Y$6*(1-'Capa DCF - Base'!Y$13-'Capa DCF - Base'!Y$14)*$B37*(1+'Audit &amp; Checks'!$D$19)+'Capa DCF - Base'!Y$57)*(MAX($C37,'Capa DCF - Base'!$I$61-16*'Audit &amp; Checks'!$D$18)-'Capa DCF - Base'!Y$67)*(1-'Capa DCF - Base'!Y$71)*'Capa DCF - Base'!Y$78</x:f>
        <x:v>1223964.361108125</x:v>
      </x:c>
      <x:c r="AA37" s="169" t="n">
        <x:f>('Capa DCF - Base'!Z$6*(1-'Capa DCF - Base'!Z$13-'Capa DCF - Base'!Z$14)*$B37*(1+'Audit &amp; Checks'!$D$19)+'Capa DCF - Base'!Z$57)*(MAX($C37,'Capa DCF - Base'!$I$61-17*'Audit &amp; Checks'!$D$18)-'Capa DCF - Base'!Z$67)*(1-'Capa DCF - Base'!Z$71)*'Capa DCF - Base'!Z$78</x:f>
        <x:v>1651231.2995680724</x:v>
      </x:c>
      <x:c r="AB37" s="169"/>
      <x:c r="AC37" s="169"/>
    </x:row>
    <x:row r="38" ht="18" customHeight="1">
      <x:c r="A38" s="169" t="n">
        <x:v>33</x:v>
      </x:c>
      <x:c r="B38" s="174" t="n">
        <x:f>'Capa DCF - Base'!D102</x:f>
        <x:v>0.65</x:v>
      </x:c>
      <x:c r="C38" s="174" t="n">
        <x:f>'Capa DCF - Base'!G96</x:f>
        <x:v>0.62</x:v>
      </x:c>
      <x:c r="D38" s="169" t="n">
        <x:f>NPV('Capa DCF - Base'!$D$81,'Capa DCF - Base'!$G$79:$I$79)</x:f>
        <x:v>586118.0536624773</x:v>
      </x:c>
      <x:c r="E38" s="169" t="n">
        <x:f>NPV('Capa DCF - Base'!$D$81,K38:AA38)/(1+'Capa DCF - Base'!$D$81)^3</x:f>
        <x:v>4083619.629464416</x:v>
      </x:c>
      <x:c r="F38" s="169" t="n">
        <x:f>IF('Audit &amp; Checks'!$D$10=1,AA38*(1+'Capa DCF - Base'!$D$83)/('Capa DCF - Base'!$D$81-'Capa DCF - Base'!$D$83),0)</x:f>
        <x:v>23402636.196347494</x:v>
      </x:c>
      <x:c r="G38" s="169" t="n">
        <x:f>F38/(1+'Capa DCF - Base'!$D$81)^'Audit &amp; Checks'!$D$7</x:f>
        <x:v>3478652.749554232</x:v>
      </x:c>
      <x:c r="H38" s="169" t="n">
        <x:f>SUM(D38:E38,G38)*'Audit &amp; Checks'!$D$9</x:f>
        <x:v>8670859.098599365</x:v>
      </x:c>
      <x:c r="I38" s="173" t="n">
        <x:f>IF('Audit &amp; Checks'!$D$10=1,H38/'Capa DCF - Base'!$D$86,0)</x:f>
        <x:v>359.78668458918526</x:v>
      </x:c>
      <x:c r="J38" s="169"/>
      <x:c r="K38" s="169" t="n">
        <x:f>('Capa DCF - Base'!J$6*(1-'Capa DCF - Base'!J$13-'Capa DCF - Base'!J$14)*'Capa DCF - Base'!J$53*(1+'Audit &amp; Checks'!$D$19)+'Capa DCF - Base'!J$57)*(MAX($C38,'Capa DCF - Base'!$I$61-1*'Audit &amp; Checks'!$D$18)-'Capa DCF - Base'!J$67)*(1-'Capa DCF - Base'!J$71)*'Capa DCF - Base'!J$78</x:f>
        <x:v>403773.32274527336</x:v>
      </x:c>
      <x:c r="L38" s="169" t="n">
        <x:f>('Capa DCF - Base'!K$6*(1-'Capa DCF - Base'!K$13-'Capa DCF - Base'!K$14)*'Capa DCF - Base'!K$53*(1+'Audit &amp; Checks'!$D$19)+'Capa DCF - Base'!K$57)*(MAX($C38,'Capa DCF - Base'!$I$61-2*'Audit &amp; Checks'!$D$18)-'Capa DCF - Base'!K$67)*(1-'Capa DCF - Base'!K$71)*'Capa DCF - Base'!K$78</x:f>
        <x:v>384968.63749367814</x:v>
      </x:c>
      <x:c r="M38" s="169" t="n">
        <x:f>('Capa DCF - Base'!L$6*(1-'Capa DCF - Base'!L$13-'Capa DCF - Base'!L$14)*$B38*(1+'Audit &amp; Checks'!$D$19)+'Capa DCF - Base'!L$57)*(MAX($C38,'Capa DCF - Base'!$I$61-3*'Audit &amp; Checks'!$D$18)-'Capa DCF - Base'!L$67)*(1-'Capa DCF - Base'!L$71)*'Capa DCF - Base'!L$78</x:f>
        <x:v>484021.5660169242</x:v>
      </x:c>
      <x:c r="N38" s="169" t="n">
        <x:f>('Capa DCF - Base'!M$6*(1-'Capa DCF - Base'!M$13-'Capa DCF - Base'!M$14)*$B38*(1+'Audit &amp; Checks'!$D$19)+'Capa DCF - Base'!M$57)*(MAX($C38,'Capa DCF - Base'!$I$61-4*'Audit &amp; Checks'!$D$18)-'Capa DCF - Base'!M$67)*(1-'Capa DCF - Base'!M$71)*'Capa DCF - Base'!M$78</x:f>
        <x:v>516834.48249015317</x:v>
      </x:c>
      <x:c r="O38" s="169" t="n">
        <x:f>('Capa DCF - Base'!N$6*(1-'Capa DCF - Base'!N$13-'Capa DCF - Base'!N$14)*$B38*(1+'Audit &amp; Checks'!$D$19)+'Capa DCF - Base'!N$57)*(MAX($C38,'Capa DCF - Base'!$I$61-5*'Audit &amp; Checks'!$D$18)-'Capa DCF - Base'!N$67)*(1-'Capa DCF - Base'!N$71)*'Capa DCF - Base'!N$78</x:f>
        <x:v>551016.3603797102</x:v>
      </x:c>
      <x:c r="P38" s="169" t="n">
        <x:f>('Capa DCF - Base'!O$6*(1-'Capa DCF - Base'!O$13-'Capa DCF - Base'!O$14)*$B38*(1+'Audit &amp; Checks'!$D$19)+'Capa DCF - Base'!O$57)*(MAX($C38,'Capa DCF - Base'!$I$61-6*'Audit &amp; Checks'!$D$18)-'Capa DCF - Base'!O$67)*(1-'Capa DCF - Base'!O$71)*'Capa DCF - Base'!O$78</x:f>
        <x:v>594167.9962624992</x:v>
      </x:c>
      <x:c r="Q38" s="169" t="n">
        <x:f>('Capa DCF - Base'!P$6*(1-'Capa DCF - Base'!P$13-'Capa DCF - Base'!P$14)*$B38*(1+'Audit &amp; Checks'!$D$19)+'Capa DCF - Base'!P$57)*(MAX($C38,'Capa DCF - Base'!$I$61-7*'Audit &amp; Checks'!$D$18)-'Capa DCF - Base'!P$67)*(1-'Capa DCF - Base'!P$71)*'Capa DCF - Base'!P$78</x:f>
        <x:v>640771.7630159117</x:v>
      </x:c>
      <x:c r="R38" s="169" t="n">
        <x:f>('Capa DCF - Base'!Q$6*(1-'Capa DCF - Base'!Q$13-'Capa DCF - Base'!Q$14)*$B38*(1+'Audit &amp; Checks'!$D$19)+'Capa DCF - Base'!Q$57)*(MAX($C38,'Capa DCF - Base'!$I$61-8*'Audit &amp; Checks'!$D$18)-'Capa DCF - Base'!Q$67)*(1-'Capa DCF - Base'!Q$71)*'Capa DCF - Base'!Q$78</x:f>
        <x:v>691103.8311095971</x:v>
      </x:c>
      <x:c r="S38" s="169" t="n">
        <x:f>('Capa DCF - Base'!R$6*(1-'Capa DCF - Base'!R$13-'Capa DCF - Base'!R$14)*$B38*(1+'Audit &amp; Checks'!$D$19)+'Capa DCF - Base'!R$57)*(MAX($C38,'Capa DCF - Base'!$I$61-9*'Audit &amp; Checks'!$D$18)-'Capa DCF - Base'!R$67)*(1-'Capa DCF - Base'!R$71)*'Capa DCF - Base'!R$78</x:f>
        <x:v>745462.4646507772</x:v>
      </x:c>
      <x:c r="T38" s="169" t="n">
        <x:f>('Capa DCF - Base'!S$6*(1-'Capa DCF - Base'!S$13-'Capa DCF - Base'!S$14)*$B38*(1+'Audit &amp; Checks'!$D$19)+'Capa DCF - Base'!S$57)*(MAX($C38,'Capa DCF - Base'!$I$61-10*'Audit &amp; Checks'!$D$18)-'Capa DCF - Base'!S$67)*(1-'Capa DCF - Base'!S$71)*'Capa DCF - Base'!S$78</x:f>
        <x:v>804169.7888752518</x:v>
      </x:c>
      <x:c r="U38" s="169" t="n">
        <x:f>('Capa DCF - Base'!T$6*(1-'Capa DCF - Base'!T$13-'Capa DCF - Base'!T$14)*$B38*(1+'Audit &amp; Checks'!$D$19)+'Capa DCF - Base'!T$57)*(MAX($C38,'Capa DCF - Base'!$I$61-11*'Audit &amp; Checks'!$D$18)-'Capa DCF - Base'!T$67)*(1-'Capa DCF - Base'!T$71)*'Capa DCF - Base'!T$78</x:f>
        <x:v>867573.6990376844</x:v>
      </x:c>
      <x:c r="V38" s="169" t="n">
        <x:f>('Capa DCF - Base'!U$6*(1-'Capa DCF - Base'!U$13-'Capa DCF - Base'!U$14)*$B38*(1+'Audit &amp; Checks'!$D$19)+'Capa DCF - Base'!U$57)*(MAX($C38,'Capa DCF - Base'!$I$61-12*'Audit &amp; Checks'!$D$18)-'Capa DCF - Base'!U$67)*(1-'Capa DCF - Base'!U$71)*'Capa DCF - Base'!U$78</x:f>
        <x:v>936049.9220131116</x:v>
      </x:c>
      <x:c r="W38" s="169" t="n">
        <x:f>('Capa DCF - Base'!V$6*(1-'Capa DCF - Base'!V$13-'Capa DCF - Base'!V$14)*$B38*(1+'Audit &amp; Checks'!$D$19)+'Capa DCF - Base'!V$57)*(MAX($C38,'Capa DCF - Base'!$I$61-13*'Audit &amp; Checks'!$D$18)-'Capa DCF - Base'!V$67)*(1-'Capa DCF - Base'!V$71)*'Capa DCF - Base'!V$78</x:f>
        <x:v>1010004.2428265731</x:v>
      </x:c>
      <x:c r="X38" s="169" t="n">
        <x:f>('Capa DCF - Base'!W$6*(1-'Capa DCF - Base'!W$13-'Capa DCF - Base'!W$14)*$B38*(1+'Audit &amp; Checks'!$D$19)+'Capa DCF - Base'!W$57)*(MAX($C38,'Capa DCF - Base'!$I$61-14*'Audit &amp; Checks'!$D$18)-'Capa DCF - Base'!W$67)*(1-'Capa DCF - Base'!W$71)*'Capa DCF - Base'!W$78</x:f>
        <x:v>1089874.9093051113</x:v>
      </x:c>
      <x:c r="Y38" s="169" t="n">
        <x:f>('Capa DCF - Base'!X$6*(1-'Capa DCF - Base'!X$13-'Capa DCF - Base'!X$14)*$B38*(1+'Audit &amp; Checks'!$D$19)+'Capa DCF - Base'!X$57)*(MAX($C38,'Capa DCF - Base'!$I$61-15*'Audit &amp; Checks'!$D$18)-'Capa DCF - Base'!X$67)*(1-'Capa DCF - Base'!X$71)*'Capa DCF - Base'!X$78</x:f>
        <x:v>1176135.2291019326</x:v>
      </x:c>
      <x:c r="Z38" s="169" t="n">
        <x:f>('Capa DCF - Base'!Y$6*(1-'Capa DCF - Base'!Y$13-'Capa DCF - Base'!Y$14)*$B38*(1+'Audit &amp; Checks'!$D$19)+'Capa DCF - Base'!Y$57)*(MAX($C38,'Capa DCF - Base'!$I$61-16*'Audit &amp; Checks'!$D$18)-'Capa DCF - Base'!Y$67)*(1-'Capa DCF - Base'!Y$71)*'Capa DCF - Base'!Y$78</x:f>
        <x:v>1269296.3744825</x:v>
      </x:c>
      <x:c r="AA38" s="169" t="n">
        <x:f>('Capa DCF - Base'!Z$6*(1-'Capa DCF - Base'!Z$13-'Capa DCF - Base'!Z$14)*$B38*(1+'Audit &amp; Checks'!$D$19)+'Capa DCF - Base'!Z$57)*(MAX($C38,'Capa DCF - Base'!$I$61-17*'Audit &amp; Checks'!$D$18)-'Capa DCF - Base'!Z$67)*(1-'Capa DCF - Base'!Z$71)*'Capa DCF - Base'!Z$78</x:f>
        <x:v>1712388.01436689</x:v>
      </x:c>
      <x:c r="AB38" s="169"/>
      <x:c r="AC38" s="169"/>
    </x:row>
    <x:row r="39" ht="18" customHeight="1">
      <x:c r="A39" s="169" t="n">
        <x:v>34</x:v>
      </x:c>
      <x:c r="B39" s="174" t="n">
        <x:f>'Capa DCF - Base'!D102</x:f>
        <x:v>0.65</x:v>
      </x:c>
      <x:c r="C39" s="174" t="n">
        <x:f>'Capa DCF - Base'!H96</x:f>
        <x:v>0.64</x:v>
      </x:c>
      <x:c r="D39" s="169" t="n">
        <x:f>NPV('Capa DCF - Base'!$D$81,'Capa DCF - Base'!$G$79:$I$79)</x:f>
        <x:v>586118.0536624773</x:v>
      </x:c>
      <x:c r="E39" s="169" t="n">
        <x:f>NPV('Capa DCF - Base'!$D$81,K39:AA39)/(1+'Capa DCF - Base'!$D$81)^3</x:f>
        <x:v>4191847.0014398205</x:v>
      </x:c>
      <x:c r="F39" s="169" t="n">
        <x:f>IF('Audit &amp; Checks'!$D$10=1,AA39*(1+'Capa DCF - Base'!$D$83)/('Capa DCF - Base'!$D$81-'Capa DCF - Base'!$D$83),0)</x:f>
        <x:v>24238444.63193133</x:v>
      </x:c>
      <x:c r="G39" s="169" t="n">
        <x:f>F39/(1+'Capa DCF - Base'!$D$81)^'Audit &amp; Checks'!$D$7</x:f>
        <x:v>3602890.347752597</x:v>
      </x:c>
      <x:c r="H39" s="169" t="n">
        <x:f>SUM(D39:E39,G39)*'Audit &amp; Checks'!$D$9</x:f>
        <x:v>8918229.547817474</x:v>
      </x:c>
      <x:c r="I39" s="173" t="n">
        <x:f>IF('Audit &amp; Checks'!$D$10=1,H39/'Capa DCF - Base'!$D$86,0)</x:f>
        <x:v>370.05101858163795</x:v>
      </x:c>
      <x:c r="J39" s="169"/>
      <x:c r="K39" s="169" t="n">
        <x:f>('Capa DCF - Base'!J$6*(1-'Capa DCF - Base'!J$13-'Capa DCF - Base'!J$14)*'Capa DCF - Base'!J$53*(1+'Audit &amp; Checks'!$D$19)+'Capa DCF - Base'!J$57)*(MAX($C39,'Capa DCF - Base'!$I$61-1*'Audit &amp; Checks'!$D$18)-'Capa DCF - Base'!J$67)*(1-'Capa DCF - Base'!J$71)*'Capa DCF - Base'!J$78</x:f>
        <x:v>403773.32274527336</x:v>
      </x:c>
      <x:c r="L39" s="169" t="n">
        <x:f>('Capa DCF - Base'!K$6*(1-'Capa DCF - Base'!K$13-'Capa DCF - Base'!K$14)*'Capa DCF - Base'!K$53*(1+'Audit &amp; Checks'!$D$19)+'Capa DCF - Base'!K$57)*(MAX($C39,'Capa DCF - Base'!$I$61-2*'Audit &amp; Checks'!$D$18)-'Capa DCF - Base'!K$67)*(1-'Capa DCF - Base'!K$71)*'Capa DCF - Base'!K$78</x:f>
        <x:v>384968.63749367814</x:v>
      </x:c>
      <x:c r="M39" s="169" t="n">
        <x:f>('Capa DCF - Base'!L$6*(1-'Capa DCF - Base'!L$13-'Capa DCF - Base'!L$14)*$B39*(1+'Audit &amp; Checks'!$D$19)+'Capa DCF - Base'!L$57)*(MAX($C39,'Capa DCF - Base'!$I$61-3*'Audit &amp; Checks'!$D$18)-'Capa DCF - Base'!L$67)*(1-'Capa DCF - Base'!L$71)*'Capa DCF - Base'!L$78</x:f>
        <x:v>484021.5660169242</x:v>
      </x:c>
      <x:c r="N39" s="169" t="n">
        <x:f>('Capa DCF - Base'!M$6*(1-'Capa DCF - Base'!M$13-'Capa DCF - Base'!M$14)*$B39*(1+'Audit &amp; Checks'!$D$19)+'Capa DCF - Base'!M$57)*(MAX($C39,'Capa DCF - Base'!$I$61-4*'Audit &amp; Checks'!$D$18)-'Capa DCF - Base'!M$67)*(1-'Capa DCF - Base'!M$71)*'Capa DCF - Base'!M$78</x:f>
        <x:v>516834.48249015317</x:v>
      </x:c>
      <x:c r="O39" s="169" t="n">
        <x:f>('Capa DCF - Base'!N$6*(1-'Capa DCF - Base'!N$13-'Capa DCF - Base'!N$14)*$B39*(1+'Audit &amp; Checks'!$D$19)+'Capa DCF - Base'!N$57)*(MAX($C39,'Capa DCF - Base'!$I$61-5*'Audit &amp; Checks'!$D$18)-'Capa DCF - Base'!N$67)*(1-'Capa DCF - Base'!N$71)*'Capa DCF - Base'!N$78</x:f>
        <x:v>570695.516107557</x:v>
      </x:c>
      <x:c r="P39" s="169" t="n">
        <x:f>('Capa DCF - Base'!O$6*(1-'Capa DCF - Base'!O$13-'Capa DCF - Base'!O$14)*$B39*(1+'Audit &amp; Checks'!$D$19)+'Capa DCF - Base'!O$57)*(MAX($C39,'Capa DCF - Base'!$I$61-6*'Audit &amp; Checks'!$D$18)-'Capa DCF - Base'!O$67)*(1-'Capa DCF - Base'!O$71)*'Capa DCF - Base'!O$78</x:f>
        <x:v>615388.2818433028</x:v>
      </x:c>
      <x:c r="Q39" s="169" t="n">
        <x:f>('Capa DCF - Base'!P$6*(1-'Capa DCF - Base'!P$13-'Capa DCF - Base'!P$14)*$B39*(1+'Audit &amp; Checks'!$D$19)+'Capa DCF - Base'!P$57)*(MAX($C39,'Capa DCF - Base'!$I$61-7*'Audit &amp; Checks'!$D$18)-'Capa DCF - Base'!P$67)*(1-'Capa DCF - Base'!P$71)*'Capa DCF - Base'!P$78</x:f>
        <x:v>663656.4688379085</x:v>
      </x:c>
      <x:c r="R39" s="169" t="n">
        <x:f>('Capa DCF - Base'!Q$6*(1-'Capa DCF - Base'!Q$13-'Capa DCF - Base'!Q$14)*$B39*(1+'Audit &amp; Checks'!$D$19)+'Capa DCF - Base'!Q$57)*(MAX($C39,'Capa DCF - Base'!$I$61-8*'Audit &amp; Checks'!$D$18)-'Capa DCF - Base'!Q$67)*(1-'Capa DCF - Base'!Q$71)*'Capa DCF - Base'!Q$78</x:f>
        <x:v>715786.1107920827</x:v>
      </x:c>
      <x:c r="S39" s="169" t="n">
        <x:f>('Capa DCF - Base'!R$6*(1-'Capa DCF - Base'!R$13-'Capa DCF - Base'!R$14)*$B39*(1+'Audit &amp; Checks'!$D$19)+'Capa DCF - Base'!R$57)*(MAX($C39,'Capa DCF - Base'!$I$61-9*'Audit &amp; Checks'!$D$18)-'Capa DCF - Base'!R$67)*(1-'Capa DCF - Base'!R$71)*'Capa DCF - Base'!R$78</x:f>
        <x:v>772086.1241025906</x:v>
      </x:c>
      <x:c r="T39" s="169" t="n">
        <x:f>('Capa DCF - Base'!S$6*(1-'Capa DCF - Base'!S$13-'Capa DCF - Base'!S$14)*$B39*(1+'Audit &amp; Checks'!$D$19)+'Capa DCF - Base'!S$57)*(MAX($C39,'Capa DCF - Base'!$I$61-10*'Audit &amp; Checks'!$D$18)-'Capa DCF - Base'!S$67)*(1-'Capa DCF - Base'!S$71)*'Capa DCF - Base'!S$78</x:f>
        <x:v>832890.1384779394</x:v>
      </x:c>
      <x:c r="U39" s="169" t="n">
        <x:f>('Capa DCF - Base'!T$6*(1-'Capa DCF - Base'!T$13-'Capa DCF - Base'!T$14)*$B39*(1+'Audit &amp; Checks'!$D$19)+'Capa DCF - Base'!T$57)*(MAX($C39,'Capa DCF - Base'!$I$61-11*'Audit &amp; Checks'!$D$18)-'Capa DCF - Base'!T$67)*(1-'Capa DCF - Base'!T$71)*'Capa DCF - Base'!T$78</x:f>
        <x:v>898558.4740033159</x:v>
      </x:c>
      <x:c r="V39" s="169" t="n">
        <x:f>('Capa DCF - Base'!U$6*(1-'Capa DCF - Base'!U$13-'Capa DCF - Base'!U$14)*$B39*(1+'Audit &amp; Checks'!$D$19)+'Capa DCF - Base'!U$57)*(MAX($C39,'Capa DCF - Base'!$I$61-12*'Audit &amp; Checks'!$D$18)-'Capa DCF - Base'!U$67)*(1-'Capa DCF - Base'!U$71)*'Capa DCF - Base'!U$78</x:f>
        <x:v>969480.2763707227</x:v>
      </x:c>
      <x:c r="W39" s="169" t="n">
        <x:f>('Capa DCF - Base'!V$6*(1-'Capa DCF - Base'!V$13-'Capa DCF - Base'!V$14)*$B39*(1+'Audit &amp; Checks'!$D$19)+'Capa DCF - Base'!V$57)*(MAX($C39,'Capa DCF - Base'!$I$61-13*'Audit &amp; Checks'!$D$18)-'Capa DCF - Base'!V$67)*(1-'Capa DCF - Base'!V$71)*'Capa DCF - Base'!V$78</x:f>
        <x:v>1046075.8229275221</x:v>
      </x:c>
      <x:c r="X39" s="169" t="n">
        <x:f>('Capa DCF - Base'!W$6*(1-'Capa DCF - Base'!W$13-'Capa DCF - Base'!W$14)*$B39*(1+'Audit &amp; Checks'!$D$19)+'Capa DCF - Base'!W$57)*(MAX($C39,'Capa DCF - Base'!$I$61-14*'Audit &amp; Checks'!$D$18)-'Capa DCF - Base'!W$67)*(1-'Capa DCF - Base'!W$71)*'Capa DCF - Base'!W$78</x:f>
        <x:v>1128799.0132088652</x:v>
      </x:c>
      <x:c r="Y39" s="169" t="n">
        <x:f>('Capa DCF - Base'!X$6*(1-'Capa DCF - Base'!X$13-'Capa DCF - Base'!X$14)*$B39*(1+'Audit &amp; Checks'!$D$19)+'Capa DCF - Base'!X$57)*(MAX($C39,'Capa DCF - Base'!$I$61-15*'Audit &amp; Checks'!$D$18)-'Capa DCF - Base'!X$67)*(1-'Capa DCF - Base'!X$71)*'Capa DCF - Base'!X$78</x:f>
        <x:v>1218140.058712716</x:v>
      </x:c>
      <x:c r="Z39" s="169" t="n">
        <x:f>('Capa DCF - Base'!Y$6*(1-'Capa DCF - Base'!Y$13-'Capa DCF - Base'!Y$14)*$B39*(1+'Audit &amp; Checks'!$D$19)+'Capa DCF - Base'!Y$57)*(MAX($C39,'Capa DCF - Base'!$I$61-16*'Audit &amp; Checks'!$D$18)-'Capa DCF - Base'!Y$67)*(1-'Capa DCF - Base'!Y$71)*'Capa DCF - Base'!Y$78</x:f>
        <x:v>1314628.3878568748</x:v>
      </x:c>
      <x:c r="AA39" s="169" t="n">
        <x:f>('Capa DCF - Base'!Z$6*(1-'Capa DCF - Base'!Z$13-'Capa DCF - Base'!Z$14)*$B39*(1+'Audit &amp; Checks'!$D$19)+'Capa DCF - Base'!Z$57)*(MAX($C39,'Capa DCF - Base'!$I$61-17*'Audit &amp; Checks'!$D$18)-'Capa DCF - Base'!Z$67)*(1-'Capa DCF - Base'!Z$71)*'Capa DCF - Base'!Z$78</x:f>
        <x:v>1773544.7291657075</x:v>
      </x:c>
      <x:c r="AB39" s="169"/>
      <x:c r="AC39" s="169"/>
    </x:row>
    <x:row r="40" ht="18" customHeight="1">
      <x:c r="A40" s="169" t="n">
        <x:v>35</x:v>
      </x:c>
      <x:c r="B40" s="174" t="n">
        <x:f>'Capa DCF - Base'!D102</x:f>
        <x:v>0.65</x:v>
      </x:c>
      <x:c r="C40" s="174" t="n">
        <x:f>'Capa DCF - Base'!I96</x:f>
        <x:v>0.66</x:v>
      </x:c>
      <x:c r="D40" s="169" t="n">
        <x:f>NPV('Capa DCF - Base'!$D$81,'Capa DCF - Base'!$G$79:$I$79)</x:f>
        <x:v>586118.0536624773</x:v>
      </x:c>
      <x:c r="E40" s="169" t="n">
        <x:f>NPV('Capa DCF - Base'!$D$81,K40:AA40)/(1+'Capa DCF - Base'!$D$81)^3</x:f>
        <x:v>4309219.815155618</x:v>
      </x:c>
      <x:c r="F40" s="169" t="n">
        <x:f>IF('Audit &amp; Checks'!$D$10=1,AA40*(1+'Capa DCF - Base'!$D$83)/('Capa DCF - Base'!$D$81-'Capa DCF - Base'!$D$83),0)</x:f>
        <x:v>25074253.067515176</x:v>
      </x:c>
      <x:c r="G40" s="169" t="n">
        <x:f>F40/(1+'Capa DCF - Base'!$D$81)^'Audit &amp; Checks'!$D$7</x:f>
        <x:v>3727127.9459509635</x:v>
      </x:c>
      <x:c r="H40" s="169" t="n">
        <x:f>SUM(D40:E40,G40)*'Audit &amp; Checks'!$D$9</x:f>
        <x:v>9175331.837621836</x:v>
      </x:c>
      <x:c r="I40" s="173" t="n">
        <x:f>IF('Audit &amp; Checks'!$D$10=1,H40/'Capa DCF - Base'!$D$86,0)</x:f>
        <x:v>380.7191633867982</x:v>
      </x:c>
      <x:c r="J40" s="169"/>
      <x:c r="K40" s="169" t="n">
        <x:f>('Capa DCF - Base'!J$6*(1-'Capa DCF - Base'!J$13-'Capa DCF - Base'!J$14)*'Capa DCF - Base'!J$53*(1+'Audit &amp; Checks'!$D$19)+'Capa DCF - Base'!J$57)*(MAX($C40,'Capa DCF - Base'!$I$61-1*'Audit &amp; Checks'!$D$18)-'Capa DCF - Base'!J$67)*(1-'Capa DCF - Base'!J$71)*'Capa DCF - Base'!J$78</x:f>
        <x:v>403773.32274527336</x:v>
      </x:c>
      <x:c r="L40" s="169" t="n">
        <x:f>('Capa DCF - Base'!K$6*(1-'Capa DCF - Base'!K$13-'Capa DCF - Base'!K$14)*'Capa DCF - Base'!K$53*(1+'Audit &amp; Checks'!$D$19)+'Capa DCF - Base'!K$57)*(MAX($C40,'Capa DCF - Base'!$I$61-2*'Audit &amp; Checks'!$D$18)-'Capa DCF - Base'!K$67)*(1-'Capa DCF - Base'!K$71)*'Capa DCF - Base'!K$78</x:f>
        <x:v>384968.63749367814</x:v>
      </x:c>
      <x:c r="M40" s="169" t="n">
        <x:f>('Capa DCF - Base'!L$6*(1-'Capa DCF - Base'!L$13-'Capa DCF - Base'!L$14)*$B40*(1+'Audit &amp; Checks'!$D$19)+'Capa DCF - Base'!L$57)*(MAX($C40,'Capa DCF - Base'!$I$61-3*'Audit &amp; Checks'!$D$18)-'Capa DCF - Base'!L$67)*(1-'Capa DCF - Base'!L$71)*'Capa DCF - Base'!L$78</x:f>
        <x:v>484021.5660169244</x:v>
      </x:c>
      <x:c r="N40" s="169" t="n">
        <x:f>('Capa DCF - Base'!M$6*(1-'Capa DCF - Base'!M$13-'Capa DCF - Base'!M$14)*$B40*(1+'Audit &amp; Checks'!$D$19)+'Capa DCF - Base'!M$57)*(MAX($C40,'Capa DCF - Base'!$I$61-4*'Audit &amp; Checks'!$D$18)-'Capa DCF - Base'!M$67)*(1-'Capa DCF - Base'!M$71)*'Capa DCF - Base'!M$78</x:f>
        <x:v>534656.3611967101</x:v>
      </x:c>
      <x:c r="O40" s="169" t="n">
        <x:f>('Capa DCF - Base'!N$6*(1-'Capa DCF - Base'!N$13-'Capa DCF - Base'!N$14)*$B40*(1+'Audit &amp; Checks'!$D$19)+'Capa DCF - Base'!N$57)*(MAX($C40,'Capa DCF - Base'!$I$61-5*'Audit &amp; Checks'!$D$18)-'Capa DCF - Base'!N$67)*(1-'Capa DCF - Base'!N$71)*'Capa DCF - Base'!N$78</x:f>
        <x:v>590374.6718354038</x:v>
      </x:c>
      <x:c r="P40" s="169" t="n">
        <x:f>('Capa DCF - Base'!O$6*(1-'Capa DCF - Base'!O$13-'Capa DCF - Base'!O$14)*$B40*(1+'Audit &amp; Checks'!$D$19)+'Capa DCF - Base'!O$57)*(MAX($C40,'Capa DCF - Base'!$I$61-6*'Audit &amp; Checks'!$D$18)-'Capa DCF - Base'!O$67)*(1-'Capa DCF - Base'!O$71)*'Capa DCF - Base'!O$78</x:f>
        <x:v>636608.5674241063</x:v>
      </x:c>
      <x:c r="Q40" s="169" t="n">
        <x:f>('Capa DCF - Base'!P$6*(1-'Capa DCF - Base'!P$13-'Capa DCF - Base'!P$14)*$B40*(1+'Audit &amp; Checks'!$D$19)+'Capa DCF - Base'!P$57)*(MAX($C40,'Capa DCF - Base'!$I$61-7*'Audit &amp; Checks'!$D$18)-'Capa DCF - Base'!P$67)*(1-'Capa DCF - Base'!P$71)*'Capa DCF - Base'!P$78</x:f>
        <x:v>686541.1746599054</x:v>
      </x:c>
      <x:c r="R40" s="169" t="n">
        <x:f>('Capa DCF - Base'!Q$6*(1-'Capa DCF - Base'!Q$13-'Capa DCF - Base'!Q$14)*$B40*(1+'Audit &amp; Checks'!$D$19)+'Capa DCF - Base'!Q$57)*(MAX($C40,'Capa DCF - Base'!$I$61-8*'Audit &amp; Checks'!$D$18)-'Capa DCF - Base'!Q$67)*(1-'Capa DCF - Base'!Q$71)*'Capa DCF - Base'!Q$78</x:f>
        <x:v>740468.3904745685</x:v>
      </x:c>
      <x:c r="S40" s="169" t="n">
        <x:f>('Capa DCF - Base'!R$6*(1-'Capa DCF - Base'!R$13-'Capa DCF - Base'!R$14)*$B40*(1+'Audit &amp; Checks'!$D$19)+'Capa DCF - Base'!R$57)*(MAX($C40,'Capa DCF - Base'!$I$61-9*'Audit &amp; Checks'!$D$18)-'Capa DCF - Base'!R$67)*(1-'Capa DCF - Base'!R$71)*'Capa DCF - Base'!R$78</x:f>
        <x:v>798709.7835544042</x:v>
      </x:c>
      <x:c r="T40" s="169" t="n">
        <x:f>('Capa DCF - Base'!S$6*(1-'Capa DCF - Base'!S$13-'Capa DCF - Base'!S$14)*$B40*(1+'Audit &amp; Checks'!$D$19)+'Capa DCF - Base'!S$57)*(MAX($C40,'Capa DCF - Base'!$I$61-10*'Audit &amp; Checks'!$D$18)-'Capa DCF - Base'!S$67)*(1-'Capa DCF - Base'!S$71)*'Capa DCF - Base'!S$78</x:f>
        <x:v>861610.4880806269</x:v>
      </x:c>
      <x:c r="U40" s="169" t="n">
        <x:f>('Capa DCF - Base'!T$6*(1-'Capa DCF - Base'!T$13-'Capa DCF - Base'!T$14)*$B40*(1+'Audit &amp; Checks'!$D$19)+'Capa DCF - Base'!T$57)*(MAX($C40,'Capa DCF - Base'!$I$61-11*'Audit &amp; Checks'!$D$18)-'Capa DCF - Base'!T$67)*(1-'Capa DCF - Base'!T$71)*'Capa DCF - Base'!T$78</x:f>
        <x:v>929543.2489689476</x:v>
      </x:c>
      <x:c r="V40" s="169" t="n">
        <x:f>('Capa DCF - Base'!U$6*(1-'Capa DCF - Base'!U$13-'Capa DCF - Base'!U$14)*$B40*(1+'Audit &amp; Checks'!$D$19)+'Capa DCF - Base'!U$57)*(MAX($C40,'Capa DCF - Base'!$I$61-12*'Audit &amp; Checks'!$D$18)-'Capa DCF - Base'!U$67)*(1-'Capa DCF - Base'!U$71)*'Capa DCF - Base'!U$78</x:f>
        <x:v>1002910.6307283338</x:v>
      </x:c>
      <x:c r="W40" s="169" t="n">
        <x:f>('Capa DCF - Base'!V$6*(1-'Capa DCF - Base'!V$13-'Capa DCF - Base'!V$14)*$B40*(1+'Audit &amp; Checks'!$D$19)+'Capa DCF - Base'!V$57)*(MAX($C40,'Capa DCF - Base'!$I$61-13*'Audit &amp; Checks'!$D$18)-'Capa DCF - Base'!V$67)*(1-'Capa DCF - Base'!V$71)*'Capa DCF - Base'!V$78</x:f>
        <x:v>1082147.4030284712</x:v>
      </x:c>
      <x:c r="X40" s="169" t="n">
        <x:f>('Capa DCF - Base'!W$6*(1-'Capa DCF - Base'!W$13-'Capa DCF - Base'!W$14)*$B40*(1+'Audit &amp; Checks'!$D$19)+'Capa DCF - Base'!W$57)*(MAX($C40,'Capa DCF - Base'!$I$61-14*'Audit &amp; Checks'!$D$18)-'Capa DCF - Base'!W$67)*(1-'Capa DCF - Base'!W$71)*'Capa DCF - Base'!W$78</x:f>
        <x:v>1167723.117112619</x:v>
      </x:c>
      <x:c r="Y40" s="169" t="n">
        <x:f>('Capa DCF - Base'!X$6*(1-'Capa DCF - Base'!X$13-'Capa DCF - Base'!X$14)*$B40*(1+'Audit &amp; Checks'!$D$19)+'Capa DCF - Base'!X$57)*(MAX($C40,'Capa DCF - Base'!$I$61-15*'Audit &amp; Checks'!$D$18)-'Capa DCF - Base'!X$67)*(1-'Capa DCF - Base'!X$71)*'Capa DCF - Base'!X$78</x:f>
        <x:v>1260144.8883234994</x:v>
      </x:c>
      <x:c r="Z40" s="169" t="n">
        <x:f>('Capa DCF - Base'!Y$6*(1-'Capa DCF - Base'!Y$13-'Capa DCF - Base'!Y$14)*$B40*(1+'Audit &amp; Checks'!$D$19)+'Capa DCF - Base'!Y$57)*(MAX($C40,'Capa DCF - Base'!$I$61-16*'Audit &amp; Checks'!$D$18)-'Capa DCF - Base'!Y$67)*(1-'Capa DCF - Base'!Y$71)*'Capa DCF - Base'!Y$78</x:f>
        <x:v>1359960.40123125</x:v>
      </x:c>
      <x:c r="AA40" s="169" t="n">
        <x:f>('Capa DCF - Base'!Z$6*(1-'Capa DCF - Base'!Z$13-'Capa DCF - Base'!Z$14)*$B40*(1+'Audit &amp; Checks'!$D$19)+'Capa DCF - Base'!Z$57)*(MAX($C40,'Capa DCF - Base'!$I$61-17*'Audit &amp; Checks'!$D$18)-'Capa DCF - Base'!Z$67)*(1-'Capa DCF - Base'!Z$71)*'Capa DCF - Base'!Z$78</x:f>
        <x:v>1834701.4439645254</x:v>
      </x:c>
      <x:c r="AB40" s="169"/>
      <x:c r="AC40" s="169"/>
    </x:row>
    <x:row r="41" ht="18" customHeight="1">
      <x:c r="A41" s="169" t="n">
        <x:v>36</x:v>
      </x:c>
      <x:c r="B41" s="174" t="n">
        <x:f>'Capa DCF - Base'!D102</x:f>
        <x:v>0.65</x:v>
      </x:c>
      <x:c r="C41" s="174" t="n">
        <x:f>'Capa DCF - Base'!J96</x:f>
        <x:v>0.68</x:v>
      </x:c>
      <x:c r="D41" s="169" t="n">
        <x:f>NPV('Capa DCF - Base'!$D$81,'Capa DCF - Base'!$G$79:$I$79)</x:f>
        <x:v>586118.0536624773</x:v>
      </x:c>
      <x:c r="E41" s="169" t="n">
        <x:f>NPV('Capa DCF - Base'!$D$81,K41:AA41)/(1+'Capa DCF - Base'!$D$81)^3</x:f>
        <x:v>4435699.880724762</x:v>
      </x:c>
      <x:c r="F41" s="169" t="n">
        <x:f>IF('Audit &amp; Checks'!$D$10=1,AA41*(1+'Capa DCF - Base'!$D$83)/('Capa DCF - Base'!$D$81-'Capa DCF - Base'!$D$83),0)</x:f>
        <x:v>25910061.50309901</x:v>
      </x:c>
      <x:c r="G41" s="169" t="n">
        <x:f>F41/(1+'Capa DCF - Base'!$D$81)^'Audit &amp; Checks'!$D$7</x:f>
        <x:v>3851365.544149328</x:v>
      </x:c>
      <x:c r="H41" s="169" t="n">
        <x:f>SUM(D41:E41,G41)*'Audit &amp; Checks'!$D$9</x:f>
        <x:v>9442125.329418566</x:v>
      </x:c>
      <x:c r="I41" s="173" t="n">
        <x:f>IF('Audit &amp; Checks'!$D$10=1,H41/'Capa DCF - Base'!$D$86,0)</x:f>
        <x:v>391.7894327559571</x:v>
      </x:c>
      <x:c r="J41" s="169"/>
      <x:c r="K41" s="169" t="n">
        <x:f>('Capa DCF - Base'!J$6*(1-'Capa DCF - Base'!J$13-'Capa DCF - Base'!J$14)*'Capa DCF - Base'!J$53*(1+'Audit &amp; Checks'!$D$19)+'Capa DCF - Base'!J$57)*(MAX($C41,'Capa DCF - Base'!$I$61-1*'Audit &amp; Checks'!$D$18)-'Capa DCF - Base'!J$67)*(1-'Capa DCF - Base'!J$71)*'Capa DCF - Base'!J$78</x:f>
        <x:v>403773.32274527336</x:v>
      </x:c>
      <x:c r="L41" s="169" t="n">
        <x:f>('Capa DCF - Base'!K$6*(1-'Capa DCF - Base'!K$13-'Capa DCF - Base'!K$14)*'Capa DCF - Base'!K$53*(1+'Audit &amp; Checks'!$D$19)+'Capa DCF - Base'!K$57)*(MAX($C41,'Capa DCF - Base'!$I$61-2*'Audit &amp; Checks'!$D$18)-'Capa DCF - Base'!K$67)*(1-'Capa DCF - Base'!K$71)*'Capa DCF - Base'!K$78</x:f>
        <x:v>384968.63749367837</x:v>
      </x:c>
      <x:c r="M41" s="169" t="n">
        <x:f>('Capa DCF - Base'!L$6*(1-'Capa DCF - Base'!L$13-'Capa DCF - Base'!L$14)*$B41*(1+'Audit &amp; Checks'!$D$19)+'Capa DCF - Base'!L$57)*(MAX($C41,'Capa DCF - Base'!$I$61-3*'Audit &amp; Checks'!$D$18)-'Capa DCF - Base'!L$67)*(1-'Capa DCF - Base'!L$71)*'Capa DCF - Base'!L$78</x:f>
        <x:v>500155.6182174885</x:v>
      </x:c>
      <x:c r="N41" s="169" t="n">
        <x:f>('Capa DCF - Base'!M$6*(1-'Capa DCF - Base'!M$13-'Capa DCF - Base'!M$14)*$B41*(1+'Audit &amp; Checks'!$D$19)+'Capa DCF - Base'!M$57)*(MAX($C41,'Capa DCF - Base'!$I$61-4*'Audit &amp; Checks'!$D$18)-'Capa DCF - Base'!M$67)*(1-'Capa DCF - Base'!M$71)*'Capa DCF - Base'!M$78</x:f>
        <x:v>552478.2399032674</x:v>
      </x:c>
      <x:c r="O41" s="169" t="n">
        <x:f>('Capa DCF - Base'!N$6*(1-'Capa DCF - Base'!N$13-'Capa DCF - Base'!N$14)*$B41*(1+'Audit &amp; Checks'!$D$19)+'Capa DCF - Base'!N$57)*(MAX($C41,'Capa DCF - Base'!$I$61-5*'Audit &amp; Checks'!$D$18)-'Capa DCF - Base'!N$67)*(1-'Capa DCF - Base'!N$71)*'Capa DCF - Base'!N$78</x:f>
        <x:v>610053.8275632507</x:v>
      </x:c>
      <x:c r="P41" s="169" t="n">
        <x:f>('Capa DCF - Base'!O$6*(1-'Capa DCF - Base'!O$13-'Capa DCF - Base'!O$14)*$B41*(1+'Audit &amp; Checks'!$D$19)+'Capa DCF - Base'!O$57)*(MAX($C41,'Capa DCF - Base'!$I$61-6*'Audit &amp; Checks'!$D$18)-'Capa DCF - Base'!O$67)*(1-'Capa DCF - Base'!O$71)*'Capa DCF - Base'!O$78</x:f>
        <x:v>657828.8530049099</x:v>
      </x:c>
      <x:c r="Q41" s="169" t="n">
        <x:f>('Capa DCF - Base'!P$6*(1-'Capa DCF - Base'!P$13-'Capa DCF - Base'!P$14)*$B41*(1+'Audit &amp; Checks'!$D$19)+'Capa DCF - Base'!P$57)*(MAX($C41,'Capa DCF - Base'!$I$61-7*'Audit &amp; Checks'!$D$18)-'Capa DCF - Base'!P$67)*(1-'Capa DCF - Base'!P$71)*'Capa DCF - Base'!P$78</x:f>
        <x:v>709425.8804819022</x:v>
      </x:c>
      <x:c r="R41" s="169" t="n">
        <x:f>('Capa DCF - Base'!Q$6*(1-'Capa DCF - Base'!Q$13-'Capa DCF - Base'!Q$14)*$B41*(1+'Audit &amp; Checks'!$D$19)+'Capa DCF - Base'!Q$57)*(MAX($C41,'Capa DCF - Base'!$I$61-8*'Audit &amp; Checks'!$D$18)-'Capa DCF - Base'!Q$67)*(1-'Capa DCF - Base'!Q$71)*'Capa DCF - Base'!Q$78</x:f>
        <x:v>765150.670157054</x:v>
      </x:c>
      <x:c r="S41" s="169" t="n">
        <x:f>('Capa DCF - Base'!R$6*(1-'Capa DCF - Base'!R$13-'Capa DCF - Base'!R$14)*$B41*(1+'Audit &amp; Checks'!$D$19)+'Capa DCF - Base'!R$57)*(MAX($C41,'Capa DCF - Base'!$I$61-9*'Audit &amp; Checks'!$D$18)-'Capa DCF - Base'!R$67)*(1-'Capa DCF - Base'!R$71)*'Capa DCF - Base'!R$78</x:f>
        <x:v>825333.4430062176</x:v>
      </x:c>
      <x:c r="T41" s="169" t="n">
        <x:f>('Capa DCF - Base'!S$6*(1-'Capa DCF - Base'!S$13-'Capa DCF - Base'!S$14)*$B41*(1+'Audit &amp; Checks'!$D$19)+'Capa DCF - Base'!S$57)*(MAX($C41,'Capa DCF - Base'!$I$61-10*'Audit &amp; Checks'!$D$18)-'Capa DCF - Base'!S$67)*(1-'Capa DCF - Base'!S$71)*'Capa DCF - Base'!S$78</x:f>
        <x:v>890330.8376833147</x:v>
      </x:c>
      <x:c r="U41" s="169" t="n">
        <x:f>('Capa DCF - Base'!T$6*(1-'Capa DCF - Base'!T$13-'Capa DCF - Base'!T$14)*$B41*(1+'Audit &amp; Checks'!$D$19)+'Capa DCF - Base'!T$57)*(MAX($C41,'Capa DCF - Base'!$I$61-11*'Audit &amp; Checks'!$D$18)-'Capa DCF - Base'!T$67)*(1-'Capa DCF - Base'!T$71)*'Capa DCF - Base'!T$78</x:f>
        <x:v>960528.0239345791</x:v>
      </x:c>
      <x:c r="V41" s="169" t="n">
        <x:f>('Capa DCF - Base'!U$6*(1-'Capa DCF - Base'!U$13-'Capa DCF - Base'!U$14)*$B41*(1+'Audit &amp; Checks'!$D$19)+'Capa DCF - Base'!U$57)*(MAX($C41,'Capa DCF - Base'!$I$61-12*'Audit &amp; Checks'!$D$18)-'Capa DCF - Base'!U$67)*(1-'Capa DCF - Base'!U$71)*'Capa DCF - Base'!U$78</x:f>
        <x:v>1036340.9850859451</x:v>
      </x:c>
      <x:c r="W41" s="169" t="n">
        <x:f>('Capa DCF - Base'!V$6*(1-'Capa DCF - Base'!V$13-'Capa DCF - Base'!V$14)*$B41*(1+'Audit &amp; Checks'!$D$19)+'Capa DCF - Base'!V$57)*(MAX($C41,'Capa DCF - Base'!$I$61-13*'Audit &amp; Checks'!$D$18)-'Capa DCF - Base'!V$67)*(1-'Capa DCF - Base'!V$71)*'Capa DCF - Base'!V$78</x:f>
        <x:v>1118218.98312942</x:v>
      </x:c>
      <x:c r="X41" s="169" t="n">
        <x:f>('Capa DCF - Base'!W$6*(1-'Capa DCF - Base'!W$13-'Capa DCF - Base'!W$14)*$B41*(1+'Audit &amp; Checks'!$D$19)+'Capa DCF - Base'!W$57)*(MAX($C41,'Capa DCF - Base'!$I$61-14*'Audit &amp; Checks'!$D$18)-'Capa DCF - Base'!W$67)*(1-'Capa DCF - Base'!W$71)*'Capa DCF - Base'!W$78</x:f>
        <x:v>1206647.2210163733</x:v>
      </x:c>
      <x:c r="Y41" s="169" t="n">
        <x:f>('Capa DCF - Base'!X$6*(1-'Capa DCF - Base'!X$13-'Capa DCF - Base'!X$14)*$B41*(1+'Audit &amp; Checks'!$D$19)+'Capa DCF - Base'!X$57)*(MAX($C41,'Capa DCF - Base'!$I$61-15*'Audit &amp; Checks'!$D$18)-'Capa DCF - Base'!X$67)*(1-'Capa DCF - Base'!X$71)*'Capa DCF - Base'!X$78</x:f>
        <x:v>1302149.7179342825</x:v>
      </x:c>
      <x:c r="Z41" s="169" t="n">
        <x:f>('Capa DCF - Base'!Y$6*(1-'Capa DCF - Base'!Y$13-'Capa DCF - Base'!Y$14)*$B41*(1+'Audit &amp; Checks'!$D$19)+'Capa DCF - Base'!Y$57)*(MAX($C41,'Capa DCF - Base'!$I$61-16*'Audit &amp; Checks'!$D$18)-'Capa DCF - Base'!Y$67)*(1-'Capa DCF - Base'!Y$71)*'Capa DCF - Base'!Y$78</x:f>
        <x:v>1405292.414605625</x:v>
      </x:c>
      <x:c r="AA41" s="169" t="n">
        <x:f>('Capa DCF - Base'!Z$6*(1-'Capa DCF - Base'!Z$13-'Capa DCF - Base'!Z$14)*$B41*(1+'Audit &amp; Checks'!$D$19)+'Capa DCF - Base'!Z$57)*(MAX($C41,'Capa DCF - Base'!$I$61-17*'Audit &amp; Checks'!$D$18)-'Capa DCF - Base'!Z$67)*(1-'Capa DCF - Base'!Z$71)*'Capa DCF - Base'!Z$78</x:f>
        <x:v>1895858.1587633425</x:v>
      </x:c>
      <x:c r="AB41" s="169"/>
      <x:c r="AC41" s="169"/>
    </x:row>
    <x:row r="42" ht="18" customHeight="1">
      <x:c r="A42" s="169"/>
      <x:c r="B42" s="174"/>
      <x:c r="C42" s="174"/>
      <x:c r="D42" s="169"/>
      <x:c r="E42" s="169"/>
      <x:c r="F42" s="169"/>
      <x:c r="G42" s="169"/>
      <x:c r="H42" s="169"/>
      <x:c r="I42" s="173"/>
      <x:c r="J42" s="169"/>
      <x:c r="K42" s="169"/>
      <x:c r="L42" s="169"/>
      <x:c r="M42" s="169"/>
      <x:c r="N42" s="169"/>
      <x:c r="O42" s="169"/>
      <x:c r="P42" s="169"/>
      <x:c r="Q42" s="169"/>
      <x:c r="R42" s="169"/>
      <x:c r="S42" s="169"/>
      <x:c r="T42" s="169"/>
      <x:c r="U42" s="169"/>
      <x:c r="V42" s="169"/>
      <x:c r="W42" s="169"/>
      <x:c r="X42" s="169"/>
      <x:c r="Y42" s="169"/>
      <x:c r="Z42" s="169"/>
      <x:c r="AA42" s="169"/>
      <x:c r="AB42" s="169"/>
      <x:c r="AC42" s="169"/>
    </x:row>
    <x:row r="43" ht="18" customHeight="1">
      <x:c r="A43" s="169" t="str">
        <x:v>Base</x:v>
      </x:c>
      <x:c r="B43" s="174" t="n">
        <x:f>'Capa DCF - Base'!D92</x:f>
        <x:v>0.5</x:v>
      </x:c>
      <x:c r="C43" s="174" t="n">
        <x:f>'Capa DCF - Base'!D93</x:f>
        <x:v>0.64</x:v>
      </x:c>
      <x:c r="D43" s="169" t="n">
        <x:f>NPV('Capa DCF - Base'!$D$81,'Capa DCF - Base'!$G$79:$I$79)</x:f>
        <x:v>586118.0536624773</x:v>
      </x:c>
      <x:c r="E43" s="169" t="n">
        <x:f>NPV('Capa DCF - Base'!$D$81,K43:AA43)/(1+'Capa DCF - Base'!$D$81)^3</x:f>
        <x:v>3356576.725090921</x:v>
      </x:c>
      <x:c r="F43" s="169" t="n">
        <x:f>IF('Audit &amp; Checks'!$D$10=1,AA43*(1+'Capa DCF - Base'!$D$83)/('Capa DCF - Base'!$D$81-'Capa DCF - Base'!$D$83),0)</x:f>
        <x:v>18692406.80541257</x:v>
      </x:c>
      <x:c r="G43" s="169" t="n">
        <x:f>F43/(1+'Capa DCF - Base'!$D$81)^'Audit &amp; Checks'!$D$7</x:f>
        <x:v>2778507.1640597135</x:v>
      </x:c>
      <x:c r="H43" s="169" t="n">
        <x:f>SUM(D43:E43,G43)*'Audit &amp; Checks'!$D$9</x:f>
        <x:v>7152160.356188157</x:v>
      </x:c>
      <x:c r="I43" s="173" t="n">
        <x:f>IF('Audit &amp; Checks'!$D$10=1,H43/'Capa DCF - Base'!$D$86,0)</x:f>
        <x:v>296.77013926091934</x:v>
      </x:c>
      <x:c r="J43" s="169"/>
      <x:c r="K43" s="169" t="n">
        <x:f>('Capa DCF - Base'!J$6*(1-'Capa DCF - Base'!J$13-'Capa DCF - Base'!J$14)*'Capa DCF - Base'!J$53*(1+'Audit &amp; Checks'!$D$19)+'Capa DCF - Base'!J$57)*(MAX($C43,'Capa DCF - Base'!$I$61-1*'Audit &amp; Checks'!$D$18)-'Capa DCF - Base'!J$67)*(1-'Capa DCF - Base'!J$71)*'Capa DCF - Base'!J$78</x:f>
        <x:v>403773.32274527336</x:v>
      </x:c>
      <x:c r="L43" s="169" t="n">
        <x:f>('Capa DCF - Base'!K$6*(1-'Capa DCF - Base'!K$13-'Capa DCF - Base'!K$14)*'Capa DCF - Base'!K$53*(1+'Audit &amp; Checks'!$D$19)+'Capa DCF - Base'!K$57)*(MAX($C43,'Capa DCF - Base'!$I$61-2*'Audit &amp; Checks'!$D$18)-'Capa DCF - Base'!K$67)*(1-'Capa DCF - Base'!K$71)*'Capa DCF - Base'!K$78</x:f>
        <x:v>384968.63749367814</x:v>
      </x:c>
      <x:c r="M43" s="169" t="n">
        <x:f>('Capa DCF - Base'!L$6*(1-'Capa DCF - Base'!L$13-'Capa DCF - Base'!L$14)*$B43*(1+'Audit &amp; Checks'!$D$19)+'Capa DCF - Base'!L$57)*(MAX($C43,'Capa DCF - Base'!$I$61-3*'Audit &amp; Checks'!$D$18)-'Capa DCF - Base'!L$67)*(1-'Capa DCF - Base'!L$71)*'Capa DCF - Base'!L$78</x:f>
        <x:v>375197.5839307002</x:v>
      </x:c>
      <x:c r="N43" s="169" t="n">
        <x:f>('Capa DCF - Base'!M$6*(1-'Capa DCF - Base'!M$13-'Capa DCF - Base'!M$14)*$B43*(1+'Audit &amp; Checks'!$D$19)+'Capa DCF - Base'!M$57)*(MAX($C43,'Capa DCF - Base'!$I$61-4*'Audit &amp; Checks'!$D$18)-'Capa DCF - Base'!M$67)*(1-'Capa DCF - Base'!M$71)*'Capa DCF - Base'!M$78</x:f>
        <x:v>400342.512164133</x:v>
      </x:c>
      <x:c r="O43" s="169" t="n">
        <x:f>('Capa DCF - Base'!N$6*(1-'Capa DCF - Base'!N$13-'Capa DCF - Base'!N$14)*$B43*(1+'Audit &amp; Checks'!$D$19)+'Capa DCF - Base'!N$57)*(MAX($C43,'Capa DCF - Base'!$I$61-5*'Audit &amp; Checks'!$D$18)-'Capa DCF - Base'!N$67)*(1-'Capa DCF - Base'!N$71)*'Capa DCF - Base'!N$78</x:f>
        <x:v>441774.0764852129</x:v>
      </x:c>
      <x:c r="P43" s="169" t="n">
        <x:f>('Capa DCF - Base'!O$6*(1-'Capa DCF - Base'!O$13-'Capa DCF - Base'!O$14)*$B43*(1+'Audit &amp; Checks'!$D$19)+'Capa DCF - Base'!O$57)*(MAX($C43,'Capa DCF - Base'!$I$61-6*'Audit &amp; Checks'!$D$18)-'Capa DCF - Base'!O$67)*(1-'Capa DCF - Base'!O$71)*'Capa DCF - Base'!O$78</x:f>
        <x:v>476153.1270511712</x:v>
      </x:c>
      <x:c r="Q43" s="169" t="n">
        <x:f>('Capa DCF - Base'!P$6*(1-'Capa DCF - Base'!P$13-'Capa DCF - Base'!P$14)*$B43*(1+'Audit &amp; Checks'!$D$19)+'Capa DCF - Base'!P$57)*(MAX($C43,'Capa DCF - Base'!$I$61-7*'Audit &amp; Checks'!$D$18)-'Capa DCF - Base'!P$67)*(1-'Capa DCF - Base'!P$71)*'Capa DCF - Base'!P$78</x:f>
        <x:v>513282.5016624064</x:v>
      </x:c>
      <x:c r="R43" s="169" t="n">
        <x:f>('Capa DCF - Base'!Q$6*(1-'Capa DCF - Base'!Q$13-'Capa DCF - Base'!Q$14)*$B43*(1+'Audit &amp; Checks'!$D$19)+'Capa DCF - Base'!Q$57)*(MAX($C43,'Capa DCF - Base'!$I$61-8*'Audit &amp; Checks'!$D$18)-'Capa DCF - Base'!Q$67)*(1-'Capa DCF - Base'!Q$71)*'Capa DCF - Base'!Q$78</x:f>
        <x:v>553382.2262425403</x:v>
      </x:c>
      <x:c r="S43" s="169" t="n">
        <x:f>('Capa DCF - Base'!R$6*(1-'Capa DCF - Base'!R$13-'Capa DCF - Base'!R$14)*$B43*(1+'Audit &amp; Checks'!$D$19)+'Capa DCF - Base'!R$57)*(MAX($C43,'Capa DCF - Base'!$I$61-9*'Audit &amp; Checks'!$D$18)-'Capa DCF - Base'!R$67)*(1-'Capa DCF - Base'!R$71)*'Capa DCF - Base'!R$78</x:f>
        <x:v>596689.928789085</x:v>
      </x:c>
      <x:c r="T43" s="169" t="n">
        <x:f>('Capa DCF - Base'!S$6*(1-'Capa DCF - Base'!S$13-'Capa DCF - Base'!S$14)*$B43*(1+'Audit &amp; Checks'!$D$19)+'Capa DCF - Base'!S$57)*(MAX($C43,'Capa DCF - Base'!$I$61-10*'Audit &amp; Checks'!$D$18)-'Capa DCF - Base'!S$67)*(1-'Capa DCF - Base'!S$71)*'Capa DCF - Base'!S$78</x:f>
        <x:v>643462.2475393531</x:v>
      </x:c>
      <x:c r="U43" s="169" t="n">
        <x:f>('Capa DCF - Base'!T$6*(1-'Capa DCF - Base'!T$13-'Capa DCF - Base'!T$14)*$B43*(1+'Audit &amp; Checks'!$D$19)+'Capa DCF - Base'!T$57)*(MAX($C43,'Capa DCF - Base'!$I$61-11*'Audit &amp; Checks'!$D$18)-'Capa DCF - Base'!T$67)*(1-'Capa DCF - Base'!T$71)*'Capa DCF - Base'!T$78</x:f>
        <x:v>693976.3517896427</x:v>
      </x:c>
      <x:c r="V43" s="169" t="n">
        <x:f>('Capa DCF - Base'!U$6*(1-'Capa DCF - Base'!U$13-'Capa DCF - Base'!U$14)*$B43*(1+'Audit &amp; Checks'!$D$19)+'Capa DCF - Base'!U$57)*(MAX($C43,'Capa DCF - Base'!$I$61-12*'Audit &amp; Checks'!$D$18)-'Capa DCF - Base'!U$67)*(1-'Capa DCF - Base'!U$71)*'Capa DCF - Base'!U$78</x:f>
        <x:v>748531.5843799557</x:v>
      </x:c>
      <x:c r="W43" s="169" t="n">
        <x:f>('Capa DCF - Base'!V$6*(1-'Capa DCF - Base'!V$13-'Capa DCF - Base'!V$14)*$B43*(1+'Audit &amp; Checks'!$D$19)+'Capa DCF - Base'!V$57)*(MAX($C43,'Capa DCF - Base'!$I$61-13*'Audit &amp; Checks'!$D$18)-'Capa DCF - Base'!V$67)*(1-'Capa DCF - Base'!V$71)*'Capa DCF - Base'!V$78</x:f>
        <x:v>807451.2355774937</x:v>
      </x:c>
      <x:c r="X43" s="169" t="n">
        <x:f>('Capa DCF - Base'!W$6*(1-'Capa DCF - Base'!W$13-'Capa DCF - Base'!W$14)*$B43*(1+'Audit &amp; Checks'!$D$19)+'Capa DCF - Base'!W$57)*(MAX($C43,'Capa DCF - Base'!$I$61-14*'Audit &amp; Checks'!$D$18)-'Capa DCF - Base'!W$67)*(1-'Capa DCF - Base'!W$71)*'Capa DCF - Base'!W$78</x:f>
        <x:v>871084.4588708346</x:v>
      </x:c>
      <x:c r="Y43" s="169" t="n">
        <x:f>('Capa DCF - Base'!X$6*(1-'Capa DCF - Base'!X$13-'Capa DCF - Base'!X$14)*$B43*(1+'Audit &amp; Checks'!$D$19)+'Capa DCF - Base'!X$57)*(MAX($C43,'Capa DCF - Base'!$I$61-15*'Audit &amp; Checks'!$D$18)-'Capa DCF - Base'!X$67)*(1-'Capa DCF - Base'!X$71)*'Capa DCF - Base'!X$78</x:f>
        <x:v>939808.3400276429</x:v>
      </x:c>
      <x:c r="Z43" s="169" t="n">
        <x:f>('Capa DCF - Base'!Y$6*(1-'Capa DCF - Base'!Y$13-'Capa DCF - Base'!Y$14)*$B43*(1+'Audit &amp; Checks'!$D$19)+'Capa DCF - Base'!Y$57)*(MAX($C43,'Capa DCF - Base'!$I$61-16*'Audit &amp; Checks'!$D$18)-'Capa DCF - Base'!Y$67)*(1-'Capa DCF - Base'!Y$71)*'Capa DCF - Base'!Y$78</x:f>
        <x:v>1014030.1316769958</x:v>
      </x:c>
      <x:c r="AA43" s="169" t="n">
        <x:f>('Capa DCF - Base'!Z$6*(1-'Capa DCF - Base'!Z$13-'Capa DCF - Base'!Z$14)*$B43*(1+'Audit &amp; Checks'!$D$19)+'Capa DCF - Base'!Z$57)*(MAX($C43,'Capa DCF - Base'!$I$61-17*'Audit &amp; Checks'!$D$18)-'Capa DCF - Base'!Z$67)*(1-'Capa DCF - Base'!Z$71)*'Capa DCF - Base'!Z$78</x:f>
        <x:v>1367737.0833228712</x:v>
      </x:c>
      <x:c r="AB43" s="169"/>
      <x:c r="AC43" s="169"/>
    </x:row>
    <x:row r="44" ht="18" customHeight="1">
      <x:c r="A44" s="169"/>
      <x:c r="B44" s="169"/>
      <x:c r="C44" s="169"/>
      <x:c r="D44" s="169"/>
      <x:c r="E44" s="169"/>
      <x:c r="F44" s="169"/>
      <x:c r="G44" s="169"/>
      <x:c r="H44" s="169"/>
      <x:c r="I44" s="169"/>
      <x:c r="J44" s="169"/>
      <x:c r="K44" s="169"/>
      <x:c r="L44" s="169"/>
      <x:c r="M44" s="169"/>
      <x:c r="N44" s="169"/>
      <x:c r="O44" s="169"/>
      <x:c r="P44" s="169"/>
      <x:c r="Q44" s="169"/>
      <x:c r="R44" s="169"/>
      <x:c r="S44" s="169"/>
      <x:c r="T44" s="169"/>
      <x:c r="U44" s="169"/>
      <x:c r="V44" s="169"/>
      <x:c r="W44" s="169"/>
      <x:c r="X44" s="169"/>
      <x:c r="Y44" s="169"/>
      <x:c r="Z44" s="169"/>
      <x:c r="AA44" s="169"/>
      <x:c r="AB44" s="169"/>
      <x:c r="AC44" s="169"/>
    </x:row>
  </x:sheetData>
  <x:mergeCells>
    <x:mergeCell ref="A1:AA1"/>
    <x:mergeCell ref="A2:AA3"/>
  </x:mergeCells>
  <x:pageMargins left="0.7" right="0.7" top="0.75" bottom="0.75" header="0.3" footer="0.3"/>
</x:worksheet>
</file>