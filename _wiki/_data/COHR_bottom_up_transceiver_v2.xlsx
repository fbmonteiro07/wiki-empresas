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AM" sheetId="3" state="visible" r:id="rId3"/>
    <sheet xmlns:r="http://schemas.openxmlformats.org/officeDocument/2006/relationships" name="Calibration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Units" sheetId="6" state="visible" r:id="rId6"/>
    <sheet xmlns:r="http://schemas.openxmlformats.org/officeDocument/2006/relationships" name="Guardrails" sheetId="7" state="visible" r:id="rId7"/>
    <sheet xmlns:r="http://schemas.openxmlformats.org/officeDocument/2006/relationships" name="Benchmar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;(#,##0.0);-"/>
    <numFmt numFmtId="166" formatCode="#,##0;(#,##0);-"/>
    <numFmt numFmtId="167" formatCode="0.00x"/>
    <numFmt numFmtId="168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1F3548"/>
      <sz val="13"/>
    </font>
    <font>
      <name val="Arial"/>
      <i val="1"/>
      <color rgb="00606060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FF"/>
      <sz val="10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548"/>
      </patternFill>
    </fill>
    <fill>
      <patternFill patternType="solid">
        <fgColor rgb="00FFFF00"/>
      </patternFill>
    </fill>
    <fill>
      <patternFill patternType="solid">
        <fgColor rgb="0044637C"/>
      </patternFill>
    </fill>
    <fill>
      <patternFill patternType="solid">
        <fgColor rgb="00EDF1F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4CE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8" fillId="3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4" borderId="0" applyAlignment="1" pivotButton="0" quotePrefix="0" xfId="0">
      <alignment horizontal="left" wrapText="1"/>
    </xf>
    <xf numFmtId="0" fontId="9" fillId="4" borderId="0" applyAlignment="1" pivotButton="0" quotePrefix="0" xfId="0">
      <alignment horizontal="center" wrapText="1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168" fontId="6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10" fontId="4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5" fontId="7" fillId="0" borderId="0" pivotButton="0" quotePrefix="0" xfId="0"/>
    <xf numFmtId="165" fontId="5" fillId="0" borderId="1" pivotButton="0" quotePrefix="0" xfId="0"/>
    <xf numFmtId="166" fontId="7" fillId="0" borderId="0" pivotButton="0" quotePrefix="0" xfId="0"/>
    <xf numFmtId="164" fontId="5" fillId="3" borderId="0" pivotButton="0" quotePrefix="0" xfId="0"/>
    <xf numFmtId="165" fontId="4" fillId="0" borderId="0" pivotButton="0" quotePrefix="0" xfId="0"/>
    <xf numFmtId="164" fontId="4" fillId="0" borderId="0" pivotButton="0" quotePrefix="0" xfId="0"/>
    <xf numFmtId="165" fontId="5" fillId="0" borderId="0" pivotButton="0" quotePrefix="0" xfId="0"/>
    <xf numFmtId="0" fontId="7" fillId="3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166" fontId="7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166" fontId="5" fillId="5" borderId="0" applyAlignment="1" pivotButton="0" quotePrefix="0" xfId="0">
      <alignment horizontal="center"/>
    </xf>
    <xf numFmtId="3" fontId="7" fillId="0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3" fontId="5" fillId="5" borderId="0" applyAlignment="1" pivotButton="0" quotePrefix="0" xfId="0">
      <alignment horizontal="center"/>
    </xf>
    <xf numFmtId="164" fontId="5" fillId="6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8" customWidth="1" min="3" max="3"/>
  </cols>
  <sheetData>
    <row r="1">
      <c r="A1" s="1" t="inlineStr">
        <is>
          <t>COHR — bottom-up transceiver revenue model</t>
        </is>
      </c>
    </row>
    <row r="2">
      <c r="A2" s="2" t="inlineStr">
        <is>
          <t>Units x ASP x share rebuild of Coherent's data-center revenue. Built 2026-08-17. All figures US$m unless noted.</t>
        </is>
      </c>
    </row>
    <row r="4">
      <c r="A4" s="3" t="inlineStr">
        <is>
          <t xml:space="preserve">  WHAT THIS IS</t>
        </is>
      </c>
      <c r="B4" s="4" t="n"/>
      <c r="C4" s="4" t="n"/>
    </row>
    <row r="6">
      <c r="B6" s="5" t="inlineStr">
        <is>
          <t>A bottom-up rebuild of COHR data-center revenue as: global transceiver units x ASP x COHR share, by speed grade.</t>
        </is>
      </c>
    </row>
    <row r="7">
      <c r="B7" s="5" t="inlineStr">
        <is>
          <t>It exists because the Jefferies model (Blayne Curtis, file dated 2026-08-13) and the Capstone house model are both</t>
        </is>
      </c>
    </row>
    <row r="8">
      <c r="B8" s="5" t="inlineStr">
        <is>
          <t>TOP-DOWN — data-center revenue is driven by hand-set q/q growth rates with no unit or share layer underneath.</t>
        </is>
      </c>
    </row>
    <row r="9">
      <c r="B9" s="5" t="inlineStr"/>
    </row>
    <row r="10">
      <c r="B10" s="5" t="inlineStr">
        <is>
          <t>The model is calibrated to three REPORTED anchors, not fitted to any forecast:</t>
        </is>
      </c>
    </row>
    <row r="11">
      <c r="B11" s="6" t="inlineStr">
        <is>
          <t xml:space="preserve">   1.  CY2025 reported data-center revenue                       $2,765.5m</t>
        </is>
      </c>
    </row>
    <row r="12">
      <c r="B12" s="6" t="inlineStr">
        <is>
          <t xml:space="preserve">   2.  1H2026 reported data-center revenue                       $1,971.0m</t>
        </is>
      </c>
    </row>
    <row r="13">
      <c r="B13" s="6" t="inlineStr">
        <is>
          <t xml:space="preserve">   3.  FQ1 FY27 company revenue guide, midpoint                   $2,300.0m   (Sherri Luther, 2026-08-12)</t>
        </is>
      </c>
    </row>
    <row r="14">
      <c r="B14" s="5" t="inlineStr"/>
    </row>
    <row r="15">
      <c r="B15" s="5" t="inlineStr">
        <is>
          <t>It is then checked against an observable NOT used in the fit: management's indium-phosphide laser output growth.</t>
        </is>
      </c>
    </row>
    <row r="17">
      <c r="A17" s="3" t="inlineStr">
        <is>
          <t xml:space="preserve">  HOW TO DRIVE IT</t>
        </is>
      </c>
      <c r="B17" s="4" t="n"/>
      <c r="C17" s="4" t="n"/>
    </row>
    <row r="19">
      <c r="B19" s="5" t="inlineStr">
        <is>
          <t>Every assumption lives on the Inputs tab. Change a BLUE cell and the whole workbook recalculates.</t>
        </is>
      </c>
    </row>
    <row r="20">
      <c r="B20" s="5" t="inlineStr">
        <is>
          <t>Inputs!B4 is the scenario selector — type bear, base or bull. "base" = hold the calibrated Sept-quarter exit-rate share.</t>
        </is>
      </c>
    </row>
    <row r="21">
      <c r="B21" s="5" t="inlineStr">
        <is>
          <t>Check the Guardrails tab after any change; the checks turn PASS / BINDING / FAIL on their own.</t>
        </is>
      </c>
    </row>
    <row r="23">
      <c r="A23" s="3" t="inlineStr">
        <is>
          <t xml:space="preserve">  COLOUR LEGEND</t>
        </is>
      </c>
      <c r="B23" s="4" t="n"/>
      <c r="C23" s="4" t="n"/>
    </row>
    <row r="25">
      <c r="B25" s="7" t="inlineStr">
        <is>
          <t>Blue</t>
        </is>
      </c>
      <c r="C25" s="5" t="inlineStr">
        <is>
          <t>hardcoded input or scenario lever — edit these</t>
        </is>
      </c>
    </row>
    <row r="26">
      <c r="B26" s="5" t="inlineStr">
        <is>
          <t>Black</t>
        </is>
      </c>
      <c r="C26" s="5" t="inlineStr">
        <is>
          <t>formula — do not overwrite</t>
        </is>
      </c>
    </row>
    <row r="27">
      <c r="B27" s="8" t="inlineStr">
        <is>
          <t>Green</t>
        </is>
      </c>
      <c r="C27" s="5" t="inlineStr">
        <is>
          <t>link to another tab</t>
        </is>
      </c>
    </row>
    <row r="28">
      <c r="B28" s="9" t="inlineStr">
        <is>
          <t>Yellow fill</t>
        </is>
      </c>
      <c r="C28" s="5" t="inlineStr">
        <is>
          <t>key assumption / the number the answer hangs on</t>
        </is>
      </c>
    </row>
    <row r="30">
      <c r="A30" s="3" t="inlineStr">
        <is>
          <t xml:space="preserve">  SOURCES</t>
        </is>
      </c>
      <c r="B30" s="4" t="n"/>
      <c r="C30" s="4" t="n"/>
    </row>
    <row r="32">
      <c r="B32" s="6" t="inlineStr">
        <is>
          <t>TAM (units + ASP by speed)</t>
        </is>
      </c>
      <c r="C32" s="5" t="inlineStr">
        <is>
          <t>Goldman Sachs global optical-module model, 2026-08-10. Transcribed in _wiki/themes/optical-cpo.md.</t>
        </is>
      </c>
    </row>
    <row r="33">
      <c r="B33" s="6" t="inlineStr"/>
      <c r="C33" s="2" t="inlineStr">
        <is>
          <t>CAVEAT: the GS note itself is NOT on disk — it was ingested from a pasted exhibit, broker+date confirmed at ingest.</t>
        </is>
      </c>
    </row>
    <row r="34">
      <c r="B34" s="6" t="inlineStr">
        <is>
          <t>Reported actuals + segments</t>
        </is>
      </c>
      <c r="C34" s="5" t="inlineStr">
        <is>
          <t>Company reported, via the Jefferies/Blayne Curtis model Rev tab (file modified 2026-08-13).</t>
        </is>
      </c>
    </row>
    <row r="35">
      <c r="B35" s="6" t="inlineStr">
        <is>
          <t>Guide + capacity statements</t>
        </is>
      </c>
      <c r="C35" s="5" t="inlineStr">
        <is>
          <t>COHR FQ4 FY26 earnings call, 2026-08-12 (Bloomberg final transcript, 2026-08-13).</t>
        </is>
      </c>
    </row>
    <row r="36">
      <c r="B36" s="6" t="inlineStr">
        <is>
          <t>Comms &amp; Industrial segments</t>
        </is>
      </c>
      <c r="C36" s="5" t="inlineStr">
        <is>
          <t>CARRIED from Jefferies — NOT modelled bottom-up. 32% of CY27E revenue.</t>
        </is>
      </c>
    </row>
    <row r="37">
      <c r="B37" s="6" t="inlineStr">
        <is>
          <t>Consensus</t>
        </is>
      </c>
      <c r="C37" s="5" t="inlineStr">
        <is>
          <t>Bloomberg via _wiki/_data/estimates.json, asof 2026-08-17.</t>
        </is>
      </c>
    </row>
    <row r="38">
      <c r="B38" s="6" t="inlineStr">
        <is>
          <t>Capstone house model</t>
        </is>
      </c>
      <c r="C38" s="5" t="inlineStr">
        <is>
          <t>_wiki/_data/house.json — "Modelo COHR.xlsx, 2026-05-26. Built on Jefferies/Blayne Curtis."</t>
        </is>
      </c>
    </row>
    <row r="39">
      <c r="B39" s="6" t="inlineStr">
        <is>
          <t>Competitor share marks</t>
        </is>
      </c>
      <c r="C39" s="5" t="inlineStr">
        <is>
          <t>Innolight ~27% of DC transceivers (Damnang, 2026-08-04); COHR ranked #2 (Bernstein, 2025-10-27).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3" customWidth="1" min="7" max="7"/>
    <col width="74" customWidth="1" min="8" max="8"/>
  </cols>
  <sheetData>
    <row r="1">
      <c r="A1" s="1" t="inlineStr">
        <is>
          <t>Inputs — every assumption in the model</t>
        </is>
      </c>
    </row>
    <row r="2">
      <c r="A2" s="2" t="inlineStr">
        <is>
          <t>BLUE = edit me. Tags: HARD = sourced exactly · ANCHOR = observable used to calibrate · EST = analyst estimate.</t>
        </is>
      </c>
    </row>
    <row r="4">
      <c r="A4" s="3" t="inlineStr">
        <is>
          <t xml:space="preserve">  SCENARIO</t>
        </is>
      </c>
      <c r="B4" s="4" t="n"/>
      <c r="C4" s="4" t="n"/>
      <c r="D4" s="4" t="n"/>
      <c r="E4" s="4" t="n"/>
      <c r="F4" s="4" t="n"/>
      <c r="G4" s="4" t="n"/>
      <c r="H4" s="4" t="n"/>
    </row>
    <row r="6">
      <c r="B6" s="6" t="inlineStr">
        <is>
          <t>Scenario  (type: bear / base / bull)</t>
        </is>
      </c>
      <c r="C6" s="10" t="inlineStr">
        <is>
          <t>base</t>
        </is>
      </c>
      <c r="H6" s="2" t="inlineStr">
        <is>
          <t>base = hold the calibrated Sept-quarter exit-rate share flat. No share gain assumed.</t>
        </is>
      </c>
    </row>
    <row r="7">
      <c r="B7" s="5" t="inlineStr">
        <is>
          <t>Bear — CY27 share of AI pool</t>
        </is>
      </c>
      <c r="C7" s="11" t="n">
        <v>0.122</v>
      </c>
      <c r="H7" s="2" t="inlineStr">
        <is>
          <t>share slips back to the 1H26 InP-constrained level</t>
        </is>
      </c>
    </row>
    <row r="8">
      <c r="B8" s="5" t="inlineStr">
        <is>
          <t>Bear — CY28 share of AI pool</t>
        </is>
      </c>
      <c r="C8" s="11" t="n">
        <v>0.115</v>
      </c>
    </row>
    <row r="9">
      <c r="B9" s="5" t="inlineStr">
        <is>
          <t>Bull — CY27 share of AI pool</t>
        </is>
      </c>
      <c r="C9" s="11" t="n">
        <v>0.165</v>
      </c>
      <c r="H9" s="2" t="inlineStr">
        <is>
          <t>6-inch InP lands + China restrictions hand over share</t>
        </is>
      </c>
    </row>
    <row r="10">
      <c r="B10" s="5" t="inlineStr">
        <is>
          <t>Bull — CY28 share of AI pool</t>
        </is>
      </c>
      <c r="C10" s="11" t="n">
        <v>0.185</v>
      </c>
    </row>
    <row r="12">
      <c r="A12" s="3" t="inlineStr">
        <is>
          <t xml:space="preserve">  REPORTED ACTUALS  [HARD]</t>
        </is>
      </c>
      <c r="B12" s="4" t="n"/>
      <c r="C12" s="4" t="n"/>
      <c r="D12" s="4" t="n"/>
      <c r="E12" s="4" t="n"/>
      <c r="F12" s="4" t="n"/>
      <c r="G12" s="4" t="n"/>
      <c r="H12" s="4" t="n"/>
    </row>
    <row r="14">
      <c r="B14" s="5" t="inlineStr">
        <is>
          <t>Data-center revenue, CY2025</t>
        </is>
      </c>
      <c r="C14" s="12" t="n">
        <v>2765.5</v>
      </c>
      <c r="H14" s="2" t="inlineStr">
        <is>
          <t>sum of four reported quarters: 639.8 + 659.0 + 686.7 + 780.0</t>
        </is>
      </c>
    </row>
    <row r="15">
      <c r="B15" s="5" t="inlineStr">
        <is>
          <t>Data-center revenue, 1H2026</t>
        </is>
      </c>
      <c r="C15" s="12" t="n">
        <v>1971</v>
      </c>
      <c r="H15" s="2" t="inlineStr">
        <is>
          <t>878.0 + 1,093.0. Ties to mgmt: DC +24% q/q, +66% y/y in FQ4</t>
        </is>
      </c>
    </row>
    <row r="16">
      <c r="B16" s="5" t="inlineStr">
        <is>
          <t>Data-center revenue, CQ3-2025</t>
        </is>
      </c>
      <c r="C16" s="12" t="n">
        <v>686.7</v>
      </c>
      <c r="H16" s="2" t="inlineStr">
        <is>
          <t>the y/y base for the September-quarter growth guardrail</t>
        </is>
      </c>
    </row>
    <row r="17">
      <c r="B17" s="5" t="inlineStr">
        <is>
          <t>Data-center revenue, CY2023</t>
        </is>
      </c>
      <c r="C17" s="12" t="n">
        <v>1079.2</v>
      </c>
      <c r="H17" s="2" t="inlineStr">
        <is>
          <t>pre-800G, so ~100% legacy — the floor anchor for the legacy line</t>
        </is>
      </c>
    </row>
    <row r="18">
      <c r="B18" s="5" t="inlineStr">
        <is>
          <t>Total revenue, CY2025</t>
        </is>
      </c>
      <c r="C18" s="12" t="n">
        <v>6294.3</v>
      </c>
      <c r="H18" s="2" t="inlineStr"/>
    </row>
    <row r="20">
      <c r="A20" s="3" t="inlineStr">
        <is>
          <t xml:space="preserve">  COMPANY GUIDE — FQ1 FY27 (= CQ3-2026)  [ANCHOR]</t>
        </is>
      </c>
      <c r="B20" s="4" t="n"/>
      <c r="C20" s="4" t="n"/>
      <c r="D20" s="4" t="n"/>
      <c r="E20" s="4" t="n"/>
      <c r="F20" s="4" t="n"/>
      <c r="G20" s="4" t="n"/>
      <c r="H20" s="4" t="n"/>
    </row>
    <row r="22">
      <c r="B22" s="5" t="inlineStr">
        <is>
          <t>Total revenue guide, midpoint</t>
        </is>
      </c>
      <c r="C22" s="12" t="n">
        <v>2300</v>
      </c>
      <c r="H22" s="2" t="inlineStr">
        <is>
          <t>guide range $2.2-2.4bn. CFO Sherri Luther, FQ4 FY26 call 2026-08-12</t>
        </is>
      </c>
    </row>
    <row r="23">
      <c r="B23" s="5" t="inlineStr">
        <is>
          <t>less: Comms, CQ3-26</t>
        </is>
      </c>
      <c r="C23" s="12" t="n">
        <v>495</v>
      </c>
      <c r="H23" s="2" t="inlineStr">
        <is>
          <t>Jefferies estimate — NOT guidance. See Guardrails check 6</t>
        </is>
      </c>
    </row>
    <row r="24">
      <c r="B24" s="5" t="inlineStr">
        <is>
          <t>less: Semi Devices, CQ3-26</t>
        </is>
      </c>
      <c r="C24" s="12" t="n">
        <v>69.8</v>
      </c>
      <c r="H24" s="2" t="inlineStr">
        <is>
          <t>RESTORED in v2 - v1 dropped this and mixed the calibration basis</t>
        </is>
      </c>
    </row>
    <row r="25">
      <c r="B25" s="5" t="inlineStr">
        <is>
          <t>less: Industrial, CQ3-26</t>
        </is>
      </c>
      <c r="C25" s="12" t="n">
        <v>434.8</v>
      </c>
      <c r="H25" s="2" t="inlineStr">
        <is>
          <t>Jefferies estimate — NOT guidance</t>
        </is>
      </c>
    </row>
    <row r="27">
      <c r="A27" s="3" t="inlineStr">
        <is>
          <t xml:space="preserve">  ANALYST ESTIMATES  [EST] — this is the model's exposure</t>
        </is>
      </c>
      <c r="B27" s="4" t="n"/>
      <c r="C27" s="4" t="n"/>
      <c r="D27" s="4" t="n"/>
      <c r="E27" s="4" t="n"/>
      <c r="F27" s="4" t="n"/>
      <c r="G27" s="4" t="n"/>
      <c r="H27" s="4" t="n"/>
    </row>
    <row r="29">
      <c r="B29" s="5" t="inlineStr">
        <is>
          <t>Legacy datacom (400G &amp; below), CY25</t>
        </is>
      </c>
      <c r="C29" s="13" t="n">
        <v>850</v>
      </c>
      <c r="H29" s="2" t="inlineStr">
        <is>
          <t>bracketed below by CY23 actual, above by the InP guardrail ($1,106m max)</t>
        </is>
      </c>
    </row>
    <row r="30">
      <c r="B30" s="5" t="inlineStr">
        <is>
          <t>Legacy decay, CY26</t>
        </is>
      </c>
      <c r="C30" s="11" t="n">
        <v>0.75</v>
      </c>
      <c r="H30" s="2" t="inlineStr">
        <is>
          <t>y/y factor as 400G rolls over</t>
        </is>
      </c>
    </row>
    <row r="31">
      <c r="B31" s="5" t="inlineStr">
        <is>
          <t>Legacy decay, CY27</t>
        </is>
      </c>
      <c r="C31" s="11" t="n">
        <v>0.8</v>
      </c>
      <c r="H31" s="2" t="inlineStr"/>
    </row>
    <row r="32">
      <c r="B32" s="5" t="inlineStr">
        <is>
          <t>Legacy decay, CY28</t>
        </is>
      </c>
      <c r="C32" s="11" t="n">
        <v>0.82</v>
      </c>
      <c r="H32" s="2" t="inlineStr"/>
    </row>
    <row r="33">
      <c r="B33" s="5" t="inlineStr">
        <is>
          <t>Non-module DC, CY25</t>
        </is>
      </c>
      <c r="C33" s="13" t="n">
        <v>40</v>
      </c>
      <c r="H33" s="2" t="inlineStr">
        <is>
          <t>OCS pilot volumes only</t>
        </is>
      </c>
    </row>
    <row r="34">
      <c r="B34" s="5" t="inlineStr">
        <is>
          <t>Non-module DC, CY26</t>
        </is>
      </c>
      <c r="C34" s="13" t="n">
        <v>160</v>
      </c>
      <c r="H34" s="2" t="inlineStr">
        <is>
          <t>OCS ramping + first CPO revenue in the December quarter</t>
        </is>
      </c>
    </row>
    <row r="35">
      <c r="B35" s="5" t="inlineStr">
        <is>
          <t>Non-module DC, CY27</t>
        </is>
      </c>
      <c r="C35" s="13" t="n">
        <v>775</v>
      </c>
      <c r="H35" s="2" t="inlineStr">
        <is>
          <t>OCS + CPO scale-up (2H CY27) + multi-rail (1H CY27) + ThermaDyte</t>
        </is>
      </c>
    </row>
    <row r="36">
      <c r="B36" s="5" t="inlineStr">
        <is>
          <t>Non-module DC, CY28</t>
        </is>
      </c>
      <c r="C36" s="13" t="n">
        <v>1850</v>
      </c>
      <c r="H36" s="2" t="inlineStr">
        <is>
          <t>back-cast from mgmt TAMs: OCS &gt;$4bn by 2030, multi-rail &gt;$2bn by 2030</t>
        </is>
      </c>
    </row>
    <row r="37">
      <c r="B37" s="5" t="inlineStr">
        <is>
          <t>CQ3-26 share of CY26 non-module</t>
        </is>
      </c>
      <c r="C37" s="11" t="n">
        <v>0.3</v>
      </c>
      <c r="H37" s="2" t="inlineStr">
        <is>
          <t>phasing only</t>
        </is>
      </c>
    </row>
    <row r="38">
      <c r="B38" s="5" t="inlineStr">
        <is>
          <t>pi — COHR ASP / market blended ASP</t>
        </is>
      </c>
      <c r="C38" s="14" t="n">
        <v>1.15</v>
      </c>
      <c r="H38" s="2" t="inlineStr">
        <is>
          <t>CANCELS from every growth rate; sets the unit LEVEL only</t>
        </is>
      </c>
    </row>
    <row r="40">
      <c r="A40" s="3" t="inlineStr">
        <is>
          <t xml:space="preserve">  COHR SPEED MIX — share of its own AI-module dollars  [EST]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F41" s="15" t="inlineStr">
        <is>
          <t>check</t>
        </is>
      </c>
    </row>
    <row r="42">
      <c r="B42" s="16" t="inlineStr"/>
      <c r="C42" s="17" t="inlineStr">
        <is>
          <t>800G</t>
        </is>
      </c>
      <c r="D42" s="17" t="inlineStr">
        <is>
          <t>1.6T</t>
        </is>
      </c>
      <c r="E42" s="17" t="inlineStr">
        <is>
          <t>3.2T</t>
        </is>
      </c>
      <c r="H42" s="2" t="inlineStr">
        <is>
          <t>NOT the market mix. COHR is 1.6T-skewed: "1.6T is ramping incredibly fast" (Anderson, 2026-08-12),</t>
        </is>
      </c>
    </row>
    <row r="43">
      <c r="B43" s="5" t="inlineStr">
        <is>
          <t>CY2025</t>
        </is>
      </c>
      <c r="C43" s="11" t="n">
        <v>0.8</v>
      </c>
      <c r="D43" s="11" t="n">
        <v>0.2</v>
      </c>
      <c r="E43" s="11" t="n">
        <v>0</v>
      </c>
      <c r="F43" s="18">
        <f>SUM(C43:E43)</f>
        <v/>
      </c>
      <c r="H43" s="2" t="inlineStr">
        <is>
          <t>and 1.6T is EML/InP-led — exactly where COHR's vertical integration sits. This is the BINDING assumption.</t>
        </is>
      </c>
    </row>
    <row r="44">
      <c r="B44" s="5" t="inlineStr">
        <is>
          <t>CY2026</t>
        </is>
      </c>
      <c r="C44" s="11" t="n">
        <v>0.35</v>
      </c>
      <c r="D44" s="11" t="n">
        <v>0.65</v>
      </c>
      <c r="E44" s="11" t="n">
        <v>0</v>
      </c>
      <c r="F44" s="18">
        <f>SUM(C44:E44)</f>
        <v/>
      </c>
    </row>
    <row r="45">
      <c r="B45" s="5" t="inlineStr">
        <is>
          <t>CY2027</t>
        </is>
      </c>
      <c r="C45" s="11" t="n">
        <v>0.2</v>
      </c>
      <c r="D45" s="11" t="n">
        <v>0.68</v>
      </c>
      <c r="E45" s="11" t="n">
        <v>0.12</v>
      </c>
      <c r="F45" s="18">
        <f>SUM(C45:E45)</f>
        <v/>
      </c>
    </row>
    <row r="46">
      <c r="B46" s="5" t="inlineStr">
        <is>
          <t>CY2028</t>
        </is>
      </c>
      <c r="C46" s="11" t="n">
        <v>0.13</v>
      </c>
      <c r="D46" s="11" t="n">
        <v>0.6</v>
      </c>
      <c r="E46" s="11" t="n">
        <v>0.27</v>
      </c>
      <c r="F46" s="18">
        <f>SUM(C46:E46)</f>
        <v/>
      </c>
    </row>
    <row r="48">
      <c r="A48" s="3" t="inlineStr">
        <is>
          <t xml:space="preserve">  CARRIED FROM JEFFERIES — not modelled here</t>
        </is>
      </c>
      <c r="B48" s="4" t="n"/>
      <c r="C48" s="4" t="n"/>
      <c r="D48" s="4" t="n"/>
      <c r="E48" s="4" t="n"/>
      <c r="F48" s="4" t="n"/>
      <c r="G48" s="4" t="n"/>
      <c r="H48" s="4" t="n"/>
    </row>
    <row r="50">
      <c r="B50" s="16" t="inlineStr"/>
      <c r="C50" s="17" t="inlineStr">
        <is>
          <t>CY2026E</t>
        </is>
      </c>
      <c r="D50" s="17" t="inlineStr">
        <is>
          <t>CY2027E</t>
        </is>
      </c>
      <c r="E50" s="17" t="inlineStr">
        <is>
          <t>CY2028E</t>
        </is>
      </c>
      <c r="H50" s="2" t="inlineStr">
        <is>
          <t>Jefferies/Blayne Curtis model, Rev tab, file modified 2026-08-13. Together 32% of CY27E revenue.</t>
        </is>
      </c>
    </row>
    <row r="51">
      <c r="B51" s="5" t="inlineStr">
        <is>
          <t>Comms (DCI/ZR + telecom)</t>
        </is>
      </c>
      <c r="C51" s="12" t="n">
        <v>1896.5</v>
      </c>
      <c r="D51" s="12" t="n">
        <v>2542.8</v>
      </c>
      <c r="E51" s="12" t="n">
        <v>3051.4</v>
      </c>
    </row>
    <row r="52">
      <c r="B52" s="5" t="inlineStr">
        <is>
          <t>Semi Devices</t>
        </is>
      </c>
      <c r="C52" s="12" t="n">
        <v>287</v>
      </c>
      <c r="D52" s="12" t="n">
        <v>280.7</v>
      </c>
      <c r="E52" s="12" t="n">
        <v>280.7</v>
      </c>
    </row>
    <row r="53">
      <c r="B53" s="5" t="inlineStr">
        <is>
          <t>Industrial</t>
        </is>
      </c>
      <c r="C53" s="12" t="n">
        <v>1748.4</v>
      </c>
      <c r="D53" s="12" t="n">
        <v>1801</v>
      </c>
      <c r="E53" s="12" t="n">
        <v>1855</v>
      </c>
    </row>
    <row r="55">
      <c r="A55" s="3" t="inlineStr">
        <is>
          <t xml:space="preserve">  BENCHMARK FORECASTS</t>
        </is>
      </c>
      <c r="B55" s="4" t="n"/>
      <c r="C55" s="4" t="n"/>
      <c r="D55" s="4" t="n"/>
      <c r="E55" s="4" t="n"/>
      <c r="F55" s="4" t="n"/>
      <c r="G55" s="4" t="n"/>
      <c r="H55" s="4" t="n"/>
    </row>
    <row r="57">
      <c r="B57" s="16" t="inlineStr"/>
      <c r="C57" s="17" t="inlineStr">
        <is>
          <t>CY2026E</t>
        </is>
      </c>
      <c r="D57" s="17" t="inlineStr">
        <is>
          <t>CY2027E</t>
        </is>
      </c>
      <c r="E57" s="17" t="inlineStr">
        <is>
          <t>CY2028E</t>
        </is>
      </c>
    </row>
    <row r="58">
      <c r="B58" s="5" t="inlineStr">
        <is>
          <t>Jefferies · Curtis, 2026-08-13</t>
        </is>
      </c>
      <c r="C58" s="12" t="n">
        <v>8683.5</v>
      </c>
      <c r="D58" s="12" t="n">
        <v>12251.9</v>
      </c>
      <c r="E58" s="12" t="n">
        <v>15203.4</v>
      </c>
    </row>
    <row r="59">
      <c r="B59" s="5" t="inlineStr">
        <is>
          <t>BBG consensus, 2026-08-17</t>
        </is>
      </c>
      <c r="C59" s="12" t="n">
        <v>8605.700000000001</v>
      </c>
      <c r="D59" s="12" t="n">
        <v>12612</v>
      </c>
      <c r="E59" s="19" t="inlineStr">
        <is>
          <t>n/a</t>
        </is>
      </c>
    </row>
    <row r="60">
      <c r="B60" s="5" t="inlineStr">
        <is>
          <t>Capstone house, 2026-05-26</t>
        </is>
      </c>
      <c r="C60" s="12" t="n">
        <v>9100</v>
      </c>
      <c r="D60" s="12" t="n">
        <v>16600</v>
      </c>
      <c r="E60" s="12" t="n">
        <v>19600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  <col width="66" customWidth="1" min="13" max="13"/>
  </cols>
  <sheetData>
    <row r="1">
      <c r="A1" s="1" t="inlineStr">
        <is>
          <t>TAM — global optical-module market by speed grade  [HARD]</t>
        </is>
      </c>
    </row>
    <row r="2">
      <c r="A2" s="2" t="inlineStr">
        <is>
          <t>Goldman Sachs, 2026-08-10. Units and ASP are as printed by GS; dollars are as printed. The foot check below is genuine, not circular.</t>
        </is>
      </c>
    </row>
    <row r="4">
      <c r="A4" s="3" t="inlineStr">
        <is>
          <t xml:space="preserve">  UNITS (k)                                                        ASP (US$)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B5" s="16" t="inlineStr"/>
      <c r="C5" s="17" t="inlineStr">
        <is>
          <t>CY2025</t>
        </is>
      </c>
      <c r="D5" s="17" t="inlineStr">
        <is>
          <t>CY2026E</t>
        </is>
      </c>
      <c r="E5" s="17" t="inlineStr">
        <is>
          <t>CY2027E</t>
        </is>
      </c>
      <c r="F5" s="17" t="inlineStr">
        <is>
          <t>CY2028E</t>
        </is>
      </c>
      <c r="H5" s="16" t="inlineStr">
        <is>
          <t>CY2025</t>
        </is>
      </c>
      <c r="I5" s="17" t="inlineStr">
        <is>
          <t>CY2026E</t>
        </is>
      </c>
      <c r="J5" s="17" t="inlineStr">
        <is>
          <t>CY2027E</t>
        </is>
      </c>
      <c r="K5" s="17" t="inlineStr">
        <is>
          <t>CY2028E</t>
        </is>
      </c>
    </row>
    <row r="6">
      <c r="B6" s="5" t="inlineStr">
        <is>
          <t>400G</t>
        </is>
      </c>
      <c r="C6" s="20" t="n">
        <v>18301</v>
      </c>
      <c r="D6" s="20" t="n">
        <v>8295</v>
      </c>
      <c r="E6" s="20" t="n">
        <v>5268</v>
      </c>
      <c r="F6" s="20" t="n">
        <v>2007</v>
      </c>
      <c r="H6" s="21" t="n">
        <v>230</v>
      </c>
      <c r="I6" s="21" t="n">
        <v>210</v>
      </c>
      <c r="J6" s="21" t="n">
        <v>184</v>
      </c>
      <c r="K6" s="21" t="n">
        <v>143</v>
      </c>
    </row>
    <row r="7">
      <c r="B7" s="5" t="inlineStr">
        <is>
          <t>800G</t>
        </is>
      </c>
      <c r="C7" s="20" t="n">
        <v>21178</v>
      </c>
      <c r="D7" s="20" t="n">
        <v>34183</v>
      </c>
      <c r="E7" s="20" t="n">
        <v>44993</v>
      </c>
      <c r="F7" s="20" t="n">
        <v>44047</v>
      </c>
      <c r="H7" s="21" t="n">
        <v>440</v>
      </c>
      <c r="I7" s="21" t="n">
        <v>396</v>
      </c>
      <c r="J7" s="21" t="n">
        <v>327</v>
      </c>
      <c r="K7" s="21" t="n">
        <v>244</v>
      </c>
    </row>
    <row r="8">
      <c r="B8" s="5" t="inlineStr">
        <is>
          <t>1.6T</t>
        </is>
      </c>
      <c r="C8" s="20" t="n">
        <v>4591</v>
      </c>
      <c r="D8" s="20" t="n">
        <v>25500</v>
      </c>
      <c r="E8" s="20" t="n">
        <v>45719</v>
      </c>
      <c r="F8" s="20" t="n">
        <v>53525</v>
      </c>
      <c r="H8" s="21" t="n">
        <v>840</v>
      </c>
      <c r="I8" s="21" t="n">
        <v>734</v>
      </c>
      <c r="J8" s="21" t="n">
        <v>599</v>
      </c>
      <c r="K8" s="21" t="n">
        <v>435</v>
      </c>
    </row>
    <row r="9">
      <c r="B9" s="5" t="inlineStr">
        <is>
          <t>3.2T</t>
        </is>
      </c>
      <c r="C9" s="20" t="n">
        <v>0</v>
      </c>
      <c r="D9" s="20" t="n">
        <v>0</v>
      </c>
      <c r="E9" s="20" t="n">
        <v>13067</v>
      </c>
      <c r="F9" s="20" t="n">
        <v>28162</v>
      </c>
      <c r="H9" s="21" t="n">
        <v>0</v>
      </c>
      <c r="I9" s="21" t="n">
        <v>0</v>
      </c>
      <c r="J9" s="21" t="n">
        <v>1021</v>
      </c>
      <c r="K9" s="21" t="n">
        <v>768</v>
      </c>
    </row>
    <row r="10">
      <c r="B10" s="6" t="inlineStr">
        <is>
          <t>AI pool  (800G + 1.6T + 3.2T)</t>
        </is>
      </c>
      <c r="C10" s="22">
        <f>C7+C8+C9</f>
        <v/>
      </c>
      <c r="D10" s="22">
        <f>D7+D8+D9</f>
        <v/>
      </c>
      <c r="E10" s="22">
        <f>E7+E8+E9</f>
        <v/>
      </c>
      <c r="F10" s="22">
        <f>F7+F8+F9</f>
        <v/>
      </c>
      <c r="M10" s="2" t="inlineStr">
        <is>
          <t>This pool EXCLUDES 400G and below-400G. Never compare a share of it to a share of the total module market.</t>
        </is>
      </c>
    </row>
    <row r="12">
      <c r="A12" s="3" t="inlineStr">
        <is>
          <t xml:space="preserve">  DOLLARS (US$m) — as printed by GS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B13" s="16" t="inlineStr"/>
      <c r="C13" s="17" t="inlineStr">
        <is>
          <t>CY2025</t>
        </is>
      </c>
      <c r="D13" s="17" t="inlineStr">
        <is>
          <t>CY2026E</t>
        </is>
      </c>
      <c r="E13" s="17" t="inlineStr">
        <is>
          <t>CY2027E</t>
        </is>
      </c>
      <c r="F13" s="17" t="inlineStr">
        <is>
          <t>CY2028E</t>
        </is>
      </c>
      <c r="H13" s="16" t="inlineStr">
        <is>
          <t>CHECK: units x ASP vs printed</t>
        </is>
      </c>
      <c r="I13" s="17" t="inlineStr"/>
      <c r="J13" s="17" t="inlineStr"/>
      <c r="K13" s="17" t="inlineStr"/>
    </row>
    <row r="14">
      <c r="B14" s="5" t="inlineStr">
        <is>
          <t>400G</t>
        </is>
      </c>
      <c r="C14" s="13" t="n">
        <v>4209</v>
      </c>
      <c r="D14" s="13" t="n">
        <v>1745</v>
      </c>
      <c r="E14" s="13" t="n">
        <v>969</v>
      </c>
      <c r="F14" s="13" t="n">
        <v>287</v>
      </c>
      <c r="H14" s="23">
        <f>IF(C6=0,"-",C6*H6/1000/C14-1)</f>
        <v/>
      </c>
      <c r="I14" s="23">
        <f>IF(D6=0,"-",D6*I6/1000/D14-1)</f>
        <v/>
      </c>
      <c r="J14" s="23">
        <f>IF(E6=0,"-",E6*J6/1000/E14-1)</f>
        <v/>
      </c>
      <c r="K14" s="23">
        <f>IF(F6=0,"-",F6*K6/1000/F14-1)</f>
        <v/>
      </c>
    </row>
    <row r="15">
      <c r="B15" s="5" t="inlineStr">
        <is>
          <t>800G</t>
        </is>
      </c>
      <c r="C15" s="13" t="n">
        <v>9318</v>
      </c>
      <c r="D15" s="13" t="n">
        <v>13530</v>
      </c>
      <c r="E15" s="13" t="n">
        <v>14715</v>
      </c>
      <c r="F15" s="13" t="n">
        <v>10761</v>
      </c>
      <c r="H15" s="23">
        <f>IF(C7=0,"-",C7*H7/1000/C15-1)</f>
        <v/>
      </c>
      <c r="I15" s="23">
        <f>IF(D7=0,"-",D7*I7/1000/D15-1)</f>
        <v/>
      </c>
      <c r="J15" s="23">
        <f>IF(E7=0,"-",E7*J7/1000/E15-1)</f>
        <v/>
      </c>
      <c r="K15" s="23">
        <f>IF(F7=0,"-",F7*K7/1000/F15-1)</f>
        <v/>
      </c>
    </row>
    <row r="16">
      <c r="B16" s="5" t="inlineStr">
        <is>
          <t>1.6T</t>
        </is>
      </c>
      <c r="C16" s="13" t="n">
        <v>3857</v>
      </c>
      <c r="D16" s="13" t="n">
        <v>18722</v>
      </c>
      <c r="E16" s="13" t="n">
        <v>27403</v>
      </c>
      <c r="F16" s="13" t="n">
        <v>23264</v>
      </c>
      <c r="H16" s="23">
        <f>IF(C8=0,"-",C8*H8/1000/C16-1)</f>
        <v/>
      </c>
      <c r="I16" s="23">
        <f>IF(D8=0,"-",D8*I8/1000/D16-1)</f>
        <v/>
      </c>
      <c r="J16" s="23">
        <f>IF(E8=0,"-",E8*J8/1000/E16-1)</f>
        <v/>
      </c>
      <c r="K16" s="23">
        <f>IF(F8=0,"-",F8*K8/1000/F16-1)</f>
        <v/>
      </c>
    </row>
    <row r="17">
      <c r="B17" s="5" t="inlineStr">
        <is>
          <t>3.2T</t>
        </is>
      </c>
      <c r="C17" s="13" t="n">
        <v>0</v>
      </c>
      <c r="D17" s="13" t="n">
        <v>0</v>
      </c>
      <c r="E17" s="13" t="n">
        <v>13340</v>
      </c>
      <c r="F17" s="13" t="n">
        <v>21625</v>
      </c>
      <c r="H17" s="23">
        <f>IF(C9=0,"-",C9*H9/1000/C17-1)</f>
        <v/>
      </c>
      <c r="I17" s="23">
        <f>IF(D9=0,"-",D9*I9/1000/D17-1)</f>
        <v/>
      </c>
      <c r="J17" s="23">
        <f>IF(E9=0,"-",E9*J9/1000/E17-1)</f>
        <v/>
      </c>
      <c r="K17" s="23">
        <f>IF(F9=0,"-",F9*K9/1000/F17-1)</f>
        <v/>
      </c>
    </row>
    <row r="18">
      <c r="B18" s="6" t="inlineStr">
        <is>
          <t>AI pool  (800G + 1.6T + 3.2T)</t>
        </is>
      </c>
      <c r="C18" s="24">
        <f>C15+C16+C17</f>
        <v/>
      </c>
      <c r="D18" s="24">
        <f>D15+D16+D17</f>
        <v/>
      </c>
      <c r="E18" s="24">
        <f>E15+E16+E17</f>
        <v/>
      </c>
      <c r="F18" s="24">
        <f>F15+F16+F17</f>
        <v/>
      </c>
      <c r="M18" s="2" t="inlineStr">
        <is>
          <t>Foot check left: derived (units x ASP) vs GS printed dollars. All within 0.2% — the transcription is sound.</t>
        </is>
      </c>
    </row>
    <row r="20">
      <c r="A20" s="3" t="inlineStr">
        <is>
          <t xml:space="preserve">  QUARTERLY AI POOL, CY2026 (US$m)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B21" s="16" t="inlineStr"/>
      <c r="C21" s="17" t="inlineStr">
        <is>
          <t>1Q26</t>
        </is>
      </c>
      <c r="D21" s="17" t="inlineStr">
        <is>
          <t>2Q26</t>
        </is>
      </c>
      <c r="E21" s="17" t="inlineStr">
        <is>
          <t>3Q26</t>
        </is>
      </c>
      <c r="F21" s="17" t="inlineStr">
        <is>
          <t>4Q26</t>
        </is>
      </c>
      <c r="G21" s="17" t="inlineStr"/>
      <c r="H21" s="17" t="inlineStr">
        <is>
          <t>sum vs annual</t>
        </is>
      </c>
    </row>
    <row r="22">
      <c r="B22" s="5" t="inlineStr">
        <is>
          <t>800G</t>
        </is>
      </c>
      <c r="C22" s="13" t="n">
        <v>2706</v>
      </c>
      <c r="D22" s="13" t="n">
        <v>3457</v>
      </c>
      <c r="E22" s="13" t="n">
        <v>3557</v>
      </c>
      <c r="F22" s="13" t="n">
        <v>3810</v>
      </c>
      <c r="H22" s="23">
        <f>SUM(C22:F22)/D15-1</f>
        <v/>
      </c>
    </row>
    <row r="23">
      <c r="B23" s="5" t="inlineStr">
        <is>
          <t>1.6T</t>
        </is>
      </c>
      <c r="C23" s="13" t="n">
        <v>3000</v>
      </c>
      <c r="D23" s="13" t="n">
        <v>3736</v>
      </c>
      <c r="E23" s="13" t="n">
        <v>4406</v>
      </c>
      <c r="F23" s="13" t="n">
        <v>7581</v>
      </c>
      <c r="H23" s="23">
        <f>SUM(C23:F23)/D16-1</f>
        <v/>
      </c>
    </row>
    <row r="24">
      <c r="B24" s="6" t="inlineStr">
        <is>
          <t>AI pool, quarterly</t>
        </is>
      </c>
      <c r="C24" s="24">
        <f>C22+C23</f>
        <v/>
      </c>
      <c r="D24" s="24">
        <f>D22+D23</f>
        <v/>
      </c>
      <c r="E24" s="24">
        <f>E22+E23</f>
        <v/>
      </c>
      <c r="F24" s="24">
        <f>F22+F23</f>
        <v/>
      </c>
      <c r="H24" s="23">
        <f>SUM(C24:F24)/D18-1</f>
        <v/>
      </c>
      <c r="M24" s="2" t="inlineStr">
        <is>
          <t>Second internal check: the quarterly panel foots to the annual within 0.01%.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5" customWidth="1" min="3" max="3"/>
    <col width="3" customWidth="1" min="4" max="4"/>
    <col width="78" customWidth="1" min="5" max="5"/>
  </cols>
  <sheetData>
    <row r="1">
      <c r="A1" s="1" t="inlineStr">
        <is>
          <t>Calibration — back-solve COHR's share of the AI-transceiver pool</t>
        </is>
      </c>
    </row>
    <row r="2">
      <c r="A2" s="2" t="inlineStr">
        <is>
          <t>Three reported anchors. Nothing here is fitted to any forecast. This is the whole model in one page.</t>
        </is>
      </c>
    </row>
    <row r="4">
      <c r="A4" s="3" t="inlineStr">
        <is>
          <t xml:space="preserve">  ANCHOR 1 — CY2025 actual</t>
        </is>
      </c>
      <c r="B4" s="4" t="n"/>
      <c r="C4" s="4" t="n"/>
      <c r="D4" s="4" t="n"/>
      <c r="E4" s="4" t="n"/>
    </row>
    <row r="6">
      <c r="B6" s="5" t="inlineStr">
        <is>
          <t>Reported data-center revenue, CY25</t>
        </is>
      </c>
      <c r="C6" s="25">
        <f>Inputs!$C$14</f>
        <v/>
      </c>
    </row>
    <row r="7">
      <c r="B7" s="5" t="inlineStr">
        <is>
          <t>less: legacy datacom (400G &amp; below)</t>
        </is>
      </c>
      <c r="C7" s="25">
        <f>-Inputs!$C$29</f>
        <v/>
      </c>
    </row>
    <row r="8">
      <c r="B8" s="5" t="inlineStr">
        <is>
          <t>less: non-module DC (OCS pilot)</t>
        </is>
      </c>
      <c r="C8" s="25">
        <f>-Inputs!$C$33</f>
        <v/>
      </c>
    </row>
    <row r="9">
      <c r="B9" s="6" t="inlineStr">
        <is>
          <t>= AI-module revenue, CY25</t>
        </is>
      </c>
      <c r="C9" s="26">
        <f>SUM(C6:C8)</f>
        <v/>
      </c>
    </row>
    <row r="10">
      <c r="B10" s="5" t="inlineStr">
        <is>
          <t>GS AI-transceiver pool, CY25</t>
        </is>
      </c>
      <c r="C10" s="27">
        <f>TAM!C18</f>
        <v/>
      </c>
    </row>
    <row r="11">
      <c r="B11" s="6" t="inlineStr">
        <is>
          <t>= COHR share of the AI pool, CY25</t>
        </is>
      </c>
      <c r="C11" s="28">
        <f>C9/C10</f>
        <v/>
      </c>
      <c r="E11" s="2" t="inlineStr">
        <is>
          <t>The pool is dollars, so this is a DOLLAR share. Unit share = this / pi (see Units tab).</t>
        </is>
      </c>
    </row>
    <row r="13">
      <c r="A13" s="3" t="inlineStr">
        <is>
          <t xml:space="preserve">  ANCHOR 2 — 1H2026 actual</t>
        </is>
      </c>
      <c r="B13" s="4" t="n"/>
      <c r="C13" s="4" t="n"/>
      <c r="D13" s="4" t="n"/>
      <c r="E13" s="4" t="n"/>
    </row>
    <row r="15">
      <c r="B15" s="5" t="inlineStr">
        <is>
          <t>Reported data-center revenue, 1H26</t>
        </is>
      </c>
      <c r="C15" s="25">
        <f>Inputs!$C$15</f>
        <v/>
      </c>
    </row>
    <row r="16">
      <c r="B16" s="5" t="inlineStr">
        <is>
          <t>less: legacy datacom (half of CY26)</t>
        </is>
      </c>
      <c r="C16" s="29">
        <f>-Inputs!$C$29*Inputs!$C$30/2</f>
        <v/>
      </c>
    </row>
    <row r="17">
      <c r="B17" s="5" t="inlineStr">
        <is>
          <t>less: non-module DC (half of CY26)</t>
        </is>
      </c>
      <c r="C17" s="29">
        <f>-Inputs!$C$34/2</f>
        <v/>
      </c>
    </row>
    <row r="18">
      <c r="B18" s="6" t="inlineStr">
        <is>
          <t>= AI-module revenue, 1H26</t>
        </is>
      </c>
      <c r="C18" s="26">
        <f>SUM(C15:C17)</f>
        <v/>
      </c>
    </row>
    <row r="19">
      <c r="B19" s="5" t="inlineStr">
        <is>
          <t>GS AI pool, 1H26 (1Q + 2Q)</t>
        </is>
      </c>
      <c r="C19" s="27">
        <f>TAM!C24+TAM!D24</f>
        <v/>
      </c>
    </row>
    <row r="20">
      <c r="B20" s="6" t="inlineStr">
        <is>
          <t>= COHR share of the AI pool, 1H26</t>
        </is>
      </c>
      <c r="C20" s="28">
        <f>C18/C19</f>
        <v/>
      </c>
      <c r="E20" s="2" t="inlineStr">
        <is>
          <t>The share FALLS vs CY25 — indium phosphide capacity binding while the pool nearly doubles.</t>
        </is>
      </c>
    </row>
    <row r="21">
      <c r="E21" s="2" t="inlineStr">
        <is>
          <t>Mgmt: "indium phosphide capacity continues to be our primary constraint" (Anderson, 2026-08-12).</t>
        </is>
      </c>
    </row>
    <row r="23">
      <c r="A23" s="3" t="inlineStr">
        <is>
          <t xml:space="preserve">  ANCHOR 3 — CQ3-2026 company guide  (the exit rate)</t>
        </is>
      </c>
      <c r="B23" s="4" t="n"/>
      <c r="C23" s="4" t="n"/>
      <c r="D23" s="4" t="n"/>
      <c r="E23" s="4" t="n"/>
    </row>
    <row r="25">
      <c r="B25" s="5" t="inlineStr">
        <is>
          <t>FQ1 FY27 total revenue guide, midpoint</t>
        </is>
      </c>
      <c r="C25" s="25">
        <f>Inputs!$C$22</f>
        <v/>
      </c>
    </row>
    <row r="26">
      <c r="B26" s="5" t="inlineStr">
        <is>
          <t>less: Comms, CQ3-26</t>
        </is>
      </c>
      <c r="C26" s="25">
        <f>-Inputs!$C$23</f>
        <v/>
      </c>
    </row>
    <row r="27">
      <c r="B27" s="5" t="inlineStr">
        <is>
          <t>less: Semi Devices, CQ3-26</t>
        </is>
      </c>
      <c r="C27" s="25">
        <f>-Inputs!$C$24</f>
        <v/>
      </c>
      <c r="H27" s="2" t="inlineStr">
        <is>
          <t>RESTORED v2 - sits inside the Jefferies DC/Comms row; omitting it mixed the basis</t>
        </is>
      </c>
    </row>
    <row r="28">
      <c r="B28" s="5" t="inlineStr">
        <is>
          <t>less: Industrial, CQ3-26</t>
        </is>
      </c>
      <c r="C28" s="25">
        <f>-Inputs!$C$25</f>
        <v/>
      </c>
    </row>
    <row r="29">
      <c r="B29" s="6" t="inlineStr">
        <is>
          <t>= implied data-center revenue, CQ3-26</t>
        </is>
      </c>
      <c r="C29" s="26">
        <f>SUM(C25:C28)</f>
        <v/>
      </c>
    </row>
    <row r="30">
      <c r="B30" s="5" t="inlineStr">
        <is>
          <t xml:space="preserve">   y/y growth</t>
        </is>
      </c>
      <c r="C30" s="30">
        <f>C29/Inputs!$C$16-1</f>
        <v/>
      </c>
      <c r="E30" s="2" t="inlineStr">
        <is>
          <t>Mgmt floor: "we would expect our data center growth this quarter y/y to EXCEED 80%".</t>
        </is>
      </c>
    </row>
    <row r="31">
      <c r="B31" s="5" t="inlineStr">
        <is>
          <t>less: legacy datacom (quarter of CY26)</t>
        </is>
      </c>
      <c r="C31" s="29">
        <f>-Inputs!$C$29*Inputs!$C$30/4</f>
        <v/>
      </c>
    </row>
    <row r="32">
      <c r="B32" s="5" t="inlineStr">
        <is>
          <t>less: non-module DC</t>
        </is>
      </c>
      <c r="C32" s="29">
        <f>-Inputs!$C$34*Inputs!$C$37</f>
        <v/>
      </c>
    </row>
    <row r="33">
      <c r="B33" s="6" t="inlineStr">
        <is>
          <t>= AI-module revenue, CQ3-26</t>
        </is>
      </c>
      <c r="C33" s="26">
        <f>C29+C31+C32</f>
        <v/>
      </c>
    </row>
    <row r="34">
      <c r="B34" s="5" t="inlineStr">
        <is>
          <t>GS AI pool, 3Q26</t>
        </is>
      </c>
      <c r="C34" s="27">
        <f>TAM!E24</f>
        <v/>
      </c>
    </row>
    <row r="35">
      <c r="B35" s="6" t="inlineStr">
        <is>
          <t>= EXIT-RATE SHARE of the AI pool</t>
        </is>
      </c>
      <c r="C35" s="28">
        <f>C33/C34</f>
        <v/>
      </c>
      <c r="E35" s="2" t="inlineStr">
        <is>
          <t>THIS IS THE NUMBER THE WHOLE MODEL TURNS ON. The base case simply holds it flat.</t>
        </is>
      </c>
    </row>
    <row r="38">
      <c r="A38" s="3" t="inlineStr">
        <is>
          <t xml:space="preserve">  DERIVED — CY2026 blended</t>
        </is>
      </c>
      <c r="B38" s="4" t="n"/>
      <c r="C38" s="4" t="n"/>
      <c r="D38" s="4" t="n"/>
      <c r="E38" s="4" t="n"/>
    </row>
    <row r="40">
      <c r="B40" s="6" t="inlineStr">
        <is>
          <t>AI-module revenue, CY26</t>
        </is>
      </c>
      <c r="C40" s="31">
        <f>C18+C33+C35*TAM!F24</f>
        <v/>
      </c>
      <c r="E40" s="2" t="inlineStr">
        <is>
          <t>= 1H actual + CQ3 guide-implied + CQ4 at the exit-rate share.</t>
        </is>
      </c>
    </row>
    <row r="41">
      <c r="B41" s="6" t="inlineStr">
        <is>
          <t>= COHR share of the AI pool, CY26</t>
        </is>
      </c>
      <c r="C41" s="28">
        <f>C40/TAM!D18</f>
        <v/>
      </c>
    </row>
    <row r="43">
      <c r="A43" s="3" t="inlineStr">
        <is>
          <t xml:space="preserve">  THE SHARE PATH</t>
        </is>
      </c>
      <c r="B43" s="4" t="n"/>
      <c r="C43" s="4" t="n"/>
      <c r="D43" s="4" t="n"/>
      <c r="E43" s="4" t="n"/>
    </row>
    <row r="45">
      <c r="B45" s="5" t="inlineStr">
        <is>
          <t>CY2025 actual</t>
        </is>
      </c>
      <c r="C45" s="30">
        <f>C11</f>
        <v/>
      </c>
    </row>
    <row r="46">
      <c r="B46" s="5" t="inlineStr">
        <is>
          <t>1H2026 actual — InP binds</t>
        </is>
      </c>
      <c r="C46" s="30">
        <f>C20</f>
        <v/>
      </c>
    </row>
    <row r="47">
      <c r="B47" s="5" t="inlineStr">
        <is>
          <t>CQ3-2026 guide — capacity lands</t>
        </is>
      </c>
      <c r="C47" s="30">
        <f>C35</f>
        <v/>
      </c>
    </row>
    <row r="48">
      <c r="B48" s="5" t="inlineStr">
        <is>
          <t>CY2026E blended</t>
        </is>
      </c>
      <c r="C48" s="30">
        <f>C41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66" customWidth="1" min="8" max="8"/>
  </cols>
  <sheetData>
    <row r="1">
      <c r="A1" s="1" t="inlineStr">
        <is>
          <t>Model — revenue build</t>
        </is>
      </c>
    </row>
    <row r="2">
      <c r="A2" s="2" t="inlineStr">
        <is>
          <t>Modules are bottom-up (pool x share). Legacy and non-module are estimates. Comms and Industrial are carried from Jefferies.</t>
        </is>
      </c>
    </row>
    <row r="4">
      <c r="B4" s="6" t="inlineStr">
        <is>
          <t>Active scenario</t>
        </is>
      </c>
      <c r="C4" s="32">
        <f>Inputs!$C$6</f>
        <v/>
      </c>
      <c r="H4" s="2" t="inlineStr">
        <is>
          <t>Change on the Inputs tab (cell C6): bear / base / bull.</t>
        </is>
      </c>
    </row>
    <row r="6">
      <c r="A6" s="16" t="inlineStr">
        <is>
          <t>US$m</t>
        </is>
      </c>
      <c r="B6" s="17" t="inlineStr">
        <is>
          <t>CY2025A</t>
        </is>
      </c>
      <c r="C6" s="17" t="inlineStr">
        <is>
          <t>CY2026E</t>
        </is>
      </c>
      <c r="D6" s="17" t="inlineStr">
        <is>
          <t>CY2027E</t>
        </is>
      </c>
      <c r="E6" s="17" t="inlineStr">
        <is>
          <t>CY2028E</t>
        </is>
      </c>
    </row>
    <row r="7">
      <c r="B7" s="6" t="inlineStr">
        <is>
          <t>COHR share of AI pool</t>
        </is>
      </c>
      <c r="C7" s="33">
        <f>Calibration!C11</f>
        <v/>
      </c>
      <c r="D7" s="33">
        <f>Calibration!C41</f>
        <v/>
      </c>
      <c r="E7" s="34">
        <f>IF(Inputs!$C$6="bear",Inputs!$C$7,IF(Inputs!$C$6="bull",Inputs!$C$9,Calibration!C35))</f>
        <v/>
      </c>
      <c r="F7" s="34">
        <f>IF(Inputs!$C$6="bear",Inputs!$C$8,IF(Inputs!$C$6="bull",Inputs!$C$10,Calibration!C35))</f>
        <v/>
      </c>
      <c r="H7" s="2" t="inlineStr">
        <is>
          <t>base = the calibrated Sept-quarter exit rate, held flat. No share gain assumed.</t>
        </is>
      </c>
    </row>
    <row r="8">
      <c r="B8" s="5" t="inlineStr">
        <is>
          <t>AI-module revenue</t>
        </is>
      </c>
      <c r="C8" s="35">
        <f>Calibration!C9</f>
        <v/>
      </c>
      <c r="D8" s="35">
        <f>Calibration!C40</f>
        <v/>
      </c>
      <c r="E8" s="36">
        <f>E7*TAM!E18</f>
        <v/>
      </c>
      <c r="F8" s="36">
        <f>F7*TAM!F18</f>
        <v/>
      </c>
      <c r="H8" s="2" t="inlineStr">
        <is>
          <t>= GS AI-transceiver pool x COHR share. The bottom-up leg.</t>
        </is>
      </c>
    </row>
    <row r="9">
      <c r="B9" s="5" t="inlineStr">
        <is>
          <t>Legacy datacom (400G &amp; below)</t>
        </is>
      </c>
      <c r="C9" s="35">
        <f>Inputs!$C$29</f>
        <v/>
      </c>
      <c r="D9" s="36">
        <f>C9*Inputs!$C$30</f>
        <v/>
      </c>
      <c r="E9" s="36">
        <f>D9*Inputs!$C$31</f>
        <v/>
      </c>
      <c r="F9" s="36">
        <f>E9*Inputs!$C$32</f>
        <v/>
      </c>
    </row>
    <row r="10">
      <c r="B10" s="5" t="inlineStr">
        <is>
          <t>OCS · CPO · multi-rail · thermal</t>
        </is>
      </c>
      <c r="C10" s="35">
        <f>Inputs!$C$33</f>
        <v/>
      </c>
      <c r="D10" s="35">
        <f>Inputs!$C$34</f>
        <v/>
      </c>
      <c r="E10" s="35">
        <f>Inputs!$C$35</f>
        <v/>
      </c>
      <c r="F10" s="35">
        <f>Inputs!$C$36</f>
        <v/>
      </c>
    </row>
    <row r="11">
      <c r="B11" s="6" t="inlineStr">
        <is>
          <t>= Data-center segment</t>
        </is>
      </c>
      <c r="C11" s="37">
        <f>C8+C9+C10</f>
        <v/>
      </c>
      <c r="D11" s="37">
        <f>D8+D9+D10</f>
        <v/>
      </c>
      <c r="E11" s="37">
        <f>E8+E9+E10</f>
        <v/>
      </c>
      <c r="F11" s="37">
        <f>F8+F9+F10</f>
        <v/>
      </c>
    </row>
    <row r="12">
      <c r="B12" s="5" t="inlineStr">
        <is>
          <t>Comms  (carried)</t>
        </is>
      </c>
      <c r="C12" s="13" t="n">
        <v>1222.2</v>
      </c>
      <c r="D12" s="35">
        <f>Inputs!C51</f>
        <v/>
      </c>
      <c r="E12" s="35">
        <f>Inputs!D51</f>
        <v/>
      </c>
      <c r="F12" s="35">
        <f>Inputs!E51</f>
        <v/>
      </c>
    </row>
    <row r="13">
      <c r="B13" s="5" t="inlineStr">
        <is>
          <t>Industrial  (carried)</t>
        </is>
      </c>
      <c r="C13" s="13" t="n">
        <v>2009.1</v>
      </c>
      <c r="D13" s="35">
        <f>Inputs!C53</f>
        <v/>
      </c>
      <c r="E13" s="35">
        <f>Inputs!D53</f>
        <v/>
      </c>
      <c r="F13" s="35">
        <f>Inputs!E53</f>
        <v/>
      </c>
    </row>
    <row r="14">
      <c r="B14" s="5" t="inlineStr">
        <is>
          <t>Semi Devices  (carried)</t>
        </is>
      </c>
      <c r="C14" s="13" t="n">
        <v>297.5</v>
      </c>
      <c r="D14" s="35">
        <f>Inputs!C52</f>
        <v/>
      </c>
      <c r="E14" s="35">
        <f>Inputs!D52</f>
        <v/>
      </c>
      <c r="F14" s="35">
        <f>Inputs!E52</f>
        <v/>
      </c>
    </row>
    <row r="15">
      <c r="B15" s="6" t="inlineStr">
        <is>
          <t>TOTAL REVENUE</t>
        </is>
      </c>
      <c r="C15" s="38">
        <f>C11+C12+C14+C13</f>
        <v/>
      </c>
      <c r="D15" s="38">
        <f>D11+D12+D14+D13</f>
        <v/>
      </c>
      <c r="E15" s="38">
        <f>E11+E12+E14+E13</f>
        <v/>
      </c>
      <c r="F15" s="38">
        <f>F11+F12+F14+F13</f>
        <v/>
      </c>
    </row>
    <row r="16">
      <c r="B16" s="5" t="inlineStr">
        <is>
          <t xml:space="preserve">   y/y growth</t>
        </is>
      </c>
      <c r="C16" s="18">
        <f>C15/5306-1</f>
        <v/>
      </c>
      <c r="D16" s="18">
        <f>D15/C15-1</f>
        <v/>
      </c>
      <c r="E16" s="18">
        <f>E15/D15-1</f>
        <v/>
      </c>
      <c r="F16" s="18">
        <f>F15/E15-1</f>
        <v/>
      </c>
    </row>
    <row r="18">
      <c r="A18" s="3" t="inlineStr">
        <is>
          <t xml:space="preserve">  VERSUS THE STREET</t>
        </is>
      </c>
      <c r="B18" s="4" t="n"/>
      <c r="C18" s="4" t="n"/>
      <c r="D18" s="4" t="n"/>
      <c r="E18" s="4" t="n"/>
      <c r="F18" s="4" t="n"/>
      <c r="G18" s="4" t="n"/>
      <c r="H18" s="4" t="n"/>
    </row>
    <row r="20">
      <c r="A20" s="16" t="inlineStr">
        <is>
          <t>US$m</t>
        </is>
      </c>
      <c r="B20" s="17" t="inlineStr">
        <is>
          <t>CY2025A</t>
        </is>
      </c>
      <c r="C20" s="17" t="inlineStr">
        <is>
          <t>CY2026E</t>
        </is>
      </c>
      <c r="D20" s="17" t="inlineStr">
        <is>
          <t>CY2027E</t>
        </is>
      </c>
      <c r="E20" s="17" t="inlineStr">
        <is>
          <t>CY2028E</t>
        </is>
      </c>
    </row>
    <row r="21">
      <c r="B21" s="5" t="inlineStr">
        <is>
          <t>Jefferies · Curtis 08-13</t>
        </is>
      </c>
      <c r="C21" s="5" t="inlineStr"/>
      <c r="D21" s="35">
        <f>Inputs!C58</f>
        <v/>
      </c>
      <c r="E21" s="35">
        <f>Inputs!D58</f>
        <v/>
      </c>
      <c r="F21" s="35">
        <f>Inputs!E58</f>
        <v/>
      </c>
    </row>
    <row r="22">
      <c r="B22" s="5" t="inlineStr">
        <is>
          <t>BBG consensus 08-17</t>
        </is>
      </c>
      <c r="C22" s="5" t="inlineStr"/>
      <c r="D22" s="35">
        <f>Inputs!C59</f>
        <v/>
      </c>
      <c r="E22" s="35">
        <f>Inputs!D59</f>
        <v/>
      </c>
      <c r="F22" s="35">
        <f>Inputs!E59</f>
        <v/>
      </c>
    </row>
    <row r="23">
      <c r="B23" s="5" t="inlineStr">
        <is>
          <t>Capstone house 05-26</t>
        </is>
      </c>
      <c r="C23" s="5" t="inlineStr"/>
      <c r="D23" s="35">
        <f>Inputs!C60</f>
        <v/>
      </c>
      <c r="E23" s="35">
        <f>Inputs!D60</f>
        <v/>
      </c>
      <c r="F23" s="35">
        <f>Inputs!E60</f>
        <v/>
      </c>
    </row>
    <row r="24">
      <c r="B24" s="5" t="inlineStr">
        <is>
          <t xml:space="preserve">  this model vs Jefferies</t>
        </is>
      </c>
      <c r="D24" s="18">
        <f>IF(ISNUMBER(Inputs!C58),D15/Inputs!C58-1,"n/a")</f>
        <v/>
      </c>
      <c r="E24" s="18">
        <f>IF(ISNUMBER(Inputs!D58),E15/Inputs!D58-1,"n/a")</f>
        <v/>
      </c>
      <c r="F24" s="18">
        <f>IF(ISNUMBER(Inputs!E58),F15/Inputs!E58-1,"n/a")</f>
        <v/>
      </c>
    </row>
    <row r="25">
      <c r="B25" s="5" t="inlineStr">
        <is>
          <t xml:space="preserve">  this model vs consensus</t>
        </is>
      </c>
      <c r="D25" s="18">
        <f>IF(ISNUMBER(Inputs!C59),D15/Inputs!C59-1,"n/a")</f>
        <v/>
      </c>
      <c r="E25" s="18">
        <f>IF(ISNUMBER(Inputs!D59),E15/Inputs!D59-1,"n/a")</f>
        <v/>
      </c>
      <c r="F25" s="18">
        <f>IF(ISNUMBER(Inputs!E59),F15/Inputs!E59-1,"n/a")</f>
        <v/>
      </c>
    </row>
    <row r="26">
      <c r="B26" s="5" t="inlineStr">
        <is>
          <t xml:space="preserve">  this model vs house</t>
        </is>
      </c>
      <c r="D26" s="18">
        <f>IF(ISNUMBER(Inputs!C60),D15/Inputs!C60-1,"n/a")</f>
        <v/>
      </c>
      <c r="E26" s="18">
        <f>IF(ISNUMBER(Inputs!D60),E15/Inputs!D60-1,"n/a")</f>
        <v/>
      </c>
      <c r="F26" s="18">
        <f>IF(ISNUMBER(Inputs!E60),F15/Inputs!E60-1,"n/a")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3" customWidth="1" min="7" max="7"/>
    <col width="70" customWidth="1" min="8" max="8"/>
  </cols>
  <sheetData>
    <row r="1">
      <c r="A1" s="1" t="inlineStr">
        <is>
          <t>Units x ASP — the same model in physical terms</t>
        </is>
      </c>
    </row>
    <row r="2">
      <c r="A2" s="2" t="inlineStr">
        <is>
          <t>pi cancels from every growth rate, so it does not drive the revenue forecast. The SPEED MIX does: 1.6T carries ~1.9x the ASP of 800G.</t>
        </is>
      </c>
    </row>
    <row r="4">
      <c r="A4" s="16" t="inlineStr"/>
      <c r="B4" s="17" t="inlineStr">
        <is>
          <t>CY2025A</t>
        </is>
      </c>
      <c r="C4" s="17" t="inlineStr">
        <is>
          <t>CY2026E</t>
        </is>
      </c>
      <c r="D4" s="17" t="inlineStr">
        <is>
          <t>CY2027E</t>
        </is>
      </c>
      <c r="E4" s="17" t="inlineStr">
        <is>
          <t>CY2028E</t>
        </is>
      </c>
    </row>
    <row r="5">
      <c r="A5" s="3" t="inlineStr">
        <is>
          <t xml:space="preserve">  800G</t>
        </is>
      </c>
      <c r="B5" s="4" t="n"/>
      <c r="C5" s="4" t="n"/>
      <c r="D5" s="4" t="n"/>
      <c r="E5" s="4" t="n"/>
      <c r="F5" s="4" t="n"/>
      <c r="G5" s="4" t="n"/>
      <c r="H5" s="4" t="n"/>
    </row>
    <row r="6">
      <c r="B6" s="5" t="inlineStr">
        <is>
          <t>Market units (k)</t>
        </is>
      </c>
      <c r="C6" s="39">
        <f>TAM!C7</f>
        <v/>
      </c>
      <c r="D6" s="39">
        <f>TAM!D7</f>
        <v/>
      </c>
      <c r="E6" s="39">
        <f>TAM!E7</f>
        <v/>
      </c>
      <c r="F6" s="39">
        <f>TAM!F7</f>
        <v/>
      </c>
    </row>
    <row r="7">
      <c r="B7" s="5" t="inlineStr">
        <is>
          <t>Market ASP ($)</t>
        </is>
      </c>
      <c r="C7" s="40">
        <f>IF(TAM!C7=0,0,TAM!C15*1000/TAM!C7)</f>
        <v/>
      </c>
      <c r="D7" s="40">
        <f>IF(TAM!D7=0,0,TAM!D15*1000/TAM!D7)</f>
        <v/>
      </c>
      <c r="E7" s="40">
        <f>IF(TAM!E7=0,0,TAM!E15*1000/TAM!E7)</f>
        <v/>
      </c>
      <c r="F7" s="40">
        <f>IF(TAM!F7=0,0,TAM!F15*1000/TAM!F7)</f>
        <v/>
      </c>
    </row>
    <row r="8">
      <c r="B8" s="5" t="inlineStr">
        <is>
          <t>COHR mix (of module $)</t>
        </is>
      </c>
      <c r="C8" s="41">
        <f>Inputs!C43</f>
        <v/>
      </c>
      <c r="D8" s="41">
        <f>Inputs!C44</f>
        <v/>
      </c>
      <c r="E8" s="41">
        <f>Inputs!C45</f>
        <v/>
      </c>
      <c r="F8" s="41">
        <f>Inputs!C46</f>
        <v/>
      </c>
    </row>
    <row r="9">
      <c r="B9" s="5" t="inlineStr">
        <is>
          <t>COHR revenue ($m)</t>
        </is>
      </c>
      <c r="C9" s="36">
        <f>C8*Model!C8</f>
        <v/>
      </c>
      <c r="D9" s="36">
        <f>D8*Model!D8</f>
        <v/>
      </c>
      <c r="E9" s="36">
        <f>E8*Model!E8</f>
        <v/>
      </c>
      <c r="F9" s="36">
        <f>F8*Model!F8</f>
        <v/>
      </c>
    </row>
    <row r="10">
      <c r="B10" s="5" t="inlineStr">
        <is>
          <t>COHR ASP ($)  = market x pi</t>
        </is>
      </c>
      <c r="C10" s="40">
        <f>C7*Inputs!$C$38</f>
        <v/>
      </c>
      <c r="D10" s="40">
        <f>D7*Inputs!$C$38</f>
        <v/>
      </c>
      <c r="E10" s="40">
        <f>E7*Inputs!$C$38</f>
        <v/>
      </c>
      <c r="F10" s="40">
        <f>F7*Inputs!$C$38</f>
        <v/>
      </c>
    </row>
    <row r="11">
      <c r="B11" s="6" t="inlineStr">
        <is>
          <t>COHR units (k)</t>
        </is>
      </c>
      <c r="C11" s="22">
        <f>IF(C10=0,0,C9*1000/C10)</f>
        <v/>
      </c>
      <c r="D11" s="22">
        <f>IF(D10=0,0,D9*1000/D10)</f>
        <v/>
      </c>
      <c r="E11" s="22">
        <f>IF(E10=0,0,E9*1000/E10)</f>
        <v/>
      </c>
      <c r="F11" s="22">
        <f>IF(F10=0,0,F9*1000/F10)</f>
        <v/>
      </c>
    </row>
    <row r="12">
      <c r="B12" s="5" t="inlineStr">
        <is>
          <t>COHR unit share</t>
        </is>
      </c>
      <c r="C12" s="18">
        <f>IF(TAM!C7=0,"-",C11/TAM!C7)</f>
        <v/>
      </c>
      <c r="D12" s="18">
        <f>IF(TAM!D7=0,"-",D11/TAM!D7)</f>
        <v/>
      </c>
      <c r="E12" s="18">
        <f>IF(TAM!E7=0,"-",E11/TAM!E7)</f>
        <v/>
      </c>
      <c r="F12" s="18">
        <f>IF(TAM!F7=0,"-",F11/TAM!F7)</f>
        <v/>
      </c>
    </row>
    <row r="14">
      <c r="A14" s="3" t="inlineStr">
        <is>
          <t xml:space="preserve">  1.6T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B15" s="5" t="inlineStr">
        <is>
          <t>Market units (k)</t>
        </is>
      </c>
      <c r="C15" s="39">
        <f>TAM!C8</f>
        <v/>
      </c>
      <c r="D15" s="39">
        <f>TAM!D8</f>
        <v/>
      </c>
      <c r="E15" s="39">
        <f>TAM!E8</f>
        <v/>
      </c>
      <c r="F15" s="39">
        <f>TAM!F8</f>
        <v/>
      </c>
    </row>
    <row r="16">
      <c r="B16" s="5" t="inlineStr">
        <is>
          <t>Market ASP ($)</t>
        </is>
      </c>
      <c r="C16" s="40">
        <f>IF(TAM!C8=0,0,TAM!C16*1000/TAM!C8)</f>
        <v/>
      </c>
      <c r="D16" s="40">
        <f>IF(TAM!D8=0,0,TAM!D16*1000/TAM!D8)</f>
        <v/>
      </c>
      <c r="E16" s="40">
        <f>IF(TAM!E8=0,0,TAM!E16*1000/TAM!E8)</f>
        <v/>
      </c>
      <c r="F16" s="40">
        <f>IF(TAM!F8=0,0,TAM!F16*1000/TAM!F8)</f>
        <v/>
      </c>
    </row>
    <row r="17">
      <c r="B17" s="5" t="inlineStr">
        <is>
          <t>COHR mix (of module $)</t>
        </is>
      </c>
      <c r="C17" s="41">
        <f>Inputs!D43</f>
        <v/>
      </c>
      <c r="D17" s="41">
        <f>Inputs!D44</f>
        <v/>
      </c>
      <c r="E17" s="41">
        <f>Inputs!D45</f>
        <v/>
      </c>
      <c r="F17" s="41">
        <f>Inputs!D46</f>
        <v/>
      </c>
    </row>
    <row r="18">
      <c r="B18" s="5" t="inlineStr">
        <is>
          <t>COHR revenue ($m)</t>
        </is>
      </c>
      <c r="C18" s="36">
        <f>C17*Model!C8</f>
        <v/>
      </c>
      <c r="D18" s="36">
        <f>D17*Model!D8</f>
        <v/>
      </c>
      <c r="E18" s="36">
        <f>E17*Model!E8</f>
        <v/>
      </c>
      <c r="F18" s="36">
        <f>F17*Model!F8</f>
        <v/>
      </c>
    </row>
    <row r="19">
      <c r="B19" s="5" t="inlineStr">
        <is>
          <t>COHR ASP ($)  = market x pi</t>
        </is>
      </c>
      <c r="C19" s="40">
        <f>C16*Inputs!$C$38</f>
        <v/>
      </c>
      <c r="D19" s="40">
        <f>D16*Inputs!$C$38</f>
        <v/>
      </c>
      <c r="E19" s="40">
        <f>E16*Inputs!$C$38</f>
        <v/>
      </c>
      <c r="F19" s="40">
        <f>F16*Inputs!$C$38</f>
        <v/>
      </c>
    </row>
    <row r="20">
      <c r="B20" s="6" t="inlineStr">
        <is>
          <t>COHR units (k)</t>
        </is>
      </c>
      <c r="C20" s="22">
        <f>IF(C19=0,0,C18*1000/C19)</f>
        <v/>
      </c>
      <c r="D20" s="22">
        <f>IF(D19=0,0,D18*1000/D19)</f>
        <v/>
      </c>
      <c r="E20" s="22">
        <f>IF(E19=0,0,E18*1000/E19)</f>
        <v/>
      </c>
      <c r="F20" s="22">
        <f>IF(F19=0,0,F18*1000/F19)</f>
        <v/>
      </c>
    </row>
    <row r="21">
      <c r="B21" s="5" t="inlineStr">
        <is>
          <t>COHR unit share</t>
        </is>
      </c>
      <c r="C21" s="18">
        <f>IF(TAM!C8=0,"-",C20/TAM!C8)</f>
        <v/>
      </c>
      <c r="D21" s="18">
        <f>IF(TAM!D8=0,"-",D20/TAM!D8)</f>
        <v/>
      </c>
      <c r="E21" s="18">
        <f>IF(TAM!E8=0,"-",E20/TAM!E8)</f>
        <v/>
      </c>
      <c r="F21" s="18">
        <f>IF(TAM!F8=0,"-",F20/TAM!F8)</f>
        <v/>
      </c>
    </row>
    <row r="23">
      <c r="A23" s="3" t="inlineStr">
        <is>
          <t xml:space="preserve">  3.2T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B24" s="5" t="inlineStr">
        <is>
          <t>Market units (k)</t>
        </is>
      </c>
      <c r="C24" s="39">
        <f>TAM!C9</f>
        <v/>
      </c>
      <c r="D24" s="39">
        <f>TAM!D9</f>
        <v/>
      </c>
      <c r="E24" s="39">
        <f>TAM!E9</f>
        <v/>
      </c>
      <c r="F24" s="39">
        <f>TAM!F9</f>
        <v/>
      </c>
    </row>
    <row r="25">
      <c r="B25" s="5" t="inlineStr">
        <is>
          <t>Market ASP ($)</t>
        </is>
      </c>
      <c r="C25" s="40">
        <f>IF(TAM!C9=0,0,TAM!C17*1000/TAM!C9)</f>
        <v/>
      </c>
      <c r="D25" s="40">
        <f>IF(TAM!D9=0,0,TAM!D17*1000/TAM!D9)</f>
        <v/>
      </c>
      <c r="E25" s="40">
        <f>IF(TAM!E9=0,0,TAM!E17*1000/TAM!E9)</f>
        <v/>
      </c>
      <c r="F25" s="40">
        <f>IF(TAM!F9=0,0,TAM!F17*1000/TAM!F9)</f>
        <v/>
      </c>
    </row>
    <row r="26">
      <c r="B26" s="5" t="inlineStr">
        <is>
          <t>COHR mix (of module $)</t>
        </is>
      </c>
      <c r="C26" s="41">
        <f>Inputs!E43</f>
        <v/>
      </c>
      <c r="D26" s="41">
        <f>Inputs!E44</f>
        <v/>
      </c>
      <c r="E26" s="41">
        <f>Inputs!E45</f>
        <v/>
      </c>
      <c r="F26" s="41">
        <f>Inputs!E46</f>
        <v/>
      </c>
    </row>
    <row r="27">
      <c r="B27" s="5" t="inlineStr">
        <is>
          <t>COHR revenue ($m)</t>
        </is>
      </c>
      <c r="C27" s="36">
        <f>C26*Model!C8</f>
        <v/>
      </c>
      <c r="D27" s="36">
        <f>D26*Model!D8</f>
        <v/>
      </c>
      <c r="E27" s="36">
        <f>E26*Model!E8</f>
        <v/>
      </c>
      <c r="F27" s="36">
        <f>F26*Model!F8</f>
        <v/>
      </c>
    </row>
    <row r="28">
      <c r="B28" s="5" t="inlineStr">
        <is>
          <t>COHR ASP ($)  = market x pi</t>
        </is>
      </c>
      <c r="C28" s="40">
        <f>C25*Inputs!$C$38</f>
        <v/>
      </c>
      <c r="D28" s="40">
        <f>D25*Inputs!$C$38</f>
        <v/>
      </c>
      <c r="E28" s="40">
        <f>E25*Inputs!$C$38</f>
        <v/>
      </c>
      <c r="F28" s="40">
        <f>F25*Inputs!$C$38</f>
        <v/>
      </c>
    </row>
    <row r="29">
      <c r="B29" s="6" t="inlineStr">
        <is>
          <t>COHR units (k)</t>
        </is>
      </c>
      <c r="C29" s="22">
        <f>IF(C28=0,0,C27*1000/C28)</f>
        <v/>
      </c>
      <c r="D29" s="22">
        <f>IF(D28=0,0,D27*1000/D28)</f>
        <v/>
      </c>
      <c r="E29" s="22">
        <f>IF(E28=0,0,E27*1000/E28)</f>
        <v/>
      </c>
      <c r="F29" s="22">
        <f>IF(F28=0,0,F27*1000/F28)</f>
        <v/>
      </c>
    </row>
    <row r="30">
      <c r="B30" s="5" t="inlineStr">
        <is>
          <t>COHR unit share</t>
        </is>
      </c>
      <c r="C30" s="18">
        <f>IF(TAM!C9=0,"-",C29/TAM!C9)</f>
        <v/>
      </c>
      <c r="D30" s="18">
        <f>IF(TAM!D9=0,"-",D29/TAM!D9)</f>
        <v/>
      </c>
      <c r="E30" s="18">
        <f>IF(TAM!E9=0,"-",E29/TAM!E9)</f>
        <v/>
      </c>
      <c r="F30" s="18">
        <f>IF(TAM!F9=0,"-",F29/TAM!F9)</f>
        <v/>
      </c>
    </row>
    <row r="32">
      <c r="A32" s="3" t="inlineStr">
        <is>
          <t xml:space="preserve">  TOTAL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B33" s="6" t="inlineStr">
        <is>
          <t>COHR AI-module units (k)</t>
        </is>
      </c>
      <c r="C33" s="42">
        <f>C11+C20+C29</f>
        <v/>
      </c>
      <c r="D33" s="42">
        <f>D11+D20+D29</f>
        <v/>
      </c>
      <c r="E33" s="42">
        <f>E11+E20+E29</f>
        <v/>
      </c>
      <c r="F33" s="42">
        <f>F11+F20+F29</f>
        <v/>
      </c>
    </row>
    <row r="34">
      <c r="B34" s="6" t="inlineStr">
        <is>
          <t xml:space="preserve">   y/y growth</t>
        </is>
      </c>
      <c r="C34" s="5" t="inlineStr"/>
      <c r="D34" s="33">
        <f>D33/C33-1</f>
        <v/>
      </c>
      <c r="E34" s="33">
        <f>E33/D33-1</f>
        <v/>
      </c>
      <c r="F34" s="33">
        <f>F33/E33-1</f>
        <v/>
      </c>
      <c r="H34" s="2" t="inlineStr">
        <is>
          <t>CY26 growth is the number the InP laser guardrail tests. See Guardrails.</t>
        </is>
      </c>
    </row>
    <row r="35">
      <c r="B35" s="5" t="inlineStr">
        <is>
          <t>Blended COHR ASP ($)</t>
        </is>
      </c>
      <c r="C35" s="40">
        <f>IF(C33=0,0,Model!C8*1000/C33)</f>
        <v/>
      </c>
      <c r="D35" s="40">
        <f>IF(D33=0,0,Model!D8*1000/D33)</f>
        <v/>
      </c>
      <c r="E35" s="40">
        <f>IF(E33=0,0,Model!E8*1000/E33)</f>
        <v/>
      </c>
      <c r="F35" s="40">
        <f>IF(F33=0,0,Model!F8*1000/F33)</f>
        <v/>
      </c>
    </row>
    <row r="36">
      <c r="B36" s="5" t="inlineStr">
        <is>
          <t>COHR unit share of AI pool</t>
        </is>
      </c>
      <c r="C36" s="18">
        <f>C33/TAM!C10</f>
        <v/>
      </c>
      <c r="D36" s="18">
        <f>D33/TAM!D10</f>
        <v/>
      </c>
      <c r="E36" s="18">
        <f>E33/TAM!E10</f>
        <v/>
      </c>
      <c r="F36" s="18">
        <f>F33/TAM!F10</f>
        <v/>
      </c>
    </row>
    <row r="38">
      <c r="A38" s="3" t="inlineStr">
        <is>
          <t xml:space="preserve">  MINIMUM 1.6T MIX for CY26 units to stay inside a 2x laser ceiling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B39" s="6" t="inlineStr">
        <is>
          <t>Required 1.6T share of CY26 module $</t>
        </is>
      </c>
      <c r="C39" s="43">
        <f>(Model!D8*1000000/(TAM!D15*1000/TAM!D7*Inputs!$C$38)-C33*2*1000)/(Model!D8*1000000/(TAM!D15*1000/TAM!D7*Inputs!$C$38)-Model!D8*1000000/(TAM!D16*1000/TAM!D8*Inputs!$C$38))</f>
        <v/>
      </c>
    </row>
    <row r="40">
      <c r="B40" s="5" t="inlineStr">
        <is>
          <t>Actual setting (Inputs)</t>
        </is>
      </c>
      <c r="C40" s="41">
        <f>Inputs!D44</f>
        <v/>
      </c>
    </row>
    <row r="41">
      <c r="B41" s="5" t="inlineStr">
        <is>
          <t>Market 1.6T mix, CY26</t>
        </is>
      </c>
      <c r="C41" s="18">
        <f>TAM!D16/TAM!D18</f>
        <v/>
      </c>
      <c r="H41" s="2" t="inlineStr">
        <is>
          <t>If the required mix exceeds the actual setting, the revenue forecast does not fit the laser capacity.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3" customWidth="1" min="4" max="4"/>
    <col width="3" customWidth="1" min="5" max="5"/>
    <col width="92" customWidth="1" min="6" max="6"/>
  </cols>
  <sheetData>
    <row r="1">
      <c r="A1" s="1" t="inlineStr">
        <is>
          <t>Guardrails — checks that use observables NOT used in the calibration</t>
        </is>
      </c>
    </row>
    <row r="2">
      <c r="A2" s="2" t="inlineStr">
        <is>
          <t>These turn PASS / BINDING / FAIL on their own. If one goes red after you change an input, the model is telling you something.</t>
        </is>
      </c>
    </row>
    <row r="4">
      <c r="A4" s="16" t="inlineStr">
        <is>
          <t>#</t>
        </is>
      </c>
      <c r="B4" s="17" t="inlineStr">
        <is>
          <t>Check</t>
        </is>
      </c>
      <c r="C4" s="17" t="inlineStr">
        <is>
          <t>Model</t>
        </is>
      </c>
      <c r="D4" s="17" t="inlineStr">
        <is>
          <t>Bound</t>
        </is>
      </c>
      <c r="E4" s="17" t="inlineStr"/>
      <c r="F4" s="17" t="inlineStr">
        <is>
          <t>What it means</t>
        </is>
      </c>
    </row>
    <row r="5">
      <c r="A5" s="44" t="n">
        <v>1</v>
      </c>
      <c r="B5" s="5" t="inlineStr">
        <is>
          <t>InP laser capacity</t>
        </is>
      </c>
      <c r="C5" s="33">
        <f>Units!D34</f>
        <v/>
      </c>
      <c r="D5" s="18">
        <f>1</f>
        <v/>
      </c>
      <c r="F5" s="2" t="inlineStr">
        <is>
          <t>Mgmt produced +80% more InP lasers y/y in the June-26 quarter, doubling y/y by end-September, and said those go specifically into 800G and 1.6T transceivers. 800G-DR8 and 1.6T-DR8 both use 8 lasers, so laser growth maps ~1:1 to module units.</t>
        </is>
      </c>
    </row>
    <row r="6">
      <c r="B6" s="45">
        <f>IF(Units!D34&lt;=0.80,"PASS",IF(Units!D34&lt;=1.00,"BINDING - above the +80% internal-laser figure; needs merchant EML growing as fast as internal, which mgmt contradicts","FAIL - units outrun the lasers"))</f>
        <v/>
      </c>
    </row>
    <row r="8">
      <c r="A8" s="44" t="n">
        <v>2</v>
      </c>
      <c r="B8" s="5" t="inlineStr">
        <is>
          <t>September-quarter growth floor</t>
        </is>
      </c>
      <c r="C8" s="33">
        <f>Calibration!C30</f>
        <v/>
      </c>
      <c r="D8" s="18">
        <f>0.8</f>
        <v/>
      </c>
      <c r="F8" s="2" t="inlineStr">
        <is>
          <t>Mgmt: "we would expect our data center growth this quarter on a year-over-year basis to EXCEED 80% — we've certainly got the lasers this quarter to make that happen" (Anderson, 2026-08-12).</t>
        </is>
      </c>
    </row>
    <row r="9">
      <c r="B9" s="45">
        <f>IF(Calibration!C30&gt;0.8,"PASS","FAIL — below the company's own stated floor")</f>
        <v/>
      </c>
    </row>
    <row r="11">
      <c r="A11" s="44" t="n">
        <v>3</v>
      </c>
      <c r="B11" s="5" t="inlineStr">
        <is>
          <t>Share versus the market leader</t>
        </is>
      </c>
      <c r="C11" s="33">
        <f>Calibration!C35</f>
        <v/>
      </c>
      <c r="D11" s="18">
        <f>0.27</f>
        <v/>
      </c>
      <c r="F11" s="2" t="inlineStr">
        <is>
          <t>Innolight is ~27% of the DC transceiver market (Damnang, 2026-08-04); Bernstein ranks COHR #2 behind it (2025-10-27).</t>
        </is>
      </c>
    </row>
    <row r="12">
      <c r="B12" s="45">
        <f>IF(Calibration!C35&lt;0.27,"PASS — below Innolight, consistent with #2","FAIL — implies COHR passes Innolight")</f>
        <v/>
      </c>
    </row>
    <row r="14">
      <c r="A14" s="44" t="n">
        <v>4</v>
      </c>
      <c r="B14" s="5" t="inlineStr">
        <is>
          <t>Legacy line vs CY23 actual</t>
        </is>
      </c>
      <c r="C14" s="33">
        <f>(Inputs!$C$29/Inputs!$C$17)^0.5-1</f>
        <v/>
      </c>
      <c r="D14" s="18">
        <f>0</f>
        <v/>
      </c>
      <c r="F14" s="2" t="inlineStr">
        <is>
          <t>COHR CY23 data-center revenue was $1,079.2m and was essentially all legacy — 800G was barely shipping industry-wide. The legacy setting implies this compound rate over 2023-25 as 400G rolls over.</t>
        </is>
      </c>
    </row>
    <row r="15">
      <c r="B15" s="45">
        <f>IF(AND((Inputs!$C$29/Inputs!$C$17)^0.5-1&gt;-0.3,(Inputs!$C$29/Inputs!$C$17)^0.5-1&lt;0.08),"PASS","CHECK — implied legacy trend is implausible")</f>
        <v/>
      </c>
    </row>
    <row r="17">
      <c r="A17" s="44" t="n">
        <v>5</v>
      </c>
      <c r="B17" s="5" t="inlineStr">
        <is>
          <t>CY28 is not a share problem</t>
        </is>
      </c>
      <c r="C17" s="33">
        <f>TAM!F18/TAM!E18-1</f>
        <v/>
      </c>
      <c r="D17" s="18">
        <f>TAM!F10/TAM!E10-1</f>
        <v/>
      </c>
      <c r="F17" s="2" t="inlineStr">
        <is>
          <t>GS has the AI dollar pool flat into 2028 while units keep growing: price gives back what volume adds. Holding share does not save 2028 — only a bigger pool or the non-module lines do.</t>
        </is>
      </c>
    </row>
    <row r="18">
      <c r="B18" s="45">
        <f>"INFORMATIONAL — pool dollars vs pool units, CY27 to CY28"</f>
        <v/>
      </c>
    </row>
    <row r="21">
      <c r="A21" s="3" t="inlineStr">
        <is>
          <t xml:space="preserve">  CHECKS THAT COULD NOT BE CLOSED — read these as the model's exposure</t>
        </is>
      </c>
      <c r="B21" s="4" t="n"/>
      <c r="C21" s="4" t="n"/>
      <c r="D21" s="4" t="n"/>
      <c r="E21" s="4" t="n"/>
      <c r="F21" s="4" t="n"/>
    </row>
    <row r="23">
      <c r="B23" s="6" t="inlineStr">
        <is>
          <t>BofA "20-30% global transceiver share"</t>
        </is>
      </c>
      <c r="F23" s="2" t="inlineStr">
        <is>
          <t>Reconciles on NEITHER dollar basis: COHR is ~14% of the AI pool and ~8% of all optical modules in CY25. Most likely a unit share of a Western/qualified subset, or a forward figure. NOT USED in this model. (BofA, 2026-05-13.)</t>
        </is>
      </c>
    </row>
    <row r="24">
      <c r="B24" s="6" t="inlineStr">
        <is>
          <t>Comms/Industrial inside the CQ3 anchor</t>
        </is>
      </c>
      <c r="F24" s="2" t="inlineStr">
        <is>
          <t>The exit-rate share is calibrated by subtracting JEFFERIES' Comms and Industrial forecasts from the COMPANY's total-revenue guide. Those are estimates, not guidance. A $50m error in either moves the calibrated share ~0.6pt and CY27E revenue ~4%.</t>
        </is>
      </c>
    </row>
    <row r="25">
      <c r="B25" s="6" t="inlineStr">
        <is>
          <t>The GS note is not on disk</t>
        </is>
      </c>
      <c r="F25" s="2" t="inlineStr">
        <is>
          <t>The TAM was ingested from a pasted exhibit with broker and date confirmed at ingest, but the underlying note has never been filed. Pull the PDF into _inbox/ when available. TAM is the single largest sensitivity in this model.</t>
        </is>
      </c>
    </row>
    <row r="26">
      <c r="B26" s="6" t="inlineStr">
        <is>
          <t>Comms and Industrial are not modelled</t>
        </is>
      </c>
      <c r="F26" s="2" t="inlineStr">
        <is>
          <t>Both are carried from Jefferies and together are 32% of CY27E revenue. Only 68% of this model is genuinely bottom-up.</t>
        </is>
      </c>
    </row>
    <row r="27">
      <c r="B27" s="6" t="inlineStr">
        <is>
          <t>GS 2026 pool growth is aggressive</t>
        </is>
      </c>
      <c r="F27" s="2" t="inlineStr">
        <is>
          <t>The AI pool grows +145% y/y in CY26 on GS's numbers. Citi carried "800G+ datacom ~$7bn in 2025" (2025-08-29) against GS's $13.2bn — a ~1.9x conflict. Treated here as a stale forecast vs a with-actuals model, but it is not resolved.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66" customWidth="1" min="8" max="8"/>
  </cols>
  <sheetData>
    <row r="1">
      <c r="A1" s="1" t="inlineStr">
        <is>
          <t>What every other forecast implies for share</t>
        </is>
      </c>
    </row>
    <row r="2">
      <c r="A2" s="2" t="inlineStr">
        <is>
          <t>Solve each published CY2027E revenue number backwards through the SAME Comms, Industrial, legacy and non-module lines. Like for like.</t>
        </is>
      </c>
    </row>
    <row r="4">
      <c r="A4" s="16" t="inlineStr">
        <is>
          <t>CY2027E</t>
        </is>
      </c>
      <c r="B4" s="17" t="inlineStr">
        <is>
          <t>Total rev</t>
        </is>
      </c>
      <c r="C4" s="17" t="inlineStr">
        <is>
          <t>less C+SD+I</t>
        </is>
      </c>
      <c r="D4" s="17" t="inlineStr">
        <is>
          <t>= DC</t>
        </is>
      </c>
      <c r="E4" s="17" t="inlineStr">
        <is>
          <t>= modules</t>
        </is>
      </c>
      <c r="F4" s="17" t="inlineStr"/>
      <c r="G4" s="17" t="inlineStr">
        <is>
          <t>Implied AI-pool share</t>
        </is>
      </c>
    </row>
    <row r="5">
      <c r="B5" s="16" t="inlineStr"/>
      <c r="C5" s="17" t="inlineStr"/>
      <c r="D5" s="17" t="inlineStr"/>
      <c r="E5" s="17" t="inlineStr"/>
      <c r="F5" s="17" t="inlineStr"/>
      <c r="G5" s="17" t="inlineStr"/>
      <c r="H5" s="17" t="inlineStr">
        <is>
          <t>share</t>
        </is>
      </c>
      <c r="I5" s="17" t="inlineStr">
        <is>
          <t>vs exit rate</t>
        </is>
      </c>
    </row>
    <row r="6">
      <c r="B6" s="5" t="inlineStr">
        <is>
          <t>Jefferies · Curtis 08-13</t>
        </is>
      </c>
      <c r="C6" s="35">
        <f>Inputs!D58</f>
        <v/>
      </c>
      <c r="D6" s="36">
        <f>-(Model!E12+Model!E14+Model!E13)</f>
        <v/>
      </c>
      <c r="E6" s="36">
        <f>C6+D6</f>
        <v/>
      </c>
      <c r="F6" s="36">
        <f>E6-Model!E9-Model!E10</f>
        <v/>
      </c>
      <c r="H6" s="33">
        <f>F6/TAM!E18</f>
        <v/>
      </c>
      <c r="I6" s="18">
        <f>H6-Calibration!C35</f>
        <v/>
      </c>
    </row>
    <row r="7">
      <c r="B7" s="5" t="inlineStr">
        <is>
          <t>BBG consensus 08-17</t>
        </is>
      </c>
      <c r="C7" s="35">
        <f>Inputs!D59</f>
        <v/>
      </c>
      <c r="D7" s="36">
        <f>-(Model!E12+Model!E14+Model!E13)</f>
        <v/>
      </c>
      <c r="E7" s="36">
        <f>C7+D7</f>
        <v/>
      </c>
      <c r="F7" s="36">
        <f>E7-Model!E9-Model!E10</f>
        <v/>
      </c>
      <c r="H7" s="33">
        <f>F7/TAM!E18</f>
        <v/>
      </c>
      <c r="I7" s="18">
        <f>H7-Calibration!C35</f>
        <v/>
      </c>
    </row>
    <row r="8">
      <c r="B8" s="5" t="inlineStr">
        <is>
          <t>Capstone house 05-26</t>
        </is>
      </c>
      <c r="C8" s="35">
        <f>Inputs!D60</f>
        <v/>
      </c>
      <c r="D8" s="36">
        <f>-(Model!E12+Model!E14+Model!E13)</f>
        <v/>
      </c>
      <c r="E8" s="36">
        <f>C8+D8</f>
        <v/>
      </c>
      <c r="F8" s="36">
        <f>E8-Model!E9-Model!E10</f>
        <v/>
      </c>
      <c r="H8" s="33">
        <f>F8/TAM!E18</f>
        <v/>
      </c>
      <c r="I8" s="18">
        <f>H8-Calibration!C35</f>
        <v/>
      </c>
    </row>
    <row r="9">
      <c r="B9" s="6" t="inlineStr">
        <is>
          <t>THIS MODEL</t>
        </is>
      </c>
      <c r="C9" s="38">
        <f>Model!E15</f>
        <v/>
      </c>
      <c r="D9" s="36">
        <f>-(Model!E12+Model!E14+Model!E13)</f>
        <v/>
      </c>
      <c r="E9" s="36">
        <f>Model!E11</f>
        <v/>
      </c>
      <c r="F9" s="36">
        <f>Model!E8</f>
        <v/>
      </c>
      <c r="H9" s="34">
        <f>Model!E7</f>
        <v/>
      </c>
      <c r="I9" s="18">
        <f>H9-Calibration!C35</f>
        <v/>
      </c>
    </row>
    <row r="10">
      <c r="B10" s="6" t="inlineStr">
        <is>
          <t>Sept-quarter guide exit rate</t>
        </is>
      </c>
      <c r="C10" s="2" t="inlineStr">
        <is>
          <t>reference</t>
        </is>
      </c>
      <c r="H10" s="34">
        <f>Calibration!C35</f>
        <v/>
      </c>
    </row>
    <row r="12">
      <c r="B12" s="5" t="inlineStr">
        <is>
          <t>Read the last two columns. Consensus and Jefferies both implicitly model COHR LOSING share versus the rate its own</t>
        </is>
      </c>
    </row>
    <row r="13">
      <c r="B13" s="5" t="inlineStr">
        <is>
          <t>September guide implies. The Capstone house model requires a large share GAIN inside about fifteen months — which</t>
        </is>
      </c>
    </row>
    <row r="14">
      <c r="B14" s="5" t="inlineStr">
        <is>
          <t>would put COHR level with Innolight, the global number one.</t>
        </is>
      </c>
    </row>
    <row r="16">
      <c r="A16" s="3" t="inlineStr">
        <is>
          <t xml:space="preserve">  SENSITIVITY — CY2027E total revenue</t>
        </is>
      </c>
      <c r="B16" s="4" t="n"/>
      <c r="C16" s="4" t="n"/>
      <c r="D16" s="4" t="n"/>
      <c r="E16" s="4" t="n"/>
      <c r="F16" s="4" t="n"/>
      <c r="G16" s="4" t="n"/>
      <c r="H16" s="4" t="n"/>
    </row>
    <row r="18">
      <c r="B18" s="5" t="inlineStr">
        <is>
          <t>Change one input at a time on the Inputs tab and watch Model!E15.</t>
        </is>
      </c>
    </row>
    <row r="19">
      <c r="B19" s="6" t="inlineStr">
        <is>
          <t>Ranked by swing (from the build, at base settings):</t>
        </is>
      </c>
    </row>
    <row r="20">
      <c r="B20" s="5" t="inlineStr">
        <is>
          <t>GS pool +/-15%</t>
        </is>
      </c>
      <c r="C20" s="19" t="inlineStr">
        <is>
          <t>$12.5bn / $14.9bn</t>
        </is>
      </c>
      <c r="E20" s="19" t="inlineStr">
        <is>
          <t>-9% / +9%</t>
        </is>
      </c>
    </row>
    <row r="21">
      <c r="B21" s="5" t="inlineStr">
        <is>
          <t>3.2T pushed to 2029 (650 Group view)</t>
        </is>
      </c>
      <c r="C21" s="19" t="inlineStr">
        <is>
          <t>$11.8bn</t>
        </is>
      </c>
      <c r="E21" s="19" t="inlineStr">
        <is>
          <t>-14%</t>
        </is>
      </c>
    </row>
    <row r="22">
      <c r="B22" s="5" t="inlineStr">
        <is>
          <t>AI-pool share +/-1.5pt</t>
        </is>
      </c>
      <c r="C22" s="19" t="inlineStr">
        <is>
          <t>$12.9bn / $14.6bn</t>
        </is>
      </c>
      <c r="E22" s="19" t="inlineStr">
        <is>
          <t>-6% / +6%</t>
        </is>
      </c>
    </row>
    <row r="23">
      <c r="B23" s="5" t="inlineStr">
        <is>
          <t>Non-module DC $400m / $1,200m</t>
        </is>
      </c>
      <c r="C23" s="19" t="inlineStr">
        <is>
          <t>$13.4bn / $14.2bn</t>
        </is>
      </c>
      <c r="E23" s="19" t="inlineStr">
        <is>
          <t>-3% / +3%</t>
        </is>
      </c>
    </row>
    <row r="24">
      <c r="B24" s="5" t="inlineStr">
        <is>
          <t>Comms +/-15%</t>
        </is>
      </c>
      <c r="C24" s="19" t="inlineStr">
        <is>
          <t>$13.3bn / $14.1bn</t>
        </is>
      </c>
      <c r="E24" s="19" t="inlineStr">
        <is>
          <t>-3% / +3%</t>
        </is>
      </c>
    </row>
    <row r="25">
      <c r="B25" s="5" t="inlineStr">
        <is>
          <t>Industrial +/-15%</t>
        </is>
      </c>
      <c r="C25" s="19" t="inlineStr">
        <is>
          <t>$13.5bn / $14.0bn</t>
        </is>
      </c>
      <c r="E25" s="19" t="inlineStr">
        <is>
          <t>-2% / +2%</t>
        </is>
      </c>
    </row>
    <row r="26">
      <c r="B26" s="5" t="inlineStr">
        <is>
          <t>Legacy datacom $600m / $1,100m</t>
        </is>
      </c>
      <c r="C26" s="19" t="inlineStr">
        <is>
          <t>$13.9bn / $13.6bn</t>
        </is>
      </c>
      <c r="E26" s="19" t="inlineStr">
        <is>
          <t>+1% / -1%</t>
        </is>
      </c>
    </row>
    <row r="28">
      <c r="B28" s="6" t="inlineStr">
        <is>
          <t>The TAM is the exposure, not the share. And the GS note is not on disk.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2026-08-17T19:57:58Z</dcterms:created>
  <dcterms:modified xmlns:dcterms="http://purl.org/dc/terms/" xmlns:xsi="http://www.w3.org/2001/XMLSchema-instance" xsi:type="dcterms:W3CDTF">2026-08-17T19:57:58Z</dcterms:modified>
</cp:coreProperties>
</file>