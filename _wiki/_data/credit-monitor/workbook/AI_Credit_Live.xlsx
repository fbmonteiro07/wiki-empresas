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P:\US Equities\Relatórios para a wiki\"/>
    </mc:Choice>
  </mc:AlternateContent>
  <xr:revisionPtr revIDLastSave="0" documentId="8_{DC295A2C-657D-464F-82E4-EC17BB7D93ED}" xr6:coauthVersionLast="47" xr6:coauthVersionMax="47" xr10:uidLastSave="{00000000-0000-0000-0000-000000000000}"/>
  <bookViews>
    <workbookView xWindow="28680" yWindow="-120" windowWidth="29040" windowHeight="15720" activeTab="1" xr2:uid="{00000000-000D-0000-FFFF-FFFF00000000}"/>
  </bookViews>
  <sheets>
    <sheet name="Monitor" sheetId="1" r:id="rId1"/>
    <sheet name="Deal Index" sheetId="2" r:id="rId2"/>
    <sheet name="Terms &amp; Lease" sheetId="3" r:id="rId3"/>
    <sheet name="Financials" sheetId="4" r:id="rId4"/>
    <sheet name="Since Barclays" sheetId="5" r:id="rId5"/>
    <sheet name="Other Instruments" sheetId="6" r:id="rId6"/>
    <sheet name="CDS" sheetId="7" r:id="rId7"/>
    <sheet name="Equities" sheetId="8" r:id="rId8"/>
    <sheet name="README" sheetId="9" r:id="rId9"/>
    <sheet name="HUTBPA" sheetId="10" r:id="rId10"/>
    <sheet name="HUTRBA" sheetId="11" r:id="rId11"/>
    <sheet name="RPLDCI" sheetId="12" r:id="rId12"/>
    <sheet name="TXEDCI" sheetId="13" r:id="rId13"/>
    <sheet name="RDMICH" sheetId="14" r:id="rId14"/>
    <sheet name="QTSODY" sheetId="15" r:id="rId15"/>
    <sheet name="QTSQST" sheetId="16" r:id="rId16"/>
    <sheet name="APLD" sheetId="17" r:id="rId17"/>
    <sheet name="PFORGE" sheetId="18" r:id="rId18"/>
    <sheet name="ELNFOR" sheetId="19" r:id="rId19"/>
    <sheet name="CIFR" sheetId="20" r:id="rId20"/>
    <sheet name="BLKPRL" sheetId="21" r:id="rId21"/>
    <sheet name="STNGRY" sheetId="22" r:id="rId22"/>
    <sheet name="CORZ" sheetId="23" r:id="rId23"/>
    <sheet name="EDGCOM" sheetId="24" r:id="rId24"/>
    <sheet name="TRACTC" sheetId="25" r:id="rId25"/>
    <sheet name="TRACTD" sheetId="26" r:id="rId26"/>
    <sheet name="FLASHC" sheetId="27" r:id="rId27"/>
    <sheet name="MERIDI" sheetId="28" r:id="rId28"/>
    <sheet name="ZENARC" sheetId="29" r:id="rId29"/>
    <sheet name="GALAXY" sheetId="30" r:id="rId30"/>
    <sheet name="ELKGVP" sheetId="31" r:id="rId31"/>
    <sheet name="SECMOS" sheetId="32" r:id="rId32"/>
    <sheet name="WULF" sheetId="33" r:id="rId33"/>
    <sheet name="YNDRDC" sheetId="34" r:id="rId34"/>
    <sheet name="CRWV" sheetId="35" r:id="rId35"/>
    <sheet name="ORCL" sheetId="36" r:id="rId36"/>
  </sheets>
  <definedNames>
    <definedName name="_xlnm.Print_Area" localSheetId="0">Monitor!$A$1:$Z$40</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8" l="1"/>
  <c r="D19" i="8"/>
  <c r="D18" i="8"/>
  <c r="D21" i="8"/>
  <c r="D14" i="8"/>
  <c r="D22" i="8"/>
  <c r="C12" i="7"/>
  <c r="C13" i="7"/>
  <c r="C11" i="7"/>
  <c r="C5" i="7"/>
  <c r="C10" i="7"/>
  <c r="L26" i="1"/>
  <c r="K7" i="1"/>
  <c r="K28" i="1"/>
  <c r="I18" i="1"/>
  <c r="H48" i="6"/>
  <c r="E53" i="6"/>
  <c r="T18" i="1"/>
  <c r="J7" i="1"/>
  <c r="E45" i="6"/>
  <c r="I28" i="1"/>
  <c r="G45" i="6"/>
  <c r="K26" i="1"/>
  <c r="F46" i="6"/>
  <c r="T7" i="1"/>
  <c r="J26" i="1"/>
  <c r="L7" i="1"/>
  <c r="F52" i="6"/>
  <c r="E46" i="6"/>
  <c r="H53" i="6"/>
  <c r="G48" i="6"/>
  <c r="G52" i="6"/>
  <c r="F53" i="6"/>
  <c r="K18" i="1"/>
  <c r="L28" i="1"/>
  <c r="G46" i="6"/>
  <c r="T26" i="1"/>
  <c r="L6" i="1"/>
  <c r="T6" i="1"/>
  <c r="E48" i="6"/>
  <c r="V31" i="1"/>
  <c r="V26" i="1"/>
  <c r="V25" i="1"/>
  <c r="V18" i="1"/>
  <c r="F45" i="6"/>
  <c r="K6" i="1"/>
  <c r="F48" i="6"/>
  <c r="E52" i="6"/>
  <c r="G53" i="6"/>
  <c r="J18" i="1"/>
  <c r="T28" i="1"/>
  <c r="H45" i="6"/>
  <c r="V30" i="1"/>
  <c r="J6" i="1"/>
  <c r="H52" i="6"/>
  <c r="I26" i="1"/>
  <c r="H46" i="6"/>
  <c r="L18" i="1"/>
  <c r="V7" i="1"/>
  <c r="V27" i="1"/>
  <c r="V10" i="1"/>
  <c r="J28" i="1"/>
  <c r="I6" i="1"/>
  <c r="I7" i="1"/>
  <c r="C17" i="7"/>
  <c r="C8" i="7"/>
  <c r="C15" i="7"/>
  <c r="C16" i="7"/>
  <c r="C14" i="7"/>
  <c r="C7" i="7"/>
  <c r="C9" i="7"/>
  <c r="C18" i="7"/>
  <c r="C19" i="7"/>
  <c r="C6" i="7"/>
  <c r="G44" i="6"/>
  <c r="L35" i="1"/>
  <c r="L16" i="1"/>
  <c r="G32" i="6"/>
  <c r="I16" i="1"/>
  <c r="V12" i="1"/>
  <c r="V11" i="1"/>
  <c r="V24" i="1"/>
  <c r="V23" i="1"/>
  <c r="K36" i="1"/>
  <c r="E32" i="6"/>
  <c r="L36" i="1"/>
  <c r="T9" i="1"/>
  <c r="I27" i="1"/>
  <c r="T27" i="1"/>
  <c r="I36" i="1"/>
  <c r="T15" i="1"/>
  <c r="H50" i="6"/>
  <c r="J31" i="1"/>
  <c r="T16" i="1"/>
  <c r="F44" i="6"/>
  <c r="E44" i="6"/>
  <c r="V29" i="1"/>
  <c r="V28" i="1"/>
  <c r="V22" i="1"/>
  <c r="V21" i="1"/>
  <c r="V17" i="1"/>
  <c r="V15" i="1"/>
  <c r="T36" i="1"/>
  <c r="L31" i="1"/>
  <c r="I31" i="1"/>
  <c r="K15" i="1"/>
  <c r="I15" i="1"/>
  <c r="J9" i="1"/>
  <c r="I9" i="1"/>
  <c r="F32" i="6"/>
  <c r="K31" i="1"/>
  <c r="J15" i="1"/>
  <c r="J16" i="1"/>
  <c r="I35" i="1"/>
  <c r="G50" i="6"/>
  <c r="T35" i="1"/>
  <c r="K35" i="1"/>
  <c r="L9" i="1"/>
  <c r="J35" i="1"/>
  <c r="J36" i="1"/>
  <c r="K27" i="1"/>
  <c r="H44" i="6"/>
  <c r="L15" i="1"/>
  <c r="L27" i="1"/>
  <c r="H32" i="6"/>
  <c r="F50" i="6"/>
  <c r="T31" i="1"/>
  <c r="K16" i="1"/>
  <c r="J27" i="1"/>
  <c r="E50" i="6"/>
  <c r="K9" i="1"/>
  <c r="T10" i="1"/>
  <c r="I23" i="1"/>
  <c r="F10" i="6"/>
  <c r="K22" i="1"/>
  <c r="T24" i="1"/>
  <c r="K24" i="1"/>
  <c r="J12" i="1"/>
  <c r="K12" i="1"/>
  <c r="T11" i="1"/>
  <c r="I17" i="1"/>
  <c r="I19" i="1"/>
  <c r="J17" i="1"/>
  <c r="J24" i="1"/>
  <c r="K17" i="1"/>
  <c r="E10" i="6"/>
  <c r="I11" i="1"/>
  <c r="G10" i="6"/>
  <c r="T12" i="1"/>
  <c r="L19" i="1"/>
  <c r="J11" i="1"/>
  <c r="T22" i="1"/>
  <c r="I10" i="1"/>
  <c r="L17" i="1"/>
  <c r="L12" i="1"/>
  <c r="I29" i="1"/>
  <c r="L29" i="1"/>
  <c r="T29" i="1"/>
  <c r="L22" i="1"/>
  <c r="H10" i="6"/>
  <c r="I24" i="1"/>
  <c r="K11" i="1"/>
  <c r="K19" i="1"/>
  <c r="I22" i="1"/>
  <c r="J29" i="1"/>
  <c r="J10" i="1"/>
  <c r="K23" i="1"/>
  <c r="T23" i="1"/>
  <c r="L10" i="1"/>
  <c r="L24" i="1"/>
  <c r="T19" i="1"/>
  <c r="L23" i="1"/>
  <c r="K29" i="1"/>
  <c r="J19" i="1"/>
  <c r="L11" i="1"/>
  <c r="I12" i="1"/>
  <c r="J23" i="1"/>
  <c r="T17" i="1"/>
  <c r="K10" i="1"/>
  <c r="J22" i="1"/>
  <c r="V6" i="1"/>
  <c r="G61" i="6"/>
  <c r="G26" i="6"/>
  <c r="E26" i="6"/>
  <c r="G25" i="6"/>
  <c r="E34" i="6"/>
  <c r="H29" i="6"/>
  <c r="G22" i="6"/>
  <c r="H34" i="6"/>
  <c r="E61" i="6"/>
  <c r="H14" i="6"/>
  <c r="E22" i="6"/>
  <c r="K26" i="6"/>
  <c r="G36" i="6"/>
  <c r="E31" i="6"/>
  <c r="F31" i="6"/>
  <c r="H22" i="6"/>
  <c r="G8" i="6"/>
  <c r="F25" i="6"/>
  <c r="H25" i="6"/>
  <c r="E25" i="6"/>
  <c r="F36" i="6"/>
  <c r="H8" i="6"/>
  <c r="E8" i="6"/>
  <c r="G31" i="6"/>
  <c r="G29" i="6"/>
  <c r="H36" i="6"/>
  <c r="G14" i="6"/>
  <c r="F26" i="6"/>
  <c r="F29" i="6"/>
  <c r="F8" i="6"/>
  <c r="E29" i="6"/>
  <c r="F34" i="6"/>
  <c r="H26" i="6"/>
  <c r="F14" i="6"/>
  <c r="E14" i="6"/>
  <c r="G34" i="6"/>
  <c r="H31" i="6"/>
  <c r="E36" i="6"/>
  <c r="H61" i="6"/>
  <c r="F61" i="6"/>
  <c r="F22" i="6"/>
  <c r="J8" i="1"/>
  <c r="L32" i="1"/>
  <c r="T20" i="1"/>
  <c r="T21" i="1"/>
  <c r="J21" i="1"/>
  <c r="J25" i="1"/>
  <c r="T32" i="1"/>
  <c r="F49" i="6"/>
  <c r="V32" i="1"/>
  <c r="V16" i="1"/>
  <c r="E47" i="6"/>
  <c r="K20" i="1"/>
  <c r="I30" i="1"/>
  <c r="L21" i="1"/>
  <c r="T30" i="1"/>
  <c r="J32" i="1"/>
  <c r="K21" i="1"/>
  <c r="I25" i="1"/>
  <c r="L30" i="1"/>
  <c r="K30" i="1"/>
  <c r="H51" i="6"/>
  <c r="G49" i="6"/>
  <c r="K8" i="1"/>
  <c r="E49" i="6"/>
  <c r="L25" i="1"/>
  <c r="J30" i="1"/>
  <c r="J20" i="1"/>
  <c r="H47" i="6"/>
  <c r="V9" i="1"/>
  <c r="V8" i="1"/>
  <c r="T8" i="1"/>
  <c r="K25" i="1"/>
  <c r="V20" i="1"/>
  <c r="V19" i="1"/>
  <c r="F51" i="6"/>
  <c r="G51" i="6"/>
  <c r="E51" i="6"/>
  <c r="F47" i="6"/>
  <c r="L20" i="1"/>
  <c r="K32" i="1"/>
  <c r="T25" i="1"/>
  <c r="L8" i="1"/>
  <c r="I20" i="1"/>
  <c r="G47" i="6"/>
  <c r="H49" i="6"/>
  <c r="I8" i="1"/>
  <c r="I21" i="1"/>
  <c r="I32" i="1"/>
  <c r="E54" i="6"/>
  <c r="G24" i="6"/>
  <c r="F11" i="6"/>
  <c r="H30" i="6"/>
  <c r="F35" i="6"/>
  <c r="H54" i="6"/>
  <c r="G9" i="6"/>
  <c r="E33" i="6"/>
  <c r="H24" i="6"/>
  <c r="G17" i="6"/>
  <c r="E24" i="6"/>
  <c r="E17" i="6"/>
  <c r="G21" i="6"/>
  <c r="F9" i="6"/>
  <c r="H11" i="6"/>
  <c r="F59" i="6"/>
  <c r="G59" i="6"/>
  <c r="H17" i="6"/>
  <c r="E11" i="6"/>
  <c r="G54" i="6"/>
  <c r="G11" i="6"/>
  <c r="E35" i="6"/>
  <c r="F21" i="6"/>
  <c r="E30" i="6"/>
  <c r="G35" i="6"/>
  <c r="F33" i="6"/>
  <c r="H59" i="6"/>
  <c r="F30" i="6"/>
  <c r="F54" i="6"/>
  <c r="E21" i="6"/>
  <c r="F24" i="6"/>
  <c r="H9" i="6"/>
  <c r="H21" i="6"/>
  <c r="H33" i="6"/>
  <c r="G30" i="6"/>
  <c r="G33" i="6"/>
  <c r="E59" i="6"/>
  <c r="H35" i="6"/>
  <c r="E9" i="6"/>
  <c r="F17" i="6"/>
  <c r="E16" i="6"/>
  <c r="H6" i="6"/>
  <c r="F40" i="6"/>
  <c r="E39" i="6"/>
  <c r="F12" i="6"/>
  <c r="E38" i="6"/>
  <c r="E28" i="6"/>
  <c r="H58" i="6"/>
  <c r="F37" i="6"/>
  <c r="H7" i="6"/>
  <c r="H37" i="6"/>
  <c r="H57" i="6"/>
  <c r="E40" i="6"/>
  <c r="H15" i="6"/>
  <c r="F39" i="6"/>
  <c r="E56" i="6"/>
  <c r="E37" i="6"/>
  <c r="H40" i="6"/>
  <c r="E42" i="6"/>
  <c r="E18" i="6"/>
  <c r="F42" i="6"/>
  <c r="G19" i="6"/>
  <c r="F19" i="6"/>
  <c r="F28" i="6"/>
  <c r="E12" i="6"/>
  <c r="E58" i="6"/>
  <c r="E19" i="6"/>
  <c r="G42" i="6"/>
  <c r="E60" i="6"/>
  <c r="F18" i="6"/>
  <c r="F60" i="6"/>
  <c r="G41" i="6"/>
  <c r="F7" i="6"/>
  <c r="H39" i="6"/>
  <c r="E41" i="6"/>
  <c r="F58" i="6"/>
  <c r="G15" i="6"/>
  <c r="H12" i="6"/>
  <c r="G40" i="6"/>
  <c r="F15" i="6"/>
  <c r="G60" i="6"/>
  <c r="H28" i="6"/>
  <c r="G16" i="6"/>
  <c r="G18" i="6"/>
  <c r="F6" i="6"/>
  <c r="G38" i="6"/>
  <c r="G7" i="6"/>
  <c r="E57" i="6"/>
  <c r="H42" i="6"/>
  <c r="G12" i="6"/>
  <c r="F38" i="6"/>
  <c r="G58" i="6"/>
  <c r="H60" i="6"/>
  <c r="F41" i="6"/>
  <c r="I23" i="8"/>
  <c r="G11" i="8"/>
  <c r="I19" i="8"/>
  <c r="G37" i="6"/>
  <c r="I12" i="8"/>
  <c r="H56" i="6"/>
  <c r="G56" i="6"/>
  <c r="H19" i="6"/>
  <c r="G19" i="8"/>
  <c r="I8" i="8"/>
  <c r="E15" i="8"/>
  <c r="F57" i="6"/>
  <c r="G39" i="6"/>
  <c r="F56" i="6"/>
  <c r="I10" i="8"/>
  <c r="H16" i="6"/>
  <c r="E10" i="8"/>
  <c r="E23" i="8"/>
  <c r="G6" i="6"/>
  <c r="G15" i="8"/>
  <c r="E6" i="6"/>
  <c r="G28" i="6"/>
  <c r="E11" i="8"/>
  <c r="E15" i="6"/>
  <c r="H41" i="6"/>
  <c r="E8" i="8"/>
  <c r="G57" i="6"/>
  <c r="E13" i="8"/>
  <c r="H38" i="6"/>
  <c r="G23" i="8"/>
  <c r="H18" i="6"/>
  <c r="I15" i="8"/>
  <c r="E7" i="6"/>
  <c r="G12" i="8"/>
  <c r="F16" i="6"/>
  <c r="G17" i="8"/>
  <c r="I13" i="8"/>
  <c r="E12" i="8"/>
  <c r="E17" i="8"/>
  <c r="E19" i="8"/>
  <c r="I17" i="8"/>
  <c r="I11" i="8"/>
  <c r="G10" i="8"/>
  <c r="G8" i="8"/>
  <c r="G13" i="8"/>
  <c r="G18" i="8"/>
  <c r="E7" i="8"/>
  <c r="G5" i="8"/>
  <c r="I14" i="8"/>
  <c r="G9" i="8"/>
  <c r="E5" i="8"/>
  <c r="G22" i="8"/>
  <c r="E20" i="8"/>
  <c r="E14" i="8"/>
  <c r="I18" i="8"/>
  <c r="E21" i="8"/>
  <c r="G21" i="8"/>
  <c r="I9" i="8"/>
  <c r="G16" i="8"/>
  <c r="G6" i="8"/>
  <c r="G20" i="8"/>
  <c r="E9" i="8"/>
  <c r="I7" i="8"/>
  <c r="G7" i="8"/>
  <c r="E6" i="8"/>
  <c r="I6" i="8"/>
  <c r="I16" i="8"/>
  <c r="E18" i="8"/>
  <c r="I5" i="8"/>
  <c r="I22" i="8"/>
  <c r="E16" i="8"/>
  <c r="I20" i="8"/>
  <c r="E22" i="8"/>
  <c r="I21" i="8"/>
  <c r="G14" i="8"/>
  <c r="D58" i="6"/>
  <c r="K58" i="6" s="1"/>
  <c r="D36" i="6"/>
  <c r="K36" i="6" s="1"/>
  <c r="D9" i="8"/>
  <c r="H9" i="1"/>
  <c r="O9" i="1" s="1"/>
  <c r="H12" i="1"/>
  <c r="O12" i="1" s="1"/>
  <c r="H18" i="1"/>
  <c r="O18" i="1" s="1"/>
  <c r="D57" i="6"/>
  <c r="K57" i="6" s="1"/>
  <c r="D6" i="6"/>
  <c r="K6" i="6" s="1"/>
  <c r="F12" i="8"/>
  <c r="D21" i="6"/>
  <c r="K21" i="6" s="1"/>
  <c r="H25" i="1"/>
  <c r="O25" i="1" s="1"/>
  <c r="D53" i="6"/>
  <c r="K53" i="6" s="1"/>
  <c r="D54" i="6"/>
  <c r="K54" i="6" s="1"/>
  <c r="H29" i="1"/>
  <c r="O29" i="1" s="1"/>
  <c r="D9" i="6"/>
  <c r="K9" i="6" s="1"/>
  <c r="F16" i="8"/>
  <c r="D37" i="6"/>
  <c r="K37" i="6" s="1"/>
  <c r="D60" i="6"/>
  <c r="K60" i="6" s="1"/>
  <c r="F15" i="8"/>
  <c r="D19" i="6"/>
  <c r="K19" i="6" s="1"/>
  <c r="D11" i="8"/>
  <c r="H20" i="1"/>
  <c r="O20" i="1" s="1"/>
  <c r="D31" i="6"/>
  <c r="K31" i="6" s="1"/>
  <c r="D35" i="6"/>
  <c r="K35" i="6" s="1"/>
  <c r="H27" i="1"/>
  <c r="O27" i="1" s="1"/>
  <c r="D8" i="8"/>
  <c r="F19" i="8"/>
  <c r="H26" i="1"/>
  <c r="O26" i="1" s="1"/>
  <c r="F8" i="8"/>
  <c r="D13" i="8"/>
  <c r="D6" i="8"/>
  <c r="H30" i="1"/>
  <c r="O30" i="1" s="1"/>
  <c r="H35" i="1"/>
  <c r="O35" i="1" s="1"/>
  <c r="D5" i="8"/>
  <c r="D25" i="6"/>
  <c r="K25" i="6" s="1"/>
  <c r="F5" i="8"/>
  <c r="D38" i="6"/>
  <c r="K38" i="6" s="1"/>
  <c r="D45" i="6"/>
  <c r="K45" i="6" s="1"/>
  <c r="D10" i="6"/>
  <c r="K10" i="6" s="1"/>
  <c r="D7" i="8"/>
  <c r="D17" i="8"/>
  <c r="H21" i="1"/>
  <c r="O21" i="1" s="1"/>
  <c r="D28" i="6"/>
  <c r="K28" i="6" s="1"/>
  <c r="D39" i="6"/>
  <c r="K39" i="6" s="1"/>
  <c r="D16" i="6"/>
  <c r="K16" i="6" s="1"/>
  <c r="D8" i="6"/>
  <c r="K8" i="6" s="1"/>
  <c r="D47" i="6"/>
  <c r="K47" i="6" s="1"/>
  <c r="D46" i="6"/>
  <c r="K46" i="6" s="1"/>
  <c r="D32" i="6"/>
  <c r="K32" i="6" s="1"/>
  <c r="F23" i="8"/>
  <c r="F18" i="8"/>
  <c r="D17" i="6"/>
  <c r="K17" i="6" s="1"/>
  <c r="H11" i="1"/>
  <c r="O11" i="1" s="1"/>
  <c r="D14" i="6"/>
  <c r="K14" i="6" s="1"/>
  <c r="D24" i="6"/>
  <c r="K24" i="6" s="1"/>
  <c r="F11" i="8"/>
  <c r="D15" i="8"/>
  <c r="H15" i="1"/>
  <c r="O15" i="1" s="1"/>
  <c r="H7" i="1"/>
  <c r="O7" i="1" s="1"/>
  <c r="H16" i="1"/>
  <c r="O16" i="1" s="1"/>
  <c r="D16" i="8"/>
  <c r="D18" i="6"/>
  <c r="K18" i="6" s="1"/>
  <c r="H17" i="1"/>
  <c r="O17" i="1" s="1"/>
  <c r="D51" i="6"/>
  <c r="K51" i="6" s="1"/>
  <c r="D29" i="6"/>
  <c r="K29" i="6" s="1"/>
  <c r="H10" i="1"/>
  <c r="O10" i="1" s="1"/>
  <c r="D50" i="6"/>
  <c r="K50" i="6" s="1"/>
  <c r="F22" i="8"/>
  <c r="D34" i="6"/>
  <c r="K34" i="6" s="1"/>
  <c r="D49" i="6"/>
  <c r="K49" i="6" s="1"/>
  <c r="H36" i="1"/>
  <c r="O36" i="1" s="1"/>
  <c r="D48" i="6"/>
  <c r="K48" i="6" s="1"/>
  <c r="D10" i="8"/>
  <c r="F21" i="8"/>
  <c r="F20" i="8"/>
  <c r="H19" i="1"/>
  <c r="O19" i="1" s="1"/>
  <c r="F17" i="8"/>
  <c r="D23" i="8"/>
  <c r="D11" i="6"/>
  <c r="K11" i="6" s="1"/>
  <c r="F14" i="8"/>
  <c r="D12" i="6"/>
  <c r="K12" i="6" s="1"/>
  <c r="F7" i="8"/>
  <c r="D12" i="8"/>
  <c r="F10" i="8"/>
  <c r="F13" i="8"/>
  <c r="D56" i="6"/>
  <c r="K56" i="6" s="1"/>
  <c r="D26" i="6"/>
  <c r="H32" i="1"/>
  <c r="O32" i="1" s="1"/>
  <c r="D41" i="6"/>
  <c r="K41" i="6" s="1"/>
  <c r="H31" i="1"/>
  <c r="O31" i="1" s="1"/>
  <c r="H8" i="1"/>
  <c r="O8" i="1" s="1"/>
  <c r="H24" i="1"/>
  <c r="O24" i="1" s="1"/>
  <c r="D44" i="6"/>
  <c r="K44" i="6" s="1"/>
  <c r="F6" i="8"/>
  <c r="D42" i="6"/>
  <c r="K42" i="6" s="1"/>
  <c r="H23" i="1"/>
  <c r="O23" i="1" s="1"/>
  <c r="D61" i="6"/>
  <c r="K61" i="6" s="1"/>
  <c r="D59" i="6"/>
  <c r="K59" i="6" s="1"/>
  <c r="D30" i="6"/>
  <c r="K30" i="6" s="1"/>
  <c r="D7" i="6"/>
  <c r="K7" i="6" s="1"/>
  <c r="H6" i="1"/>
  <c r="O6" i="1" s="1"/>
  <c r="F9" i="8"/>
  <c r="H22" i="1"/>
  <c r="O22" i="1" s="1"/>
  <c r="D33" i="6"/>
  <c r="K33" i="6" s="1"/>
  <c r="H28" i="1"/>
  <c r="O28" i="1" s="1"/>
  <c r="D22" i="6"/>
  <c r="K22" i="6" s="1"/>
  <c r="D52" i="6"/>
  <c r="K52" i="6" s="1"/>
  <c r="D15" i="6"/>
  <c r="K15" i="6" s="1"/>
  <c r="D40" i="6"/>
  <c r="K40" i="6" s="1"/>
  <c r="B13" i="36"/>
  <c r="B12" i="36"/>
  <c r="B11" i="36"/>
  <c r="B10" i="36"/>
  <c r="B6" i="36"/>
  <c r="B13" i="35"/>
  <c r="B12" i="35"/>
  <c r="B11" i="35"/>
  <c r="B10" i="35"/>
  <c r="B6" i="35"/>
  <c r="B13" i="34"/>
  <c r="B12" i="34"/>
  <c r="B10" i="34"/>
  <c r="B6" i="34"/>
  <c r="B13" i="33"/>
  <c r="B12" i="33"/>
  <c r="B10" i="33"/>
  <c r="B6" i="33"/>
  <c r="B13" i="32"/>
  <c r="B12" i="32"/>
  <c r="B10" i="32"/>
  <c r="B6" i="32"/>
  <c r="B13" i="31"/>
  <c r="B12" i="31"/>
  <c r="B10" i="31"/>
  <c r="B6" i="31"/>
  <c r="B13" i="30"/>
  <c r="B12" i="30"/>
  <c r="B10" i="30"/>
  <c r="B6" i="30"/>
  <c r="B13" i="29"/>
  <c r="B12" i="29"/>
  <c r="B10" i="29"/>
  <c r="B6" i="29"/>
  <c r="B13" i="28"/>
  <c r="B12" i="28"/>
  <c r="B10" i="28"/>
  <c r="B6" i="28"/>
  <c r="B13" i="27"/>
  <c r="B12" i="27"/>
  <c r="B10" i="27"/>
  <c r="B6" i="27"/>
  <c r="B13" i="26"/>
  <c r="B12" i="26"/>
  <c r="B10" i="26"/>
  <c r="B6" i="26"/>
  <c r="B13" i="25"/>
  <c r="B12" i="25"/>
  <c r="B10" i="25"/>
  <c r="B6" i="25"/>
  <c r="B13" i="24"/>
  <c r="B12" i="24"/>
  <c r="B10" i="24"/>
  <c r="B6" i="24"/>
  <c r="B13" i="23"/>
  <c r="B12" i="23"/>
  <c r="B10" i="23"/>
  <c r="B6" i="23"/>
  <c r="B13" i="22"/>
  <c r="B12" i="22"/>
  <c r="B10" i="22"/>
  <c r="B6" i="22"/>
  <c r="B13" i="21"/>
  <c r="B12" i="21"/>
  <c r="B10" i="21"/>
  <c r="B6" i="21"/>
  <c r="B13" i="20"/>
  <c r="B12" i="20"/>
  <c r="B10" i="20"/>
  <c r="B6" i="20"/>
  <c r="B13" i="19"/>
  <c r="B12" i="19"/>
  <c r="B10" i="19"/>
  <c r="B6" i="19"/>
  <c r="B13" i="18"/>
  <c r="B12" i="18"/>
  <c r="B10" i="18"/>
  <c r="B6" i="18"/>
  <c r="B13" i="17"/>
  <c r="B12" i="17"/>
  <c r="B10" i="17"/>
  <c r="B6" i="17"/>
  <c r="B13" i="16"/>
  <c r="B12" i="16"/>
  <c r="B10" i="16"/>
  <c r="B6" i="16"/>
  <c r="B13" i="15"/>
  <c r="B12" i="15"/>
  <c r="B10" i="15"/>
  <c r="B6" i="15"/>
  <c r="B13" i="14"/>
  <c r="B12" i="14"/>
  <c r="B10" i="14"/>
  <c r="B6" i="14"/>
  <c r="B13" i="13"/>
  <c r="B12" i="13"/>
  <c r="B10" i="13"/>
  <c r="B6" i="13"/>
  <c r="B13" i="12"/>
  <c r="B12" i="12"/>
  <c r="B10" i="12"/>
  <c r="B6" i="12"/>
  <c r="B13" i="11"/>
  <c r="B12" i="11"/>
  <c r="B10" i="11"/>
  <c r="B6" i="11"/>
  <c r="B13" i="10"/>
  <c r="B12" i="10"/>
  <c r="B10" i="10"/>
  <c r="B6" i="10"/>
  <c r="F36" i="4"/>
  <c r="F35" i="4"/>
  <c r="N32" i="4"/>
  <c r="F32" i="4"/>
  <c r="O32" i="4" s="1"/>
  <c r="N31" i="4"/>
  <c r="F31" i="4"/>
  <c r="O31" i="4" s="1"/>
  <c r="N30" i="4"/>
  <c r="F30" i="4"/>
  <c r="O30" i="4" s="1"/>
  <c r="O29" i="4"/>
  <c r="N29" i="4"/>
  <c r="F29" i="4"/>
  <c r="N28" i="4"/>
  <c r="F28" i="4"/>
  <c r="O28" i="4" s="1"/>
  <c r="O27" i="4"/>
  <c r="N27" i="4"/>
  <c r="F27" i="4"/>
  <c r="N26" i="4"/>
  <c r="F26" i="4"/>
  <c r="O26" i="4" s="1"/>
  <c r="O25" i="4"/>
  <c r="N25" i="4"/>
  <c r="F25" i="4"/>
  <c r="N24" i="4"/>
  <c r="F24" i="4"/>
  <c r="O24" i="4" s="1"/>
  <c r="O23" i="4"/>
  <c r="N23" i="4"/>
  <c r="F23" i="4"/>
  <c r="O22" i="4"/>
  <c r="N22" i="4"/>
  <c r="F22" i="4"/>
  <c r="O21" i="4"/>
  <c r="N21" i="4"/>
  <c r="F21" i="4"/>
  <c r="N20" i="4"/>
  <c r="F20" i="4"/>
  <c r="O20" i="4" s="1"/>
  <c r="N19" i="4"/>
  <c r="F19" i="4"/>
  <c r="O19" i="4" s="1"/>
  <c r="O18" i="4"/>
  <c r="N18" i="4"/>
  <c r="F18" i="4"/>
  <c r="O17" i="4"/>
  <c r="N17" i="4"/>
  <c r="F17" i="4"/>
  <c r="O16" i="4"/>
  <c r="N16" i="4"/>
  <c r="F16" i="4"/>
  <c r="N15" i="4"/>
  <c r="F15" i="4"/>
  <c r="O15" i="4" s="1"/>
  <c r="N12" i="4"/>
  <c r="F12" i="4"/>
  <c r="O12" i="4" s="1"/>
  <c r="O11" i="4"/>
  <c r="N11" i="4"/>
  <c r="F11" i="4"/>
  <c r="O10" i="4"/>
  <c r="N10" i="4"/>
  <c r="F10" i="4"/>
  <c r="N9" i="4"/>
  <c r="F9" i="4"/>
  <c r="O9" i="4" s="1"/>
  <c r="N8" i="4"/>
  <c r="F8" i="4"/>
  <c r="O8" i="4" s="1"/>
  <c r="O7" i="4"/>
  <c r="N7" i="4"/>
  <c r="F7" i="4"/>
  <c r="O6" i="4"/>
  <c r="N6" i="4"/>
  <c r="F6" i="4"/>
  <c r="G33" i="1"/>
  <c r="G13" i="1"/>
  <c r="J29" i="6" l="1"/>
  <c r="I29" i="6"/>
  <c r="Q18" i="1"/>
  <c r="E18" i="4"/>
  <c r="K18" i="5"/>
  <c r="B5" i="20"/>
  <c r="K15" i="5"/>
  <c r="E15" i="4"/>
  <c r="B5" i="17"/>
  <c r="Q15" i="1"/>
  <c r="J52" i="6"/>
  <c r="I52" i="6"/>
  <c r="W26" i="1"/>
  <c r="W9" i="1"/>
  <c r="H14" i="8"/>
  <c r="M19" i="6"/>
  <c r="H7" i="8"/>
  <c r="J24" i="5"/>
  <c r="P24" i="1"/>
  <c r="B4" i="26"/>
  <c r="D24" i="3"/>
  <c r="G24" i="3" s="1"/>
  <c r="N24" i="1"/>
  <c r="B8" i="26" s="1"/>
  <c r="D24" i="4"/>
  <c r="M24" i="1"/>
  <c r="B7" i="26" s="1"/>
  <c r="M21" i="6"/>
  <c r="W20" i="1"/>
  <c r="D25" i="4"/>
  <c r="D25" i="3"/>
  <c r="G25" i="3" s="1"/>
  <c r="B4" i="27"/>
  <c r="P25" i="1"/>
  <c r="M25" i="1"/>
  <c r="B7" i="27" s="1"/>
  <c r="N25" i="1"/>
  <c r="B8" i="27" s="1"/>
  <c r="J25" i="5"/>
  <c r="J18" i="6"/>
  <c r="I18" i="6"/>
  <c r="N10" i="1"/>
  <c r="B8" i="14" s="1"/>
  <c r="M10" i="1"/>
  <c r="B7" i="14" s="1"/>
  <c r="B4" i="14"/>
  <c r="P10" i="1"/>
  <c r="D10" i="4"/>
  <c r="J10" i="5"/>
  <c r="D10" i="3"/>
  <c r="G10" i="3" s="1"/>
  <c r="J14" i="6"/>
  <c r="I14" i="6"/>
  <c r="I49" i="6"/>
  <c r="J49" i="6"/>
  <c r="E17" i="4"/>
  <c r="Q17" i="1"/>
  <c r="K17" i="5"/>
  <c r="B5" i="19"/>
  <c r="M51" i="6"/>
  <c r="M47" i="6"/>
  <c r="G18" i="7"/>
  <c r="E18" i="7"/>
  <c r="K31" i="5"/>
  <c r="Q31" i="1"/>
  <c r="E31" i="4"/>
  <c r="B5" i="33"/>
  <c r="M54" i="6"/>
  <c r="W19" i="1"/>
  <c r="I41" i="6"/>
  <c r="J41" i="6"/>
  <c r="M41" i="6"/>
  <c r="K24" i="5"/>
  <c r="Q24" i="1"/>
  <c r="E24" i="4"/>
  <c r="B5" i="26"/>
  <c r="E8" i="7"/>
  <c r="G8" i="7"/>
  <c r="P20" i="1"/>
  <c r="J20" i="5"/>
  <c r="N20" i="1"/>
  <c r="B8" i="22" s="1"/>
  <c r="M20" i="1"/>
  <c r="B7" i="22" s="1"/>
  <c r="D20" i="3"/>
  <c r="G20" i="3" s="1"/>
  <c r="D20" i="4"/>
  <c r="B4" i="22"/>
  <c r="Q7" i="1"/>
  <c r="E7" i="4"/>
  <c r="B5" i="11"/>
  <c r="K7" i="5"/>
  <c r="J51" i="6"/>
  <c r="I51" i="6"/>
  <c r="J22" i="6"/>
  <c r="I22" i="6"/>
  <c r="K12" i="5"/>
  <c r="Q12" i="1"/>
  <c r="B5" i="16"/>
  <c r="E12" i="4"/>
  <c r="J8" i="5"/>
  <c r="M8" i="1"/>
  <c r="B7" i="12" s="1"/>
  <c r="P8" i="1"/>
  <c r="N8" i="1"/>
  <c r="B8" i="12" s="1"/>
  <c r="D8" i="3"/>
  <c r="G8" i="3" s="1"/>
  <c r="B4" i="12"/>
  <c r="D8" i="4"/>
  <c r="E35" i="4"/>
  <c r="Q35" i="1"/>
  <c r="B5" i="35"/>
  <c r="K35" i="5"/>
  <c r="I25" i="6"/>
  <c r="J25" i="6"/>
  <c r="I59" i="6"/>
  <c r="J59" i="6"/>
  <c r="I33" i="6"/>
  <c r="J33" i="6"/>
  <c r="J17" i="6"/>
  <c r="I17" i="6"/>
  <c r="M33" i="6"/>
  <c r="J31" i="5"/>
  <c r="P31" i="1"/>
  <c r="D31" i="3"/>
  <c r="G31" i="3" s="1"/>
  <c r="N31" i="1"/>
  <c r="B8" i="33" s="1"/>
  <c r="D31" i="4"/>
  <c r="B4" i="33"/>
  <c r="M31" i="1"/>
  <c r="B7" i="33" s="1"/>
  <c r="J40" i="6"/>
  <c r="I40" i="6"/>
  <c r="G5" i="7"/>
  <c r="E5" i="7"/>
  <c r="P7" i="1"/>
  <c r="M7" i="1"/>
  <c r="B7" i="11" s="1"/>
  <c r="D7" i="4"/>
  <c r="N7" i="1"/>
  <c r="B8" i="11" s="1"/>
  <c r="B4" i="11"/>
  <c r="J7" i="5"/>
  <c r="D7" i="3"/>
  <c r="G7" i="3" s="1"/>
  <c r="W32" i="1"/>
  <c r="M30" i="6"/>
  <c r="H9" i="8"/>
  <c r="Q20" i="1"/>
  <c r="E20" i="4"/>
  <c r="K20" i="5"/>
  <c r="B5" i="22"/>
  <c r="W28" i="1"/>
  <c r="M37" i="6"/>
  <c r="K22" i="5"/>
  <c r="E22" i="4"/>
  <c r="B5" i="24"/>
  <c r="Q22" i="1"/>
  <c r="I9" i="6"/>
  <c r="J9" i="6"/>
  <c r="J45" i="6"/>
  <c r="I45" i="6"/>
  <c r="G16" i="7"/>
  <c r="E16" i="7"/>
  <c r="H23" i="8"/>
  <c r="E17" i="7"/>
  <c r="G17" i="7"/>
  <c r="I54" i="6"/>
  <c r="J54" i="6"/>
  <c r="D27" i="3"/>
  <c r="G27" i="3" s="1"/>
  <c r="P27" i="1"/>
  <c r="J27" i="5"/>
  <c r="L27" i="5" s="1"/>
  <c r="N27" i="1"/>
  <c r="B8" i="29" s="1"/>
  <c r="M27" i="1"/>
  <c r="B7" i="29" s="1"/>
  <c r="D27" i="4"/>
  <c r="B4" i="29"/>
  <c r="J6" i="6"/>
  <c r="I6" i="6"/>
  <c r="M6" i="6"/>
  <c r="W15" i="1"/>
  <c r="J30" i="6"/>
  <c r="I30" i="6"/>
  <c r="H19" i="8"/>
  <c r="W7" i="1"/>
  <c r="E9" i="7"/>
  <c r="G9" i="7"/>
  <c r="J12" i="5"/>
  <c r="D12" i="3"/>
  <c r="G12" i="3" s="1"/>
  <c r="B4" i="16"/>
  <c r="P12" i="1"/>
  <c r="N12" i="1"/>
  <c r="B8" i="16" s="1"/>
  <c r="M12" i="1"/>
  <c r="B7" i="16" s="1"/>
  <c r="D12" i="4"/>
  <c r="M16" i="6"/>
  <c r="D18" i="4"/>
  <c r="M18" i="1"/>
  <c r="B7" i="20" s="1"/>
  <c r="D18" i="3"/>
  <c r="G18" i="3" s="1"/>
  <c r="N18" i="1"/>
  <c r="B8" i="20" s="1"/>
  <c r="P18" i="1"/>
  <c r="J18" i="5"/>
  <c r="B4" i="20"/>
  <c r="Q30" i="1"/>
  <c r="K30" i="5"/>
  <c r="E30" i="4"/>
  <c r="B5" i="32"/>
  <c r="M25" i="6"/>
  <c r="M59" i="6"/>
  <c r="H13" i="8"/>
  <c r="M44" i="6"/>
  <c r="M14" i="6"/>
  <c r="J37" i="6"/>
  <c r="I37" i="6"/>
  <c r="G10" i="7"/>
  <c r="E10" i="7"/>
  <c r="W30" i="1"/>
  <c r="M9" i="6"/>
  <c r="M45" i="6"/>
  <c r="K8" i="5"/>
  <c r="Q8" i="1"/>
  <c r="B5" i="12"/>
  <c r="E8" i="4"/>
  <c r="E25" i="4"/>
  <c r="Q25" i="1"/>
  <c r="B5" i="27"/>
  <c r="K25" i="5"/>
  <c r="J31" i="6"/>
  <c r="I31" i="6"/>
  <c r="H16" i="8"/>
  <c r="W22" i="1"/>
  <c r="Q27" i="1"/>
  <c r="K27" i="5"/>
  <c r="M27" i="5" s="1"/>
  <c r="B5" i="29"/>
  <c r="E27" i="4"/>
  <c r="J28" i="6"/>
  <c r="I28" i="6"/>
  <c r="W10" i="1"/>
  <c r="M28" i="6"/>
  <c r="I35" i="6"/>
  <c r="J35" i="6"/>
  <c r="H6" i="8"/>
  <c r="J61" i="6"/>
  <c r="I61" i="6"/>
  <c r="W29" i="1"/>
  <c r="M31" i="6"/>
  <c r="W16" i="1"/>
  <c r="N23" i="1"/>
  <c r="B8" i="25" s="1"/>
  <c r="M23" i="1"/>
  <c r="B7" i="25" s="1"/>
  <c r="P23" i="1"/>
  <c r="D23" i="4"/>
  <c r="D23" i="3"/>
  <c r="G23" i="3" s="1"/>
  <c r="J23" i="5"/>
  <c r="B4" i="25"/>
  <c r="J7" i="6"/>
  <c r="I7" i="6"/>
  <c r="M61" i="6"/>
  <c r="H22" i="8"/>
  <c r="H20" i="8"/>
  <c r="I57" i="6"/>
  <c r="J57" i="6"/>
  <c r="M18" i="6"/>
  <c r="G11" i="7"/>
  <c r="E11" i="7"/>
  <c r="E21" i="4"/>
  <c r="Q21" i="1"/>
  <c r="K21" i="5"/>
  <c r="B5" i="23"/>
  <c r="M32" i="6"/>
  <c r="J42" i="6"/>
  <c r="I42" i="6"/>
  <c r="E12" i="7"/>
  <c r="G12" i="7"/>
  <c r="D11" i="4"/>
  <c r="J11" i="5"/>
  <c r="L11" i="5" s="1"/>
  <c r="P11" i="1"/>
  <c r="M11" i="1"/>
  <c r="B7" i="15" s="1"/>
  <c r="N11" i="1"/>
  <c r="B8" i="15" s="1"/>
  <c r="D11" i="3"/>
  <c r="G11" i="3" s="1"/>
  <c r="B4" i="15"/>
  <c r="J28" i="5"/>
  <c r="B4" i="30"/>
  <c r="D28" i="4"/>
  <c r="D28" i="3"/>
  <c r="G28" i="3" s="1"/>
  <c r="M28" i="1"/>
  <c r="B7" i="30" s="1"/>
  <c r="P28" i="1"/>
  <c r="N28" i="1"/>
  <c r="B8" i="30" s="1"/>
  <c r="M7" i="6"/>
  <c r="J11" i="6"/>
  <c r="I11" i="6"/>
  <c r="M49" i="6"/>
  <c r="H10" i="8"/>
  <c r="M57" i="6"/>
  <c r="J21" i="5"/>
  <c r="D21" i="4"/>
  <c r="D21" i="3"/>
  <c r="G21" i="3" s="1"/>
  <c r="M21" i="1"/>
  <c r="B7" i="23" s="1"/>
  <c r="B4" i="23"/>
  <c r="P21" i="1"/>
  <c r="N21" i="1"/>
  <c r="B8" i="23" s="1"/>
  <c r="E32" i="4"/>
  <c r="B5" i="34"/>
  <c r="K32" i="5"/>
  <c r="Q32" i="1"/>
  <c r="W18" i="1"/>
  <c r="J39" i="6"/>
  <c r="I39" i="6"/>
  <c r="H12" i="8"/>
  <c r="W6" i="1"/>
  <c r="K9" i="5"/>
  <c r="E9" i="4"/>
  <c r="B5" i="13"/>
  <c r="Q9" i="1"/>
  <c r="H33" i="1"/>
  <c r="D15" i="3"/>
  <c r="G15" i="3" s="1"/>
  <c r="B4" i="17"/>
  <c r="M15" i="1"/>
  <c r="P15" i="1"/>
  <c r="J15" i="5"/>
  <c r="N15" i="1"/>
  <c r="B8" i="17" s="1"/>
  <c r="D15" i="4"/>
  <c r="W23" i="1"/>
  <c r="P30" i="1"/>
  <c r="N30" i="1"/>
  <c r="B8" i="32" s="1"/>
  <c r="M30" i="1"/>
  <c r="B7" i="32" s="1"/>
  <c r="J30" i="5"/>
  <c r="B4" i="32"/>
  <c r="D30" i="3"/>
  <c r="G30" i="3" s="1"/>
  <c r="D30" i="4"/>
  <c r="Q36" i="1"/>
  <c r="K36" i="5"/>
  <c r="B5" i="36"/>
  <c r="E36" i="4"/>
  <c r="M39" i="6"/>
  <c r="M42" i="6"/>
  <c r="I47" i="6"/>
  <c r="J47" i="6"/>
  <c r="J50" i="6"/>
  <c r="I50" i="6"/>
  <c r="E15" i="7"/>
  <c r="G15" i="7"/>
  <c r="M52" i="6"/>
  <c r="M22" i="6"/>
  <c r="M53" i="6"/>
  <c r="W12" i="1"/>
  <c r="P36" i="1"/>
  <c r="J36" i="5"/>
  <c r="N36" i="1"/>
  <c r="B8" i="36" s="1"/>
  <c r="M36" i="1"/>
  <c r="B7" i="36" s="1"/>
  <c r="D36" i="3"/>
  <c r="B4" i="36"/>
  <c r="D36" i="4"/>
  <c r="M35" i="6"/>
  <c r="E11" i="4"/>
  <c r="Q11" i="1"/>
  <c r="K11" i="5"/>
  <c r="M11" i="5" s="1"/>
  <c r="B5" i="15"/>
  <c r="D17" i="3"/>
  <c r="G17" i="3" s="1"/>
  <c r="D17" i="4"/>
  <c r="P17" i="1"/>
  <c r="J17" i="5"/>
  <c r="N17" i="1"/>
  <c r="B8" i="19" s="1"/>
  <c r="M17" i="1"/>
  <c r="B7" i="19" s="1"/>
  <c r="B4" i="19"/>
  <c r="W25" i="1"/>
  <c r="E28" i="4"/>
  <c r="K28" i="5"/>
  <c r="B5" i="30"/>
  <c r="Q28" i="1"/>
  <c r="M8" i="6"/>
  <c r="M11" i="6"/>
  <c r="J16" i="6"/>
  <c r="I16" i="6"/>
  <c r="J19" i="6"/>
  <c r="I19" i="6"/>
  <c r="H17" i="8"/>
  <c r="W8" i="1"/>
  <c r="E10" i="4"/>
  <c r="B5" i="14"/>
  <c r="Q10" i="1"/>
  <c r="K10" i="5"/>
  <c r="M16" i="1"/>
  <c r="B7" i="18" s="1"/>
  <c r="D16" i="3"/>
  <c r="G16" i="3" s="1"/>
  <c r="J16" i="5"/>
  <c r="P16" i="1"/>
  <c r="D16" i="4"/>
  <c r="N16" i="1"/>
  <c r="B8" i="18" s="1"/>
  <c r="B4" i="18"/>
  <c r="W21" i="1"/>
  <c r="Q23" i="1"/>
  <c r="B5" i="25"/>
  <c r="K23" i="5"/>
  <c r="E23" i="4"/>
  <c r="M26" i="1"/>
  <c r="B7" i="28" s="1"/>
  <c r="D26" i="3"/>
  <c r="G26" i="3" s="1"/>
  <c r="D26" i="4"/>
  <c r="J26" i="5"/>
  <c r="N26" i="1"/>
  <c r="B8" i="28" s="1"/>
  <c r="P26" i="1"/>
  <c r="B4" i="28"/>
  <c r="W31" i="1"/>
  <c r="I26" i="6"/>
  <c r="J26" i="6"/>
  <c r="M29" i="6"/>
  <c r="I48" i="6"/>
  <c r="J48" i="6"/>
  <c r="M50" i="6"/>
  <c r="G6" i="7"/>
  <c r="E6" i="7"/>
  <c r="H11" i="8"/>
  <c r="H21" i="8"/>
  <c r="M17" i="6"/>
  <c r="J38" i="6"/>
  <c r="I38" i="6"/>
  <c r="J60" i="6"/>
  <c r="I60" i="6"/>
  <c r="J12" i="6"/>
  <c r="I12" i="6"/>
  <c r="M15" i="6"/>
  <c r="J36" i="6"/>
  <c r="I36" i="6"/>
  <c r="M38" i="6"/>
  <c r="J58" i="6"/>
  <c r="I58" i="6"/>
  <c r="M60" i="6"/>
  <c r="G13" i="7"/>
  <c r="E13" i="7"/>
  <c r="H13" i="1"/>
  <c r="D6" i="4"/>
  <c r="P6" i="1"/>
  <c r="N6" i="1"/>
  <c r="B8" i="10" s="1"/>
  <c r="M6" i="1"/>
  <c r="D6" i="3"/>
  <c r="G6" i="3" s="1"/>
  <c r="J6" i="5"/>
  <c r="B4" i="10"/>
  <c r="W11" i="1"/>
  <c r="E16" i="4"/>
  <c r="K16" i="5"/>
  <c r="B5" i="18"/>
  <c r="Q16" i="1"/>
  <c r="N19" i="1"/>
  <c r="B8" i="21" s="1"/>
  <c r="M19" i="1"/>
  <c r="B7" i="21" s="1"/>
  <c r="B4" i="21"/>
  <c r="D19" i="3"/>
  <c r="G19" i="3" s="1"/>
  <c r="J19" i="5"/>
  <c r="P19" i="1"/>
  <c r="D19" i="4"/>
  <c r="W24" i="1"/>
  <c r="K26" i="5"/>
  <c r="E26" i="4"/>
  <c r="B5" i="28"/>
  <c r="Q26" i="1"/>
  <c r="D29" i="4"/>
  <c r="B4" i="31"/>
  <c r="P29" i="1"/>
  <c r="D29" i="3"/>
  <c r="G29" i="3" s="1"/>
  <c r="N29" i="1"/>
  <c r="B8" i="31" s="1"/>
  <c r="M29" i="1"/>
  <c r="B7" i="31" s="1"/>
  <c r="J29" i="5"/>
  <c r="J24" i="6"/>
  <c r="I24" i="6"/>
  <c r="M26" i="6"/>
  <c r="J46" i="6"/>
  <c r="I46" i="6"/>
  <c r="M48" i="6"/>
  <c r="H8" i="8"/>
  <c r="H18" i="8"/>
  <c r="M40" i="6"/>
  <c r="I10" i="6"/>
  <c r="J10" i="6"/>
  <c r="M12" i="6"/>
  <c r="J34" i="6"/>
  <c r="I34" i="6"/>
  <c r="M36" i="6"/>
  <c r="J56" i="6"/>
  <c r="I56" i="6"/>
  <c r="M58" i="6"/>
  <c r="G7" i="7"/>
  <c r="E7" i="7"/>
  <c r="J15" i="6"/>
  <c r="I15" i="6"/>
  <c r="G19" i="7"/>
  <c r="E19" i="7"/>
  <c r="E6" i="4"/>
  <c r="Q6" i="1"/>
  <c r="K6" i="5"/>
  <c r="B5" i="10"/>
  <c r="J9" i="5"/>
  <c r="M9" i="1"/>
  <c r="B7" i="13" s="1"/>
  <c r="B4" i="13"/>
  <c r="N9" i="1"/>
  <c r="B8" i="13" s="1"/>
  <c r="D9" i="4"/>
  <c r="D9" i="3"/>
  <c r="G9" i="3" s="1"/>
  <c r="P9" i="1"/>
  <c r="W17" i="1"/>
  <c r="B5" i="21"/>
  <c r="K19" i="5"/>
  <c r="Q19" i="1"/>
  <c r="E19" i="4"/>
  <c r="J22" i="5"/>
  <c r="B4" i="24"/>
  <c r="D22" i="4"/>
  <c r="N22" i="1"/>
  <c r="B8" i="24" s="1"/>
  <c r="P22" i="1"/>
  <c r="M22" i="1"/>
  <c r="B7" i="24" s="1"/>
  <c r="D22" i="3"/>
  <c r="G22" i="3" s="1"/>
  <c r="W27" i="1"/>
  <c r="E29" i="4"/>
  <c r="Q29" i="1"/>
  <c r="B5" i="31"/>
  <c r="K29" i="5"/>
  <c r="N32" i="1"/>
  <c r="B8" i="34" s="1"/>
  <c r="B4" i="34"/>
  <c r="D32" i="4"/>
  <c r="M32" i="1"/>
  <c r="B7" i="34" s="1"/>
  <c r="J32" i="5"/>
  <c r="D32" i="3"/>
  <c r="G32" i="3" s="1"/>
  <c r="P32" i="1"/>
  <c r="D35" i="4"/>
  <c r="D35" i="3"/>
  <c r="N35" i="1"/>
  <c r="B8" i="35" s="1"/>
  <c r="P35" i="1"/>
  <c r="M35" i="1"/>
  <c r="B7" i="35" s="1"/>
  <c r="J35" i="5"/>
  <c r="B4" i="35"/>
  <c r="I21" i="6"/>
  <c r="J21" i="6"/>
  <c r="M24" i="6"/>
  <c r="J44" i="6"/>
  <c r="I44" i="6"/>
  <c r="M46" i="6"/>
  <c r="E14" i="7"/>
  <c r="G14" i="7"/>
  <c r="H5" i="8"/>
  <c r="H15" i="8"/>
  <c r="I8" i="6"/>
  <c r="J8" i="6"/>
  <c r="M10" i="6"/>
  <c r="I32" i="6"/>
  <c r="J32" i="6"/>
  <c r="M34" i="6"/>
  <c r="J53" i="6"/>
  <c r="I53" i="6"/>
  <c r="M56" i="6"/>
  <c r="P33" i="1" l="1"/>
  <c r="B9" i="23"/>
  <c r="B9" i="16"/>
  <c r="B9" i="18"/>
  <c r="B9" i="15"/>
  <c r="B9" i="32"/>
  <c r="B9" i="24"/>
  <c r="B9" i="20"/>
  <c r="B9" i="21"/>
  <c r="B9" i="13"/>
  <c r="B9" i="33"/>
  <c r="B9" i="19"/>
  <c r="O33" i="1"/>
  <c r="B9" i="17"/>
  <c r="B9" i="29"/>
  <c r="B9" i="27"/>
  <c r="B9" i="36"/>
  <c r="B9" i="25"/>
  <c r="B9" i="35"/>
  <c r="O13" i="1"/>
  <c r="B9" i="10"/>
  <c r="B9" i="28"/>
  <c r="B9" i="11"/>
  <c r="B9" i="12"/>
  <c r="B9" i="26"/>
  <c r="B9" i="31"/>
  <c r="B9" i="34"/>
  <c r="B9" i="30"/>
  <c r="B9" i="22"/>
  <c r="B9" i="14"/>
  <c r="M33" i="1"/>
  <c r="N33" i="1" s="1"/>
  <c r="B7" i="17"/>
  <c r="B11" i="13"/>
  <c r="Y9" i="1"/>
  <c r="O35" i="5"/>
  <c r="L35" i="5"/>
  <c r="N36" i="5"/>
  <c r="M36" i="5"/>
  <c r="B11" i="30"/>
  <c r="Y28" i="1"/>
  <c r="N6" i="5"/>
  <c r="M6" i="5"/>
  <c r="O6" i="5"/>
  <c r="L6" i="5"/>
  <c r="L36" i="5"/>
  <c r="O36" i="5"/>
  <c r="N24" i="5"/>
  <c r="M24" i="5"/>
  <c r="Y31" i="1"/>
  <c r="B11" i="33"/>
  <c r="N30" i="5"/>
  <c r="M30" i="5"/>
  <c r="N7" i="5"/>
  <c r="M7" i="5"/>
  <c r="N26" i="5"/>
  <c r="M26" i="5"/>
  <c r="L22" i="5"/>
  <c r="O22" i="5"/>
  <c r="B11" i="34"/>
  <c r="Y32" i="1"/>
  <c r="L32" i="5"/>
  <c r="O32" i="5"/>
  <c r="B11" i="12"/>
  <c r="Y8" i="1"/>
  <c r="O23" i="5"/>
  <c r="L23" i="5"/>
  <c r="Y15" i="1"/>
  <c r="B11" i="17"/>
  <c r="L31" i="5"/>
  <c r="O31" i="5"/>
  <c r="N18" i="5"/>
  <c r="M18" i="5"/>
  <c r="L24" i="5"/>
  <c r="O24" i="5"/>
  <c r="N12" i="5"/>
  <c r="M12" i="5"/>
  <c r="N20" i="5"/>
  <c r="M20" i="5"/>
  <c r="N35" i="5"/>
  <c r="M35" i="5"/>
  <c r="N9" i="5"/>
  <c r="M9" i="5"/>
  <c r="B11" i="11"/>
  <c r="Y7" i="1"/>
  <c r="M10" i="5"/>
  <c r="N10" i="5"/>
  <c r="B11" i="21"/>
  <c r="Y19" i="1"/>
  <c r="L10" i="5"/>
  <c r="O10" i="5"/>
  <c r="N19" i="5"/>
  <c r="M19" i="5"/>
  <c r="B11" i="20"/>
  <c r="Y18" i="1"/>
  <c r="B11" i="32"/>
  <c r="Y30" i="1"/>
  <c r="O7" i="5"/>
  <c r="L7" i="5"/>
  <c r="L9" i="5"/>
  <c r="O9" i="5"/>
  <c r="Y25" i="1"/>
  <c r="B11" i="27"/>
  <c r="Y24" i="1"/>
  <c r="B11" i="26"/>
  <c r="O26" i="5"/>
  <c r="L26" i="5"/>
  <c r="O19" i="5"/>
  <c r="L19" i="5"/>
  <c r="B11" i="25"/>
  <c r="Y23" i="1"/>
  <c r="B11" i="24"/>
  <c r="Y22" i="1"/>
  <c r="L28" i="5"/>
  <c r="O28" i="5"/>
  <c r="O25" i="5"/>
  <c r="L25" i="5"/>
  <c r="Y27" i="1"/>
  <c r="B11" i="29"/>
  <c r="M22" i="5"/>
  <c r="N22" i="5"/>
  <c r="N25" i="5"/>
  <c r="M25" i="5"/>
  <c r="B11" i="28"/>
  <c r="Y26" i="1"/>
  <c r="L12" i="5"/>
  <c r="O12" i="5"/>
  <c r="O16" i="5"/>
  <c r="L16" i="5"/>
  <c r="L30" i="5"/>
  <c r="O30" i="5"/>
  <c r="P13" i="1"/>
  <c r="B11" i="14"/>
  <c r="Y10" i="1"/>
  <c r="L17" i="5"/>
  <c r="O17" i="5"/>
  <c r="B11" i="19"/>
  <c r="Y17" i="1"/>
  <c r="N32" i="5"/>
  <c r="M32" i="5"/>
  <c r="M31" i="5"/>
  <c r="N31" i="5"/>
  <c r="B11" i="31"/>
  <c r="Y29" i="1"/>
  <c r="N17" i="5"/>
  <c r="M17" i="5"/>
  <c r="M28" i="5"/>
  <c r="N28" i="5"/>
  <c r="L21" i="5"/>
  <c r="O21" i="5"/>
  <c r="B7" i="10"/>
  <c r="M13" i="1"/>
  <c r="N13" i="1" s="1"/>
  <c r="B11" i="10"/>
  <c r="Y6" i="1"/>
  <c r="N21" i="5"/>
  <c r="M21" i="5"/>
  <c r="N29" i="5"/>
  <c r="M29" i="5"/>
  <c r="O29" i="5"/>
  <c r="L29" i="5"/>
  <c r="O20" i="5"/>
  <c r="L20" i="5"/>
  <c r="Y21" i="1"/>
  <c r="B11" i="23"/>
  <c r="B11" i="18"/>
  <c r="Y16" i="1"/>
  <c r="N16" i="5"/>
  <c r="M16" i="5"/>
  <c r="Y11" i="1"/>
  <c r="B11" i="15"/>
  <c r="B11" i="16"/>
  <c r="Y12" i="1"/>
  <c r="L18" i="5"/>
  <c r="O18" i="5"/>
  <c r="B11" i="22"/>
  <c r="Y20" i="1"/>
  <c r="N8" i="5"/>
  <c r="M8" i="5"/>
  <c r="M15" i="5"/>
  <c r="N15" i="5"/>
  <c r="N23" i="5"/>
  <c r="M23" i="5"/>
  <c r="L15" i="5"/>
  <c r="O15" i="5"/>
  <c r="L8" i="5"/>
  <c r="O8" i="5"/>
</calcChain>
</file>

<file path=xl/sharedStrings.xml><?xml version="1.0" encoding="utf-8"?>
<sst xmlns="http://schemas.openxmlformats.org/spreadsheetml/2006/main" count="12026" uniqueCount="4852">
  <si>
    <t>AI data center credit: live monitor</t>
  </si>
  <si>
    <t>Layout follows the Barclays IG/HY Data Center Comp Sheets (16-Sep-2026). Blue cells are live Bloomberg formulas. Principal vs par = (live price - 100) / 100 x amount outstanding; negative = below par.</t>
  </si>
  <si>
    <t>Company / description</t>
  </si>
  <si>
    <t>Ticker</t>
  </si>
  <si>
    <t>Tenant</t>
  </si>
  <si>
    <t>Data center location</t>
  </si>
  <si>
    <t>Critical IT (MW)</t>
  </si>
  <si>
    <t>Rating (Moody's / S&amp;P / Fitch)</t>
  </si>
  <si>
    <t>Amt o/s ($mn)</t>
  </si>
  <si>
    <t>LIVE price</t>
  </si>
  <si>
    <t>Chg % 1D</t>
  </si>
  <si>
    <t>LIVE yield %</t>
  </si>
  <si>
    <t>Last trade size (TRACE)</t>
  </si>
  <si>
    <t>Price time</t>
  </si>
  <si>
    <t>Principal vs par ($mn)</t>
  </si>
  <si>
    <t>Principal vs par (%)</t>
  </si>
  <si>
    <t>Today's change in value ($mn)</t>
  </si>
  <si>
    <t>Since 15-Sep ($mn)</t>
  </si>
  <si>
    <t>Δ yield since 15-Sep (bp)</t>
  </si>
  <si>
    <t>Barclays rec</t>
  </si>
  <si>
    <t>First issued</t>
  </si>
  <si>
    <t>LIVE spread (bp, OAS)</t>
  </si>
  <si>
    <t>Tenant comparable bond</t>
  </si>
  <si>
    <t>Comp LIVE spread (bp, OAS)</t>
  </si>
  <si>
    <t>LIVE pickup vs comp (bp)</t>
  </si>
  <si>
    <t>Pickup 15-Sep (bp, Barclays)</t>
  </si>
  <si>
    <t>Δ pickup since 15-Sep (bp)</t>
  </si>
  <si>
    <t>Bloomberg ticker (terminal)</t>
  </si>
  <si>
    <t>Investment Grade HPC Data Center Builders</t>
  </si>
  <si>
    <t>Hut 8 (Beacon Point DC LLC) 6.129% Sec Notes due 11/30/2042</t>
  </si>
  <si>
    <t>HUTBPA</t>
  </si>
  <si>
    <t>NVIDIA</t>
  </si>
  <si>
    <t>Nueces County, TX</t>
  </si>
  <si>
    <t>Baa2/NR/NR</t>
  </si>
  <si>
    <t>NVDA 4.95% 2036</t>
  </si>
  <si>
    <t>HUTBPA 6.129 11/30/42 144A Corp</t>
  </si>
  <si>
    <t>Hut 8 (Hut 8 DC LLC) 6.192% Sec Notes due 11/15/2042</t>
  </si>
  <si>
    <t>HUTRBA</t>
  </si>
  <si>
    <t>Fluidstack (Google backstop)</t>
  </si>
  <si>
    <t>St. Francisville, LA</t>
  </si>
  <si>
    <t>NR/BBB-/BBB-</t>
  </si>
  <si>
    <t>GOOGL 4.8% 2036</t>
  </si>
  <si>
    <t>HUTRBA 6.192 11/15/42 144A Corp</t>
  </si>
  <si>
    <t>BlueOwl/Meta JV (Beignet Investor LLC) 6.581% Sec Notes due 5/30/2049</t>
  </si>
  <si>
    <t>RPLDCI</t>
  </si>
  <si>
    <t>Meta</t>
  </si>
  <si>
    <t>Richland Parish, LA</t>
  </si>
  <si>
    <t>NR/A+/NR</t>
  </si>
  <si>
    <t>OW</t>
  </si>
  <si>
    <t>META 5.25% 2036</t>
  </si>
  <si>
    <t>RPLDCI 6.581 05/30/49 144A Corp</t>
  </si>
  <si>
    <t>Blackrock/Meta JV (Sopapilla Investor LLC) 7.534% Sec Notes due 11/30/2048</t>
  </si>
  <si>
    <t>TXEDCI</t>
  </si>
  <si>
    <t>El Paso, TX</t>
  </si>
  <si>
    <t>NR/A+/AA-</t>
  </si>
  <si>
    <t>TXEDCI 7.534 11/30/48 144A Corp</t>
  </si>
  <si>
    <t>Related Digital (RD Michigan Pro Owner I) 7.50% Sec Notes due 3/30/2045</t>
  </si>
  <si>
    <t>RDMICH</t>
  </si>
  <si>
    <t>Oracle</t>
  </si>
  <si>
    <t>Saline, MI</t>
  </si>
  <si>
    <t>Baa3/NR/BBB</t>
  </si>
  <si>
    <t>ORCL 3.6% 2040</t>
  </si>
  <si>
    <t>RDMICH 7.5 03/30/45 144A Corp</t>
  </si>
  <si>
    <t>QTS (QTS Central Issuer LLC) 6.625% Sec Notes due 9/1/2031 (5NC2)</t>
  </si>
  <si>
    <t>QTSODY</t>
  </si>
  <si>
    <t>Microsoft</t>
  </si>
  <si>
    <t>Atlanta, GA</t>
  </si>
  <si>
    <t>Baa3/NR/NR</t>
  </si>
  <si>
    <t>MSFT 3.45% 2036</t>
  </si>
  <si>
    <t>QTSODY 6.625 09/01/31 144A Corp</t>
  </si>
  <si>
    <t>QTS (QTS Fayetteville Dc1-2 LLC) 5.70% Sec Notes due 4/15/2036</t>
  </si>
  <si>
    <t>QTSQST</t>
  </si>
  <si>
    <t>QTSQST 5.7 04/15/36 144A Corp</t>
  </si>
  <si>
    <t>IG total</t>
  </si>
  <si>
    <t>High Yield HPC Data Center Builders</t>
  </si>
  <si>
    <t>Applied Digital (APLD ComputeCo LLC) 9 1/4% Sec Notes due 12/15/2030</t>
  </si>
  <si>
    <t>APLD</t>
  </si>
  <si>
    <t>CoreWeave</t>
  </si>
  <si>
    <t>Ellendale, ND</t>
  </si>
  <si>
    <t>NR/BB-/BB-</t>
  </si>
  <si>
    <t>MW</t>
  </si>
  <si>
    <t>CRWV 9% 2031</t>
  </si>
  <si>
    <t>APLD 9.25 12/15/30 144A Corp</t>
  </si>
  <si>
    <t>Applied Digital (APLD ComputeCo 2 LLC) 6 3/4% Sec Notes due 3/15/2031</t>
  </si>
  <si>
    <t>PFORGE</t>
  </si>
  <si>
    <t>Harwood, ND</t>
  </si>
  <si>
    <t>Ba3/NR/BB-</t>
  </si>
  <si>
    <t>ORCL 4.95% 2031</t>
  </si>
  <si>
    <t>PFORGE 6.75 03/15/31 144A Corp</t>
  </si>
  <si>
    <t>Applied Digital (APLD ComputeCo 3 LLC) 7% Sec Notes due 6/15/2031</t>
  </si>
  <si>
    <t>ELNFOR</t>
  </si>
  <si>
    <t>ELNFOR 7 06/15/31 144A Corp</t>
  </si>
  <si>
    <t>Cipher Digital (Cipher Compute LLC) 7 1/8% Sec Notes due 11/15/2030</t>
  </si>
  <si>
    <t>CIFR</t>
  </si>
  <si>
    <t>Colorado City, TX</t>
  </si>
  <si>
    <t>GOOGL 4.1% 2031</t>
  </si>
  <si>
    <t>CIFR 7.125 11/15/30 144A Corp</t>
  </si>
  <si>
    <t>Cipher Digital (Black Pearl Compute LLC) 6 1/8% Sec Notes due 2/15/2031</t>
  </si>
  <si>
    <t>BLKPRL</t>
  </si>
  <si>
    <t>Amazon</t>
  </si>
  <si>
    <t>Wink, TX</t>
  </si>
  <si>
    <t>Ba2/NR/BB-</t>
  </si>
  <si>
    <t>AMZN 4.25% 2031</t>
  </si>
  <si>
    <t>BLKPRL 6.125 02/15/31 144A Corp</t>
  </si>
  <si>
    <t>Cipher Digital (Stingray Compute LLC) 6% Sec Notes due 6/15/2031</t>
  </si>
  <si>
    <t>STNGRY</t>
  </si>
  <si>
    <t>Andrews, TX</t>
  </si>
  <si>
    <t>STNGRY 6 06/15/31 144A Corp</t>
  </si>
  <si>
    <t>Core Scientific (Core Scientific Finance I LLC) 7 3/4% Sec Notes due 5/15/2031</t>
  </si>
  <si>
    <t>CORZ</t>
  </si>
  <si>
    <t>Various (5 sites: TX, GA, OK, NC)</t>
  </si>
  <si>
    <t>NR/BB/BB-</t>
  </si>
  <si>
    <t>CORZ 7.75 05/15/31 144A Corp</t>
  </si>
  <si>
    <t>Edged (Edged Compute LLC) 7 1/2% Sec Notes due 4/30/2031</t>
  </si>
  <si>
    <t>EDGCOM</t>
  </si>
  <si>
    <t>CoreWeave (Chicago) / Alibaba (Atlanta)</t>
  </si>
  <si>
    <t>Chicago, IL (72MW) / Atlanta, GA (42MW)</t>
  </si>
  <si>
    <t>NR/BB+/BB-</t>
  </si>
  <si>
    <t>UW</t>
  </si>
  <si>
    <t>EDGCOM 7.5 04/30/31 144A Corp</t>
  </si>
  <si>
    <t>Fleet Data Centers/Tract (SV RNO Property Owner 1) 5 7/8% Sec Notes due 3/1/2031</t>
  </si>
  <si>
    <t>TRACTC</t>
  </si>
  <si>
    <t>Storey County, NV</t>
  </si>
  <si>
    <t>Ba1/(P)BB+/BB</t>
  </si>
  <si>
    <t>NVDA 2% 2031</t>
  </si>
  <si>
    <t>TRACTC 5.875 03/01/31 144A Corp</t>
  </si>
  <si>
    <t>Fleet Data Centers/Tract (PR RNO Property Owner 1) 6 1/2% Sec Notes due 5/1/2031</t>
  </si>
  <si>
    <t>TRACTD</t>
  </si>
  <si>
    <t>Ba1/(P)BB/BB</t>
  </si>
  <si>
    <t>TRACTD 6.5 05/01/31 144A Corp</t>
  </si>
  <si>
    <t>Fluidstack-led JV (Flash Compute LLC) 7 1/4% Sec Notes due 12/31/2030</t>
  </si>
  <si>
    <t>FLASHC</t>
  </si>
  <si>
    <t>Abernathy, TX</t>
  </si>
  <si>
    <t>Ba3/NR/NR</t>
  </si>
  <si>
    <t>FLASHC 7.25 12/31/30 144A Corp</t>
  </si>
  <si>
    <t>Fluidstack/Next Frontier JV (Meridian Arc Holdco LLC) 6 1/4% Sec Notes due 4/30/2031</t>
  </si>
  <si>
    <t>MERIDI</t>
  </si>
  <si>
    <t>New Lebanon, IN</t>
  </si>
  <si>
    <t>Ba2/BB-/BB</t>
  </si>
  <si>
    <t>MERIDI 6.25 04/30/31 144A Corp</t>
  </si>
  <si>
    <t>Fluidstack/Next Frontier JV (Zenith Arc LLC) 8 7/8% Sec Notes due 8/31/2031</t>
  </si>
  <si>
    <t>ZENARC</t>
  </si>
  <si>
    <t>Jane Street</t>
  </si>
  <si>
    <t>Okmulgee, OK</t>
  </si>
  <si>
    <t>Ba2/BB/NR</t>
  </si>
  <si>
    <t>Jane Street 7.294% 2031</t>
  </si>
  <si>
    <t>ZENARC 8.875 08/31/31 144A Corp</t>
  </si>
  <si>
    <t>Galaxy Digital (Galaxy Helios Data Centers II LLC) 9 7/8% Sec Notes due 8/1/2031</t>
  </si>
  <si>
    <t>GALAXY</t>
  </si>
  <si>
    <t>Dickens County, TX</t>
  </si>
  <si>
    <t>GALAXY 9.875 08/01/31 144A Corp</t>
  </si>
  <si>
    <t>Prime Data Centers (Elk Grove Village Property LLC) 7 1/2% Sec Notes due 6/15/2031</t>
  </si>
  <si>
    <t>ELKGVP</t>
  </si>
  <si>
    <t>Chicago, IL</t>
  </si>
  <si>
    <t>Ba3/BB-/BB-</t>
  </si>
  <si>
    <t>ELKGVP 7.5 06/15/31 144A Corp</t>
  </si>
  <si>
    <t>SB Energy (SE Cosmos, LLC) 8 7/8% Sec Notes due 5/1/2031</t>
  </si>
  <si>
    <t>SECMOS</t>
  </si>
  <si>
    <t>SoftBank</t>
  </si>
  <si>
    <t>Austin, TX</t>
  </si>
  <si>
    <t>NR/(P)BB/BB-</t>
  </si>
  <si>
    <t>SoftBank 8.25% 2031</t>
  </si>
  <si>
    <t>SECMOS 8.875 05/01/31 144A Corp</t>
  </si>
  <si>
    <t>TeraWulf (WULF Compute LLC) 7 3/4% Sec Notes due 10/15/2030</t>
  </si>
  <si>
    <t>WULF</t>
  </si>
  <si>
    <t>Fluidstack (Google backstop) 366MW / Core42 60MW</t>
  </si>
  <si>
    <t>Barker, NY</t>
  </si>
  <si>
    <t>Ba2/BB/BB</t>
  </si>
  <si>
    <t>WULF 7.75 10/15/30 144A Corp</t>
  </si>
  <si>
    <t>Yondr Group/JK Land Holdings JV (Yondr JK 1, LLC) 6 7/8% Sec Notes due 6/30/2031</t>
  </si>
  <si>
    <t>YNDRDC</t>
  </si>
  <si>
    <t>Loudoun County, VA</t>
  </si>
  <si>
    <t>Ba3/NR/BB</t>
  </si>
  <si>
    <t>YNDRDC 6.875 06/30/31 144A Corp</t>
  </si>
  <si>
    <t>HY total</t>
  </si>
  <si>
    <t>Tenant / parent comparables</t>
  </si>
  <si>
    <t>CoreWeave 9 3/4% Sr Notes due 10/1/2031</t>
  </si>
  <si>
    <t>CRWV</t>
  </si>
  <si>
    <t>HPC cloud provider</t>
  </si>
  <si>
    <t>CRWV 9.75 10/01/2031 144A Corp</t>
  </si>
  <si>
    <t>Oracle 4.95% Sr Notes due 2/4/2031</t>
  </si>
  <si>
    <t>ORCL</t>
  </si>
  <si>
    <t>Tenant parent</t>
  </si>
  <si>
    <t>ORCL 4.95 02/04/31 Corp</t>
  </si>
  <si>
    <t>Notes: composite quotes refresh about every 15 seconds and are not individual trades. 'Last trade size' is the latest TRACE print (e.g. 5MM+ = $5mm or more); cumulative daily bond volume is not available from Bloomberg fields. Principal vs par excludes accrued interest. Amber yield = 10% or more (MS: HY datacenter deals get pulled near ~10%). Pink = yield up 25bp or more since 15-Sep (Barclays YTW vs live YTM, approximate). Pickup = bond OAS minus the tenant comparable bond's OAS (both live, Bloomberg OAS_SPREAD_MID); Barclays used G-spread on IG non-callables, so IG pickups differ slightly in basis. A negative pickup means the project bond trades tighter than the tenant's own unsecured bond (the CoreWeave comparable is now at about 1,050bp OAS). EDGCOM is measured against CoreWeave 9% 2031 (Chicago, about 60% of the credit); the Alibaba leg (BABA 2.125% 2031) is not blended. First issued = Bloomberg ISSUE_DT (issue / settlement date of the original issue; later taps are not separated).</t>
  </si>
  <si>
    <t>Deal dossiers: one tab per bond on the Monitor sheet</t>
  </si>
  <si>
    <t>Built from official documents where available (SEC filings, indentures, company releases, rating agency releases). Each dossier lists its sources and what could not be verified. Click a ticker to open its tab.</t>
  </si>
  <si>
    <t>Bond</t>
  </si>
  <si>
    <t>Section</t>
  </si>
  <si>
    <t>Sources</t>
  </si>
  <si>
    <t>of which official-type</t>
  </si>
  <si>
    <t>Open gaps</t>
  </si>
  <si>
    <t>Headline</t>
  </si>
  <si>
    <t>Beacon Point DC LLC 6.129% Senior Secured Notes due 30-Nov-2042</t>
  </si>
  <si>
    <t>IG</t>
  </si>
  <si>
    <t>$4.25bn fully amortizing, non-recourse 144A notes issued 9 Jun 2026 by a Hut 8 SPV to build the 352 MW first phase of the Beacon Point campus in Nueces County, Texas, secured by the project and a 15-year triple-net take-or-pay lease to an unnamed tenant rated AA- or better (reported by the FT to be NVIDIA). Moody's rates the notes Baa2 and they priced at T+165bp. Credit rests on one tenant and on energization and delivery in Q1-Q3 2027; Phase 2 (a second 352 MW lease), NVIDIA's disclosure that it expects to reassign leases to third parties, and the reported Lambda/Anthropic usage raise assignment and end-user questions, with indenture limits on assignment to Qualifying Tenants or Creditworthy Transferees the main protection.</t>
  </si>
  <si>
    <t>Hut 8 DC LLC 6.192% Senior Secured Notes due 15-Nov-2042</t>
  </si>
  <si>
    <t>$3.25bn fully amortizing, non-recourse 144A notes issued 30 Apr 2026 by a Hut 8 SPV to build the 245 MW River Bend campus in West Feliciana Parish, Louisiana, secured by the project and a 15-year triple-net lease to Fluidstack (unrated) whose rent and certain other obligations are backstopped by Google LLC. Rated BBB- by S&amp;P and Fitch (per press). The credit is effectively Google's for rent, but the backstop's cap and conditions are not public; no warrants to Google are disclosed (the company said none were issued). Execution risk remains until the first hall energizes in Q2 2027 at about 95% loan-to-cost.</t>
  </si>
  <si>
    <t>Beignet Investor LLC 6.581% Senior Secured Notes due 30-May-2049</t>
  </si>
  <si>
    <t>A single-tranche, fully amortising 144A project bond (about $27.3bn) issued in Oct 2025 to fund the Hyperion data centre campus in Richland Parish, Louisiana, owned by a joint venture in which Blue Owl funds hold 80% and Meta 20%. Debt service is meant to come from Meta's lease rent plus a Meta residual value guarantee (RVG), so the credit is essentially Meta's; S&amp;P rates it A+ (one notch below Meta), per press reports. Meta consolidates nothing: it treats the JV as an unconsolidated VIE, but discloses $46.0bn of maximum exposure to loss as of 30-Jun-2026. Main watch items are construction and power delivery (the campus was announced in Jul 2026 to scale to 5 GW) and what happens at the end of each four-year lease block.</t>
  </si>
  <si>
    <t>Sopaipilla Investor LLC 7.534% Senior Secured Notes due 30-Nov-2048</t>
  </si>
  <si>
    <t>A roughly $12.3-12.6bn 144A senior secured bond issued in late Jul 2026 to fund Meta's El Paso, Texas data centre campus (about 1 GW, about $14bn total cost), owned by a JV in which BlackRock-managed funds (GIP and HPS) hold 80% and Meta 20%. Meta is sole tenant, developer and operator, pays rent from Dec 2028 whether or not the campus is complete, and provides a residual value guarantee (up to about $13bn per its 10-Q). Ratings reported at A+ (S&amp;P, preliminary) and AA- (Fitch, expected); the one-notch gap reflects the absence of an asset mortgage. Seed 7.534% coupon, ISIN and maturity are confirmed by a fund holdings filing, but almost everything else rests on press and newsletter coverage because the offering memorandum is private and Meta has not yet filed its post-closing 10-Q.</t>
  </si>
  <si>
    <t>RD Michigan Property Owner I LLC 7.50% Senior Secured Notes due 2045 (Related Digital / Blackstone, Oracle campus, Saline Township, MI)</t>
  </si>
  <si>
    <t>$14bn 7.500% senior secured notes due 2045 issued in spring 2026 by a Related Digital/Blackstone SPV to fund a 974MW Oracle data center campus in Saline Township, Michigan, anchored by PIMCO. Cash flows come from four triple-net leases to Oracle America Cloud Services guaranteed by Oracle Corporation, so the credit is essentially Oracle (S&amp;P BBB-, Moody's Baa2 negative per Feb-2026 data) plus construction risk; KBRA rates it BBB Stable. The spread over Oracle's own bonds reflects project, construction, power-approval litigation and 144A illiquidity.</t>
  </si>
  <si>
    <t>QTS Central Issuer LLC 6.625% Senior Secured Notes due 1-Sep-2031 (5NC2)</t>
  </si>
  <si>
    <t>QTSODY is a $3.9bn five-year non-call-2 non-recourse project bond sold by Blackstone's QTS in Aug 2026 (closed 27-Aug) to finance part of the Microsoft-leased Fayetteville, Georgia campus (Project Odyssey). It was reshaped from a larger bond-and-loan package into an investment-grade deal reportedly rated Baa3/BBB-, yet priced at a 7.228% yield. Support is the Microsoft lease and the project; there is little official disclosure because it is a 144A deal with no SEC filings.</t>
  </si>
  <si>
    <t>QTS Fayetteville I DC1-2 LLC 5.70% Senior Secured Notes due 15-Apr-2036</t>
  </si>
  <si>
    <t>QTSQST is a $4.6bn 10-year non-amortising, non-recourse single-asset project bond issued in April 2026 by QualityTech (Blackstone) subsidiaries, refinancing construction credit facilities for two Microsoft-leased data centers on the Fayetteville, Georgia campus. Moody's reportedly assigned Baa2. Support is the Microsoft lease and the project; it moved from a 5.70% issue yield to about 7.2% by Aug-Sep 2026 as AI-infrastructure credit repriced.</t>
  </si>
  <si>
    <t>APLD ComputeCo LLC 9 1/4% Senior Secured Notes due 15-Dec-2030</t>
  </si>
  <si>
    <t>HY</t>
  </si>
  <si>
    <t>APLD ComputeCo LLC's $2.35bn 9.25% senior secured notes due December 2030 are a ring-fenced, project-style financing of two CoreWeave-leased buildings (100 MW and 150 MW, now both live) at the Polaris Forge 1 campus in Ellendale, North Dakota. Applied Digital provides only a completion guarantee, not a payment guarantee; credit rests on CoreWeave rent (now partly owed by a CoreWeave SPV with springing parent guaranty), a DSRA, and a sculpted amortization that leaves roughly 70-75% to refinance at maturity. The sponsor's own model shows coverage near 1.0x in 2028-2029, which together with CoreWeave credit concerns and a heavy parent funding pipeline explains why the notes carry a high-yield spread despite full delivery of the assets.</t>
  </si>
  <si>
    <t>APLD ComputeCo 2 LLC 6 3/4% Senior Secured Notes due 15-Mar-2031</t>
  </si>
  <si>
    <t>APLD ComputeCo 2 LLC's $2.15bn 6.75% senior secured notes due March 2031 finance the 200 MW Oracle-leased Polaris Forge 2 campus in Harwood, North Dakota, through a ring-fenced chain of lessor SPVs with an Applied Digital completion guarantee. The 15-year take-or-pay lease and sculpted amortization (about 81% balloon, about 1.0x modelled coverage, $148mm DSRA) put the bond between investment-grade-tenant and high-yield sponsor risk; the campus is still under construction, with first ready-for-service now guided to 2H CY2026 after a model date of 1-Oct-2026, and the notes marked in the mid-90s at 31-Aug-2026 after a sell-side downgrade on supply overhang.</t>
  </si>
  <si>
    <t>APLD ComputeCo 3 LLC 7% Senior Secured Notes due 15-Jun-2031</t>
  </si>
  <si>
    <t>APLD ComputeCo 3 LLC's $1.59bn 7.00% senior secured notes due June 2031 fund the third 150 MW building (ELN-04) at Applied Digital's Polaris Forge 1 campus in Ellendale, North Dakota, leased to CoreWeave. The building is still under construction, so the credit combines construction and delivery risk (backstopped by a parent completion guarantee), single-tenant CoreWeave exposure with a possible upgrade path through an unconsummated June-2026 MoU to an investment-grade CoreWeave subsidiary, and an amortization profile that leaves about 85% to refinance in 2031. Sponsor model coverage is 1.2x from 2028, and the bond traded down to about 94 by Oct 2026 amid supply-overhang concerns.</t>
  </si>
  <si>
    <t>Cipher Compute LLC 7.125% Senior Secured Notes due 15-Nov-2030</t>
  </si>
  <si>
    <t>Project-finance notes of Cipher Compute LLC ($1.733bn outstanding) that fund the 207 MW critical IT Barber Lake data center in Colorado City, Texas, leased to Fluidstack with a Google backstop equal to the debt and a Cipher completion guarantee. Credit hinges on on-time delivery (now Q4 2026-Q1 2027 after change orders), Google's backstop, and the parent's ability to fund a cost increase of roughly $0.5bn while its equity has been hit by a heavy 2032 convertible and 2030 exchange. The notes amortize but leave a large balloon at Nov-2030.</t>
  </si>
  <si>
    <t>Black Pearl Compute LLC 6.125% Senior Secured Notes due 15-Feb-2031</t>
  </si>
  <si>
    <t>$2.0bn project notes of Black Pearl Compute LLC funding the retrofit and build-out of a 300 MW gross / 216 MW critical IT campus in Wink, Texas, leased to Amazon Data Services under a 15-year triple-net sublease with an Amazon.com parent guaranty and a $9.5mm per MW tenant cost cap. First capacity was delivered two months early (Aug-2026) and rent has started, but later halls are being re-phased, the notes amortize only 7% a year leaving roughly a 70% balloon at Feb-2031, and loss of the lease or guaranty is an immediate default. Tight pricing reflects Amazon credit and tenant protections against overruns.</t>
  </si>
  <si>
    <t>Stingray Compute LLC 6.000% Senior Secured Notes due 15-Jun-2031</t>
  </si>
  <si>
    <t>$810mm project notes of Stingray Compute LLC financing a 70 MW critical IT / 100 MW gross data center in Andrews, Texas, leased for 15 years triple net to Amazon Data Services with an Amazon.com parent guaranty, a $10.5mm per IT MW tenant cost cap and a Cipher completion guarantee. Rent is targeted for Apr-May 2027, the substation is targeted for Q4 2026, and amortization is sized to a 1.25x DSCR leaving roughly a 70-75% balloon at Jun-2031. The tight 6.00% coupon reflects Amazon credit; risks are energization timing, a mid-stream build and parent funding capacity.</t>
  </si>
  <si>
    <t>Core Scientific Finance I LLC 7.750% Senior Secured Notes due 15-May-2031</t>
  </si>
  <si>
    <t>A $3.3bn five-year 144A/Reg S senior secured issue by a ring-fenced Core Scientific subsidiary, secured on five Core Scientific data-center sites (TX, GA, OK, NC) licensed to CoreWeave under 12-year colocation agreements (about 590 MW leased, 395 MW billing at 30 Jun 2026). Parent Core Scientific gives an uncapped completion guarantee on four sites but does not guarantee the notes, so holders rely on CoreWeave-family rent, a cash DSRA and a large balloon (about $2.5bn, 77%) due May 2031. Spreads are wide because the sole tenant, CoreWeave, was itself sold off to distressed yields on 14-16 Oct 2026.</t>
  </si>
  <si>
    <t>Edged Compute LLC 7.500% Senior Secured Notes due 2031 (144A/Reg S)</t>
  </si>
  <si>
    <t>$1.3bn 5-year senior secured notes of Edged US's SPV financing two build-to-suit data centers: Aurora (Chicago) IL, 72MW, leased 16 years to CoreWeave on a triple-net lease (about 60% of capacity), and Atlanta GA, 42MW, leased 15 years to Alibaba Cloud on a modified-gross lease guaranteed by Alibaba Group Services (about 40%). Fitch expected BB-/Stable, capped by CoreWeave and constrained by US sanctions risk on Alibaba; the notes balloon in 2031 against 15-16 year leases. Both buildings are expected live in H1 2027.</t>
  </si>
  <si>
    <t>SV RNO Property Owner 1, LLC 5.875% Senior Secured Notes due 1-Mar-2031</t>
  </si>
  <si>
    <t>Project-finance 144A notes ($3.8bn) funding a 200 MW critical-IT turnkey data center and substation in Storey County, NV, 100% leased on a 197-month triple net lease to an unnamed AA- tenant reported by Bloomberg to be NVIDIA. Credit rests on the lease and construction/power delivery, not NVIDIA recourse; NVIDIA's 10-Q flags $20bn of leases to be reassigned to third parties without naming Fleet. The NV Energy v. Tract suit concerns the South Valley and Peru Shelf power agreements, a headline risk for energization even though the issuer is not a named party in coverage seen.</t>
  </si>
  <si>
    <t>PR RNO Property Owner 1, LLC 6.500% Senior Secured Notes due 1-May-2031</t>
  </si>
  <si>
    <t>Project-finance 144A notes ($4.585bn) funding a second 200 MW critical-IT turnkey data center and substation in Storey County, NV, 100% leased on a 197-month triple net lease to an unnamed AA- tenant (NVIDIA per seed). Higher leverage than TRACTC (about 91% debt-funded per seed) explains the wider spread. Credit depends on construction, power delivery (218 MW interim gas plant approved 17-Sep-2026) and the lease, while the NV Energy lawsuit touches the Peru Ridge/Peru Shelf agreements.</t>
  </si>
  <si>
    <t>Flash Compute LLC 7.250% Senior Secured Notes due 31-Dec-2030</t>
  </si>
  <si>
    <t>$1.3bn senior secured notes issued by Flash Compute LLC, the project company for the 168MW Abernathy, Texas data center that FS CS I LLC (originally TeraWulf 50.1% / Fluidstack 49.9%) is building for a 25-year lease to Fluidstack with a roughly $1.3bn Google backstop. TeraWulf sold its entire stake in July 2026 for about $530mm, leaving a Fluidstack-led owner group and a capped $100mm completion guarantee behind the notes. Because of the 2030 maturity, a balloon of several hundred million dollars remains if the lease runs as modeled.</t>
  </si>
  <si>
    <t>Meridian Arc Holdco LLC 6.25% Senior Secured Notes due 30-Apr-2031</t>
  </si>
  <si>
    <t>$5.7bn 6.25% five-year senior secured notes of Meridian Arc HoldCo, a Fluidstack and Next Frontier (Coatue) joint venture building two data centers (245MW and 185MW) at New Lebanon, Indiana for a 15-year triple-net Fluidstack lease guaranteed by Google. Credit rests on the Google guarantee of an unrated private tenant, about 92% debt-to-cost, no GMP contract and a first-time sponsor-contractor team (Fitch BB as reported).</t>
  </si>
  <si>
    <t>Zenith Arc LLC 8.875% Senior Secured Notes due 31-Aug-2031</t>
  </si>
  <si>
    <t>$2.25bn 8.875% five-year green senior secured notes of Zenith Arc LLC financing a 149MW data center in Okmulgee County, Oklahoma, leased for 15 years triple-net to Jane Street with a lease guaranty, developed by Fluidstack. A county floodplain permit was denied without prejudice in late August 2026 and no resolution is evident by 16-Oct-2026; the bonds fell from 99.5 at pricing to about 91.5 by 30-Sep-2026 on fund collateral marks, with yields near 11% reported.</t>
  </si>
  <si>
    <t>Galaxy Helios Data Centers II LLC 9.875% Senior Secured Notes due 1-Aug-2031</t>
  </si>
  <si>
    <t>A $3.507bn five-year senior secured high-yield bond from a ring-fenced Galaxy Digital subsidiary financing Helios Phase II (400 MW utility / 260 MW critical IT, Dickens County TX), fully leased to CoreWeave for 15 years plus two 5-year options with about $10.4bn of minimum contracted rent. Galaxy's parent gives an uncapped completion guarantee tied to rent commencement (targeted Q2 2027) but no payment guarantee, and the company's own schedule leaves about $3.0bn due at the Aug 2031 maturity. It trades wide because all rent depends on CoreWeave, whose bonds sold off to distressed levels on 14-16 Oct 2026, and because ERCOT Batch Zero classification remains conditional.</t>
  </si>
  <si>
    <t>Elk Grove Village Property LLC 7.50% Notes due Jun-2031 (144A)</t>
  </si>
  <si>
    <t>$900mm 5-year 7.5% notes of a Prime Data Centers SPV financing a 72MW build-to-suit data center in Elk Grove Village, Illinois, reported to be fully leased to CoreWeave for 15 years (about $2.2bn of rent). Credit is effectively CoreWeave (S&amp;P B+/positive) plus re-letting value in the Chicago market; rated Ba3/BB-/BB- per Moody's, S&amp;P and Fitch (secondary sources). About 20% amortizes in the 5-year life, leaving a large 2031 refinancing. All primary documents are private, so most terms are press-sourced.</t>
  </si>
  <si>
    <t>SE Cosmos, LLC 8.875% Senior Secured Notes due 1-May-2031 (144A/Reg S)</t>
  </si>
  <si>
    <t>$999mm bullet notes of SB Energy's SE Cosmos, LLC financing the ~50MW Cosmos Technology Campus on the former 3M site in Austin (Travis County), Texas, leased 15 years triple-net to SoftBank affiliate Silver Bands 3 (US) Corp. with a SoftBank Group Capital Limited guaranty (about $2.9bn exposure), plus an uncapped completion guaranty from parent Energy Global. Credit rests on SoftBank-group support and on-time delivery (rent by 11-Dec-2026 or RFS; full RFS May 2027), not on OpenAI or Milam County, which are separate SB Energy projects.</t>
  </si>
  <si>
    <t>WULF Compute LLC 7.750% Senior Secured Notes due 15-Oct-2030</t>
  </si>
  <si>
    <t>$3.2bn amortizing senior secured notes issued by TeraWulf's WULF Compute LLC to build Lake Mariner buildings CB-3, CB-4 and CB-5, leased for 10 years to Fluidstack with a Google backstop of about $3.2bn that becomes effective building by building as leases commence. $600mm of that support turned on in July 2026 when CB-3 was delivered; CB-4 is commissioning and CB-5 slipped to early 2027, and Fluidstack can terminate for delay beyond 180 days without triggering Google. Until commencement, support is TeraWulf's completion guarantee, a $447mm initial reserve and pledged Google warrants.</t>
  </si>
  <si>
    <t>Yondr JK 1, LLC 6 7/8% Senior Secured Notes due 30-Jun-2031 (Yondr Group / JK Land Holdings, Loudoun County, VA)</t>
  </si>
  <si>
    <t>$715mm 6.875% senior secured notes due June 2031, issued in late June 2026 by a Yondr Group/JK Land Holdings JV to partly fund a 48MW turnkey data center on about 14.3 acres in Loudoun County, Virginia. Public documents confirm the notes, security (first liens plus HoldCo equity pledge) and use of proceeds, but not the tenant, lease or ratings; the Oracle tenancy and Ba3/BB ratings are seed-only. The spread over Oracle's 2031 notes reflects single-asset, short-tenor, high-balloon risk, unverified lease terms and Loudoun zoning/grandfathering uncertainty; on 6-Oct-2026 the Board tabled any repeal of grandfathering.</t>
  </si>
  <si>
    <t>CoreWeave, Inc. 9.750% Senior Notes due 1-Oct-2031</t>
  </si>
  <si>
    <t>Parent</t>
  </si>
  <si>
    <t>$2.75bn of unsecured 9.75% senior notes (a $1.75bn issue on 14 Apr 2026 plus a $1.0bn tap at 102 on 21 Apr) from the AI cloud provider that is the tenant behind the CORZ and GALAXY bonds. Credit rests on a $104bn contracted backlog and 1.5 GW active power against about $35.6bn of debt, $29bn of lease payments and $6bn+ of quarterly capex, with net interest of $640mm a quarter. On 14-16 Oct 2026 its bonds and CDS sold off to distressed levels (2032s about 78c, CDS above 1,000bp) and the CEO responded with an internal memo saying backlog covers debt.</t>
  </si>
  <si>
    <t>Oracle Corporation 4.950% Senior Notes due 4-Feb-2031</t>
  </si>
  <si>
    <t>$3.5bn of Oracle's 4.950% unsecured senior notes due 4-Feb-2031, one of eight series in a $25bn offering priced on 2-Feb-2026 (alongside a $5bn mandatory convertible and a $20bn ATM that Oracle has since fully used). It is the parent/tenant comparable for Oracle-leased project bonds: priced at T+115bp, now rated BBB- at S&amp;P (cut 9-Jul-2026), Baa2 negative at Moody's and BBB at Fitch as last confirmed. Credit story is heavy AI capex (Q1 FY27 capex $28.5bn, FCF -$5.4bn), $125bn of debt and $288bn of not-yet-commenced data center leases against a $664bn backlog.</t>
  </si>
  <si>
    <t>Terms, call schedule and lease structure</t>
  </si>
  <si>
    <t>From Barclays Figures 7 and 8 (15-Sep). Live price links to the Monitor sheet.</t>
  </si>
  <si>
    <t>Next call</t>
  </si>
  <si>
    <t>Call price</t>
  </si>
  <si>
    <t>Live price to call (pts)</t>
  </si>
  <si>
    <t>Amort. start</t>
  </si>
  <si>
    <t>Est. amortization before maturity (% of original)</t>
  </si>
  <si>
    <t>Tenant comp bond</t>
  </si>
  <si>
    <t>Tenant comp spread (bp)</t>
  </si>
  <si>
    <t>Lease type</t>
  </si>
  <si>
    <t>Lease tenor</t>
  </si>
  <si>
    <t>Construction start</t>
  </si>
  <si>
    <t>Lease commencement</t>
  </si>
  <si>
    <t>Barclays spread 15-Sep (bp)</t>
  </si>
  <si>
    <t>5/30/42</t>
  </si>
  <si>
    <t>Mid 2030</t>
  </si>
  <si>
    <t>Triple Net</t>
  </si>
  <si>
    <t>15yrs, three 5-yr ext.</t>
  </si>
  <si>
    <t>Early 2026</t>
  </si>
  <si>
    <t>Aug 2027 - Apr 2028</t>
  </si>
  <si>
    <t>5/15/42</t>
  </si>
  <si>
    <t>Mid 2028</t>
  </si>
  <si>
    <t>Dec 2025</t>
  </si>
  <si>
    <t>Apr 2027 - Oct 2027</t>
  </si>
  <si>
    <t>11/30/48</t>
  </si>
  <si>
    <t>Mid 2029</t>
  </si>
  <si>
    <t>20yrs (4yr initial + 4 x 4yr ext.)</t>
  </si>
  <si>
    <t>Late 2024</t>
  </si>
  <si>
    <t>June 2029</t>
  </si>
  <si>
    <t>5/30/48</t>
  </si>
  <si>
    <t>Late 2028</t>
  </si>
  <si>
    <t>Oct 2025</t>
  </si>
  <si>
    <t>Dec 2028</t>
  </si>
  <si>
    <t>4/30/29</t>
  </si>
  <si>
    <t>Mid 2032</t>
  </si>
  <si>
    <t>17.5yrs, two 10-yr renewals</t>
  </si>
  <si>
    <t>Feb 2027 - Mar 2028</t>
  </si>
  <si>
    <t>9/1/28</t>
  </si>
  <si>
    <t>15yrs, 15-yr renewal</t>
  </si>
  <si>
    <t>Nov 2027 - Feb 2028</t>
  </si>
  <si>
    <t>10/15/35</t>
  </si>
  <si>
    <t>N/A</t>
  </si>
  <si>
    <t>20yrs, 15-yr renewal</t>
  </si>
  <si>
    <t>2023</t>
  </si>
  <si>
    <t>Apr 2025 - Apr 2026</t>
  </si>
  <si>
    <t>12/15/27</t>
  </si>
  <si>
    <t>Late 2027</t>
  </si>
  <si>
    <t>Modified Gross</t>
  </si>
  <si>
    <t>Early 2024</t>
  </si>
  <si>
    <t>4Q25 - 2Q26</t>
  </si>
  <si>
    <t>3/15/28</t>
  </si>
  <si>
    <t>Mid 2027</t>
  </si>
  <si>
    <t>15yrs, two 5-yr ext.</t>
  </si>
  <si>
    <t>Sept 2025</t>
  </si>
  <si>
    <t>Nov 2026 - June 2027</t>
  </si>
  <si>
    <t>6/15/28</t>
  </si>
  <si>
    <t>Aug 2025</t>
  </si>
  <si>
    <t>Jan 2027 - June 2027</t>
  </si>
  <si>
    <t>11/15/27</t>
  </si>
  <si>
    <t>Late 2026</t>
  </si>
  <si>
    <t>10yrs, two 5-yr ext.</t>
  </si>
  <si>
    <t>Mid 2025</t>
  </si>
  <si>
    <t>Sept 2026 - Jan 2027</t>
  </si>
  <si>
    <t>2/15/28</t>
  </si>
  <si>
    <t>Early 2027</t>
  </si>
  <si>
    <t>Feb 2026</t>
  </si>
  <si>
    <t>Oct 2026 - Mar 2027</t>
  </si>
  <si>
    <t>May 2026</t>
  </si>
  <si>
    <t>Apr 2027</t>
  </si>
  <si>
    <t>5/15/28</t>
  </si>
  <si>
    <t>Early 2029</t>
  </si>
  <si>
    <t>12yrs, two 5-yr ext.</t>
  </si>
  <si>
    <t>Mid 2024</t>
  </si>
  <si>
    <t>Late 2024 - Early 2027</t>
  </si>
  <si>
    <t>4/30/28</t>
  </si>
  <si>
    <t>Late 2029</t>
  </si>
  <si>
    <t>CRWV 9% 2031 / BABA 2.125% 2031</t>
  </si>
  <si>
    <t>Triple Net (Chi) / Mod. Gross (Atl)</t>
  </si>
  <si>
    <t>16yrs Chicago / 15yrs Atlanta, two 5-yr ext.</t>
  </si>
  <si>
    <t>3Q25</t>
  </si>
  <si>
    <t>Chicago May-Dec 2027; Atlanta Jan-Jun 2027</t>
  </si>
  <si>
    <t>3/1/28</t>
  </si>
  <si>
    <t>16.4yrs, two 10-yr ext.</t>
  </si>
  <si>
    <t>June 2026</t>
  </si>
  <si>
    <t>Oct 2027 - June 2028</t>
  </si>
  <si>
    <t>5/1/28</t>
  </si>
  <si>
    <t>Summer 2026</t>
  </si>
  <si>
    <t>Oct 2027 - Apr 2028</t>
  </si>
  <si>
    <t>12/31/27</t>
  </si>
  <si>
    <t>25yrs, two 5-yr shortening options</t>
  </si>
  <si>
    <t>Late 4Q26</t>
  </si>
  <si>
    <t>Aug 2027 - Feb 2028</t>
  </si>
  <si>
    <t>8/31/28</t>
  </si>
  <si>
    <t>JANEST 7.294% 2031</t>
  </si>
  <si>
    <t>July 2026</t>
  </si>
  <si>
    <t>Oct 2027 - Nov 2028</t>
  </si>
  <si>
    <t>8/1/28</t>
  </si>
  <si>
    <t>4Q25</t>
  </si>
  <si>
    <t>2Q27 - 1Q28</t>
  </si>
  <si>
    <t>15yrs, two 7-yr ext.</t>
  </si>
  <si>
    <t>Oct 2025 - Early 2027</t>
  </si>
  <si>
    <t>SOFTBK 8.25% 2031</t>
  </si>
  <si>
    <t>15yrs, one 10-yr ext.</t>
  </si>
  <si>
    <t>Dec 2026 - June 2027</t>
  </si>
  <si>
    <t>10/15/27</t>
  </si>
  <si>
    <t>Apr 2025 (Core42: late 2024)</t>
  </si>
  <si>
    <t>May - Dec 2026 (Core42: 3Q25-4Q25)</t>
  </si>
  <si>
    <t>6/30/28</t>
  </si>
  <si>
    <t>Jan 2028 - Oct 2028</t>
  </si>
  <si>
    <t>Project financial metrics</t>
  </si>
  <si>
    <t>From Barclays Figure 9 (15-Sep). Rent yield on cost and debt per MW are calculated here. Estimates are Barclays': base rent is estimated where not disclosed; leverage at issuance = pre-amortization debt / run-rate NOI.</t>
  </si>
  <si>
    <t>Facility cost ($mn)</t>
  </si>
  <si>
    <t>Cost per MW ($mn)</t>
  </si>
  <si>
    <t>Est. base rent per MW ($mn)</t>
  </si>
  <si>
    <t>Annual rent escalator</t>
  </si>
  <si>
    <t>% of funding debt financed</t>
  </si>
  <si>
    <t>Gross leverage at issuance (x)</t>
  </si>
  <si>
    <t>Gross leverage at maturity (x)</t>
  </si>
  <si>
    <t>Rent yield on cost</t>
  </si>
  <si>
    <t>Debt per MW ($mn)</t>
  </si>
  <si>
    <t>3.0%</t>
  </si>
  <si>
    <t>2.0%</t>
  </si>
  <si>
    <t>2.5%</t>
  </si>
  <si>
    <t>3.25%</t>
  </si>
  <si>
    <t>3.0-5.0%</t>
  </si>
  <si>
    <t>Change in levels: Barclays 3-Aug and 15-Sep vs live</t>
  </si>
  <si>
    <t>Barclays Figure 5 levels (YTW; callable bonds on OAS). Live yield is yield to maturity at the live composite price, so yield changes are approximate.</t>
  </si>
  <si>
    <t>3-Aug price</t>
  </si>
  <si>
    <t>3-Aug YTW %</t>
  </si>
  <si>
    <t>3-Aug spread (bp)</t>
  </si>
  <si>
    <t>15-Sep price</t>
  </si>
  <si>
    <t>15-Sep YTW %</t>
  </si>
  <si>
    <t>15-Sep spread (bp)</t>
  </si>
  <si>
    <t>Δ price vs 15-Sep (pts)</t>
  </si>
  <si>
    <t>Δ yield vs 15-Sep (bp)</t>
  </si>
  <si>
    <t>Δ yield vs 3-Aug (bp)</t>
  </si>
  <si>
    <t>Δ price vs 3-Aug (pts)</t>
  </si>
  <si>
    <t>Vendor and hyperscaler bonds, neocloud converts and HY, loans</t>
  </si>
  <si>
    <t>Live formulas as on the Monitor sheet. Snapshot reference: 2026-10-16_1248. Converts and loans are measured against par for comparability; their economic value depends on the equity / loan terms.</t>
  </si>
  <si>
    <t>Instrument</t>
  </si>
  <si>
    <t>Group</t>
  </si>
  <si>
    <t>Yield at snapshot %</t>
  </si>
  <si>
    <t>Δ yield vs snapshot (bp)</t>
  </si>
  <si>
    <t>Rating S&amp;P</t>
  </si>
  <si>
    <t>ISIN</t>
  </si>
  <si>
    <t>NVIDIA senior notes (June-2026 issue and 2036/2046)</t>
  </si>
  <si>
    <t>NVDA 4.25 '28</t>
  </si>
  <si>
    <t>AA</t>
  </si>
  <si>
    <t>US67066GAP90</t>
  </si>
  <si>
    <t>NVDA 4.25 06/15/28 Corp</t>
  </si>
  <si>
    <t>NVDA 4.35 '29</t>
  </si>
  <si>
    <t>US67066GAQ73</t>
  </si>
  <si>
    <t>NVDA 4.35 06/15/29 Corp</t>
  </si>
  <si>
    <t>NVDA 4.5 '31</t>
  </si>
  <si>
    <t>US67066GAR56</t>
  </si>
  <si>
    <t>NVDA 4.5 06/15/31 Corp</t>
  </si>
  <si>
    <t>NVDA 4.75 '33</t>
  </si>
  <si>
    <t>US67066GAS30</t>
  </si>
  <si>
    <t>NVDA 4.75 06/15/33 Corp</t>
  </si>
  <si>
    <t>NVDA 4.95 '36</t>
  </si>
  <si>
    <t>US67066GAT13</t>
  </si>
  <si>
    <t>NVDA 4.95 06/15/36 Corp</t>
  </si>
  <si>
    <t>NVDA 5.55 '46</t>
  </si>
  <si>
    <t>US67066GAU85</t>
  </si>
  <si>
    <t>NVDA 5.55 06/15/46 Corp</t>
  </si>
  <si>
    <t>NVDA 5.625 '56</t>
  </si>
  <si>
    <t>US67066GAV68</t>
  </si>
  <si>
    <t>NVDA 5.625 06/15/56 Corp</t>
  </si>
  <si>
    <t>Broadcom senior notes</t>
  </si>
  <si>
    <t>AVGO 4.6 2033</t>
  </si>
  <si>
    <t>A-</t>
  </si>
  <si>
    <t>US11135FDA66</t>
  </si>
  <si>
    <t>AVGO 4.6 01/15/2033 Corp</t>
  </si>
  <si>
    <t>AVGO 4.8 2034</t>
  </si>
  <si>
    <t>US11135FCD15</t>
  </si>
  <si>
    <t>AVGO 4.8 10/15/2034 Corp</t>
  </si>
  <si>
    <t>AVGO 5.2 2035</t>
  </si>
  <si>
    <t>US11135FCM14</t>
  </si>
  <si>
    <t>AVGO 5.2 07/15/2035 Corp</t>
  </si>
  <si>
    <t>AVGO 4.95 2036</t>
  </si>
  <si>
    <t>US11135FDB40</t>
  </si>
  <si>
    <t>AVGO 4.95 01/15/2036 Corp</t>
  </si>
  <si>
    <t>AVGO 4.8 2036</t>
  </si>
  <si>
    <t>US11135FCY51</t>
  </si>
  <si>
    <t>AVGO 4.8 02/15/2036 Corp</t>
  </si>
  <si>
    <t>AVGO 5.7 2056</t>
  </si>
  <si>
    <t>US11135FDD06</t>
  </si>
  <si>
    <t>AVGO 5.7 01/15/2056 Corp</t>
  </si>
  <si>
    <t>AMD senior notes</t>
  </si>
  <si>
    <t>AMD 5 2031</t>
  </si>
  <si>
    <t>A</t>
  </si>
  <si>
    <t>US007903BL07</t>
  </si>
  <si>
    <t>AMD 5 08/17/2031 Corp</t>
  </si>
  <si>
    <t>AMD 5.5 2036</t>
  </si>
  <si>
    <t>US007903BN62</t>
  </si>
  <si>
    <t>AMD 5.5 08/17/2036 Corp</t>
  </si>
  <si>
    <t>SpaceX</t>
  </si>
  <si>
    <t>SPCX 6.65 2056 144A</t>
  </si>
  <si>
    <t>BBB</t>
  </si>
  <si>
    <t>US84615QAJ22</t>
  </si>
  <si>
    <t>SPCX 6.65 07/15/2056 144A Corp</t>
  </si>
  <si>
    <t>SPCX bridge TL (guaranteed)</t>
  </si>
  <si>
    <t>BL570250 Corp</t>
  </si>
  <si>
    <t>SPCX revolver 2031</t>
  </si>
  <si>
    <t>US84615MAK80</t>
  </si>
  <si>
    <t>BL097034 Corp</t>
  </si>
  <si>
    <t>Neocloud / miner converts and HY</t>
  </si>
  <si>
    <t>CRWV 1.75 12/2031 (cv)</t>
  </si>
  <si>
    <t>B</t>
  </si>
  <si>
    <t>US21873SAD09</t>
  </si>
  <si>
    <t>CRWV 1.75 12/01/2031 144A Corp</t>
  </si>
  <si>
    <t>CRWV 1.75 10/2032 (cv)</t>
  </si>
  <si>
    <t>US21873SAH13</t>
  </si>
  <si>
    <t>CRWV 1.75 10/01/2032 144A Corp</t>
  </si>
  <si>
    <t>CRWV 2.875 04/2033 (cv, Sep-26)</t>
  </si>
  <si>
    <t>US21873SAL25</t>
  </si>
  <si>
    <t>CRWV 2.875 04/01/2033 144A Corp</t>
  </si>
  <si>
    <t>CRWV 9.25 06/2030</t>
  </si>
  <si>
    <t>US21873SAB43</t>
  </si>
  <si>
    <t>CRWV 9.25 06/01/2030 144A Corp</t>
  </si>
  <si>
    <t>CRWV 9 02/2031</t>
  </si>
  <si>
    <t>US21873SAC26</t>
  </si>
  <si>
    <t>CRWV 9 02/01/2031 144A Corp</t>
  </si>
  <si>
    <t>CRWV 9.625 07/2032</t>
  </si>
  <si>
    <t>US21873SAK42</t>
  </si>
  <si>
    <t>CRWV 9.625 07/15/2032 144A Corp</t>
  </si>
  <si>
    <t>CRWV GPU DDTL 11/2031</t>
  </si>
  <si>
    <t>US21882DAB64</t>
  </si>
  <si>
    <t>BL567281 Corp</t>
  </si>
  <si>
    <t>CRWV DDTL 09/2031</t>
  </si>
  <si>
    <t>US21882EAB48</t>
  </si>
  <si>
    <t>BL577043 Corp</t>
  </si>
  <si>
    <t>NBIS 1.25 03/2031 (cv)</t>
  </si>
  <si>
    <t>US63954QAJ58</t>
  </si>
  <si>
    <t>NBIS 1.25 03/15/2031 144A Corp</t>
  </si>
  <si>
    <t>NBIS 2.625 03/2033 (cv)</t>
  </si>
  <si>
    <t>US63954QAL05</t>
  </si>
  <si>
    <t>NBIS 2.625 03/15/2033 144A Corp</t>
  </si>
  <si>
    <t>NBIS 4.5 02/2034 (cv, Aug-26)</t>
  </si>
  <si>
    <t>US63954QAQ91</t>
  </si>
  <si>
    <t>NBIS 4.5 02/15/2034 144A Corp</t>
  </si>
  <si>
    <t>CIFR 1.75 05/2030 (cv)</t>
  </si>
  <si>
    <t>US17253JAA43</t>
  </si>
  <si>
    <t>CIFR 1.75 05/15/2030 Corp</t>
  </si>
  <si>
    <t>CIFR 0 10/2031 (cv)</t>
  </si>
  <si>
    <t>US17253JAB26</t>
  </si>
  <si>
    <t>CIFR 0 10/01/2031 144A Corp</t>
  </si>
  <si>
    <t>CIFR 0 11/2032 (cv, NEW 16-Oct)</t>
  </si>
  <si>
    <t>US17252AAA43</t>
  </si>
  <si>
    <t>CIFR 0 11/01/2032 144A Corp</t>
  </si>
  <si>
    <t>SOFTBK 9.75 04/2034 (Sep-26)</t>
  </si>
  <si>
    <t>BB+</t>
  </si>
  <si>
    <t>US83408KAC36</t>
  </si>
  <si>
    <t>SOFTBK 9.75 04/01/2034 144A Corp</t>
  </si>
  <si>
    <t>Tenant / parent comparator bond</t>
  </si>
  <si>
    <t>NVDA 2 06/2031 (comp)</t>
  </si>
  <si>
    <t>US67066GAN43</t>
  </si>
  <si>
    <t>US67066GAN43 Corp</t>
  </si>
  <si>
    <t>GOOGL 4.8 02/2036 (comp)</t>
  </si>
  <si>
    <t>AA+</t>
  </si>
  <si>
    <t>US02079KBM80</t>
  </si>
  <si>
    <t>US02079KBM80 Corp</t>
  </si>
  <si>
    <t>GOOGL 4.1 02/2031 (comp)</t>
  </si>
  <si>
    <t>US02079KBK25</t>
  </si>
  <si>
    <t>US02079KBK25 Corp</t>
  </si>
  <si>
    <t>META 5.25 05/2036 (comp)</t>
  </si>
  <si>
    <t>AA-</t>
  </si>
  <si>
    <t>US30303MAH51</t>
  </si>
  <si>
    <t>US30303MAH51 Corp</t>
  </si>
  <si>
    <t>ORCL 3.6 04/2040 (comp)</t>
  </si>
  <si>
    <t>BBB-</t>
  </si>
  <si>
    <t>US68389XBW48</t>
  </si>
  <si>
    <t>US68389XBW48 Corp</t>
  </si>
  <si>
    <t>ORCL 4.95 02/2031 (comp)</t>
  </si>
  <si>
    <t>US68389XDX03</t>
  </si>
  <si>
    <t>US68389XDX03 Corp</t>
  </si>
  <si>
    <t>MSFT 3.45 08/2036 (comp)</t>
  </si>
  <si>
    <t>AAA</t>
  </si>
  <si>
    <t>US594918BS26</t>
  </si>
  <si>
    <t>US594918BS26 Corp</t>
  </si>
  <si>
    <t>AMZN 4.25 03/2031 (comp)</t>
  </si>
  <si>
    <t>US023135DD51</t>
  </si>
  <si>
    <t>US023135DD51 Corp</t>
  </si>
  <si>
    <t>JANEST 7.294 08/2031 (comp)</t>
  </si>
  <si>
    <t>BB</t>
  </si>
  <si>
    <t>USU47015AH24</t>
  </si>
  <si>
    <t>USU47015AH24 Corp</t>
  </si>
  <si>
    <t>SOFTBK 8.25 10/2031 (comp)</t>
  </si>
  <si>
    <t>XS3344488864</t>
  </si>
  <si>
    <t>XS3344488864 Corp</t>
  </si>
  <si>
    <t>BABA 2.125 02/2031 (comp)</t>
  </si>
  <si>
    <t>A+</t>
  </si>
  <si>
    <t>US01609WAX02</t>
  </si>
  <si>
    <t>BABA 2.125 02/09/2031 Corp</t>
  </si>
  <si>
    <t>CRWV 8.5 07/2032 EUR</t>
  </si>
  <si>
    <t>XS3333139288</t>
  </si>
  <si>
    <t>XS3333139288 Corp</t>
  </si>
  <si>
    <t>NBIS 2 06/2029 (cv)</t>
  </si>
  <si>
    <t>US63954QAB23</t>
  </si>
  <si>
    <t>NBIS 2 06/05/2029 Corp</t>
  </si>
  <si>
    <t>NBIS 3 06/2031 (cv)</t>
  </si>
  <si>
    <t>US63954QAD88</t>
  </si>
  <si>
    <t>NBIS 3 06/05/2031 Corp</t>
  </si>
  <si>
    <t>NBIS 2.75 09/2032 (cv)</t>
  </si>
  <si>
    <t>US63954QAH92</t>
  </si>
  <si>
    <t>NBIS 2.75 09/15/2032 Corp</t>
  </si>
  <si>
    <t>IREN 3.25 06/2030 (cv)</t>
  </si>
  <si>
    <t>US46270CAB54</t>
  </si>
  <si>
    <t>IREN 3.25 06/15/2030 Corp</t>
  </si>
  <si>
    <t>IREN 3.5 12/2029 (cv)</t>
  </si>
  <si>
    <t>US46270CAD11</t>
  </si>
  <si>
    <t>IREN 3.5 12/15/2029 Corp</t>
  </si>
  <si>
    <t>CDS: live flat spreads</t>
  </si>
  <si>
    <t>CDS_FLAT_SPREAD in bp. MS desk marks are Morgan Stanley Credit Trading, 24-Aug-2026.</t>
  </si>
  <si>
    <t>Name</t>
  </si>
  <si>
    <t>Bloomberg ticker</t>
  </si>
  <si>
    <t>LIVE flat spread (bp)</t>
  </si>
  <si>
    <t>Spread at snapshot (bp)</t>
  </si>
  <si>
    <t>Δ vs snapshot (bp)</t>
  </si>
  <si>
    <t>MS desk 24-Aug (bp)</t>
  </si>
  <si>
    <t>Δ vs MS (bp)</t>
  </si>
  <si>
    <t>AVGO B CDS 5Y</t>
  </si>
  <si>
    <t>AVGO B CDS USD SR 5Y D14 Corp</t>
  </si>
  <si>
    <t>AVAGO CDS 5Y</t>
  </si>
  <si>
    <t>AVAGO CDS USD SR 5Y D14 Corp</t>
  </si>
  <si>
    <t>AMD CDS 5Y</t>
  </si>
  <si>
    <t>AMD CDS USD SR 5Y D14 Corp</t>
  </si>
  <si>
    <t>SPCX CDS 5Y</t>
  </si>
  <si>
    <t>SPCX CDS USD SR 5Y D14 Corp</t>
  </si>
  <si>
    <t>NVDA CDS 5Y</t>
  </si>
  <si>
    <t>NVDA CDS USD SR 5Y D14 Corp</t>
  </si>
  <si>
    <t>ORCL CDS 5Y</t>
  </si>
  <si>
    <t>ORCLCP CDS USD SR 5Y D14 Corp</t>
  </si>
  <si>
    <t>CRWV CDS 1Y</t>
  </si>
  <si>
    <t>CRWV CDS USD SR 1Y D14 Corp</t>
  </si>
  <si>
    <t>CRWV CDS 3Y</t>
  </si>
  <si>
    <t>CRWV CDS USD SR 3Y D14 Corp</t>
  </si>
  <si>
    <t>CRWV CDS 5Y</t>
  </si>
  <si>
    <t>CRWV CDS USD SR 5Y D14 Corp</t>
  </si>
  <si>
    <t>CRWV CDS 7Y</t>
  </si>
  <si>
    <t>CRWV CDS USD SR 7Y D14 Corp</t>
  </si>
  <si>
    <t>CRWV CDS 10Y</t>
  </si>
  <si>
    <t>CRWV CDS USD SR 10Y D14 Corp</t>
  </si>
  <si>
    <t>META CDS 5Y</t>
  </si>
  <si>
    <t>META CDS USD SR 5Y D14 Corp</t>
  </si>
  <si>
    <t>GOOGL CDS 5Y</t>
  </si>
  <si>
    <t>GOOGL CDS USD SR 5Y D14 Corp</t>
  </si>
  <si>
    <t>MSFT CDS 5Y</t>
  </si>
  <si>
    <t>MSFT CDS USD SR 5Y D14 Corp</t>
  </si>
  <si>
    <t>AMZN CDS 5Y</t>
  </si>
  <si>
    <t>AMZN CDS USD SR 5Y D14 Corp</t>
  </si>
  <si>
    <t>Issuer and tenant equities: live daily volume</t>
  </si>
  <si>
    <t>Equity volume is real and a good proxy for activity in the credit. Relative volume = today's volume / 30-day average (amber at 1.5x or more).</t>
  </si>
  <si>
    <t>Equity</t>
  </si>
  <si>
    <t>Why it matters</t>
  </si>
  <si>
    <t>Volume today</t>
  </si>
  <si>
    <t>30d avg volume</t>
  </si>
  <si>
    <t>Relative volume (x)</t>
  </si>
  <si>
    <t>Volume time</t>
  </si>
  <si>
    <t>Tenant behind APLD/ELNFOR/CORZ/GALAXY/ELKGVP; own HY bonds and converts</t>
  </si>
  <si>
    <t>CRWV US Equity</t>
  </si>
  <si>
    <t>Nebius</t>
  </si>
  <si>
    <t>Neocloud converts</t>
  </si>
  <si>
    <t>NBIS US Equity</t>
  </si>
  <si>
    <t>IREN</t>
  </si>
  <si>
    <t>IREN US Equity</t>
  </si>
  <si>
    <t>Applied Digital</t>
  </si>
  <si>
    <t>APLD, PFORGE, ELNFOR project bonds</t>
  </si>
  <si>
    <t>APLD US Equity</t>
  </si>
  <si>
    <t>Core Scientific</t>
  </si>
  <si>
    <t>CORZ bond (CoreWeave tenant)</t>
  </si>
  <si>
    <t>CORZ US Equity</t>
  </si>
  <si>
    <t>Cipher Digital</t>
  </si>
  <si>
    <t>CIFR/BLKPRL/STNGRY bonds, new 0% 2032 convert</t>
  </si>
  <si>
    <t>CIFR US Equity</t>
  </si>
  <si>
    <t>TeraWulf</t>
  </si>
  <si>
    <t>WULF bond (Google-backstopped)</t>
  </si>
  <si>
    <t>WULF US Equity</t>
  </si>
  <si>
    <t>Galaxy Digital</t>
  </si>
  <si>
    <t>GALAXY bond (CoreWeave tenant)</t>
  </si>
  <si>
    <t>GLXY US Equity</t>
  </si>
  <si>
    <t>Hut 8</t>
  </si>
  <si>
    <t>HUTBPA (NVIDIA) and HUTRBA (Google backstop)</t>
  </si>
  <si>
    <t>HUT US Equity</t>
  </si>
  <si>
    <t>RDMICH, PFORGE, YNDRDC tenant; own bonds and CDS</t>
  </si>
  <si>
    <t>ORCL US Equity</t>
  </si>
  <si>
    <t>Broadcom</t>
  </si>
  <si>
    <t>Backstop provider; AVGO bonds</t>
  </si>
  <si>
    <t>AVGO US Equity</t>
  </si>
  <si>
    <t>Tenant TRACTC/TRACTD/HUTBPA; backstop provider</t>
  </si>
  <si>
    <t>NVDA US Equity</t>
  </si>
  <si>
    <t>AMD</t>
  </si>
  <si>
    <t>JPM credit Underweight</t>
  </si>
  <si>
    <t>AMD US Equity</t>
  </si>
  <si>
    <t>$40bn chip financing in the pipeline; 2056 bond</t>
  </si>
  <si>
    <t>SPCX US Equity</t>
  </si>
  <si>
    <t>RPLDCI/TXEDCI tenant</t>
  </si>
  <si>
    <t>META US Equity</t>
  </si>
  <si>
    <t>Alphabet</t>
  </si>
  <si>
    <t>Google backstops</t>
  </si>
  <si>
    <t>GOOGL US Equity</t>
  </si>
  <si>
    <t>QTS bonds tenant</t>
  </si>
  <si>
    <t>MSFT US Equity</t>
  </si>
  <si>
    <t>BLKPRL/STNGRY tenant</t>
  </si>
  <si>
    <t>AMZN US Equity</t>
  </si>
  <si>
    <t>SECMOS tenant; $11.1bn HY offering</t>
  </si>
  <si>
    <t>9984 JT Equity</t>
  </si>
  <si>
    <t>AI credit live workbook. Blue cells are Bloomberg formulas (=BDP) that update while this file is open in Excel with the Bloomberg add-in loaded (same login as the terminal).</t>
  </si>
  <si>
    <t>If cells show #NAME?: Excel &gt; Bloomberg tab &gt; Log In, then Refresh (F9). 'Requesting Data...' clears after a minute or two on first open.</t>
  </si>
  <si>
    <t>Principal gained / lost = (live price - 100) / 100 x amount outstanding, in $mn on the whole issue. Negative = trading below par. Also shown: today's change in value (live vs previous close) and, for the Barclays universe, the change since 15-Sep.</t>
  </si>
  <si>
    <t>Totals per section (IG, HY) give face outstanding, weighted-average price and aggregate principal vs par.</t>
  </si>
  <si>
    <t>Bond prices and bid/ask are Bloomberg composite quotes that refresh about every 15 seconds; they are not individual trades. Cumulative daily bond volume is not available in Bloomberg fields; 'Last trade size (TRACE)' is the latest print. For the tape use TRAC &lt;GO&gt;. Equity volume (Equities sheet) is real.</t>
  </si>
  <si>
    <t>Reference data: Barclays IG/HY Data Center Credit Digest, 16-Sep-2026 (Figures 5, 7, 8, 9); Morgan Stanley desk CDS 24-Aug-2026; instrument master and latest snapshot (2026-10-16_1248).</t>
  </si>
  <si>
    <t>Rebuild: python C:\Users\daniel.grozdea\scripts\build_ai_credit_live.py (after running ai_credit_refresh.py to reset the snapshot reference).</t>
  </si>
  <si>
    <t>Monitor columns S to Y: First issued (Bloomberg ISSUE_DT), live OAS, tenant comparable bond and its live OAS, live pickup (bond OAS minus comparable OAS), Barclays 15-Sep pickup and the change since. The bond ticker for terminal lookups moved to column Z.</t>
  </si>
  <si>
    <t>Deal dossiers: the Deal Index sheet links to one tab per bond on the Monitor (built from SEC filings, indentures, company and rating agency releases; each tab lists its sources and what could not be verified). Dossiers live in the dossiers folder and are read at build time.</t>
  </si>
  <si>
    <t>Caveats: yield changes vs Barclays mix YTW (Barclays) with yield-to-maturity (live), so they are approximate. Converts and loans are measured against par for comparability only.</t>
  </si>
  <si>
    <t>&lt;&lt; Monitor</t>
  </si>
  <si>
    <t>Dossier as of 2026-10-16 | ISIN US07367AAA79 (seed, unverified) | IG section | Bloomberg: HUTBPA 6.129 11/30/42 144A Corp</t>
  </si>
  <si>
    <t>Today's change ($mn)</t>
  </si>
  <si>
    <t>LIVE pickup vs tenant comp (bp)</t>
  </si>
  <si>
    <t>Rating</t>
  </si>
  <si>
    <t>Summary</t>
  </si>
  <si>
    <t>Security terms</t>
  </si>
  <si>
    <t>Source</t>
  </si>
  <si>
    <t>Status</t>
  </si>
  <si>
    <t>Issuer</t>
  </si>
  <si>
    <t>Beacon Point DC LLC, a Delaware LLC; indirect wholly-owned subsidiary of Hut 8 Corp.</t>
  </si>
  <si>
    <t>S1</t>
  </si>
  <si>
    <t>verified (official doc)</t>
  </si>
  <si>
    <t>Notes</t>
  </si>
  <si>
    <t>6.129% Senior Secured Notes due 2042; senior secured obligations of the Issuer.</t>
  </si>
  <si>
    <t>Principal</t>
  </si>
  <si>
    <t>$4,250mm aggregate, issued at 100% of par. Original and current principal are the same: no amortization before 30 May 2030. The indenture permits Additional Notes (conditions not retrieved).</t>
  </si>
  <si>
    <t>S2</t>
  </si>
  <si>
    <t>Coupon / day count</t>
  </si>
  <si>
    <t>6.129% fixed, 30/360 (twelve 30-day months); interest accrues from 9 Jun 2026; payable semi-annually 30 May and 30 Nov, first payment 30 Nov 2026; record dates 15 May and 15 Nov.</t>
  </si>
  <si>
    <t>Pricing / issue date</t>
  </si>
  <si>
    <t>Priced 4 Jun 2026 (purchase agreement dated 4 Jun); issued and indenture dated 9 Jun 2026. Priced at T+165bp, 20bp inside the River Bend notes' issuance spread; substantially oversubscribed.</t>
  </si>
  <si>
    <t>S5</t>
  </si>
  <si>
    <t>company statement</t>
  </si>
  <si>
    <t>Maturity</t>
  </si>
  <si>
    <t>30 Nov 2042 (about 16.5 years from issue).</t>
  </si>
  <si>
    <t>Offering format</t>
  </si>
  <si>
    <t>Rule 144A / Regulation S. J.P. Morgan Securities LLC represented the initial purchasers (lead bookrunner); Goldman Sachs &amp; Co. LLC bookrunner. The 144A offering memorandum is dated 4 Jun 2026 and is not public.</t>
  </si>
  <si>
    <t>ISIN / CUSIP</t>
  </si>
  <si>
    <t>ISIN US07367AAA79 and CUSIP 07367AAA7 are seed leads; the form of note filed with the indenture leaves the identifier fields blank, so they could not be verified. Reg S identifiers not found.</t>
  </si>
  <si>
    <t>S15</t>
  </si>
  <si>
    <t>seed, unverified</t>
  </si>
  <si>
    <t>Denominations</t>
  </si>
  <si>
    <t>Minimum $2,000 with integral multiples of $1,000 above that.</t>
  </si>
  <si>
    <t>Trustee / agents</t>
  </si>
  <si>
    <t>Wilmington Trust, National Association: trustee, collateral agent, paying agent and registrar.</t>
  </si>
  <si>
    <t>Governing law / jurisdiction</t>
  </si>
  <si>
    <t>New York law (Sec. 13.06(a)); exclusive jurisdiction of New York Supreme Court (New York County) and SDNY.</t>
  </si>
  <si>
    <t>Optional redemption</t>
  </si>
  <si>
    <t>Before the Par Call Date (30 May 2042): make-whole at the greater of 100% and discounted value at Treasury Rate + 25bp (Sec. 3.08(a)). On or after 30 May 2042: 100% plus accrued. A 90% tender clean-up call exists (Sec. 3.08(e)). Seed call date and price (5/30/42 at 100) are consistent.</t>
  </si>
  <si>
    <t>Special redemptions and offers</t>
  </si>
  <si>
    <t>100% plus accrued after a Data Center Lease Termination Event (Sec. 3.08(c)); partial redemption at 100% if DSCR is below 1.10x after the Initial Commencement Date, sized to restore about 1.10x (Sec. 3.08(d)); Termination Fee Offer at 100% within 15 Business Days of a Data Center Lease Termination Default, funded by the lease termination fee (Sec. 3.10); optional Underbudget Amount Offer at 100% (Sec. 3.11).</t>
  </si>
  <si>
    <t>Change of control</t>
  </si>
  <si>
    <t>Holders may put at 101% plus accrued (Sec. 4.11). Before the Initial Commencement Date a Change of Control means a non-Permitted Holder acquiring over 50% of Hut 8 Corp. voting power; it is also triggered if neither Hut 8 nor affiliates (nor, after commencement, a Qualified Operator controlling 200MW+ of US data centers) keeps primary operational control of the site. A Trigger Event additionally needs a Ratings Decline by at least two agencies within 60 days.</t>
  </si>
  <si>
    <t>Mandatory amortization</t>
  </si>
  <si>
    <t>Semi-annual installments at 100% on 30 May / 30 Nov from 30 May 2030: 26 installments summing to $4,250mm (checked). First $39.0mm (30 May 2030), then $82.9mm; peak $286.9mm on 30 May 2042; final $98.3mm at maturity 30 Nov 2042. Back-loaded: installments through Nov 2035 total about $1.30bn (about 31% of principal). Installments reduce pro rata on redemptions and may be deferred after a Data Center Lease Termination Event (Sec. 14.04(b)).</t>
  </si>
  <si>
    <t>Security package</t>
  </si>
  <si>
    <t>First-priority security over the Issuer's equity interests and all Issuer property plus Project Accounts, via a Security Agreement, mortgages and account control agreements; Beacon Point Holding LLC pledges its Issuer equity. Excluded Property and Adjacent Property are not collateral. No guarantors appear in the indenture text retrieved.</t>
  </si>
  <si>
    <t>Trading levels (seed)</t>
  </si>
  <si>
    <t>Seed: yield 6.99%, spread +200bp on 15 Sep 2026; comp NVDA 4.95% 2036. Not verified.</t>
  </si>
  <si>
    <t>Issuer and structure</t>
  </si>
  <si>
    <t>Borrower chain</t>
  </si>
  <si>
    <t>Hut 8 Corp. (Nasdaq: HUT) -&gt; indirect subsidiaries -&gt; Beacon Point Holding LLC (HoldCo, party to the indenture, pledges Issuer equity) -&gt; Beacon Point DC LLC (Issuer, landlord under the Data Center Lease and owner of the project).</t>
  </si>
  <si>
    <t>Obligor / guarantees</t>
  </si>
  <si>
    <t>Issuer is the sole obligor. Notes are non-recourse to Hut 8 Corp. (company statement; Hut 8 says the parent keeps zero recourse debt). No parent guarantee identified.</t>
  </si>
  <si>
    <t>Ring-fencing</t>
  </si>
  <si>
    <t>Special-purpose covenants (Sec. 4.19): no material assets beyond the project, no subsidiaries, no employees, no commingling, independent director consent to a bankruptcy filing; restrictions can be lifted only with a Rating Agency Confirmation. HoldCo has a negative-pledge covenant (Sec. 4.20).</t>
  </si>
  <si>
    <t>Campus sharing</t>
  </si>
  <si>
    <t>The indenture contemplates Shared Facilities and Commercial Property Association arrangements and carves Adjacent Property out of the collateral, which fits a campus where later phases are developed alongside. How Phase 2 sits relative to this SPV is not disclosed.</t>
  </si>
  <si>
    <t>Equity contribution</t>
  </si>
  <si>
    <t>Not quantified in documents retrieved. Hut 8 says it does not expect to issue equity to fund the project. The campus was originally underwritten to serve affiliate American Bitcoin Corp. before the third-party lease.</t>
  </si>
  <si>
    <t>Sponsor and parent</t>
  </si>
  <si>
    <t>Sponsor</t>
  </si>
  <si>
    <t>Hut 8 Corp., Miami-based developer/operator (formerly bitcoin miner) now building AI data centers. Contracted AI portfolio 949 MW (704 MW Beacon Point, 245 MW River Bend), about $26.6bn base-term contract value (company figures).</t>
  </si>
  <si>
    <t>S7</t>
  </si>
  <si>
    <t>Other financings</t>
  </si>
  <si>
    <t>$3.25bn River Bend notes (Hut 8 DC LLC, Apr 2026); $1.07bn parent revolver closed 24 Sep 2026 (JPMorgan agent, undrawn at closing, Term SOFR + 1.50-2.00%, minimum liquidity 40% of commitments from 31 Mar 2027 falling to 25% after the Stabilization Date); FalconX $200mm bitcoin-backed facility refinanced to 7.0%; Coatue $150mm convertible converted.</t>
  </si>
  <si>
    <t>S13</t>
  </si>
  <si>
    <t>Parent liquidity</t>
  </si>
  <si>
    <t>About $8.1bn total liquidity at 30 Jun 2026 including $7.6bn attributable to Hut 8 (largely project cash) and $497mm at American Bitcoin. Consolidated restricted cash was $6.79bn at 30 Jun 2026.</t>
  </si>
  <si>
    <t>S8</t>
  </si>
  <si>
    <t>Revolver relevance</t>
  </si>
  <si>
    <t>The revolver is parent-level with first lien on substantially all assets of Hut 8 and guarantors; bondholders are structurally separate (non-recourse), but the revolver's covenants bear on sponsor capacity to support the project.</t>
  </si>
  <si>
    <t>Tenant and lease</t>
  </si>
  <si>
    <t>Lease document</t>
  </si>
  <si>
    <t>Data Center Lease dated 12 Mar 2026 between the Issuer (landlord) and the Tenant, amended 29 Apr 2026. The lease itself is not filed.</t>
  </si>
  <si>
    <t>Tenant identity (official)</t>
  </si>
  <si>
    <t>Hut 8 filings do not name the tenant. The 8-K says the lease is to a tenant rated AA- or higher as of 9 Jun 2026; Hut 8 calls it a 'high-investment-grade' tenant.</t>
  </si>
  <si>
    <t>Tenant identity (reported)</t>
  </si>
  <si>
    <t>The Financial Times, citing five people, reported NVIDIA as the tenant behind both Beacon Point leases, and Bloomberg reportedly concurred. NVIDIA and Hut 8 have not confirmed. The indenture's Qualifying Tenant list names NVIDIA, Apple, Microsoft, Amazon, Alphabet (Google) and Meta, consistent with but not proof of NVIDIA.</t>
  </si>
  <si>
    <t>S11</t>
  </si>
  <si>
    <t>third party / news</t>
  </si>
  <si>
    <t>Lease structure</t>
  </si>
  <si>
    <t>15-year base term, triple net, take-or-pay; 352 MW IT; $9.8bn base-term contract value for Phase 1; fixed rent with 3.0% annual escalator (stated for Phase 2 as substantially the same terms); three 5-year renewal options (campus value $50.2bn with all options, per company). The CEO reportedly said there is no termination for convenience.</t>
  </si>
  <si>
    <t>Rent economics</t>
  </si>
  <si>
    <t>Company illustration: Phase 1 cumulative NOI about $9,788mm over the base term; revenue about $63mm in 2027 rising to about $776mm in 2041; implied stabilised average NOI about $655mm/yr, roughly $1.86mm per MW-year (derived). Seed base rent of $1.57mm/MW is not confirmed.</t>
  </si>
  <si>
    <t>S3</t>
  </si>
  <si>
    <t>Commencement</t>
  </si>
  <si>
    <t>Initial data hall delivery targeted Q3 2027; seed shows rent commencement Aug 2027 to Apr 2028 (unverified). The lease 'Commencement Date' is defined per Critical Power Phase; the Initial Commencement Date is the first phase.</t>
  </si>
  <si>
    <t>Assignment and termination protections in the indenture</t>
  </si>
  <si>
    <t>The Issuer may not consent to a tenant assignment unless the transferee is a Qualifying Tenant or Creditworthy Transferee (AA-/Aa2 stable with at least $25.0bn tangible net worth) (Sec. 4.21(b)). Lease termination alone is not an Event of Default: it needs the lease ceasing, no Qualifying Data Center Lease within 6 months (12 with conditions), and failure to run a Termination Fee Offer (Sec. 6.01(9)).</t>
  </si>
  <si>
    <t>Termination fee</t>
  </si>
  <si>
    <t>A Data Center Lease Termination Fee payable by the Tenant exists (amount not disclosed); it is paid into a Designated Account and used to repurchase notes at 100%.</t>
  </si>
  <si>
    <t>SLA credits, delay rights, extension mechanics</t>
  </si>
  <si>
    <t>Not found: lease not public.</t>
  </si>
  <si>
    <t>Project and site</t>
  </si>
  <si>
    <t>Location / size</t>
  </si>
  <si>
    <t>About 521 acres in Nueces County, Texas; six data halls; 352 MW critical IT; on-site substation. Press describes about 525 acres.</t>
  </si>
  <si>
    <t>Campus</t>
  </si>
  <si>
    <t>Beacon Point is a 1 GW campus (1,000 MW AEP Texas interconnection agreement). Phase 2 (500 MW of utility capacity, a further 352 MW) is a separate lease; total contracted 704 MW.</t>
  </si>
  <si>
    <t>NVIDIA DSX redesign</t>
  </si>
  <si>
    <t>The Phase 1 data hall was redesigned to NVIDIA's DSX reference architecture, giving about 57% more IT capacity within the same land and utility footprint (company statement).</t>
  </si>
  <si>
    <t>Cost per MW / facility cost</t>
  </si>
  <si>
    <t>Seed: facility cost $3,871mm, $11.0mm/MW, 97% debt-funded. Not verified, and hard to square with $4.25bn of notes (which also fund reserves and capitalised interest). Capex budget not found.</t>
  </si>
  <si>
    <t>Cooling / density</t>
  </si>
  <si>
    <t>Not found in documents retrieved.</t>
  </si>
  <si>
    <t>Power and utilities</t>
  </si>
  <si>
    <t>Grid connection</t>
  </si>
  <si>
    <t>Grid-connected via AEP Texas; 1,000 MW interconnection agreement for the campus. Advancing through the ERCOT process; Contribution in Aid of Construction funded and substation construction started as of May 2026.</t>
  </si>
  <si>
    <t>S6</t>
  </si>
  <si>
    <t>Energization</t>
  </si>
  <si>
    <t>Initial energization targeted Q1 2027 (company). Phase 2 is supported by 500 MW of the 1,000 MW; no incremental capacity needed.</t>
  </si>
  <si>
    <t>Permits / ERCOT large-load approvals</t>
  </si>
  <si>
    <t>Not found in documents retrieved; no county or PUCT records reviewed.</t>
  </si>
  <si>
    <t>Construction and delivery</t>
  </si>
  <si>
    <t>Status at 16 Oct 2026</t>
  </si>
  <si>
    <t>As of 4 Aug 2026: Phase 1 construction and campus substation underway; initial data hall delivery Q3 2027. Phase 2 initial hall Q2 2028, site preparation underway, long-lead equipment procured. No later milestone disclosure found.</t>
  </si>
  <si>
    <t>Contractor / contract type</t>
  </si>
  <si>
    <t>Not disclosed for Beacon Point in documents retrieved. The indenture refers to Full Budgeted Cost of Construction, Unused Contingency and Underbudget Amount mechanics, implying a budget with contingency; no GMP mention found for this deal (unlike River Bend).</t>
  </si>
  <si>
    <t>Construction-period liquidity</t>
  </si>
  <si>
    <t>Debt Service Reserve Required Amount during construction: $481.9mm (estimated accrued interest during construction) less interest paid, plus 50% of next interest payment and 50% of the first amortization installment.</t>
  </si>
  <si>
    <t>Completion guarantee / yield-on-cost</t>
  </si>
  <si>
    <t>None found. Overrun risk sits with the Issuer / Hut 8; unused contingency at commencement may be distributed once (Sec. 4.05(b)(6)).</t>
  </si>
  <si>
    <t>Seed schedule</t>
  </si>
  <si>
    <t>Seed: construction start early 2026; commencement Aug 2027 to Apr 2028.</t>
  </si>
  <si>
    <t>Financing and capital structure</t>
  </si>
  <si>
    <t>Debt</t>
  </si>
  <si>
    <t>The $4,250mm notes are the only project debt disclosed; fully amortizing, non-recourse. A construction-debt basket allows up to Full Budgeted Cost of Construction less the notes (Sec. 4.04(a)(21)); post-commencement pari passu debt needs a Rating Agency Confirmation.</t>
  </si>
  <si>
    <t>Company illustrative metrics</t>
  </si>
  <si>
    <t>DSCR 1.34x in sculpted years, initial ICR 2.01x, peak leverage 7.95x (debt/NOI); cumulative NOI $9,788mm, interest $2,569mm, levered FCF $2,860mm; amortization sculpted to repay by end of initial lease term. Seed leverage 7.7x not confirmed.</t>
  </si>
  <si>
    <t>Sources and uses</t>
  </si>
  <si>
    <t>Not disclosed in detail. Uses: construction, substation, debt service reserves, fees. Unlike River Bend, no reimbursement of sponsor equity is listed.</t>
  </si>
  <si>
    <t>Reserves</t>
  </si>
  <si>
    <t>DSRA funded at issue (see Construction); after construction, 50% of next interest plus 50% of next installment. May be satisfied with cash, securities, letters of credit or equity.</t>
  </si>
  <si>
    <t>Refinancing risk</t>
  </si>
  <si>
    <t>Fully amortizing to maturity from lease cash flows. The 15-year base lease from commencement (roughly 2027-2028 to 2042-2043) is about co-terminous with the Nov 2042 maturity, leaving little tail beyond the base term; final installment is $98mm.</t>
  </si>
  <si>
    <t>estimate</t>
  </si>
  <si>
    <t>Credit enhancement and support</t>
  </si>
  <si>
    <t>Parent recourse</t>
  </si>
  <si>
    <t>None: non-recourse to Hut 8 Corp.</t>
  </si>
  <si>
    <t>Third-party credit support</t>
  </si>
  <si>
    <t>No tenant-parent guarantee or Google-style backstop is disclosed. Credit rests on the tenant's own obligation (AA- or better per the 8-K). If the tenant is an NVIDIA subsidiary, whether NVIDIA parent guarantees the lease is not disclosed; the indenture treats controlled affiliates as Qualifying Tenants only where the parent guarantees.</t>
  </si>
  <si>
    <t>Replacement-tenant provisions</t>
  </si>
  <si>
    <t>A Qualifying Data Center Lease with a Qualifying Tenant plus Rating Agency Confirmation cures; 6-month window, up to 12 months with an LOI and funded DSRA.</t>
  </si>
  <si>
    <t>Lease termination fee</t>
  </si>
  <si>
    <t>Fee paid by tenant into a Designated Account and applied to par repurchase of notes.</t>
  </si>
  <si>
    <t>Covenants, waterfall and reserves</t>
  </si>
  <si>
    <t>Waterfall</t>
  </si>
  <si>
    <t>Revenue Account applied in order: operating expenses; Notes debt service (with DSRA); DSRA replenishment; then any purpose not prohibited (Sec. 4.23(f)). The Notes Proceeds Account funds construction and debt service pre-commencement. Lease termination fees go to a Designated Account.</t>
  </si>
  <si>
    <t>Distribution test</t>
  </si>
  <si>
    <t>Restricted Payments from Available Retained Excess Cash Flow only if DSCR exceeds 1.10x; other payments allowed only if pro forma DSCR stays at or above 1.10x. Tax distributions require a fully funded DSRA. No separate cash-sweep percentage found.</t>
  </si>
  <si>
    <t>Debt and lien limits</t>
  </si>
  <si>
    <t>General debt basket $50.0mm, secured asset debt $50.0mm, finance leases $50.0mm, letters of credit $100.0mm; non-pari passu secured credit facilities need DSCR of at least 1.10x.</t>
  </si>
  <si>
    <t>Events of default</t>
  </si>
  <si>
    <t>Interest 30 days; principal/premium 3 Business Days; covenant breach 90 days (150 for reporting); cross-default and judgment threshold $50.0mm (judgment unstayed 90 days); lease-termination default per Sec. 6.01(9).</t>
  </si>
  <si>
    <t>Reporting</t>
  </si>
  <si>
    <t>Quarterly reports within 60 days (75 for specified quarters); annual within 120 days (150 for FY2026, may be unaudited); annual compliance certificate within 120 days.</t>
  </si>
  <si>
    <t>Lease protection covenant</t>
  </si>
  <si>
    <t>No termination or materially adverse amendment of the lease without majority holder consent, Rating Agency Confirmation, or other listed exceptions (Sec. 4.21).</t>
  </si>
  <si>
    <t>Ratings</t>
  </si>
  <si>
    <t>Moody's</t>
  </si>
  <si>
    <t>Baa2 per the company press release; outlook not found. Moody's own release not retrieved.</t>
  </si>
  <si>
    <t>S&amp;P / Fitch</t>
  </si>
  <si>
    <t>Seed shows NR. No S&amp;P or Fitch rating found for Beacon Point (both rated River Bend). The change-of-control test uses the first rating assigned within 60 days of issue.</t>
  </si>
  <si>
    <t>Rating drivers and triggers</t>
  </si>
  <si>
    <t>Not found because the agency report was not accessed.</t>
  </si>
  <si>
    <t>Use of proceeds</t>
  </si>
  <si>
    <t>Uses</t>
  </si>
  <si>
    <t>(1) Development and construction of the turnkey 352 MW, six-hall data center on about 521 acres in Nueces County and the on-site substation; (2) debt service reserves; (3) offering fees and expenses.</t>
  </si>
  <si>
    <t>Key risks and open issues</t>
  </si>
  <si>
    <t>Tenant identity and credit</t>
  </si>
  <si>
    <t>Tenant is unnamed in filings; AA- or higher at issuance per the 8-K. If NVIDIA (reported), standalone credit is strong, but several protections hinge on tenant rating and Qualifying Tenant status.</t>
  </si>
  <si>
    <t>NVIDIA reassignment disclosure</t>
  </si>
  <si>
    <t>NVIDIA's 10-Q for the quarter ended 26 Jul 2026 reports $20bn of data center leases not yet commenced 'for third parties' (about 15-year terms, commencing fiscal 2028-2029) and says it expects to reassign these leases to third parties; it separately lists $25bn of its own not-commenced data center leases. The filing does not name Hut 8 or Beacon Point; the $20bn figure and 15-year tenor are consistent with, but do not prove, the two Beacon Point leases ($19.6bn base value). If assigned, the indenture lets the Issuer consent only to an assignee that is a Qualifying Tenant or Creditworthy Transferee (Sec. 4.21(b)); a sublease with NVIDIA remaining liable is not addressed in public documents.</t>
  </si>
  <si>
    <t>S10</t>
  </si>
  <si>
    <t>Lambda / Anthropic</t>
  </si>
  <si>
    <t>WSJ, with Reuters single-source confirmation, reported a $35bn, six-year Anthropic cloud deal with NVIDIA-backed Lambda using about 350 MW at Beacon Point; NVIDIA reportedly holds the lease, Lambda runs the GPUs and Anthropic buys the compute. Hut 8 has not confirmed how much of the 704 MW is involved. Credit read: the end-user is a fast-growing AI lab, not an investment-grade entity, so repayment depends on NVIDIA staying the obligor (or an AA-/Aa2 transferee). NVIDIA's 10-Q notes AI clouds can stop supplying NVIDIA and sell to others, which shows circularity risk.</t>
  </si>
  <si>
    <t>S12</t>
  </si>
  <si>
    <t>Construction and schedule</t>
  </si>
  <si>
    <t>Energization Q1 2027 and first hall Q3 2027 are company targets; interconnection and substation progress are on the critical path. Delay defers revenue (about $63mm in 2027 in the company illustration) while interest accrues; the DSRA is sized for construction interest of $482mm.</t>
  </si>
  <si>
    <t>Cost overrun</t>
  </si>
  <si>
    <t>No completion guarantee identified; overruns are covered only by contingency or sponsor equity, and a construction-debt basket exists.</t>
  </si>
  <si>
    <t>Back-loaded amortization / tail</t>
  </si>
  <si>
    <t>Amortization is light until the late 2030s; $4.25bn of debt against a 15-year base lease leaves limited residual tail and reliance on renewal or re-leasing for any shortfall.</t>
  </si>
  <si>
    <t>Technology obsolescence</t>
  </si>
  <si>
    <t>The Phase 1 hall was redesigned for NVIDIA DSX architecture (higher density); the value of a purpose-built shell to a replacement tenant is uncertain.</t>
  </si>
  <si>
    <t>Phase 2 spill-over</t>
  </si>
  <si>
    <t>Phase 2 (same tenant) concentrates exposure on one counterparty at the campus; its financing is under evaluation. Shared power capacity and Shared Facilities arrangements could create cross-dependencies with Phase 2.</t>
  </si>
  <si>
    <t>Recent developments (since issuance)</t>
  </si>
  <si>
    <t>20 Jul 2026</t>
  </si>
  <si>
    <t>Second 15-year, 352 MW lease signed with the same tenant ($9.8bn base value; campus $19.6bn; about $655mm/yr NOI per phase); Phase 2 hall delivery Q2 2028; financing not specified.</t>
  </si>
  <si>
    <t>4 Aug 2026</t>
  </si>
  <si>
    <t>Q2 results: Phase 1 on track for Q1 2027 energization and Q3 2027 first hall; Phase 2 financing structures under evaluation.</t>
  </si>
  <si>
    <t>26 Aug 2026</t>
  </si>
  <si>
    <t>NVIDIA 10-Q discloses expectation to reassign $20bn of not-yet-commenced third-party data center leases.</t>
  </si>
  <si>
    <t>31 Aug - 1 Sep 2026</t>
  </si>
  <si>
    <t>WSJ/Reuters report Anthropic $35bn capacity deal with Lambda at Beacon Point; NVIDIA reported as lease holder.</t>
  </si>
  <si>
    <t>24-28 Sep 2026</t>
  </si>
  <si>
    <t>Hut 8 closed a $1.07bn parent revolver (undrawn), adding parent liquidity independent of project notes.</t>
  </si>
  <si>
    <t>Trading</t>
  </si>
  <si>
    <t>Seed shows +200bp / 6.99% on 15 Sep 2026 versus +165bp at pricing (about 35bp wider); not verified.</t>
  </si>
  <si>
    <t>Timeline</t>
  </si>
  <si>
    <t>2026-03-12</t>
  </si>
  <si>
    <t>Data Center Lease dated between Beacon Point DC LLC and the tenant (per indenture definition).</t>
  </si>
  <si>
    <t>2026-04-29</t>
  </si>
  <si>
    <t>Data Center Lease amended.</t>
  </si>
  <si>
    <t>2026-05-06</t>
  </si>
  <si>
    <t>Hut 8 announces first Beacon Point lease: 15-year, 352 MW, $9.8bn, triple-net take-or-pay, unnamed high-investment-grade tenant.</t>
  </si>
  <si>
    <t>2026-06-04</t>
  </si>
  <si>
    <t>Beacon Point notes priced: $4.25bn 6.129% due 2042 at T+165bp; investor presentation furnished.</t>
  </si>
  <si>
    <t>S4</t>
  </si>
  <si>
    <t>2026-06-09</t>
  </si>
  <si>
    <t>Notes issued; indenture signed with Wilmington Trust; Moody's Baa2 announced.</t>
  </si>
  <si>
    <t>2026-06-10</t>
  </si>
  <si>
    <t>8-K with indenture (Ex. 4.1) filed.</t>
  </si>
  <si>
    <t>2026-07-20</t>
  </si>
  <si>
    <t>Second 15-year, 352 MW lease announced; campus 704 MW, $19.6bn base value.</t>
  </si>
  <si>
    <t>2026-07-28</t>
  </si>
  <si>
    <t>FT reports NVIDIA as unnamed Beacon Point tenant (late-July coverage, exact date approximate; unconfirmed by companies).</t>
  </si>
  <si>
    <t>2026-08-04</t>
  </si>
  <si>
    <t>Q2 results: initial energization Q1 2027, first data hall Q3 2027; Phase 2 financing under evaluation.</t>
  </si>
  <si>
    <t>2026-08-26</t>
  </si>
  <si>
    <t>NVIDIA 10-Q: expects to reassign $20bn of not-commenced data center leases to third parties.</t>
  </si>
  <si>
    <t>2026-09-01</t>
  </si>
  <si>
    <t>Coverage of WSJ report: Anthropic $35bn Lambda deal runs through Beacon Point.</t>
  </si>
  <si>
    <t>2026-09-24</t>
  </si>
  <si>
    <t>Hut 8 closes $1.07bn revolving credit facility (JPMorgan agent).</t>
  </si>
  <si>
    <t>Sources (official documents first)</t>
  </si>
  <si>
    <t>S1 | Indenture | 2026-06-10</t>
  </si>
  <si>
    <t>Indenture dated 9 Jun 2026 (Exhibit 4.1 to 8-K), Beacon Point DC LLC 6.129% Senior Secured Notes due 2042 (Hut 8 Corp. / SEC EDGAR). Used for: Security terms, amortization schedule, covenants, DSRA, events of default, tenant qualification definitions</t>
  </si>
  <si>
    <t>link</t>
  </si>
  <si>
    <t>S2 | SEC filing | 2026-06-10</t>
  </si>
  <si>
    <t>Form 8-K (Items 1.01, 2.03, 9.01) - closing of Beacon Point notes (Hut 8 Corp. / SEC EDGAR). Used for: Issuer, principal, indenture, redemption, use of proceeds, project description</t>
  </si>
  <si>
    <t>S3 | Presentation | 2026-06-04</t>
  </si>
  <si>
    <t>Form 8-K Item 7.01 with June 2026 investor presentation (Ex. 99.1), illustrative Beacon Point cash flows (Hut 8 Corp. / SEC EDGAR). Used for: Company illustrative NOI, DSCR 1.34x, ICR, peak leverage, amortization sculpting</t>
  </si>
  <si>
    <t>S4 | SEC filing | 2026-06-05</t>
  </si>
  <si>
    <t>Form 8-K, pricing of $4.25bn Beacon Point notes (press release 4 Jun 2026) (Hut 8 Corp. / SEC EDGAR). Used for: Pricing date, size, coupon, expected closing</t>
  </si>
  <si>
    <t>S5 | Press release | 2026-06-09</t>
  </si>
  <si>
    <t>Hut 8 Closes $4.25 Billion of Investment-Grade Senior Secured Notes for Beacon Point (press release, mirror copy) (Hut 8 Corp. (via Placera / PR Newswire mirror)). Used for: Baa2 rating, T+165 pricing, tenant rated AA- or higher, bookrunners, non-recourse and no-equity statements</t>
  </si>
  <si>
    <t>S6 | Press release | 2026-05-06</t>
  </si>
  <si>
    <t>Form 8-K (Q1 2026 results, Ex. 99.1) including first Beacon Point lease announcement (Hut 8 Corp. / SEC EDGAR). Used for: First lease: 15-year, 352 MW, $9.8bn, triple-net take-or-pay, AEP, ERCOT, CIAC funded</t>
  </si>
  <si>
    <t>S7 | Press release | 2026-07-20</t>
  </si>
  <si>
    <t>Form 8-K Item 8.01 and Ex. 99.1 press release, Beacon Point Phase 2 lease (Hut 8 Corp. / SEC EDGAR). Used for: Second 352 MW 15-year lease, $9.8bn, 704 MW campus, 500 MW incremental utility, Q2 2028 delivery, DSX architecture</t>
  </si>
  <si>
    <t>S8 | Press release | 2026-08-04</t>
  </si>
  <si>
    <t>Form 8-K (Q2 2026 results, Ex. 99.1) (Hut 8 Corp. / SEC EDGAR). Used for: Construction status, Q1 2027 energization and Q3 2027 first hall, Phase 2 financing under evaluation, liquidity</t>
  </si>
  <si>
    <t>S9 | SEC filing | 2026-08-04</t>
  </si>
  <si>
    <t>Form 10-Q for quarter ended 30 Jun 2026 (only front financial statements were retrievable) (Hut 8 Corp. / SEC EDGAR). Used for: Balance-sheet restricted cash and debt balances; Beacon Point notes carried with Level 2 fair value</t>
  </si>
  <si>
    <t>S10 | SEC filing | 2026-08-26</t>
  </si>
  <si>
    <t>NVIDIA Corp. Form 10-Q for quarter ended 26 Jul 2026, Note 10 Commitments and Contingencies (NVIDIA Corp. / SEC EDGAR). Used for: Data center leases not commenced; expectation to reassign leases to third parties; AI cloud commitments and guarantees</t>
  </si>
  <si>
    <t>S11 | News | 2026-07</t>
  </si>
  <si>
    <t>Nvidia is the mystery tenant behind Hut 8's $50bn Texas data centre, FT reports (The Next Web (summarising Financial Times)). Used for: Tenant identification (NVIDIA) and possible sublease to neocloud partners; NOT confirmed by Hut 8 or NVIDIA</t>
  </si>
  <si>
    <t>S12 | News | 2026-09-01</t>
  </si>
  <si>
    <t>Anthropic's $35 billion AI deal runs through a bitcoin miner's Texas campus (reporting WSJ, Reuters) (CoinDesk). Used for: Reported Anthropic / Lambda $35bn capacity deal at Beacon Point; NVIDIA holds lease; unconfirmed</t>
  </si>
  <si>
    <t>S13 | SEC filing | 2026-09-28</t>
  </si>
  <si>
    <t>Form 8-K (Items 1.01, 2.03, 7.01), $1.07bn senior secured revolving credit facility (Hut 8 Corp. / SEC EDGAR). Used for: Parent-level liquidity and covenants</t>
  </si>
  <si>
    <t>S14 | News | 2026-09-28</t>
  </si>
  <si>
    <t>Hut 8 Closes Two-Tier AI Data Center Finance Stack; JPMorgan Leads 12-Bank Revolver (Tech Times). Used for: Revolver syndicate; secondary confirmation of ratings and AEP Texas agreement</t>
  </si>
  <si>
    <t>S15 | News | 2026-09-16</t>
  </si>
  <si>
    <t>Barclays IG/HY Data Center Credit Digest (via seed.json) (Barclays / Bloomberg). Used for: Seed leads: ISIN, trading yield/spread, rent/MW, cost/MW, leverage; unverified</t>
  </si>
  <si>
    <t>Not found / could not verify</t>
  </si>
  <si>
    <t>Tenant is not named in any Hut 8 filing; the NVIDIA identification rests on FT/Bloomberg reporting. NVIDIA's 10-Q does not name Hut 8 or Beacon Point, so linking its $20bn lease-reassignment disclosure to Beacon Point is inference only.</t>
  </si>
  <si>
    <t>The Data Center Lease (12 Mar 2026, amended 29 Apr 2026) is not publicly filed: rent per MW, any parent guarantee, termination rights, delay damages, SLA credits and sublease terms are unknown. Seed rent of $1.57mm/MW could not be verified.</t>
  </si>
  <si>
    <t>ISIN/CUSIP not verifiable: the form of note in the filed indenture has blank identifier fields.</t>
  </si>
  <si>
    <t>Moody's Baa2 comes from the company press release; Moody's report (outlook, rationale, triggers) was not accessible. No S&amp;P or Fitch rating found.</t>
  </si>
  <si>
    <t>Sources and uses, equity contribution, construction budget, contingency and EPC/GMP contractor are not disclosed in documents retrieved; the 144A offering memorandum is private.</t>
  </si>
  <si>
    <t>The indenture was read in 100k-character chunks through a summarising fetch tool; some definitions (e.g. Qualifying Tenant detail beyond the list, Rating Agency Confirmation) were not captured for this deal, and the Additional Notes conditions were not seen.</t>
  </si>
  <si>
    <t>Hut 8 Q2 2026 10-Q notes (debt, commitments, restricted cash detail) could not be retrieved; only the front financial statements were visible.</t>
  </si>
  <si>
    <t>How Phase 2 will be financed, and whether it sits inside this SPV's collateral or on Adjacent Property, is undisclosed; Hut 8 says only that financing structures are under evaluation.</t>
  </si>
  <si>
    <t>The Lambda/Anthropic arrangement is single-sourced press reporting; no filing from Hut 8, NVIDIA, Lambda or Anthropic confirms it, and the MW allocation is unknown.</t>
  </si>
  <si>
    <t>www.sec.gov rejected the prescribed User-Agent (CapstoneResearch/1.0) for archive documents; EDGAR full-text search and data.sec.gov worked, so documents were read via WebFetch. No permit, ERCOT or county records were reviewed.</t>
  </si>
  <si>
    <t>Seed figures not verified: facility cost $3,871mm, $11.0mm/MW, 97% debt-funded, 7.7x leverage, 1% estimated amortization, yield/spread. Company-illustrated peak leverage is 7.95x versus seed 7.7x.</t>
  </si>
  <si>
    <t>Dossier as of 2026-10-16 | ISIN US44813DAA46 (seed, unverified) | IG section | Bloomberg: HUTRBA 6.192 11/15/42 144A Corp</t>
  </si>
  <si>
    <t>Hut 8 DC LLC, indirect wholly-owned subsidiary of Hut 8 Corp.; direct parent Hut 8 DC Member LLC ('HoldCo') is also a party to the indenture.</t>
  </si>
  <si>
    <t>6.192% Senior Secured Notes due 2042; senior secured obligations of the Issuer.</t>
  </si>
  <si>
    <t>$3,250mm issued at 100% of par; original equals current (amortization starts 15 May 2028). The launch 8-K referred to $3,248mm and the company's illustrative schedule funds $3,248mm; the indenture defines Initial Notes as $3,250,000,000. Treat $3,250mm as the face amount.</t>
  </si>
  <si>
    <t>Coupon / payment dates</t>
  </si>
  <si>
    <t>6.192% per annum, paid semi-annually in arrears on 15 May and 15 Nov, first payment 15 Nov 2026. Day count and record dates not captured (form of note not retrieved); 30/360 is typical but not verified.</t>
  </si>
  <si>
    <t>Priced 27 Apr 2026; indenture dated and closing 30 Apr 2026 (seed shows 30 Apr issue date, consistent). Initial price talk was about 213bp over the benchmark; final spread not stated in filings (Beacon Point priced 20bp inside River Bend at T+165, implying about T+185).</t>
  </si>
  <si>
    <t>15 Nov 2042 (about 16.5 years).</t>
  </si>
  <si>
    <t>Rule 144A / Regulation S; J.P. Morgan Securities LLC as representative of initial purchasers; Goldman Sachs and Morgan Stanley also named as underwriters in press.</t>
  </si>
  <si>
    <t>Seed: ISIN US44813DAA46, CUSIP 44813DAA4. Not verified (form of note not retrieved).</t>
  </si>
  <si>
    <t>S16</t>
  </si>
  <si>
    <t>Trustee</t>
  </si>
  <si>
    <t>Wilmington Trust, National Association, trustee and collateral agent.</t>
  </si>
  <si>
    <t>Make-whole (Treasury-based; spread in basis points not captured) before the Par Call Date of 15 May 2042; 100% plus accrued on or after it. 100% after a Data Center Lease Termination Event; partial 100% redemption if DSCR is below 1.10x after the Initial Commencement Date, sized to restore about 1.10x.</t>
  </si>
  <si>
    <t>Mandatory offers</t>
  </si>
  <si>
    <t>Change of control: put at 101%. Asset sales (excess proceeds over $15.0mm), Data Center Lease Termination Default (Termination Fee Offer within 15 Business Days) and Underbudget Amount (GMP reduction) offers at 100% plus accrued; the underbudget offer is at the Issuer's option.</t>
  </si>
  <si>
    <t>Semi-annual installments from 15 May 2028 (Amortization Commencement Date). The indenture's installment schedule (Art. 14) could not be retrieved. Company illustration (sculpted to 1.31x DSCR, $mm): 2028 63, 2029 96, 2030 112, 2031 128, 2032 146, 2033 165, 2034 185, 2035 208, 2036 232, 2037 258, 2038 286, 2039 316, 2040 348, 2041 383, 2042 323; total 3,248; fully repaid by maturity. Seed 'mid-2028 start' is consistent.</t>
  </si>
  <si>
    <t>First-priority liens on substantially all assets of Hut 8 DC LLC, a pledge of its equity by HoldCo (HoldCo Pledge Agreement), mortgages and Project Accounts; Excluded Property and Adjacent Property are not collateral. Google Guarantee is a Project Document. No guarantors identified.</t>
  </si>
  <si>
    <t>Seed: yield 6.74%, spread +178bp on 15 Sep 2026; comp GOOGL 4.8% 2036. Not verified.</t>
  </si>
  <si>
    <t>Hut 8 Corp. -&gt; indirect subsidiaries -&gt; Hut 8 DC Member LLC (HoldCo) -&gt; Hut 8 DC LLC (Issuer, landlord under the Fluidstack lease at River Bend).</t>
  </si>
  <si>
    <t>Recourse</t>
  </si>
  <si>
    <t>Non-recourse to Hut 8 Corp. (company). The Issuer is the only obligor; Google backstops the tenant, not the Issuer.</t>
  </si>
  <si>
    <t>Standard SPE covenants: no unrelated business, no subsidiaries, no general partner interests, affiliate-transaction limits, restrictions on modifying the lease, the Google Guarantee or organizational documents.</t>
  </si>
  <si>
    <t>Project funded at about 95% loan-to-cost per company; $184mm of prior Hut 8 equity returned at closing from note proceeds; Hut 8 expects no incremental equity. Notes plus $184mm is $3.43bn, implying a total cost near $3.4bn (derived, about $14mm per MW), above the $9-11mm per MW build cost targeted in Dec 2025.</t>
  </si>
  <si>
    <t>S9</t>
  </si>
  <si>
    <t>Hut 8 Corp. (Nasdaq: HUT), Miami. Contracted AI portfolio 949 MW including 245 MW at River Bend, supported by 1,330 MW utility capacity (company).</t>
  </si>
  <si>
    <t>Related financings</t>
  </si>
  <si>
    <t>$4.25bn Beacon Point notes (Jun 2026, Baa2); $1.07bn parent revolver closed 24 Sep 2026, undrawn, first-lien on substantially all parent and guarantor assets, minimum liquidity covenant of 40% of commitments from 31 Mar 2027; FalconX bitcoin-backed loan refinanced to 7.0%.</t>
  </si>
  <si>
    <t>S14</t>
  </si>
  <si>
    <t>Anthropic partnership</t>
  </si>
  <si>
    <t>December 2025 partnership with Anthropic and Fluidstack: Hut 8 and Anthropic may jointly develop up to 1,050 MW of additional optional capacity, up to 2,295 MW in total, with River Bend as the anchor. This is not a commitment of the River Bend notes' credit.</t>
  </si>
  <si>
    <t>Fluidstack USA IV Inc., a Delaware corporation (subsidiary of Fluidstack Ltd., a private AI infrastructure provider); not rated. Anthropic is reported as the workload provider.</t>
  </si>
  <si>
    <t>Data Center Lease dated 15 Dec 2025 between the Issuer (landlord) and Fluidstack USA IV Inc.; not filed in full.</t>
  </si>
  <si>
    <t>Lease terms</t>
  </si>
  <si>
    <t>15-year base term, triple net, build-to-suit, 245 MW critical IT supported by 330 MW utility capacity (PUE 1.35); fixed rent with 3.0% annual escalator; three 5-year renewal options (up to 30 years); base-term contract value $7.0bn; $17.5-17.7bn with all renewals (the company's two slides differ).</t>
  </si>
  <si>
    <t>Rent / NOI</t>
  </si>
  <si>
    <t>Company: expected cumulative NOI $6.9bn over base term, about $454mm per year or about $1.85mm per MW. Illustrative revenue $171mm in 2027, $373mm in 2028 rising to $547mm in 2041. Absolute base rent per MW not disclosed; seed $1.50mm/MW is below the company's $1.85mm average and unverified.</t>
  </si>
  <si>
    <t>Expansion right</t>
  </si>
  <si>
    <t>Fluidstack holds a right of first offer on up to 1,000 MW of additional IT capacity, subject to expanded power; excluded from pipeline figures.</t>
  </si>
  <si>
    <t>Initial data hall Q2 2027 (company), more halls through the rest of 2027; seed commencement Apr-Oct 2027. Lease Commencement Date is defined per Critical Power Phase.</t>
  </si>
  <si>
    <t>Assignment / replacement</t>
  </si>
  <si>
    <t>Novation or assignment under the project documents, including by Google or its affiliates, is permitted without breaching covenants. Qualifying Tenant: NVIDIA, Apple, Microsoft, Amazon, Alphabet (incl. Google), Meta or controlled affiliates; any NASDAQ/NYSE-listed hyperscaler or technology company with market cap or EV of at least $50.0bn; or a party approved by a majority of holders. Replacement needs a Rating Agency Confirmation.</t>
  </si>
  <si>
    <t>Operations Services Agreement</t>
  </si>
  <si>
    <t>A separate OSA between Hut 8 and Fluidstack is expected to be backed by an additional Google backstop; it is not part of the notes' collateral as described.</t>
  </si>
  <si>
    <t>Delay, termination, SLA terms</t>
  </si>
  <si>
    <t>Not found: lease not public. The 10-K lists construction delay penalties or liquidated damages to customers as a risk factor in general.</t>
  </si>
  <si>
    <t>Location</t>
  </si>
  <si>
    <t>River Bend campus, St. Francisville, West Feliciana Parish, Louisiana (MISO); 627 owned acres with potential expansion to 2,988 acres (company, Dec 2025).</t>
  </si>
  <si>
    <t>Capacity</t>
  </si>
  <si>
    <t>245 MW critical IT of turnkey data center plus substation; first of four data halls reported (local source). 330 MW utility capacity under construction.</t>
  </si>
  <si>
    <t>Cost</t>
  </si>
  <si>
    <t>Dec 2025 target build cost $9-11mm per MW; derived all-in near $3.4bn (see Equity). Seed facility cost $3,057mm and $12.5mm/MW not verified.</t>
  </si>
  <si>
    <t>Water</t>
  </si>
  <si>
    <t>Hut 8 reportedly committed about $16mm to a new well and about eight miles of water main to be transferred to the parish.</t>
  </si>
  <si>
    <t>Utility</t>
  </si>
  <si>
    <t>Entergy Louisiana: initial 330 MW with potential for up to 1,000 MW more; 330 MW available from 1 Jul 2026 (company); a 16-year electric service agreement is reported by secondary press.</t>
  </si>
  <si>
    <t>Site works</t>
  </si>
  <si>
    <t>Grading, Entergy access roads, switchyard construction and transmission line preparation underway as of Dec 2025; campus substation under construction at Aug 2026.</t>
  </si>
  <si>
    <t>Permits</t>
  </si>
  <si>
    <t>Not found in documents retrieved; no parish or Louisiana PSC records reviewed.</t>
  </si>
  <si>
    <t>Contractor</t>
  </si>
  <si>
    <t>Jacobs is EPCM / design-build partner working with Vertiv for critical power and cooling; indenture refers to a Guaranteed Maximum Price contract in effect on the Issue Date and an Underbudget Amount mechanism if a revised GMP is signed.</t>
  </si>
  <si>
    <t>Schedule</t>
  </si>
  <si>
    <t>Initial data hall energization and commissioning targeted Q2 2027; remaining halls in phases through 2027.</t>
  </si>
  <si>
    <t>As of 4 Aug 2026: vertical construction started, campus substation continuing, initial long-lead equipment received. A local report in Oct 2026 cites over 1,200 workers and first hall operating early 2027.</t>
  </si>
  <si>
    <t>Overrun protection</t>
  </si>
  <si>
    <t>GMP contract with Jacobs per indenture/press; GMP terms (cap, liquidated damages, completion security) not disclosed. No sponsor completion guarantee found.</t>
  </si>
  <si>
    <t>Construction DSRA</t>
  </si>
  <si>
    <t>$293.475mm (interest on next three payment dates) less interest paid, plus 50% of next interest and 50% of the first installment due 15 May 2028.</t>
  </si>
  <si>
    <t>Single tranche $3,250mm fully amortizing notes; about 95% LTC; non-recourse. Post-commencement pari passu debt needs a Rating Agency Confirmation; general basket $10.0mm, secured/finance leases $20.0mm combined, letters of credit $50.0mm, construction debt up to the budgeted cost less the notes.</t>
  </si>
  <si>
    <t>DSCR 1.31x for 2028-2041 (1.74x in 2027), initial leverage 9.20x falling to 4.61x in 2035 and 0.58x in 2041, initial ICR 1.74x; cumulative interest $1,982mm; levered FCF $1,670mm. Seed leverage 8.8x differs.</t>
  </si>
  <si>
    <t>Fitch forecast</t>
  </si>
  <si>
    <t>Fitch forecasts minimum DSCR 1.31x and average 1.32x (secondary report of the agency view).</t>
  </si>
  <si>
    <t>None by design (fully amortizing to zero by Nov 2042); the 2042 company year shows final-year DSCR 1.82x. Tail is thin: maturity roughly coincides with end of the 15-year base lease.</t>
  </si>
  <si>
    <t>Google backstop (scope)</t>
  </si>
  <si>
    <t>Google LLC provides a financial backstop (the 'Google Guarantee', governed by a guarantee of the 15 Dec 2025 lease) covering all rent and certain other financial obligations under the lease, described by the company as lease payments and related pass-through obligations for the 15-year base term. Google is an Alphabet subsidiary (S&amp;P AA+, Moody's Aa2 at the Dec 2025 announcement).</t>
  </si>
  <si>
    <t>Google backstop (cap, conditions, effectiveness)</t>
  </si>
  <si>
    <t>No cap, dollar limit, term beyond the base term, conditions precedent, notice or demand mechanics, or default definition were found in public documents; the guarantee instrument is not filed. Indenture treats the Google Guarantee as a Project Document that the Issuer cannot terminate or materially adversely amend without holder consent or Rating Agency Confirmation, and permits novation or assignment by Google or its affiliates (Sec. 4.21(a)(iv)). A Google Guarantee ceasing is not listed as a standalone event of default in the portion read.</t>
  </si>
  <si>
    <t>Reported structural features</t>
  </si>
  <si>
    <t>Secondary press reports (single source) describe novation rights during the first six years and a springing Alphabet guarantee if Google's revenue falls below 50% of Alphabet consolidated revenue. Not verified in primary documents.</t>
  </si>
  <si>
    <t>Warrants to Google</t>
  </si>
  <si>
    <t>None found. The company's Dec 2025 presentation states that no equity or warrants were issued to secure the transaction. No later disclosure of warrants to Google found in Hut 8 filings reviewed.</t>
  </si>
  <si>
    <t>Termination fee / replacement</t>
  </si>
  <si>
    <t>Lease termination fee (amount undisclosed) goes to a Designated Account; the Issuer must use commercially reasonable efforts to cause the Tenant, Google or a Qualifying Tenant to pay it; funds repurchase notes at 100%. Lease EoD requires lease termination, no Qualifying Data Center Lease within 6 months (12 with LOI with Google or a Qualifying Tenant and funded DSRA), and failure to run a Termination Fee Offer.</t>
  </si>
  <si>
    <t>None.</t>
  </si>
  <si>
    <t>Notes Proceeds Account funds project costs and debt service before commencement. Revenue Account excludes termination fees and excluded property; applied under Sec. 4.23(f) in priority (operating costs, debt service, DSRA, then other uses). Project Accounts have springing control agreements.</t>
  </si>
  <si>
    <t>Restricted Payments from Available Retained Excess Cash Flow only if DSCR exceeds 1.10x; other payments only if DSCR stays at or above 1.10x; tax distributions need a funded DSRA; a one-time distribution of unused contingency at commencement.</t>
  </si>
  <si>
    <t>DSRA after construction</t>
  </si>
  <si>
    <t>50% of next interest plus 50% of next installment; may use letters of credit (basket $50.0mm plus DSRA-specific LC capacity).</t>
  </si>
  <si>
    <t>Cross-default and judgment threshold $25.0mm (judgment 90 days unstayed); lease termination default per Sec. 6.01(9); other EoD details not fully captured.</t>
  </si>
  <si>
    <t>101% put on a Change of Control Trigger Event (Change of Control plus Ratings Decline); control tests tied to Hut 8 voting power before the Initial Commencement Date and operational control (Qualified Operator needs 200MW+ US data center control).</t>
  </si>
  <si>
    <t>S&amp;P</t>
  </si>
  <si>
    <t>BBB- (preliminary Positive outlook at pricing; later press cites final BBB-). S&amp;P reportedly flagged single-tenant concentration as mitigated by the Google backstop. S&amp;P release not retrieved.</t>
  </si>
  <si>
    <t>Fitch</t>
  </si>
  <si>
    <t>BBB- (expected at pricing; Stable outlook). Fitch reportedly forecasts minimum DSCR 1.31x. Fitch release not retrieved.</t>
  </si>
  <si>
    <t>Not rated (seed shows NR). Hut 8 PR for Beacon Point compared its Baa2 to the BBB- on River Bend from S&amp;P and Fitch.</t>
  </si>
  <si>
    <t>Triggers</t>
  </si>
  <si>
    <t>Rating-agency upgrade/downgrade triggers not found; indenture Applicable Rating is the lower of the first rating within 60 days and the rating at announcement of a change of control.</t>
  </si>
  <si>
    <t>(1) Finance part of the development and construction of the turnkey 245 MW data center and substation at River Bend; (2) reimburse Hut 8 for part of prior equity contributions (about $184mm per press); (3) fund debt service reserves; (4) fees and expenses.</t>
  </si>
  <si>
    <t>Tenant credit</t>
  </si>
  <si>
    <t>Fluidstack is an unrated private company; the lease is investment grade only through the Google Guarantee. The cap and conditions of that guarantee are the key unknown.</t>
  </si>
  <si>
    <t>Backstop effectiveness</t>
  </si>
  <si>
    <t>Public documents do not show whether Google pays on first demand, whether it covers termination payments, damages or only rent, whether it survives lease amendment or assignment, or the cap. The reported Alphabet springing guarantee and six-year novation right are unverified.</t>
  </si>
  <si>
    <t>Anthropic dependence</t>
  </si>
  <si>
    <t>Anthropic is reported as the workload provider; Anthropic is not a lease party or guarantor. If Fluidstack loses the end-customer, the lease continues but Google exposure grows.</t>
  </si>
  <si>
    <t>Construction</t>
  </si>
  <si>
    <t>Q2 2027 first hall with phased halls through 2027; ~95% LTC leaves little equity cushion; cost overrun beyond GMP is on Hut 8 DC LLC. Revenue starts 2027 at $171mm illustration; DSRA sized to three interest payments during construction.</t>
  </si>
  <si>
    <t>Thin tail</t>
  </si>
  <si>
    <t>Debt amortizes fully by Nov 2042 and base lease runs about 15 years from 2027; no residual beyond the base term.</t>
  </si>
  <si>
    <t>Power</t>
  </si>
  <si>
    <t>Entergy Louisiana 330 MW; energization on the critical path for the Q2 2027 date; local water/infrastructure scrutiny reported.</t>
  </si>
  <si>
    <t>Technology obsolescence / replacement</t>
  </si>
  <si>
    <t>Replacement tenant must be a Qualifying Tenant plus Rating Agency Confirmation, a high bar for a purpose-built AI shell.</t>
  </si>
  <si>
    <t>Q2 2027 delivery on track</t>
  </si>
  <si>
    <t>4 Aug 2026: vertical construction started, substation under way, initial long-lead equipment received; Fluidstack ROFO on 1,000 MW remains.</t>
  </si>
  <si>
    <t>Parent revolver</t>
  </si>
  <si>
    <t>24-28 Sep 2026: $1.07bn revolver closed (undrawn).</t>
  </si>
  <si>
    <t>Local status</t>
  </si>
  <si>
    <t>Oct 2026 local report: over 1,200 workers on site; first hall expected early 2027.</t>
  </si>
  <si>
    <t>Seed: +178bp / 6.74% on 15 Sep 2026; unverified.</t>
  </si>
  <si>
    <t>2025-12-15</t>
  </si>
  <si>
    <t>Data Center Lease signed between Hut 8 DC LLC and Fluidstack USA IV Inc.; Google Guarantee dated same lease.</t>
  </si>
  <si>
    <t>2025-12-17</t>
  </si>
  <si>
    <t>Hut 8 announces 15-year, 245 MW River Bend lease with Fluidstack, $7.0bn, Google backstop; Anthropic partnership; no equity or warrants issued.</t>
  </si>
  <si>
    <t>2026-02-25</t>
  </si>
  <si>
    <t>FY2025 10-K: Google expected to provide backstop; Jacobs general contractor.</t>
  </si>
  <si>
    <t>2026-04-27</t>
  </si>
  <si>
    <t>Notes launched (initial talk about +213bp) and priced: $3.25bn 6.192% due 2042; S&amp;P preliminary BBB-/Positive, Fitch expected BBB-/Stable (press).</t>
  </si>
  <si>
    <t>2026-04-30</t>
  </si>
  <si>
    <t>Notes closed; indenture with Wilmington Trust.</t>
  </si>
  <si>
    <t>2026-05-01</t>
  </si>
  <si>
    <t>Q1 results: notes at about 95% LTC, $184mm equity returned, River Bend construction advancing to Q2 2027.</t>
  </si>
  <si>
    <t>2026-07-01</t>
  </si>
  <si>
    <t>330 MW Entergy utility capacity available at River Bend (company schedule from Dec 2025).</t>
  </si>
  <si>
    <t>Q2 results: vertical construction started, substation continuing, long-lead equipment received; first hall Q2 2027.</t>
  </si>
  <si>
    <t>Hut 8 closes $1.07bn parent revolver.</t>
  </si>
  <si>
    <t>2026-10-09</t>
  </si>
  <si>
    <t>Local report: over 1,200 workers on site at River Bend.</t>
  </si>
  <si>
    <t>S1 | Indenture | 2026-05-01</t>
  </si>
  <si>
    <t>Indenture dated 30 Apr 2026 (Exhibit 4.1 to 8-K), Hut 8 DC LLC 6.192% Senior Secured Notes due 2042 (Hut 8 Corp. / SEC EDGAR). Used for: Security terms, DSRA, Google Guarantee covenants, tenant qualification, events of default, baskets (amortization schedule section not retrievable)</t>
  </si>
  <si>
    <t>S2 | SEC filing | 2026-05-01</t>
  </si>
  <si>
    <t>Form 8-K (Items 1.01, 2.03, 9.01), closing of River Bend notes (Hut 8 Corp. / SEC EDGAR). Used for: Issuer, principal, coupon, maturity, redemption, covenants, use of proceeds</t>
  </si>
  <si>
    <t>S3 | Presentation | 2026-04-27</t>
  </si>
  <si>
    <t>Form 8-K Item 7.01 (27 Apr 2026) with Ex. 99.1 illustrative project financials (Hut 8 Corp. / SEC EDGAR). Used for: Company illustrative revenue, interest, amortization, DSCR 1.31x, leverage 9.20x, ICR 1.74x</t>
  </si>
  <si>
    <t>S4 | SEC filing | 2026-04-28</t>
  </si>
  <si>
    <t>Form 8-K (28 Apr 2026), pricing of $3.25bn 6.192% notes (Hut 8 Corp. / SEC EDGAR). Used for: Pricing date, coupon, expected closing 30 Apr 2026</t>
  </si>
  <si>
    <t>S5 | SEC filing | 2025-12-17</t>
  </si>
  <si>
    <t>Form 8-K Item 8.01 (17 Dec 2025), River Bend lease with Fluidstack and Google backstop (Hut 8 Corp. / SEC EDGAR). Used for: Lease with Fluidstack subsidiary; Google backstop of rent and certain other obligations</t>
  </si>
  <si>
    <t>S6 | Press release | 2025-12-17</t>
  </si>
  <si>
    <t>Press release (Ex. 99.1), Hut 8 signs 15-year 245 MW lease at River Bend, $7.0bn (Hut 8 Corp. / SEC EDGAR). Used for: Lease terms, Google backstop description, OSA backstop, schedule, power, financing plan</t>
  </si>
  <si>
    <t>S7 | Presentation | 2025-12-17</t>
  </si>
  <si>
    <t>Investor presentation (Ex. 99.2), River Bend transaction (Hut 8 Corp. / SEC EDGAR). Used for: NOI per MW, PUE, site acres, 'no equity or warrants issued', cost of debt and build cost targets</t>
  </si>
  <si>
    <t>S8 | SEC filing | 2026-02-25</t>
  </si>
  <si>
    <t>Form 10-K for FY2025 (MD&amp;A highlights only retrievable) (Hut 8 Corp. / SEC EDGAR). Used for: Google backstop statement, Anthropic partnership scope, Jacobs, risk factors</t>
  </si>
  <si>
    <t>S9 | Press release | 2026-05-06</t>
  </si>
  <si>
    <t>Form 8-K (Q1 2026 results, Ex. 99.1) (Hut 8 Corp. / SEC EDGAR). Used for: 95% LTC, $184mm equity returned, construction progress</t>
  </si>
  <si>
    <t>S10 | Press release | 2026-08-04</t>
  </si>
  <si>
    <t>Form 8-K (Q2 2026 results, Ex. 99.1) (Hut 8 Corp. / SEC EDGAR). Used for: Q2 2027 first hall, vertical construction, 330 MW utility, Fluidstack ROFO, financing</t>
  </si>
  <si>
    <t>S11 | News | 2026-04-27</t>
  </si>
  <si>
    <t>Hut 8 Prices $3.25B Investment-Grade Bond For River Bend Data Center (Global Data Center Hub). Used for: S&amp;P preliminary BBB-/Positive, Fitch expected BBB-/Stable, Fitch DSCR forecast, reported novation and springing Alphabet guarantee features, Jacobs GMP, Entergy 16-year agreement</t>
  </si>
  <si>
    <t>S12 | News | 2026-09-28</t>
  </si>
  <si>
    <t>Hut 8 Closes Two-Tier AI Data Center Finance Stack; JPMorgan Leads 12-Bank Revolver (Tech Times). Used for: BBB- from S&amp;P and Fitch, S&amp;P single-tenant concentration comment, Anthropic partnership scope</t>
  </si>
  <si>
    <t>S13 | News | 2026-10-09</t>
  </si>
  <si>
    <t>River Bend Data Center Moves From Announcement to Visible Buildout Near St. Francisville (Cajun Conservatism (local blog)). Used for: October 2026 site status (workers, water commitment); low reliability</t>
  </si>
  <si>
    <t>S14 | SEC filing | 2026-09-28</t>
  </si>
  <si>
    <t>Form 8-K (Items 1.01, 2.03, 7.01), $1.07bn senior secured revolving credit facility (Hut 8 Corp. / SEC EDGAR). Used for: Parent liquidity and covenants</t>
  </si>
  <si>
    <t>S15 | News | 2026-04-27</t>
  </si>
  <si>
    <t>Hut 8 markets $3 billion bonds for AI data center backed by Google lease (GuruFocus syndication) (Yahoo Finance). Used for: Initial price talk about 213bp over benchmark; underwriters</t>
  </si>
  <si>
    <t>S16 | News | 2026-09-16</t>
  </si>
  <si>
    <t>Barclays IG/HY Data Center Credit Digest (via seed.json) (Barclays / Bloomberg). Used for: Seed leads: ISIN, trading levels, rent/MW, cost/MW, leverage; unverified</t>
  </si>
  <si>
    <t>Google Guarantee instrument is not public: cap, scope limits (rent only vs damages/termination), conditions, demand mechanics, term, and ratings-based triggers could not be found. The springing Alphabet guarantee and six-year novation right come from one secondary source only.</t>
  </si>
  <si>
    <t>Warrants to Google: none disclosed. The Dec 2025 deck says no equity or warrants were issued; the 10-K and Q1/Q2 filings retrieved do not mention any. The 10-K notes and 10-Q notes were only partly retrievable, so a later disclosure cannot be fully ruled out.</t>
  </si>
  <si>
    <t>Indenture amortization schedule (Art. 14) and form of note (day count, ISIN/CUSIP) were not retrievable; the exhibit text was cut off; make-whole spread not captured.</t>
  </si>
  <si>
    <t>S&amp;P and Fitch ratings and outlooks rest on secondary press (Global Data Center Hub, Tech Times); agency releases and rationale were not accessible (fitchratings.com blocked in the search tool).</t>
  </si>
  <si>
    <t>Fluidstack's financial condition, its Anthropic contract terms and the lease's SLA, delay, termination and rent per MW provisions are not public.</t>
  </si>
  <si>
    <t>Final pricing spread not stated in filings; implied about T+185bp from the Beacon Point comparison.</t>
  </si>
  <si>
    <t>Seed figures not verified: cost $3,057mm and $12.5mm/MW (company targeted $9-11mm/MW; derived all-in about $3.4bn), 97% debt-funded (company says ~95% LTC), leverage 8.8x (company illustration 9.20x), rent $1.50mm/MW, yield/spread.</t>
  </si>
  <si>
    <t>www.sec.gov rejected the prescribed User-Agent for archive documents, so filings were read via WebFetch (summarising); Hut 8 Q2 10-Q notes could not be retrieved. No Entergy, Louisiana PSC or parish permitting records reviewed.</t>
  </si>
  <si>
    <t>Hut 8 DC LLC's $3,248mm in the launch 8-K and the illustration versus $3,250mm in the indenture and press: minor rounding discrepancy unresolved.</t>
  </si>
  <si>
    <t>Dossier as of 2026-10-16 | ISIN US076912AA21 (144A; CUSIP 076912AA2) | IG section | Bloomberg: RPLDCI 6.581 05/30/49 144A Corp</t>
  </si>
  <si>
    <t>Issuer / notes title</t>
  </si>
  <si>
    <t>Beignet Investor LLC, 6.581% Senior Secured Notes due 30 May 2049 (fixed rate).</t>
  </si>
  <si>
    <t>ISIN US076912AA21, CUSIP 076912AA2 as held in a US mutual fund N-PORT filing (fund holdings report, not the indenture). Reg S identifiers not found.</t>
  </si>
  <si>
    <t>Coupon and maturity</t>
  </si>
  <si>
    <t>6.581% fixed; maturity 30-May-2049. N-PORT reports the same coupon and maturity date. IFR describes a 23.6-year tenor.</t>
  </si>
  <si>
    <t>Size</t>
  </si>
  <si>
    <t>About $27.3bn, single tranche, senior secured, amortising, 144A/Reg S format (IFR). Seed outstanding $27,293.8mm. No official document found that states the exact original principal.</t>
  </si>
  <si>
    <t>Pricing and issue date</t>
  </si>
  <si>
    <t>Priced 16-Oct-2025 at a reported spread of about T+225bp (IFR / Global Data Center Hub). JV signing announced 21-Oct-2025; seed issue date 2025-10-21 is consistent with closing.</t>
  </si>
  <si>
    <t>Ranking and amortisation</t>
  </si>
  <si>
    <t>IFR describes a single-asset, long-dated, fully amortising bond; proceeds held in Treasuries and drawn down during construction; investors accepted no make-whole. The amortisation schedule itself was not found. Seed: amortisation starts mid-2029 at about 1% p.a. (seed, unverified).</t>
  </si>
  <si>
    <t>Call / redemption</t>
  </si>
  <si>
    <t>Seed shows next call 30-Nov-2048 at par (6 months before maturity). Not verified against an indenture.</t>
  </si>
  <si>
    <t>S0</t>
  </si>
  <si>
    <t>Trustee, governing law, denominations, clearing</t>
  </si>
  <si>
    <t>Not found: indenture and offering memorandum are private (data-room access under NDA per IFR).</t>
  </si>
  <si>
    <t>Joint venture ownership</t>
  </si>
  <si>
    <t>In Oct 2025 Meta and an affiliate of Blue Owl-managed funds formed a JV to co-develop the Louisiana campus. After closing, Meta holds a 20% membership interest and the Blue Owl investor 80%. Meta contributed about $4.3bn of held-for-sale assets (mostly construction in progress and land), net of liabilities; the investor contributed $7.0bn cash; Meta received a one-time $2.6bn distribution.</t>
  </si>
  <si>
    <t>Press release figures differ slightly</t>
  </si>
  <si>
    <t>The joint press release (as relayed by Hubbis) says Meta received a one-time distribution of about $3bn and cash from Blue Owl was about $7bn; Meta's 10-Q says $2.6bn. The 10-Q is used as the authoritative figure.</t>
  </si>
  <si>
    <t>Funding commitment</t>
  </si>
  <si>
    <t>The parties committed to fund their pro rata shares of approximately $27bn of total estimated development costs (buildings plus long-lived power, cooling and connectivity infrastructure).</t>
  </si>
  <si>
    <t>Structure in words</t>
  </si>
  <si>
    <t>Per IFR and Global Data Center Hub, Beignet Investor is a Blue Owl fund-sponsored issuer sitting above the JV (JV Co) that owns the campus; Meta leases the campus from the JV. Bondholders have no direct recourse to the underlying data centre assets (reported). The exact security package (pledge of JV equity vs mortgage) was not confirmed from an offering document.</t>
  </si>
  <si>
    <t>Services by Meta</t>
  </si>
  <si>
    <t>Meta provides construction management, administrative and property management services to the JV.</t>
  </si>
  <si>
    <t>Equity quantum</t>
  </si>
  <si>
    <t>Global Data Center Hub reports about $2.5bn of equity alongside $27.3bn of debt (plus accrued interest income during construction) and a total capital base of about $28.8bn; the numbers do not fully reconcile in the source. Seed facility cost $28,800mm is consistent with this.</t>
  </si>
  <si>
    <t>Funds managed by Blue Owl Capital (rated BBB by S&amp;P per IFR) hold the 80% equity and formal governance. The JV was arranged by Morgan Stanley, which was exclusive financial adviser to Meta and sole bookrunner on the private offering.</t>
  </si>
  <si>
    <t>Meta role</t>
  </si>
  <si>
    <t>Meta is 20% JV partner, developer/construction manager, property manager, sole tenant and RVG provider. Meta guided that Hyperion is part of a larger AI buildout and announced a scale-up to 5 GW in Jul 2026.</t>
  </si>
  <si>
    <t>Other Blue Owl financings</t>
  </si>
  <si>
    <t>Not researched in detail: no document found linking Blue Owl's own capital position to this deal beyond the equity commitment.</t>
  </si>
  <si>
    <t>Meta Platforms (and subsidiaries) enters multiple operating leases with the JV for properties on the campus. Meta corporate rating AA-/Aa3 per IFR.</t>
  </si>
  <si>
    <t>Lease term</t>
  </si>
  <si>
    <t>Each leased property has an initial four-year term, with renewal options for a total lease period of up to 20 years. Leases commence in 2029.</t>
  </si>
  <si>
    <t>Aggregate initial lease commitment</t>
  </si>
  <si>
    <t>About $12.31bn for the initial four-year terms (company disclosure, contractual). Simple arithmetic implies roughly $3.1bn a year, or about $1.5mm per MW-year on the seed 2,064 MW (estimate; the 12.31bn may reflect staggered commencement dates, so this is not the contractual rent per MW). Seed base rent $1.23mm/MW and 2% escalator are not verified.</t>
  </si>
  <si>
    <t>Reported as triple-net with rent payable in full during construction delays; abatement only for force majeure or landlord default (Global Data Center Hub). Seed also says triple net. Lease documents not seen.</t>
  </si>
  <si>
    <t>Rent start</t>
  </si>
  <si>
    <t>Seed/third parties cite rent commencement June 2029 (IFR: completion slated June 2029).</t>
  </si>
  <si>
    <t>Payment guaranty</t>
  </si>
  <si>
    <t>Global Data Center Hub reports Meta provides a payment guaranty plus the RVG; S&amp;P-related commentary elsewhere disputes whether a guarantee of rent exists. Not confirmed in any Meta filing.</t>
  </si>
  <si>
    <t>Location and scale</t>
  </si>
  <si>
    <t>Richland Parish, Louisiana. Seed critical IT 2,064 MW (about 2.1 GW; IFR also 2.1 GW). Meta confirmed on 13-Jul-2026 a scale-up to 5 GW across 3,200 acres with total investment above $50bn (secondary report of Meta announcement). It is not clear whether the expansion sits inside the notes' collateral perimeter.</t>
  </si>
  <si>
    <t>About $27bn estimated development cost per Meta's filings; capital base about $28.8bn per Global Data Center Hub. Implied capex per MW about $13-14mm (seed $14.0mm).</t>
  </si>
  <si>
    <t>Buildings and phases</t>
  </si>
  <si>
    <t>Earlier plans reported nine buildings delivered in phases through 2030; first 2 GW online by about 2030 and full 5 GW about 2032 (news). Groundbreaking Dec 2024 with an initial $10bn budget (news).</t>
  </si>
  <si>
    <t>What the notes finance</t>
  </si>
  <si>
    <t>The campus the JV owns and Meta leases: buildings and long-lived power, cooling and connectivity infrastructure (Meta's description of the $27bn cost base).</t>
  </si>
  <si>
    <t>Utility and first approval</t>
  </si>
  <si>
    <t>Entergy Louisiana serves the campus. The Louisiana Public Service Commission approved, on 20-Aug-2025 by 4-1, three new gas plants totalling about 2.26 GW: two in Richland Parish (expected late 2028) and one at Waterford in St. Charles Parish (expected end 2029). Meta subsidises costs for the first 15 years per press reports.</t>
  </si>
  <si>
    <t>Electric service agreement</t>
  </si>
  <si>
    <t>Entergy states an electric service agreement with a subsidiary of Meta was previously executed for the first north-Louisiana data centre. In March 2026 Entergy Louisiana signed a second ESA with Evest LLC, a Meta subsidiary, for a second north-Louisiana data centre, secured partly by a Meta guaranty and conditional on LPSC approval. That second ESA and the related application are separate from the Hyperion notes unless the site is the expansion; Entergy does not use the name Hyperion.</t>
  </si>
  <si>
    <t>Pending large generation application</t>
  </si>
  <si>
    <t>March 2026 application to the LPSC for seven combined-cycle units totalling 5,278 MW (about $12.9bn), four near the customer site in Richland Parish and three at Pointe Coupee, with in-service dates in 2030-2031, plus a 500 kV line (about $1.4bn). Decision targeted at the LPSC December 2026 meeting; intervenors obtained a ruling in Jul 2026 on a subpoena to Meta for project information.</t>
  </si>
  <si>
    <t>Grid dependence</t>
  </si>
  <si>
    <t>Reports say the 5 GW scale-up depends on plants still under regulatory review; Meta funds the Smalling substation (groundbreaking Jun 2026) and a reported 2.5 GW of renewables.</t>
  </si>
  <si>
    <t>Start and status</t>
  </si>
  <si>
    <t>Construction began late 2024 (groundbreaking Dec 2024 reported); construction described as well underway with thousands of workers in Oct 2025. Meta is construction manager. Entergy said construction started in earnest early 2026 (secondary).</t>
  </si>
  <si>
    <t>Leases commence in 2029 per Meta; rent start June 2029 per IFR / seed. No official phase-by-phase delivery schedule was found.</t>
  </si>
  <si>
    <t>Meta's 10-K says its exposure includes its estimated future funding commitments to the JV. Detailed completion guarantee or cost-overrun terms were not found. IFR says Meta bears construction and demand risk.</t>
  </si>
  <si>
    <t>Advisers</t>
  </si>
  <si>
    <t>Arup (independent engineer), Arthur D. Little (commercial diligence), Marsh (risk and insurance), Latham &amp; Watkins (Meta counsel), Kirkland &amp; Ellis (Blue Owl counsel), Milbank (Morgan Stanley counsel).</t>
  </si>
  <si>
    <t>Debt about $27.3bn (notes) plus Blue Owl equity; Meta contributed assets of $4.3bn and Blue Owl $7.0bn cash at closing; remaining pro rata commitments funded over construction. Seed debt-funded share 90%, leverage at issuance 9.1x (seed, unverified).</t>
  </si>
  <si>
    <t>Anchor investor and demand</t>
  </si>
  <si>
    <t>PIMCO was the main anchor per IFR; a low double-digit number of investors; BlackRock ETFs reportedly took more than $3bn. Bonds traded up about 10 points early.</t>
  </si>
  <si>
    <t>Reserves / interest</t>
  </si>
  <si>
    <t>Proceeds held in Treasuries and drawn during construction; Global Data Center Hub notes about $1.2bn accrued interest income. No DSRA or reserve details found.</t>
  </si>
  <si>
    <t>Refinancing</t>
  </si>
  <si>
    <t>Bond is fully amortising to 2049 and is meant to be repaid from rent and, at the end of lease blocks, RVG or remarketing proceeds, so there is no stated balloon (IFR).</t>
  </si>
  <si>
    <t>Residual value guarantee</t>
  </si>
  <si>
    <t>Meta provided an RVG for the first 16 years of operations. If Meta terminates or does not renew a lease and certain conditions are met, and the then-current value falls below an agreed threshold, Meta makes a capped cash payment equal to the shortfall (difference between fair value and threshold). Aggregate threshold about $28bn at inception and decreasing over time; Meta's maximum payment is capped at this shortfall per property.</t>
  </si>
  <si>
    <t>Years 17-20</t>
  </si>
  <si>
    <t>IFR reports the final four years are covered by a termination fee equal to the outstanding balance instead of the RVG. Not confirmed in Meta filings.</t>
  </si>
  <si>
    <t>Meta payment guaranty</t>
  </si>
  <si>
    <t>Reported by Global Data Center Hub; not seen in Meta's SEC filings.</t>
  </si>
  <si>
    <t>Meta maximum exposure</t>
  </si>
  <si>
    <t>Meta reports maximum exposure to loss from the JV of $46.03bn at 30-Jun-2026 ($45.95bn at 31-Dec-2025), made up of the equity carrying value ($2.92bn at Jun 2026), the lease commitments, estimated future funding commitments and the maximum RVG threshold.</t>
  </si>
  <si>
    <t>Documentation</t>
  </si>
  <si>
    <t>Indenture, waterfall, DSCR tests, lock-up triggers, events of default and additional-debt limits are in a private offering memorandum that was not accessible. S&amp;P is reported to use a 1.12x debt service coverage ratio for the operating phase (IFR). No covenant detail verified.</t>
  </si>
  <si>
    <t>No make-whole</t>
  </si>
  <si>
    <t>IFR reports investors accepted no make-whole on early repayment.</t>
  </si>
  <si>
    <t>A+ (per IFR and The Asset; S&amp;P is reportedly the only agency). Rated one notch below Meta (AA-) because bondholders rely on Meta's rent and RVG; S&amp;P's primary release was not accessed, so outlook and exact triggers are unknown. Reported base case includes eight years of lease payments.</t>
  </si>
  <si>
    <t>Moody's / Fitch</t>
  </si>
  <si>
    <t>Seed shows NR/A+/NR. No Moody's or Fitch rating found.</t>
  </si>
  <si>
    <t>Not found. A downgrade of Meta would presumably pass through given the one-notch linkage (analyst inference).</t>
  </si>
  <si>
    <t>Use</t>
  </si>
  <si>
    <t>Fund the JV's development of the Hyperion campus (buildings and long-lived power, cooling and connectivity infrastructure) pro rata with equity; proceeds are parked in Treasuries and drawn during construction.</t>
  </si>
  <si>
    <t>Tenant concentration</t>
  </si>
  <si>
    <t>All rent and the RVG come from Meta; the notes are rated one notch below Meta.</t>
  </si>
  <si>
    <t>Lease-block roll-off</t>
  </si>
  <si>
    <t>Each lease has only a four-year firm term; if Meta does not renew, the bond is repaid from RVG (capped, decreasing threshold), sale or re-leasing. Meta judged remarketing decisions to be the activity that most affects the JV's performance, which is why it does not consolidate.</t>
  </si>
  <si>
    <t>Power delivery and cost</t>
  </si>
  <si>
    <t>Gas plants approved for about 2.26 GW arrive late 2028 to end 2029; the larger expansion needs 5.3 GW of further plants not yet approved (decision targeted Dec 2026), and ratepayer-cost opposition at the LPSC (4-1 vote in 2025).</t>
  </si>
  <si>
    <t>Scope creep</t>
  </si>
  <si>
    <t>Expansion to 5 GW and over $50bn may move cash and construction priority between the financed perimeter and new phases; the notes cover the original roughly 2 GW project.</t>
  </si>
  <si>
    <t>Accounting optics</t>
  </si>
  <si>
    <t>Meta does not consolidate the JV (unconsolidated VIE) but discloses $46bn maximum exposure; critics argue the debt is economically Meta's (IFR).</t>
  </si>
  <si>
    <t>Asset value must support RVG threshold decreasing over time; AI hardware cycles are shorter than the 20-year horizon (analyst view).</t>
  </si>
  <si>
    <t>Meta filings</t>
  </si>
  <si>
    <t>10-K (29-Jan-2026) and 10-Qs of 30-Apr-2026 and 30-Jul-2026 repeat the same terms; RVG payments judged not probable and no liability recorded. Equity carrying value rose from $1.83bn (Dec 2025) to $2.92bn (Jun 2026).</t>
  </si>
  <si>
    <t>5 GW expansion</t>
  </si>
  <si>
    <t>13-Jul-2026: Meta confirms campus to 5 GW and over $50bn (secondary report).</t>
  </si>
  <si>
    <t>Entergy filings</t>
  </si>
  <si>
    <t>Mar 2026 ESA with Evest LLC and the 5,278 MW application, pending; LPSC schedule aims for a December 2026 vote.</t>
  </si>
  <si>
    <t>Pricing</t>
  </si>
  <si>
    <t>Seed: yield 7.15% and spread 205bp at 15-Sep-2026 versus about T+225bp at issue (seed, unverified).</t>
  </si>
  <si>
    <t>2024-12</t>
  </si>
  <si>
    <t>Groundbreaking at Hyperion with an initial $10bn budget (reported).</t>
  </si>
  <si>
    <t>2025-08-20</t>
  </si>
  <si>
    <t>Louisiana PSC approves, 4-1, Entergy Louisiana's three gas plants (about 2.26 GW) to serve the Meta data centre.</t>
  </si>
  <si>
    <t>2025-10-16</t>
  </si>
  <si>
    <t>Beignet Investor prices roughly $27.3bn single-tranche 144A notes at about T+225bp; S&amp;P A+.</t>
  </si>
  <si>
    <t>2025-10-21</t>
  </si>
  <si>
    <t>Meta and Blue Owl funds sign JV agreement; Meta contributes about $4.3bn of assets and receives $2.6bn distribution, Blue Owl funds contribute $7.0bn.</t>
  </si>
  <si>
    <t>2025-10-27</t>
  </si>
  <si>
    <t>Joint announcement of the roughly $27bn JV (80/20) and Meta RVG for first 16 years.</t>
  </si>
  <si>
    <t>2025-10-30</t>
  </si>
  <si>
    <t>Meta Q3 10-Q discloses the JV, leases ($12.3bn initial commitment), RVG and unconsolidated VIE treatment.</t>
  </si>
  <si>
    <t>2026-01-29</t>
  </si>
  <si>
    <t>Meta 10-K: maximum exposure to loss $45.95bn; RVG payments not probable.</t>
  </si>
  <si>
    <t>2026-03</t>
  </si>
  <si>
    <t>Entergy Louisiana signs second Meta ESA (Evest LLC) and files for seven new CCGTs totalling 5,278 MW.</t>
  </si>
  <si>
    <t>Meta Q1 10-Q: same lease and RVG terms; judgment on consolidation explained.</t>
  </si>
  <si>
    <t>2026-06</t>
  </si>
  <si>
    <t>Entergy breaks ground on Smalling Substation, funded by Meta (reported).</t>
  </si>
  <si>
    <t>2026-07-13</t>
  </si>
  <si>
    <t>Meta announces Hyperion scale-up to 5 GW and over $50bn (reported).</t>
  </si>
  <si>
    <t>2026-07-30</t>
  </si>
  <si>
    <t>Meta Q2 10-Q: JV equity carrying value $2.92bn; maximum exposure $46.03bn.</t>
  </si>
  <si>
    <t>Mutual fund N-PORT filing confirms notes terms (coupon, maturity, ISIN).</t>
  </si>
  <si>
    <t>S0 | News | 2026-09-16</t>
  </si>
  <si>
    <t>Seed data: Barclays IG/HY Data Center Credit Digest 16-Sep-2026 and Bloomberg (Seed file (secondary)). Used for: Unverified seed values only</t>
  </si>
  <si>
    <t>S1 | SEC filing | 2025-10-30</t>
  </si>
  <si>
    <t>Meta Platforms Form 10-Q for quarter ended 30-Sep-2025, Note 13 Subsequent Event (SEC EDGAR / Meta Platforms). Used for: JV formation, contributions, leases, RVG, VIE treatment</t>
  </si>
  <si>
    <t>S2 | SEC filing | 2026-01-29</t>
  </si>
  <si>
    <t>Meta Platforms Form 10-K for FY2025 (SEC EDGAR / Meta Platforms). Used for: RVG mechanics, maximum exposure, no liability recorded</t>
  </si>
  <si>
    <t>S3 | SEC filing | 2026-04-30</t>
  </si>
  <si>
    <t>Meta Platforms Form 10-Q for quarter ended 31-Mar-2026 (SEC EDGAR / Meta Platforms). Used for: Consolidation judgment, remarketing as key activity</t>
  </si>
  <si>
    <t>S4 | SEC filing | 2026-07-30</t>
  </si>
  <si>
    <t>Meta Platforms Form 10-Q for quarter ended 30-Jun-2026 (Notes on VIEs, Note 13) (SEC EDGAR / Meta Platforms). Used for: Latest lease, RVG, carrying value, maximum exposure</t>
  </si>
  <si>
    <t>S5 | SEC filing | 2026-08-26</t>
  </si>
  <si>
    <t>Form N-PORT holdings report of Aristotle Funds Series Trust (period 31-Jul-2026) (SEC EDGAR). Used for: ISIN, CUSIP, coupon, maturity of the notes</t>
  </si>
  <si>
    <t>S6 | Press release | 2025-10-27</t>
  </si>
  <si>
    <t>Meta and Blue Owl Capital launch USD27 billion joint venture for Hyperion (relaying the joint press release of 27-Oct-2025) (Hubbis (relaying company release)). Used for: Ownership, advisers, RVG, services</t>
  </si>
  <si>
    <t>S7 | News | 2025-12</t>
  </si>
  <si>
    <t>Financing Package: Blue Owl Capital/Beignet Investor's US$27.3bn 23.6-year bond (IFR). Used for: Size, pricing, S&amp;P rating, anchor investor</t>
  </si>
  <si>
    <t>S8 | News | 2025-12</t>
  </si>
  <si>
    <t>The Meta/Blue Owl deal broken down: off-balance-sheet gymnastics 24 years after Enron (IFR). Used for: Structure, RVG years 1-16 and termination fee, S&amp;P DSCR, no make-whole</t>
  </si>
  <si>
    <t>S9 | News | 2026-07</t>
  </si>
  <si>
    <t>Meta Takes Hyperion To 5GW (And Off Its Balance Sheet) (Global Data Center Hub). Used for: 5 GW expansion, structure, lease terms, power buildout (newsletter; secondary)</t>
  </si>
  <si>
    <t>S10 | SEC filing | 2026-07-31</t>
  </si>
  <si>
    <t>Entergy Corporation Form 10-Q for quarter ended 30-Jun-2026 (MD&amp;A, Entergy Louisiana regulatory matters) (SEC EDGAR / Entergy). Used for: Meta ESAs, 5,278 MW application, schedule</t>
  </si>
  <si>
    <t>S11 | News | 2025-08-21</t>
  </si>
  <si>
    <t>La. regulators approve Entergy power plants for Meta's AI data center (KPLC (local TV)). Used for: LPSC 4-1 approval of three gas plants (seen via search result only)</t>
  </si>
  <si>
    <t>The 144A offering memorandum and indenture are private (IFR says NDA data room); trustee, governing law, denominations, redemption schedule, amortisation schedule, covenants, waterfall, DSCR tests and events of default are NOT verified.</t>
  </si>
  <si>
    <t>S&amp;P's own rating report was not accessed; A+ and its rationale (Meta minus one, 1.12x DSCR) come from IFR and The Asset. No outlook or upgrade/downgrade triggers verified.</t>
  </si>
  <si>
    <t>Meta's own press release and Blue Owl's own filings were not fetched directly; the joint press release was read via a Hubbis relay. No Meta 8-K for the JV was located; Meta disclosed through 10-Q/10-K only.</t>
  </si>
  <si>
    <t>Exact original principal ($27.3bn, seed 27,293.8mm) and rent per MW (seed $1.23mm, 2% escalator) are not confirmed by an official document; Meta discloses only the aggregate $12.31bn initial lease commitment.</t>
  </si>
  <si>
    <t>Distribution to Meta: 10-Q says $2.6bn, press release relay says about $3bn.</t>
  </si>
  <si>
    <t>Whether the 5 GW expansion (Jul 2026) and the second Entergy ESA with Evest LLC are inside the notes' financed perimeter is unknown.</t>
  </si>
  <si>
    <t>The Meta lease and RVG documents, any Meta payment guaranty, and completion/cost-overrun guarantees were not seen (Meta filings do not describe a rent guaranty).</t>
  </si>
  <si>
    <t>Entergy 8-K or LPSC docket for the original 2025 gas-plant approval was not read; only press coverage of the vote. EDGAR full-text search returned Beignet only in fund N-PORT filings.</t>
  </si>
  <si>
    <t>Post-issuance news up to 16-Oct-2026 not exhaustive: Meta Q3 2026 results (expected late Oct) are not yet available.</t>
  </si>
  <si>
    <t>Dossier as of 2026-10-16 | ISIN US83577VAA89 (144A; CUSIP 83577VAA8) | IG section | Bloomberg: TXEDCI 7.534 11/30/48 144A Corp</t>
  </si>
  <si>
    <t>Sopaipilla Investor, LLC, 7.534% Senior Secured Notes due 30 Nov 2048 (the N-PORT shows the coupon rounded to 7.53%).</t>
  </si>
  <si>
    <t>ISIN US83577VAA89, CUSIP 83577VAA8 as reported in a US mutual fund N-PORT (Hartford Mutual Funds II, period 31-Jul-2026). Reg S identifiers not found.</t>
  </si>
  <si>
    <t>Maturity and coupon</t>
  </si>
  <si>
    <t>Fixed rate; maturity 30-Nov-2048 per N-PORT. Seed coupon 7.534% matches the issue title; N-PORT shows 7.53.</t>
  </si>
  <si>
    <t>Launched at $12.3bn on 23-24 Jul 2026 (bookrunners JPMorgan and Morgan Stanley); other press reports about $12.5bn sold after a nearly week-long process with weaker-than-expected demand. Seed shows $12,639.5mm outstanding; no official document confirms the final amount.</t>
  </si>
  <si>
    <t>Issue date</t>
  </si>
  <si>
    <t>Seed issue date 30-Jul-2026; priced in the week of 27-Jul-2026 per press. Not confirmed from an indenture.</t>
  </si>
  <si>
    <t>Ranking, call, amortisation, trustee, law</t>
  </si>
  <si>
    <t>Described as senior secured; call (seed: 30-May-2048 at par), amortisation schedule (seed: starts late 2028, about 1% p.a.), make-whole, denominations, trustee and governing law are not found in any accessible document.</t>
  </si>
  <si>
    <t>JV ownership</t>
  </si>
  <si>
    <t>Funds managed by BlackRock (through GIP and HPS) hold 80% of the JV that owns the El Paso campus; Meta holds 20%. Meta is construction manager, property manager and sole tenant. Announced 28-Jul-2026.</t>
  </si>
  <si>
    <t>Meta disclosure</t>
  </si>
  <si>
    <t>Meta's Q2 10-Q (30-Jul-2026) says that in July 2026 it entered an exclusivity agreement to co-develop an El Paso campus through a venture in which it would hold a 20% interest; subject to definitive agreements and closing, expected Q3 2026. Meta expects to contribute about $2.3bn of held-for-sale assets (net) and receive a one-time distribution of about $1bn.</t>
  </si>
  <si>
    <t>Contributions</t>
  </si>
  <si>
    <t>Press release (via TNW): BlackRock contributes about $4.9bn cash at financial close; Meta contributes land and construction in progress worth about $2.3bn and receives about $1bn to align ownership; about $12.5bn of debt is raised at the venture level.</t>
  </si>
  <si>
    <t>Obligor and security package</t>
  </si>
  <si>
    <t>Issuer is a holding vehicle tied to Project Sopaipilla Holdings, LLC, the JV owning the campus; Meta is not the issuer. Notes are secured by the issuer's accounts, revenues and equity interests in the JV, with no direct mortgage on land and buildings (per Global Data Center Hub). Reg-level pledge documents not seen.</t>
  </si>
  <si>
    <t>Closing status</t>
  </si>
  <si>
    <t>As of the Q2 10-Q, closing was still expected in Q3 2026. Press reports say the deal was due to close within days of 28-Jul-2026; no Meta filing yet confirms closing (Meta Q3 10-Q due late Oct 2026).</t>
  </si>
  <si>
    <t>BlackRock, via GIP and HPS funds, is the 80% equity owner. Press cites BlackRock's Aligned Data Centers acquisition ($40bn) as context. Equity returns and sponsor liquidity were not researched beyond this.</t>
  </si>
  <si>
    <t>Template</t>
  </si>
  <si>
    <t>Same 80/20 structure as Meta's Hyperion/Beignet financing with Blue Owl (see RPLDCI), arranged by Morgan Stanley there and JPMorgan/Morgan Stanley here.</t>
  </si>
  <si>
    <t>Meta (a Meta subsidiary on the lease). Meta rated AA- by S&amp;P per Global Data Center Hub.</t>
  </si>
  <si>
    <t>Term</t>
  </si>
  <si>
    <t>Four-year initial term with four extension options, up to about 20 years in total (press release as reported; seed agrees). Meta will enter leases for properties to be developed.</t>
  </si>
  <si>
    <t>Rent commencement</t>
  </si>
  <si>
    <t>Base rent starts December 2028 whether or not the campus is complete; deferral only for force majeure, landlord funding default or landlord-directed stoppage; abatement for landlord-directed delay capped at $218mm and offset by delayed start-up insurance (Global Data Center Hub reading of offering materials).</t>
  </si>
  <si>
    <t>Lease type and SLAs</t>
  </si>
  <si>
    <t>Triple-net: Meta pays property taxes, utilities, insurance, routine maintenance, capital repairs and structural replacement. No uptime or performance SLAs reported.</t>
  </si>
  <si>
    <t>Rent per MW / escalator</t>
  </si>
  <si>
    <t>Seed: $1.38mm per MW-year, 2% escalator. Not verified; Meta's 10-Q gives no aggregate lease commitment for El Paso.</t>
  </si>
  <si>
    <t>Location and size</t>
  </si>
  <si>
    <t>About 1,000 acres in northeast El Paso, Texas. Campus is about 1 GW (seed critical IT 960 MW) with total development cost about $14bn (seed facility cost $13.7bn). Meta filed in Jul 2026 to add 12 buildings of nearly 26 million sq ft, completion pushed to Feb 2029 (news).</t>
  </si>
  <si>
    <t>Phasing and jobs</t>
  </si>
  <si>
    <t>Five phases reported; groundbreaking Oct 2025 with an initial $1.5bn commitment, raised to over $10bn in Mar 2026 as the target grew to about 1 GW by 2028; over 4,000 construction workers at peak and about 300 permanent jobs.</t>
  </si>
  <si>
    <t>Local incentives</t>
  </si>
  <si>
    <t>Dec 2023 city incentive deal with Wurldwide LLC (Meta affiliate): up to 80% city property-tax abatement for 15 years if at least $800mm invested (worth up to about $110mm per El Paso Times).</t>
  </si>
  <si>
    <t>Cooling</t>
  </si>
  <si>
    <t>Closed-loop liquid cooling reported; Meta says it will match facility consumption with 100% clean/renewable energy (not detailed).</t>
  </si>
  <si>
    <t>Utility and bridge plant</t>
  </si>
  <si>
    <t>El Paso Electric (EPE) plans to supply through McCloud Generation, a 366 MW plant of 813 modular gas generators next to the site, filed with the Public Utility Commission of Texas. It would serve the data centre exclusively for an initial five-year bridge period starting 2027, separate from EPE's transmission system, with all costs recovered from Meta under a commission-approved rate.</t>
  </si>
  <si>
    <t>Load</t>
  </si>
  <si>
    <t>Original request 220 MW (Wurldwide LLC); projected over 440 MW by 2027 and potentially 1 GW by 2029 per the amended filing. After the bridge period EPE would seek to connect McCloud to the grid and fold costs into retail rates.</t>
  </si>
  <si>
    <t>Discrepancy with brief</t>
  </si>
  <si>
    <t>The request describes 1.0 GW grid with 225 MW on-site generation. Sources found show 366 MW on-site (813 modular units, a $473mm line item online by 2027) and 1 GW total; the 225 MW figure was not found in any source.</t>
  </si>
  <si>
    <t>Approvals</t>
  </si>
  <si>
    <t>McCloud requires approval from the PUCT (certificate of convenience and necessity amendment) and the TCEQ. The city of El Paso intervened; opposition groups have pushed for contract termination and cite ozone and water concerns. Outcome of the PUCT docket was not found.</t>
  </si>
  <si>
    <t>Groundbreaking Oct 2025; construction under way, about 2,300 on site in Jul 2026 per press release coverage. Meta is the construction manager.</t>
  </si>
  <si>
    <t>Servers expected online 2028, rent from Dec 2028 (seed lease commencement Dec 2028 consistent); expanded buildings to Feb 2029 (news, not reconciled with the 2028 target).</t>
  </si>
  <si>
    <t>Meta funds cost overruns above 105% of the fixed construction budget (budget amount not stated), per Global Data Center Hub.</t>
  </si>
  <si>
    <t>Not found.</t>
  </si>
  <si>
    <t>Sources and uses (reported)</t>
  </si>
  <si>
    <t>About $14bn total development cost funded by about $12.5bn of venture-level debt plus equity (BlackRock about $4.9bn cash, Meta about $2.3bn of assets; Meta receives about $1bn). The sums do not reconcile exactly in the source.</t>
  </si>
  <si>
    <t>Leverage</t>
  </si>
  <si>
    <t>Seed: 90% debt funded, 9.3x leverage at issuance; seed amortisation start late 2028. Not verified.</t>
  </si>
  <si>
    <t>Reserves and refinancing</t>
  </si>
  <si>
    <t>Not found: reserve accounts, DSRA, capex reserve and amortisation profile are in the private offering memorandum.</t>
  </si>
  <si>
    <t>Meta will provide RVGs with a maximum aggregate exposure of about $13bn (company disclosure). Reported as sized to outstanding principal and triggered if Meta declines to renew at lease expiry.</t>
  </si>
  <si>
    <t>Overruns</t>
  </si>
  <si>
    <t>Meta funds cost overruns above 105% of budget; rent does not abate for construction delay except narrow cases.</t>
  </si>
  <si>
    <t>Accounting</t>
  </si>
  <si>
    <t>Meta's Q2 10-Q only describes the venture as a subsequent event with leases and RVG; consolidation treatment (expected unconsolidated VIE like Hyperion) is not yet disclosed because closing is pending.</t>
  </si>
  <si>
    <t>No covenant, waterfall, DSCR, lock-up or events-of-default detail found. Offering memorandum is private.</t>
  </si>
  <si>
    <t>Preliminary A+, stable outlook; one notch below Meta's AA-, attributed to the absence of an asset pledge (Global Data Center Hub). S&amp;P report not accessed.</t>
  </si>
  <si>
    <t>Expected AA-(EXP), level with Meta, reasoning that transfer of construction, operating and power-supply risk to Meta makes physical security largely academic (secondary). Fitch release not accessed.</t>
  </si>
  <si>
    <t>No Moody's rating found; seed NR.</t>
  </si>
  <si>
    <t>Not found; ratings are in effect linked to Meta's own rating (analyst inference).</t>
  </si>
  <si>
    <t>Fund the JV's development of the El Paso campus (about $14bn total development cost). Exact allocation of notes proceeds not found.</t>
  </si>
  <si>
    <t>Bridge plant (366 MW) still needs PUCT and TCEQ approval for 2027 operation; long-term grid supply for 1 GW depends on EPE expansion; local opposition and intervenors.</t>
  </si>
  <si>
    <t>Tenant and renewal</t>
  </si>
  <si>
    <t>Four-year lease blocks; at non-renewal the notes rely on the Meta RVG (about $13bn maximum exposure).</t>
  </si>
  <si>
    <t>Scope changes</t>
  </si>
  <si>
    <t>Expanded footprint (12 more buildings, completion Feb 2029) versus the 2028 target.</t>
  </si>
  <si>
    <t>Weak demand at issue</t>
  </si>
  <si>
    <t>Press reports weaker-than-expected demand and a long marketing process.</t>
  </si>
  <si>
    <t>No asset mortgage</t>
  </si>
  <si>
    <t>Security is equity and revenues, not land and buildings; hence S&amp;P/Fitch split.</t>
  </si>
  <si>
    <t>Closing</t>
  </si>
  <si>
    <t>Meta expects closing in Q3 2026; no closing filing found as of 16-Oct-2026.</t>
  </si>
  <si>
    <t>Fund holdings</t>
  </si>
  <si>
    <t>Mutual funds already hold the notes (Hartford fund N-PORT at 31-Jul-2026 shows $1.56mm face).</t>
  </si>
  <si>
    <t>Market</t>
  </si>
  <si>
    <t>Seed: yield 7.22%, spread 222bp at 15-Sep-2026.</t>
  </si>
  <si>
    <t>2023-12</t>
  </si>
  <si>
    <t>El Paso city incentive agreement with Wurldwide LLC (Meta affiliate) for 1,000-acre site.</t>
  </si>
  <si>
    <t>2025-10</t>
  </si>
  <si>
    <t>Groundbreaking in El Paso with initial $1.5bn commitment.</t>
  </si>
  <si>
    <t>2026-01</t>
  </si>
  <si>
    <t>Reports that El Paso Electric seeks PUC approval for 366 MW gas plant; local opposition.</t>
  </si>
  <si>
    <t>Meta raises El Paso commitment to over $10bn as target grows to about 1 GW by 2028.</t>
  </si>
  <si>
    <t>2026-04</t>
  </si>
  <si>
    <t>PUCT filing amended: McCloud 366 MW bridge plant; load up to 1 GW by 2029 (Argus).</t>
  </si>
  <si>
    <t>2026-07-22</t>
  </si>
  <si>
    <t>JPMorgan and Morgan Stanley begin investor calls for Sopaipilla Investor notes.</t>
  </si>
  <si>
    <t>2026-07-23</t>
  </si>
  <si>
    <t>Notes launched at $12.3bn; S&amp;P preliminary A+, Fitch expected AA-.</t>
  </si>
  <si>
    <t>Meta and BlackRock announce the 80/20 El Paso JV, about $14bn project.</t>
  </si>
  <si>
    <t>Meta Q2 10-Q discloses exclusivity agreement, $13bn maximum RVG and expected Q3 closing.</t>
  </si>
  <si>
    <t>2026-07-31</t>
  </si>
  <si>
    <t>Notes held by funds (N-PORT) with ISIN US83577VAA89.</t>
  </si>
  <si>
    <t>S1 | SEC filing | 2026-07-30</t>
  </si>
  <si>
    <t>Meta Platforms Form 10-Q for quarter ended 30-Jun-2026 (Note 13 Subsequent Event; held-for-sale assets) (SEC EDGAR / Meta Platforms). Used for: 20% interest, $2.3bn contribution, $1bn distribution, $13bn RVG, expected Q3 closing</t>
  </si>
  <si>
    <t>S2 | SEC filing | 2026-09-29</t>
  </si>
  <si>
    <t>Form N-PORT holdings report of Hartford Mutual Funds II (period 31-Jul-2026) (SEC EDGAR). Used for: ISIN, CUSIP, coupon, maturity</t>
  </si>
  <si>
    <t>S3 | News | 2026-07-24</t>
  </si>
  <si>
    <t>BlackRock Launches $12.3 Billion Bond For Meta's El Paso Campus (Global Data Center Hub). Used for: Launch, bookrunners, site, power, construction timeline (newsletter; secondary)</t>
  </si>
  <si>
    <t>S4 | News | 2026-08</t>
  </si>
  <si>
    <t>Bondholders are not underwriting (Global Data Center Hub). Used for: Ratings, collateral, rent start, overrun protection, RVG (newsletter; secondary)</t>
  </si>
  <si>
    <t>S5 | News | 2026-07-28</t>
  </si>
  <si>
    <t>Meta and BlackRock form a $14bn venture to build an El Paso AI data centre (The Next Web (relaying company announcement)). Used for: Ownership, contributions, lease term, jobs</t>
  </si>
  <si>
    <t>S6 | News | 2026-04</t>
  </si>
  <si>
    <t>Meta funds El Paso nat gas plant as interim power fix (Argus Media). Used for: McCloud 366 MW, bridge period, load figures</t>
  </si>
  <si>
    <t>S7 | News | 2026-01-21</t>
  </si>
  <si>
    <t>Meta Wants Data Center in Sunny El Paso to Rely on Natural Gas (Inside Climate News). Used for: Incentives, PUC/TCEQ approvals, opposition</t>
  </si>
  <si>
    <t>144A offering memorandum and indenture are private: trustee, governing law, call/make-whole, amortisation schedule, covenants, waterfall, reserves and events of default are NOT verified.</t>
  </si>
  <si>
    <t>S&amp;P and Fitch own releases were not found; ratings (A+ preliminary, AA- expected) and rationale come from a newsletter. Final ratings, outlooks and triggers unknown.</t>
  </si>
  <si>
    <t>No Meta 8-K or press release on the El Paso JV was fetched directly; the only official sources are Meta's Q2 10-Q (pre-closing) and N-PORT holdings. Closing, final JV terms and Meta's accounting conclusion await Meta's Q3 10-Q.</t>
  </si>
  <si>
    <t>Final deal size: $12.3bn marketed, about $12.5bn sold (press), seed $12,639.5mm; unresolved.</t>
  </si>
  <si>
    <t>Seed rent $1.38mm/MW, 2% escalator, 90% debt funding and 9.3x leverage not verified. Meta gives no aggregate lease commitment for El Paso yet.</t>
  </si>
  <si>
    <t>The brief's 225 MW on-site generation figure was not found; sources show 366 MW (813 modular units) McCloud bridge plant. PUCT docket number and outcome not found.</t>
  </si>
  <si>
    <t>Construction contractor, contract type, fixed budget amount and completion guarantee terms not found.</t>
  </si>
  <si>
    <t>The global-data-center-hub items (rent start, $218mm abatement cap, 105% overrun trigger, RVG sized to principal) come from a secondary newsletter reading of offering materials and should be checked against the OM.</t>
  </si>
  <si>
    <t>Dossier as of 2026-10-16 | ISIN US74941YAA01 (seed, unverified) | IG section | Bloomberg: RDMICH 7.5 03/30/45 144A Corp</t>
  </si>
  <si>
    <t>RD Michigan Property Owner I LLC (KBRA's name; the seed/Bloomberg short name reads 'RD Michigan Pro Owner I'), a special-purpose entity formed by sponsors Related Digital and Blackstone.</t>
  </si>
  <si>
    <t>rating agency</t>
  </si>
  <si>
    <t>Notes title and size</t>
  </si>
  <si>
    <t>$14,000mm 7.500% senior secured notes due 2045, offered under Rule 144A (Bank of America structuring agent).</t>
  </si>
  <si>
    <t>Maturity day</t>
  </si>
  <si>
    <t>30-Mar-2045 per seed/Bloomberg; documents read confirm only the year 2045.</t>
  </si>
  <si>
    <t>Issue price</t>
  </si>
  <si>
    <t>Reported at 98.75 (percent of par) per Bloomberg-sourced coverage; implied yield at issue is therefore above 7.5% (not computed).</t>
  </si>
  <si>
    <t>30-Apr-2026 per seed; KBRA final rating on 1-May-2026 and the law-firm announcement on 5-May-2026 are consistent with an end-April/early-May closing.</t>
  </si>
  <si>
    <t>US74941YAA01 / 74941YAA0 per seed (144A). Not confirmed in any official document read; Reg S identifiers not found.</t>
  </si>
  <si>
    <t>Ranking and security</t>
  </si>
  <si>
    <t>Senior secured. Security package details are not published in documents read (offering memorandum not accessible).</t>
  </si>
  <si>
    <t>Initial purchasers</t>
  </si>
  <si>
    <t>Bank of America Securities (structuring agent/financial advisor), Goldman Sachs &amp; Co., Wells Fargo Securities, Credit Agricole Securities; Paul Hastings LLP advised the initial purchasers.</t>
  </si>
  <si>
    <t>Call schedule</t>
  </si>
  <si>
    <t>Next call 30-Apr-2029 at 100.0 per seed (user brief: callable from 2029). Make-whole terms and premium schedule not available.</t>
  </si>
  <si>
    <t>Amortization</t>
  </si>
  <si>
    <t>KBRA says the notes do not rely on lease renewal for amortization. Seed says amortization starts mid-2032 at about 1.0% per period; schedule not confirmed.</t>
  </si>
  <si>
    <t>Not found: the 144A offering memorandum and indenture are not public and the issuer files nothing with the SEC.</t>
  </si>
  <si>
    <t>Issuer SPV</t>
  </si>
  <si>
    <t>RD Michigan Property Owner I LLC, formed by Related Digital and Blackstone; finances construction of the 974MW campus.</t>
  </si>
  <si>
    <t>Sponsors and equity</t>
  </si>
  <si>
    <t>Equity from Related Digital and Blackstone-affiliated funds; total project financing announced at $16bn (equity amounts not disclosed in the release).</t>
  </si>
  <si>
    <t>Equity amount (Blackstone)</t>
  </si>
  <si>
    <t>About $2bn (Bloomberg-sourced, secondary; not in the press release).</t>
  </si>
  <si>
    <t>Sponsor-owned property-owning SPV holds four buildings; each building is leased to Oracle America Cloud Services LLC under a separate triple-net lease with Oracle Corporation guaranteeing; noteholders are secured on the SPV's collateral pool. Detailed ring-fencing and guarantor mechanics are not published.</t>
  </si>
  <si>
    <t>Collateral pool changes</t>
  </si>
  <si>
    <t>KBRA flags asset sales, building releases, casualty and condemnation as items that could lower debt service coverage.</t>
  </si>
  <si>
    <t>Developer</t>
  </si>
  <si>
    <t>Related Digital, part of The Related Companies (more than $100bn of assets owned or under development per the company). Related Digital cites a $45bn development pipeline with more than 5 GW of near-term power across the US and Canada.</t>
  </si>
  <si>
    <t>Co-sponsor</t>
  </si>
  <si>
    <t>Blackstone Real Estate (Blackstone has more than $1.3tn of AUM per the release).</t>
  </si>
  <si>
    <t>Original financing partner</t>
  </si>
  <si>
    <t>The FT reported in Dec-2025 that Blue Owl would not back the then-$10bn Saline project, citing lenders seeking stricter lease and debt terms. Oracle said Related Digital chose the best equity partner from competitive options. Blackstone was announced as co-equity partner in Apr-2026.</t>
  </si>
  <si>
    <t>Parent construction support</t>
  </si>
  <si>
    <t>The Related Companies, L.P. provides a limited parent guaranty covering construction completion.</t>
  </si>
  <si>
    <t>Oracle America Cloud Services LLC, guaranteed by Oracle Corporation.</t>
  </si>
  <si>
    <t>Fully leased under four triple-net leases, one per building (Core / Building 1, Compute 1 / Building 2, Compute 2 / Building 3, Compute 3 / Building 4).</t>
  </si>
  <si>
    <t>Operating responsibilities</t>
  </si>
  <si>
    <t>Tenant bears all operating responsibilities for the core and data halls at its own cost; after final completion the landlord has no maintenance obligation, including for structure. No SLAs expected in the leases.</t>
  </si>
  <si>
    <t>Rent commencement and termination</t>
  </si>
  <si>
    <t>Each lease has a date-certain rent commencement; tenant has no termination option for late delivery; termination and abatement rights are limited.</t>
  </si>
  <si>
    <t>Assignment and sublease</t>
  </si>
  <si>
    <t>Assignment requires landlord's written consent except to a tenant affiliate; subleasing permitted, with landlord consent needed if the sublessee is a landlord affiliate.</t>
  </si>
  <si>
    <t>Lease term and renewals</t>
  </si>
  <si>
    <t>Seed: 17.5 years with two 10-year renewals. Not confirmed in any document read; KBRA says amortization does not depend on renewal.</t>
  </si>
  <si>
    <t>Rent per MW and escalator</t>
  </si>
  <si>
    <t>Seed: about $1.43mm per MW per year, 3.0% escalator. Not confirmed (lease not public).</t>
  </si>
  <si>
    <t>Oracle expected ratings at Feb-2026 bond pricing: Baa2 (negative) / BBB (negative) / BBB (stable) at Moody's / S&amp;P / Fitch. S&amp;P later cut Oracle to BBB- (stable) on 9-Jul-2026 per secondary reports.</t>
  </si>
  <si>
    <t>Oracle disclosure of lease commitments</t>
  </si>
  <si>
    <t>Oracle's 10-K (31-May-2026) discloses $260bn of data center lease commitments not yet commenced (15-19 year terms, commencing FY27-FY29) and the 10-Q (31-Aug-2026) $288bn; neither names the Saline lease or the developer.</t>
  </si>
  <si>
    <t>Stargate link</t>
  </si>
  <si>
    <t>Oracle's construction release and press describe the campus as part of Oracle's work with OpenAI (Stargate); OpenAI is not a party to the notes or lease per documents read.</t>
  </si>
  <si>
    <t>Saline Township, Washtenaw County, Michigan (campus nicknamed 'The Barn' after a preserved red barn on Michigan Avenue).</t>
  </si>
  <si>
    <t>Critical IT capacity</t>
  </si>
  <si>
    <t>974MW per KBRA (seed 974 confirmed). Developer describes 'more than one gigawatt'.</t>
  </si>
  <si>
    <t>Buildings</t>
  </si>
  <si>
    <t>Press release: three single-story buildings. KBRA: four buildings/leases (the Core plus Compute 1-3). Discrepancy unresolved. One news summary cites about 550,000 sq ft per data center building.</t>
  </si>
  <si>
    <t>Acreage</t>
  </si>
  <si>
    <t>Data center occupies about 250 of 575 rezoned acres north of Michigan Avenue; developer also preserves 750+ acres of open space, farmland and wetlands (company) while the settlement describes about 200 acres preserved.</t>
  </si>
  <si>
    <t>Closed-loop cooling; campus targeted for LEED certification (not yet certified). Settlement reports site water will not be used for cooling; own well and waste treatment system.</t>
  </si>
  <si>
    <t>$16bn total financing for the campus (company). Seed facility cost $15,543mm ($16.0mm per MW) not verified.</t>
  </si>
  <si>
    <t>Capex per MW</t>
  </si>
  <si>
    <t>About $16.4mm per MW using $16bn / 974MW (derived).</t>
  </si>
  <si>
    <t>Jobs and tax</t>
  </si>
  <si>
    <t>2,500+ union construction jobs, 450+ permanent onsite jobs, 1,500+ county-wide; developer cites at least $1.6mm per year to the township through 2039 and $8mm per year to schools.</t>
  </si>
  <si>
    <t>Supplier</t>
  </si>
  <si>
    <t>DTE Energy supplies 100% of power from existing resources plus a new battery storage investment financed entirely by Oracle; DTE expects about $300mm of savings for existing customers.</t>
  </si>
  <si>
    <t>MPSC approval</t>
  </si>
  <si>
    <t>Michigan Public Service Commission unanimously approved, ex parte and with conditions, DTE special contracts on 18-Dec-2025 (case U-21990) for about 1.4 GW (1,383 MW per one summary). Customer entity is Green Chile Ventures LLC, an Oracle subsidiary.</t>
  </si>
  <si>
    <t>Conditions</t>
  </si>
  <si>
    <t>DTE must bear costs of serving the data center that it cannot recover from the customer, and must track and assign those costs; generation, reliability and rate impacts deferred to IRP and later rate cases.</t>
  </si>
  <si>
    <t>Service term</t>
  </si>
  <si>
    <t>Oracle says DTE will serve it under an existing rate schedule for 17+ years (from a search summary of an Oracle blog; not read directly).</t>
  </si>
  <si>
    <t>Challenge</t>
  </si>
  <si>
    <t>Michigan AG Nessel appealed to the Michigan Court of Appeals (April 2026) against the ex parte approval; opening brief filed early Aug-2026; environmental groups also challenge. Nessel seeks remand for a contested case. No ruling found as of 16-Oct-2026.</t>
  </si>
  <si>
    <t>Energization date</t>
  </si>
  <si>
    <t>DTE reportedly expects the data center online by Dec-2027 (low-confidence summary); interconnection details and energization milestones not published.</t>
  </si>
  <si>
    <t>S18</t>
  </si>
  <si>
    <t>General contractor</t>
  </si>
  <si>
    <t>Walbridge Aldinger, LLC.</t>
  </si>
  <si>
    <t>Start</t>
  </si>
  <si>
    <t>Construction began November 2025 per KBRA (seed says early 2026).</t>
  </si>
  <si>
    <t>Staggered substantial completions expected between December 2026 and January 2028 (KBRA). Developer says on schedule with first buildings underway; June 2026 reports say all buildings are under construction and the first is nearing completion.</t>
  </si>
  <si>
    <t>Permits and equipment</t>
  </si>
  <si>
    <t>All key permits secured; owner-furnished contractor-installed equipment procured, with final fit-out purchase orders pending (preliminary) or procured (final).</t>
  </si>
  <si>
    <t>Cost protections</t>
  </si>
  <si>
    <t>Contractor replacement cost estimated at 7%-13% of GMP; contingency about 12.4% of project budget; limited Related Companies, L.P. completion guaranty during construction.</t>
  </si>
  <si>
    <t>Construction risk view</t>
  </si>
  <si>
    <t>KBRA rates construction risk elevated because of scale, equipment procurement and labor, but well mitigated, with substantial schedule cushion against date-certain rent commencement.</t>
  </si>
  <si>
    <t>Ceremony</t>
  </si>
  <si>
    <t>Oracle, Related Digital, Blackstone, OpenAI, Walbridge and Governor Whitmer held a construction celebration on 1-Jun-2026.</t>
  </si>
  <si>
    <t>Total financing</t>
  </si>
  <si>
    <t>$16bn: $14bn senior secured notes plus equity from Related Digital and Blackstone-affiliated funds.</t>
  </si>
  <si>
    <t>Debt share</t>
  </si>
  <si>
    <t>About 87.5% of $16bn (derived from $14bn / $16bn). Seed says 90% debt-funded and 10.1x leverage at issuance; not verified.</t>
  </si>
  <si>
    <t>Anchor investors</t>
  </si>
  <si>
    <t>PIMCO-managed funds and accounts anchored the debt; Bloomberg reports about $10bn of the $14bn.</t>
  </si>
  <si>
    <t>Debt service coverage</t>
  </si>
  <si>
    <t>KBRA average rating-case DSCR 1.14x (final; 1.13x preliminary).</t>
  </si>
  <si>
    <t>Interest, debt service and capex reserve sizes not found.</t>
  </si>
  <si>
    <t>KBRA states the notes amortize without reliance on lease renewal, implying no balloon dependent on renewal.</t>
  </si>
  <si>
    <t>Oracle guaranty</t>
  </si>
  <si>
    <t>Oracle Corporation guarantees the four leases.</t>
  </si>
  <si>
    <t>Construction guaranty</t>
  </si>
  <si>
    <t>Limited parent guaranty from The Related Companies, L.P. for construction completion.</t>
  </si>
  <si>
    <t>Date-certain rent</t>
  </si>
  <si>
    <t>Rent commencement dates are fixed regardless of delivery delay; no tenant termination for late delivery.</t>
  </si>
  <si>
    <t>Replacement tenant or termination payments</t>
  </si>
  <si>
    <t>Not disclosed.</t>
  </si>
  <si>
    <t>Covenants and waterfall</t>
  </si>
  <si>
    <t>Not publicly disclosed: indenture and offering memorandum not accessible. KBRA's downgrade triggers (construction delay, contractor replacement, collateral changes, tenant credit) show what matters but are not covenants.</t>
  </si>
  <si>
    <t>KBRA</t>
  </si>
  <si>
    <t>BBB, Stable, final on 1-May-2026 (preliminary 24-Apr-2026). Drivers: Strong KPRS, well-mitigated construction risk, no reliance on lease renewal. Upgrade unlikely during construction; downgrade if construction slips, contractor replaced with a weaker counterparty, collateral changes reduce DSCR, or lessee credit deteriorates.</t>
  </si>
  <si>
    <t>Seed lists Baa3 (Moody's) and BBB (Fitch). No Moody's or Fitch release found; the BBB may be KBRA's. Treat as unverified.</t>
  </si>
  <si>
    <t>Tenant-guarantor trend</t>
  </si>
  <si>
    <t>Oracle: Moody's Baa2 negative and Fitch BBB stable at Feb-2026; S&amp;P cut Oracle to BBB- stable on 9-Jul-2026. A further Oracle downgrade is a stated KBRA downgrade trigger.</t>
  </si>
  <si>
    <t>S17</t>
  </si>
  <si>
    <t>Fund development, construction and ownership of the Saline Township Oracle campus.</t>
  </si>
  <si>
    <t>Tenant concentration and Oracle credit</t>
  </si>
  <si>
    <t>Repayment rests on one tenant-guarantor now in the BBB- area with negative momentum at Moody's; Oracle's lease commitments are rising sharply ($288bn not-yet-commenced at 31-Aug-2026).</t>
  </si>
  <si>
    <t>Power approval litigation</t>
  </si>
  <si>
    <t>AG appeal of the MPSC ex parte approval (U-21990) could force a contested case; outcome and timing unknown.</t>
  </si>
  <si>
    <t>Staggered completion Dec-2026 to Jan-2028; elevated KBRA risk from equipment, labor and scale; GMP replacement cost 7-13%.</t>
  </si>
  <si>
    <t>Local opposition and litigation</t>
  </si>
  <si>
    <t>Rezoning was denied 4-1 on 10-Sep-2025 and resolved by consent judgment on 15-Oct-2025; a resident's Open Meetings Act intervention was rejected by a judge on 20-Feb-2026. Residual political and legal risk remains.</t>
  </si>
  <si>
    <t>Sponsor history</t>
  </si>
  <si>
    <t>Original financing partner Blue Owl withdrew in Dec-2025 before the Blackstone equity and PIMCO-anchored bond financing closed.</t>
  </si>
  <si>
    <t>Technology and residual value</t>
  </si>
  <si>
    <t>Triple-net lease passes hall operation and capex to the tenant; residual-value risk if the lease is not renewed after amortization; not quantified.</t>
  </si>
  <si>
    <t>MPSC/AG appeal</t>
  </si>
  <si>
    <t>AG opening brief filed Aug-2026; MPSC says her arguments were already rejected. No court ruling found.</t>
  </si>
  <si>
    <t>Oracle credit</t>
  </si>
  <si>
    <t>S&amp;P downgrade to BBB- (9-Jul-2026); Oracle fully used its $20bn ATM in Q1 FY27 and reported free cash flow of -$5.4bn.</t>
  </si>
  <si>
    <t>1-Jun-2026 ceremony; all buildings reported under construction.</t>
  </si>
  <si>
    <t>DTE pipeline</t>
  </si>
  <si>
    <t>MPSC approved a separate DTE data center contract for Google (Oct-2026); DTE flags 3-4 GW more potential demand.</t>
  </si>
  <si>
    <t>2025-09-10</t>
  </si>
  <si>
    <t>Saline Township board votes 4-1 to deny rezoning of the site</t>
  </si>
  <si>
    <t>2025-09-12</t>
  </si>
  <si>
    <t>Related Digital and landowners sue the township alleging exclusionary zoning</t>
  </si>
  <si>
    <t>2025-10-15</t>
  </si>
  <si>
    <t>Consent judgment filed in Washtenaw County Circuit Court allowing the project ($4mm farmland trust, $2mm community fund, $8mm fire services, 55 dB noise limit)</t>
  </si>
  <si>
    <t>2025-11-01</t>
  </si>
  <si>
    <t>Construction begins (November 2025 per KBRA)</t>
  </si>
  <si>
    <t>FT reports Blue Owl will not fund the Saline project</t>
  </si>
  <si>
    <t>2025-12-18</t>
  </si>
  <si>
    <t>MPSC conditionally approves DTE contracts ex parte (case U-21990), about 1.4 GW</t>
  </si>
  <si>
    <t>2026-02-20</t>
  </si>
  <si>
    <t>Washtenaw judge denies resident's bid to intervene (Open Meetings Act challenge)</t>
  </si>
  <si>
    <t>2026-04-20</t>
  </si>
  <si>
    <t>AG Nessel files appeal of MPSC approval at the Michigan Court of Appeals</t>
  </si>
  <si>
    <t>2026-04-24</t>
  </si>
  <si>
    <t>Related Digital/Blackstone announce $16bn financing; KBRA preliminary BBB</t>
  </si>
  <si>
    <t>Notes issued per seed (7.5% due 2045, $14bn)</t>
  </si>
  <si>
    <t>KBRA assigns final BBB, Stable</t>
  </si>
  <si>
    <t>2026-05-05</t>
  </si>
  <si>
    <t>Paul Hastings announces initial-purchaser role on $14bn 7.500% notes due 2045</t>
  </si>
  <si>
    <t>2026-06-01</t>
  </si>
  <si>
    <t>Construction celebration with Oracle, OpenAI, Walbridge and Governor Whitmer</t>
  </si>
  <si>
    <t>2026-07-09</t>
  </si>
  <si>
    <t>S&amp;P downgrades Oracle (tenant guarantor) to BBB-</t>
  </si>
  <si>
    <t>2026-08-06</t>
  </si>
  <si>
    <t>AG files opening brief in the Court of Appeals</t>
  </si>
  <si>
    <t>2026-09-11</t>
  </si>
  <si>
    <t>Oracle 10-Q: $288bn not-yet-commenced lease commitments</t>
  </si>
  <si>
    <t>S1 | Rating agency | 2026-05-01</t>
  </si>
  <si>
    <t>KBRA assigns rating of BBB to RD Michigan Property Owner I LLC's $14 Billion Senior Secured Notes (KBRA). Used for: Final rating, construction, lease provisions, structure (974MW, four buildings, four NNN leases, Walbridge, DSCR 1.14x)</t>
  </si>
  <si>
    <t>S2 | Rating agency | 2026-04-24</t>
  </si>
  <si>
    <t>KBRA assigns preliminary rating of BBB to RD Michigan Property Owner I LLC's $14 Billion Senior Secured Notes (KBRA). Used for: Preliminary rating, DSCR 1.13x, contingency, replacement-cost and downgrade triggers</t>
  </si>
  <si>
    <t>S3 | Press release | 2026-04-24</t>
  </si>
  <si>
    <t>Related Digital Announces Financing for $16 Billion Oracle Data Center Project in Saline Township, Michigan (text read via StockTitan copy; Blackstone-hosted original returned HTTP 403) (Related Digital / Blackstone (PRNewswire)). Used for: Financing, campus, power, jobs, community, developer background</t>
  </si>
  <si>
    <t>S4 | Press release | 2026-05-05</t>
  </si>
  <si>
    <t>Paul Hastings advises initial purchasers on Related Digital's $14 billion project bond issuance for Oracle data center campus (Paul Hastings LLP). Used for: 7.500% senior secured notes due 2045; initial purchasers; issuer</t>
  </si>
  <si>
    <t>S5 | News | 2026-04-27</t>
  </si>
  <si>
    <t>Related Digital, Blackstone secure $16B for Oracle data center (Bloomberg-sourced details) (Yahoo Finance). Used for: Bond pricing (98.75), PIMCO $10bn allocation, Blackstone equity about $2bn (Bloomberg-sourced, secondary)</t>
  </si>
  <si>
    <t>S6 | News | 2025-10-21</t>
  </si>
  <si>
    <t>Saline Township settles with data center developer: 'Lesser of two evils' (Planet Detroit). Used for: Rezoning denial, lawsuit, consent judgment terms, site acreage</t>
  </si>
  <si>
    <t>S7 | News | 2025-12-18</t>
  </si>
  <si>
    <t>Michigan Regulators Conditionally Approve DTE's Saline Township Data Center Power Plan (Environmental Law &amp; Policy Center). Used for: MPSC ex parte approval of DTE special contracts, 1.4 GW load (advocacy group view)</t>
  </si>
  <si>
    <t>S8 | Regulatory | 2026-08-07</t>
  </si>
  <si>
    <t>AG Nessel briefs appeal over MPSC approval of DTE Saline data center contracts (read via search-result summary; page returned HTTP 403) (Michigan Attorney General). Used for: Court of Appeals challenge to MPSC order; Green Chile Ventures LLC as customer</t>
  </si>
  <si>
    <t>S9 | News | 2026-04-20</t>
  </si>
  <si>
    <t>Nessel appeals DTE data center contracts in continued push for contested case (Michigan Advance). Used for: Date of AG claim of appeal (from search result title/date only)</t>
  </si>
  <si>
    <t>S10 | News | 2026-02-20</t>
  </si>
  <si>
    <t>Lawsuit aimed at stopping Saline Township data center rejected by Washtenaw County judge (WEMU). Used for: Open Meetings Act intervention bid denied; DTE contracts reported at 1,383 MW (search summary)</t>
  </si>
  <si>
    <t>S11 | Press release | 2026-06-01</t>
  </si>
  <si>
    <t>Oracle, Related Digital, Blackstone, OpenAI, Walbridge and Governor Whitmer Celebrate Construction of Stargate Campus in Saline Township (read via search-result summaries; page returned HTTP 403) (Oracle). Used for: Construction ceremony 1 Jun 2026, Stargate link, Walbridge as contractor</t>
  </si>
  <si>
    <t>S12 | News | 2025-12-17</t>
  </si>
  <si>
    <t>Funding stalls for Oracle's Michigan datacenter as Blue Owl bows out (FT report) (Yahoo Finance (Financial Times)). Used for: Blue Owl exit from the original financing role; Oracle response</t>
  </si>
  <si>
    <t>S13 | News | 2025-12-18</t>
  </si>
  <si>
    <t>Michigan regulators approve DTE contract for massive Saline Township data center (ClickOnDetroit (WDIV)). Used for: MPSC approval details, case U-21990, conditions (read via search summary)</t>
  </si>
  <si>
    <t>S14 | SEC filing | 2026-06-22</t>
  </si>
  <si>
    <t>Oracle Corporation Form 10-K for fiscal year ended 31 May 2026 (Oracle Corporation (SEC)). Used for: Oracle lease commitments ($260bn not yet commenced), RPO</t>
  </si>
  <si>
    <t>S15 | SEC filing | 2026-09-11</t>
  </si>
  <si>
    <t>Oracle Corporation Form 10-Q for quarter ended 31 Aug 2026 (Oracle Corporation (SEC)). Used for: $288bn of additional data center lease commitments; capex; liquidity</t>
  </si>
  <si>
    <t>S16 | SEC filing | 2026-02-02</t>
  </si>
  <si>
    <t>Oracle FWP pricing term sheet, 2 Feb 2026 (Oracle expected ratings) (Oracle Corporation (SEC)). Used for: Oracle expected ratings Baa2 neg / BBB neg / BBB stable at Feb 2026</t>
  </si>
  <si>
    <t>S17 | News | 2026-07-09</t>
  </si>
  <si>
    <t>S&amp;P cuts Oracle to BBB- as AI buildout widens cash deficit (secondary report of S&amp;P action) (PPC Land). Used for: S&amp;P downgrade of Oracle to BBB- on 9 Jul 2026 (tenant-guarantor credit)</t>
  </si>
  <si>
    <t>S18 | News | 2026-10-02</t>
  </si>
  <si>
    <t>Michigan regulators OK DTE contracts for Google data center (read via search summary) (Michigan Advance). Used for: Latest DTE/MPSC context; DTE expectation that Saline online by Dec 2027 (low-confidence summary)</t>
  </si>
  <si>
    <t>144A offering memorandum, indenture, lease, guaranty and reserve/waterfall terms are not public and could not be accessed. Covenants, DSCR tests, reserves, call premiums, mandatory amortization schedule and trustee are therefore not verified.</t>
  </si>
  <si>
    <t>ISIN/CUSIP, maturity day (30-Mar-2045), issue date, 4/30/29 call date and price, and amortization start (mid-2032) came only from the seed.</t>
  </si>
  <si>
    <t>No Moody's (Baa3) or Fitch (BBB) rating release found; only KBRA BBB (Stable). The seed rating columns may be mislabeled.</t>
  </si>
  <si>
    <t>Lease tenor (17.5 yrs plus two 10-yr renewals), rent per MW ($1.43mm), 3% escalator and 10.1x leverage: seed only, unconfirmed.</t>
  </si>
  <si>
    <t>Building count conflict: press release says three buildings, KBRA says four buildings/leases.</t>
  </si>
  <si>
    <t>Oracle's 10-K and 10-Q do not name Michigan, Related Digital or Saline (zero hits), so the lease cannot be tied to Oracle's disclosed commitments.</t>
  </si>
  <si>
    <t>Several primary pages (Blackstone and Oracle press releases, Michigan AG, MPSC order, Michigan Advance) returned HTTP 403; facts from them rely on search-result summaries or alternative copies. The MPSC order itself (U-21990) was not read, so contract term, minimum bills, collateral and cost conditions are unverified.</t>
  </si>
  <si>
    <t>No Court of Appeals ruling or oral-argument date found; the Dec-2027 DTE online date is from a low-confidence summary.</t>
  </si>
  <si>
    <t>Oracle's current Moody's and Fitch ratings after Feb-2026 are not verified; S&amp;P BBB- is via a secondary report.</t>
  </si>
  <si>
    <t>Dossier as of 2026-10-16 | ISIN US74751QAA67 | IG section | Bloomberg: QTSODY 6.625 09/01/31 144A Corp</t>
  </si>
  <si>
    <t>QTS Central Issuer LLC per Bloomberg security name; press describes two special-purpose subsidiaries of QualityTech, LP as issuers. Exact co-issuer names not confirmed from an official document.</t>
  </si>
  <si>
    <t>S18; S6</t>
  </si>
  <si>
    <t>Senior Secured Notes due 2031, inaugural construction Rule 144A/Regulation S offering, $3.9bn aggregate principal.</t>
  </si>
  <si>
    <t>Coupon</t>
  </si>
  <si>
    <t>6.625% (user brief and Barclays seed); press guided coupon 6.6%-6.9%. Final coupon not seen in an official document.</t>
  </si>
  <si>
    <t>S18; S8</t>
  </si>
  <si>
    <t>Pricing, yield, OID</t>
  </si>
  <si>
    <t>Priced about 18-Aug-2026 at a discount: yield 7.228%, about 40bp inside initial guidance (7.63% initial talk; 7.0-7.4% guidance). OID of about 2.5 points per user brief is consistent with a 6.625% coupon vs 7.228% yield over 5 years (not independently confirmed).</t>
  </si>
  <si>
    <t>S8; S9</t>
  </si>
  <si>
    <t>Issue / closing date</t>
  </si>
  <si>
    <t>Closed 27-Aug-2026 (issuer counsel); seed agrees.</t>
  </si>
  <si>
    <t>1-Sep-2031 (seed); counsel confirms only 'due 2031'.</t>
  </si>
  <si>
    <t>S18; S1</t>
  </si>
  <si>
    <t>Tenor and call</t>
  </si>
  <si>
    <t>5-year non-call-2 (5NC2); seed next call 1-Sep-2028 at 100.0 (price shown is probably the first par date; the actual premium schedule and make-whole not seen).</t>
  </si>
  <si>
    <t>ISIN US74751QAA67, CUSIP 74751QAA6 (144A); Reg S identifiers not found.</t>
  </si>
  <si>
    <t>$3.9bn original; Bloomberg seed shows $3,900mm outstanding.</t>
  </si>
  <si>
    <t>Amortisation</t>
  </si>
  <si>
    <t>Seed: amortisation from mid-2029, estimated about 5.5% of principal before maturity; schedule source not seen (broker estimate).</t>
  </si>
  <si>
    <t>Senior secured, non-recourse single-asset project bond structure (April Fayetteville notes called the first of this type; Odyssey described as the second).</t>
  </si>
  <si>
    <t>S3; S10</t>
  </si>
  <si>
    <t>Trustee, law, denominations, clearing</t>
  </si>
  <si>
    <t>Not found (indenture not public; no EDGAR filing).</t>
  </si>
  <si>
    <t>Borrower structure</t>
  </si>
  <si>
    <t>Two QualityTech special-purpose subsidiaries issue the notes (Bloomberg), financing a venture in Georgia. SPV chain, guarantors and ring-fencing terms not public.</t>
  </si>
  <si>
    <t>S6; S7</t>
  </si>
  <si>
    <t>Project name</t>
  </si>
  <si>
    <t>'Project Odyssey' (Bloomberg label).</t>
  </si>
  <si>
    <t>Original marketing</t>
  </si>
  <si>
    <t>Goldman Sachs reportedly tested a roughly $5.4bn bond-and-loan package for the same project (user brief: about $4.9bn bonds plus $500mm term loan, marketed as high-yield); this was reshaped into a $3.9bn five-year investment-grade bond. Only the $5.4bn total is confirmed by two secondary sources; the split is single-source.</t>
  </si>
  <si>
    <t>S17; S10</t>
  </si>
  <si>
    <t>Bookrunners</t>
  </si>
  <si>
    <t>Citigroup, Goldman Sachs, JPMorgan, Morgan Stanley.</t>
  </si>
  <si>
    <t>Demand</t>
  </si>
  <si>
    <t>Order book above $8bn; about $10bn IOIs reported at one point; upsized about $1bn versus initial size.</t>
  </si>
  <si>
    <t>S6; S10</t>
  </si>
  <si>
    <t>QualityTech, LP (QTS), a Blackstone portfolio company; Blackstone acquired QTS in 2021 in a roughly $10bn take-private through perpetual-capital real estate and infrastructure funds. QTS reports 100+ data centers in 20+ markets, about 99% occupancy, 2,000+ employees.</t>
  </si>
  <si>
    <t>QTS public reporting</t>
  </si>
  <si>
    <t>QTS Realty Trust, Inc. (CIK 1577368) filed a Form 15 in Sep-2021 and has filed nothing material since; the project issuers are private 144A issuers with no EDGAR filings located.</t>
  </si>
  <si>
    <t>Other QTS financings in 2026</t>
  </si>
  <si>
    <t>July-2026 inaugural syndicated term loan of $3.25bn backed by a portfolio of completed, fully leased data centers; commentary also cites an ABS of about $1bn across seven data centers and an $870mm July deal (unverified).</t>
  </si>
  <si>
    <t>S1; S15</t>
  </si>
  <si>
    <t>Microsoft (press: 'Microsoft-tied', long-term lease); QTS does not disclose customers and the lease is not public.</t>
  </si>
  <si>
    <t>S8; S16</t>
  </si>
  <si>
    <t>Lease term, renewal, type</t>
  </si>
  <si>
    <t>Seed: 15 years with a 15-year renewal, triple net; unverified.</t>
  </si>
  <si>
    <t>Rent</t>
  </si>
  <si>
    <t>Seed: base rent about $1.74mm per MW per year, 3.0% escalator; unverified broker figures.</t>
  </si>
  <si>
    <t>Seed: lease commencement Nov-2027 to Feb-2028 (phased); unverified.</t>
  </si>
  <si>
    <t>Microsoft credit</t>
  </si>
  <si>
    <t>Microsoft's own rating was not re-verified in this research. Commentary notes Microsoft has $329.1bn of data-center leases signed but not commenced and that landlords like QTS borrow rather than Microsoft. Pricing near 7.2% despite a Microsoft tenant points to project, construction and lease-structure risk rather than tenant credit.</t>
  </si>
  <si>
    <t>S15; S6</t>
  </si>
  <si>
    <t>Termination, delay, SLA, assignment</t>
  </si>
  <si>
    <t>Not found; lease not public.</t>
  </si>
  <si>
    <t>Fayetteville, Georgia (Fayette County): QTS campus of about 615 acres where Microsoft's Fairwater Atlanta operates. User brief ties the notes to this campus; press says only 'Georgia' and 'part of a data center campus'. Buildings financed not named officially.</t>
  </si>
  <si>
    <t>S1; S5; S16</t>
  </si>
  <si>
    <t>Critical IT MW</t>
  </si>
  <si>
    <t>Seed: 204 MW critical IT; unverified.</t>
  </si>
  <si>
    <t>Campus context</t>
  </si>
  <si>
    <t>Epoch AI (estimate): four Microsoft buildings; buildings 1-2 live Oct-2025 (about 321 MW), 3-4 live by Jun-2026 (about 636 MW cumulative); two more shells under way as of May-2026. Which buildings back Odyssey is not disclosed (probably the newer phase).</t>
  </si>
  <si>
    <t>Design</t>
  </si>
  <si>
    <t>Microsoft describes about 140 kW racks, closed-loop liquid cooling, two-storey halls, GB200/GB300 GPUs.</t>
  </si>
  <si>
    <t>Cost and capex per MW</t>
  </si>
  <si>
    <t>Not disclosed (seed blank).</t>
  </si>
  <si>
    <t>Supply</t>
  </si>
  <si>
    <t>Grid-connected; Microsoft states the site relies on utility grid power with no on-site generation or UPS. Trackers name Georgia Power / Southern Company as utility.</t>
  </si>
  <si>
    <t>S12; S13</t>
  </si>
  <si>
    <t>Utility agreement and PSC</t>
  </si>
  <si>
    <t>Georgia Power 2025 IRP testimony reportedly treats the QTS Fayetteville campus as one large load near 1,500 MW at full build-out (single secondary report, unconfirmed). No project-specific energisation date located.</t>
  </si>
  <si>
    <t>Local entitlement</t>
  </si>
  <si>
    <t>Fayetteville reportedly adopted a moratorium then a ban on new data centers, grandfathering existing Fairwater and the Dec-2025 East Campus rezoning (secondary).</t>
  </si>
  <si>
    <t>Seed: early 2026; unverified. Campus land clearing began Apr-2023 for the original buildings (Epoch estimate).</t>
  </si>
  <si>
    <t>S18; S11</t>
  </si>
  <si>
    <t>Delivery</t>
  </si>
  <si>
    <t>Seed: phased lease commencement Nov-2027 to Feb-2028. Status at 16-Oct-2026 not disclosed.</t>
  </si>
  <si>
    <t>Contractor, contract type, completion guarantee</t>
  </si>
  <si>
    <t>$3.9bn 5NC2 notes; a term loan of about $500mm was in the originally marketed package but is not reported as part of the final deal (unconfirmed).</t>
  </si>
  <si>
    <t>S1; S17</t>
  </si>
  <si>
    <t>Sources and uses, equity, reserves</t>
  </si>
  <si>
    <t>Not public. Proceeds fund construction, development and operation of part of a campus, Green Finance Framework projects and general corporate purposes (one report adds distributions to QualityTech).</t>
  </si>
  <si>
    <t>S1; S10</t>
  </si>
  <si>
    <t>Seed: 11.0x at issuance, 9.8x at maturity (broker estimate; basis undefined).</t>
  </si>
  <si>
    <t>Five-year tenor with small amortisation leaves a large balloon; contrast with the 10-year bullet in QTSQST.</t>
  </si>
  <si>
    <t>Support</t>
  </si>
  <si>
    <t>No parent or Microsoft guarantee of the notes disclosed; described as non-recourse single-asset project debt relying on the Microsoft lease.</t>
  </si>
  <si>
    <t>S3; S17</t>
  </si>
  <si>
    <t>Covenants</t>
  </si>
  <si>
    <t>Not available (offering memorandum private; no EDGAR filing).</t>
  </si>
  <si>
    <t>Baa3 (user brief; press expected Baa3 pre-pricing). Moody's release not retrieved; seed agrees.</t>
  </si>
  <si>
    <t>S10; S18</t>
  </si>
  <si>
    <t>BBB- (user brief; press expected BBB- pre-pricing). Fitch release not retrieved; seed shows NR for Fitch, so assignment is unconfirmed.</t>
  </si>
  <si>
    <t>Rationale and triggers</t>
  </si>
  <si>
    <t>Not retrieved. Lowest IG tier despite Microsoft tenant, consistent with construction-stage risk.</t>
  </si>
  <si>
    <t>Fund and/or capitalise construction, development and operation of part of a data center campus; investments in projects under the QTS Green Finance Framework; general corporate purposes.</t>
  </si>
  <si>
    <t>Notes are construction-stage; rent starts only on phased delivery in 2027-28, with no public information on completion guarantees.</t>
  </si>
  <si>
    <t>Pricing signal</t>
  </si>
  <si>
    <t>Yield about 7.2% for IG paper, roughly 150bp above the April 5.70% 10-year despite shorter tenor; April bond itself traded about 7.16% on 18-Aug-2026.</t>
  </si>
  <si>
    <t>S10; S8</t>
  </si>
  <si>
    <t>Five-year balloon with minimal amortisation.</t>
  </si>
  <si>
    <t>Concentration, power, local</t>
  </si>
  <si>
    <t>Single tenant, large campus load on Georgia Power, local ban on new data centers.</t>
  </si>
  <si>
    <t>Sector sentiment</t>
  </si>
  <si>
    <t>Sep-Oct 2026 AI-credit weakness (e.g. Hyperion bonds at 91, record lows 7-Oct) is a headwind for related paper.</t>
  </si>
  <si>
    <t>Post-issue</t>
  </si>
  <si>
    <t>No QTS-specific post-issue development (rating action, litigation, trading level) found; commentary of Oct-2026 cites broader AI-debt stress. Barclays 15-Sep: yield 6.90%, spread 176bp.</t>
  </si>
  <si>
    <t>S15; S18</t>
  </si>
  <si>
    <t>2023-04-09</t>
  </si>
  <si>
    <t>Land clearing begins on southern part of Fayetteville campus (Epoch estimate).</t>
  </si>
  <si>
    <t>Microsoft Fairwater Atlanta begins operations on the Fayetteville campus.</t>
  </si>
  <si>
    <t>2025-11-12</t>
  </si>
  <si>
    <t>Microsoft publicly unveils the Atlanta Fairwater site.</t>
  </si>
  <si>
    <t>2026-04-15</t>
  </si>
  <si>
    <t>QTS closes $4.6bn 5.70% 2036 Fayetteville notes (sister bond QTSQST).</t>
  </si>
  <si>
    <t>2026-07</t>
  </si>
  <si>
    <t>QTS closes inaugural $3.25bn syndicated term loan on completed leased portfolio.</t>
  </si>
  <si>
    <t>2026-08</t>
  </si>
  <si>
    <t>Goldman reported testing a roughly $5.4bn bond-and-loan package for the Microsoft-leased Georgia project.</t>
  </si>
  <si>
    <t>2026-08-17</t>
  </si>
  <si>
    <t>Bloomberg: Project Odyssey bond may grow to $3.9bn after over $8bn orders.</t>
  </si>
  <si>
    <t>2026-08-18</t>
  </si>
  <si>
    <t>Initial yield talk about 7.63%; notes price at 7.228% yield, about 40bp inside guidance.</t>
  </si>
  <si>
    <t>2026-08-27</t>
  </si>
  <si>
    <t>Closing of $3.9bn Senior Secured Notes due 2031.</t>
  </si>
  <si>
    <t>2026-09-16</t>
  </si>
  <si>
    <t>Barclays digest shows QTSODY spread about 176bp / yield 6.90%.</t>
  </si>
  <si>
    <t>2026-10-08</t>
  </si>
  <si>
    <t>Commentary on AI-debt stress citing the QTS August deal.</t>
  </si>
  <si>
    <t>S1 | Press release | 2026-09-01</t>
  </si>
  <si>
    <t>QTS Completes Inaugural Construction Rule 144A Notes Offering (Simpson Thacher &amp; Bartlett (issuer counsel)). Used for: Odyssey notes: $3.9bn 144A/Reg S Senior Secured Notes due 2031, closing 27-Aug-2026, use of proceeds, July term loan</t>
  </si>
  <si>
    <t>S2 | Press release | 2026-04-28</t>
  </si>
  <si>
    <t>QTS Completes Inaugural Rule 144A Notes Offering (Simpson Thacher &amp; Bartlett (issuer counsel)). Used for: Fayetteville notes: over $4.5bn Senior Secured Notes due 2036, closing 15-Apr-2026, use of proceeds</t>
  </si>
  <si>
    <t>S3 | Press release | 2026-04-21</t>
  </si>
  <si>
    <t>Paul Hastings advises the initial purchasers on QTS Data Centers $4.6 billion notes offering (Paul Hastings LLP (initial purchasers' counsel)). Used for: Issuer names, $4.6bn 5.700% due 2036, non-recourse single-asset project bond, initial purchasers</t>
  </si>
  <si>
    <t>S4 | News | 2026-04</t>
  </si>
  <si>
    <t>Blackstone-owned QTS Data Centers looks to raise $4.6bn, starting with 10-year investment-grade green bond sale (DatacenterDynamics). Used for: Moody's first-time Baa2, two issuers, two data centers, non-amortising 10-year (direct fetch returned 403; content seen only via search-engine summary)</t>
  </si>
  <si>
    <t>S5 | News | 2026-04-07</t>
  </si>
  <si>
    <t>Wall Street's $4.6 billion green bet lands in Fayetteville's backyard (Hoodline). Used for: Campus about 615 acres, one building online, IPT 1.625% over Treasuries, arrangers, proceeds</t>
  </si>
  <si>
    <t>S6 | News | 2026-08-17</t>
  </si>
  <si>
    <t>Microsoft-linked QTS bond sale draws $8 billion in demand (Bloomberg via Investing.com) (Bloomberg / Investing.com). Used for: Odyssey: $3.9bn, over $8bn orders, upsized about $1bn, two SPV issuers, bookrunners</t>
  </si>
  <si>
    <t>S7 | News | 2026-08-17</t>
  </si>
  <si>
    <t>Project Odyssey bond sale may grow to $3.9 billion (CryptoBriefing (Bloomberg rewrite)). Used for: Two QualityTech SPV issuers, upsizing, April deal $12.5bn peak demand</t>
  </si>
  <si>
    <t>S8 | News | 2026-08-19</t>
  </si>
  <si>
    <t>AI Data Center Financing Costs Surge as Blackstone's QTS Bond Prices at 7.2% Yield (BigGo Finance (secondary)). Used for: Odyssey final yield 7.228%, guidance, book, Microsoft long-term lease; secondary AI-assisted write-up</t>
  </si>
  <si>
    <t>S9 | News | 2026-08-18</t>
  </si>
  <si>
    <t>Blackstone-Backed QTS Taps Bond Market For Microsoft Data Center (Finimize (Bloomberg rewrite)). Used for: Initial yield talk about 7.63%, about $1bn larger than first floated, bookrunners</t>
  </si>
  <si>
    <t>S10 | News | 2026-08-18</t>
  </si>
  <si>
    <t>QTS launches $3.9B bond sale to fund Microsoft-linked data center (CryptoBriefing (Bloomberg rewrite)). Used for: Project Odyssey name, expected Baa3/BBB-, IOIs, use of proceeds, April bonds at 7.16%</t>
  </si>
  <si>
    <t>S11 | News | 2026-07-25</t>
  </si>
  <si>
    <t>Microsoft Fairwater Atlanta (Epoch AI). Used for: Third-party satellite/permit-based estimates: building timeline, 321 MW then 636 MW IT</t>
  </si>
  <si>
    <t>S12 | Press release | 2025-11-12</t>
  </si>
  <si>
    <t>Infinite scale: The architecture behind the Azure AI superfactory (Microsoft). Used for: Atlanta Fairwater site: grid power, no on-site generation/UPS, 140 kW racks, liquid cooling</t>
  </si>
  <si>
    <t>S13 | News | 2026</t>
  </si>
  <si>
    <t>Microsoft Fairwater Atlanta (Fayette County, GA) (Interconnection.fyi). Used for: Tracker: 250+ MW, Southern Company grid (low reliability)</t>
  </si>
  <si>
    <t>S14 | SEC filing | 2026-10-16</t>
  </si>
  <si>
    <t>SEC EDGAR full-text search and submissions (queries run 16-Oct-2026) (SEC). Used for: Negative result: no issuer/Blackstone 8-K or prospectus; QTS Realty Trust (CIK 1577368) filed Form 15 in Sep-2021; only fund holdings mention the names</t>
  </si>
  <si>
    <t>S15 | News | 2026-10</t>
  </si>
  <si>
    <t>Banks Struggle to Digest the Mounting Debt Driving the AI Boom (Naked Capitalism (commentary)). Used for: Microsoft lease commitments, AI-credit stress Sep-Oct 2026</t>
  </si>
  <si>
    <t>S16 | News | 2025-11</t>
  </si>
  <si>
    <t>Microsoft's newest AI superfactory opens at sprawling Fayetteville campus (Atlanta Journal-Constitution). Used for: 615-acre QTS campus, operations began Oct-2025, QTS does not disclose customers (seen via search summary only; direct fetch 404)</t>
  </si>
  <si>
    <t>S17 | News | 2026-08</t>
  </si>
  <si>
    <t>Data center bonds tied to Microsoft draw billions (Briefs.co (Bloomberg rewrite)). Used for: Goldman test of $5.4bn bond-and-loan package for same Georgia project</t>
  </si>
  <si>
    <t>S18 | News | 2026-09-16</t>
  </si>
  <si>
    <t>Barclays IG/HY Data Center Credit Digest and Bloomberg (seed.json) (Barclays / Bloomberg). Used for: Seed leads (ISIN/CUSIP, MW, rent, leverage, spreads); secondary and unverified</t>
  </si>
  <si>
    <t>No SEC filings by QTS Central Issuer, other QTS issuers or Blackstone for these notes located on EDGAR (full-text search 16-Oct-2026 returned only fund holdings); 144A offering memorandum and indenture not accessed, so trustee, covenants, call schedule, waterfall, reserves and guarantors are unknown.</t>
  </si>
  <si>
    <t>Moody's and Fitch rating releases not retrieved; Baa3/BBB- rests on user brief and pre-pricing press. Seed shows only Baa3 from Moody's.</t>
  </si>
  <si>
    <t>Coupon 6.625% and about 2.5pt OID not confirmed in an official document; secondary sources give yield 7.228%.</t>
  </si>
  <si>
    <t>Which Fayetteville buildings/MW back Odyssey, plus rent, lease term, renewal, termination rights and completion guarantees are undisclosed; seed values (204 MW, $1.74mm/MW, 15+15yr) unverified.</t>
  </si>
  <si>
    <t>Microsoft rating not re-verified; Microsoft 10-K lease commitments not retrieved (third-party commentary only).</t>
  </si>
  <si>
    <t>Georgia Power agreement, energisation dates and PSC docket not found; 1,500 MW load figure is a single secondary report.</t>
  </si>
  <si>
    <t>The $4.9bn bonds plus $500mm term loan split is single-source (user brief and an Arabic Bloomberg rewrite not fetched); only the $5.4bn total is corroborated. Whether the downsizing from HY package to $3.9bn IG was a restructuring or separate deal is not documented.</t>
  </si>
  <si>
    <t>Bloomberg and DCD pages returned 403 and the AJC link 404; those items rely on search summaries and rewrites. Seed ISIN/CUSIP not checked against an official source.</t>
  </si>
  <si>
    <t>Seed call date 1-Sep-2028 at 100.0 looks like a par-call date, not the premium schedule; schedule unverified.</t>
  </si>
  <si>
    <t>Dossier as of 2026-10-16 | ISIN US74751AAA16 | IG section | Bloomberg: QTSQST 5.7 04/15/36 144A Corp</t>
  </si>
  <si>
    <t>Issuers</t>
  </si>
  <si>
    <t>QTS Fayetteville I DC1-2 LLC and QTS TRS Fayetteville I DC1-2 (press spells 'DCI-2'), indirect subsidiaries of QualityTech, LP; Bloomberg name 'QTS FAYETTEV I DC1-2/TRS'.</t>
  </si>
  <si>
    <t>S3; S18</t>
  </si>
  <si>
    <t>5.700% Senior Secured Notes due 2036, inaugural Rule 144A/Regulation S, $4.6bn (issuer counsel says over $4.5bn).</t>
  </si>
  <si>
    <t>S3; S2</t>
  </si>
  <si>
    <t>Coupon and pricing</t>
  </si>
  <si>
    <t>5.70% coupon and yield (par); initial price talk about 1.625% over Treasuries.</t>
  </si>
  <si>
    <t>S5; S10</t>
  </si>
  <si>
    <t>Closing date</t>
  </si>
  <si>
    <t>15-Apr-2026.</t>
  </si>
  <si>
    <t>Maturity and structure</t>
  </si>
  <si>
    <t>15-Apr-2036; 10-year non-amortising bullet (Moody's wording relayed by DCD).</t>
  </si>
  <si>
    <t>S4; S18</t>
  </si>
  <si>
    <t>ISIN US74751AAA16, CUSIP 74751AAA1 (144A); Reg S identifiers not found.</t>
  </si>
  <si>
    <t>Ranking</t>
  </si>
  <si>
    <t>Senior secured; described as the first non-recourse single-asset project bond by a data center project company in the 144A/Reg S market.</t>
  </si>
  <si>
    <t>Call and make-whole</t>
  </si>
  <si>
    <t>Seed shows next (par) call 15-Oct-2035 at 100.0; make-whole and premium schedule not available.</t>
  </si>
  <si>
    <t>Not found (indenture not public).</t>
  </si>
  <si>
    <t>J.P. Morgan, SMBC Nikko, Goldman Sachs, Wells Fargo among others.</t>
  </si>
  <si>
    <t>Borrowers</t>
  </si>
  <si>
    <t>Two special-purpose entities (an LLC and a TRS entity) financing two data centers (DC1 and DC2) on the Fayetteville campus, under QualityTech, LP. Guarantor and ring-fencing detail not public.</t>
  </si>
  <si>
    <t>S4; S3</t>
  </si>
  <si>
    <t>Non-recourse single-asset project structure.</t>
  </si>
  <si>
    <t>Order book</t>
  </si>
  <si>
    <t>Peak demand about $12.5bn (about 2.7x covered).</t>
  </si>
  <si>
    <t>S7; S10</t>
  </si>
  <si>
    <t>Microsoft (press: April bonds fund Microsoft compute capacity); QTS does not disclose customers and the lease is not public.</t>
  </si>
  <si>
    <t>S7; S16</t>
  </si>
  <si>
    <t>Seed: 20-year term with 15-year renewal, triple net; unverified.</t>
  </si>
  <si>
    <t>Seed: base rent about $0.90mm per MW per year, 3.0% escalator; unverified broker figure (low versus the newer Odyssey rent, consistent with an older vintage).</t>
  </si>
  <si>
    <t>Seed: Apr-2025 to Apr-2026 (largely commenced; buildings live Oct-2025 and Jun-2026 per Epoch).</t>
  </si>
  <si>
    <t>Microsoft's rating not re-verified here; commentary notes $329.1bn of Microsoft data-center leases signed but not yet commenced.</t>
  </si>
  <si>
    <t>Termination, SLA, assignment</t>
  </si>
  <si>
    <t>Fayetteville, Fayette County, Georgia; about 615-acre QTS campus.</t>
  </si>
  <si>
    <t>S5; S16</t>
  </si>
  <si>
    <t>Buildings financed</t>
  </si>
  <si>
    <t>Two data centers (DC1-2) per Moody's wording; Epoch AI identifies Buildings 1-2 operational by Oct-2025 (about 321 MW, estimate) and Buildings 3-4 by Jun-2026 (cumulative about 636 MW, estimate). Mapping DC1-2 to Buildings 1-2 is an inference.</t>
  </si>
  <si>
    <t>S4; S11</t>
  </si>
  <si>
    <t>Seed: 340 MW; unverified (Epoch about 321 MW for Buildings 1-2 is similar).</t>
  </si>
  <si>
    <t>Microsoft: about 140 kW racks, closed-loop liquid cooling, two-storey halls, GB200/GB300.</t>
  </si>
  <si>
    <t>Land</t>
  </si>
  <si>
    <t>Reportedly bought for about $153.8mm (about $250k per acre) per local reports seen via search summary.</t>
  </si>
  <si>
    <t>Utility grid, no on-site generation or UPS per Microsoft; trackers name Southern Company / Georgia Power.</t>
  </si>
  <si>
    <t>Georgia Power</t>
  </si>
  <si>
    <t>IRP testimony reportedly treats the campus as one load near 1,500 MW at full build-out (secondary, unconfirmed).</t>
  </si>
  <si>
    <t>Local</t>
  </si>
  <si>
    <t>Fayetteville adopted a moratorium and ban on new data centers; existing Fairwater buildings and Dec-2025 East Campus rezoning grandfathered (secondary).</t>
  </si>
  <si>
    <t>Land clearing from 9-Apr-2023 on the southern site (Epoch estimate).</t>
  </si>
  <si>
    <t>Buildings 1-2 operational Oct-2025; Buildings 3-4 by Jun-2026 (estimates); Hoodline (Apr-2026) said one building was online and the rest phased.</t>
  </si>
  <si>
    <t>S11; S5</t>
  </si>
  <si>
    <t>Contractor, completion guarantee</t>
  </si>
  <si>
    <t>$4.6bn 10-year bullet notes; proceeds repay credit facilities that financed construction, fund Green Finance Framework projects and general corporate purposes.</t>
  </si>
  <si>
    <t>S2; S5</t>
  </si>
  <si>
    <t>Seed: 15.0x at issuance, 11.3x at maturity (broker estimate; basis undefined).</t>
  </si>
  <si>
    <t>None (bullet); lease term vs 2036 maturity and refinancing is the key exposure.</t>
  </si>
  <si>
    <t>Reserves and equity</t>
  </si>
  <si>
    <t>Non-recourse; no parent guarantee disclosed; credit rests on the Microsoft lease and the two facilities.</t>
  </si>
  <si>
    <t>Baa2, first-time rating (reported by DatacenterDynamics); Moody's release not retrieved. Seed shows Baa2/NR/NR.</t>
  </si>
  <si>
    <t>S&amp;P and Fitch</t>
  </si>
  <si>
    <t>NR per seed (unconfirmed).</t>
  </si>
  <si>
    <t>Repay outstanding obligations under existing credit facilities, fund investments in projects under the QTS Green Finance Framework, and general corporate purposes.</t>
  </si>
  <si>
    <t>Bullet and refinancing</t>
  </si>
  <si>
    <t>No amortisation; a 10-year balloon against a (seed) 20-year lease reduces tail risk only if lease term is as the seed states.</t>
  </si>
  <si>
    <t>Mark-to-market</t>
  </si>
  <si>
    <t>Priced at 5.70% in April; yielded about 7.16% on 18-Aug-2026 (about 146bp wider); Barclays showed 7.17% / 222bp on 15-Sep.</t>
  </si>
  <si>
    <t>Single tenant, large-load power dependence, local ban on new data centers, AI-credit repricing.</t>
  </si>
  <si>
    <t>S13; S15</t>
  </si>
  <si>
    <t>Use of proceeds breadth</t>
  </si>
  <si>
    <t>Proceeds may fund other Green Framework projects and general purposes, not only the Fayetteville facilities.</t>
  </si>
  <si>
    <t>Odyssey (QTSODY) priced in Aug-2026 at about 7.2% yield, repricing sibling QTS debt; no rating action found.</t>
  </si>
  <si>
    <t>S8; S10</t>
  </si>
  <si>
    <t>Land clearing begins on southern campus (Epoch estimate).</t>
  </si>
  <si>
    <t>Microsoft Fairwater Atlanta begins operations on the campus.</t>
  </si>
  <si>
    <t>Microsoft unveils Atlanta Fairwater site.</t>
  </si>
  <si>
    <t>Moody's assigns first-time Baa2; peak demand about $12.5bn.</t>
  </si>
  <si>
    <t>2026-04-06</t>
  </si>
  <si>
    <t>Bloomberg: QTS launches 10-year green IG bond; IPT about T+162.5bp; about $4.6bn.</t>
  </si>
  <si>
    <t>Closing of 5.700% notes due 2036.</t>
  </si>
  <si>
    <t>2026-04-21</t>
  </si>
  <si>
    <t>Initial purchasers' counsel announces the $4.6bn deal.</t>
  </si>
  <si>
    <t>2026-06-14</t>
  </si>
  <si>
    <t>Epoch: Buildings 3-4 operational (estimate).</t>
  </si>
  <si>
    <t>Bonds yield about 7.16% as Odyssey launches.</t>
  </si>
  <si>
    <t>Barclays: QTSQST yield 7.17%, spread about 222bp.</t>
  </si>
  <si>
    <t>No SEC filings for QTS Fayetteville I DC1-2 LLC, its TRS co-issuer or QualityTech found on EDGAR (searched 16-Oct-2026); indenture and offering memorandum inaccessible, so call schedule, make-whole, trustee, covenants, DSCR/lock-up and reserves are unknown.</t>
  </si>
  <si>
    <t>Moody's Baa2 release not retrieved; rating via DCD summary and seed. Direct fetch of DCD returned 403.</t>
  </si>
  <si>
    <t>Microsoft lease term (20+15 yr), rent ($0.90mm/MW) and MW (340) are from seed only; lease not public; Microsoft rating not re-verified.</t>
  </si>
  <si>
    <t>Mapping of DC1-2 to physical Buildings 1-2 and their MW is inferred from Epoch AI estimates.</t>
  </si>
  <si>
    <t>Georgia Power agreement, energisation dates and PSC docket not found; 1,500 MW figure secondary.</t>
  </si>
  <si>
    <t>Contractor, completion guarantee, sources and uses, equity and reserves not disclosed.</t>
  </si>
  <si>
    <t>Seed issue date and size match counsel releases; seed ISIN/CUSIP not checked against an official source.</t>
  </si>
  <si>
    <t>Dossier as of 2026-10-16 | ISIN US00202DAA54 (seed, unverified) | HY section | Bloomberg: APLD 9.25 12/15/30 144A Corp</t>
  </si>
  <si>
    <t>APLD ComputeCo LLC (Delaware; subsidiary of Applied Digital Corporation) - 9.250% Senior Secured Notes due 2030, sold under a 13-Nov-2025 purchase agreement (Morgan Stanley representative) in a Rule 144A / Regulation S offering.</t>
  </si>
  <si>
    <t>Principal / issue price</t>
  </si>
  <si>
    <t>$2,350mm original principal, issued at 97.000% of par (about $2,279.5mm gross). Company states net proceeds after issuance costs and repayment of the SMBC loan were about $1.9bn. Outstanding at 31-Aug-2026: $2,350mm (no amortization has started).</t>
  </si>
  <si>
    <t>S1, S12, S13</t>
  </si>
  <si>
    <t>Coupon and dates</t>
  </si>
  <si>
    <t>9.250% fixed, payable semi-annually in arrears on 15 Jun and 15 Dec, first coupon 15-Jun-2026 (a long first period from 20-Nov-2025 issue date). Day-count convention not stated in the 8-K.</t>
  </si>
  <si>
    <t>Issue date / maturity</t>
  </si>
  <si>
    <t>Issued 20-Nov-2025; final maturity 15-Dec-2030 (about 5.1 years).</t>
  </si>
  <si>
    <t>Senior secured obligations of the issuer. Secured by first-priority liens on substantially all assets of the issuer and subsidiary guarantors (excluded property carved out), all equity of the guarantors held by the issuer, all equity of the issuer held by APLD HPC Holdings 2 LLC, and the indenture Project Accounts.</t>
  </si>
  <si>
    <t>S1, S2, S13</t>
  </si>
  <si>
    <t>Semi-annual on 15 Jun and 15 Dec starting 15-Dec-2027, in amounts fixed in the indenture (schedule not in the 8-K; adjusts for partial redemptions or add-on notes). Company illustration (not the indenture): 7.75% of original principal per year starting two years after issuance, i.e. about $30mm in 2027 and about $182mm a year in 2028-2030, leaving about $1.77bn (75%) due at maturity before any excess-cash-flow offers.</t>
  </si>
  <si>
    <t>S1, S5</t>
  </si>
  <si>
    <t>Amortization incl. excess-cash-flow offers (model)</t>
  </si>
  <si>
    <t>The same Nov-2025 model assumes a 50% excess-cash-flow offer with 100% noteholder uptake, which would cut the balance to about $1.6bn at end-2030 (cumulative amortization plus offers about 32%). Seed 'est. amortization 30.4%' is broadly consistent with that model. Whether the final indenture contains an ECF offer and its exact mechanics was not verified.</t>
  </si>
  <si>
    <t>S5, S12</t>
  </si>
  <si>
    <t>Before 15-Dec-2027: callable in whole or part at 100% plus a make-whole premium; up to 40% may be redeemed with proceeds of certain equity offerings at the indenture price. On or after 15-Dec-2027: callable at indenture redemption prices (not disclosed in the 8-K). Seed shows first call price 104.63 (consistent with par plus half a coupon) - unverified.</t>
  </si>
  <si>
    <t>Holders may require repurchase at 101% of principal plus accrued interest on specified change-of-control events.</t>
  </si>
  <si>
    <t>Trustee / collateral agent</t>
  </si>
  <si>
    <t>Wilmington Trust, National Association (trustee and collateral agent).</t>
  </si>
  <si>
    <t>Seed: ISIN US00202DAA54, CUSIP 00202DAA5 (144A). No Reg S identifiers found. Not verified against any official document.</t>
  </si>
  <si>
    <t>Governing law, denominations, clearing</t>
  </si>
  <si>
    <t>Not stated in the 8-K or press releases; indenture exhibit (Ex 4.1) not read in full. Customary 144A/Reg S structure implies DTC / Euroclear / Clearstream clearing, but this is not confirmed in the sources reviewed.</t>
  </si>
  <si>
    <t>Applied Digital Corporation (NASDAQ: APLD) -&gt; ... -&gt; APLD HPC Holdings 2 LLC (direct parent of the issuer) -&gt; APLD ComputeCo LLC (issuer) -&gt; guarantor subsidiaries. The Macquarie preferred sits at APLD HPC TopCo 2 LLC; the 10-K states TopCo 2's purpose is the North Dakota AI data centers and that Macquarie also funded Polaris Forge 2 through it, so HPC Holdings 2 appears to sit under TopCo 2 (inference; the intermediate holding chart was not published).</t>
  </si>
  <si>
    <t>S1, S12</t>
  </si>
  <si>
    <t>Subsidiary guarantors</t>
  </si>
  <si>
    <t>APLD ELN-02 HoldCo LLC, ELN-03 HoldCo LLC, ELN-02 LLC, ELN-03 LLC, ELN-02 LandCo LLC and ELN-03 LandCo LLC. The 10-Q describes them as majority-owned subsidiaries of the Company. Applied Digital Corporation itself is NOT a guarantor of the notes (it provides only the completion guarantee).</t>
  </si>
  <si>
    <t>S2, S13</t>
  </si>
  <si>
    <t>Indenture restricts the issuer and guarantors from holding assets or running operations unrelated to the Ellendale facilities and certain additional projects, limits affiliate transactions and requires Project Accounts. Notes are not cross-collateralised with ComputeCo 2 or ComputeCo 3 (separate SPV chains).</t>
  </si>
  <si>
    <t>Facilities financed</t>
  </si>
  <si>
    <t>ELN-02 (100 MW critical IT, a 'pilot build', Building 1 / PF1-1) and ELN-03 (150 MW, Building 2 / PF1-2) at the Polaris Forge 1 campus, Ellendale ND (400 MW campus). ELN-04 (Building 3, 150 MW) is financed separately by the ComputeCo 3 notes (ELNFOR).</t>
  </si>
  <si>
    <t>S1, S18</t>
  </si>
  <si>
    <t>Company says Macquarie funded $337.5mm into Polaris Forge 1 conditioned on closing of this offering. Under the Macquarie A&amp;R unit purchase agreement Applied Digital funds equity at $750k per MW (less equity already invested). Equity actually invested in ELN-02/03 SPVs not disclosed.</t>
  </si>
  <si>
    <t>S4, S12</t>
  </si>
  <si>
    <t>Applied Digital Corporation (Dallas TX; CEO Wes Cummins, CFO Saidal Mohmand): designer, builder, owner and operator of AI data centers. 1,410 MW contracted across five campuses (Polaris Forge 1-3, Delta Forge 1-2) with about $36bn of base-term contract value, though only 250 MW is live.</t>
  </si>
  <si>
    <t>S13, S14</t>
  </si>
  <si>
    <t>Parent liquidity (31-Aug-2026)</t>
  </si>
  <si>
    <t>$3.7bn cash, cash equivalents and restricted cash against $6.4bn of debt; total assets $11.7bn. Q1 FY27 interest expense $77.4mm, adjusted EBITDA $64.4mm, net loss from continuing operations attributable to common $221.0mm.</t>
  </si>
  <si>
    <t>Other parent-level financing</t>
  </si>
  <si>
    <t>$450mm 2.75% convertible notes due Jun 2030; $430mm secured revolver (SOFR+2.25%, matures earlier of 29-May-2029 or 91 days before a PEPA date; $82.4mm drawn at 31-Aug-2026, about $65mm of letters of credit at May-2026); Series G convertible preferred equity line (commitment raised to $2.0bn in Jun-2026); $58.5mm Texas Capital note. Revolver is secured by non-data-center-project assets.</t>
  </si>
  <si>
    <t>S12, S13, S15, S24</t>
  </si>
  <si>
    <t>Parent contingent exposure</t>
  </si>
  <si>
    <t>Guarantee of Base Electron's obligations under a ~$2.4bn design-build contract for a ~1.2 GW gas plant (related party; terminable by paying a $50mm or $100mm fee or on a Base Electron financing). Applied Digital owns about 10% of Base Electron. In Oct 2026 it signed a PPA with Base Electron.</t>
  </si>
  <si>
    <t>S14, S17</t>
  </si>
  <si>
    <t>Macquarie preferred equity (APLD HPC TopCo 2)</t>
  </si>
  <si>
    <t>Perpetual preferred units plus 15% of fully diluted common of TopCo 2. Funded $112.5mm (6-Oct-2025), $450.0mm (25-Nov-2025), $337.5mm (9-Dec-2025) and $925.0mm (29-May-2026) = about $1.8bn, giving Macquarie 13.5% of TopCo 2 common; redeemable NCI carried at about $2.0bn at 31-Aug-2026 including $60.1mm of PIK dividends in the quarter. Macquarie has the right to invest up to $4.9bn more.</t>
  </si>
  <si>
    <t>S12, S13</t>
  </si>
  <si>
    <t>Macquarie preferred economics</t>
  </si>
  <si>
    <t>Company term sheet: dividend 12.75% (PIK or cash) in years 0-5, step-ups from year 6 and +2% a year from year 11 to a 16.75% cap; liquidation preference of greater of accreted value plus common FMV or 1.8x MOIC; company call after year 5; Macquarie put on a sale or after year 7. This is structurally subordinated to the notes (equity above the SPV chain) but it is a large claim on the sponsor's distributions.</t>
  </si>
  <si>
    <t>CoreWeave, Inc. Originally two leases signed 28-May-2025 by APLD ELN-02 LLC (100 MW, four data halls, operational Oct 2025) and APLD ELN-03 LLC (150 MW), aggregate 250 MW. Applied Digital Corporation guarantees its subsidiaries' obligations to the tenant under the leases (landlord performance guarantee, not a credit support for rent).</t>
  </si>
  <si>
    <t>March 2026 restructuring</t>
  </si>
  <si>
    <t>On 30-Mar-2026 CoreWeave restructured: (i) ELN-02 lease amended to suspend the term on two of four data halls, which were re-let on substantially the same terms to CoreWeave Compute Acquisition Co. VIII, LLC (a wholly owned CoreWeave SPV) with a springing CoreWeave guaranty; (ii) ELN-03 lease assigned to the same SPV, releasing CoreWeave Inc. from the lease, again with an unconditional springing guaranty of payment and performance; (iii) CoreWeave to post a $50mm letter of credit supporting the ELN-02 lease within 30 days.</t>
  </si>
  <si>
    <t>Credit implication</t>
  </si>
  <si>
    <t>Rent on ELN-03 and half of ELN-02 is now owed primarily by an SPV with a springing (not direct) parent guaranty; the SPV's own financial profile and the trigger terms of the springing guaranty are not public. Delivery of the $50mm LC was not confirmed in the 10-Q.</t>
  </si>
  <si>
    <t>Lease form</t>
  </si>
  <si>
    <t>Company describes its leases as 15-year, take-or-pay, non-cancellable gross modified leases (tenant recoveries of operating costs are billed separately: $13.3mm in Q1 FY27); a termination for convenience requires payment of the full remaining contractual value. Seed says 'Modified Gross' - consistent.</t>
  </si>
  <si>
    <t>S12, S14, S18</t>
  </si>
  <si>
    <t>Term and options</t>
  </si>
  <si>
    <t>About 15 years from commencement plus three five-year renewal options (Polaris Forge 1 total up to about $27.4bn if all renewals exercised per the company).</t>
  </si>
  <si>
    <t>S12, S18</t>
  </si>
  <si>
    <t>Polaris Forge 1 (400 MW, three leases): about $10.7-11.0bn base-term contracted revenue. Nov-2025 model for ELN-02/03 shows total 15-year revenue of $6,764mm, $368mm in 2027 and $379mm in 2028 (about 3% annual growth, implying about $1.5mm per MW per year initially including any recoveries). Seed shows $1.39mm/MW base rent and 3.0% escalator (unverified; the model growth rate supports about 3%).</t>
  </si>
  <si>
    <t>S5, S12, S18</t>
  </si>
  <si>
    <t>Model assumed ELN-03 Phase 1 commencement 30-Jun-2026. Actual: 100 MW (ELN-02) operational Oct 2025; first 75 MW of ELN-03 / Building 2 ready for service 1-Jul-2026; second 75 MW 1-Oct-2026. Contract commencement/Outside Completion Date terms not disclosed.</t>
  </si>
  <si>
    <t>S5, S14, S20</t>
  </si>
  <si>
    <t>Tenant credit support / warrants</t>
  </si>
  <si>
    <t>CoreWeave received no support from third parties disclosed here. Applied Digital issued CoreWeave a warrant for up to 13,062,521 shares at $7.19 in connection with the ELN-02/ELN-03 leases (parent equity cost, not an obligation of the issuer).</t>
  </si>
  <si>
    <t>Termination-fee coverage (model)</t>
  </si>
  <si>
    <t>Company model: remaining lease payments ('termination fee') of $6,743mm at issuance equals 2.9x debt outstanding, rising to about 3.1x in 2030.</t>
  </si>
  <si>
    <t>Tenant-side disclosure</t>
  </si>
  <si>
    <t>CoreWeave's Q2-2026 10-Q does not name Applied Digital or these leases; no tenant-side corroboration found.</t>
  </si>
  <si>
    <t>S25</t>
  </si>
  <si>
    <t>Location and campus</t>
  </si>
  <si>
    <t>Ellendale, North Dakota; Polaris Forge 1 is a 400 MW critical-IT campus in three buildings (100 / 150 / 150 MW). The notes cover Building 1 (ELN-02) and Building 2 (ELN-03).</t>
  </si>
  <si>
    <t>Applied Digital standard AI Factory: ~907,500 sq ft, six data halls per 150 MW building, hybrid liquid plus air cooling with modular units, 4:3 DR electrical architecture with dual 75 MW systems, N+1 substation, diesel backup generation, 625 W/sq ft, 1.15 target PUE; 12-18 month build cycles per 100-150 MW (company statement, reference spec).</t>
  </si>
  <si>
    <t>Cost per MW</t>
  </si>
  <si>
    <t>Company anticipates capex of $11-13mm per MW for Polaris Forge campuses and expected site NOI margin of 88% +/- 3% for PF1. Seed implies facility cost $3.1bn / $12.4mm per MW (unverified; within company range).</t>
  </si>
  <si>
    <t>A portion of construction cost of ELN-02 and ELN-03, repayment of the SMBC loan (credit agreement dated 11-Feb-2025 by APLD HPC Holdings LLC), funding the debt service reserve and transaction expenses.</t>
  </si>
  <si>
    <t>Grid supply</t>
  </si>
  <si>
    <t>The campus is grid-connected; company says use of excess regional grid capacity has returned more than $45mm of electricity credits to local ratepayers. The serving utility, interconnection agreement and any dedicated generation for PF1 are not named in the filings reviewed.</t>
  </si>
  <si>
    <t>Portfolio power statement</t>
  </si>
  <si>
    <t>Company states each contracted MW is backed by land under its control and/or an executed utility power agreement, and cites about 2.15 GW of gross grid-connected utility power for the 1.4 GW contracted portfolio.</t>
  </si>
  <si>
    <t>S12, S19</t>
  </si>
  <si>
    <t>Base Electron</t>
  </si>
  <si>
    <t>Related-party independent power producer developing ~1.2 GW of gas-fired generation in North Dakota (MISO). Applied Digital signed a PPA in Oct 2026. This supports future campuses rather than these notes' buildings.</t>
  </si>
  <si>
    <t>Status at 16-Oct-2026</t>
  </si>
  <si>
    <t>Building 1 (100 MW) operating since Oct 2025. Building 2: first 75 MW phase ready for service 1-Jul-2026, second 75 MW phase 1-Oct-2026, so both buildings financed by the notes are complete: 250 MW live across ten data halls.</t>
  </si>
  <si>
    <t>S14, S20</t>
  </si>
  <si>
    <t>Versus plan</t>
  </si>
  <si>
    <t>Seed lease commencement '4Q25 - 2Q26' vs delivery of ELN-03 at 1-Jul and 1-Oct-2026: Phase 1 was about one day after the model's 30-Jun-2026 assumption; Phase 2 followed one quarter later. Contractual outside dates not known.</t>
  </si>
  <si>
    <t>S5, S14</t>
  </si>
  <si>
    <t>Rent recognised</t>
  </si>
  <si>
    <t>Base rental revenue in the quarter ended 31-Aug-2026 was $65.8mm for the whole PF1 campus (about 175 MW live at quarter-end), plus tenant recoveries of $13.3mm; tenant fit-out services revenue of $183.5mm is pass-through type activity.</t>
  </si>
  <si>
    <t>EPC contractor and contract type (GMP vs fixed price) are not disclosed in the filings reviewed.</t>
  </si>
  <si>
    <t>Cost-overrun protection</t>
  </si>
  <si>
    <t>Applied Digital will provide a customary completion guarantee: it must fund the issuer as necessary to achieve each Commencement Date under the respective lease if note proceeds and available funds (including prior equity contributions) are insufficient. With both buildings now delivered the guarantee's practical relevance for these notes has largely fallen away (inference).</t>
  </si>
  <si>
    <t>Not published as a table. Uses per 8-K: portion of ELN-02/03 construction, SMBC loan repayment, debt service reserve, expenses. Company's Nov-2025 model assumes total contributions: debt $2,350mm, DSRA $177mm (implied from the DSRA line total).</t>
  </si>
  <si>
    <t>Leverage at issuance</t>
  </si>
  <si>
    <t>Seed: 7.2x. Derived from the Nov-2025 model: $2,350mm / 2028 cash available for debt service of $340mm = about 6.9x (estimate). Seed debt-funded 66% and facility cost $3.1bn unverified.</t>
  </si>
  <si>
    <t>Debt service sculpting (model)</t>
  </si>
  <si>
    <t>Model cash available for debt service of $340mm / $350mm / $361mm in 2028 / 2029 / 2030 against net interest of $170mm / $154mm / $138mm plus amortization of $182mm gives coverage of about 0.97x / 1.04x / 1.13x (estimate), with DSRA draws used as a plug in 2028 ($12mm). The model assumed an 8.5% coupon, below the actual 9.25% (about +$16mm interest a year before interest income on reserves), so headroom is thin by design.</t>
  </si>
  <si>
    <t>Maturity / refinancing</t>
  </si>
  <si>
    <t>Balloon at 15-Dec-2030 of roughly $1.6-1.8bn depending on ECF offers (model). Refinancing depends on a seasoned, fully delivered CoreWeave-leased asset with 11+ years of remaining lease term, at which point the lease SPV credit change matters.</t>
  </si>
  <si>
    <t>Market value</t>
  </si>
  <si>
    <t>Company-estimated (level 2) fair value of the 2030 notes about $2.5bn at 31-Aug-2026 versus $2.35bn par (about 106 on a rounded basis; the 10-Q rounds to $0.1bn). Seed: 15-Sep yield 7.60%, spread 236 bp.</t>
  </si>
  <si>
    <t>Parent completion guarantee</t>
  </si>
  <si>
    <t>Customary completion guarantee from Applied Digital Corporation (see Construction). No parent payment guarantee of the notes; no parent guarantee of rent.</t>
  </si>
  <si>
    <t>Debt service reserve</t>
  </si>
  <si>
    <t>DSRA funded at closing from proceeds ('fund debt service reserves'); model shows about $177mm in total and a small draw of $12mm in 2028.</t>
  </si>
  <si>
    <t>Lease termination protection</t>
  </si>
  <si>
    <t>Take-or-pay leases where termination for convenience requires payment of full remaining value (company statement). CoreWeave springing guaranty on the SPV leases and a $50mm LC on ELN-02.</t>
  </si>
  <si>
    <t>Replacement-tenant / residual value</t>
  </si>
  <si>
    <t>No third-party residual value guarantee found. Company argues North Dakota power and campus scarcity supports re-leasing value.</t>
  </si>
  <si>
    <t>Negative covenants</t>
  </si>
  <si>
    <t>Limits on additional debt and guarantees, restricted payments, investments, liens, asset sales, sale-leasebacks, unrelated business, affiliate transactions and mergers, each with exceptions.</t>
  </si>
  <si>
    <t>'Customary events of default' only; specific lock-up, DSCR and cash-sweep triggers are not described in the 8-K and the indenture was not read in full.</t>
  </si>
  <si>
    <t>Excess cash flow offer</t>
  </si>
  <si>
    <t>Nov-2025 model assumes 50% of excess cash flow is offered to noteholders at par starting soon after closing (illustrative $5mm / $90mm / $61mm in 2025-2027). Actual indenture terms not verified.</t>
  </si>
  <si>
    <t>Reporting / waterfall</t>
  </si>
  <si>
    <t>Waterfall, DSCR tests, Project Accounts mechanics and reporting package are in the offering memorandum and indenture exhibits not reviewed.</t>
  </si>
  <si>
    <t>S&amp;P / Fitch / Moody's</t>
  </si>
  <si>
    <t>Seed: NR (Moody's) / BB- (S&amp;P) / BB- (Fitch). No rating-agency release was accessible; only a retail social-media post references an expected BB- at Fitch pre-pricing. Treat as unverified.</t>
  </si>
  <si>
    <t>Not available (agency reports not accessed). Key credit drivers one would expect: tenant SPV credit, DSCR near 1.0x in model years, parent liquidity for completion.</t>
  </si>
  <si>
    <t>Stated uses</t>
  </si>
  <si>
    <t>(1) Fund a portion of construction and associated costs of ELN-02 (100 MW) and ELN-03 (150 MW) at the 400 MW Ellendale campus; (2) repay the SMBC loan (Credit and Guaranty Agreement of 11-Feb-2025); (3) fund debt service reserves; (4) pay transaction expenses.</t>
  </si>
  <si>
    <t>Net proceeds</t>
  </si>
  <si>
    <t>Approximately $1.9bn after issuance costs and SMBC repayment (company, 10-K).</t>
  </si>
  <si>
    <t>Tenant concentration and credit migration</t>
  </si>
  <si>
    <t>100% CoreWeave exposure; March-2026 restructuring moved ELN-03 and two ELN-02 halls to an SPV under springing guaranty.</t>
  </si>
  <si>
    <t>S12, S25</t>
  </si>
  <si>
    <t>Thin modelled coverage</t>
  </si>
  <si>
    <t>Debt service coverage around 1.0x in 2028-2029 in the sponsor's own model, using a coupon 75 bp below the actual; reliance on DSRA and on 3% rent escalators.</t>
  </si>
  <si>
    <t>Balloon and refinancing</t>
  </si>
  <si>
    <t>About 70-75% of principal falls due at 15-Dec-2030.</t>
  </si>
  <si>
    <t>Sponsor capital intensity</t>
  </si>
  <si>
    <t>Parent has $6.4bn of debt, a related-party gas-plant guarantee and must fund more than $13bn of pipeline (broker estimate) which could compete for liquidity; Macquarie preferred accretes at 12.75%.</t>
  </si>
  <si>
    <t>S13, S21</t>
  </si>
  <si>
    <t>Disclosure gaps</t>
  </si>
  <si>
    <t>Indenture covenants (lock-up, ECF offer, additional debt tests) not reviewed; ratings unverified.</t>
  </si>
  <si>
    <t>Macquarie funding</t>
  </si>
  <si>
    <t>Further $337.5mm (Dec 2025) and $925mm (May 2026) preferred draws into TopCo 2.</t>
  </si>
  <si>
    <t>CoreWeave restructuring</t>
  </si>
  <si>
    <t>30-Mar-2026 lease amendment and assignment to CoreWeave SPV VIII; $50mm LC; springing guaranties.</t>
  </si>
  <si>
    <t>Operations</t>
  </si>
  <si>
    <t>Building 2 delivered 1-Jul and 1-Oct-2026 (250 MW live). Notes valued at about $2.5bn at 31-Aug-2026.</t>
  </si>
  <si>
    <t>Parent financing</t>
  </si>
  <si>
    <t>June-2026 $1.59bn ComputeCo 3 notes, revolver upsized to $430mm, Series G commitment to $2.0bn; Delta Forge 2 lease (210 MW, $5.2bn) on 5-Jun-2026.</t>
  </si>
  <si>
    <t>S12, S15, S19</t>
  </si>
  <si>
    <t>Sell-side</t>
  </si>
  <si>
    <t>JPMorgan cut APLD/PFORGE project bonds to Neutral from Overweight (about 12-Oct-2026), citing supply overhang of about $7.8bn of debt needed for three Meta-linked campuses (the tenant is named as Meta only by the bank, not by the company).</t>
  </si>
  <si>
    <t>S21, S22</t>
  </si>
  <si>
    <t>Delta Forge financing and Investor Day</t>
  </si>
  <si>
    <t>No filing, press release or rating report found for a Delta Forge debt financing being marketed in Sept 2026; management says Polaris Forge 3, Delta Forge 1 and Delta Forge 2 are the next financings. No Aug-2026 Investor Day disclosure found; the June-2026 investor presentation was used instead. Supply of $13bn of new project debt is the relevant read-across for these notes' spread.</t>
  </si>
  <si>
    <t>S14, S18, S22</t>
  </si>
  <si>
    <t>2025-05-28</t>
  </si>
  <si>
    <t>ELN-02 (100 MW) and ELN-03 (150 MW) leases signed with CoreWeave; CoreWeave warrant issued.</t>
  </si>
  <si>
    <t>2025-08-28</t>
  </si>
  <si>
    <t>Third CoreWeave lease (Building 4 / ELN-04, 150 MW) signed, taking Polaris Forge 1 to 400 MW contracted.</t>
  </si>
  <si>
    <t>First 100 MW building at Polaris Forge 1 operational.</t>
  </si>
  <si>
    <t>2025-10-06</t>
  </si>
  <si>
    <t>Macquarie initial closing: $112.5mm preferred units in APLD HPC TopCo 2.</t>
  </si>
  <si>
    <t>2025-11-10</t>
  </si>
  <si>
    <t>$2.35bn senior secured notes offering announced with investor presentation.</t>
  </si>
  <si>
    <t>2025-11-13</t>
  </si>
  <si>
    <t>Notes priced at 97.000% with a 9.250% coupon.</t>
  </si>
  <si>
    <t>2025-11-20</t>
  </si>
  <si>
    <t>Notes closed; indenture signed with Wilmington Trust; SMBC loan repaid.</t>
  </si>
  <si>
    <t>2025-12-09</t>
  </si>
  <si>
    <t>Third Macquarie closing ($337.5mm), tied to this offering for Polaris Forge 1.</t>
  </si>
  <si>
    <t>2026-03-30</t>
  </si>
  <si>
    <t>CoreWeave restructuring: ELN-03 assigned to CoreWeave SPV VIII, two ELN-02 halls re-let to SPV, $50mm LC.</t>
  </si>
  <si>
    <t>2026-05-29</t>
  </si>
  <si>
    <t>Fourth Macquarie closing ($925mm); total funded about $1.8bn.</t>
  </si>
  <si>
    <t>2026-06-05</t>
  </si>
  <si>
    <t>Memorandum of understanding with CoreWeave on assigning the Polaris Forge 1 Building 3 lease to an investment-grade subsidiary (relevant to ELN-04).</t>
  </si>
  <si>
    <t>S24</t>
  </si>
  <si>
    <t>Phase 1 of Building 2 (75 MW, ELN-03) ready for service; 175 MW live.</t>
  </si>
  <si>
    <t>2026-10-01</t>
  </si>
  <si>
    <t>Phase 2 of Building 2 ready for service; 250 MW live across two buildings.</t>
  </si>
  <si>
    <t>2026-10-07</t>
  </si>
  <si>
    <t>10-Q: notes carried at fair value of about $2.5bn; $3.7bn cash vs $6.4bn debt at the parent.</t>
  </si>
  <si>
    <t>2026-10-12</t>
  </si>
  <si>
    <t>JPMorgan downgrades APLD/PFORGE project bonds to Neutral on supply overhang.</t>
  </si>
  <si>
    <t>S21</t>
  </si>
  <si>
    <t>S1 | SEC filing | 2025-11-20</t>
  </si>
  <si>
    <t>8-K: APLD ComputeCo LLC closes $2.35bn 9.250% Senior Secured Notes due 2030; indenture summary (Applied Digital Corporation (SEC)). Used for: Notes terms, ranking, amortization start, call, covenants, completion guarantee, trustee, use of proceeds</t>
  </si>
  <si>
    <t>S2 | Press release | 2025-11-10</t>
  </si>
  <si>
    <t>Press release: proposed $2.35bn senior secured notes offering (Ex 99.1 to 8-K) (Applied Digital Corporation). Used for: Guarantor list, collateral package, use of proceeds, ELN-02/ELN-03 description</t>
  </si>
  <si>
    <t>S3 | Press release | 2025-11-13</t>
  </si>
  <si>
    <t>Press release: pricing of $2.35bn senior secured notes (Ex 99.1 to 8-K) (Applied Digital Corporation). Used for: Pricing at 97%, 9.250% coupon, closing date</t>
  </si>
  <si>
    <t>S4 | Press release | 2025-11-12</t>
  </si>
  <si>
    <t>Press release: second $787.5mm draw from Macquarie Asset Management (Ex 99.1 to 8-K) (Applied Digital Corporation). Used for: Macquarie draws, PF2 hyperscaler ROFR for 800 MW, use of Macquarie funding</t>
  </si>
  <si>
    <t>S5 | Presentation | 2025-11-10</t>
  </si>
  <si>
    <t>Investor presentation Nov 2025 (Ex 99.1 to 8-K Item 7.01): annual consolidated financial summary for ELN-02/ELN-03 (Applied Digital Corporation). Used for: Illustrative cash flows, DSRA, amortization, excess-cash-flow offer, termination-fee coverage (image slide; read visually from the filing PDF)</t>
  </si>
  <si>
    <t>S12 | SEC filing | 2026-07-29</t>
  </si>
  <si>
    <t>Form 10-K for fiscal year ended 31-May-2026 (Applied Digital Corporation (SEC)). Used for: Leases, CoreWeave restructuring, Macquarie TopCo 2 preferred, debt notes, MEC loans, risk factors, business update</t>
  </si>
  <si>
    <t>S13 | SEC filing | 2026-10-07</t>
  </si>
  <si>
    <t>Form 10-Q for quarter ended 31-Aug-2026 (Applied Digital Corporation (SEC)). Used for: Debt table, note fair values, guarantors, construction status, redeemable NCI, lease schedule</t>
  </si>
  <si>
    <t>S14 | Press release | 2026-10-07</t>
  </si>
  <si>
    <t>Q1 FY2027 earnings release (Ex 99.1 to 8-K) (Applied Digital Corporation). Used for: Ready-for-service milestones, liquidity, PF2 timing, Base Electron PPA, contracted portfolio</t>
  </si>
  <si>
    <t>S15 | SEC filing | 2026-06-26</t>
  </si>
  <si>
    <t>8-K: revolver upsize to $430mm and sixth amendment to preferred equity purchase agreement (Series G) (Applied Digital Corporation (SEC)). Used for: Parent liquidity: 2026 revolver and Series G PEPA</t>
  </si>
  <si>
    <t>S17 | SEC filing | 2026-03-04</t>
  </si>
  <si>
    <t>8-K: Applied Digital guarantee of Base Electron obligations to Babcock &amp; Wilcox (Applied Digital Corporation (SEC)). Used for: Parent contingent obligation (~$2.4bn design-build contract), related-party aspects</t>
  </si>
  <si>
    <t>S18 | Presentation | 2026-06-09</t>
  </si>
  <si>
    <t>Investor presentation June 2026 (Ex 99.2 to 8-K Item 7.01, 62 slides) (Applied Digital Corporation). Used for: Portfolio table, capex/MW range, NOI margins, campus/building naming, Macquarie preferred term sheet</t>
  </si>
  <si>
    <t>S19 | Press release | 2026-06-08</t>
  </si>
  <si>
    <t>Press release: 210 MW lease at Delta Forge 2 (Ex 99.1 to 8-K) (Applied Digital Corporation). Used for: Delta Forge 2 lease economics; tenant described only as high investment-grade hyperscaler; 2.15 GW grid power</t>
  </si>
  <si>
    <t>S20 | Press release | 2026-10-02</t>
  </si>
  <si>
    <t>Press release: additional 75 MW online at Polaris Forge 1 (250 MW live) (Applied Digital Corporation (IR)). Used for: Polaris Forge 1 delivered capacity at 2-Oct-2026</t>
  </si>
  <si>
    <t>S21 | News | 2026-10-12</t>
  </si>
  <si>
    <t>JPMorgan downgrades Applied Digital's project bonds, citing supply overhang (as summarized in search results; page itself returned HTTP 403) (Blockspace (news)). Used for: Sell-side view, Meta speculation, ELN-04 MoU, expected $7.8bn of further project debt (secondary, unverified)</t>
  </si>
  <si>
    <t>S22 | News | 2026-10-16</t>
  </si>
  <si>
    <t>Applied Digital sinks 4% as rotation out of debt-funded AI builders extends (24/7 Wall St. (news)). Used for: Management intent to finance PF3, DF1, DF2 next; market reaction</t>
  </si>
  <si>
    <t>S24 | Press release | 2026-06-08</t>
  </si>
  <si>
    <t>Press release: $550mm revolving credit facility and CoreWeave MoU on Building 3 lease assignment (Ex 99.1 to 8-K) (Applied Digital Corporation). Used for: Parent revolver; 5-Jun-2026 MoU to assign Polaris Forge 1 Building 3 lease to an investment-grade CoreWeave subsidiary</t>
  </si>
  <si>
    <t>S25 | SEC filing | 2026-08-12</t>
  </si>
  <si>
    <t>CoreWeave Form 10-Q for quarter ended 30-Jun-2026 (CoreWeave, Inc. (SEC)). Used for: Checked for tenant-side disclosure of the Applied Digital leases: no mention of Applied Digital, Polaris Forge or Ellendale found</t>
  </si>
  <si>
    <t>Indenture (Ex 4.1 to the 20-Nov-2025 8-K) was not read in full: exact amortization schedule, redemption prices, excess-cash-flow offer, lock-up/DSCR tests, additional-debt limits, governing law, denominations and clearing details are therefore not verified.</t>
  </si>
  <si>
    <t>ISIN/CUSIP and Reg S identifiers are from the seed only (Bloomberg); no official document lists them.</t>
  </si>
  <si>
    <t>Offering memorandum (144A) is private; sources and uses, DSRA size, contract commencement dates and Outside Completion Dates are not available. DSRA of about $177mm is inferred from the sponsor's illustrative model.</t>
  </si>
  <si>
    <t>Rent per MW and escalator: the CoreWeave lease agreements (filed as exhibits to earlier 8-Ks / 10-Q) were not retrieved; figures are derived from the Nov-2025 model and 10-K contracted revenue. Seed base rent $1.39mm/MW is not verifiable.</t>
  </si>
  <si>
    <t>Rating-agency releases (S&amp;P, Fitch, Moody's) were not accessible; ratings remain seed, unverified. No trigger language available.</t>
  </si>
  <si>
    <t>Whether CoreWeave posted the $50mm letter of credit due by about 29-Apr-2026, and the terms/triggers of the CoreWeave springing guaranties and SPV VIII's financials, are not disclosed.</t>
  </si>
  <si>
    <t>Power: serving utility, interconnection capacity and any utility agreement for the Ellendale campus not found in the filings reviewed. EPC contractor and contract type not found.</t>
  </si>
  <si>
    <t>Seed said tenant commencement '4Q25 - 2Q26'; official documents show ELN-03 delivered 1-Jul and 1-Oct-2026 (a quarter later than the end of the seed window). Seed leverage 7.2x vs 6.9x derived from the company model.</t>
  </si>
  <si>
    <t>Delta Forge financing marketed in Sept 2026 and an August 2026 Investor Day: no SEC filing, company press release or rating report found as of 16-Oct-2026 (latest filings are the 7-Oct-2026 10-Q and 8-K). Meta is not named by the company as any tenant; the Meta link comes only from JPMorgan commentary relayed in news. Blockspace article itself was inaccessible (HTTP 403); snippets only.</t>
  </si>
  <si>
    <t>Structure chart for the intermediate holding entities (whether APLD HPC Holdings 2 LLC sits below APLD HPC TopCo 2 LLC) is not published; stated as inference.</t>
  </si>
  <si>
    <t>CoreWeave and Oracle filings were checked for tenant-side disclosure of these leases and do not name Applied Digital; CoreWeave's own credit ratings were not retrieved.</t>
  </si>
  <si>
    <t>Dossier as of 2026-10-16 | ISIN US03772CAA18 (seed, unverified) | HY section | Bloomberg: PFORGE 6.75 03/15/31 144A Corp</t>
  </si>
  <si>
    <t>APLD ComputeCo 2 LLC (Delaware; subsidiary of Applied Digital Corporation) - 6.750% Senior Secured Notes due 2031, sold under a 3-Mar-2026 purchase agreement (Goldman Sachs &amp; Co. LLC representative), Rule 144A / Regulation S.</t>
  </si>
  <si>
    <t>$2,150mm original principal, issued at 98.000% of par (about $2,107mm gross; company says net proceeds about $2.1bn). Outstanding at 31-Aug-2026: $2,150mm (no amortization yet).</t>
  </si>
  <si>
    <t>S6, S7, S12, S13</t>
  </si>
  <si>
    <t>6.750% fixed, semi-annual in arrears on 15 Mar and 15 Sep, first payment 15-Sep-2026. Day count not stated in the 8-K.</t>
  </si>
  <si>
    <t>Issued 10-Mar-2026; matures 15-Mar-2031 (about 5.0 years).</t>
  </si>
  <si>
    <t>Senior secured. First-priority liens on substantially all assets of the issuer and guarantors (excluded property carved out) and on all equity of the issuer held by APLD FAR Holdings LLC (its direct parent); Project Accounts (including the debt service reserve) are part of the indenture package.</t>
  </si>
  <si>
    <t>S6, S8, S13</t>
  </si>
  <si>
    <t>Semi-annual on 15 Mar and 15 Sep, beginning on the first payment date after the final Commencement Date under all data center leases in effect on the issue date, in indenture-specified amounts. Sponsor model (illustrative): 4.25% of original principal initial annual amortization rising 0.375 pt a year, i.e. $61mm in 2027, $99mm in 2028, $108mm in 2029, $116mm in 2030, with $1,767mm outstanding at end-2030 and about $1.75bn (about 81%) due at maturity.</t>
  </si>
  <si>
    <t>S6, S8</t>
  </si>
  <si>
    <t>Before 15-Mar-2028: 100% plus make-whole; up to 40% with certain equity offering proceeds at the indenture price. From 15-Mar-2028: indenture redemption prices (not disclosed; seed first call price 103.38 = par plus half a coupon, unverified). Change of control put at 101%.</t>
  </si>
  <si>
    <t>Escrow feature</t>
  </si>
  <si>
    <t>At closing the issuer deposited cash equal to the gross proceeds into a segregated escrow account with Goldman Sachs Bank USA (separate from the Project Accounts) until release conditions were met. The 10-K says the escrow release condition was satisfied and a release certificate delivered on 18-Jun-2026.</t>
  </si>
  <si>
    <t>S6, S12</t>
  </si>
  <si>
    <t>Wilmington Trust, National Association.</t>
  </si>
  <si>
    <t>Seed: ISIN US03772CAA18, CUSIP 03772CAA1 (144A). Not confirmed in any official document; no Reg S identifiers found.</t>
  </si>
  <si>
    <t>Not stated in the 8-K; indenture exhibit not read in full.</t>
  </si>
  <si>
    <t>Applied Digital Corporation -&gt; (Macquarie-preferred APLD HPC TopCo 2 LLC, inferred) -&gt; APLD FAR Holdings LLC (direct parent) -&gt; APLD ComputeCo 2 LLC (issuer) -&gt; guarantors. The 10-K says Macquarie's preferred funding included $450mm for Polaris Forge 2, so the FAR chain appears to sit under TopCo 2 (inference).</t>
  </si>
  <si>
    <t>S4, S6, S12</t>
  </si>
  <si>
    <t>APLD FAR-01 HoldCo LLC, FAR-02 HoldCo LLC, FAR-01 LLC, FAR-02 LLC, FAR-01 LandCo LLC and FAR-02 LandCo LLC (majority-owned per the 10-Q). FAR-01 and FAR-02 are also the lessors under the Oracle lease. Applied Digital Corporation is not a guarantor of the notes.</t>
  </si>
  <si>
    <t>S8, S13</t>
  </si>
  <si>
    <t>Indenture limits business to the Polaris Forge 2 facilities and certain additional projects; limits affiliate dealings, debt, liens and restricted payments. Separate SPV chain from ComputeCo / ComputeCo 3.</t>
  </si>
  <si>
    <t>Single-tenant, two-building (about 150 MW each, 200 MW leased) campus owned through lessor SPVs (FAR-01, FAR-02) that guarantee a holdco-level issuer; escrowed proceeds funded construction after release.</t>
  </si>
  <si>
    <t>S6, S18</t>
  </si>
  <si>
    <t>Applied Digital Corporation (NASDAQ: APLD): 1,410 MW contracted over five campuses, $6.4bn debt and $3.7bn cash/restricted cash at 31-Aug-2026, only 250 MW live (all at Polaris Forge 1).</t>
  </si>
  <si>
    <t>Parent financing relevant to PF2</t>
  </si>
  <si>
    <t>$50mm Macquarie Equipment Capital bridge to APLD FAR-01 (8% PIK, drawn Sept 2025, repaid 28-Nov-2025 with a 1.10x return hurdle) funded land, transformers and early works at Harwood; Macquarie Asset Management preferred: $450mm of the Nov-2025 draw earmarked for completing Polaris Forge 2.</t>
  </si>
  <si>
    <t>Macquarie preferred (TopCo 2)</t>
  </si>
  <si>
    <t>About $1.8bn funded of up to $5.0bn (plus $4.9bn remaining right); 12.75% PIK/cash preferred with 15% of common; carried at about $2.0bn at 31-Aug-2026. Terms: perpetual, company call after year 5, Macquarie put after year 7 or on sale, 1.8x MOIC floor.</t>
  </si>
  <si>
    <t>S12, S13, S18</t>
  </si>
  <si>
    <t>Other parent facilities</t>
  </si>
  <si>
    <t>$430mm secured revolver, $450mm 2.75% converts due 2030, Series G preferred line up to $2.0bn, Base Electron guarantee (~$2.4bn contract; $50mm/$100mm termination fee).</t>
  </si>
  <si>
    <t>S13, S15, S17</t>
  </si>
  <si>
    <t>Oracle, per Applied Digital's 8-K ('currently leased to Oracle'). Company elsewhere describes the tenant only as a U.S.-based investment-grade hyperscaler. The contracting Oracle entity, any Oracle Corporation guaranty and Oracle's credit ratings were not found in the sources reviewed.</t>
  </si>
  <si>
    <t>S7, S12</t>
  </si>
  <si>
    <t>Lessors and date</t>
  </si>
  <si>
    <t>Lease dated about 20-Oct-2025 (announced 22-Oct-2025) between APLD FAR-01 LLC / APLD FAR-02 LLC and the hyperscaler for 200 MW critical IT, phased across two buildings.</t>
  </si>
  <si>
    <t>About 15 years base term plus two five-year renewal options (all other Applied Digital leases have three).</t>
  </si>
  <si>
    <t>Contract value</t>
  </si>
  <si>
    <t>Approximately $5.0bn base-term contracted revenue per the 10-K ($4.8bn in the June-2026 deck chart; sponsor model sums to $4.66bn over 2026-2040). Differences likely reflect pass-throughs, ramp and rounding.</t>
  </si>
  <si>
    <t>Rent and escalator</t>
  </si>
  <si>
    <t>Model revenue $232mm (2027), $274mm (2028), $281mm (2029), $288mm (2030): about $1.4mm per MW per year on 200 MW in 2029 with a 2.5% annual escalator (company model; derived, includes any recoveries). Seed: $1.34mm/MW and 2.5% (consistent, unverified).</t>
  </si>
  <si>
    <t>Company describes its leases as 15-year, take-or-pay, non-cancellable gross modified leases; termination for convenience requires payment of the full remaining contract value. Company expects 86% (+/-3%) site NOI margin for PF2.</t>
  </si>
  <si>
    <t>Model assumes FAR-01 Phase 1 commencement 1-Oct-2026 and FAR-02 Phase 1 commencement 1-Mar-2027. Company guidance: initial ready for service 2H CY2026, full capacity early CY2027. Seed: Nov-2026 to Jun-2027.</t>
  </si>
  <si>
    <t>Expansion rights</t>
  </si>
  <si>
    <t>The hyperscaler holds a first right of refusal on an additional 800 MW at the Harwood campus (full 1 GW potential), per company.</t>
  </si>
  <si>
    <t>Delay / termination / SLA / assignment terms</t>
  </si>
  <si>
    <t>Not disclosed publicly. 10-K risk factor: lessees may have the right to terminate leases for significant construction delays. Completion guarantee references the lease 'Outside Completion Date' (as extendable).</t>
  </si>
  <si>
    <t>Harwood, North Dakota (campus designated 'Polaris Forge 2', 300 MW critical-IT campus under construction with 200 MW leased).</t>
  </si>
  <si>
    <t>S8, S18</t>
  </si>
  <si>
    <t>Buildings and design</t>
  </si>
  <si>
    <t>Two 150 MW standard-design buildings (PF2-1, PF2-2): ~907,500 sq ft, six data halls per building, hybrid liquid/air cooling, N+1 substation, diesel backup, 625 W/sq ft, 1.15 target PUE (company reference spec).</t>
  </si>
  <si>
    <t>Company expects capex $11-13mm per MW. Seed facility cost $2.39bn / $12.0mm per MW and 80% debt-funded (unverified, within range).</t>
  </si>
  <si>
    <t>Groundbreaking</t>
  </si>
  <si>
    <t>Groundbreaking 18-Aug-2025 on an initial 200 MW data center.</t>
  </si>
  <si>
    <t>Power supply</t>
  </si>
  <si>
    <t>Serving utility, interconnection agreement and any dedicated power for Harwood are not named in the filings reviewed. Company says each contracted MW is backed by land under control and/or an executed utility power agreement and cites about 2.15 GW of gross grid-connected utility power for the contracted portfolio.</t>
  </si>
  <si>
    <t>Regional context</t>
  </si>
  <si>
    <t>Base Electron (related party, ~10% owned by Applied Digital) plans ~1.2 GW of gas generation in North Dakota (MISO) with a PPA signed Oct 2026; relevant to expansion at the campus, not to the 200 MW leased capacity.</t>
  </si>
  <si>
    <t>Two PF2 buildings under construction. As of the 7-Oct-2026 10-Q, initial ready-for-service is expected in 2H CY2026 and full capacity in early CY2027; company expects initial PF2 operations to lift delivered North Dakota capacity to 300 MW (from 250 MW today) by end of calendar 2026. No PF2 ready-for-service announcement was found as of 16-Oct-2026.</t>
  </si>
  <si>
    <t>Versus model</t>
  </si>
  <si>
    <t>The March-2026 model assumed FAR-01 Phase 1 commencement on 1-Oct-2026; that date has passed without a reported ready-for-service, so first rent is running behind the illustrative assumption (contractual dates unknown).</t>
  </si>
  <si>
    <t>S8, S14</t>
  </si>
  <si>
    <t>EPC contractor and GMP/fixed-price terms are not disclosed in the filings reviewed.</t>
  </si>
  <si>
    <t>Completion guarantee</t>
  </si>
  <si>
    <t>Applied Digital must fund the issuer as needed to complete the Construction Period and, where applicable, achieve the first Service Commencement Date before the Outside Completion Date (as extended under the lease) if note proceeds and available funds are insufficient.</t>
  </si>
  <si>
    <t>Capex funding</t>
  </si>
  <si>
    <t>Notes of $2.15bn at 98 (about $2.1bn net) after escrow release 18-Jun-2026, plus Macquarie-funded equity ($450mm earmarked) and parent equity of $0.75mm per MW (company contribution requirement under the Macquarie agreement).</t>
  </si>
  <si>
    <t>Uses per 8-K: development and construction of 200 MW of critical IT load at Polaris Forge 2 plus Project Accounts (incl. DSRA) and expenses. A full sources-and-uses table was not published.</t>
  </si>
  <si>
    <t>Reserve</t>
  </si>
  <si>
    <t>Model note: an additional Debt Service Reserve Account of $148mm to be maintained throughout the notes (excluded from DSCR calculations); upfront fee assumed 1.25%; opex ~$3mm in year 1; initial maintenance capex begins eight years after commencement.</t>
  </si>
  <si>
    <t>Leverage and coverage (model)</t>
  </si>
  <si>
    <t>Model NOI $249mm (2029) and $256mm (2030) versus $2,150mm notes gives about 8.6x / 8.4x (estimate; seed 9.1x). Cash flow available for debt service against interest plus amortization is about 1.0x in 2027-2029 and about 1.07x in 2030 (estimate), with small DSRA draws/replenishments.</t>
  </si>
  <si>
    <t>About $1.75bn (roughly 81%) due 15-Mar-2031, when the lease still has about 10 years left; refinancing risk is a core part of the trade.</t>
  </si>
  <si>
    <t>10-Q (level 2) fair value of about $2.0bn at 31-Aug-2026 versus $2.2bn at 31-May-2026 on $2.15bn principal, i.e. roughly 91-95 from about 102 (both rounded to $0.1bn). Seed: 15-Sep yield 7.93%, spread 314 bp.</t>
  </si>
  <si>
    <t>Parent support</t>
  </si>
  <si>
    <t>Completion guarantee only; no parent guarantee of the notes or of rent. Applied Digital Corporation does guarantee its subsidiaries' obligations to tenants in other leases (CoreWeave) - whether the same applies to the PF2 lease was not found.</t>
  </si>
  <si>
    <t>Tenant support</t>
  </si>
  <si>
    <t>No parent guaranty of the lease found; a termination fee equal to remaining rent is described generically for the portfolio.</t>
  </si>
  <si>
    <t>DSRA $148mm (model) plus escrow mechanism before release.</t>
  </si>
  <si>
    <t>Replacement-tenant rights</t>
  </si>
  <si>
    <t>Limits on debt, restricted payments, investments, liens, asset sales, sale-leasebacks, unrelated business, affiliate transactions and mergers; 101% CoC put; customary events of default.</t>
  </si>
  <si>
    <t>Excess cash flow</t>
  </si>
  <si>
    <t>The PF2 model shows no excess cash flow offer line (contrast with the ELN-02/03 model). Lock-up and DSCR test terms not disclosed in sources reviewed.</t>
  </si>
  <si>
    <t>Moody's / S&amp;P / Fitch</t>
  </si>
  <si>
    <t>Seed: Ba3 (Moody's) / NR (S&amp;P) / BB- (Fitch). No agency release accessible; unverified.</t>
  </si>
  <si>
    <t>Fund development and construction of 200 MW of critical IT load at Polaris Forge 2, fund Project Accounts including the DSRA, and pay fees and expenses. Net proceeds about $2.1bn.</t>
  </si>
  <si>
    <t>Delivery timing</t>
  </si>
  <si>
    <t>Model first-commencement date of 1-Oct-2026 appears missed; rent clock and outside dates unknown; completion guarantor is a cash-burning parent.</t>
  </si>
  <si>
    <t>Tenant visibility</t>
  </si>
  <si>
    <t>Tenant credit support structure (who signed, whether Oracle Corp guarantees) is undisclosed in official filings.</t>
  </si>
  <si>
    <t>Balloon and thin coverage</t>
  </si>
  <si>
    <t>About 81% balloon with ~1.0x modelled coverage; DSRA at $148mm.</t>
  </si>
  <si>
    <t>Fair value fell from roughly par+ to the mid-90s between May and Aug 2026; JPMorgan downgraded the credit on supply overhang.</t>
  </si>
  <si>
    <t>Escrow</t>
  </si>
  <si>
    <t>Proceeds sat in escrow for about three months; the release condition is not described.</t>
  </si>
  <si>
    <t>Escrow release</t>
  </si>
  <si>
    <t>18-Jun-2026: escrow release condition satisfied; funds released to the issuer.</t>
  </si>
  <si>
    <t>Macquarie</t>
  </si>
  <si>
    <t>29-May-2026 fourth Macquarie closing of $925mm (TopCo 2).</t>
  </si>
  <si>
    <t>10-Q: initial RFS 2H CY2026, full early CY2027; Oct-2026 release expects PF2 to lift ND capacity to 300 MW by year-end.</t>
  </si>
  <si>
    <t>Sell-side / news</t>
  </si>
  <si>
    <t>JPMorgan moved APLD/PFORGE project bonds to Neutral (~12-Oct-2026); the bank reportedly sees a possible ~100 MW additional PF2 lease likely for Oracle (secondary news, unverified). No official disclosure of a Delta Forge financing marketed in Sept 2026 or of an Aug-2026 Investor Day found.</t>
  </si>
  <si>
    <t>2025-08-18</t>
  </si>
  <si>
    <t>Groundbreaking at Polaris Forge 2 (Harwood, ND), initial 200 MW.</t>
  </si>
  <si>
    <t>2025-09</t>
  </si>
  <si>
    <t>$50mm Macquarie Equipment Capital loan to APLD FAR-01 for land and early works.</t>
  </si>
  <si>
    <t>2025-10-20</t>
  </si>
  <si>
    <t>Lease for 200 MW at Polaris Forge 2 signed with a U.S. investment-grade hyperscaler (announced 22-Oct-2025).</t>
  </si>
  <si>
    <t>Macquarie to fund $450mm for PF2; hyperscaler holds ROFR on 800 MW more.</t>
  </si>
  <si>
    <t>2025-11-28</t>
  </si>
  <si>
    <t>MEC bridge loan repaid in full.</t>
  </si>
  <si>
    <t>2026-03-02</t>
  </si>
  <si>
    <t>$2.15bn senior secured notes offering announced with investor presentation.</t>
  </si>
  <si>
    <t>2026-03-04</t>
  </si>
  <si>
    <t>Notes priced at 98.0% with a 6.750% coupon; campus described as leased to Oracle.</t>
  </si>
  <si>
    <t>2026-03-10</t>
  </si>
  <si>
    <t>Notes closed; proceeds placed in escrow; indenture signed with Wilmington Trust.</t>
  </si>
  <si>
    <t>Fourth Macquarie closing ($925mm) at TopCo 2.</t>
  </si>
  <si>
    <t>2026-06-18</t>
  </si>
  <si>
    <t>Escrow release condition satisfied; escrow funds released to ComputeCo 2.</t>
  </si>
  <si>
    <t>2026-09-15</t>
  </si>
  <si>
    <t>First semi-annual coupon due on the notes.</t>
  </si>
  <si>
    <t>Model date for FAR-01 Phase 1 commencement; no ready-for-service announced by 16-Oct.</t>
  </si>
  <si>
    <t>10-Q: PF2 initial ready-for-service expected 2H CY2026; notes' fair value about $2.0bn.</t>
  </si>
  <si>
    <t>JPMorgan downgrades APLD/PFORGE project bonds to Neutral.</t>
  </si>
  <si>
    <t>S6 | SEC filing | 2026-03-10</t>
  </si>
  <si>
    <t>8-K: APLD ComputeCo 2 LLC closes $2.15bn 6.750% Senior Secured Notes due 2031; indenture summary (Applied Digital Corporation (SEC)). Used for: PFORGE terms, escrow, completion guarantee, trustee</t>
  </si>
  <si>
    <t>S7 | SEC filing | 2026-03-04</t>
  </si>
  <si>
    <t>8-K: pricing of $2.15bn senior secured notes for Polaris Forge 2 (Item 8.01) (Applied Digital Corporation (SEC)). Used for: Pricing at 98%, campus described as currently leased to Oracle</t>
  </si>
  <si>
    <t>S8 | SEC filing | 2026-03-02</t>
  </si>
  <si>
    <t>8-K: proposed $2.15bn offering press release and investor presentation slides (Ex 99.1, 99.2) (Applied Digital Corporation (SEC)). Used for: PF2 guarantor list, collateral, completion guarantee, illustrative financial summary (DSRA $148mm, amortization, commencement dates)</t>
  </si>
  <si>
    <t>Indenture (Ex 4.1 to 10-Mar-2026 8-K) not read in full: exact amortization amounts, redemption prices, governing law, denominations, lock-up/DSCR tests and the escrow release conditions are not verified.</t>
  </si>
  <si>
    <t>ISIN/CUSIP from the seed only. Ratings (Ba3 Moody's, BB- Fitch) unverified: no agency report accessible.</t>
  </si>
  <si>
    <t>Oracle lease: contracting entity, parent guaranty, delay/termination remedies, SLA credits, assignment rights, rent per MW and Outside Completion Date are not disclosed publicly in the filings reviewed; Oracle's 10-K does not name Applied Digital and Oracle's own credit ratings were not retrieved. Oracle identity comes from Applied Digital's 8-K only.</t>
  </si>
  <si>
    <t>Rent figures are derived from the sponsor's illustrative March-2026 model (images in the 8-K) and 10-K contracted revenue; seed base rent $1.34mm/MW cannot be verified. Contract value differs between 10-K ($5.0bn), deck ($4.8bn) and model ($4.66bn).</t>
  </si>
  <si>
    <t>Utility, interconnection and energization schedule for Harwood not found; EPC contractor and contract type not found; no county/PSC records reviewed.</t>
  </si>
  <si>
    <t>Whether PF2 reached any ready-for-service milestone between 7 and 16 Oct 2026 is unknown (latest official document is the 7-Oct-2026 10-Q/8-K). Seed commencement 'Nov 2026 - Jun 2027' differs from the model (1-Oct-2026 / 1-Mar-2027).</t>
  </si>
  <si>
    <t>Escrow release condition on 18-Jun-2026 not described.</t>
  </si>
  <si>
    <t>Delta Forge (Meta-linked) financing marketed in Sept 2026 and an Aug-2026 Investor Day: no SEC filing or company release found by 16-Oct-2026; Meta is never named by the company. JPMorgan article relayed by news was inaccessible (HTTP 403).</t>
  </si>
  <si>
    <t>Intermediate holding structure between TopCo 2, HPC Holdings and FAR Holdings is inferred, not published.</t>
  </si>
  <si>
    <t>Dossier as of 2026-10-16 | ISIN US03790NAA54 (seed, unverified) | HY section | Bloomberg: ELNFOR 7 06/15/31 144A Corp</t>
  </si>
  <si>
    <t>APLD ComputeCo 3 LLC (Delaware; subsidiary of Applied Digital Corporation) - 7.000% Senior Secured Notes due 2031, sold under a 9-Jun-2026 purchase agreement (Goldman Sachs &amp; Co. LLC representative), Rule 144A / Regulation S.</t>
  </si>
  <si>
    <t>$1,590mm original principal, issued at 100.000% of par. Outstanding at 31-Aug-2026: $1,590mm (no amortization yet).</t>
  </si>
  <si>
    <t>S9, S10, S13</t>
  </si>
  <si>
    <t>7.000% fixed, semi-annual in arrears on 15 Jun and 15 Dec, first payment 15-Dec-2026. Day count not stated in the 8-K.</t>
  </si>
  <si>
    <t>Issued 16-Jun-2026 (priced 9-Jun-2026); matures 15-Jun-2031 (about 5.0 years).</t>
  </si>
  <si>
    <t>S9, S10</t>
  </si>
  <si>
    <t>Senior secured obligations of the issuer; guaranteed by its existing and future direct and indirect subsidiaries; first-priority liens on substantially all assets of the issuer and guarantors (excluded property carved out) and on all equity of the issuer held by APLD HPC Holdings 2 LLC.</t>
  </si>
  <si>
    <t>Semi-annual on 15 Jun and 15 Dec, beginning on the first payment date after the final Commencement Date under all data center leases in effect on the issue date, in indenture amounts (adjusted for redemptions or add-ons). Sponsor model (illustrative): 2.70% of original principal initial annual amortization with 0.50 pt annual escalators: $22mm (2027), $51mm (2028), $59mm (2029), $67mm (2030), $75mm (2031); debt about $1,392mm at end-2030, so roughly $1.35bn (about 85%) is due at maturity.</t>
  </si>
  <si>
    <t>S9, S11</t>
  </si>
  <si>
    <t>Before 15-Jun-2028: 100% plus make-whole; up to 40% with certain equity offering proceeds at the indenture price. From 15-Jun-2028: indenture redemption prices (not in 8-K; seed first call price 103.5 = par plus half a coupon, unverified). Change-of-control put at 101%.</t>
  </si>
  <si>
    <t>Seed: ISIN US03790NAA54, CUSIP 03790NAA5 (144A). Not confirmed in an official document; no Reg S identifiers found.</t>
  </si>
  <si>
    <t>Applied Digital Corporation -&gt; ... -&gt; APLD HPC Holdings 2 LLC (direct parent; the same holdco that sits above APLD ComputeCo, the APLD notes issuer) -&gt; APLD ComputeCo 3 LLC (issuer) -&gt; guarantors. Silos are separate: ComputeCo 3 holds only the ELN-04 project.</t>
  </si>
  <si>
    <t>APLD ELN-04 HoldCo LLC, APLD ELN-04 LLC and APLD ELN-04 LandCo LLC (wholly owned by the issuer per the 10-K). Applied Digital Corporation is not a guarantor of the notes. The 10-K names the lessor of the third CoreWeave lease as 'APLD ELN-02 C LLC'; whether this is the same entity as ELN-04 LLC (renamed) was not confirmed.</t>
  </si>
  <si>
    <t>S10, S12</t>
  </si>
  <si>
    <t>Indenture limits business to the Ellendale facility and certain additional projects; limits on debt, liens, restricted payments, affiliate dealings and fundamental changes; completion guarantee from the parent.</t>
  </si>
  <si>
    <t>Project</t>
  </si>
  <si>
    <t>ELN-04 = third physical HPC building (150 MW, 'PF1-3') at the Polaris Forge 1 campus in Ellendale ND; the press release calls it the 'fourth building' because the lease is the fourth lease/building counting the original design.</t>
  </si>
  <si>
    <t>S10, S18</t>
  </si>
  <si>
    <t>Applied Digital Corporation (NASDAQ: APLD). 1,410 MW contracted, $6.4bn debt and $3.7bn cash/restricted cash at 31-Aug-2026; Polaris Forge 1 has 250 MW live (Buildings 1 and 2); Building 3 (this notes' project) is under construction.</t>
  </si>
  <si>
    <t>Parent facilities</t>
  </si>
  <si>
    <t>$430mm secured revolver (non-data-center-project assets, matures earlier of 29-May-2029 or 91 days before a PEPA date), $450mm 2.75% convertibles due 2030, Series G preferred line raised to $2.0bn (Jun-2026), $58.5mm Texas Capital note, and a guarantee of Base Electron's ~$2.4bn design-build contract.</t>
  </si>
  <si>
    <t>S13, S15, S17, S24</t>
  </si>
  <si>
    <t>Macquarie preferred</t>
  </si>
  <si>
    <t>Macquarie Asset Management preferred in APLD HPC TopCo 2 LLC: about $1.8bn funded (incl. $925mm on 29-May-2026, four weeks after the ELN-04 bridge was signed), up to $5.0bn plus $4.9bn remaining right; 12.75% PIK/cash coupon, 15% of common, perpetual with company call after year 5 and investor put after year 7 or on sale, 1.8x MOIC floor. Whether any of it was applied to ELN-04 equity is not disclosed.</t>
  </si>
  <si>
    <t>Equity contribution rule</t>
  </si>
  <si>
    <t>Under the Macquarie unit purchase agreement Applied Digital funds equity at $750k per MW of capacity (less equity already invested), about $112mm for 150 MW; ELN-04 actual equity not disclosed.</t>
  </si>
  <si>
    <t>CoreWeave, Inc. Third Polaris Forge 1 lease ('Building 4 Lease') signed 28-Aug-2025 by APLD ELN-02 C LLC for 150 MW, bringing CoreWeave's Polaris Forge 1 contracted capacity to 400 MW. Applied Digital Corporation guarantees the lessor subsidiary's obligations to CoreWeave (landlord performance, not rent).</t>
  </si>
  <si>
    <t>Contract value and term</t>
  </si>
  <si>
    <t>Company: 15-year base term with three five-year renewal options; Polaris Forge 1 total about $10.7-11.0bn for 400 MW. Sponsor ELN-04 model: total 15-year revenue $4,086mm and NOI $3,683mm over a lease running to 2042, i.e. $227mm / $234mm / $241mm revenue in 2029 / 2030 / 2031 (about 3% escalator; about $1.5mm per MW per year in 2029, estimate). Seed: base rent $1.43mm/MW, 3.0% escalator (consistent with model growth).</t>
  </si>
  <si>
    <t>S11, S12, S18</t>
  </si>
  <si>
    <t>Company describes leases as 15-year, take-or-pay, non-cancellable gross modified leases with termination for convenience requiring payment of full remaining value. Company expects 88% (+/-3%) site NOI margin for PF1; model NOI/revenue is about 90%.</t>
  </si>
  <si>
    <t>Model assumes ELN-04 Phase 1 Commencement Date of 30-Jan-2027. 10-K/10-Q: anticipated ready for service/full capacity in calendar 2027. Seed: Jan-Jun 2027. Phased (Phase 1 only) commencement drives the first amortization date through 'final Commencement Date'.</t>
  </si>
  <si>
    <t>S11, S12, S13</t>
  </si>
  <si>
    <t>Tenant credit migration (MoU)</t>
  </si>
  <si>
    <t>On 5-Jun-2026 Applied Digital and CoreWeave signed a memorandum of understanding to assign the lease for 'Building 3' at Polaris Forge 1 (the ELN-04 building) to a CoreWeave subsidiary if that subsidiary achieves an investment-grade credit rating. News coverage of a JPMorgan note says the bank's Overweight on ELNFOR rests on this MoU and that it depends on CoreWeave financing its GPUs; no such rating event has been reported.</t>
  </si>
  <si>
    <t>S21, S24</t>
  </si>
  <si>
    <t>Contrast with ELN-02/03</t>
  </si>
  <si>
    <t>The 30-Mar-2026 CoreWeave restructuring (assignment of ELN-03 and two ELN-02 halls to CoreWeave Compute Acquisition Co. VIII, LLC with springing parent guaranty and a $50mm LC) is disclosed only for ELN-02/03. For ELN-04 the tenant of record disclosed in the 10-K is CoreWeave itself; no third-party credit support is disclosed.</t>
  </si>
  <si>
    <t>Not publicly disclosed. 10-K risk factor: lessees may have termination rights for significant construction delays. Guarantee refers to Outside Completion Date under the lease (extendable).</t>
  </si>
  <si>
    <t>S9, S12</t>
  </si>
  <si>
    <t>CoreWeave's Q2-2026 10-Q does not name Applied Digital or the Ellendale leases; no tenant corroboration found.</t>
  </si>
  <si>
    <t>Ellendale, North Dakota; Polaris Forge 1 (400 MW: Building 1 100 MW pilot, Buildings 2 and 3 at 150 MW each). ELN-04 is the third building (150 MW).</t>
  </si>
  <si>
    <t>Standard Applied Digital AI Factory: ~907,500 sq ft, six data halls, hybrid liquid and air cooling, N+1 substation, diesel backup, 625 W/sq ft, 1.15 target PUE; 12-18 month build target per 150 MW (company reference spec).</t>
  </si>
  <si>
    <t>Company anticipates $11-13mm per MW. Seed: facility cost $1.92bn / $12.8mm per MW, 74% debt-funded (unverified; within range).</t>
  </si>
  <si>
    <t>(i) Construction of 150 MW critical IT at ELN-04; (ii) repayment of the $300mm Goldman Sachs Bank USA bridge; (iii) debt service reserve; (iv) expenses.</t>
  </si>
  <si>
    <t>Polaris Forge 1 is grid-connected in Ellendale; serving utility and interconnection agreement are not named in the filings reviewed. Company says use of excess regional grid capacity has returned more than $45mm of electricity credits to local ratepayers, and that each contracted MW is backed by land and/or an executed utility power agreement.</t>
  </si>
  <si>
    <t>S12, S14</t>
  </si>
  <si>
    <t>Campus power status</t>
  </si>
  <si>
    <t>Buildings 1 and 2 (250 MW) are already energised and operating at full load, which is evidence the campus interconnection supports at least 250 MW; Building 3 energisation date not disclosed.</t>
  </si>
  <si>
    <t>Building 3 (ELN-04, 150 MW) under construction; company guidance is ready for service in calendar 2027 (10-K and 10-Q). No ELN-04 ready-for-service reported. Photos in the June-2026 deck show the building in construction.</t>
  </si>
  <si>
    <t>Schedule precedent</t>
  </si>
  <si>
    <t>Same campus delivered Building 2 in two 75 MW phases on 1-Jul-2026 and 1-Oct-2026, roughly on the model's date (30-Jun-2026 assumption) for ELN-03; Building 1 operational Oct 2025.</t>
  </si>
  <si>
    <t>Applied Digital must fund the issuer as necessary to ensure completion of the Construction Period and, as applicable under the lease, the occurrence of the Phase 1 Commencement Date before the Outside Completion Date (as extended); applies if note proceeds and available funds including prior parent equity are insufficient.</t>
  </si>
  <si>
    <t>EPC contractor, GMP or fixed-price terms and construction cost to complete are not disclosed in the filings reviewed.</t>
  </si>
  <si>
    <t>Funding of build before notes</t>
  </si>
  <si>
    <t>$300mm Goldman Sachs Bank USA bridge facility (credit agreement 1-May-2026; Daily SOFR +2.75%; guaranteed by ComputeCo 3 subsidiaries and by Applied Digital Corporation; secured on ComputeCo 3 assets) outstanding at 31-May-2026 and repaid from the notes.</t>
  </si>
  <si>
    <t>Not published as a table. Model assumptions: notes $1,590mm; capitalized interest $129mm over the construction/ramp period; DSRA of $81mm (the DSRA line total); exact equity not shown.</t>
  </si>
  <si>
    <t>NOI of $199mm (2028) / $205mm (2029) versus $1,590mm notes = about 8.0x / 7.8x (estimate; seed 8.2x). Model DSCR 0.99x in 2027 (partial year), 1.19x 2028, 1.20x 2029, 1.21x 2030, 1.23x 2031 and rising to 1.72x by 2041, using an illustrative 7.5% coupon versus the actual 7.00% (modestly better actual coverage).</t>
  </si>
  <si>
    <t>Roughly $1.35bn (about 85%) due 15-Jun-2031 with about 10.5 years of lease term left (model). No excess-cash-flow offer shown in the model, unlike the earlier ComputeCo notes.</t>
  </si>
  <si>
    <t>10-Q (level 2) fair value about $1.5bn at 31-Aug-2026 versus $1.59bn principal (about 94 on rounded numbers). A news summary of the post-JPMorgan sell-off reports the bond around 94.5 for a yield of about 8.44%, from the 99 area in early Aug (third-party, unverified). Seed: 15-Sep yield 8.19%, spread 338 bp.</t>
  </si>
  <si>
    <t>S13, S23</t>
  </si>
  <si>
    <t>Completion guarantee only; no parent guarantee of the notes or of rent.</t>
  </si>
  <si>
    <t>Debt service reserve funded from proceeds; $81mm in model; capitalized interest of $129mm in model.</t>
  </si>
  <si>
    <t>No third-party residual-value guarantee or credit support disclosed; CoreWeave Inc. is tenant of record for ELN-04 per 10-K; possible assignment to an investment-grade CoreWeave subsidiary under the Jun-2026 MoU.</t>
  </si>
  <si>
    <t>S12, S24</t>
  </si>
  <si>
    <t>Termination protection</t>
  </si>
  <si>
    <t>Company states leases are take-or-pay and non-cancellable with full remaining value payable on termination for convenience.</t>
  </si>
  <si>
    <t>Limits on additional debt and guarantees, restricted payments, investments, liens, asset sales, sale-leasebacks, unrelated business, affiliate transactions and mergers; 101% CoC put; customary events of default.</t>
  </si>
  <si>
    <t>Waterfall / tests</t>
  </si>
  <si>
    <t>Cash waterfall, lock-up and DSCR distribution tests not disclosed in sources reviewed (indenture not read in full).</t>
  </si>
  <si>
    <t>Seed: NR (Moody's) / BB- (S&amp;P) / BB- (Fitch). No agency release accessible; unverified.</t>
  </si>
  <si>
    <t>Fund construction of 150 MW (ELN-04) at Polaris Forge 1; repay the Goldman Sachs Bank USA bridge facility; fund debt service reserves; pay transaction expenses.</t>
  </si>
  <si>
    <t>Construction not started producing rent</t>
  </si>
  <si>
    <t>Whole 150 MW is pre-delivery; rent starts only after Phase 1 commencement (model 30-Jan-2027). Delay risk is backstopped only by a parent completion guarantee from a company with $6.4bn debt and heavy capex.</t>
  </si>
  <si>
    <t>S9, S11, S13</t>
  </si>
  <si>
    <t>Single tenant, CoreWeave; the MoU upgrade path depends on CoreWeave SPV obtaining an investment-grade rating and has not occurred.</t>
  </si>
  <si>
    <t>S24, S21</t>
  </si>
  <si>
    <t>Balloon</t>
  </si>
  <si>
    <t>About 85% of principal due at maturity in June 2031.</t>
  </si>
  <si>
    <t>Supply overhang</t>
  </si>
  <si>
    <t>Sponsor intends to finance Polaris Forge 3, Delta Forge 1 and Delta Forge 2 next (JPM estimate about $7.8bn debt) which pressures sector spreads.</t>
  </si>
  <si>
    <t>Price sensitivity</t>
  </si>
  <si>
    <t>Fell from par at issue to about 94 within four months.</t>
  </si>
  <si>
    <t>Issuance and bridge repayment</t>
  </si>
  <si>
    <t>Closed 16-Jun-2026; $300mm bridge repaid.</t>
  </si>
  <si>
    <t>As of 7-Oct-2026 Building 3 under construction, ready for service targeted in calendar 2027.</t>
  </si>
  <si>
    <t>JPMorgan cut APLD/PFORGE project bonds to Neutral (about 12-Oct-2026) but kept ELNFOR Overweight (news summary); bond reportedly fell to about 94.5.</t>
  </si>
  <si>
    <t>S21, S23</t>
  </si>
  <si>
    <t>No filing, press release or rating report found for a Delta Forge financing marketed in Sept 2026, nor for an Aug-2026 Investor Day, as of 16-Oct-2026. Meta is not named by the company as a tenant; it appears only in JPMorgan commentary relayed by news. The relevance for ELNFOR is parent funding capacity and spread read-across.</t>
  </si>
  <si>
    <t>S14, S21, S22</t>
  </si>
  <si>
    <t>Third CoreWeave lease at Polaris Forge 1 (Building 4 / ELN-04, 150 MW) signed by APLD ELN-02 C LLC.</t>
  </si>
  <si>
    <t>CoreWeave restructures ELN-02 and ELN-03 leases into an SPV (not ELN-04).</t>
  </si>
  <si>
    <t>ComputeCo 3 signs $300mm bridge with Goldman Sachs Bank USA to fund ELN-04.</t>
  </si>
  <si>
    <t>Macquarie fourth closing of $925mm in TopCo 2; parent revolver closed.</t>
  </si>
  <si>
    <t>MoU with CoreWeave to assign Building 3 lease to an investment-grade CoreWeave subsidiary.</t>
  </si>
  <si>
    <t>2026-06-08</t>
  </si>
  <si>
    <t>Delta Forge 2 lease (210 MW) announced; $550mm revolver announced.</t>
  </si>
  <si>
    <t>S19</t>
  </si>
  <si>
    <t>$1.59bn 7.000% notes priced at par.</t>
  </si>
  <si>
    <t>2026-06-16</t>
  </si>
  <si>
    <t>Notes closed; indenture signed; bridge repaid.</t>
  </si>
  <si>
    <t>2026-06-26</t>
  </si>
  <si>
    <t>Revolver upsized to $430mm; Series G commitment increased to $2.0bn.</t>
  </si>
  <si>
    <t>Building 2 Phase 1 (75 MW) ready for service at Polaris Forge 1 (read-across for campus execution).</t>
  </si>
  <si>
    <t>Building 2 Phase 2 ready for service; Polaris Forge 1 at 250 MW live.</t>
  </si>
  <si>
    <t>S20</t>
  </si>
  <si>
    <t>10-Q: ELN-04 building under construction; notes fair value about $1.5bn.</t>
  </si>
  <si>
    <t>JPMorgan downgrades APLD/PFORGE to Neutral; ELNFOR kept Overweight (news).</t>
  </si>
  <si>
    <t>2026-10-15</t>
  </si>
  <si>
    <t>News reports ELNFOR around 94.5 / 8.44% yield after the sell-off.</t>
  </si>
  <si>
    <t>S23</t>
  </si>
  <si>
    <t>S9 | SEC filing | 2026-06-16</t>
  </si>
  <si>
    <t>8-K: APLD ComputeCo 3 LLC closes $1.59bn 7.000% Senior Secured Notes due 2031; indenture summary (Applied Digital Corporation (SEC)). Used for: ELNFOR terms, use of proceeds incl. bridge repayment, completion guarantee</t>
  </si>
  <si>
    <t>S10 | Press release | 2026-06-09</t>
  </si>
  <si>
    <t>Press release: pricing of $1.59bn senior secured notes to fund fourth building at Polaris Forge 1 (Ex 99.1 to 8-K) (Applied Digital Corporation). Used for: ELNFOR pricing at par, guarantors (ELN-04 entities), collateral, completion guarantee</t>
  </si>
  <si>
    <t>S11 | Presentation | 2026-06-09</t>
  </si>
  <si>
    <t>Investor presentation Jun 2026 (Ex 99.2 to 8-K): ELN-04 annual consolidated financial summary (Applied Digital Corporation). Used for: ELN-04 revenue/NOI/DSCR/amortization/DSRA/capitalized interest model (image slide; read visually)</t>
  </si>
  <si>
    <t>S23 | News | 2026-10-15</t>
  </si>
  <si>
    <t>Applied Digital bond downgrade coverage (ad-hoc-news summaries of JPMorgan note and bond pricing) (ad-hoc-news.de (news)). Used for: Secondary report that the ELNFOR 7% bonds traded about 94.5 / 8.44% yield after the downgrade (unverified)</t>
  </si>
  <si>
    <t>Indenture (Ex 4.1 to 16-Jun-2026 8-K) not read in full: exact amortization schedule, redemption prices, lock-up/DSCR tests, governing law, denominations and clearing not verified.</t>
  </si>
  <si>
    <t>ISIN/CUSIP from seed only. Ratings (BB- S&amp;P and Fitch) unverified; no agency report accessible.</t>
  </si>
  <si>
    <t>CoreWeave Building 4 lease (ELN-04) terms (rent, escalator, commencement/Outside Completion Date, delay credits, termination, assignment, any parent guaranty or LC) not retrieved; rent per MW is derived from the sponsor's illustrative June-2026 model and company contract-value totals. Seed rent $1.43mm/MW not verifiable.</t>
  </si>
  <si>
    <t>The June-2026 MoU text with CoreWeave was not found (only a one-line description in the 8-K press release); JPM remarks about the MoU come from a news summary of a bank note, and the Blockspace page was inaccessible (HTTP 403).</t>
  </si>
  <si>
    <t>Name discrepancy: 10-K calls the third-lease lessor 'APLD ELN-02 C LLC' while the notes' guarantors are 'APLD ELN-04' entities; building naming varies (third physical building vs 'fourth building' in the press release). Treated as the same project; not confirmed.</t>
  </si>
  <si>
    <t>No sources and uses table, equity amount, EPC contractor, GMP terms, cost to complete or power interconnection details for Building 3 were found.</t>
  </si>
  <si>
    <t>Delta Forge (Meta-linked) financing marketed in Sept 2026 and an Aug-2026 Investor Day: no SEC filing, company release or rating report found by 16-Oct-2026 (latest official documents: 7-Oct-2026 10-Q and earnings 8-K). Meta is named only in JPMorgan commentary via news.</t>
  </si>
  <si>
    <t>CoreWeave's filings do not name Applied Digital, so no tenant-side confirmation; CoreWeave credit ratings were not retrieved.</t>
  </si>
  <si>
    <t>Bond price/yield after the sell-off (94.5 / 8.44%) comes from a secondary news aggregator and is unverified; the only official price evidence is the 10-Q fair value of about $1.5bn.</t>
  </si>
  <si>
    <t>Dossier as of 2026-10-16 | ISIN US17253NAA54 (seed, unverified) | HY section | Bloomberg: CIFR 7.125 11/15/30 144A Corp</t>
  </si>
  <si>
    <t>Cipher Compute LLC, a wholly owned indirect subsidiary of Cipher Digital Inc. (then Cipher Mining Inc.). Direct parent: Cipher Songbird LLC. Subsidiary guarantor: Cipher Barber Lake LLC.</t>
  </si>
  <si>
    <t>Notes title and format</t>
  </si>
  <si>
    <t>7.125% Senior Secured Notes due 2030, sold under Rule 144A and Regulation S; same series as the Nov-2025 add-on notes.</t>
  </si>
  <si>
    <t>7.125% per year, paid semiannually in arrears on 15 May and 15 November, first payment 15-May-2026. Day-count convention not stated in the 8-K.</t>
  </si>
  <si>
    <t>Issue dates and price</t>
  </si>
  <si>
    <t>$1,400mm issued 13-Nov-2025 at 100%. Add-on of $333mm closed 24-Nov-2025 at 100.250% plus accrued interest from 13-Nov-2025, identical terms other than issue date and price.</t>
  </si>
  <si>
    <t>S1, S6</t>
  </si>
  <si>
    <t>15-Nov-2030.</t>
  </si>
  <si>
    <t>Original $1,400mm plus $333mm = $1,733mm. Outstanding at 30-Jun-2026: $1,733mm, of which $94.5mm is classified as due within one year (carrying value net of costs $1,614mm).</t>
  </si>
  <si>
    <t>S6, S11</t>
  </si>
  <si>
    <t>Senior secured, first-priority liens on substantially all assets of the issuer and Cipher Barber Lake (excluding certain property), all equity of the issuer held by Cipher Songbird, a Fluidstack lockbox account if and when established, and, until completion of the initial construction phase, a Google pledge of its warrants to purchase Cipher shares. Notes are guaranteed by Cipher Barber Lake.</t>
  </si>
  <si>
    <t>Before 15-Nov-2027: make-whole at Treasury plus 50bp, and up to 40% may be redeemed with equity proceeds at 107.125%. On or after 15-Nov-2027: 103.563% (to Nov-2028), 101.781% (to Nov-2029), par thereafter.</t>
  </si>
  <si>
    <t>Semiannual on 15 May and 15 Nov per a payment schedule in Article 14 of the indenture (daily amortization amounts accrue from the Commencement Date); no amortization before completion of the Barber Lake facility. The 24-Nov-2025 supplemental indenture changed the amortization amounts and DSRA requirement. Per the company, amortization tracks the Google backstop, which is set by Fluidstack rent payments.</t>
  </si>
  <si>
    <t>S1, S6, S2, S12</t>
  </si>
  <si>
    <t>On or before each 15 May and 15 Nov the issuer may be required to offer to buy back notes at par with 50% of Excess Cash Flow.</t>
  </si>
  <si>
    <t>Termination-fee mandatory redemption</t>
  </si>
  <si>
    <t>Upon receipt of the datacenter lease termination fee under the Lease Recognition Agreement and the Google financial support agreement, 100% of the proceeds must redeem notes at par plus accrued interest.</t>
  </si>
  <si>
    <t>Offer to repurchase at 101% of principal plus accrued interest.</t>
  </si>
  <si>
    <t>Trustee, collateral agent, law</t>
  </si>
  <si>
    <t>Wilmington Trust, National Association as trustee and collateral agent; New York law; minimum denominations $2,000 and $1,000 multiples; DTC book-entry.</t>
  </si>
  <si>
    <t>S2, S6</t>
  </si>
  <si>
    <t>Seed lists ISIN US17253NAA54 and CUSIP 17253NAA5 (144A). The indenture text retrieved does not state the identifiers, so they are not verified here.</t>
  </si>
  <si>
    <t>Chain</t>
  </si>
  <si>
    <t>Cipher Digital Inc. (parent, listed) -&gt; Cipher Songbird LLC (direct parent of issuer) -&gt; Cipher Compute LLC (issuer) -&gt; Cipher Barber Lake LLC (guarantor, owns the facility and is landlord under the Fluidstack lease). The tenant-side recognition agreements sit at Cipher Barber Lake level.</t>
  </si>
  <si>
    <t>S1, S3</t>
  </si>
  <si>
    <t>Indenture covenants restrict the issuer and guarantor from holding assets or conducting operations unrelated to the Barber Lake facility, from incurring additional debt, making restricted payments, creating liens, doing sale-leasebacks and affiliate transactions, and from merging.</t>
  </si>
  <si>
    <t>Obligor and guarantors</t>
  </si>
  <si>
    <t>Issuer Cipher Compute LLC; subsidiary guarantee from Cipher Barber Lake LLC. Parent Cipher Digital Inc. is not a guarantor of the notes; it provides a completion guarantee only (see credit support).</t>
  </si>
  <si>
    <t>Company presentation (Oct 2026) shows the project capitalized with $710mm of parent equity and the $1,733mm bond, i.e. about $2,443mm of sources (derived, equals the seed facility-cost figure).</t>
  </si>
  <si>
    <t>Cipher Digital Inc. (NASDAQ: CIFR; filed as Cipher Mining Inc. until early 2026) is a developer/owner/operator of industrial-scale data centers. Its 10-Q describes one operating bitcoin site (Odessa, TX, 207 MW, fixed-price PPA) plus HPC builds for Fluidstack/Google (Barber Lake), Amazon (Black Pearl and Stingray) and six further sites expected to be built out for HPC.</t>
  </si>
  <si>
    <t>Parent liquidity at 30-Jun-2026</t>
  </si>
  <si>
    <t>Unrestricted cash $831.8mm; restricted cash $3.73bn (project-level, from the three secured note deals); total debt principal $6,016mm (two convertibles $1.47bn, three project notes $4.54bn); company-stated net debt $1,456mm; stockholders' equity $562mm. Q2 2026 revenue $25mm, adjusted EBITDA -$30mm, net loss $267.5mm incl. a $150.5mm warrant fair-value loss. H1 2026 operating cash flow -$152mm and capex $964mm.</t>
  </si>
  <si>
    <t>$200mm revolving credit facility dated 23-Mar-2026 (Morgan Stanley Senior Funding agent), 4-year tenor with springing maturity 91 days before the 1.75% 2030 convertible maturity if any remain outstanding; borrowing capped at $50mm until first HPC cash flows; first lien on substantially all assets of the parent and guarantors. Minimum liquidity covenant $100mm / $150mm / $200mm stepping up as Barber Lake and Black Pearl commence cash flow; borrowing requires market cap of at least $3.0bn. No drawings and $33.1mm of letters of credit at 30-Jun-2026.</t>
  </si>
  <si>
    <t>Parent convertibles (context only)</t>
  </si>
  <si>
    <t>1.75% convertible due May-2030 ($172.5mm, conversion price about $4.45); 0.00% convertible due Oct-2031 ($1.3bn, conversion price about $16.03); new 0.00% convertible due 1-Nov-2032 ($850mm base plus $150mm option, conversion price about $15.31, priced 14-Oct-2026, settlement scheduled 16-Oct-2026). These are senior unsecured parent obligations, structurally subordinated to the project notes at the asset level and not obligations of the issuer SPVs.</t>
  </si>
  <si>
    <t>Fluidstack USA II Inc. (Fluidstack), a private AI cloud platform. Lease entered 24-Sep-2025, amended and restated 20-Nov-2025, amended again 24-Sep-2026. Fluidstack financial statements are not public (see gaps).</t>
  </si>
  <si>
    <t>S7, S3, S9</t>
  </si>
  <si>
    <t>Original 168 MW critical IT (max 244 MW gross); A&amp;R lease added 39 MW critical IT (56 MW gross) in a second phase: 207 MW critical IT, 300 MW gross. Fluidstack leases the whole 300 MW at the site.</t>
  </si>
  <si>
    <t>S3, S4</t>
  </si>
  <si>
    <t>Lease type and term</t>
  </si>
  <si>
    <t>Modified gross with annual escalators. Rent starts on the commencement date of each phase; the 10-year term runs from Phase I commencement, with two five-year extension options. Company guidance at signing: site NOI margin 85-90% and project cost about $9-10mm per MW of critical IT.</t>
  </si>
  <si>
    <t>Rent per MW</t>
  </si>
  <si>
    <t>Company illustrative schedule shows rent revenue of about $333mm in the first full year (2027) rising roughly 3% a year, i.e. about $1.6mm per critical IT MW (derived). Contract value about $3.8bn over 10 years; about $9bn if both 5-year extensions are exercised (Nov-2025 statement).</t>
  </si>
  <si>
    <t>S5, S4</t>
  </si>
  <si>
    <t>Year 11-20 commitment</t>
  </si>
  <si>
    <t>On 24-Sep-2026 Cipher signed a binding commitment with an unnamed 'leading AI lab' for a separate 10-year lease starting after the Fluidstack term, on substantially consistent economics, about $5.2bn of incremental revenue; company states total contracted revenue at Barber Lake is now $9.1bn over 20 years. Whether this new lease carries any Google or other credit support is not disclosed.</t>
  </si>
  <si>
    <t>Delay and rent credits</t>
  </si>
  <si>
    <t>Lease delivery is phased by data hall; company reports no rent credits incurred to date (as of Oct 2026). Specific delay/termination rights of Fluidstack are in the lease, which was not reviewed (exhibit omitted schedules).</t>
  </si>
  <si>
    <t>Revised delivery schedule (Sep-2026 amendment)</t>
  </si>
  <si>
    <t>Tenant-modification change orders agreed; data halls now expected to be delivered between Q4 2026 and Q1 2027, rent commencing per hall, first rent in Q4 2026. Before the amendment, Phase I was expected by Sep-2026 and Phase II by Jan-2027.</t>
  </si>
  <si>
    <t>S9, S3</t>
  </si>
  <si>
    <t>Amended rent commencement by data hall</t>
  </si>
  <si>
    <t>DH1 Q4 2026; DH2 Q4 2026; DH3 Q4 2026-Q1 2027; DH4 Q4 2026-Q1 2027; DH5 Q1 2027 (company table).</t>
  </si>
  <si>
    <t>Cost-sharing</t>
  </si>
  <si>
    <t>Cipher bears the first $359.3mm of costs above the initial budget; tenant reimburses 50% of costs above that threshold over the 20-year term as additional rent, calculated to give Cipher a contracted return on the reimbursed amount.</t>
  </si>
  <si>
    <t>Barber Lake, near Colorado City, Texas. Site described at signing as 587 acres of surrounding land and potential for a 500 MW expansion.</t>
  </si>
  <si>
    <t>207 MW critical IT, up to 300 MW gross, five data halls per the delivery table.</t>
  </si>
  <si>
    <t>S3, S13</t>
  </si>
  <si>
    <t>Cost (company estimates)</t>
  </si>
  <si>
    <t>Original budget about $2,157mm; company estimate-at-completion as of 6-Oct-2026 about $2,941-2,966mm (range read from presentation chart text); cost per MW of critical IT therefore about $10.4mm original versus about $14.2-14.3mm now (derived). Nov-2025 guidance had been $9-10mm per MW.</t>
  </si>
  <si>
    <t>A portion of Barber Lake construction (initial $1.4bn) and of the additional facilities / phase II ($333mm add-on).</t>
  </si>
  <si>
    <t>S1, S3, S6</t>
  </si>
  <si>
    <t>Barber Lake is described as having currently energized capacity; the 25-Sep-2025 release cites energized capacity plus 500 MW of expansion potential. The specific utility, interconnection agreement and any ERCOT approvals for Barber Lake were not found in the documents reviewed.</t>
  </si>
  <si>
    <t>ERCOT Batch Zero (pipeline context)</t>
  </si>
  <si>
    <t>News reports that ERCOT issued conditional Batch Zero classifications on 15-Sep-2026 for 3.2 GW of Cipher pipeline: 1.1 GW conditional base load (Stingray 100 MW, Colchis 1,000 MW) and 2.1 GW conditional studied load (Mikeska 500, Apollo 900, Stingray Phase II 200, McLennan 500 MW); 1.4 GW at Mikeska and Apollo is subject to partial-capacity-load curtailment risk; an ERCOT audit in Dec-2026 sets final designations. Barber Lake itself is not listed. These are pipeline sites and do not directly affect the CIFR notes.</t>
  </si>
  <si>
    <t>Behind-the-meter gas (context)</t>
  </si>
  <si>
    <t>Oct-2026 presentation: about 2.5 GW of behind-the-meter potential, investment in lateral pipelines at multiple sites, and Barber Lake 'developing lateral pipelines capable of delivering natural gas to various sites'. No gas supply contract or BTM plant is part of the noteholder collateral.</t>
  </si>
  <si>
    <t>Q2 2026 (4-Aug): 100% equipment secured, tenant had commenced beneficial use including partial occupancy and compute deployment, initial rent expected Oct-2026 (original plan). Oct-2026 deck (data as of 30-Sep): construction on track for amended milestones, equipment fully secured, tenant deploying compute throughout the facility, initial rent commencement approaching.</t>
  </si>
  <si>
    <t>Delivery vs rent</t>
  </si>
  <si>
    <t>Rent commences per data hall as delivered; first rent expected Q4 2026 and all five halls by Q1 2027. As of 16-Oct-2026 no filing confirms first rent has started.</t>
  </si>
  <si>
    <t>S9, S13</t>
  </si>
  <si>
    <t>Not identified in the documents reviewed for Barber Lake (see gaps).</t>
  </si>
  <si>
    <t>Parent completion guarantee: Cipher will fund the issuer as needed to complete the facility (including the additional facilities) if note proceeds and other funds are insufficient. Tenant cost-sharing framework above $359.3mm (50%).</t>
  </si>
  <si>
    <t>S1, S6, S9</t>
  </si>
  <si>
    <t>$1,733mm 7.125% senior secured notes; seed shows about 70% debt-funded, consistent with $1,733mm over about $2,443mm of sources (derived 71%).</t>
  </si>
  <si>
    <t>S6, S13</t>
  </si>
  <si>
    <t>Debt service reserve required amount on issue date $210mm (two interest payments plus third interest and first amortization); during construction minimum $110mm plus next two interest payments (as of the original indenture, before the add-on supplemental changes).</t>
  </si>
  <si>
    <t>Funding gap and new equity</t>
  </si>
  <si>
    <t>Company estimate-at-completion (about $2.94-2.97bn) is above identified sources (about $2.44bn: $710mm parent equity plus $1,733mm notes). The company states additional parent project equity of about $750mm supports the lease extension and rentalized costs (pro forma project capitalization 45% equity / 55% debt) and that 2032 convertible proceeds will fund the additional Barber Lake equity investment.</t>
  </si>
  <si>
    <t>Amortization and balloon (company illustration)</t>
  </si>
  <si>
    <t>Illustrative schedule: mandatory amortization about $38mm in 2026, $152mm 2027, $157mm 2028, $162mm 2029, $166mm 2030, ending balance about $1,058mm at end-2030 before any ECF uptake, i.e. a balloon of roughly 60% of principal at the Nov-2030 maturity (read from garbled chart text; verify against the deck). Seed estimates amortization at 44%.</t>
  </si>
  <si>
    <t>S5, S13</t>
  </si>
  <si>
    <t>Seed shows 6.1x at issuance and 3.0x at maturity; not verified.</t>
  </si>
  <si>
    <t>Google backstop</t>
  </si>
  <si>
    <t>Google LLC backstops Fluidstack obligations under the lease in an amount that rose from $1.4bn to $1.733bn (equal to the notes). Effective from the lease commencement date. On a Fluidstack payment default or insolvency, if no replacement tenant is agreed within a set period, Google may (i) pay rent and assume the lease, (ii) pay a termination fee and receive an equity interest in Cipher Barber Lake, or (iii) defer the election while paying rent. The termination fee was increased in the Nov-2025 A&amp;R recognition agreement after Phase I delivery.</t>
  </si>
  <si>
    <t>S7, S3, S4</t>
  </si>
  <si>
    <t>Backstop amortization</t>
  </si>
  <si>
    <t>Company illustration shows the backstop amortizing in step with the debt and a 'Google lease backstop coverage ratio' trending from about 2.4x toward 1.0x by the mid-2030s (read from chart text).</t>
  </si>
  <si>
    <t>Google warrants</t>
  </si>
  <si>
    <t>Google received warrants over 24,178,576 Cipher shares at $0.01 per share (about 5.4% pro forma stake at signing). Top-up: if the value of the warrant shares on the business day before the exercise period starts is below $435mm (raised from $430mm), Cipher must issue more shares and/or pay cash for the shortfall. Google pledges the warrants for the benefit of lenders until the backstop becomes effective.</t>
  </si>
  <si>
    <t>S7, S3</t>
  </si>
  <si>
    <t>Warrant exposure at current prices (estimate)</t>
  </si>
  <si>
    <t>Warrant liability was $632mm at 30-Jun-2026. At the $11.34 share price of 13-Oct-2026 the 24.18mm shares are worth about $274mm, below the $435mm threshold; the shortfall would be about $161mm if measured at that price. Exercise-period start date is not disclosed, so actual top-up is unknown.</t>
  </si>
  <si>
    <t>Cipher Digital Inc. completion guarantee (A&amp;R 20-Nov-2025) funds the issuer to complete Barber Lake. It is a construction-period support only; no parent payment guarantee of the notes was found.</t>
  </si>
  <si>
    <t>Fluidstack lockbox</t>
  </si>
  <si>
    <t>Issuer must use commercially reasonable efforts to procure that, while Fluidstack is tenant, Fluidstack's downstream customer pays into a Fluidstack lockbox account pledged to the collateral agent. The downstream customer is not named.</t>
  </si>
  <si>
    <t>Project accounts and waterfall</t>
  </si>
  <si>
    <t>Revenue Account, Debt Service Reserve Account and Notes Proceeds Account under collateral-agent control; indenture Section 4.23 sets the waterfall.</t>
  </si>
  <si>
    <t>50% ECF offer at par semiannually (see security terms). ECF offers do not reduce scheduled Installments.</t>
  </si>
  <si>
    <t>S1, S2</t>
  </si>
  <si>
    <t>Debt, restricted payments, liens</t>
  </si>
  <si>
    <t>Limits on additional debt, restricted payments, investments, liens, asset sales, sale-leasebacks, affiliate transactions, and non-project activities; change-of-control put at 101%.</t>
  </si>
  <si>
    <t>Customary, including payment default, covenant breach, cross-default and collateral invalidity; the full list including lease-related events was not extracted.</t>
  </si>
  <si>
    <t>Company's Q2-2026 presentation shows the notes at Ba3 (Moody's) and BB- (Fitch); S&amp;P not shown (seed: NR). The agencies' own releases were not located, so triggers and outlooks are not available here.</t>
  </si>
  <si>
    <t>Initial $1.4bn</t>
  </si>
  <si>
    <t>Finance a portion of Barber Lake construction cost.</t>
  </si>
  <si>
    <t>$333mm add-on</t>
  </si>
  <si>
    <t>Finance a portion of the cost of Phase II / additional facilities within Barber Lake.</t>
  </si>
  <si>
    <t>S3, S6</t>
  </si>
  <si>
    <t>Cost overrun and funding gap</t>
  </si>
  <si>
    <t>Estimate-at-completion about $0.5bn above identified sources; the parent completion guarantee depends on parent liquidity, which in turn depends on equity-linked financing (2032 convertible) after a share-price fall.</t>
  </si>
  <si>
    <t>Schedule slippage</t>
  </si>
  <si>
    <t>Phase I was expected by Sep-2026; delivery is now Q4 2026-Q1 2027 after change orders. Rent credits apply if milestones are missed.</t>
  </si>
  <si>
    <t>Balloon / refinancing</t>
  </si>
  <si>
    <t>Roughly 60% of principal is outstanding at the Nov-2030 maturity on company illustrations, before any ECF uptake, while lease and backstop run well beyond.</t>
  </si>
  <si>
    <t>Tenant and backstop reliance</t>
  </si>
  <si>
    <t>Fluidstack is a private company; credit relies on the Google backstop whose amount amortizes to match debt and whose mechanics depend on notice and agreement periods.</t>
  </si>
  <si>
    <t>Google warrant top-up</t>
  </si>
  <si>
    <t>Possible cash or share top-up to Google if Cipher stock is low when the warrant exercise period begins.</t>
  </si>
  <si>
    <t>S3, S14</t>
  </si>
  <si>
    <t>Year 11-20 lease</t>
  </si>
  <si>
    <t>The AI-lab commitment is binding but unnamed and its credit support is undisclosed; it supports project returns but not the 2030 maturity.</t>
  </si>
  <si>
    <t>Lease amendment 24-Sep-2026</t>
  </si>
  <si>
    <t>20-year term, $5.2bn incremental revenue, revised halls schedule, $359.3mm first-loss and 50% reimbursement framework.</t>
  </si>
  <si>
    <t>Convertible 2032 and 2030 exchange</t>
  </si>
  <si>
    <t>Launched 13-Oct-2026, priced 14-Oct-2026: $850mm 0.00% due 1-Nov-2032, conversion price about $15.31 (35% premium to $11.34), put 1-Nov-2030, capped call cap $28.35 costing $89.7mm, net proceeds about $835.1mm; about $165.9mm of 1.75% 2030 notes exchanged for about 40.7mm shares. Settlement scheduled 16-Oct-2026.</t>
  </si>
  <si>
    <t>Equity selloff</t>
  </si>
  <si>
    <t>Shares fell about 12% on 13-Oct-2026 on the launch and exchange (dilution, hedge unwinds); news reports a further 5% fall to about $10.72 on 14-Oct. Brief said 12-Oct; evidence points to 13-Oct.</t>
  </si>
  <si>
    <t>S17, S19</t>
  </si>
  <si>
    <t>ERCOT Batch Zero</t>
  </si>
  <si>
    <t>Conditional classifications of 3.2 GW (see Power section); pipeline only.</t>
  </si>
  <si>
    <t>2025-09-25</t>
  </si>
  <si>
    <t>Fluidstack 168 MW lease and Google $1.4bn backstop with warrants announced</t>
  </si>
  <si>
    <t>Cipher Compute issues $1.4bn 7.125% senior secured notes due 2030; indenture signed</t>
  </si>
  <si>
    <t>Lease A&amp;R adds 39 MW; backstop raised by $333mm to $1.733bn; add-on notes launched</t>
  </si>
  <si>
    <t>2025-11-24</t>
  </si>
  <si>
    <t>$333mm add-on closes at 100.250%; DSRA and amortization amended</t>
  </si>
  <si>
    <t>2026-03-23</t>
  </si>
  <si>
    <t>Parent $200mm revolving credit facility signed</t>
  </si>
  <si>
    <t>Q2 update: tenant has begun beneficial use at Barber Lake; initial rent expected Oct-2026</t>
  </si>
  <si>
    <t>ERCOT conditional Batch Zero classifications for 3.2 GW of pipeline (news date; brief cited 9-Sep)</t>
  </si>
  <si>
    <t>Lease amendment, new 10-year AI-lab commitment, $359.3mm first-loss framework</t>
  </si>
  <si>
    <t>2026-10-06</t>
  </si>
  <si>
    <t>Company estimate-at-completion date used in Oct-2026 deck</t>
  </si>
  <si>
    <t>2026-10-13</t>
  </si>
  <si>
    <t>$850mm 2032 convertible and 2030 exchange launched; shares fall about 12%</t>
  </si>
  <si>
    <t>S13, S17</t>
  </si>
  <si>
    <t>2026-10-14</t>
  </si>
  <si>
    <t>Convertible priced; conversion price about $15.31; shares extend slide</t>
  </si>
  <si>
    <t>S14, S19</t>
  </si>
  <si>
    <t>2026-10-16</t>
  </si>
  <si>
    <t>Scheduled settlement of the 2032 convertible</t>
  </si>
  <si>
    <t>S1 | SEC filing | 2025-11-13</t>
  </si>
  <si>
    <t>8-K: Cipher Compute LLC completes $1.4bn 7.125% Senior Secured Notes due 2030 (Items 1.01, 2.03) (Cipher Mining Inc. (SEC EDGAR)). Used for: Issue terms, redemption, ECF offer, covenants, completion guarantee</t>
  </si>
  <si>
    <t>S2 | Indenture | 2025-11-13</t>
  </si>
  <si>
    <t>Indenture dated 13-Nov-2025 (Exhibit 4.1) among Cipher Compute LLC, Cipher Barber Lake LLC, Cipher Songbird LLC, Wilmington Trust N.A. (Cipher Mining Inc. (SEC EDGAR)). Used for: Call schedule, DSRA, amortization method, termination-fee redemption, lockbox, governing law, denominations</t>
  </si>
  <si>
    <t>S3 | SEC filing | 2025-11-20</t>
  </si>
  <si>
    <t>8-K: A&amp;R Fluidstack lease, A&amp;R Recognition Agreement, A&amp;R Google warrant agreement, launch of $333mm add-on (Cipher Mining Inc. (SEC EDGAR)). Used for: Phase I/II MW, rent term, termination fee, warrant top-up, collateral package of the tap</t>
  </si>
  <si>
    <t>S4 | Press release | 2025-11-20</t>
  </si>
  <si>
    <t>Press release: 56 MW / 39 MW critical IT add-on with Fluidstack; Google backstop raised to $1.73bn (Cipher Mining Inc. (SEC EDGAR Ex. 99.1)). Used for: Contract value, NOI margin and cost per MW guidance, backstop amount</t>
  </si>
  <si>
    <t>S5 | Presentation | 2025-11-20</t>
  </si>
  <si>
    <t>Illustrative financial information, Barber Lake facility (Ex. 99.2 to 8-K) (Cipher Mining Inc. (SEC EDGAR)). Used for: Illustrative rent, NOI, amortization and backstop coverage schedule</t>
  </si>
  <si>
    <t>S6 | SEC filing | 2025-11-24</t>
  </si>
  <si>
    <t>8-K: $333mm additional 7.125% Senior Secured Notes due 2030 closed (Items 1.01, 2.03) (Cipher Mining Inc. (SEC EDGAR)). Used for: Tap price 100.250%, supplemental indenture changing DSRA and amortization, A&amp;R completion guarantee</t>
  </si>
  <si>
    <t>S7 | SEC filing | 2025-09-25</t>
  </si>
  <si>
    <t>8-K: Fluidstack datacenter lease, Google Recognition Agreement and warrant agreement (Items 1.01, 3.02, 7.01) (Cipher Mining Inc. (SEC EDGAR)). Used for: Original lease, Google backstop mechanics, warrants, warrant pledge</t>
  </si>
  <si>
    <t>S8 | Press release | 2025-09-25</t>
  </si>
  <si>
    <t>Press release: 168 MW, 10-year AI hosting agreement with Fluidstack; Google backstops $1.4bn (Cipher Mining Inc. (SEC EDGAR Ex. 99.1)). Used for: Original contract value, site size, NOI margin guidance, Google ~5.4% stake</t>
  </si>
  <si>
    <t>S9 | SEC filing | 2026-09-25</t>
  </si>
  <si>
    <t>8-K: Barber Lake lease amendment, binding 10-year commitment with an AI lab, cost reimbursement framework (Items 7.01, 8.01) (Cipher Digital Inc. (SEC EDGAR)). Used for: Revised delivery schedule, 20-year term, $359.3mm first-loss, 50% reimbursement</t>
  </si>
  <si>
    <t>S10 | Press release | 2026-09-25</t>
  </si>
  <si>
    <t>Press release: Barber Lake lease term extended to 20 years, contracted revenue above $9bn (Cipher Digital Inc. (SEC EDGAR Ex. 99.1)). Used for: Contracted revenue, revised delivery language</t>
  </si>
  <si>
    <t>S11 | SEC filing | 2026-08-04</t>
  </si>
  <si>
    <t>Form 10-Q for quarter ended 30-Jun-2026 (debt, leases, liquidity notes) (Cipher Digital Inc. (SEC EDGAR)). Used for: Outstanding principal, current portion, lease description, convertible terms, revolver</t>
  </si>
  <si>
    <t>S12 | Presentation | 2026-08-04</t>
  </si>
  <si>
    <t>Q2 2026 business update presentation (Ex. 99.2 to 8-K): capital structure, ratings, construction updates, pipeline (Cipher Digital Inc. (SEC EDGAR)). Used for: Ratings shown, balance sheet, restricted cash, Barber Lake status, Batch Zero pipeline</t>
  </si>
  <si>
    <t>S13 | Presentation | 2026-10-13</t>
  </si>
  <si>
    <t>8-K and Project Compass investor presentation for the 2032 convertible (Ex. 99.1), October 2026 (Cipher Digital Inc. (SEC EDGAR)). Used for: Barber Lake cost-to-complete, delivery schedule, equity need, sources, contracted revenue, BTM gas and pipeline</t>
  </si>
  <si>
    <t>S14 | Press release | 2026-10-14</t>
  </si>
  <si>
    <t>8-K and press release: pricing of $850mm 0.00% convertible senior notes due 2032 and concurrent 2030 note exchange (Cipher Digital Inc. (SEC EDGAR Ex. 99.1)). Used for: Convert terms, capped call, use of proceeds, exchange, settlement date</t>
  </si>
  <si>
    <t>S15 | SEC filing | 2026-03-25</t>
  </si>
  <si>
    <t>8-K: $200mm revolving credit agreement dated 23-Mar-2026 (Items 1.01, 2.03) (Cipher Digital Inc. (SEC EDGAR)). Used for: Parent revolver terms and covenants</t>
  </si>
  <si>
    <t>Cipher Digital secures 3.2 GW of conditional ERCOT classifications across Texas projects (Crypto Briefing). Used for: ERCOT Batch Zero split and conditions (not an official document)</t>
  </si>
  <si>
    <t>S17 | News | 2026-10-13</t>
  </si>
  <si>
    <t>Cipher Digital Sinks 12% on $850 Million Zero-Coupon Convertible Note Offering (TIKR). Used for: Date and size of the equity selloff and stated reasons (not an official document)</t>
  </si>
  <si>
    <t>S18 | Press release | 2026-08-04</t>
  </si>
  <si>
    <t>Press release: second quarter 2026 business update (Cipher Digital Inc. (SEC EDGAR Ex. 99.1)). Used for: Barber Lake beneficial use, Apollo site, Stingray funding</t>
  </si>
  <si>
    <t>S19 | News | 2026-10-14</t>
  </si>
  <si>
    <t>Cipher Digital Falls 5% as $850M Zero-Coupon Note Pricing Extends Slide (24/7 Wall St. (seen via search result summary only)). Used for: Follow-on share-price move on 14-Oct-2026; page not read in full</t>
  </si>
  <si>
    <t>144A offering memorandum for the Cipher Compute notes was not available; risk factors, full cash-waterfall mechanics and Event-of-Default list beyond the 8-K were only partly read from the indenture.</t>
  </si>
  <si>
    <t>ISIN and CUSIP not verified: the indenture and 8-Ks do not state them; seed values US17253NAA54 / 17253NAA5 remain unverified.</t>
  </si>
  <si>
    <t>Moody's and Fitch rating releases (ratings, outlooks, triggers) were not found; ratings come from the company's own Q2 presentation only. No S&amp;P rating located.</t>
  </si>
  <si>
    <t>Lease and Recognition Agreement exhibits were not read in full (schedules omitted); Fluidstack's delay/termination rights, rent credits formula, termination-fee amount and the Google 'certain specified period' are therefore not quantified.</t>
  </si>
  <si>
    <t>Barber Lake power: utility, interconnection agreement and ERCOT status of the site not found; EPC contractor not identified.</t>
  </si>
  <si>
    <t>Fluidstack's financials and the identity of its 'downstream customer' (lockbox) are not disclosed.</t>
  </si>
  <si>
    <t>Illustrative debt schedule and Oct-2026 cost chart were read from text extracted from presentation images; numbers (balloon about 60%, EAC range) should be checked against the original charts.</t>
  </si>
  <si>
    <t>Date discrepancy: brief says ERCOT Batch Zero classifications were disclosed 9-Sep-2026; news reports ERCOT issuance on 15-Sep with an earlier provisional date around 3-Sep. No Cipher 8-K on this was found (only a 25-Sep-2026 8-K). Selloff: brief says 12-Oct; news and the offering timeline point to 13-Oct.</t>
  </si>
  <si>
    <t>Seed items not verified: leverage at issuance 6.1x / at maturity 3.0x, 44.1% estimated amortization, $11.8mm/MW cost, $1.59mm/MW rent, lease commencement 'Sept 2026 - Jan 2027' (superseded by amended Q4 2026-Q1 2027 schedule), lease tenor '10 years two 5-year' (now 20 years with the AI-lab commitment).</t>
  </si>
  <si>
    <t>Dossier as of 2026-10-16 | ISIN US09216NAA81 (seed, unverified) | HY section | Bloomberg: BLKPRL 6.125 02/15/31 144A Corp</t>
  </si>
  <si>
    <t>Black Pearl Compute LLC, wholly owned indirect subsidiary of Cipher Digital Inc. (then Cipher Mining Inc.); direct parent Black Pearl Holdings LLC; guarantors Cipher Black Pearl LLC and 11786 Wink LLC.</t>
  </si>
  <si>
    <t>6.125% Senior Secured Notes due 2031, Rule 144A / Regulation S.</t>
  </si>
  <si>
    <t>6.125% per year, semiannual in arrears on 15 February and 15 August, first payment 15-Aug-2026. Day-count not stated in the 8-K.</t>
  </si>
  <si>
    <t>Issue date and price</t>
  </si>
  <si>
    <t>$2.0bn issued 11-Feb-2026 at 100% (priced 4-Feb-2026).</t>
  </si>
  <si>
    <t>S1, S4</t>
  </si>
  <si>
    <t>15-Feb-2031, about 10 years before the 15-year lease base term ends (company deck implies the base lease runs to about Jul-2041).</t>
  </si>
  <si>
    <t>S1, S9</t>
  </si>
  <si>
    <t>$2,000mm original and outstanding at 30-Jun-2026 (carrying value $1,967mm net of costs); no add-on notes.</t>
  </si>
  <si>
    <t>Senior secured; first-priority liens on substantially all assets of the issuer and guarantors (excluding certain property) and all equity of the issuer held by Black Pearl Holdings LLC.</t>
  </si>
  <si>
    <t>Before 15-Feb-2028: make-whole at Treasury plus 50bp (floor 1% of principal); up to 40% may be redeemed from equity proceeds at 106.125%. From 15-Feb-2028: 103.063%; from Feb-2029: 101.531%; from Feb-2030: par.</t>
  </si>
  <si>
    <t>Semiannual on 15 Feb and 15 Aug, initially 7.00% per annum of the issue-date principal, subject to adjustment; none before completion of all construction phases.</t>
  </si>
  <si>
    <t>Offer to repurchase at 101% plus accrued interest.</t>
  </si>
  <si>
    <t>Trustee, law, denominations</t>
  </si>
  <si>
    <t>Wilmington Trust, National Association as trustee and collateral agent; New York law; $2,000 minimum and $1,000 multiples.</t>
  </si>
  <si>
    <t>Seed lists ISIN US09216NAA81 and CUSIP 09216NAA8 (144A); not stated in the indenture or 8-K, so unverified.</t>
  </si>
  <si>
    <t>Cipher Digital Inc. -&gt; Black Pearl Holdings LLC -&gt; Black Pearl Compute LLC (issuer) -&gt; Cipher Black Pearl LLC (landlord/sublessor and developer) and 11786 Wink LLC (landowner). Cipher Black Pearl leases the land from 11786 Wink under an intercompany land lease totalling $2.7mm over 15 years.</t>
  </si>
  <si>
    <t>Issuer Black Pearl Compute LLC; subsidiary guarantors Cipher Black Pearl LLC and 11786 Wink LLC. Parent is not a note guarantor; it gives a completion guarantee and, per the marketing deck, is landlord guarantor under the lease.</t>
  </si>
  <si>
    <t>Covenants bar unrelated operations, additional debt, restricted payments, liens, sale-leasebacks, affiliate dealings and mergers; special-purpose-entity and HoldCo covenants appear in the indenture contents.</t>
  </si>
  <si>
    <t>Equity contributed to date</t>
  </si>
  <si>
    <t>Notes proceeds reimburse Cipher about $232.5mm of prior equity put into the project.</t>
  </si>
  <si>
    <t>Tenant and parent guarantor</t>
  </si>
  <si>
    <t>Amazon Data Services, Inc. (tenant); Amazon.com, Inc. (parent guarantor). Amazon.com's guaranty is called a 'limited parent guarantee' dated 21-Nov-2025 in the indenture; the company's marketing deck states Amazon.com guarantees an amount equal to all base rent and operating expenses for the life of the lease.</t>
  </si>
  <si>
    <t>S2, S3</t>
  </si>
  <si>
    <t>Datacenter Lease is a sublease dated 28-Oct-2025 between Cipher Black Pearl LLC and the Amazon tenant; announced 3-Nov-2025 as a $5.5bn, 15-year lease with AWS.</t>
  </si>
  <si>
    <t>S2, S5</t>
  </si>
  <si>
    <t>Type and term</t>
  </si>
  <si>
    <t>Triple net; 15-year base term plus three five-year tenant extension options and a short-term extension option under conditions. Tenant pays recoverable operating expenses, taxes, insurance and tenant-driven change-order costs.</t>
  </si>
  <si>
    <t>216 MW critical IT under lease on 300 MW gross (about 75 acres).</t>
  </si>
  <si>
    <t>About $5.5bn of contracted lease payments over the base term (company); 3.0% annual escalator. Company illustration: rent about $282mm in 2027 (about $1.3mm per critical MW, derived) rising to about $441mm by 2040. Seed base rent of $1.38mm per MW is not verified.</t>
  </si>
  <si>
    <t>S3, S2</t>
  </si>
  <si>
    <t>Phased with rack-ready completion. Marketing deck (Feb 2026): initial rent Oct-2026, final phase Mar-2027; target rack-ready dates DH1 35 MW and NH1 15 MW on 30-Sep-2026, DH2 35 MW 31-Oct-2026, DH3 35 MW 30-Nov-2026, NH2 15 MW 31-Dec-2026, DH4 81 MW 28-Feb-2027. Superseded in part: tenant requested acceleration and first capacity was delivered in Aug-2026 with rent commenced (company).</t>
  </si>
  <si>
    <t>S3, S8</t>
  </si>
  <si>
    <t>Tenant termination rights</t>
  </si>
  <si>
    <t>Casualty, condemnation, material interference, landlord sale to a restricted entity, a 120-day delivery delay with a 30-day cure, anti-bribery violation, and a grid power outage of more than 180 consecutive days (right lapses if power restored before notice). No termination for convenience after final rent commencement.</t>
  </si>
  <si>
    <t>Construction cost cap</t>
  </si>
  <si>
    <t>Tenant bears construction cost above a capex allowance of $9.5mm per IT MW (inclusive of the initial capex basis), provided costs are not unreasonable or caused by landlord negligence; the Amazon guaranty applies. Initial capex basis $578mm (improvements and legacy compute), reduced by up to $288mm of value Cipher recaptures from selling or repurposing existing bitcoin mining equipment; recaptured proceeds must go to the Notes Proceeds Account.</t>
  </si>
  <si>
    <t>Landlord support</t>
  </si>
  <si>
    <t>Cipher Mining Inc. (now Cipher Digital Inc.) is named landlord guarantor in the marketing deck; terms of that guaranty not reviewed.</t>
  </si>
  <si>
    <t>11786 County Road 209, Wink, Winkler County, Texas; about 75 acres.</t>
  </si>
  <si>
    <t>Facility</t>
  </si>
  <si>
    <t>Phase 1: three data halls, one network hall and O&amp;M building in 137,000 sq ft of existing buildings, retrofitted (formerly bitcoin mining; about 85% of existing infrastructure reused). Phase 2: one new data hall and a second network hall. Air and liquid cooling to the rack per the original announcement.</t>
  </si>
  <si>
    <t>S3, S5</t>
  </si>
  <si>
    <t>Tenant capex allowance $9.5mm per IT MW implies about $2.05bn for 216 MW (derived). Seed shows $2,100mm and $9.7mm per MW; not verified.</t>
  </si>
  <si>
    <t>Remaining Black Pearl cost, $232.5mm reimbursement of Cipher equity, debt service reserves, interest during construction and fees.</t>
  </si>
  <si>
    <t>Grid-connected: 300 MW facility extension agreement with Oncor approved by ERCOT, interconnection at 138 kV under Oncor's transmission service tariff, N+1 substation energized, ERCOT load zone LZ_West (company marketing, Feb 2026).</t>
  </si>
  <si>
    <t>Black Pearl is not among the sites reported in the 15-Sep-2026 conditional Batch Zero classifications (3.2 GW pipeline: Stingray, Colchis, Mikeska, Apollo, Stingray Phase II, McLennan); that process affects pipeline sites, not this project's existing approved interconnection.</t>
  </si>
  <si>
    <t>Behind-the-meter gas</t>
  </si>
  <si>
    <t>Not part of Black Pearl; the company's pipeline pitch cites about 2.5 GW of BTM potential at other sites.</t>
  </si>
  <si>
    <t>The marketing deck lists subsidiaries of Quanta Services as EPC contractor for Black Pearl; contract type (GMP/fixed price) not disclosed.</t>
  </si>
  <si>
    <t>Status at 30-Sep-2026</t>
  </si>
  <si>
    <t>First data center capacity delivered in Aug-2026, two months ahead of original schedule at the tenant's request, and rent has commenced; remaining Phase I halls in MEP fit-out; Phase II foundations, steel and underground electrical in progress; about 96% of equipment secured; the company says it is 'implementing updated phased delivery schedule with tenant', details not disclosed.</t>
  </si>
  <si>
    <t>S7, S9, S8</t>
  </si>
  <si>
    <t>Parent completion guarantee (notes proceeds plus prior equity); tenant bears costs above $9.5mm per IT MW allowance.</t>
  </si>
  <si>
    <t>$2,000mm notes, the only project debt; no construction loan.</t>
  </si>
  <si>
    <t>Debt service reserve required: $236.0mm on the issue date (two interest payments plus third interest and first amortization); after the construction period $130.0mm (plus a proportionate amount for additional notes).</t>
  </si>
  <si>
    <t>7% a year amortization from commencement: about $117mm in 2027 then $140mm a year; illustrative balance about $1.46bn at end-2030 and $1.32bn at end-2031, so roughly $1.4bn (about 70%) is due at the Feb-2031 maturity. Lease support coverage ratio shown at 2.76x rising to 3.21x. Seed estimate of 27.7% amortized is consistent.</t>
  </si>
  <si>
    <t>S3, S1</t>
  </si>
  <si>
    <t>Seed shows 6.7x at issuance and 4.3x at maturity and 85% debt-funded; not verified.</t>
  </si>
  <si>
    <t>Notes mature about 10 years before the base lease ends; refinancing a ~$1.4bn balloon relies on Amazon-backed cash flows remaining intact.</t>
  </si>
  <si>
    <t>S3, S9</t>
  </si>
  <si>
    <t>Amazon.com parent guaranty</t>
  </si>
  <si>
    <t>Limited parent guarantee of the tenant's payment obligations (21-Nov-2025); marketing states it covers all base rent and operating expenses.</t>
  </si>
  <si>
    <t>Cipher will fund the issuer as needed to complete the facility if notes proceeds and available funds (including prior equity) are insufficient.</t>
  </si>
  <si>
    <t>Lease termination</t>
  </si>
  <si>
    <t>Loss of the Datacenter Lease, the Real Estate Lease or the Amazon Guaranty is an Event of Default under the indenture (clause 9), with no replacement-tenant cure period in the text reviewed. Compare Stingray, which allows 6-12 months.</t>
  </si>
  <si>
    <t>Residual value</t>
  </si>
  <si>
    <t>No residual value guarantee or replacement-tenant backstop found; legacy bitcoin equipment recapture proceeds go to construction.</t>
  </si>
  <si>
    <t>Project accounts</t>
  </si>
  <si>
    <t>Revenue Account, Debt Service Reserve Account and Notes Proceeds Account under collateral-agent control; utility pass-through charges are excluded from the account requirements.</t>
  </si>
  <si>
    <t>Restricted payments</t>
  </si>
  <si>
    <t>After the final commencement date, distributions limited to 30% of trailing four-quarter NOI plus the excess of full budgeted construction cost over the notes issued; tax distributions need DSRA to be full; various pass-through and management-fee carve-outs.</t>
  </si>
  <si>
    <t>Other covenants</t>
  </si>
  <si>
    <t>Limits on debt, liens, asset sales, sale-leasebacks, affiliate transactions and modification of certain agreements; 101% change-of-control put; reports covenant.</t>
  </si>
  <si>
    <t>Payment default, covenant breach, cross-default, collateral invalidity and loss of the lease/guaranty (above).</t>
  </si>
  <si>
    <t>Parent liquidity covenant</t>
  </si>
  <si>
    <t>Parent revolver requires minimum liquidity of $100mm / $150mm / $200mm stepping up as Barber Lake and Black Pearl commence cash flow (parent level, not noteholder covenant).</t>
  </si>
  <si>
    <t>Company's Q2-2026 presentation shows Ba2 (Moody's) / BB- (Fitch) for the notes; seed shows S&amp;P NR. Agency releases not located, so outlook and triggers are unavailable.</t>
  </si>
  <si>
    <t>(1) finance the remaining Black Pearl cost, (2) reimburse Cipher about $232.5mm of prior equity, (3) fund debt service reserves, (4) pay fees and expenses.</t>
  </si>
  <si>
    <t>Schedule changes</t>
  </si>
  <si>
    <t>Remaining halls are being re-phased with the tenant; a 120-day delivery delay gives Amazon a termination right and rent credits may apply. Schedule beyond the first hall is undisclosed.</t>
  </si>
  <si>
    <t>Single-tenant concentration and lease-loss default</t>
  </si>
  <si>
    <t>Lease or guaranty ceasing is an immediate Event of Default.</t>
  </si>
  <si>
    <t>Guaranty scope</t>
  </si>
  <si>
    <t>Indenture calls the Amazon guaranty 'limited'; its precise coverage was not reviewed.</t>
  </si>
  <si>
    <t>About 70% of principal falls due at Feb-2031 on illustrations.</t>
  </si>
  <si>
    <t>S3,S1</t>
  </si>
  <si>
    <t>Parent equity stress</t>
  </si>
  <si>
    <t>Parent funds completion guarantees for three projects and has seen heavy dilution and a share-price fall around the Oct-2026 convertible; Black Pearl itself is substantially funded and phased rent is already flowing.</t>
  </si>
  <si>
    <t>S11, S12</t>
  </si>
  <si>
    <t>Retrofit risk</t>
  </si>
  <si>
    <t>Phase 1 retrofits existing bitcoin-mining buildings; cost cap sits with the tenant above $9.5mm per MW, subject to reasonableness conditions.</t>
  </si>
  <si>
    <t>Mar-2026</t>
  </si>
  <si>
    <t>Parent signed $200mm revolver with covenants linked to Black Pearl commencing cash flow.</t>
  </si>
  <si>
    <t>Aug-2026</t>
  </si>
  <si>
    <t>Tenant-requested lease amendment: first capacity two months early; rent commenced.</t>
  </si>
  <si>
    <t>Sep-Oct 2026</t>
  </si>
  <si>
    <t>Company says remaining halls follow an updated phased schedule; parent launched and priced $850mm 2032 convertible and exchanged $165.9mm of 2030 notes; shares fell about 12% on 13-Oct.</t>
  </si>
  <si>
    <t>S9, S11, S12</t>
  </si>
  <si>
    <t>2025-10-28</t>
  </si>
  <si>
    <t>Black Pearl sublease with Amazon Data Services signed (date per indenture definition)</t>
  </si>
  <si>
    <t>2025-11-03</t>
  </si>
  <si>
    <t>Cipher announces ~$5.5bn, 15-year AWS lease for 300 MW at Black Pearl</t>
  </si>
  <si>
    <t>2025-11-21</t>
  </si>
  <si>
    <t>Amazon.com limited parent guarantee dated (per indenture definition)</t>
  </si>
  <si>
    <t>2026-02-03</t>
  </si>
  <si>
    <t>Investor presentation furnished (8-K) for the $2.0bn notes offering</t>
  </si>
  <si>
    <t>2026-02-04</t>
  </si>
  <si>
    <t>$2.0bn 6.125% notes priced at par</t>
  </si>
  <si>
    <t>2026-02-11</t>
  </si>
  <si>
    <t>Notes closed; indenture executed; $232.5mm equity reimbursement</t>
  </si>
  <si>
    <t>Parent $200mm revolver signed</t>
  </si>
  <si>
    <t>Lease amended at tenant's request; first capacity delivered in August; rent commenced</t>
  </si>
  <si>
    <t>2026-08-15</t>
  </si>
  <si>
    <t>First scheduled coupon date on the notes</t>
  </si>
  <si>
    <t>2026-09-30</t>
  </si>
  <si>
    <t>Date of company status in Oct-2026 deck: remaining halls under updated phasing</t>
  </si>
  <si>
    <t>Parent launches $850mm 2032 convertible; shares fall about 12%</t>
  </si>
  <si>
    <t>Convertible priced; $165.9mm 2030 notes exchanged for shares</t>
  </si>
  <si>
    <t>S1 | SEC filing | 2026-02-11</t>
  </si>
  <si>
    <t>8-K: Black Pearl Compute LLC completes $2.0bn 6.125% Senior Secured Notes due 2031 (Items 1.01, 2.03) (Cipher Mining Inc. (SEC EDGAR)). Used for: Issue terms, amortization, redemption, covenants, use of proceeds, completion guarantee</t>
  </si>
  <si>
    <t>S2 | Indenture | 2026-02-11</t>
  </si>
  <si>
    <t>Indenture dated 11-Feb-2026 (Exhibit 4.1) among Black Pearl Compute LLC, Black Pearl Holdings LLC, guarantors and Wilmington Trust N.A. (Cipher Mining Inc. (SEC EDGAR)). Used for: DSRA, call schedule, equity claw, events of default, restricted payments, definition of lease and Amazon guaranty</t>
  </si>
  <si>
    <t>S3 | Presentation | 2026-02-03</t>
  </si>
  <si>
    <t>Investor presentation for the Black Pearl notes (Ex. 99.1 to 8-K of 3-Feb-2026) (Cipher Mining Inc. (SEC EDGAR)). Used for: Lease terms, rack-ready schedule, termination rights, capex allowance, illustrative financials, site and power</t>
  </si>
  <si>
    <t>S4 | Press release | 2026-02-04</t>
  </si>
  <si>
    <t>Press release: pricing of $2.0bn senior secured notes (Cipher Mining Inc. (SEC EDGAR Ex. 99.1)). Used for: Pricing at par, use of proceeds, $232.5mm reimbursement, collateral and guarantors</t>
  </si>
  <si>
    <t>S5 | Press release | 2025-11-03</t>
  </si>
  <si>
    <t>Press release: Q3 2025 business update announcing ~$5.5bn 15-year lease with Amazon Web Services (Cipher Mining Inc. (SEC EDGAR Ex. 99.1)). Used for: Lease announcement, 300 MW, original delivery and rent timing</t>
  </si>
  <si>
    <t>S6 | SEC filing | 2026-08-04</t>
  </si>
  <si>
    <t>Form 10-Q for quarter ended 30-Jun-2026 (Cipher Digital Inc. (SEC EDGAR)). Used for: Black Pearl lease description, debt table, liquidity, revolver</t>
  </si>
  <si>
    <t>S7 | Presentation | 2026-08-04</t>
  </si>
  <si>
    <t>Q2 2026 business update presentation (Ex. 99.2 to 8-K) (Cipher Digital Inc. (SEC EDGAR)). Used for: Ratings, early delivery, construction status, balance sheet</t>
  </si>
  <si>
    <t>Press release: second quarter 2026 business update (Cipher Digital Inc. (SEC EDGAR Ex. 99.1)). Used for: Tenant-requested lease amendment, first delivery in August 2026, rent commenced</t>
  </si>
  <si>
    <t>S9 | Presentation | 2026-10-13</t>
  </si>
  <si>
    <t>8-K and Project Compass investor presentation for the 2032 convertible (Ex. 99.1), October 2026 (Cipher Digital Inc. (SEC EDGAR)). Used for: Black Pearl update as of 30-Sep-2026, portfolio contracted revenue, BTM gas context</t>
  </si>
  <si>
    <t>S10 | SEC filing | 2026-03-25</t>
  </si>
  <si>
    <t>8-K: $200mm revolving credit agreement dated 23-Mar-2026 (Cipher Digital Inc. (SEC EDGAR)). Used for: Parent liquidity covenant tied to Black Pearl and Barber Lake commencement</t>
  </si>
  <si>
    <t>S11 | Press release | 2026-10-14</t>
  </si>
  <si>
    <t>8-K and press release: pricing of $850mm 0.00% convertible notes due 2032 and 2030 exchange (Cipher Digital Inc. (SEC EDGAR Ex. 99.1)). Used for: Parent capital structure context, conversion terms, settlement</t>
  </si>
  <si>
    <t>S12 | News | 2026-10-13</t>
  </si>
  <si>
    <t>Cipher Digital Sinks 12% on $850 Million Zero-Coupon Convertible Note Offering (TIKR). Used for: Date and reasons of the equity selloff (not an official document)</t>
  </si>
  <si>
    <t>S13 | News | 2026-09-16</t>
  </si>
  <si>
    <t>Cipher Digital secures 3.2 GW of conditional ERCOT classifications across Texas projects (Crypto Briefing). Used for: ERCOT Batch Zero context (not an official document)</t>
  </si>
  <si>
    <t>144A offering memorandum not available; indenture and company presentations used instead.</t>
  </si>
  <si>
    <t>ISIN and CUSIP not verified (not in indenture text); seed US09216NAA81 / 09216NAA8 unverified.</t>
  </si>
  <si>
    <t>Moody's and Fitch releases not found; ratings sourced only to the company's Q2-2026 presentation.</t>
  </si>
  <si>
    <t>The Amazon sublease and the Amazon.com guaranty exhibits were not located; scope of the 'limited' guaranty, delay-credit formula and the exact termination mechanics are from the company's marketing deck and the indenture definitions only.</t>
  </si>
  <si>
    <t>Revised phased delivery schedule after the Aug-2026 tenant-requested amendment is not disclosed beyond 'updated phased schedule'; no confirmation of rent commencement for later halls or of Phase 2 dates.</t>
  </si>
  <si>
    <t>EPC identity comes from a marketing slide (Quanta Services subsidiaries); contract type and price not disclosed.</t>
  </si>
  <si>
    <t>Full cash waterfall, DSCR lock-up tests and the complete Event-of-Default list were only partly read in the indenture; Section 4.23 waterfall order beyond the account structure not summarised.</t>
  </si>
  <si>
    <t>Illustrative amortization and balloon values are company illustrations (and read from extracted presentation text); seed leverage 6.7x/4.3x, 85% debt-funded, $2,100mm cost, $9.7mm/MW and $1.38mm/MW rent not verified.</t>
  </si>
  <si>
    <t>Seed 'construction start Feb 2026' not verified (site is a retrofit of existing bitcoin facility); seed 'lease commencement Oct 2026-Mar 2027' superseded by Aug-2026 first rent.</t>
  </si>
  <si>
    <t>Dossier as of 2026-10-16 | ISIN US86083AAA43 (seed, unverified) | HY section | Bloomberg: STNGRY 6 06/15/31 144A Corp</t>
  </si>
  <si>
    <t>Stingray Compute LLC, wholly owned indirect subsidiary of Cipher Digital Inc.; direct parent Cipher Stingray Holdings LLC; subsidiary guarantor Cipher Stingray LLC.</t>
  </si>
  <si>
    <t>6.000% Senior Secured Notes due 2031, Rule 144A / Regulation S.</t>
  </si>
  <si>
    <t>6.000% per year, semiannual in arrears on 15 June and 15 December, first payment 15-Dec-2026. Day-count not stated in the 8-K.</t>
  </si>
  <si>
    <t>$810.0mm priced 8-Jun-2026 and issued 15-Jun-2026 at 99.750% (gross proceeds about $808.0mm, derived).</t>
  </si>
  <si>
    <t>S5, S1</t>
  </si>
  <si>
    <t>15-Jun-2031.</t>
  </si>
  <si>
    <t>$810mm original and outstanding at 30-Jun-2026 (carrying value $796mm net of costs).</t>
  </si>
  <si>
    <t>Senior secured; first-priority liens on substantially all assets of the issuer and Cipher Stingray LLC (excluding certain property) and all issuer equity held by Cipher Stingray Holdings LLC.</t>
  </si>
  <si>
    <t>Before 15-Jun-2028: make-whole at Treasury plus 50bp; up to 40% from equity proceeds at 106.000%. From 15-Jun-2028: 103.000%; 2029: 101.500%; 2030 and after: par. After the Final Commencement Date, one-time par redemption of the amount needed to lift a Project DSCR below 1.10x back to 1.10x.</t>
  </si>
  <si>
    <t>Semiannual on 15 June and 15 December after the Final Commencement Date, in amounts needed to reach the Target Project DSCR, defined as 1.25 to 1.00; no amortization before completion.</t>
  </si>
  <si>
    <t>Change of control and lease-termination offers</t>
  </si>
  <si>
    <t>Change of control: 101% repurchase offer. The indenture also contains a 'Datacenter Lease Termination Offer to Repurchase' covenant (terms not extracted).</t>
  </si>
  <si>
    <t>Wilmington Trust, National Association; New York law; $2,000 minimum and $1,000 multiples.</t>
  </si>
  <si>
    <t>Seed lists ISIN US86083AAA43 and CUSIP 86083AAA4; not stated in the indenture or 8-K, so unverified.</t>
  </si>
  <si>
    <t>Cipher Digital Inc. -&gt; Cipher Stingray Holdings LLC -&gt; Stingray Compute LLC (issuer) -&gt; Cipher Stingray LLC (guarantor; developer and lessor/subsidiary lessor under the Amazon lease).</t>
  </si>
  <si>
    <t>Issuer Stingray Compute LLC; guarantee from Cipher Stingray LLC. Parent gives a completion guarantee, not a payment guarantee.</t>
  </si>
  <si>
    <t>Covenants restrict additional debt, restricted payments, liens, sale-leasebacks, affiliate dealings, mergers and activities unrelated to the Stingray facility.</t>
  </si>
  <si>
    <t>Equity contributed</t>
  </si>
  <si>
    <t>Notes proceeds reimburse the parent for prior equity contributions of about $61.5mm per the closing 8-K; the launch release said about $63.6mm and the Q2 release said $56.7mm (unreconciled).</t>
  </si>
  <si>
    <t>S1, S4, S8</t>
  </si>
  <si>
    <t>Tenant and guarantor</t>
  </si>
  <si>
    <t>Amazon Data Services, Inc. (tenant); Amazon.com, Inc. (guarantor). The indenture calls the Amazon.com instrument a 'limited parent guarantee' dated 20-Mar-2026; the company's investor deck says it guarantees all base rent and operating expenses.</t>
  </si>
  <si>
    <t>Lease</t>
  </si>
  <si>
    <t>Datacenter lease dated 20-Mar-2026 between the subsidiary lessor and Amazon Data Services; second Amazon lease after Black Pearl. 15-year base term plus three five-year tenant extension options; triple net; Cipher bears de minimis operating cost (roof, slab, foundation). Base rent is abated until each phase commences.</t>
  </si>
  <si>
    <t>S2, S3, S6</t>
  </si>
  <si>
    <t>70 MW critical IT on 100 MW gross at Andrews, Texas; company notes design efficiency may raise IT capacity.</t>
  </si>
  <si>
    <t>Contracted rent</t>
  </si>
  <si>
    <t>About $2.0bn of base-term lease payments (up to about $5.7bn with extensions), 3.0% annual escalator, about 100% NOI margin (company). Company illustration implies rent of about $112mm in 2028, about $1.6mm per IT MW (derived), consistent with seed $1.58mm.</t>
  </si>
  <si>
    <t>Network hall (10 IT MW) targeted 1-Apr-2027; data hall (60 IT MW) targeted 1-May-2027.</t>
  </si>
  <si>
    <t>Termination and delay rights</t>
  </si>
  <si>
    <t>No termination for convenience after commencement (company). Indenture treats termination of the lease or the guaranty as a termination event; other tenant termination and delay rights are in the lease, which was not reviewed.</t>
  </si>
  <si>
    <t>Cost cap</t>
  </si>
  <si>
    <t>Amazon covers construction costs above $10.5mm per IT MW (about $735mm for 70 MW, derived and equal to the seed facility cost).</t>
  </si>
  <si>
    <t>Andrews, Texas. Site acreage not found.</t>
  </si>
  <si>
    <t>70 MW critical IT, 100 MW gross; adjacent 200 MW expansion potential (2030+, subject to ERCOT batch process).</t>
  </si>
  <si>
    <t>S3, S7</t>
  </si>
  <si>
    <t>Cost per IT MW cap $10.5mm; seed cost $735mm equals cap multiplied by MW rather than a budget, so total project cost including financing costs is not verified.</t>
  </si>
  <si>
    <t>Remaining cost of the Stingray facility, reimbursement of parent equity and debt service reserves; the company says the notes fully fund Stingray through substantial completion.</t>
  </si>
  <si>
    <t>S1, S8</t>
  </si>
  <si>
    <t>Interconnection</t>
  </si>
  <si>
    <t>Substation electrical work had commenced by 5-May-2026, 'aligning with Q4 2026 target energization'. The utility and interconnection agreement were not named in the documents reviewed.</t>
  </si>
  <si>
    <t>News reports ERCOT conditional classification (15-Sep-2026) of Stingray at 100 MW as conditional base load and Stingray Phase II at 200 MW as conditional studied load; final designations follow a Dec-2026 ERCOT audit and study results are scheduled for Apr-2027 per another outlet. It is not confirmed that the 100 MW is the notes' facility, though the size matches its gross capacity.</t>
  </si>
  <si>
    <t>Company pipeline pitch cites 2.5 GW of BTM potential and lateral gas pipelines at other sites; nothing indicates Stingray uses BTM gas.</t>
  </si>
  <si>
    <t>30-Sep-2026: earthwork, grading and pad preparation on schedule, underground electrical work commenced, concrete foundations and steel erection underway. At 4-Aug-2026 about 75% of equipment secured and expected delivery 1H 2027.</t>
  </si>
  <si>
    <t>S10, S7</t>
  </si>
  <si>
    <t>Not identified in the documents reviewed.</t>
  </si>
  <si>
    <t>Parent completion guarantee (notes proceeds plus prior equity) and the tenant's $10.5mm per IT MW cost cap.</t>
  </si>
  <si>
    <t>Seed check</t>
  </si>
  <si>
    <t>Seed construction start of May 2026 is contradicted: the Q1 deck of 5-May-2026 already shows earthwork and pad preparation in progress.</t>
  </si>
  <si>
    <t>$810mm notes are the only project debt; no construction loan.</t>
  </si>
  <si>
    <t>Initial debt service reserve required $83.0mm (two interest payments, third interest payment and first installment, less estimated earnings).</t>
  </si>
  <si>
    <t>Illustrative: amortization about $27mm 2027, $45mm 2028, $51mm 2029, $57mm 2030, $64mm 2031; balance about $629mm at end-2030, i.e. roughly $0.6bn (about 70-75%) due at Jun-2031 maturity. Seed estimate of 25.8% amortized is consistent.</t>
  </si>
  <si>
    <t>Seed: 98% debt-funded, 7.3x at issuance, 4.9x at maturity; not verified.</t>
  </si>
  <si>
    <t>Amazon.com guaranty</t>
  </si>
  <si>
    <t>Limited parent guarantee dated 20-Mar-2026 of the tenant's payment obligations; marketing says it covers base rent and operating expenses.</t>
  </si>
  <si>
    <t>Cipher will fund the issuer as needed to complete the facility.</t>
  </si>
  <si>
    <t>Replacement tenant</t>
  </si>
  <si>
    <t>A termination of the lease or guaranty becomes an Event of Default only if no Qualified Datacenter Lease is signed within the Datacenter Lease EoD Period of 6 months, extended to 12 months if a letter of intent with a Qualified Tenant exists and conditions (DSRA full, no distributions, funds for opex and capex, termination amounts held) are met.</t>
  </si>
  <si>
    <t>Termination amounts</t>
  </si>
  <si>
    <t>Any amount paid by the tenant on a lease termination (liquidated damages) must be held in a designated account; declined asset-sale/termination proceeds can be distributed only within limits.</t>
  </si>
  <si>
    <t>Distributions after final commencement</t>
  </si>
  <si>
    <t>Restricted payments allowed up to 40.0% of LTM net operating income, plus final excess equity amounts and retained excess cash flow; reimbursement of parent capex at closing.</t>
  </si>
  <si>
    <t>Coverage tests</t>
  </si>
  <si>
    <t>Target Project DSCR 1.25x drives amortization; Project DSCR below 1.10x permits a one-time par redemption (issuer option, not mandatory).</t>
  </si>
  <si>
    <t>Payment default (30 days for interest), covenant breach (60 days after notice), cross-default above $25mm, collateral invalidity, and lease/guaranty termination without a replacement lease in the EoD period.</t>
  </si>
  <si>
    <t>Annual conference call and periodic reports; unrestricted-parent calls can satisfy the requirement.</t>
  </si>
  <si>
    <t>Company's Q2-2026 presentation shows Ba2 (Moody's) / BB- (Fitch); seed shows S&amp;P NR. Agency releases not located.</t>
  </si>
  <si>
    <t>(1) finance the remaining cost of the Stingray facility, (2) reimburse parent for prior equity contributions, (3) fund debt service reserves.</t>
  </si>
  <si>
    <t>Substation targeted for Q4 2026 while the site's 100 MW sits in the ERCOT Batch Zero conditional list; a late or revised energization would pressure the Apr-May 2027 rent dates.</t>
  </si>
  <si>
    <t>About 75% of equipment secured at Aug-2026 and construction mid-stream; rent dates are a single-year window.</t>
  </si>
  <si>
    <t>S7, S10</t>
  </si>
  <si>
    <t>Roughly 70-75% of principal is outstanding at Jun-2031 on illustrations.</t>
  </si>
  <si>
    <t>Amazon guaranty is 'limited' in the indenture; breadth not verified.</t>
  </si>
  <si>
    <t>Parent stress</t>
  </si>
  <si>
    <t>Completion guarantee relies on the parent, which has $0.83bn cash but heavy near-term capex and a share-price drop around the Oct-2026 convertible.</t>
  </si>
  <si>
    <t>Foundations and steel erection underway by 30-Sep-2026; underground electrical started in Q2.</t>
  </si>
  <si>
    <t>Batch Zero</t>
  </si>
  <si>
    <t>Conditional classification of the Stingray 100 MW and Phase II 200 MW (news).</t>
  </si>
  <si>
    <t>2032 convertible priced 14-Oct-2026 and 2030 exchange; shares fell about 12% on 13-Oct.</t>
  </si>
  <si>
    <t>2026-03-20</t>
  </si>
  <si>
    <t>Amazon Data Services datacenter lease and Amazon.com limited parent guarantee dated (per indenture)</t>
  </si>
  <si>
    <t>Q1 update: Stingray earthwork under way; substation work aligned with Q4-2026 energization</t>
  </si>
  <si>
    <t>Notes launched with investor presentation; priced at 99.750% the same day</t>
  </si>
  <si>
    <t>2026-06-15</t>
  </si>
  <si>
    <t>Notes closed; indenture executed</t>
  </si>
  <si>
    <t>Q2 update: about 75% equipment secured; delivery expected 1H 2027</t>
  </si>
  <si>
    <t>ERCOT conditional Batch Zero classifications including Stingray 100 MW (news; brief cited 9-Sep)</t>
  </si>
  <si>
    <t>Company status: foundations and steel erection underway</t>
  </si>
  <si>
    <t>Parent launches 2032 convertible; shares fall about 12%</t>
  </si>
  <si>
    <t>S10, S14</t>
  </si>
  <si>
    <t>Convertible priced; 2030 notes exchanged</t>
  </si>
  <si>
    <t>S1 | SEC filing | 2026-06-15</t>
  </si>
  <si>
    <t>8-K: Stingray Compute LLC completes $810mm 6.000% Senior Secured Notes due 2031 (Items 1.01, 2.03) (Cipher Digital Inc. (SEC EDGAR)). Used for: Issue terms, amortization basis, redemption, covenants, use of proceeds, completion guarantee</t>
  </si>
  <si>
    <t>S2 | Indenture | 2026-06-15</t>
  </si>
  <si>
    <t>Indenture dated 15-Jun-2026 (Exhibit 4.1) among Stingray Compute LLC, Cipher Stingray LLC, Cipher Stingray Holdings LLC and Wilmington Trust N.A. (Cipher Digital Inc. (SEC EDGAR)). Used for: Call schedule, DSRA, DSCR targets, restricted payments, lease-termination events of default, lease and guaranty definitions</t>
  </si>
  <si>
    <t>S3 | Presentation | 2026-06-08</t>
  </si>
  <si>
    <t>Illustrative financial and other information on Stingray Compute LLC furnished to investors (Ex. 99.1 to 8-K of 8-Jun-2026) (Cipher Digital Inc. (SEC EDGAR)). Used for: Lease terms, rent commencement dates, cost cap, illustrative amortization</t>
  </si>
  <si>
    <t>S4 | Press release | 2026-06-08</t>
  </si>
  <si>
    <t>Press release: Stingray Compute intends to offer $810mm senior secured notes (Ex. 99.2) (Cipher Digital Inc. (SEC EDGAR)). Used for: Use of proceeds at launch, guarantor and collateral</t>
  </si>
  <si>
    <t>S5 | SEC filing | 2026-06-08</t>
  </si>
  <si>
    <t>8-K: pricing of $810mm 6.000% senior secured notes due 2031 at 99.750% (Cipher Digital Inc. (SEC EDGAR)). Used for: Pricing</t>
  </si>
  <si>
    <t>Form 10-Q for quarter ended 30-Jun-2026 (Cipher Digital Inc. (SEC EDGAR)). Used for: Stingray lease description (Mar-2026), debt table, liquidity</t>
  </si>
  <si>
    <t>Q2 2026 business update presentation (Ex. 99.2 to 8-K) (Cipher Digital Inc. (SEC EDGAR)). Used for: Ratings, Stingray construction status, equipment secured, Batch Zero footnotes</t>
  </si>
  <si>
    <t>Press release: second quarter 2026 business update (Cipher Digital Inc. (SEC EDGAR Ex. 99.1)). Used for: Statement that Stingray is fully funded; reimbursement figure</t>
  </si>
  <si>
    <t>S9 | Presentation | 2026-05-05</t>
  </si>
  <si>
    <t>Q1 2026 business update presentation (Ex. 99.2 to 8-K of 5-May-2026) (Cipher Digital Inc. (SEC EDGAR)). Used for: Stingray substation work and Q4-2026 target energization</t>
  </si>
  <si>
    <t>S10 | Presentation | 2026-10-13</t>
  </si>
  <si>
    <t>8-K and Project Compass investor presentation for the 2032 convertible (Ex. 99.1), October 2026 (Cipher Digital Inc. (SEC EDGAR)). Used for: Stingray status as of 30-Sep-2026, pipeline, BTM gas</t>
  </si>
  <si>
    <t>S11 | SEC filing | 2026-03-25</t>
  </si>
  <si>
    <t>8-K: $200mm revolving credit agreement dated 23-Mar-2026 (Cipher Digital Inc. (SEC EDGAR)). Used for: Parent revolver terms</t>
  </si>
  <si>
    <t>S12 | Press release | 2026-10-14</t>
  </si>
  <si>
    <t>8-K and press release: pricing of $850mm 0.00% convertible notes due 2032 and 2030 exchange (Cipher Digital Inc. (SEC EDGAR Ex. 99.1)). Used for: Parent capital structure context</t>
  </si>
  <si>
    <t>Cipher Digital secures 3.2 GW of conditional ERCOT classifications across Texas projects (Crypto Briefing). Used for: ERCOT Batch Zero classification of Stingray (not an official document)</t>
  </si>
  <si>
    <t>S14 | News | 2026-10-13</t>
  </si>
  <si>
    <t>Cipher Digital Sinks 12% on $850 Million Zero-Coupon Convertible Note Offering (TIKR). Used for: Equity selloff date and reasons (not an official document)</t>
  </si>
  <si>
    <t>144A offering memorandum not available; indenture, 8-Ks and investor decks used.</t>
  </si>
  <si>
    <t>ISIN and CUSIP not verified (seed US86083AAA43 / 86083AAA4).</t>
  </si>
  <si>
    <t>Amazon lease and Amazon.com guaranty exhibits not located; scope of the 'limited' guarantee, delay credits and termination rights are not quantified.</t>
  </si>
  <si>
    <t>Utility and interconnection agreement for Stingray, site acreage and EPC contractor not found; whether the Batch Zero 100 MW classification is the notes' facility is unconfirmed.</t>
  </si>
  <si>
    <t>Equity-reimbursement figure inconsistent across company documents ($63.6mm launch release, $61.5mm closing 8-K, $56.7mm Q2 release).</t>
  </si>
  <si>
    <t>Date discrepancies: brief says ERCOT Batch Zero disclosed 9-Sep-2026 (news says ERCOT issued 15-Sep; provisional about 3-Sep; no Cipher 8-K found); brief says selloff on 12-Oct, news and offering timeline point to 13-Oct.</t>
  </si>
  <si>
    <t>Amortization and balloon figures come from the company's illustrative model (read from extracted slide text); seed leverage 7.3x/4.9x, 98% debt-funded, $735mm cost and May-2026 construction start not verified (cost equals cap multiplied by MW; construction start contradicted).</t>
  </si>
  <si>
    <t>Dossier as of 2026-10-16 | ISIN US21874LAA08 (seed, unverified) | HY section | Bloomberg: CORZ 7.75 05/15/31 144A Corp</t>
  </si>
  <si>
    <t>Core Scientific Finance I LLC, a wholly-owned indirect subsidiary of Core Scientific, Inc. (NASDAQ: CORZ).</t>
  </si>
  <si>
    <t>Notes title / size</t>
  </si>
  <si>
    <t>7.750% Senior Secured Notes due 2031; $3,300mm aggregate principal issued 6 May 2026 (priced 22 Apr 2026 at 99.250% of par); estimated net proceeds about $3.24bn after discounts and expenses.</t>
  </si>
  <si>
    <t>7.750% p.a., semi-annual in arrears on 15 May and 15 Nov, first payment 15 Nov 2026. Maturity 15 May 2031. Day count not stated in the 8-K (30/360 is the market norm; not verified).</t>
  </si>
  <si>
    <t>Seed shows ISIN US21874LAA08, CUSIP 21874LAA0 (144A). Not shown in the 8-K or indenture text; no Reg S ISIN found.</t>
  </si>
  <si>
    <t>Senior secured. First-priority liens on substantially all assets of the Issuer and the five subsidiary guarantors (excluded property carved out), a pledge of the Issuer equity held by Core Scientific Finance Holding LLC (HoldCo), and 'Parent Collateral' (Core Scientific assets and rights subject to the ringfencing that had not yet transferred to the Issuer group).</t>
  </si>
  <si>
    <t>Guarantors</t>
  </si>
  <si>
    <t>Fully and unconditionally guaranteed by Core Scientific Austin LLC, Denton LLC, Dalton LLC, Marble LLC and Muskogee LLC, the Issuer's only subsidiaries at issuance. Core Scientific, Inc. does NOT guarantee the notes.</t>
  </si>
  <si>
    <t>Semi-annual installments on 15 May / 15 Nov equal to 11.50% p.a. of the issue-date principal (5.75% each half-year, about $189.75mm), starting on the First Installment Payment Date; reduced pro rata for optional/mandatory redemptions; deferred (not waived) if a Datacenter Lease Termination Event occurs.</t>
  </si>
  <si>
    <t>First Installment Payment Date</t>
  </si>
  <si>
    <t>First payment date at least 15 days after the later of (x) the Final Commencement Date (all lease rent-commencement conditions satisfied and full rent accruing under every Datacenter Lease) and (y) abatement of all revenue credits granted by Core Scientific to the tenant. Company's 10-Q schedule ASSUMES 15 Nov 2029.</t>
  </si>
  <si>
    <t>Scheduled principal profile (derived)</t>
  </si>
  <si>
    <t>Per 10-Q maturity table (assumes first installment 15 Nov 2029): $189.75mm in 2029, $379.5mm in 2030, $2,730.75mm 'thereafter' (2031). Implied balloon at the 15 May 2031 maturity is about $2.54bn (about 77% of original principal), derived by difference.</t>
  </si>
  <si>
    <t>Make-whole (Applicable Premium: greater of 1% or PV of the May-2028 call price plus interest to May-2028 at Treasury +50bp) before 15 May 2028; up to 40% may be redeemed with equity proceeds before then; call prices thereafter 103.875% (2028), 101.938% (2029), par (2030 and later).</t>
  </si>
  <si>
    <t>Mandatory redemption / offers</t>
  </si>
  <si>
    <t>Par redemption option on a Datacenter Lease Termination Event; 100% of any lease-termination payment (Datacenter Lease MRC) must be applied to redeem at par; asset-sale and casualty proceeds offered pro rata at par; change-of-control put at 101%.</t>
  </si>
  <si>
    <t>Minimum $2,000 and integral multiples of $1,000 above that.</t>
  </si>
  <si>
    <t>Wilmington Savings Fund Society, FSB.</t>
  </si>
  <si>
    <t>Rule 144A and Regulation S; initial purchaser representatives Morgan Stanley and J.P. Morgan.</t>
  </si>
  <si>
    <t>Ownership chain</t>
  </si>
  <si>
    <t>Core Scientific, Inc. -&gt; Core Scientific Finance Holding LLC (HoldCo) -&gt; Core Scientific Finance I LLC (Issuer) -&gt; five property-level guarantor LLCs (Austin, Denton, Dalton, Marble, Muskogee). Notes are secured on the Issuer group assets plus HoldCo's pledge of Issuer equity.</t>
  </si>
  <si>
    <t>Indenture contains a special-purpose-entity covenant, a HoldCo covenant and limits on business outside the 'Facilities' and approved additional projects; only the Issuer, its subsidiaries and HoldCo are bound by the indenture covenants. Parent and its other subsidiaries are not restricted by it.</t>
  </si>
  <si>
    <t>Facilities</t>
  </si>
  <si>
    <t>Austin, Denton, Dalton (incl. Dalton 3), Marble and Muskogee. Denton campus is about 64 acres.</t>
  </si>
  <si>
    <t>Lease counterparty chain</t>
  </si>
  <si>
    <t>Datacenter Leases are 'colocation license agreements' between Core Scientific (parent) and the Tenant, defined as CoreWeave, Inc. and permitted successors/assigns. During H1 2026 CoreWeave assigned certain license agreements to 'CW SPV', an indirect CoreWeave subsidiary, with CoreWeave remaining a primary obligor.</t>
  </si>
  <si>
    <t>CW SPV assignment</t>
  </si>
  <si>
    <t>10-Q discloses the assignment to an SPV 'financing structure' and warns that practical recourse to CoreWeave would depend on its condition at the time of any default. Terms of the SPV financing are not disclosed in the filings reviewed.</t>
  </si>
  <si>
    <t>Two layers of credit: (1) CoreWeave (via CW SPV) pays rent to the Core Scientific licensor; (2) Core Scientific, Inc. gives an uncapped completion guarantee for four projects but is not a payment guarantor. Bondholders rely on CoreWeave-family rent, the DSRA and the collateral.</t>
  </si>
  <si>
    <t>Core Scientific, Inc. (NASDAQ: CORZ), Austin TX; converting bitcoin-mining sites to high-density colocation (HDC). Colocation was 77% of H1 2026 revenue (12% in H1 2025); self-mining 18%.</t>
  </si>
  <si>
    <t>Footprint</t>
  </si>
  <si>
    <t>About 2.1 GW gross utility power and about 1.3 GW leasable customer power across 11 data centers in seven states (30 Jun 2026).</t>
  </si>
  <si>
    <t>Cash and equivalents $1,769.7mm at 30 Jun 2026 (vs $311.4mm at YE2025); digital assets $49.7mm; restricted cash includes the DSRA ($344.8mm).</t>
  </si>
  <si>
    <t>Parent debt outside the notes</t>
  </si>
  <si>
    <t>$460mm 3.00% convertible notes due Sep 2029 (conversion price about $11.00) and $625mm 0% convertible notes due 2031; $1.0bn 364-day Morgan Stanley bridge term loan (drawn Mar 2026) repaid in full 6 May 2026. New 25 Aug 2026 JPMorgan facilities: $100mm revolver plus $500mm L/C facility, first-lien on parent assets, minimum liquidity $150mm, $3.0bn minimum market cap to borrow; undrawn at closing.</t>
  </si>
  <si>
    <t>Warrant liabilities</t>
  </si>
  <si>
    <t>Current warrant liabilities of $1.81bn at 30 Jun 2026 (the $6.81 and $0.01 listed warrants), driving a Q2 net loss of about $1.2bn. Accounting, not cash, but signals equity-value sensitivity.</t>
  </si>
  <si>
    <t>Other capital deployment</t>
  </si>
  <si>
    <t>Hunt County TX land and ESA acquired 5 May 2026 for about $233mm cash (about 430 MW gross); Polaris DS LLC (Muskogee-adjacent, up to 440 MW) acquired 13 Aug 2026 for about $444.3mm cash (+$40mm if 40 MW more firm power by 31 Dec 2026).</t>
  </si>
  <si>
    <t>Failed CoreWeave merger (credit context)</t>
  </si>
  <si>
    <t>7 Jul 2025 all-stock merger agreement with CoreWeave; terminated 30 Oct 2025 after Core Scientific stockholders rejected it. $21.6mm advisory costs, no termination fee. Relevance: the tenant tried to buy its landlord; the commercial relationship continued under the existing license agreements.</t>
  </si>
  <si>
    <t>CoreWeave, Inc. (NASDAQ: CRWV) and, for assigned agreements, CW SPV (indirect CoreWeave subsidiary) with CoreWeave remaining a primary obligor. CoreWeave was about 77% of Core Scientific H1 2026 revenue and is the sole colocation customer.</t>
  </si>
  <si>
    <t>Contract inventory</t>
  </si>
  <si>
    <t>Six colocation license agreements named in the indenture: Denton TX (26 Feb 2024), Muskogee OK (24 Jun 2024), Marble NC (3 Jun 2024), Dalton GA site 1 (3 Jun 2024), Dalton 3 GA (19 Oct 2024), Austin TX (29 Feb 2024).</t>
  </si>
  <si>
    <t>Leased and billable capacity</t>
  </si>
  <si>
    <t>About 590 MW of leased customer power capacity across five sites; about 395 MW billing at 30 Jun 2026; remaining about 195 MW in construction/commissioning.</t>
  </si>
  <si>
    <t>Initial lease terms of 12 years from commencement for contracts not yet commenced at 30 Jun 2026 (matches 10-K statement for 31 Dec 2025).</t>
  </si>
  <si>
    <t>Lease type / extensions / rent per MW</t>
  </si>
  <si>
    <t>Seed: modified gross, two 5-year extensions, about $1.2mm per MW per year with 3% escalator. The filings reviewed do not state extension options, rent per MW or escalator; the contract form is a 'license agreement' not a lease.</t>
  </si>
  <si>
    <t>Rent starts as each phase is delivered; deferred revenue of $287mm at 30 Jun 2026 includes customer prepayments for capacity not yet delivered. Notes amortization is keyed to the later of full rent commencement and abatement of all revenue credits (SLA/delay credits) owed to the tenant.</t>
  </si>
  <si>
    <t>Termination / replacement mechanics (indenture)</t>
  </si>
  <si>
    <t>A 'Datacenter Lease Termination Event' is any Datacenter Lease ceasing to be in effect. It becomes an Event of Default if no Qualifying Datacenter Lease is signed within 6 months (extendable to 12 months if an LOI is signed, the DSRA is fully funded, no discretionary distributions are made, opex is covered and any termination payment sits in the Designated Account).</t>
  </si>
  <si>
    <t>Qualifying Tenant test</t>
  </si>
  <si>
    <t>NVIDIA, Apple, Microsoft, Amazon, Alphabet, Oracle or Meta (or controlled affiliates); or a listed hyperscaler/tech company with EV or market cap of at least $50bn; or a tenant with a qualifying backstop; or holder-majority approval. Rating Agency Confirmation from two agencies is also required. CoreWeave itself is NOT on the named list.</t>
  </si>
  <si>
    <t>None identified in the filings reviewed (no Microsoft/NVIDIA/Meta guarantee of the CoreWeave licenses).</t>
  </si>
  <si>
    <t>Assignment / sublease</t>
  </si>
  <si>
    <t>Assignment to CW SPV occurred in 2026 with CoreWeave remaining primary obligor; further assignment/sublease rights not disclosed.</t>
  </si>
  <si>
    <t>Sites and states</t>
  </si>
  <si>
    <t>Austin TX, Denton TX, Dalton GA (two sites incl. Dalton 3), Marble NC, Muskogee OK. The completion guarantee covers Dalton, Denton, Marble and Muskogee but not Austin.</t>
  </si>
  <si>
    <t>About 590 MW leased to CoreWeave across the five sites (seed also 590 MW). Per-site MW split not found in the filings reviewed.</t>
  </si>
  <si>
    <t>Denton power</t>
  </si>
  <si>
    <t>Existing 297 MW approved by ERCOT as longstanding existing load (Base Load, Pathway (a), energized before 25 Mar 2022) and not subject to Batch Zero allocation; additional 74 MW validated in ERCOT's 2025 Regional Transmission Plan and also outside Batch Zero.</t>
  </si>
  <si>
    <t>Cost / capex per MW</t>
  </si>
  <si>
    <t>Seed: facility cost about $5.5bn, about $9.3mm per critical MW, debt about 56% of cost. Offering memorandum not accessible; the indenture refers to a 'Full Budgeted Cost of Construction' but the figure was not located in the text reviewed.</t>
  </si>
  <si>
    <t>Net proceeds funded the debt service reserve account and a distribution to Core Scientific; remaining build-out is funded from other available funds with parent completion support.</t>
  </si>
  <si>
    <t>Nearby/adjacent growth sites (not part of the collateral unless added)</t>
  </si>
  <si>
    <t>Hunt County TX (about 430 MW gross, ERCOT stability study approved, construction started), Pecos TX (existing 300 MW Base Load pathway (b) plus 300 MW Studied Load), Polaris DS adjacent to Muskogee (up to 440 MW).</t>
  </si>
  <si>
    <t>Grid status</t>
  </si>
  <si>
    <t>Texas sites are ERCOT-connected; Denton's existing 297 MW is classified as longstanding existing load (not subject to Batch Zero). Power arrangements for Dalton GA, Marble NC, Muskogee OK and Austin TX were not described in the filings reviewed.</t>
  </si>
  <si>
    <t>Pecos and Hunt classifications are conditional (final allocation and load ramp only after Batch Zero concludes); Denton is outside the process. Conditionality is therefore a parent-growth risk more than a risk to the Denton collateral.</t>
  </si>
  <si>
    <t>Utility credit support</t>
  </si>
  <si>
    <t>The Aug 2026 $500mm L/C facility is intended to provide credit support for project obligations under utility agreements.</t>
  </si>
  <si>
    <t>Status at 30 Jun 2026</t>
  </si>
  <si>
    <t>395 MW billing vs 590 MW leased; about 195 MW still in construction and commissioning. Timing depends on equipment lead times, labor, permitting, interconnection sequencing and customer deployment pace.</t>
  </si>
  <si>
    <t>Uncapped completion guarantee from Core Scientific, Inc. to fund the Issuer as needed to complete the Projects (Dalton, Denton, Marble, Muskogee; not Austin). Backed by a security interest in Parent Collateral. Not a guarantee of the notes.</t>
  </si>
  <si>
    <t>Seed: construction from mid-2024, lease commencement late 2024 to early 2027. Official final commencement date not stated; the 10-Q's amortization assumption of 15 Nov 2029 implies the company does not expect the first installment before then.</t>
  </si>
  <si>
    <t>EPC contractor and contract type not found in the filings reviewed.</t>
  </si>
  <si>
    <t>Delay economics</t>
  </si>
  <si>
    <t>Revenue credits to the tenant for late delivery must be abated before amortization starts (see First Installment Payment Date), so construction slippage delays principal repayment and raises the refinancing balloon.</t>
  </si>
  <si>
    <t>$3.3bn issued at 99.25 (OID about $24.8mm; issuance costs $42.0mm); effective interest rate 8.3%.</t>
  </si>
  <si>
    <t>Funded at issue; $344.8mm on deposit at 30 Jun 2026 (indenture construction-period requirement uses a $343mm estimate plus next-interest and first-installment components).</t>
  </si>
  <si>
    <t>Use of proceeds flow</t>
  </si>
  <si>
    <t>Notes -&gt; DSRA + distribution to Parent -&gt; Parent repaid the $1.0bn Morgan Stanley delayed-draw bridge in full on 6 May 2026 (loss on extinguishment $5.4mm).</t>
  </si>
  <si>
    <t>Seed: 5.7x at issuance, 3.8x at maturity, debt 56% of cost. Not derivable from filings reviewed.</t>
  </si>
  <si>
    <t>Amortization profile and refi risk</t>
  </si>
  <si>
    <t>About $759mm of installments (23%) before maturity incl. the May 2031 installment per the 10-Q schedule; seed shows 23.6%, consistent. Roughly $2.5bn due at maturity; refinancing depends on CoreWeave-family credit and the replacement-lease market.</t>
  </si>
  <si>
    <t>Parent-level obligations</t>
  </si>
  <si>
    <t>Parent has $1.085bn convertibles due 2029/2031 and new revolver/L/C lines; these sit outside the ring-fence, but the parent is also the completion-guarantee provider, so parent liquidity matters.</t>
  </si>
  <si>
    <t>Uncapped, from Core Scientific, Inc., four of five sites (not Austin); security interest in Parent Collateral.</t>
  </si>
  <si>
    <t>Cash DSRA sized to cover interest plus the next installment (during construction: net of expected project revenue).</t>
  </si>
  <si>
    <t>Lease replacement protection</t>
  </si>
  <si>
    <t>Replacement within 6-12 months with a Qualifying Tenant plus ratings confirmation or event of default; amortization deferred and par-call right during the cure window.</t>
  </si>
  <si>
    <t>Tenant parent support</t>
  </si>
  <si>
    <t>No third-party guarantee of the licenses found; CoreWeave named as primary obligor even after assignment to CW SPV.</t>
  </si>
  <si>
    <t>Termination payments</t>
  </si>
  <si>
    <t>Datacenter Lease MRC (monthly recurring payments on a lease termination, incl. liquidated amounts) must be used to redeem notes at par.</t>
  </si>
  <si>
    <t>Limits on additional debt, restricted payments, investments, liens, asset sales, sale-leasebacks, non-project operations, amendment/termination of key agreements, affiliate transactions and mergers; customary events of default incl. cross-default to material debt and judgment default.</t>
  </si>
  <si>
    <t>After the Final Commencement Date, distributions limited to 30% of trailing four-quarter Net Operating Income plus (Full Budgeted Cost of Construction minus notes issued at the issue date); tax distributions allowed only if the DSRA is at its required level.</t>
  </si>
  <si>
    <t>Cash waterfall</t>
  </si>
  <si>
    <t>Project accounts incl. Revenue Account, DSRA and Designated Account (termination fees); waterfall set out in Section 4.23. Order of priorities not extracted.</t>
  </si>
  <si>
    <t>Debt Service Coverage Ratio</t>
  </si>
  <si>
    <t>Defined as estimated forward four-quarter NOI over required debt service (good-faith Issuer estimate). No lock-up ratio level located in the sections reviewed.</t>
  </si>
  <si>
    <t>Quarterly financials within 60 days (75 days for Q2 2026, Q3 2026 and Q1 2027), annual within 120 days (150 days for FY2026); FY2026 and FY2027 annuals may be unaudited.</t>
  </si>
  <si>
    <t>Put at 101% of principal plus accrued interest.</t>
  </si>
  <si>
    <t>Seed ratings</t>
  </si>
  <si>
    <t>NR / BB / BB- (Moody's / S&amp;P / Fitch ordering as given by Barclays).</t>
  </si>
  <si>
    <t>Public hint</t>
  </si>
  <si>
    <t>A TradingView listing shows a BB rating for the notes without naming the agency.</t>
  </si>
  <si>
    <t>Rating-agency documents</t>
  </si>
  <si>
    <t>No S&amp;P, Fitch or Moody's release was accessible; outlook, rationale and triggers are not verified. The indenture requires a Rating Agency Confirmation (two agencies) for any replacement lease.</t>
  </si>
  <si>
    <t>Stated use</t>
  </si>
  <si>
    <t>Fund the debt service reserve account; remainder distributed to Core Scientific; Core Scientific to use part to repay the delayed-draw term loans under its 364-day Bridge Facility.</t>
  </si>
  <si>
    <t>Actual</t>
  </si>
  <si>
    <t>Bridge ($1.0bn facility, Term SOFR+2.50%) repaid 6 May 2026; $344.8mm remained in the DSRA at 30 Jun 2026; Parent cash rose to $1.77bn at 30 Jun 2026.</t>
  </si>
  <si>
    <t>Single-tenant concentration</t>
  </si>
  <si>
    <t>All rent comes from CoreWeave-family entities (about 77% of Core Scientific revenue). CoreWeave's own bonds sold off to distressed levels on 14-16 Oct 2026 (see CRWV dossier).</t>
  </si>
  <si>
    <t>SPV layering</t>
  </si>
  <si>
    <t>Assignment of licenses to CW SPV adds a structural layer; recourse against CoreWeave parent depends on its financial condition.</t>
  </si>
  <si>
    <t>Refinancing balloon</t>
  </si>
  <si>
    <t>About $2.5bn (about 77%) due at 2031 maturity on the company's own assumed amortization start.</t>
  </si>
  <si>
    <t>Delivery risk</t>
  </si>
  <si>
    <t>About 195 MW still in construction at 30 Jun 2026; amortization and rent depend on full commencement and abatement of revenue credits.</t>
  </si>
  <si>
    <t>Tenant-replacement test excludes CoreWeave</t>
  </si>
  <si>
    <t>A replacement lease must be with a Qualifying Tenant (hyperscaler-type); CoreWeave is not itself listed, so re-letting after a CoreWeave default is a high bar.</t>
  </si>
  <si>
    <t>Collateral sites now also hosting new leases</t>
  </si>
  <si>
    <t>Core Scientific signed AMD leases (377 MW at Pecos, Muskogee, Hunt County) and Neocloud leases (152 MW at Auburn AL and Dalton Phase 3) on 27 Jul 2026. Muskogee and Dalton are notes collateral sites; whether these are inside the Issuer ring-fence, additional projects or outside is NOT disclosed in what I reviewed.</t>
  </si>
  <si>
    <t>Parent equity / warrants</t>
  </si>
  <si>
    <t>Large warrant liabilities and the AMD warrant (up to 30mm shares at $23.47) create dilution and accounting volatility but do not affect the notes directly.</t>
  </si>
  <si>
    <t>Mining wind-down</t>
  </si>
  <si>
    <t>Self-mining is being wound down; $266.5mm impairment in H1 2026; Block contract termination loss $41.9mm.</t>
  </si>
  <si>
    <t>AMD relationship</t>
  </si>
  <si>
    <t>27-28 Jul 2026: 15-year leases with AMD for 377 MW (Pecos, Muskogee, Hunt County) and with a Neocloud for 152 MW (Auburn, Dalton 3), each with three 5-year options; AMD has capacity reservation rights for up to 1,925 MW more through 28 Dec 2028; AMD warrant for up to 30mm shares at $23.47 vesting 12,222 shares per MW (about 6.5mm vested at signing). Company describes potential for up to 2.5 GW with a roughly 530 MW anchor.</t>
  </si>
  <si>
    <t>Q2 2026 results</t>
  </si>
  <si>
    <t>Colocation 77% of H1 revenue; billable 395 MW of 590 MW leased; $1.77bn cash; net loss about $1.2bn in Q2 on warrant revaluation.</t>
  </si>
  <si>
    <t>Polaris DS acquisition closed</t>
  </si>
  <si>
    <t>13 Aug 2026, about $444.3mm cash, up to 440 MW of utility power next to Muskogee.</t>
  </si>
  <si>
    <t>Credit facilities</t>
  </si>
  <si>
    <t>25 Aug 2026: $100mm revolver + $500mm L/C facility (JPMorgan agent), undrawn.</t>
  </si>
  <si>
    <t>ERCOT update</t>
  </si>
  <si>
    <t>10 Sep 2026: Denton outside Batch Zero; Pecos and Hunt conditionally approved.</t>
  </si>
  <si>
    <t>Tenant stress</t>
  </si>
  <si>
    <t>14-16 Oct 2026: CoreWeave bonds trade at distressed levels (see CRWV dossier). No Core Scientific response found in filings as of 16 Oct 2026.</t>
  </si>
  <si>
    <t>2024-02-26</t>
  </si>
  <si>
    <t>Denton TX colocation license agreement with CoreWeave (first of six named in the indenture; Austin dated 29 Feb 2024)</t>
  </si>
  <si>
    <t>2024-06-03</t>
  </si>
  <si>
    <t>Marble NC and Dalton GA site 1 license agreements; Muskogee OK dated 24 Jun 2024; Dalton 3 dated 19 Oct 2024</t>
  </si>
  <si>
    <t>2025-07-07</t>
  </si>
  <si>
    <t>Core Scientific signs all-stock merger agreement with CoreWeave</t>
  </si>
  <si>
    <t>Core Scientific stockholders reject the merger; agreement terminated, no termination fee</t>
  </si>
  <si>
    <t>$1.0bn delayed-draw 364-day bridge (Morgan Stanley) signed; fully drawn in March</t>
  </si>
  <si>
    <t>2026-04-22</t>
  </si>
  <si>
    <t>Notes priced: $3.3bn 7.750% senior secured due 2031 at 99.250</t>
  </si>
  <si>
    <t>Hunt County TX land and ~430 MW power acquired (~$233mm); Polaris DS merger agreement signed</t>
  </si>
  <si>
    <t>Notes close; bridge repaid in full; DSRA funded; indenture dated</t>
  </si>
  <si>
    <t>2026-07-27</t>
  </si>
  <si>
    <t>AMD and Neocloud leases signed (529 MW total) plus AMD warrant</t>
  </si>
  <si>
    <t>Q2 10-Q filed; AMD relationship announced</t>
  </si>
  <si>
    <t>2026-08-13</t>
  </si>
  <si>
    <t>Polaris DS acquisition closes (~$444.3mm)</t>
  </si>
  <si>
    <t>2026-08-25</t>
  </si>
  <si>
    <t>$100mm revolver + $500mm L/C facility signed (JPMorgan)</t>
  </si>
  <si>
    <t>2026-09-10</t>
  </si>
  <si>
    <t>8-K on ERCOT status: Denton outside Batch Zero; Pecos and Hunt conditionally approved</t>
  </si>
  <si>
    <t>Tenant CoreWeave's bonds sell off to distressed levels (see CRWV dossier)</t>
  </si>
  <si>
    <t>2026-11-15</t>
  </si>
  <si>
    <t>First scheduled coupon on the notes (15 Nov 2026)</t>
  </si>
  <si>
    <t>S1 | SEC filing | 2026-05-06</t>
  </si>
  <si>
    <t>Core Scientific Form 8-K (Items 1.01, 1.02, 2.03, 8.01): completion of $3.3bn 7.750% Senior Secured Notes due 2031 (Core Scientific, Inc. / SEC EDGAR). Used for: Issuer, guarantors, collateral, amortization, redemption, covenants, completion guarantee, use of proceeds, bridge repayment</t>
  </si>
  <si>
    <t>S2 | Indenture | 2026-05-06</t>
  </si>
  <si>
    <t>Indenture dated 6 May 2026 (Exhibit 4.1 to the 8-K) incl. form of note (Core Scientific Finance I LLC / Wilmington Savings Fund Society, FSB (trustee) / SEC EDGAR). Used for: Defined terms (Datacenter Lease, Qualifying Tenant, First Installment Payment Date, DSRA), redemption prices, restricted payments, lease-termination event of default, reporting, denominations</t>
  </si>
  <si>
    <t>S3 | Press release | 2026-04-22</t>
  </si>
  <si>
    <t>Press release: Core Scientific Announces Pricing of $3.3 Billion of Senior Secured Notes (Exhibit 99.1) (Core Scientific, Inc.). Used for: Pricing at 99.250, 144A/Reg S, projects covered by completion guarantee, use of proceeds</t>
  </si>
  <si>
    <t>S4 | SEC filing | 2026-07-28</t>
  </si>
  <si>
    <t>Core Scientific Form 10-Q for quarter ended 30 June 2026 (Core Scientific, Inc. / SEC EDGAR). Used for: Billable vs leased MW, CoreWeave concentration, CW SPV assignment, debt table and maturities, DSRA balance, liquidity, AMD/Neocloud leases, Hunt County and Polaris acquisitions</t>
  </si>
  <si>
    <t>S5 | SEC filing | 2026-03-02</t>
  </si>
  <si>
    <t>Core Scientific Form 10-K for FY2025 (Core Scientific, Inc. / SEC EDGAR). Used for: 590 MW CoreWeave relationship, 12-year initial lease term, failed CoreWeave merger (Jul-Oct 2025), pre-notes debt</t>
  </si>
  <si>
    <t>S6 | SEC filing | 2026-08-27</t>
  </si>
  <si>
    <t>Core Scientific Form 8-K: $100mm revolver / $500mm L/C facility credit agreement (JPMorgan) (Core Scientific, Inc. / SEC EDGAR). Used for: Parent-level liquidity facilities and covenants</t>
  </si>
  <si>
    <t>S7 | SEC filing | 2026-08-14</t>
  </si>
  <si>
    <t>Core Scientific Form 8-K: closing of Polaris DS LLC acquisition (Muskogee, OK) (Core Scientific, Inc. / SEC EDGAR). Used for: Polaris acquisition price and closing date</t>
  </si>
  <si>
    <t>S8 | SEC filing | 2026-09-10</t>
  </si>
  <si>
    <t>Core Scientific Form 8-K (Item 7.01): ERCOT power status for Denton, Pecos and Hunt, Texas (Core Scientific, Inc. / SEC EDGAR). Used for: ERCOT Batch Zero classification of Denton (collateral site)</t>
  </si>
  <si>
    <t>S9 | News | 2026-10-16</t>
  </si>
  <si>
    <t>TradingView bond listing for Core Scientific Finance 7.75% 15-May-2031 (TradingView). Used for: Only public hint of a BB rating (agency not stated)</t>
  </si>
  <si>
    <t>S10 | News | 2026-09-16</t>
  </si>
  <si>
    <t>Barclays IG/HY Data Center Credit Digest (16-Sep-2026) and Bloomberg, via seed.json (Barclays / Bloomberg (secondary)). Used for: Leads only: ISIN, rating string, lease tenor, rent/MW, cost, leverage, spreads</t>
  </si>
  <si>
    <t>Offering memorandum (144A) not accessible: per-site MW, Full Budgeted Cost of Construction, sources and uses, rent per MW, escalators, lease extension options, lock-up/DSCR thresholds and construction schedule are not verified.</t>
  </si>
  <si>
    <t>The six CoreWeave colocation license agreements were not located as filed exhibits; the 12-year term comes only from 10-K/10-Q notes; CW SPV assignment terms and the SPV financing are undisclosed.</t>
  </si>
  <si>
    <t>Rating agency reports (S&amp;P BB, Fitch BB- per seed) not accessible; no outlooks, rationale or triggers. Only a TradingView listing hinting at BB.</t>
  </si>
  <si>
    <t>Seed discrepancy: seed amortization start 'Early 2029' (23.6% by maturity); official terms start amortization at the First Installment Payment Date, which the 10-Q assumes is 15 Nov 2029 (about 23% by maturity incl. final installment). Seed 'Modified Gross', 'two 5-yr extensions', $1.2mm/MW rent, $5.5bn cost, ISIN/CUSIP and leverage are unverified.</t>
  </si>
  <si>
    <t>Day count, governing law (likely New York, not confirmed in text reviewed) and full cash-waterfall order / any DSCR lock-up level were not extracted from the 1.1MB indenture.</t>
  </si>
  <si>
    <t>Whether the new AMD/Neocloud leases at Muskogee and Dalton 3 fall inside the notes' collateral/ring-fence is not stated in the filings reviewed.</t>
  </si>
  <si>
    <t>EPC contractor, construction contract type and per-site delivery schedule not found.</t>
  </si>
  <si>
    <t>Austin facility is a guarantor and has a lease but is excluded from the completion guarantee; reason not disclosed.</t>
  </si>
  <si>
    <t>Q1 2026 10-Q and the 21 Apr 2026 launch 8-K (Item 7.01) not read; Q3 2026 results (after 16 Oct 2026) not yet available.</t>
  </si>
  <si>
    <t>Dossier as of 2026-10-16 | ISIN US28002AAA43 (seed, unverified) | HY section | Bloomberg: EDGCOM 7.5 04/30/31 144A Corp</t>
  </si>
  <si>
    <t>Edged Compute LLC, wholly owned indirect subsidiary of EDC Venture LLC (Edged US).</t>
  </si>
  <si>
    <t>$1.3bn 7.500% Senior Secured Notes due 2031, Rule 144A / Regulation S; issued 21-Apr-2026. Seed issue date 29-Apr-2026 equals the law-firm announcement date.</t>
  </si>
  <si>
    <t>Tenor / maturity</t>
  </si>
  <si>
    <t>Five-year tenor maturing 2031 (Fitch). Seed gives 30-Apr-2031 (exact day unverified).</t>
  </si>
  <si>
    <t>S1,S0</t>
  </si>
  <si>
    <t>Security</t>
  </si>
  <si>
    <t>First lien on all assets, contracts and cash flows of the issuer and subsidiaries, subject to excluded assets.</t>
  </si>
  <si>
    <t>Pricing / call</t>
  </si>
  <si>
    <t>Seed: first call 30-Apr-2028 at 103.75; pricing/yield not found. Make-whole and redemption schedule not seen.</t>
  </si>
  <si>
    <t>Seed: ISIN US28002AAA43, CUSIP 28002AAA4 (144A); not verified against an official document. Reg S identifiers not found.</t>
  </si>
  <si>
    <t>Fitch: initial-term cash flows fully amortize the debt after refinancing; rating-case average DSCR over the amortization years 2030-2031 is 1.11x, implying amortization starts around 2030. Seed: starts late 2029, ~6.6% of principal repaid by maturity (so ~93% balloon). Schedule not seen.</t>
  </si>
  <si>
    <t>Borrower</t>
  </si>
  <si>
    <t>Edged Compute LLC finances two build-to-suit sites, Aurora (Chicago) IL and Atlanta GA, under one issuer (Edged calls it the first bond of its kind for multi-site, multi-customer development).</t>
  </si>
  <si>
    <t>S2,S6</t>
  </si>
  <si>
    <t>SPE covenants: separateness, no commingling, no guarantee of parent obligations, business limited to developing and operating these facilities.</t>
  </si>
  <si>
    <t>EDC Venture LLC (Edged US) is the parent; Edged's wider platform (Council Bluffs 200MW etc.) is financed separately, e.g. a construction loan with TD Securities and Credit Agricole CIB as coordinating lead arrangers.</t>
  </si>
  <si>
    <t>Edged US</t>
  </si>
  <si>
    <t>Data center developer, cofounded by Koch and entrepreneur Jakob Carnemark; CEO Bryant Farland. Campuses in Atlanta, Chicago/Aurora, Columbus, Dallas, Des Moines, Kansas City, Phoenix and Council Bluffs.</t>
  </si>
  <si>
    <t>S6,S8</t>
  </si>
  <si>
    <t>Capital raised</t>
  </si>
  <si>
    <t>About $2bn of financing year-to-date to 28-May-2026, including these notes.</t>
  </si>
  <si>
    <t>Sale process</t>
  </si>
  <si>
    <t>A July 2026 report says Koch Real Estate Investments is exploring a sale at about $15bn; no deal reported. Unconfirmed secondary source.</t>
  </si>
  <si>
    <t>Operating history</t>
  </si>
  <si>
    <t>Fitch flags Edged's limited operating history and the sponsors' limited refinancing record as weaknesses.</t>
  </si>
  <si>
    <t>Chicago (Aurora IL, ORD01-2)</t>
  </si>
  <si>
    <t>72MW IT (about 60% of capacity). Tenant CoreWeave Inc. (Fitch BB-/Positive). Lease type NNN plus an operating agreement. 16-year term, two 5-year renewals. Tenant maintains and replaces mechanical and electrical equipment.</t>
  </si>
  <si>
    <t>Atlanta (ATL01-3)</t>
  </si>
  <si>
    <t>42MW IT (about 40%). Tenant Alibaba Cloud LLC (unrated). Modified gross (MG+E). 15-year term, two 5-year renewals. Lease unconditionally guaranteed by Alibaba Group Services Limited (unrated).</t>
  </si>
  <si>
    <t>Reconciliation to Barclays</t>
  </si>
  <si>
    <t>Seed split (CoreWeave Chicago NNN 16 yrs; Alibaba Atlanta MG 15 yrs; 72MW + 42MW = 114MW) is confirmed by Fitch. Barclays' 'Chicago IL' is Aurora, Illinois. The 'two 5-year extensions' apply to both leases.</t>
  </si>
  <si>
    <t>Fitch does not disclose rent. Seed: $1.71mm per MW per year, 3.0% escalator (Fitch models 3% annual escalations). Re-leasing stress uses $125/kW per month (=$1.5mm/MW/yr).</t>
  </si>
  <si>
    <t>Service levels / termination</t>
  </si>
  <si>
    <t>Tenants may receive outage or service credits against rent. Atlanta lease gives the tenant termination rights for sustained critical deficiencies; in Chicago SLA-linked termination is limited to the operations agreement.</t>
  </si>
  <si>
    <t>Delay remedies</t>
  </si>
  <si>
    <t>Atlanta: no tenant termination right for late delivery. Chicago: rent credits begin after a 30-day grace period; outside termination date 270 days, extended for permitting, supply-chain or utility delays.</t>
  </si>
  <si>
    <t>Pass-through of power</t>
  </si>
  <si>
    <t>Power costs are passed through to tenants at both sites.</t>
  </si>
  <si>
    <t>Tenant disclosure</t>
  </si>
  <si>
    <t>Edged and the law-firm releases do not name tenants; Aurora is described only as fully pre-leased. Names come from Fitch. Neither CoreWeave 10-Q nor any Alibaba filing was found describing the leases.</t>
  </si>
  <si>
    <t>S2,S5,S10</t>
  </si>
  <si>
    <t>Chicago site</t>
  </si>
  <si>
    <t>Aurora, IL, 2835 Bilter Road: second building on Edged's Chicago campus (first facility opened Feb 2025). 72MW critical capacity, waterless closed-loop ThermalWorks cooling, liquid-to-chip above 200kW per rack. Topped out Jun 2026.</t>
  </si>
  <si>
    <t>S4,S5</t>
  </si>
  <si>
    <t>Atlanta site</t>
  </si>
  <si>
    <t>ATL01-3: 42MW critical capacity on the 169MW Atlanta campus (three buildings, all reported fully leased). Topped out; operational early 2027.</t>
  </si>
  <si>
    <t>S6,S7</t>
  </si>
  <si>
    <t>Fitch: total project cost $1.63bn, which it states implies about 71% loan-to-cost for the notes. Note the arithmetic: $1.3bn / $1.63bn is about 80%; the 71% (also the seed's 'debt-funded' figure) would imply ~$1.83bn. Reconcile before use. Seed cost per MW $14.3mm.</t>
  </si>
  <si>
    <t>Development and construction of the two data centers (Atlanta and Aurora).</t>
  </si>
  <si>
    <t>S2,S3</t>
  </si>
  <si>
    <t>Atlanta</t>
  </si>
  <si>
    <t>Substation substantially complete and expected to be energized by May 2026; energy services agreement with Georgia Power (A-/Stable) executed (Fitch, Apr 2026). Energization after that date not verified.</t>
  </si>
  <si>
    <t>Chicago</t>
  </si>
  <si>
    <t>CAIC agreement with ComEd nearly final at the time of rating; substation construction started under a separate agreement; no ESA executed. Power can be bought directly from ComEd and passed through. Fitch rates supply risk Weaker.</t>
  </si>
  <si>
    <t>Contractors</t>
  </si>
  <si>
    <t>Brasfield &amp; Gorrie (Atlanta), FCL Builders (Chicago); fixed-price GMP contracts; about 90% of owner-furnished equipment procured (Fitch, Apr 2026).</t>
  </si>
  <si>
    <t>Atlanta ATL01-3 operational early 2027; Aurora Q2 2027. Fitch: each phase has two to three months of headroom vs lease-required dates. Seed lease commencement: Atlanta Jan-Jun 2027, Chicago May-Dec 2027.</t>
  </si>
  <si>
    <t>S1,S4,S5,S7,S0</t>
  </si>
  <si>
    <t>Cost protection</t>
  </si>
  <si>
    <t>Chicago lease has a yield-on-cost mechanism passing certain cost increases to rent, subject to a cap. No completion guarantee mentioned in Fitch's text.</t>
  </si>
  <si>
    <t>$1.3bn notes plus sponsor equity against $1.63bn total project cost (Fitch); equity amount not disclosed. Seed: 71% debt-funded, leverage 7.4x at issuance and 6.0x at maturity (unverified).</t>
  </si>
  <si>
    <t>Notes mature 2031 before the 15-16 year leases; Fitch assumes ~$319mm of additional debt in 2031 (85% LTC limit) and rates debt structure Weaker because of refinancing risk. PLCR at refinancing 1.18x base, 1.14x rating case.</t>
  </si>
  <si>
    <t>DSRA</t>
  </si>
  <si>
    <t>Funded at closing with six months of debt service.</t>
  </si>
  <si>
    <t>Metrics</t>
  </si>
  <si>
    <t>Base case average DSCR 1.43x (2027-2031); rating case 1.42x, and 1.11x over the amortization years 2030-2031; Alibaba-sanctions scenario about 1.18x average and near 1.00x in 2030-2031 (PLCR 1.03x).</t>
  </si>
  <si>
    <t>Alibaba guarantee</t>
  </si>
  <si>
    <t>Alibaba Group Services Limited (unrated) unconditionally guarantees the Atlanta lease; sanctions on Alibaba entities would be the main stress (Fitch).</t>
  </si>
  <si>
    <t>No guarantee beyond CoreWeave itself; Fitch caps the rating at CoreWeave's profile because it does not give credit for replacing CoreWeave in a tenant-bankruptcy scenario.</t>
  </si>
  <si>
    <t>If a lease terminates (including from a sanctions event), a replacement tenant may be an unrated counterparty with market cap above $50bn, subject to rating confirmation from two agencies.</t>
  </si>
  <si>
    <t>Debt incurrence</t>
  </si>
  <si>
    <t>Additional debt permitted up to 85% LTC pari passu or 95% non-pari passu, with a good-faith NOI-covers-debt-service test; Fitch views several provisions as weaker than standard project finance.</t>
  </si>
  <si>
    <t>Other</t>
  </si>
  <si>
    <t>Mergers, reinvestment of casualty/asset-sale proceeds and JVs permitted without rating confirmation. Full waterfall, lock-up and EoD terms not seen.</t>
  </si>
  <si>
    <t>BB-(EXP), Stable (committee 9-Apr-2026; release 21-Apr-2026). Final rating depended on final documents; final Fitch release not found. Downgrade: CoreWeave below BB-, delays beyond lease-allowed times, DSCR/PLCR below 1.10x (e.g. Alibaba restricted-party designation). Upgrade: CoreWeave above BB-, PLCR above 1.15x and very low sanctions risk.</t>
  </si>
  <si>
    <t>Seed shows BB+; no S&amp;P document found. Note S&amp;P rates CoreWeave B+ (positive) in press, so a BB+ on a deal with a CoreWeave-leased 60% share would be unusual; treat as unverified.</t>
  </si>
  <si>
    <t>Not rated per seed (NR).</t>
  </si>
  <si>
    <t>Fund construction of the Atlanta (ATL01-3) and Aurora (ORD01-2) data centers; DSRA funded at closing.</t>
  </si>
  <si>
    <t>S2,S1</t>
  </si>
  <si>
    <t>CoreWeave concentration</t>
  </si>
  <si>
    <t>About 60% of capacity is leased to CoreWeave and Fitch's rating is capped at CoreWeave (BB-/Positive).</t>
  </si>
  <si>
    <t>Alibaba sanctions</t>
  </si>
  <si>
    <t>Fitch sees low-to-medium likelihood, moderate-impact US sanctions risk on Alibaba Group as the main rating constraint; Alibaba stress cuts 2030-31 DSCR to ~1.0x.</t>
  </si>
  <si>
    <t>Atlanta termination rights</t>
  </si>
  <si>
    <t>Atlanta tenant can terminate for sustained critical deficiencies; Chicago has rent credits and a 270-day outside date.</t>
  </si>
  <si>
    <t>Both sites depend on new substations; Chicago has no executed ESA and the CAIC with ComEd was unsigned at rating.</t>
  </si>
  <si>
    <t>Refinancing and operator</t>
  </si>
  <si>
    <t>2031 balloon and a sponsor with limited operating and refinancing record.</t>
  </si>
  <si>
    <t>Sponsor sale</t>
  </si>
  <si>
    <t>Reported Koch-led sale process could change ownership; no covenant detail seen on change of control.</t>
  </si>
  <si>
    <t>Aurora topped out</t>
  </si>
  <si>
    <t>72MW building topped out and described as fully pre-leased; operations due Q2 2027 (9-Jun-2026).</t>
  </si>
  <si>
    <t>Financing</t>
  </si>
  <si>
    <t>Edged announced nearly $2bn of financing YTD on 28-May-2026.</t>
  </si>
  <si>
    <t>Sale report</t>
  </si>
  <si>
    <t>Koch exploring sale at ~$15bn reported 28-Jul-2026 (unconfirmed).</t>
  </si>
  <si>
    <t>Market level</t>
  </si>
  <si>
    <t>Seed: 9.30% yield / +453bp on 15-Sep-2026 (Barclays).</t>
  </si>
  <si>
    <t>2025-02-01</t>
  </si>
  <si>
    <t>First Edged Chicago (Aurora) facility opens</t>
  </si>
  <si>
    <t>Groundbreaking of 72MW second Aurora building (ORD01-2)</t>
  </si>
  <si>
    <t>2026-04-09</t>
  </si>
  <si>
    <t>Fitch rating committee for Edged Compute</t>
  </si>
  <si>
    <t>Bloomberg: Edged Compute bond offering launches</t>
  </si>
  <si>
    <t>$1.3bn 7.500% senior secured notes due 2031 issued; Fitch BB-(EXP) Stable</t>
  </si>
  <si>
    <t>Davis Polk and Cahill announce the offering</t>
  </si>
  <si>
    <t>Expected Atlanta substation energization window ends (Fitch: by May 2026); confirmation not found</t>
  </si>
  <si>
    <t>2026-05-28</t>
  </si>
  <si>
    <t>Edged announces nearly $2bn financing YTD incl. notes and Council Bluffs loan</t>
  </si>
  <si>
    <t>Aurora 72MW building topped out, fully pre-leased, Q2 2027 operations</t>
  </si>
  <si>
    <t>Report that Koch is exploring Edged sale at about $15bn</t>
  </si>
  <si>
    <t>2026-08-12</t>
  </si>
  <si>
    <t>CoreWeave Q2 10-Q: no disclosure of the Edged lease found</t>
  </si>
  <si>
    <t>Barclays digest: yield 9.30%, spread +453bp</t>
  </si>
  <si>
    <t>seed.json (Barclays IG/HY Data Center Credit Digest 16-Sep-2026 and Bloomberg) (Barclays / Bloomberg (via seed.json)). Used for: Leads only; every item tagged seed, unverified comes from here</t>
  </si>
  <si>
    <t>S1 | Rating agency | 2026-04-21</t>
  </si>
  <si>
    <t>Fitch Expects to Rate Edged Compute LLC and Its Senior Secured Notes 'BB-(EXP)'; Outlook Stable (committee 9-Apr-2026) (Fitch Ratings (full text via MarketScreener)). Used for: Site-by-site tenants, lease types, terms, construction, power, covenants, reserves, DSCR/PLCR, sanctions risk, rating triggers</t>
  </si>
  <si>
    <t>S2 | Press release | 2026-04-29</t>
  </si>
  <si>
    <t>Edged Compute $1.3 billion notes offering (Davis Polk &amp; Wardwell LLP). Used for: Issuer, parent EDC Venture LLC (Edged US), 7.500% senior secured notes due 2031, 144A/Reg S, issued 21-Apr-2026, Atlanta and Aurora IL sites (no tenants named)</t>
  </si>
  <si>
    <t>S3 | Press release | 2026-04-29</t>
  </si>
  <si>
    <t>Cahill Represents Initial Purchasers in Edged Compute's $1.3 Billion Notes Offering (Cahill Gordon &amp; Reindel LLP). Used for: Proceeds finance construction of two HPC data centers in Atlanta and Chicago (page seen via search result only)</t>
  </si>
  <si>
    <t>S4 | Press release | 2025-11-14</t>
  </si>
  <si>
    <t>Edged US Expands Chicagoland Campus with Groundbreaking of High-Performance AI Data Center in Aurora, Illinois (Edged US). Used for: Aurora site: 2835 Bilter Road, 72MW, groundbreaking 13-Nov-2025, operational Q2 2027, waterless closed-loop cooling; first campus facility opened Feb 2025</t>
  </si>
  <si>
    <t>S5 | News | 2026-06-09</t>
  </si>
  <si>
    <t>Edged tops out second Aurora data centre in Chicago (Datacenter.news). Used for: 72MW topped out, fully pre-leased (tenant not named), operational Q2 2027</t>
  </si>
  <si>
    <t>S6 | News | 2026-05-28</t>
  </si>
  <si>
    <t>Edged nearly $2bn financing announcement (Pulse 2.0 (reporting Edged release)). Used for: Notes called first of their kind for multi-site, multi-customer development; Morgan Stanley lead left; Atlanta campus 169MW; Council Bluffs construction loan; CEO Bryant Farland</t>
  </si>
  <si>
    <t>S7 | News | 2026-06-01</t>
  </si>
  <si>
    <t>Edged tops out 42MW Atlanta data centre built for AI (Datacenter.news / DCD (seen via search results)). Used for: ATL01-3: 42MW, topped out, operational early 2027, tenants not named (snippet-level)</t>
  </si>
  <si>
    <t>S8 | News | 2026-07-28</t>
  </si>
  <si>
    <t>Koch explores sale of Edged (reported by Crypto Briefing citing netrality.com) (Crypto Briefing). Used for: Koch Real Estate Investments cofounder/owner exploring a sale at about $15bn; unconfirmed, low-reliability secondary source</t>
  </si>
  <si>
    <t>AI Junk-Debt Offering Wave Rolls On as Edged Compute Sells Bonds (Bloomberg (headline seen via search only)). Used for: Launch date of the offering (20-Apr-2026); article not readable</t>
  </si>
  <si>
    <t>S10 | SEC filing | 2026-08-12</t>
  </si>
  <si>
    <t>CoreWeave, Inc. Form 10-Q for quarter ended 30-Jun-2026 (SEC EDGAR (CoreWeave)). Used for: Checked for Edged / Aurora / Chicago lease disclosure: no keyword hit (Q1 2026 10-Q also none)</t>
  </si>
  <si>
    <t>Offering memorandum, indenture, lease agreements and S&amp;P / final Fitch reports are not public; redemption schedule, make-whole, amortization schedule, full waterfall, lock-up and EoD terms, trustee, law are unverified.</t>
  </si>
  <si>
    <t>S&amp;P BB+ (seed) not found anywhere; only Fitch BB-(EXP) verified, and only via MarketScreener's copy of Fitch's release. Final (non-expected) Fitch rating not found.</t>
  </si>
  <si>
    <t>Rent per MW ($1.71mm), cost per MW, leverage 7.4x/6.0x, 6.6% amortization and call price 103.75 are seed-only. Rent by site is not disclosed, so the split of revenue between CoreWeave and Alibaba cannot be quantified (Fitch gives 60/40 by MW only).</t>
  </si>
  <si>
    <t>Discrepancy to resolve: Fitch says $1.63bn cost implies ~71% LTC, but $1.3bn / $1.63bn is ~80%. Either cost is higher (~$1.83bn) or the 71% refers to something else.</t>
  </si>
  <si>
    <t>No SEC filing by Edged. CoreWeave 10-Qs show no mention of Edged/Aurora; Alibaba (20-F filer) filings were not searched in detail and no Alibaba disclosure of the Atlanta lease was found.</t>
  </si>
  <si>
    <t>Atlanta substation energization (May 2026 target) and ComEd CAIC / ESA completion for Chicago not verified after April 2026.</t>
  </si>
  <si>
    <t>Seed issue date 29-Apr-2026 is the law-firm announcement date; Davis Polk gives 21-Apr-2026 issue date. Seed 'Chicago IL' is Aurora IL.</t>
  </si>
  <si>
    <t>Koch sale report comes from a low-reliability secondary source.</t>
  </si>
  <si>
    <t>Dossier as of 2026-10-16 | ISIN US78488XAA28 | HY section | Bloomberg: TRACTC 5.875 03/01/31 144A Corp</t>
  </si>
  <si>
    <t>SV RNO Property Owner I, LLC (Bloomberg: SV RNO Property Owner 1), subsidiary of Fleet Data Centers I, LP; equity held through SV RNO HoldCo, LLC.</t>
  </si>
  <si>
    <t>5.875% Senior Secured Notes due 1-Mar-2031</t>
  </si>
  <si>
    <t>$3.8bn original principal (upsized); seed outstanding $3,800mm</t>
  </si>
  <si>
    <t>ISIN / CUSIP (144A)</t>
  </si>
  <si>
    <t>US78488XAA28 / CUSIP 78488XAA2 (seed)</t>
  </si>
  <si>
    <t>5.875% p.a., semi-annual cash, Mar 1 / Sep 1, first payment 1-Sep-2026</t>
  </si>
  <si>
    <t>Priced 13-Feb-2026; delivery expected on/about 24-Feb-2026 (closing release dated 24-Feb)</t>
  </si>
  <si>
    <t>1-Mar-2031</t>
  </si>
  <si>
    <t>Release states 2.500% of original principal, paid semi-annually (wording ambiguous; seed estimates ~8.2% cumulative by maturity from mid-2028, unverified).</t>
  </si>
  <si>
    <t>Senior secured; first-priority liens on substantially all issuer assets and on issuer equity held by SV RNO HoldCo, LLC.</t>
  </si>
  <si>
    <t>Seed: next call 1-Mar-2028 at 102.94; make-whole and schedule not verified.</t>
  </si>
  <si>
    <t>Rule 144A / Regulation S private placement, not SEC-registered; delivery via DTC.</t>
  </si>
  <si>
    <t>Trustee, governing law, denominations</t>
  </si>
  <si>
    <t>Not found; offering memorandum and indenture are private.</t>
  </si>
  <si>
    <t>Fleet Data Centers I, LP -&gt; SV RNO HoldCo, LLC -&gt; SV RNO Property Owner I, LLC (issuer).</t>
  </si>
  <si>
    <t>Ring-fencing / guarantors</t>
  </si>
  <si>
    <t>Notes secured by first liens on substantially all issuer assets and a pledge of issuer equity held by the HoldCo. Detailed guarantor and separateness provisions not available (no indenture).</t>
  </si>
  <si>
    <t>Naming</t>
  </si>
  <si>
    <t>Press releases style the issuer 'Property Owner I'; Bloomberg/Cahill style it 'Property Owner 1'. Same entity.</t>
  </si>
  <si>
    <t>Fleet Data Centers is a portfolio company of Tract Capital (Denver); Fleet describes itself as developer/operator of mega-scale single-user campuses and its team as having built/operated 1,000+ data centers.</t>
  </si>
  <si>
    <t>Tract land position</t>
  </si>
  <si>
    <t>Tract owns roughly 12,000+ acres in northern Nevada (about 12,390 acres across five owned/in-development sites per RGJ), including Peru Shelf Technology Park in TRIC.</t>
  </si>
  <si>
    <t>Other Fleet/Tract financings</t>
  </si>
  <si>
    <t>Sister Fleet notes (TRACTD, PR RNO Property Owner 1) finance a second 200 MW critical IT project with the same tenant description. Project-name mapping (SV = South Valley, PR = Peru Ridge) is an inference from naming and coverage, not confirmed by an official document.</t>
  </si>
  <si>
    <t>Sponsor capital</t>
  </si>
  <si>
    <t>Sponsor equity amount not disclosed in public documents located. Seed leverage implies equity of about 17% (seed: 83% debt-funded) of cost.</t>
  </si>
  <si>
    <t>Fleet press releases describe an unnamed tenant rated AA- by investment-grade agencies with market cap above $3tn; NVIDIA is not named by the issuer.</t>
  </si>
  <si>
    <t>Bloomberg (12-Feb-2026) reported NVIDIA would lease the Fleet/Tract site; Tract declined comment, NVIDIA did not respond. RGJ (Sep 2026) repeats that Bloomberg reported NVIDIA leasing South Valley, with neither company commenting. NVIDIA's 10-Q does not name Tract or Fleet.</t>
  </si>
  <si>
    <t>100% leased, 197-month (about 16.4-year) triple net lease.</t>
  </si>
  <si>
    <t>Extension options</t>
  </si>
  <si>
    <t>Two 10-year extensions reported (Bloomberg-sourced).</t>
  </si>
  <si>
    <t>Seed: base rent about $2.0mm per MW per year, 3.25% escalator (broker estimate).</t>
  </si>
  <si>
    <t>Seed: lease commencement Oct 2027 - Jun 2028 (broker-sourced).</t>
  </si>
  <si>
    <t>Termination, delay, SLA, assignment rights</t>
  </si>
  <si>
    <t>Not publicly disclosed; lease and offering memorandum not available.</t>
  </si>
  <si>
    <t>NVIDIA SEC disclosure</t>
  </si>
  <si>
    <t>10-Q leases not commenced (26-Jul-2026)</t>
  </si>
  <si>
    <t>Note 10 shows $25bn of data center leases not yet commenced for NVIDIA's own use (commence Q3 FY2027 to FY2033, terms up to 20 years) and a separate $20bn of data center leases not commenced 'for third party' (about 15-year terms, expected to commence FY2028-FY2029, subject to construction). NVIDIA states it expects to reassign these data center leases to third parties. Total not-yet-commenced $45bn.</t>
  </si>
  <si>
    <t>Does it identify Tract/Fleet?</t>
  </si>
  <si>
    <t>No. The 10-Q text reviewed contains no mention of Tract, Fleet, Nevada or Reno. Whether any of the $20bn third-party leases relates to these notes cannot be determined from the filing; the roughly 15-year term differs from the 197-month (16.4-year) lease here.</t>
  </si>
  <si>
    <t>Guarantees</t>
  </si>
  <si>
    <t>10-Q discloses guarantees for land, power and shell for AI clouds (max gross exposure $3.5bn, $712mm partner escrow, 5-7 year terms) and, as a subsequent event in Aug 2026, SB Energy guarantees capped at $105bn tied to the Ohio PORTS campus for an OpenAI affiliate. No NVIDIA guarantee of the Fleet/Tract notes or lease is disclosed.</t>
  </si>
  <si>
    <t>Fleet statement of 14-Sep-2026</t>
  </si>
  <si>
    <t>Per seed, Fleet stated that NVIDIA confirmed in writing its reassignment disclosure does not refer to these projects. I could not locate this statement in any public document; treat as unverified.</t>
  </si>
  <si>
    <t>Turnkey data center and electrical substation, 230 MW utility capacity, 200 MW critical IT, Storey County, Nevada (Tahoe-Reno Industrial Center area).</t>
  </si>
  <si>
    <t>Site size</t>
  </si>
  <si>
    <t>252 acres per Feb 2026 release (the sister PR RNO release cites 517 acres; other press cites ~256 acres for the Peru Shelf site). Conflicts unresolved.</t>
  </si>
  <si>
    <t>Seed: facility cost about $4,400mm, about $22.0mm per MW (broker estimate).</t>
  </si>
  <si>
    <t>Name mapping</t>
  </si>
  <si>
    <t>Inference: SV = South Valley (RGJ: Bloomberg reported NVIDIA leasing South Valley). RGJ lists the South Valley site at 37.4 acres, which conflicts with 252 acres - unresolved.</t>
  </si>
  <si>
    <t>Utility agreements</t>
  </si>
  <si>
    <t>Seed says project-level NV Energy power agreements of 200 MW each. Press reports state the South Valley and Peru Ridge agreements were signed under NV Energy Rule 9 (cost allocation and construction responsibility; NV Energy says it does not address electricity supply), with Reno Power as Tract's contracting entity. The agreements are confidential and the complaint sealed; MW terms not verified.</t>
  </si>
  <si>
    <t>Behind-the-meter interim power</t>
  </si>
  <si>
    <t>Fleet applied in Apr 2026 to PUCN for temporary natural-gas plants: 144 MW for South Valley and 218 MW for Peru Ridge. PUCN approved on 17-Sep-2026. Each plant takes about six months to build and would run two to three years; Storey County building permit and air permit still required; construction expected early 2027.</t>
  </si>
  <si>
    <t>Grid supply constraint</t>
  </si>
  <si>
    <t>NV Energy says it cannot supply the loads immediately; its IRP cites about 22 GW of requested service. Fleet says growth is outpacing NV Energy's ability to build permanent large-load infrastructure. No permanent interconnection date found.</t>
  </si>
  <si>
    <t>Tract infrastructure commitments</t>
  </si>
  <si>
    <t>Tract says it committed nearly $1bn to NV Energy network upgrades; NV Energy demands $1bn of grid upgrades begin.</t>
  </si>
  <si>
    <t>Press coverage reported groundbreaking on Fleet's first Nevada facility in May 2026; seed says construction start June 2026.</t>
  </si>
  <si>
    <t>EPC / contract type / completion guarantee</t>
  </si>
  <si>
    <t>Not found in public documents.</t>
  </si>
  <si>
    <t>Yield-on-cost feature</t>
  </si>
  <si>
    <t>Seed refers to a yield-on-cost feature; no public document found describing its mechanics. Not verified.</t>
  </si>
  <si>
    <t>Construction under way per press; power depends on interim BTM plants (construction early 2027) and the unresolved NV Energy dispute.</t>
  </si>
  <si>
    <t>Uses: part of development/construction cost, fees, debt reserves (Feb release). Equity portion and total cost not disclosed in release.</t>
  </si>
  <si>
    <t>Leverage and equity (broker)</t>
  </si>
  <si>
    <t>Seed: leverage 9.1x at issuance falling to 8.0x at maturity (basis not stated); 83% debt-funded.</t>
  </si>
  <si>
    <t>Proceeds fund debt reserves (size not disclosed).</t>
  </si>
  <si>
    <t>Bullet balance at 2031 maturity after partial amortization; depends on lease and refinancing market.</t>
  </si>
  <si>
    <t>Cash flows rely on a AA- rated tenant lease (unnamed in official releases). No parent or NVIDIA guarantee disclosed.</t>
  </si>
  <si>
    <t>Sponsor recourse / completion support</t>
  </si>
  <si>
    <t>Not disclosed publicly.</t>
  </si>
  <si>
    <t>Terms</t>
  </si>
  <si>
    <t>Indenture not accessible; DSCR tests, lock-ups, events of default, restricted payments, additional-debt limits not verified.</t>
  </si>
  <si>
    <t>Ba1/(P)BB+/BB (Moody's/S&amp;P/Fitch); preliminary (P) where shown. Rating agency releases not found publicly.</t>
  </si>
  <si>
    <t>Rationale</t>
  </si>
  <si>
    <t>Agency rationale and triggers not obtained. Ratings several notches below the AA- tenant imply construction, power, structure and lease-termination risk drive the rating (my inference).</t>
  </si>
  <si>
    <t>Broker view</t>
  </si>
  <si>
    <t>Barclays upgraded TRACTC to Overweight on 16-Sep-2026 (seed).</t>
  </si>
  <si>
    <t>Finance part of development and construction of the project, pay fees and expenses, fund debt reserves.</t>
  </si>
  <si>
    <t>NV Energy litigation</t>
  </si>
  <si>
    <t>NV Energy sued Tract and Reno Power in Washoe County Second Judicial District Court (complaint titled about 24-Jul-2026, filed under seal) to stop private arbitration Tract started in June over power timing and quantity. Named projects are Peru Shelf and South Valley (Peru Ridge also referenced). Issuers are not named as parties in coverage seen, but the power agreements for these projects are the subject, so the dispute can affect energization timing. The seed's party names Tract (LandCo) I LP were not seen in coverage. South Valley is a named project and, by inference, is the SV RNO project, so TRACTC is the more directly exposed.</t>
  </si>
  <si>
    <t>Litigation status</t>
  </si>
  <si>
    <t>Sealing orders 10 and 24 Aug; disqualification hearing on NV Energy counsel 29-Sep (Judge Scott Freeman); media groups moved to unseal in Oct. No ruling on arbitration or injunction found.</t>
  </si>
  <si>
    <t>Power delivery</t>
  </si>
  <si>
    <t>Interim BTM gas plants approved 17-Sep but not yet built; air and county permits pending; public opposition at hearing.</t>
  </si>
  <si>
    <t>Tenant ambiguity</t>
  </si>
  <si>
    <t>Tenant unnamed officially; NVIDIA 10-Q reassign-to-third-parties language creates ambiguity; filing neither links nor excludes these projects.</t>
  </si>
  <si>
    <t>Lease terms opacity</t>
  </si>
  <si>
    <t>Termination and delay remedies unknown; slippage in construction or rent commencement would pressure coverage during the reserve period.</t>
  </si>
  <si>
    <t>Technology/obsolescence</t>
  </si>
  <si>
    <t>Single-tenant AI facility; residual value after 2031 depends on renewal or re-leasing.</t>
  </si>
  <si>
    <t>Jun 2026</t>
  </si>
  <si>
    <t>Tract invoked arbitration against NV Energy.</t>
  </si>
  <si>
    <t>24-Jul-2026</t>
  </si>
  <si>
    <t>NV Energy filed suit (date inferred from complaint file name).</t>
  </si>
  <si>
    <t>26-Aug-2026</t>
  </si>
  <si>
    <t>NVIDIA 10-Q filed with $20bn third-party leases to be reassigned language.</t>
  </si>
  <si>
    <t>14-Sep-2026</t>
  </si>
  <si>
    <t>Fleet statement on NVIDIA written confirmation (seed; unverified).</t>
  </si>
  <si>
    <t>16-Sep-2026</t>
  </si>
  <si>
    <t>Barclays digest: TRACTC upgrade to Overweight (seed).</t>
  </si>
  <si>
    <t>17-Sep-2026</t>
  </si>
  <si>
    <t>PUCN approves temporary gas plants.</t>
  </si>
  <si>
    <t>Oct 2026</t>
  </si>
  <si>
    <t>Unsealing motion by media groups in NV Energy v. Tract.</t>
  </si>
  <si>
    <t>2026-02-12</t>
  </si>
  <si>
    <t>Bloomberg reports NVIDIA to lease data center funded by $3.8bn junk bonds.</t>
  </si>
  <si>
    <t>2026-02-13</t>
  </si>
  <si>
    <t>SV RNO $3.8bn 5.875% notes priced.</t>
  </si>
  <si>
    <t>2026-02-24</t>
  </si>
  <si>
    <t>SV RNO notes closed (closing release dated 24-Feb).</t>
  </si>
  <si>
    <t>2026-04-28</t>
  </si>
  <si>
    <t>PR RNO $4.6bn 6.500% notes priced; Fleet PUCN applications for temporary plants filed in April.</t>
  </si>
  <si>
    <t>PR RNO notes closed ($4.585bn per counsel).</t>
  </si>
  <si>
    <t>2026-05-21</t>
  </si>
  <si>
    <t>Fleet reported to break ground near Reno.</t>
  </si>
  <si>
    <t>Tract demands private arbitration with NV Energy (June, exact day unknown).</t>
  </si>
  <si>
    <t>2026-07-24</t>
  </si>
  <si>
    <t>NV Energy lawsuit filed (date inferred).</t>
  </si>
  <si>
    <t>2026-08-10</t>
  </si>
  <si>
    <t>First sealing order in NV Energy v. Tract.</t>
  </si>
  <si>
    <t>NVIDIA 10-Q: $20bn third-party leases, expected reassignment.</t>
  </si>
  <si>
    <t>2026-09-14</t>
  </si>
  <si>
    <t>Fleet says NVIDIA confirmed reassignment disclosure not about these projects (seed, unverified).</t>
  </si>
  <si>
    <t>Barclays digest; TRACTC upgrade to Overweight.</t>
  </si>
  <si>
    <t>2026-09-17</t>
  </si>
  <si>
    <t>PUCN approves 144 MW and 218 MW temporary gas plants.</t>
  </si>
  <si>
    <t>2026-09-29</t>
  </si>
  <si>
    <t>Hearing on disqualifying NV Energy counsel.</t>
  </si>
  <si>
    <t>Media/transparency groups move to unseal records (October, day unknown).</t>
  </si>
  <si>
    <t>S1 | Press release | 2026-02-13</t>
  </si>
  <si>
    <t>Fleet Data Centers Announces Pricing of $3.8 Billion of Senior Secured Notes (SV RNO) (Fleet Data Centers). Used for: TRACTC coupon, maturity, amortization, security, closing date, lease term</t>
  </si>
  <si>
    <t>S2 | Press release | 2026-02-24</t>
  </si>
  <si>
    <t>Fleet Data Centers Announces Closing of Upsized $3.8 Billion 5.875% Senior Secured Notes (Fleet Data Centers). Used for: TRACTC closing, project, tenant description, use of proceeds</t>
  </si>
  <si>
    <t>S3 | Press release | 2026-04-28</t>
  </si>
  <si>
    <t>Fleet Data Centers Announces Pricing of $4.6 Billion of Senior Secured Notes (PR RNO) (Fleet Data Centers). Used for: TRACTD coupon, maturity, amortization, security, use of proceeds</t>
  </si>
  <si>
    <t>S4 | Press release | 2026-05-01</t>
  </si>
  <si>
    <t>Fleet Data Centers Announces Closing of Upsized $4.6 Billion 6.500% Senior Secured Notes (Fleet Data Centers). Used for: TRACTD closing, 517-acre site, use of proceeds incl. sponsor equity reimbursement</t>
  </si>
  <si>
    <t>S5 | News | 2026-05-01</t>
  </si>
  <si>
    <t>Cahill Represents Initial Purchasers in PR RNO Property Owner 1's $4.585 Billion Senior Notes Offering (Cahill Gordon &amp; Reindel LLP). Used for: TRACTD exact principal $4.585bn, issuer legal style, 144A</t>
  </si>
  <si>
    <t>S6 | SEC filing | 2026-08-26</t>
  </si>
  <si>
    <t>NVIDIA Form 10-Q for quarter ended 26-Jul-2026, Note 10 Commitments and Contingencies (NVIDIA Corp (SEC)). Used for: Data center leases not commenced, reassignment language, guarantees. Read via WebFetch summary; direct EDGAR download was blocked (403).</t>
  </si>
  <si>
    <t>S7 | News | 2026-07-28</t>
  </si>
  <si>
    <t>Nevada's electric utility is suing a major data center company. Here's why. (The Nevada Independent (also Carson Now, 28-Jul-2026)). Used for: NV Energy v. Tract suit: court, claims, Rule 9 agreements, 144/218 MW temporary plants. Complaint is sealed.</t>
  </si>
  <si>
    <t>S8 | News | 2026-08-07</t>
  </si>
  <si>
    <t>Nevada energy company sues data center in first-of-its-kind fight over who should pay for AI buildout (CBS News). Used for: Reno Power as Tract contracting entity, June arbitration demand, ~$1bn grid upgrades dispute</t>
  </si>
  <si>
    <t>S9 | News | 2026-09-23</t>
  </si>
  <si>
    <t>Amid data center growth, Nevada approves temporary gas plants (Las Vegas Review-Journal via GovTech). Used for: PUCN 17-Sep-2026 approval of temporary gas plants; South Valley / Peru Ridge sizes; construction start early 2027; Bloomberg-reported NVIDIA link to South Valley</t>
  </si>
  <si>
    <t>S10 | News | 2026-02-12</t>
  </si>
  <si>
    <t>Nvidia to lease junk bond-backed Tract Capital data center in Reno, Nevada - report; Bloomberg 'Nvidia to Lease Data Center Funded by $3.8 Billion of Junk Bonds' (DatacenterDynamics / Bloomberg). Used for: Reported NVIDIA tenant, ~16-year initial lease, two 10-year extensions. Only seen via search-result summaries (pages returned 403); NVIDIA and Tract did not confirm.</t>
  </si>
  <si>
    <t>S11 | News | 2026-10</t>
  </si>
  <si>
    <t>This Is Reno coverage of NV Energy v. Tract (attorney disqualification hearing; motion to unseal records) (This Is Reno). Used for: Sealing orders 10 and 24 Aug, 29-Sep hearing before Judge Scott Freeman, Oct unsealing motion. Search summary only (403 on fetch).</t>
  </si>
  <si>
    <t>S12 | News | 2026-09-16</t>
  </si>
  <si>
    <t>Barclays IG/HY Data Center Credit Digest (seed.json facts) (Barclays). Used for: Seed facts (ratings, lease economics, leverage, yields, Overweight upgrade, Fleet 14-Sep statement). Broker secondary source, not accessed directly.</t>
  </si>
  <si>
    <t>Indenture, offering memorandum, lease and power agreements are private; trustee, call schedule, covenants, DSCR and reserve sizes not verified; ISIN/CUSIP seed-only.</t>
  </si>
  <si>
    <t>No Moody's/S&amp;P/Fitch release was found publicly; ratings and rationale/triggers are seed-only.</t>
  </si>
  <si>
    <t>Fleet's 14-Sep-2026 statement and Barclays' upgrade were not located in any public document.</t>
  </si>
  <si>
    <t>NVIDIA 10-Q does not name Tract/Fleet; direct www.sec.gov download was blocked (403), text read through a WebFetch summary; Note 14 (Leases) not seen.</t>
  </si>
  <si>
    <t>NV Energy complaint is sealed; party names Tract (LandCo) I LP / Reno Power NR 1 LLC and the 200 MW per project NV Energy agreements not verified; project-to-issuer mapping (SV=South Valley, PR=Peru Ridge) inferred.</t>
  </si>
  <si>
    <t>Yield-on-cost mechanics, termination rights, EPC contract, equity amount not publicly disclosed.</t>
  </si>
  <si>
    <t>Several news sites (DCD, Bloomberg, This Is Reno, Nevada Appeal) returned 403; facts from them rely on search summaries. Dates for June arbitration and Oct unsealing motion are approximate.</t>
  </si>
  <si>
    <t>Acreage conflict (252 vs 256 vs 37.4 acres) unresolved.</t>
  </si>
  <si>
    <t>Dossier as of 2026-10-16 | ISIN US69393LAA17 | HY section | Bloomberg: TRACTD 6.5 05/01/31 144A Corp</t>
  </si>
  <si>
    <t>PR RNO Property Owner I, LLC (Bloomberg/Cahill: PR RNO Property Owner 1, LLC), indirect wholly owned subsidiary of Fleet Data Centers I, LP; equity held through PR RNO HoldCo, LLC.</t>
  </si>
  <si>
    <t>6.500% Senior Secured Notes due 1-May-2031</t>
  </si>
  <si>
    <t>$4.585bn aggregate principal per counsel (press releases round to $4.6bn, upsized)</t>
  </si>
  <si>
    <t>US69393LAA17 / CUSIP 69393LAA1 (seed)</t>
  </si>
  <si>
    <t>6.500% p.a., semi-annual cash, May 1 / Nov 1, first payment 1-Nov-2026</t>
  </si>
  <si>
    <t>Priced 28-Apr-2026; closed on/about 1-May-2026</t>
  </si>
  <si>
    <t>1-May-2031</t>
  </si>
  <si>
    <t>Release states annual payments of 2.500% of original principal paid semi-annually (wording ambiguous; seed estimates ~7.5% cumulative from mid-2028, unverified).</t>
  </si>
  <si>
    <t>Senior secured; first-priority liens on substantially all issuer assets and on issuer equity held by PR RNO HoldCo, LLC.</t>
  </si>
  <si>
    <t>Seed: next call 1-May-2028 at 103.25; make-whole and schedule not verified.</t>
  </si>
  <si>
    <t>Fleet Data Centers I, LP -&gt; PR RNO HoldCo, LLC -&gt; PR RNO Property Owner I, LLC (issuer).</t>
  </si>
  <si>
    <t>Sister Fleet notes (TRACTC, SV RNO Property Owner 1) finance a second 200 MW critical IT project with the same tenant description. Project-name mapping (SV = South Valley, PR = Peru Ridge) is an inference from naming and coverage, not confirmed by an official document.</t>
  </si>
  <si>
    <t>Sponsor equity amount not disclosed in public documents located. Seed leverage implies equity of about 9% (seed: 91% debt-funded) of cost.</t>
  </si>
  <si>
    <t>Seed: base rent about $2.27mm per MW per year, 3.25% escalator (broker estimate).</t>
  </si>
  <si>
    <t>Seed: lease commencement Oct 2027 - Apr 2028 (broker-sourced).</t>
  </si>
  <si>
    <t>517-acre property in Storey County per May 2026 release and Cahill (RGJ lists the Peru Ridge plant site at 23.4 acres; conflict unresolved).</t>
  </si>
  <si>
    <t>Seed: facility cost about $4,435mm, about $22.2mm per MW (broker estimate); $4.585bn notes vs $4.435bn cost implies reserves and sponsor reimbursement uses.</t>
  </si>
  <si>
    <t>Inference: PR = Peru Ridge (TRIC). RGJ links NVIDIA to South Valley, not Peru Ridge; NVIDIA tenancy of PR RNO rests on the seed/Barclays.</t>
  </si>
  <si>
    <t>Press coverage reported groundbreaking on Fleet's first Nevada facility in May 2026; seed says construction start Summer 2026.</t>
  </si>
  <si>
    <t>Uses: part of development/construction, reimbursement of sponsor's prior equity used to buy the property, fees, debt reserves (May release). Debt exceeds seed facility cost, consistent with sponsor reimbursement.</t>
  </si>
  <si>
    <t>Seed: leverage 10.0x at issuance to 8.7x at maturity (basis not stated); 91% debt-funded, higher than TRACTC.</t>
  </si>
  <si>
    <t>Ba1/(P)BB/BB (Moody's/S&amp;P/Fitch); preliminary (P) where shown. Rating agency releases not found publicly.</t>
  </si>
  <si>
    <t>Finance part of development and construction, reimburse sponsor for prior equity contributions used to acquire the property, pay fees and expenses, fund debt reserves.</t>
  </si>
  <si>
    <t>NV Energy sued Tract and Reno Power in Washoe County Second Judicial District Court (complaint titled about 24-Jul-2026, filed under seal) to stop private arbitration Tract started in June over power timing and quantity. Named projects are Peru Shelf and South Valley (Peru Ridge also referenced). Issuers are not named as parties in coverage seen, but the power agreements for these projects are the subject, so the dispute can affect energization timing. The seed's party names Tract (LandCo) I LP were not seen in coverage. Peru Ridge is expressly cited as having a 218 MW interim behind-the-meter plant and a Rule 9 agreement; Peru Shelf (Tract land) is also named.</t>
  </si>
  <si>
    <t>Whether NVIDIA is the PR RNO tenant is supported only by the seed; no official or press source seen. Acreage conflict unresolved.</t>
  </si>
  <si>
    <t>Dossier as of 2026-10-16 | ISIN US33853QAA94 (CUSIP 33853QAA9) | HY section | Bloomberg: FLASHC 7.25 12/31/30 144A Corp</t>
  </si>
  <si>
    <t>Flash Compute LLC, wholly owned subsidiary of FS CS I LLC (the 'JV Partners Holdco'). Subsidiary guarantor: Abernathy Data LLC.</t>
  </si>
  <si>
    <t>7.250% Senior Secured Notes due 2030; $1,300mm aggregate principal issued at 100% (launched 18-Dec-2025 at $1.275bn, closed upsized at $1.3bn). Sold under a purchase agreement of 18-Dec-2025 to Morgan Stanley as representative of the initial purchasers; Rule 144A and Regulation S.</t>
  </si>
  <si>
    <t>Coupon and payment dates</t>
  </si>
  <si>
    <t>7.250% per year, semiannual in arrears on 30 Jun and 31 Dec, first payment 30-Jun-2026.</t>
  </si>
  <si>
    <t>Issue date and maturity</t>
  </si>
  <si>
    <t>Issue Date 29-Dec-2025; maturity 31-Dec-2030.</t>
  </si>
  <si>
    <t>Senior secured. Collateral: capital stock of the issuer and each company party, all property of the issuer and guarantor, the Fluidstack USA III lockbox account (once established), pre-completion pledge of the JV Partners Holdco account, and during construction the warrants (as defined). Notes are not guaranteed by JV Partners Holdco.</t>
  </si>
  <si>
    <t>Before 31-Dec-2027: 100% plus make-whole (Applicable Premium = greater of 1.0% or PV-based amount at Treasury + 50bp). From 31-Dec-2027: 103.625%; 2028: 101.813%; 2029 and after: par. Up to 40% redeemable before 31-Dec-2027 with proceeds of certain equity offerings.</t>
  </si>
  <si>
    <t>No sinking fund other than amortization and the Google termination-fee redemption (Indenture Section 3.11). Semiannual Excess Cash Flow Offer at par for 50% of Excess Cash Flow. Change of control offer at 101%.</t>
  </si>
  <si>
    <t>Semiannual installments on 30 Jun / 31 Dec starting after the lease Commencement Date, computed from a Payment Schedule (Section 14.03) using daily amounts on a 30/360 basis; nothing is payable before completion. The schedule table was not extracted; company illustrative model (8.0% coupon, $1.275bn) shows mandatory amortization of $19mm (2026), $75mm (2027), $78mm (2028), $80mm (2029), $82mm (2030).</t>
  </si>
  <si>
    <t>S1, S2, S3</t>
  </si>
  <si>
    <t>Wilmington Trust, National Association (trustee and collateral agent); New York law with exclusive Manhattan jurisdiction; $2,000 minimum and $1,000 multiples.</t>
  </si>
  <si>
    <t>CUSIP 33853QAA9 and ISIN US33853QAA94 (144A) as reported in a fund SEC N-PORT holding, with matching coupon and maturity; the identifiers do not appear in the indenture text itself. Reg S identifiers not found.</t>
  </si>
  <si>
    <t>Structure</t>
  </si>
  <si>
    <t>FS CS I LLC (JV Partners Holdco; at issue 50.1% owned by TeraWulf's Big Country Wulf LLC and 49.9% by Fluidstack CS I Inc., an indirect subsidiary of Fluidstack Ltd.) &gt; Flash Compute LLC (issuer) &gt; Abernathy Data LLC (guarantor, lessor and project owner).</t>
  </si>
  <si>
    <t>Sponsor identity</t>
  </si>
  <si>
    <t>The sponsor is TeraWulf together with Fluidstack; Cipher Mining is not part of this structure in any filing reviewed. Since 6-Jul-2026 TeraWulf holds no interest (see Recent developments).</t>
  </si>
  <si>
    <t>Completion support</t>
  </si>
  <si>
    <t>JV Partners Holdco provides a capped completion guarantee of up to $100mm, secured by a first-priority lien on a Holdco reserve account. It is not a guarantee of the notes.</t>
  </si>
  <si>
    <t>Special covenants</t>
  </si>
  <si>
    <t>Special covenant for JV Partners Holdco (Section 4.20), restriction on modification of project documents (4.21) and holding assets only for the Abernathy HPC Campus; Holdco is a party to the indenture and its default is an Event of Default trigger.</t>
  </si>
  <si>
    <t>Nasdaq-listed bitcoin miner and HPC developer; paid $450mm cash for 50.1% of the JV, then agreed in July 2026 to sell its entire 50.1% stake for about $530mm, citing monetization and redeployment into wholly owned projects.</t>
  </si>
  <si>
    <t>S8, S9</t>
  </si>
  <si>
    <t>Fluidstack</t>
  </si>
  <si>
    <t>Fluidstack Ltd. (private AI cloud) holds the 49.9% via Fluidstack CS I Inc. and leads the buyer group. News headline (not read in full) reports a $750mm raise at a $7bn valuation in April 2026.</t>
  </si>
  <si>
    <t>Purchasers of TeraWulf stake</t>
  </si>
  <si>
    <t>Fluidstack CS I Inc. and 'certain other purchasers'; one newswire describes an investor group led by Fluidstack. Other purchasers are not named in the 8-K or 10-Q.</t>
  </si>
  <si>
    <t>S7, S11</t>
  </si>
  <si>
    <t>Tenant and lessor</t>
  </si>
  <si>
    <t>Datacenter lease dated 26-Sep-2025 between Abernathy Data LLC (lessor) and Fluidstack USA III (tenant) relating to the building.</t>
  </si>
  <si>
    <t>25-year hosting term (about $9.5bn contracted revenue to the JV); lease term may be shortened to 20 or 15 years under contractual options (consistent with Barclays seed of two 5-year shortening options).</t>
  </si>
  <si>
    <t>S5, S6</t>
  </si>
  <si>
    <t>Lease type and economics</t>
  </si>
  <si>
    <t>Modified gross lease with annual escalators; power 100% passed through to the tenant. Company deck shows illustrative year-1 rent of about $264mm (about $1.57mm per MW per year on 168MW) escalating about 3%, opex about $42.7mm, NOI margin about 84% before and about 69% after land lease payments. Seed rent $1.55mm/MW is close but unverified.</t>
  </si>
  <si>
    <t>Company model assumed lease commencement 30-Sep-2026. Actual commencement date not disclosed in documents reviewed; TeraWulf described delivery as 2H 2026.</t>
  </si>
  <si>
    <t>Google lease recognition</t>
  </si>
  <si>
    <t>Lease Recognition Agreement dated 26-Sep-2025 among Abernathy, Fluidstack USA III and Google; replacement tenant mechanics via a 'New Tenant Process'. Google may assume the lease or pay a termination fee.</t>
  </si>
  <si>
    <t>Indenture permits Google or a replacement tenant to assume the lease and novate it at any time, with Google's Financial Support Agreement terminating under a form of Novation Agreement.</t>
  </si>
  <si>
    <t>Abernathy, Texas; 120 acres under a 25-year ground lease (Abernathy Landlord); Phase 1 only is financed.</t>
  </si>
  <si>
    <t>168MW critical IT (240MW gross). Further phases (2027-2028) reserved for the JV beyond the initial 168MW.</t>
  </si>
  <si>
    <t>Company states $8-10mm per critical MW; the investor deck states the building is worth $1.36bn at cost. Seed shows $1,354mm and $8.1mm/MW.</t>
  </si>
  <si>
    <t>Ground lease</t>
  </si>
  <si>
    <t>Land lease payments total about $215mm over the modeled horizon per company deck; a ground-lease letter of credit is cash collateralized with up to $75mm funded from notes proceeds.</t>
  </si>
  <si>
    <t>Grid</t>
  </si>
  <si>
    <t>Southwest Power Pool (SPP) rather than ERCOT; Xcel Energy / Southwestern Public Service Company territory; 345kV interconnection. Energization date and interconnection agreement details not located.</t>
  </si>
  <si>
    <t>Cost pass-through</t>
  </si>
  <si>
    <t>Power costs are passed through to the tenant under the lease.</t>
  </si>
  <si>
    <t>Hypertec Construction LBB, LLC is Contractor under the EPC Agreement. Indenture requires commercially reasonable efforts to obtain additional payment/performance surety bonds equal to the Additional Bond Amount ($1,203,345,600 less bonds delivered before the Issue Date) by 31-Jan-2026, unless TeraWulf or an affiliate assumes Hypertec's role. Outcome not disclosed.</t>
  </si>
  <si>
    <t>Construction started in 2025 (seed: Sept 2025, unverified); company said delivery expected 2H 2026; model assumption of 30-Sep-2026 lease commencement.</t>
  </si>
  <si>
    <t>No post-issuance construction update found. TeraWulf's 10-Q (as of 30-Jun-2026) says the JV had not yet commenced operations and recorded an $11.1mm Q2 equity-method loss.</t>
  </si>
  <si>
    <t>Cost overrun protection</t>
  </si>
  <si>
    <t>JV Partners Holdco completion guarantee capped at $100mm; construction-period debt service reserve; surety bond covenant.</t>
  </si>
  <si>
    <t>Company deck assumes $450mm equity and $1.275bn notes; closing upsized notes to $1.3bn. TeraWulf paid $450mm for its 50.1%.</t>
  </si>
  <si>
    <t>Required amount $149.0mm at the Issue Date (first two interest payments plus the third interest payment and first amortization) and $90.0mm minimum during construction (plus adjustments for additional notes).</t>
  </si>
  <si>
    <t>Illustrative debt path</t>
  </si>
  <si>
    <t>Company model (8.0% illustrative coupon, 50% ECF with full uptake): debt $1,275mm at start, about $813mm entering 2031, implying a balloon of roughly $800mm at the 31-Dec-2030 maturity (our reading of the table). Termination fee schedule: $1,300mm initial, $742mm end-2031.</t>
  </si>
  <si>
    <t>Seed shows 5.9x at issuance, 3.5x at maturity and 79% debt-funded (Barclays); unverified.</t>
  </si>
  <si>
    <t>About $1.3bn backstop of Fluidstack's lease obligations. Per company deck, Google must assume the lease on a Fluidstack insolvency or payment default unless the first 6 years of the lease term have passed or the premises hold equipment for less than 50% of Baseline Capacity, in which case it pays the termination fee.</t>
  </si>
  <si>
    <t>Termination fee mechanics</t>
  </si>
  <si>
    <t>Any termination fee must redeem notes at par; deck says the fee and the DSRA first prepay land rent through ten years after land-lease rent commencement before sweeping the notes, so the fee may not fully repay the notes; bondholders retain the building as collateral (about $1.36bn at cost).</t>
  </si>
  <si>
    <t>Google equity step-in</t>
  </si>
  <si>
    <t>Google receives Abernathy project equity interests upon payment of the termination fee, as per the recognition agreement.</t>
  </si>
  <si>
    <t>Alphabet disclosure</t>
  </si>
  <si>
    <t>Credit derivatives for data-center backstops: $43,785mm gross notional at 30-Jun-2026 vs $16,940mm at 31-Dec-2025; $815mm fair-value liability; terms up to 15 years. Counterparties not named.</t>
  </si>
  <si>
    <t>Limits on debt, restricted payments, liens, investments, asset sales, sale-leasebacks, unrelated operations, affiliate transactions and mergers.</t>
  </si>
  <si>
    <t>Revenue Account, Debt Service Reserve Account, Designated Account and a ground-lease LC cash collateral account; lockbox arrangements with Fluidstack USA III and JV Partners Holdco (Section 4.23). Priority of payments not reproduced.</t>
  </si>
  <si>
    <t>Applicable ECF Percentage 50%; offers on 15 Apr and 15 Oct based on prior semiannual periods, starting after the first full period post commencement.</t>
  </si>
  <si>
    <t>Interest default after 30 days, principal default, covenant breach by a Company Party or Holdco uncured 60 days after notice (30% holders), cross-default above $25.0mm, and others.</t>
  </si>
  <si>
    <t>Triggered if a non-Permitted Holder acquires more than 50% of Holdco voting power or Holdco ceases to own 100% of the issuer; Permitted Holders include Big Country Wulf, Fluidstack CS I and their affiliates and any holder of 100% of Holdco.</t>
  </si>
  <si>
    <t>Seed shows Moody's Ba3, no S&amp;P or Fitch rating. No agency release accessible; unverified.</t>
  </si>
  <si>
    <t>Finance a portion of construction of the Abernathy HPC Campus, fund debt reserves, fund $75mm cash collateral for a letter of credit securing the Guarantor's obligations, and pay fees.</t>
  </si>
  <si>
    <t>Sponsor change</t>
  </si>
  <si>
    <t>TeraWulf, the operator-developer with construction management rights, exited in July 2026; JV now Fluidstack-led. Indenture change-of-control definition appears to permit Fluidstack affiliates but treatment of 'other purchasers' not checked.</t>
  </si>
  <si>
    <t>S2, S7</t>
  </si>
  <si>
    <t>Completion</t>
  </si>
  <si>
    <t>Completion guarantee capped at $100mm vs $1.2bn EPC-related surety target; contractor and surety status unconfirmed.</t>
  </si>
  <si>
    <t>Backstop conditions</t>
  </si>
  <si>
    <t>Google's obligation to assume the lease falls away after 6 years or below 50% baseline capacity, replaced by termination fee; the fee can be consumed partly by land rent prepayment.</t>
  </si>
  <si>
    <t>Lease shortening</t>
  </si>
  <si>
    <t>Tenant may shorten 25-year term to 20 or 15 years; notes mature 2030 with a balloon of several hundred million dollars.</t>
  </si>
  <si>
    <t>No update after issuance on commencement; the model assumed 30-Sep-2026.</t>
  </si>
  <si>
    <t>Stake sale</t>
  </si>
  <si>
    <t>6-Jul-2026: TeraWulf agreed to sell 50.1% to Fluidstack CS I Inc. and others for about $530mm: $250mm within 14 days, $150mm by 31-Dec-2026, about $130mm by 30-Apr-2027; mutual releases.</t>
  </si>
  <si>
    <t>S7, S8</t>
  </si>
  <si>
    <t>Company rationale</t>
  </si>
  <si>
    <t>Company says sale realizes value at a premium to invested capital and redeploys cash into wholly owned projects.</t>
  </si>
  <si>
    <t>2025-09-26</t>
  </si>
  <si>
    <t>Datacenter lease and Google lease recognition agreement dated (Abernathy / Fluidstack USA III).</t>
  </si>
  <si>
    <t>Amended and restated JV agreement: TeraWulf 50.1% / Fluidstack 49.9% (FS CS I LLC).</t>
  </si>
  <si>
    <t>TeraWulf announces 168MW Abernathy JV: 25-year lease, $9.5bn contract value, Google $1.3bn backstop.</t>
  </si>
  <si>
    <t>Flash Compute launches $1.275bn senior secured notes offering; investor presentation furnished.</t>
  </si>
  <si>
    <t>2025-12-29</t>
  </si>
  <si>
    <t>Notes close at $1.3bn; indenture signed; $100mm capped completion guarantee from Holdco.</t>
  </si>
  <si>
    <t>2026-01-31</t>
  </si>
  <si>
    <t>Indenture deadline for additional Hypertec surety bonds (or TeraWulf assumption of EPC role).</t>
  </si>
  <si>
    <t>Fluidstack reported raising $750mm at $7bn valuation (news).</t>
  </si>
  <si>
    <t>2026-06-30</t>
  </si>
  <si>
    <t>First scheduled interest payment date.</t>
  </si>
  <si>
    <t>2026-07-06</t>
  </si>
  <si>
    <t>TeraWulf agrees to sell its 50.1% stake for about $530mm.</t>
  </si>
  <si>
    <t>2026-08-05</t>
  </si>
  <si>
    <t>TeraWulf 10-Q: JV not yet operating; stake sale details and monetization rationale.</t>
  </si>
  <si>
    <t>2026-12-31</t>
  </si>
  <si>
    <t>Scheduled: $150mm second installment of stake sale due; next interest and potential amortization date.</t>
  </si>
  <si>
    <t>S1 | SEC filing | 2025-12-29</t>
  </si>
  <si>
    <t>TeraWulf Form 8-K (Items 1.01, 2.03): completion of Flash Compute 7.250% Senior Secured Notes due 2030 (TeraWulf Inc. / SEC EDGAR). Used for: Notes terms, ownership chain, capped completion guarantee, use of proceeds</t>
  </si>
  <si>
    <t>S2 | Indenture | 2025-12-29</t>
  </si>
  <si>
    <t>Indenture dated 29-Dec-2025 among Flash Compute LLC, FS CS I LLC (JV Partners Holdco), Abernathy Data LLC and Wilmington Trust (Exhibit 4.1) (SEC EDGAR (TeraWulf 8-K)). Used for: Redemption prices, amortization method, ECF offer, DSRA, change of control, EoDs, lease and Google agreement definitions, Hypertec surety covenant</t>
  </si>
  <si>
    <t>S3 | Presentation | 2025-12-18</t>
  </si>
  <si>
    <t>TeraWulf Form 8-K Ex. 99.1: Flash Compute investor presentation (17-Dec-2025) (TeraWulf Inc. / SEC EDGAR). Used for: Company illustrative cash flows, termination-fee schedule, Google assumption conditions, assumptions</t>
  </si>
  <si>
    <t>S4 | SEC filing | 2025-12-18</t>
  </si>
  <si>
    <t>TeraWulf Form 8-K (Item 8.01): Flash Compute offering launch, $1.275bn (TeraWulf Inc. / SEC EDGAR). Used for: Initial offering size and JV ownership</t>
  </si>
  <si>
    <t>S5 | Press release | 2025-10-28</t>
  </si>
  <si>
    <t>Press release: TeraWulf expands strategic partnership with Fluidstack through new 168 MW AI compute JV (TeraWulf Inc. (8-K Ex. 99.1)). Used for: JV terms, 25-year lease, $9.5bn contracted revenue, Google $1.3bn backstop</t>
  </si>
  <si>
    <t>S6 | Presentation | 2025-10-28</t>
  </si>
  <si>
    <t>TeraWulf JV announcement investor presentation (Abernathy) (TeraWulf Inc. (8-K Ex. 99.3)). Used for: Site, SPP grid, 120 acres, 240MW gross, utility, NOI economics, lease shortening options</t>
  </si>
  <si>
    <t>S7 | SEC filing | 2026-07-06</t>
  </si>
  <si>
    <t>TeraWulf Form 8-K (Item 8.01): sale of TeraWulf's interest in FS CS I LLC (TeraWulf Inc. / SEC EDGAR). Used for: Abernathy stake sale to Fluidstack CS I Inc. and others, $530mm in three installments</t>
  </si>
  <si>
    <t>S8 | SEC filing | 2026-08-05</t>
  </si>
  <si>
    <t>TeraWulf Form 10-Q for quarter ended 30-Jun-2026 (TeraWulf Inc. / SEC EDGAR). Used for: Abernathy JV description, contribution agreement ($450mm for 50.1%), equity-method accounting, sale terms</t>
  </si>
  <si>
    <t>S9 | Press release | 2026-08-05</t>
  </si>
  <si>
    <t>Press release: TeraWulf reports second quarter 2026 results (TeraWulf Inc. (8-K Ex. 99.1)). Used for: Abernathy monetization rationale</t>
  </si>
  <si>
    <t>S10 | SEC filing | 2026-07-23</t>
  </si>
  <si>
    <t>Alphabet Inc. Form 10-Q for quarter ended 30-Jun-2026 (Alphabet Inc. / SEC EDGAR). Used for: Aggregate Google data-center credit-derivative exposure (counterparties not named)</t>
  </si>
  <si>
    <t>S11 | News | 2026-07-06</t>
  </si>
  <si>
    <t>Newsquawk headline: TeraWulf to sell 50.1% Abernathy JV interest to an investor group led by Fluidstack (Newsquawk). Used for: Identity of purchasers described as an investor group led by Fluidstack (secondary)</t>
  </si>
  <si>
    <t>S12 | News | 2026-04-06</t>
  </si>
  <si>
    <t>Dealroom: Fluidstack raises $750M at $7B valuation as Google and Anthropic anchor its data-center build (6-Apr-2026) (Dealroom.co). Used for: Fluidstack capital position (headline only; not read in full)</t>
  </si>
  <si>
    <t>S13 | SEC filing | 2026-02-23</t>
  </si>
  <si>
    <t>SEC Form N-PORT (Franklin BSP Lending Fund): holding Flash Compute LLC 7.25% due 31-Dec-2030 (Franklin BSP Lending Fund / SEC EDGAR). Used for: CUSIP 33853QAA9 and ISIN US33853QAA94, coupon and maturity as reported in a fund holding</t>
  </si>
  <si>
    <t>Ratings: seed Moody's Ba3; no agency release found or accessible. Unverified.</t>
  </si>
  <si>
    <t>Lease agreement, Google recognition agreement and financial support agreement text not found as filed exhibits; rent per MW and termination fee schedule rely on company investor deck (illustrative, 8.0% coupon, $1.275bn).</t>
  </si>
  <si>
    <t>Construction status, energization and rent commencement after Dec 2025 not disclosed; Hypertec surety bond outcome unknown.</t>
  </si>
  <si>
    <t>Identity of 'certain other purchasers' of TeraWulf's stake not disclosed; whether the sale affects indenture change-of-control not analyzed.</t>
  </si>
  <si>
    <t>No filings by Fluidstack, Google (beyond aggregate derivatives in Alphabet 10-Q) or Cipher describing these notes; Cipher is not a sponsor.</t>
  </si>
  <si>
    <t>Barclays seed figures (leverage, debt-funded, cost per MW, yield) not verified.</t>
  </si>
  <si>
    <t>Seed said 7.25% due 31-Dec-2030: confirmed. Seed said 168MW and 25-year lease: confirmed.</t>
  </si>
  <si>
    <t>144A offering memorandum not accessible (ISIN/CUSIP verified from fund N-PORT filings, not from the offering documents).</t>
  </si>
  <si>
    <t>Dossier as of 2026-10-16 | ISIN US58990CAA18 | HY section | Bloomberg: MERIDI 6.25 04/30/31 144A Corp</t>
  </si>
  <si>
    <t>Meridian Arc HoldCo LLC, an indirect wholly owned subsidiary of Meridian Compute LLC.</t>
  </si>
  <si>
    <t>Senior secured notes, 6.25%, US$5.7bn aggregate principal, issued under an indenture in a private (exempt) offering; Latham notes it as the largest AI financing in the high-yield market to date (citing LCD). Described by Cooley as five-year notes.</t>
  </si>
  <si>
    <t>CUSIP / ISIN</t>
  </si>
  <si>
    <t>CUSIP 58990CAA1, ISIN US58990CAA18; 6.25% fixed; maturity 30-Apr-2031 (as reported in a fund's SEC N-PORT holding).</t>
  </si>
  <si>
    <t>Priced mid/late April 2026 (law-firm notes dated 16 and 20-Apr-2026); seed gives issue date 24-Apr-2026 (unverified).</t>
  </si>
  <si>
    <t>Call features</t>
  </si>
  <si>
    <t>Reported as non-call two. Seed: first call 30-Apr-2028 at 103.13 (unverified). Make-whole, equity claw and ECF terms not available.</t>
  </si>
  <si>
    <t>Seed: amortization starts mid-2027 (about 13% estimated by maturity). Indenture not accessible; unverified.</t>
  </si>
  <si>
    <t>Not available (indenture and offering memorandum not public).</t>
  </si>
  <si>
    <t>Ownership</t>
  </si>
  <si>
    <t>Meridian Compute LLC is a joint venture between subsidiaries of Frontier Development Holdings LP (a Next Frontier affiliate; Next Frontier was launched by Coatue) and Fluidstack Ltd. A secondary report gives 50.1% Frontier Holdings Indiana / 49.9% Fluidstack.</t>
  </si>
  <si>
    <t>S1, S4, S5</t>
  </si>
  <si>
    <t>Issuer (Meridian Arc HoldCo) owns the New Lebanon, Indiana land and develops the two data centers and on-site substation, which are leased to Fluidstack (Cooley). Guarantors, ring-fencing and lockbox not disclosed.</t>
  </si>
  <si>
    <t>Equity and completion support</t>
  </si>
  <si>
    <t>About $505mm of sponsor equity funded at closing; Moody's reportedly cites a $100mm completion guarantee from each sponsor (secondary).</t>
  </si>
  <si>
    <t>Next Frontier</t>
  </si>
  <si>
    <t>Powered-land venture launched by Coatue Management (over $70bn AUM) to buy land near large power sources; Meridian is its first project.</t>
  </si>
  <si>
    <t>Private UK-incorporated AI cloud. Form D filings show private equity offerings: $750mm (Jan 2026, $450mm sold), $850mm (May 2026 amendment, $842mm sold) and a new $1.5bn offering from June 2026 ($730mm sold).</t>
  </si>
  <si>
    <t>Experience</t>
  </si>
  <si>
    <t>Fitch (as relayed) cites limited data-center experience at the sponsor and contractor.</t>
  </si>
  <si>
    <t>Fluidstack (tenant legal entity not disclosed in sources reviewed). The notes are rated on the Google guarantee because Fluidstack is unrated.</t>
  </si>
  <si>
    <t>S2, S4</t>
  </si>
  <si>
    <t>100% leased; 15-year triple-net base term with three 5-year extension options.</t>
  </si>
  <si>
    <t>S4, S5</t>
  </si>
  <si>
    <t>Seed rent $1.49mm/MW/yr with 3.0% escalator and $5,250mm facility cost; not verified in any official document.</t>
  </si>
  <si>
    <t>Replacement tenant risk</t>
  </si>
  <si>
    <t>Fitch (as relayed): remote single-purpose AI training campuses are harder to re-tenant; Google may assume the lease or pay a termination fee.</t>
  </si>
  <si>
    <t>Site</t>
  </si>
  <si>
    <t>About 140 acres in multiple parcels at New Lebanon, Sullivan County, Indiana.</t>
  </si>
  <si>
    <t>Two turnkey data centers: 245MW and 185MW critical IT (total 430MW), plus an on-site electrical substation.</t>
  </si>
  <si>
    <t>Debt about 92% of cost and about $505mm equity (Fitch as relayed) imply total cost about $6.2bn (our arithmetic), about $14mm per critical MW; seed shows $5,250mm and $12.2mm/MW.</t>
  </si>
  <si>
    <t>Nearby development</t>
  </si>
  <si>
    <t>Site is near Hallador's Merom station and Potentia's proposed 2.1GW Heartland Industrial Park; relationship to Potentia unclear.</t>
  </si>
  <si>
    <t>Power agreement</t>
  </si>
  <si>
    <t>Multi-Party Service Agreement with Hoosier Energy and WIN Energy provides power capacity; Hoosier is a cooperative and told reporters the agreements need not be filed with the Indiana Utility Regulatory Commission.</t>
  </si>
  <si>
    <t>No official energization or interconnection schedule found.</t>
  </si>
  <si>
    <t>Arco (per Fitch commentary); no guaranteed maximum price contract; contingency and yield-on-cost lease structure mitigate; overruns can be 'rentalized' up to $18mm per MW (S&amp;P as relayed).</t>
  </si>
  <si>
    <t>Building 1 about 9.5 months to target floor access for first data hall; Building 2 about 10.5 months; first 65MW hall targeted July 2027. Seed shows lease commencement Aug 2027 - Feb 2028 and construction start May 2026 (unverified). One news reprint gives conflicting earlier dates (300MW by Dec 2026) that do not reconcile with the 65MW July 2027 date.</t>
  </si>
  <si>
    <t>No post-issuance construction update from an official source; Fluidstack held a public open house in Sullivan County in August 2026.</t>
  </si>
  <si>
    <t>$5.7bn senior secured notes; Fitch (as relayed) says notes fund about 92% of cost.</t>
  </si>
  <si>
    <t>Seed: 8.9x at issuance, 7.1x at maturity, 91% debt-funded (Barclays); unverified.</t>
  </si>
  <si>
    <t>Fund-reported fair value about 100.5% of par at 31-May-2026 (may include accrued interest).</t>
  </si>
  <si>
    <t>Google guarantee</t>
  </si>
  <si>
    <t>Google guarantees Fluidstack's lease obligations; on a Fluidstack default it will assume the lease or pay a termination fee. This support underpins the BB rating (Fitch as relayed).</t>
  </si>
  <si>
    <t>Alphabet aggregate exposure</t>
  </si>
  <si>
    <t>Alphabet's 10-Q shows credit derivatives for data-center backstops with $43,785mm gross notional at 30-Jun-2026 (vs $16,940mm at 31-Dec-2025) and $815mm fair-value liability. Meridian is not named.</t>
  </si>
  <si>
    <t>Sponsor completion guarantees</t>
  </si>
  <si>
    <t>Each sponsor reportedly provided a $100mm construction completion guarantee (Moody's as relayed).</t>
  </si>
  <si>
    <t>Indenture</t>
  </si>
  <si>
    <t>Indenture, waterfall, DSCR tests, reserves and covenants not accessible; no SEC filing by issuer.</t>
  </si>
  <si>
    <t>BB, Stable, reported assigned April/May 2026 (14-May-2026 per a secondary summary), dependent on the Google guarantee.</t>
  </si>
  <si>
    <t>Moody's / S&amp;P</t>
  </si>
  <si>
    <t>Seed shows Ba2 (Moody's) and BB- (S&amp;P); a trade report said S&amp;P rating was pending. Not verified from agency releases.</t>
  </si>
  <si>
    <t>Acquire the New Lebanon property; develop and construct two data centers and the substation; fund debt reserves; pay fees and expenses.</t>
  </si>
  <si>
    <t>No GMP contract; contractor and sponsor have limited data-center experience (Fitch as relayed); aggressive schedule.</t>
  </si>
  <si>
    <t>High leverage</t>
  </si>
  <si>
    <t>About 92% debt-to-cost with about 8% equity; thin overrun cushion beyond rentalization.</t>
  </si>
  <si>
    <t>Google backstop dependence</t>
  </si>
  <si>
    <t>Rating relies on Google guarantee; Fluidstack unrated with large private fundraising needs.</t>
  </si>
  <si>
    <t>S4, S7</t>
  </si>
  <si>
    <t>Power and local politics</t>
  </si>
  <si>
    <t>Power via cooperative agreements outside IURC filing; local scrutiny in Sullivan County.</t>
  </si>
  <si>
    <t>S4, S8</t>
  </si>
  <si>
    <t>Neighbouring project</t>
  </si>
  <si>
    <t>Related Potentia project unclear.</t>
  </si>
  <si>
    <t>Next Frontier venture formally publicized; Fitch BB rating reported.</t>
  </si>
  <si>
    <t>Fluidstack opened a new $1.5bn private equity offering (Form D filed 30-Jun-2026).</t>
  </si>
  <si>
    <t>August 2026</t>
  </si>
  <si>
    <t>Fluidstack public open house in Sullivan County; no delay or default news found.</t>
  </si>
  <si>
    <t>2026-04-16</t>
  </si>
  <si>
    <t>Cooley announces Fluidstack JV to issue $5.7bn senior secured notes.</t>
  </si>
  <si>
    <t>Latham notes Meridian Arc HoldCo priced $5.7bn 6.25% notes due 2031.</t>
  </si>
  <si>
    <t>Seed issue/closing date (unverified).</t>
  </si>
  <si>
    <t>Coatue's Next Frontier venture and Indiana campus publicized.</t>
  </si>
  <si>
    <t>2026-05-14</t>
  </si>
  <si>
    <t>Fitch BB, Stable reported (secondary).</t>
  </si>
  <si>
    <t>2026-05-31</t>
  </si>
  <si>
    <t>Fund holdings valued at about 100.5% of par.</t>
  </si>
  <si>
    <t>Fluidstack Form D for $1.5bn equity offering filed.</t>
  </si>
  <si>
    <t>Alphabet 10-Q: credit-derivative backstop notional $43.8bn.</t>
  </si>
  <si>
    <t>Fluidstack public open house in Sullivan County.</t>
  </si>
  <si>
    <t>S1 | Press release | 2026-04-20</t>
  </si>
  <si>
    <t>Latham advises on Meridian Arc HoldCo's US$5.7 billion senior secured notes offering to finance AI data center (Latham &amp; Watkins LLP (law-firm deal announcement)). Used for: Issuer, ownership chain, size, coupon, maturity, site, MW, use of proceeds</t>
  </si>
  <si>
    <t>S2 | Press release | 2026-04-16</t>
  </si>
  <si>
    <t>Fluidstack Joint Venture to Issue $5.7 Billion in Senior Secured Notes (Cooley LLP (law-firm deal announcement)). Used for: Five-year senior secured notes, Fluidstack lease to JV, two Sullivan County data centers</t>
  </si>
  <si>
    <t>S3 | SEC filing | 2026-07-28</t>
  </si>
  <si>
    <t>SEC Form N-PORT (RBB Fund, Inc.), period 31-May-2026: holding Meridian Arc Holdco LLC 6.25% due 2031 (RBB Fund, Inc. / SEC EDGAR). Used for: CUSIP 58990CAA1, ISIN US58990CAA18, 6.25% fixed, maturity 30-Apr-2031, fund-reported valuation</t>
  </si>
  <si>
    <t>NPM: Data center start-up Potentia behind 2.1 GW Indiana project now backed by Fluidstack and Google (Fitch, S&amp;P and Moody's commentary) (New Project Media (secondary)). Used for: Reported rating-agency views: Fitch BB, debt to cost, equity, contractor Arco, no GMP, $18mm/MW overrun recovery, Hoosier/WIN service agreement, schedule</t>
  </si>
  <si>
    <t>S5 | News | 2026-05-06</t>
  </si>
  <si>
    <t>Coatue launches data center venture Next Frontier, partners with Fluidstack on 430MW Indiana campus (reprint of DatacenterDynamics) (IDCNova / DatacenterDynamics). Used for: Next Frontier background, 15-year lease with three 5-year extensions, Google guarantee, Merom context</t>
  </si>
  <si>
    <t>S6 | SEC filing | 2026-07-23</t>
  </si>
  <si>
    <t>S7 | SEC filing | 2026-06-30</t>
  </si>
  <si>
    <t>Fluidstack Ltd Form D (offering $1.5bn, first sale 15-Jun-2026; $730mm sold) (Fluidstack Ltd / SEC EDGAR). Used for: Tenant-side funding: private equity raises (Jan, May and Jun 2026 Form D filings)</t>
  </si>
  <si>
    <t>S8 | News | 2026-08-06</t>
  </si>
  <si>
    <t>FluidStack hosts open house for Sullivan County data center campus (WTHI) (WTHI-TV). Used for: Public engagement in Sullivan County (headline and snippet only)</t>
  </si>
  <si>
    <t>Indenture, offering memorandum, rating-agency releases (Fitch, S&amp;P, Moody's) not accessible; ratings other than reported Fitch BB are seed only.</t>
  </si>
  <si>
    <t>No filing by Google, Fluidstack or Next Frontier names the Meridian lease or notes; Alphabet's 10-Q gives aggregate backstop notional only.</t>
  </si>
  <si>
    <t>Lease terms (tenant entity, rent per MW, escalators, termination fee schedule), amortization, call schedule, covenants, reserves and trustee not found.</t>
  </si>
  <si>
    <t>Construction status and energization after issuance: no official update; schedule dates conflict between sources.</t>
  </si>
  <si>
    <t>Sponsor equity ($505mm), $100mm completion guarantees, Arco as contractor and $18mm/MW overrun recovery come from a secondary trade-press report relaying agency views.</t>
  </si>
  <si>
    <t>Seed facility cost ($5,250mm) and leverage cannot be reconciled with Fitch-based total cost (about $6.2bn).</t>
  </si>
  <si>
    <t>Local/utility records (Indiana IURC, county minutes) not found; Hoosier is exempt from IURC filing per report.</t>
  </si>
  <si>
    <t>Dossier as of 2026-10-16 | ISIN US98935UAA51 (seed, unverified; CUSIP 98935UAA5 verified) | HY section | Bloomberg: ZENARC 8.875 08/31/31 144A Corp</t>
  </si>
  <si>
    <t>Issuer and notes</t>
  </si>
  <si>
    <t>Zenith Arc LLC, senior secured 144A notes, 8.875% due 31-Aug-2031 (five-year).</t>
  </si>
  <si>
    <t>CUSIP / maturity / coupon</t>
  </si>
  <si>
    <t>CUSIP 98935UAA5, 8.875% coupon, maturity 31-Aug-2031 as shown in money-market-fund SEC filings (repo collateral). ISIN US98935UAA51 from seed, unverified.</t>
  </si>
  <si>
    <t>Size and pricing</t>
  </si>
  <si>
    <t>$2.25bn; priced 13-Aug-2026 at 99.5 per a search-result snippet of GuruFocus; Bloomberg (13-Aug) headline describes a $2.25bn green bond sale. Seed issue date 18-Aug-2026 unverified.</t>
  </si>
  <si>
    <t>S3, S4, S5</t>
  </si>
  <si>
    <t>Call / amortization</t>
  </si>
  <si>
    <t>Seed: first call 31-Aug-2028 at 104.44; amortization from late 2027 (about 8.9% estimated by maturity). Indenture not available; unverified.</t>
  </si>
  <si>
    <t>Not available (144A document not public).</t>
  </si>
  <si>
    <t>Special-purpose project company (Zenith Arc) developing a 149MW data center and substation in Okmulgee County, Oklahoma, leased to Jane Street. Obligor chain, guarantors and security package not disclosed in sources.</t>
  </si>
  <si>
    <t>Sponsors</t>
  </si>
  <si>
    <t>Fluidstack is the stated developer on the project website; 9fin links Fluidstack and Coatue to the project; the seed describes a Fluidstack/Next Frontier joint venture. Ownership percentages not found.</t>
  </si>
  <si>
    <t>S10, S13</t>
  </si>
  <si>
    <t>Private UK-incorporated AI cloud; Form D filings show private equity offerings of $750mm (Jan 2026), $850mm (May 2026 amendment) and $1.5bn opened June 2026 ($730mm sold at 30-Jun-2026).</t>
  </si>
  <si>
    <t>Coatue / Next Frontier</t>
  </si>
  <si>
    <t>Coatue-incubated powered-land venture linked to the project by 9fin headline; no filing found.</t>
  </si>
  <si>
    <t>Jane Street, quantitative trading firm; seed names tenant entity JS Data Center LLC (not verified in any document).</t>
  </si>
  <si>
    <t>S3, S10</t>
  </si>
  <si>
    <t>15-year absolute triple-net lease: tenant pays base rent and all property expenses (maintenance, taxes, utilities, insurance, electricity). Seed adds two 5-year extensions (unverified).</t>
  </si>
  <si>
    <t>Guaranty</t>
  </si>
  <si>
    <t>Jane Street provided a customary lease guaranty (per Moody's as reported by Briefs). No Google backstop appears in any source for this deal.</t>
  </si>
  <si>
    <t>Seed: $1.75mm/MW/yr and 3.0% escalator; implied annual rent about $261mm on 149MW and debt-to-rent about 8.6x (our arithmetic, matching the seed leverage figure). Unverified.</t>
  </si>
  <si>
    <t>About 200 acres west of Okmulgee on the west side of Madison Avenue surrounding Hodges Warehouse, outside city limits; landowner and permit applicant Three Rivers Manufacturing LLC (Tulsa cutlery maker).</t>
  </si>
  <si>
    <t>S7, S9</t>
  </si>
  <si>
    <t>149MW (critical IT per seed and brief; sources say 149 megawatts).</t>
  </si>
  <si>
    <t>Environment</t>
  </si>
  <si>
    <t>Site borders Deep Fork Wildlife Refuge; residents cite American burying beetle and migratory birds; closed-loop cooling with one-time fill per Fluidstack.</t>
  </si>
  <si>
    <t>Seed facility cost $2,120mm ($14.2mm/MW) and 91% debt funded; unverified.</t>
  </si>
  <si>
    <t>Fluidstack states AEP-PSO is the energy provider and says it will pay for all energy and energy infrastructure; no tariff, interconnection agreement or Oklahoma Corporation Commission filing found.</t>
  </si>
  <si>
    <t>Power permits</t>
  </si>
  <si>
    <t>The assignment brief states power permits are outstanding; no public record found either way.</t>
  </si>
  <si>
    <t>Substation</t>
  </si>
  <si>
    <t>Brief states Shipp Engineering substation due June 2027. From the assignment brief; no public source found in this research.</t>
  </si>
  <si>
    <t>Contractor and GMP</t>
  </si>
  <si>
    <t>Brief: GC Alston Construction with GMP of about $1.16bn. From the assignment brief; no public source found in this research.</t>
  </si>
  <si>
    <t>Delivery targets</t>
  </si>
  <si>
    <t>Fluidstack website: first phase operational by September 2027 and final phase by September 2028 (seed: lease commencement Oct 2027 - Nov 2028).</t>
  </si>
  <si>
    <t>Construction status</t>
  </si>
  <si>
    <t>Seed says construction start July 2026, but a land-clearing permit existed by July and the floodplain development permit was denied in late August 2026, so ground-disturbing work status is unclear.</t>
  </si>
  <si>
    <t>$2.25bn notes; at 99.5 gross proceeds about $2.239bn (our arithmetic).</t>
  </si>
  <si>
    <t>Seed: 8.6x at issuance, 7.2x at maturity, 91% debt-funded; unverified.</t>
  </si>
  <si>
    <t>Secondary trading</t>
  </si>
  <si>
    <t>Money-market-fund repo-collateral valuations: about 96.7% of face at 31-Aug-2026 and about 91.5% at 30-Sep-2026 (may include accrued interest). The Information reported yields near 11.3% on 20-Sep-2026, over 2 points wider than issue.</t>
  </si>
  <si>
    <t>S1, S2, S6</t>
  </si>
  <si>
    <t>Lease guaranty</t>
  </si>
  <si>
    <t>Jane Street guaranty of the lease; terms (amount, duration, whether full-recourse) not available.</t>
  </si>
  <si>
    <t>No completion guarantee, DSRA or termination payment details found; no third-party backstop reported.</t>
  </si>
  <si>
    <t>144A indenture not accessible; green-bond framework and covenants unavailable.</t>
  </si>
  <si>
    <t>Below investment grade per Briefs (seed Ba2); exact grade not stated in accessible text.</t>
  </si>
  <si>
    <t>Reported BB in a search-result snippet of GuruFocus; seed BB.</t>
  </si>
  <si>
    <t>Seed shows NR; none found.</t>
  </si>
  <si>
    <t>Develop and construct the compute facility and its substation (Briefs); described by Bloomberg as green bonds funding construction of server rooms, cooling and power infrastructure.</t>
  </si>
  <si>
    <t>Floodplain permit</t>
  </si>
  <si>
    <t>County Floodplain Administration denied the development permit without prejudice for missing information and conflicting conclusions in engineering documents (six deficiencies); applicant must fix and resubmit; no resubmission or approval found as of 16-Oct-2026.</t>
  </si>
  <si>
    <t>S7, S8, S14</t>
  </si>
  <si>
    <t>Other approvals</t>
  </si>
  <si>
    <t>A fire-marshal building permit is required before construction; Okmulgee County has no zoning; water from the City of Okmulgee needs city decisions; power permits not evidenced.</t>
  </si>
  <si>
    <t>Local opposition</t>
  </si>
  <si>
    <t>County moratorium petition (kickoff 10-Aug-2026), citizen advisory planning committee created 7-Jul-2026, Muscogee Nation data-sovereignty task force, wildlife-refuge concerns.</t>
  </si>
  <si>
    <t>Bonds have traded down to about 91.5 by 30-Sep-2026 and yields near 11.3% as of 20-Sep.</t>
  </si>
  <si>
    <t>Phase 1 target of September 2027 depends on permits, substation (June 2027 per brief) and construction.</t>
  </si>
  <si>
    <t>Permit denial</t>
  </si>
  <si>
    <t>Floodplain permit denied without prejudice (reported 28-Aug-2026, discussed at the 31-Aug-2026 commissioners meeting; seed dated it 31-Aug).</t>
  </si>
  <si>
    <t>Resolution status</t>
  </si>
  <si>
    <t>No evidence through 16-Oct-2026 that the floodplain permit was approved or resubmitted, or that power permits were resolved; 9fin headline of 30-Sep-2026 still describes a setback.</t>
  </si>
  <si>
    <t>Bonds quoted around 96.7 on 31-Aug and about 91.5 on 30-Sep (fund collateral values).</t>
  </si>
  <si>
    <t>Fluidstack Form D shows $730mm sold of $1.5bn private equity offering.</t>
  </si>
  <si>
    <t>2026-07-07</t>
  </si>
  <si>
    <t>Okmulgee County commissioners create a citizen Advisory Planning Committee on data centers.</t>
  </si>
  <si>
    <t>Residents raise wildlife-refuge concerns near the site.</t>
  </si>
  <si>
    <t>County moratorium petition kickoff.</t>
  </si>
  <si>
    <t>Zenith Arc prices $2.25bn 8.875% senior secured green notes (99.5 reported).</t>
  </si>
  <si>
    <t>2026-08-28</t>
  </si>
  <si>
    <t>Floodplain permit denial without prejudice reported.</t>
  </si>
  <si>
    <t>2026-08-31</t>
  </si>
  <si>
    <t>Commissioners hear details of denial; fund collateral value about 96.7 of face.</t>
  </si>
  <si>
    <t>2026-09-20</t>
  </si>
  <si>
    <t>Bonds reported trading at about 11.3% yield.</t>
  </si>
  <si>
    <t>9fin reports potential setback from denied floodplain permit; fund collateral value about 91.5.</t>
  </si>
  <si>
    <t>2027-09</t>
  </si>
  <si>
    <t>Fluidstack target for first phase operation.</t>
  </si>
  <si>
    <t>S1 | SEC filing | 2026-09-08</t>
  </si>
  <si>
    <t>SEC Form N-MFP3 (Fidelity Revere Street Trust), holdings at 31-Aug-2026: Zenith Arc LLC Sr Sec 144A 8.875% 2031 as repo collateral (Fidelity Revere Street Trust / SEC EDGAR). Used for: CUSIP 98935UAA5, 8.875% coupon, maturity 31-Aug-2031, collateral valuation about 96.7% of face</t>
  </si>
  <si>
    <t>S2 | SEC filing | 2026-10-07</t>
  </si>
  <si>
    <t>SEC Form N-MFP3 (JPMorgan Prime Money Market Fund), holdings at 30-Sep-2026: Zenith Arc LLC Sr Sec (JPMorgan Trust I / SEC EDGAR). Used for: Collateral valuation about 91.5% of face at 30-Sep-2026</t>
  </si>
  <si>
    <t>S3 | News | 2026-08-13</t>
  </si>
  <si>
    <t>Jane Street's $2.25B data center bond deal (Briefs, citing Bloomberg and Moody's) (Briefs). Used for: Size, 149MW, 15-year absolute triple-net lease, Jane Street lease guaranty, Moody's below investment grade, green label</t>
  </si>
  <si>
    <t>S4 | News | 2026-08-14</t>
  </si>
  <si>
    <t>Jane Street lease backs $2.25 billion green data center bond issuance (Cobo, summarizing Bloomberg 13-Aug-2026) (Cobo news summary of Bloomberg). Used for: Size, green label, Jane Street as tenant (price and coupon not stated on the page)</t>
  </si>
  <si>
    <t>S5 | News | 2026-09</t>
  </si>
  <si>
    <t>GuruFocus: Jane Street's debt struggles highlight risks in AI data center financing (search snippet only; page returned 403) (GuruFocus). Used for: Reported S&amp;P BB rating, price 99.5 / 8.875%, early trading and yield near 11.3% (snippet-level, not read in full)</t>
  </si>
  <si>
    <t>S6 | News | 2026-09-20</t>
  </si>
  <si>
    <t>The Information via Prismix: debt tied to Jane Street data center has soured in secondary trading (The Information (mirror)). Used for: Yields about 11.3%, over 2 points above August issue level, per FINRA data</t>
  </si>
  <si>
    <t>S7 | News | 2026-08-28</t>
  </si>
  <si>
    <t>County denies data center floodplain permit pending additional engineering data (Henryetta Free-Lance) (Henryetta Free-Lance). Used for: Floodplain permit denied without prejudice; applicant Three Rivers Manufacturing; six deficiencies</t>
  </si>
  <si>
    <t>S8 | News | 2026-09-02</t>
  </si>
  <si>
    <t>Commissioners hear details behind denial of data center floodplain permit (Your Okmulgee) (Okmulgee Daily Times / Your Okmulgee). Used for: County commission meeting of 31-Aug-2026 hearing denial details; paywalled beyond lede</t>
  </si>
  <si>
    <t>New info released on possible Okmulgee data center project (KJRH) (KJRH Tulsa). Used for: Site (about 200 acres off Madison Avenue), landowner, no county zoning, land-clearing permit, fire marshal building permit, water from City</t>
  </si>
  <si>
    <t>S10 | Press release | 2026</t>
  </si>
  <si>
    <t>Okmulgee Data Center (Fluidstack project website) (Fluidstack). Used for: Tenant Jane Street, phase 1 September 2027 and final phase September 2028, AEP-PSO as energy provider, closed-loop cooling</t>
  </si>
  <si>
    <t>S11 | News | 2026-08-17</t>
  </si>
  <si>
    <t>Opposition to Okmulgee data center gains momentum (MVSKOKE Media) (MVSKOKE Media). Used for: Moratorium petition, Muscogee Nation task force, opposition timeline</t>
  </si>
  <si>
    <t>S12 | News | 2026-07-20</t>
  </si>
  <si>
    <t>Okmulgee County residents seek answers on proposed data center near wildlife refuge (KRMG / FOX23) (KRMG). Used for: Site bordering Deep Fork Wildlife Refuge, resident concerns</t>
  </si>
  <si>
    <t>S13 | News | 2026-09-30</t>
  </si>
  <si>
    <t>Fluidstack-Coatue data center suffers potential setback from denied floodplain permit (9fin headline) (9fin). Used for: Headline and date only (body behind paywall); links Fluidstack and Coatue to the project</t>
  </si>
  <si>
    <t>S14 | News | 2026-08</t>
  </si>
  <si>
    <t>Oklahoma data center map: recent activity log (Aug 2026 floodplain permit denied without prejudice pending engineering data) (dcmap.us). Used for: Independent tracker confirming denial entry</t>
  </si>
  <si>
    <t>S15 | SEC filing | 2026-06-30</t>
  </si>
  <si>
    <t>Fluidstack Ltd Form D (offering $1.5bn, first sale 15-Jun-2026; $730mm sold) (Fluidstack Ltd / SEC EDGAR). Used for: Developer-side funding: private equity raises in 2026</t>
  </si>
  <si>
    <t>Brief says the floodplain denial was 31-Aug-2026; the Free-Lance article was posted 28-Aug-2026 and the commissioners heard the details on 31-Aug. County records themselves were not accessible.</t>
  </si>
  <si>
    <t>Resolution up to 16-Oct-2026: searches found no news, county record or filing showing approval or resubmission of the floodplain permit, or resolution of power permits. Absence of evidence only.</t>
  </si>
  <si>
    <t>Alston Construction GMP (about $1.16bn) and Shipp Engineering substation (June 2027) are from the brief and could not be verified.</t>
  </si>
  <si>
    <t>Tenant entity JS Data Center LLC, guaranty amount and terms, and Jane Street credit not found; Jane Street is private. No SEC filing by Jane Street, Fluidstack or Coatue describes these notes; Alphabet's 10-Q is not relevant (no Google backstop).</t>
  </si>
  <si>
    <t>Ratings: Moody's grade and S&amp;P BB only via snippets; Fitch none; agency releases inaccessible.</t>
  </si>
  <si>
    <t>Offering memorandum and indenture unavailable; price (99.5), coupon (8.875% confirmed in fund filings) and green-label details not confirmed from the issuer.</t>
  </si>
  <si>
    <t>9fin, Bloomberg, GuruFocus and local paywalled articles were read only in part (headline or snippet).</t>
  </si>
  <si>
    <t>Oklahoma Corporation Commission, AEP-PSO and Okmulgee County permit dockets not located.</t>
  </si>
  <si>
    <t>Dossier as of 2026-10-16 | ISIN US36322DAA46 (seed, unverified) | HY section | Bloomberg: GALAXY 9.875 08/01/31 144A Corp</t>
  </si>
  <si>
    <t>Galaxy Helios Data Centers II LLC, an indirect wholly-owned subsidiary of Galaxy Digital Inc. (NASDAQ: GLXY).</t>
  </si>
  <si>
    <t>9.875% Senior Secured Notes due 2031; $3,507mm aggregate principal; sold under a 23 Jul 2026 purchase agreement (representative: Morgan Stanley &amp; Co. LLC) at 99.500% of par; closed 28 Jul 2026.</t>
  </si>
  <si>
    <t>9.875% p.a., semi-annual in arrears on 1 Feb and 1 Aug, first payment 1 Feb 2027; maturity 1 Aug 2031.</t>
  </si>
  <si>
    <t>Seed shows ISIN US36322DAA46, CUSIP 36322DAA4 (144A). Not shown in the 8-K or indenture text.</t>
  </si>
  <si>
    <t>Senior secured. First-priority liens on substantially all assets of the Issuer and the Guarantor (excluded property carved out) and on all Issuer equity held by its direct parent (HoldCo).</t>
  </si>
  <si>
    <t>Guarantor and HoldCo</t>
  </si>
  <si>
    <t>Guarantor: Galaxy Helios II LLC (direct wholly-owned subsidiary of the Issuer). HoldCo: Galaxy Helios II Qualified Opportunity Zone Business, LLC (direct parent of the Issuer, party to the indenture). Galaxy Digital Inc. does not guarantee the notes.</t>
  </si>
  <si>
    <t>Semi-annual on 1 Feb / 1 Aug at rates set out in the indenture; first payment on the Amortization Commencement Date, i.e. the first payment date after the date that is 10 months after rent is first paid following the Commencement Date (all data halls delivered).</t>
  </si>
  <si>
    <t>Illustrative amortization (company)</t>
  </si>
  <si>
    <t>Company illustrative schedule (July 2026 presentation, calendar-year amounts, $mm): 2028 12; 2029 140; 2030 140; 2031 167; 2032 227; 2033 262; 2034 300; 2035 342; 2036 388; 2037 439; 2038 495; 2039 556; 2040 40. This runs far beyond the Aug 2031 maturity, so about $3.0bn would remain at maturity unless refinanced (derived: year-end 2030 balance $3,215mm less 2031 amortization).</t>
  </si>
  <si>
    <t>Make-whole before 1 Aug 2028; call prices 104.938% (2028), 102.469% (2029), par (2030+). Before 1 Aug 2028: up to 40% with equity proceeds at 109.875%; up to 10% of original principal per calendar year at 103.000%.</t>
  </si>
  <si>
    <t>Other redemption / offers</t>
  </si>
  <si>
    <t>Par redemption on a Data Center Lease Termination Event; one-time par redemption down to 1.10x DSCR if DSCR is below 1.10x after the Commencement Date; 100% of any lease termination fee must be offered to holders at par; asset-sale proceeds offered at par; Change of Control Trigger Event put at 101%.</t>
  </si>
  <si>
    <t>The Bank of New York Mellon.</t>
  </si>
  <si>
    <t>Rule 144A / Regulation S private offering.</t>
  </si>
  <si>
    <t>Galaxy Digital Inc. -&gt; Galaxy Digital Holdings LP (GDH LP, indirect parent) -&gt; ... -&gt; HoldCo (Galaxy Helios II Qualified Opportunity Zone Business, LLC) -&gt; Issuer (Galaxy Helios Data Centers II LLC) -&gt; Guarantor (Galaxy Helios II LLC). Landlord under the CoreWeave lease is Galaxy Power LLC; the lease was assigned to the Landlord (project entity) via an Assignment and Assumption Agreement.</t>
  </si>
  <si>
    <t>Covenants restrict non-project assets/operations, becoming a general partner, or acquiring/forming subsidiaries without a Rating Agency Confirmation; special-purpose-entity and HoldCo negative covenants (Sections 4.17-4.20).</t>
  </si>
  <si>
    <t>Tax structure</t>
  </si>
  <si>
    <t>Indenture permits tax distributions needed to maintain REIT status of the Issuer or its parent, and refers to a Qualified Opportunity Zone Business parent.</t>
  </si>
  <si>
    <t>Credit support in the presentation</t>
  </si>
  <si>
    <t>Company states only the Issuer, the Guarantor and the 400 MW utility / 260 MW critical IT project provide credit support for the notes; other Galaxy projects and Helios I do not.</t>
  </si>
  <si>
    <t>CoreWeave pays rent to the project Landlord; Landlord/Issuer/Guarantor ring-fenced; Galaxy LP provides an uncapped completion guarantee tied to rent commencement; no parent payment guarantee.</t>
  </si>
  <si>
    <t>Galaxy Digital Inc. (NASDAQ/TSX: GLXY), New York; digital-asset financial services plus Helios data center campus in Dickens County, West Texas (first notes in the HY market).</t>
  </si>
  <si>
    <t>Parent financial position (30 Jun 2026)</t>
  </si>
  <si>
    <t>Total assets $10.84bn; total equity $2.72bn; cash and stablecoins $2.46bn (cash $896mm, stablecoins $1,563mm); Data Centers segment assets $2.54bn.</t>
  </si>
  <si>
    <t>Parent earnings</t>
  </si>
  <si>
    <t>Q2 2026 net loss $85.3mm (H1 net loss $301.6mm); Adjusted EBITDA $(77.3)mm in Q2 and $(264.8)mm in H1.</t>
  </si>
  <si>
    <t>Phase I financing (separate SPV)</t>
  </si>
  <si>
    <t>Galaxy Helios I LLC: Deutsche Bank AG senior secured term loan up to $1.4bn (15 Aug 2025), SOFR + 4.75% with 2.50% floor, commitments mature 15 Aug 2028, $1.3bn drawn at 30 Jun 2026; covenants: min DSCR 1.40x after Stabilization, max 80% loan-to-cost, GDH LP tangible net worth at least the loan amount and liquidity at least 10% of the loan (5% on conditions). Not part of the notes' collateral.</t>
  </si>
  <si>
    <t>Other parent debt</t>
  </si>
  <si>
    <t>Exchangeable notes (2026, 2029 and 2031 series appear in the 10-Q XBRL tags; amounts not extracted).</t>
  </si>
  <si>
    <t>Helios campus scale</t>
  </si>
  <si>
    <t>ERCOT-approved power at Helios over 1.6 GW (about 800 MW leased to CoreWeave across Phases I-III plus 830 MW uncontracted); campus over 2,200 acres per news.</t>
  </si>
  <si>
    <t>CoreWeave, Inc. (NASDAQ: CRWV) for the entire project; lease agreement dated 8 Aug 2025 between Galaxy Power LLC (landlord) and CoreWeave, amended by a First Amendment (21 Jan 2026) and Second Amendment (3 Jun 2026). Whether any CoreWeave SPV or parent guarantee stands behind the lease is not stated in the filings reviewed.</t>
  </si>
  <si>
    <t>Term and extensions</t>
  </si>
  <si>
    <t>15-year base term plus two 5-year CoreWeave extension options (company presentation). Seed agrees (15 yrs, two 5-yr).</t>
  </si>
  <si>
    <t>Minimum contracted lease payments of $10.4bn over the base term (remaining payments; excludes a $100mm option payment already received; assumes 3% CPI); annual escalator 3.0% if CPI below 3%, 5.0% if CPI above 5%, CPI in between. Illustrative rent $155mm (2027), $472mm (2028), $565mm (2029), $582mm (2030), $599mm (2031).</t>
  </si>
  <si>
    <t>Yield on cost</t>
  </si>
  <si>
    <t>Starting monthly recurring charge gross yield on cost of 13.7% (company figure, flagged by company as target).</t>
  </si>
  <si>
    <t>'Near triple net': tenant pays utilities, taxes, insurance, maintenance and ordinary repairs, excluding personnel costs provided by Galaxy for mechanical/cooling/electrical/admin functions outside white space. NOI margin about 90%+ after operating expenses of $15 per kW per month. Seed calls it modified gross.</t>
  </si>
  <si>
    <t>Initial targeted rent commencement Q2 2027 (company does not guarantee); rent is phase-by-phase as data halls reach their 'Data Hall Commencement Date'; the indenture's Commencement Date is the date all data halls have commenced.</t>
  </si>
  <si>
    <t>Termination and replacement</t>
  </si>
  <si>
    <t>A Data Center Lease Termination Event followed by no Qualifying Data Center Lease with a Qualifying Tenant within 6 months (12 months if LOI, full DSRA, no discretionary distributions, opex funded, termination fee retained) is an Event of Default. Termination fees go to a Designated Account and must be offered to holders at par.</t>
  </si>
  <si>
    <t>Qualifying Tenant</t>
  </si>
  <si>
    <t>NVIDIA, Apple, Microsoft, Amazon, Alphabet, Meta (or controlled affiliates); listed tech/hyperscaler with EV or market cap of at least $50bn; a tenant with qualifying backstop; or anyone for whom a Rating Agency Confirmation is obtained (clause iv). CoreWeave is not on the named list; Oracle is not listed here (unlike the CORZ indenture).</t>
  </si>
  <si>
    <t>Tenant credit backers (company claims)</t>
  </si>
  <si>
    <t>NVIDIA holds about 11.5% of CoreWeave and is obligated to purchase up to $6.3bn of residual CoreWeave cloud capacity through April 2032 (company presentation); CoreWeave revenue backlog $99.4bn at Q1 2026, market cap $43.6bn at 14 Jul 2026.</t>
  </si>
  <si>
    <t>CoreWeave's 10-Q describes an unnamed single-site lease with 393 MW undelivered at 30 Jun 2026 (phased 2026-2028), rent based on lessor construction cost with a contractual maximum of $14.7bn over a 16-year term. The 393 MW equals Galaxy's Phase II+III (260+133 MW), so it appears to be this campus, but CoreWeave does not name the lessor (inference).</t>
  </si>
  <si>
    <t>Prepaid rent</t>
  </si>
  <si>
    <t>$150mm of prepaid rent (deferred lease revenue) held by Galaxy at 30 Jun 2026 and 31 Dec 2025 (Data Centers segment).</t>
  </si>
  <si>
    <t>Assignment / SLA credits</t>
  </si>
  <si>
    <t>Not disclosed in filings reviewed.</t>
  </si>
  <si>
    <t>Two buildings with eight data halls: 400 MW utility (gross) and 260 MW critical IT, 'Helios I, Phase II' (also called Project Speed Phase II), on Galaxy's Dickens County TX campus.</t>
  </si>
  <si>
    <t>Acreage (discrepancy)</t>
  </si>
  <si>
    <t>8-K says approximately 260-acre property; the July 2026 presentation says 196-acre property; campus is over 2,200 acres per press. Recorded as unreconciled.</t>
  </si>
  <si>
    <t>Phase I (outside the notes)</t>
  </si>
  <si>
    <t>133 MW critical IT / about 200 MW gross delivered to CoreWeave; rent commenced and scaled up through Q2 2026.</t>
  </si>
  <si>
    <t>Phase III</t>
  </si>
  <si>
    <t>A further 133 MW critical IT is leased to CoreWeave under the Phase III lease (393 MW total Phase II+III, expected delivery from Q2 2027) but is not financed by these notes; CoreWeave has committed 526 MW critical IT across Phases I-III.</t>
  </si>
  <si>
    <t>Cost / per MW</t>
  </si>
  <si>
    <t>Seed: facility cost $3,617mm, about $13.9mm per critical MW, debt about 85% of cost. Company presentation cites 13.7% starting MRC gross yield on cost; cost figure itself not verified from official documents.</t>
  </si>
  <si>
    <t>Not disclosed in the filings reviewed.</t>
  </si>
  <si>
    <t>A portion of development and construction of the project plus debt service reserves; remainder from prior equity contributions and GDH LP completion support.</t>
  </si>
  <si>
    <t>Grid approvals</t>
  </si>
  <si>
    <t>ERCOT approved an additional 830 MW at Helios on 15 Jan 2026 after a Large Load Interconnection Study (steady-state and stability studies); Galaxy executed a service agreement with AEP Texas Inc.; Wind Energy Transmission Texas, LLC is the transmission interconnection provider. Total approved at Helios over 1.6 GW (1.63 GW).</t>
  </si>
  <si>
    <t>On 8 Sep 2026 Galaxy said Helios I (800 MW) and Helios II (830 MW) received conditional Batch Zero classification as Base Load; Helios II was approved in January 2026 before the 4 Mar validation date and Galaxy states it remains on schedule to energize in 2028; Helios III (1,000 MW) is Studied Load.</t>
  </si>
  <si>
    <t>Batch Zero caveats</t>
  </si>
  <si>
    <t>Classifications are conditional; a 3 Aug 2026 gubernatorial directive led the PUCT on 20 Aug to grant ERCOT exceptions while it audits queued data-center projects (several months); no replacement date set for Batch Zero study results; projects can be removed. Galaxy flags these as interconnection risk.</t>
  </si>
  <si>
    <t>Phase II power timing</t>
  </si>
  <si>
    <t>600 MW of gross capacity supports the 393 MW (Phase II+III) leases, expected to be delivered starting Q2 2027 per 10-Q; the 830 MW tranche is said to energize in 2028.</t>
  </si>
  <si>
    <t>Which MW supports the notes</t>
  </si>
  <si>
    <t>Project is 400 MW utility capacity. The filings reviewed do not map the 400 MW to the 600 MW / 830 MW tranches; the 2028 energization date for the 830 MW tranche versus the Q2 2027 rent start is an open timing question.</t>
  </si>
  <si>
    <t>The task brief named HITT Contracting. No official document or press item I could access names HITT or any general contractor for Phase II; not verified.</t>
  </si>
  <si>
    <t>Phase I performance</t>
  </si>
  <si>
    <t>Company states Phase I was delivered on schedule (press: also on budget).</t>
  </si>
  <si>
    <t>Phase II status</t>
  </si>
  <si>
    <t>Greenfield development underway with civil and structural work; data hall deliveries expected to commence in H1 2027; initial targeted rent commencement Q2 2027.</t>
  </si>
  <si>
    <t>Uncapped completion guarantee from Galaxy Digital Holdings LP (dated 28 Jul 2026) to provide the Landlord funds so that each phase required to be delivered to CoreWeave satisfies all conditions to rent commencement, if notes proceeds and other available funds (incl. prior equity contributions) are insufficient.</t>
  </si>
  <si>
    <t>Construction period reserve</t>
  </si>
  <si>
    <t>DSRA initially sized using $285.05mm for construction-period interest net of expected NOI plus next interest and the first installment; rises or falls with schedule.</t>
  </si>
  <si>
    <t>Contract type</t>
  </si>
  <si>
    <t>GMP/fixed-price status unknown.</t>
  </si>
  <si>
    <t>$3,507mm at 99.5 (net proceeds not stated); no other tranche at the Issuer disclosed.</t>
  </si>
  <si>
    <t>Illustrative annual summary (company, $mm)</t>
  </si>
  <si>
    <t>Rent 155 / 472 / 565 / 582 / 599 for 2027-2031; NOI 120 / 424 / 516 / 531 / 547; net interest 117 / 290 / 284 / 272 / 260; cash flow after debt service 4 / 122 / 92 / 119 / 121; cumulative post-debt-service cash flow $457mm through 2031.</t>
  </si>
  <si>
    <t>Derived coverage</t>
  </si>
  <si>
    <t>NOI / (net interest + amortization): about 1.40x (2028), 1.22x (2029), 1.29x (2030), 1.28x (2031). Derived from the company's illustrative table; actual covenants differ.</t>
  </si>
  <si>
    <t>Derived leverage</t>
  </si>
  <si>
    <t>Debt / NOI about 6.5x on 2029 NOI ($3,355mm / $516mm); seed shows 7.0x at issuance and 5.6x at maturity.</t>
  </si>
  <si>
    <t>Debt vs equity</t>
  </si>
  <si>
    <t>Seed: 85% debt-funded; indenture counts 'prior equity contributions' and DSRA but no equity amount disclosed.</t>
  </si>
  <si>
    <t>Notes mature Aug 2031 but company amortization schedule runs to 2040: about $3.0bn balloon, roughly 85% of original principal.</t>
  </si>
  <si>
    <t>Interest burden</t>
  </si>
  <si>
    <t>About $345mm per year coupon at 9.875% on $3,507mm (derived); construction-period interest funded from notes proceeds and DSRA.</t>
  </si>
  <si>
    <t>See Construction. Uncapped, from GDH LP, tied to rent-commencement conditions.</t>
  </si>
  <si>
    <t>Construction period: $285.05mm estimate-based formula plus next interest and first installment; after construction: next interest plus next installment; letters of credit allowed; step-down if notes become investment grade.</t>
  </si>
  <si>
    <t>6-12 month re-let window, Rating Agency Confirmation, par redemption and termination-fee offer.</t>
  </si>
  <si>
    <t>Tenant-side support</t>
  </si>
  <si>
    <t>NVIDIA residual capacity purchase obligation (up to $6.3bn through Apr 2032) supports CoreWeave, not the lease itself; no direct guarantee of the lease by NVIDIA found.</t>
  </si>
  <si>
    <t>None for debt service; only the completion guarantee.</t>
  </si>
  <si>
    <t>After the Commencement Date, distributions capped at 40% of trailing four-quarter NOI plus (Full Budgeted Cost of Construction minus notes issued) plus similar amounts for any Additional Project; tax distributions (incl. to maintain REIT status) allowed only if the DSRA is fully funded; no distributions through the Data Center Lease EoD Period.</t>
  </si>
  <si>
    <t>Project accounts / waterfall</t>
  </si>
  <si>
    <t>Notes Proceeds Account (construction), Revenue Account, Debt Service Reserve Account, Designated Account (termination fees); revenue applied in priority order in Section 4.23(g); excess DSRA may be released to a distribution account.</t>
  </si>
  <si>
    <t>DSCR</t>
  </si>
  <si>
    <t>DSCR defined on forward four-quarter NOI over required debt service; DSCR below 1.10x after the Commencement Date gives the Issuer a one-time par redemption right (no lock-up level extracted).</t>
  </si>
  <si>
    <t>Debt, liens, investments, affiliate transactions, asset sales, mergers; no change to the Data Center Lease without compliance with Section 4.21; Rating Agency Confirmation needed for non-project assets or new subsidiaries.</t>
  </si>
  <si>
    <t>Cross-default / EoD</t>
  </si>
  <si>
    <t>Customary events of default; Data Center Lease Termination Event of Default as above.</t>
  </si>
  <si>
    <t>NR / BB- / BB- (Moody's / S&amp;P / Fitch ordering as given by Barclays).</t>
  </si>
  <si>
    <t>Agency documents</t>
  </si>
  <si>
    <t>No S&amp;P or Fitch release found or accessible; outlooks, rationale and triggers unverified. Indenture contemplates step-downs if the notes are rated investment grade and uses Rating Agency Confirmation.</t>
  </si>
  <si>
    <t>Finance a portion of development and construction of two buildings (eight data halls, 400 MW utility / 260 MW critical IT) on the Dickens County property and fund debt service reserves.</t>
  </si>
  <si>
    <t>Group usage statement</t>
  </si>
  <si>
    <t>Galaxy's Q2 release says proceeds fund construction of Helios I, Phase II.</t>
  </si>
  <si>
    <t>Single tenant, sub-IG, now under market stress</t>
  </si>
  <si>
    <t>All revenue is CoreWeave rent; CoreWeave bonds sold off to distressed levels on 14-16 Oct 2026 (see CRWV dossier).</t>
  </si>
  <si>
    <t>Rent not yet flowing</t>
  </si>
  <si>
    <t>First rent targeted Q2 2027; interest is paid from proceeds/DSRA until then; delay raises completion-guarantee draw and DSRA need.</t>
  </si>
  <si>
    <t>Interconnection conditionality</t>
  </si>
  <si>
    <t>Batch Zero classifications are conditional; PUCT-ordered audit; no study result date; Galaxy flags removal risk.</t>
  </si>
  <si>
    <t>Power timing mismatch</t>
  </si>
  <si>
    <t>2028 energization for the 830 MW tranche versus Q2 2027 rent start; mapping of the notes' 400 MW to specific approvals not disclosed.</t>
  </si>
  <si>
    <t>About $3.0bn due Aug 2031 per company schedule.</t>
  </si>
  <si>
    <t>Completion guarantee strength</t>
  </si>
  <si>
    <t>Backed by GDH LP, whose group had Q2 2026 losses; group liquidity $2.46bn cash/stablecoins but also funds Helios I ($1.3bn loan drawn) and Phase III.</t>
  </si>
  <si>
    <t>Lease cost-based rent</t>
  </si>
  <si>
    <t>CoreWeave describes rent as based on lessor construction cost with a contractual maximum ($14.7bn for 393 MW), so minimum rent may move with cost.</t>
  </si>
  <si>
    <t>Replacement tenant hurdle</t>
  </si>
  <si>
    <t>CoreWeave not a Qualifying Tenant by name; replacement requires hyperscaler-type tenant or ratings confirmation.</t>
  </si>
  <si>
    <t>Contractor unknown</t>
  </si>
  <si>
    <t>HITT or other GC not confirmed.</t>
  </si>
  <si>
    <t>Closing and Q2</t>
  </si>
  <si>
    <t>Notes closed 28 Jul 2026; Q2 results 5 Aug 2026 (net loss $85.3mm; first lease revenue in Q2).</t>
  </si>
  <si>
    <t>8 Sep 2026 conditional Base Load classification for Helios I/II; Helios III Studied Load; Caspian and Selene Studied Load.</t>
  </si>
  <si>
    <t>Management</t>
  </si>
  <si>
    <t>Chief Accounting Officer Robert Rico resigned effective 30 Sep 2026; Dritan Muneka appointed Corporate Controller/PAO (8-K 23 Sep 2026).</t>
  </si>
  <si>
    <t>14-16 Oct 2026: CoreWeave bonds at distressed levels; CEO memo says backlog covers debt; no Galaxy response found.</t>
  </si>
  <si>
    <t>2025-04-01</t>
  </si>
  <si>
    <t>Phase I lease agreement with CoreWeave entered (month per Galaxy 10-Q 'April 2025')</t>
  </si>
  <si>
    <t>2025-08-08</t>
  </si>
  <si>
    <t>Data Center Lease (Phase II) dated between Galaxy Power LLC and CoreWeave</t>
  </si>
  <si>
    <t>2025-08-15</t>
  </si>
  <si>
    <t>Galaxy Helios I LLC signs $1.4bn Deutsche Bank construction term loan</t>
  </si>
  <si>
    <t>2026-01-15</t>
  </si>
  <si>
    <t>ERCOT approves additional 830 MW at Helios; AEP Texas service agreement; WETT transmission provider</t>
  </si>
  <si>
    <t>2026-01-21</t>
  </si>
  <si>
    <t>First Amendment to the Data Center Lease</t>
  </si>
  <si>
    <t>2026-06-03</t>
  </si>
  <si>
    <t>Second Amendment to the Data Center Lease</t>
  </si>
  <si>
    <t>2026-07-10</t>
  </si>
  <si>
    <t>Galaxy announces Phase I completion (133 MW critical IT delivered to CoreWeave)</t>
  </si>
  <si>
    <t>Notes offering launched with investor presentation</t>
  </si>
  <si>
    <t>Notes priced: $3.507bn 9.875% due 2031 at 99.5</t>
  </si>
  <si>
    <t>Notes close; indenture signed; completion guarantee from GDH LP</t>
  </si>
  <si>
    <t>2026-08-03</t>
  </si>
  <si>
    <t>Texas governor directive on data-center load queue; PUCT grants ERCOT exceptions on 20 Aug</t>
  </si>
  <si>
    <t>Galaxy Q2 2026 results</t>
  </si>
  <si>
    <t>Galaxy 10-Q filed</t>
  </si>
  <si>
    <t>2026-09-08</t>
  </si>
  <si>
    <t>Galaxy announces conditional Batch Zero classifications (Helios I/II Base Load)</t>
  </si>
  <si>
    <t>CoreWeave bonds sell off to distressed levels (tenant stress)</t>
  </si>
  <si>
    <t>2027-02-01</t>
  </si>
  <si>
    <t>First scheduled coupon on the notes</t>
  </si>
  <si>
    <t>S1 | SEC filing | 2026-07-28</t>
  </si>
  <si>
    <t>Galaxy Digital Form 8-K (Items 1.01, 2.03): completion of $3.507bn 9.875% Senior Secured Notes due 2031 (Galaxy Digital Inc. / SEC EDGAR). Used for: Issuer, guarantor, HoldCo, trustee, coupon, amortization trigger, redemption terms, covenants, completion guarantee, use of proceeds</t>
  </si>
  <si>
    <t>S2 | Indenture | 2026-07-28</t>
  </si>
  <si>
    <t>Indenture dated 28 Jul 2026 (Exhibit 4.1) incl. form of note (Galaxy Helios Data Centers II LLC / The Bank of New York Mellon (trustee) / SEC EDGAR). Used for: Defined terms (Data Center Lease, amendments, Commencement Date, Amortization Commencement Date, Qualifying Tenant), call prices, DSRA, restricted payments, lease-termination event of default, waterfall accounts</t>
  </si>
  <si>
    <t>S3 | Presentation | 2026-07-22</t>
  </si>
  <si>
    <t>Galaxy Form 8-K (Item 7.01) with Exhibit 99.1 investor presentation (July 2026) for the notes offering (Galaxy Digital Inc. / SEC EDGAR). Used for: Lease economics (term, MRC yield on cost, escalator, minimum contracted payments, rent start), illustrative post-construction financial summary and debt schedule, NVIDIA support of CoreWeave</t>
  </si>
  <si>
    <t>S4 | SEC filing | 2026-07-24</t>
  </si>
  <si>
    <t>Galaxy Form 8-K (Item 8.01): pricing of $3.507bn senior secured notes (Galaxy Digital Inc. / SEC EDGAR). Used for: Pricing date, offering description</t>
  </si>
  <si>
    <t>S5 | SEC filing | 2026-08-10</t>
  </si>
  <si>
    <t>Galaxy Digital Form 10-Q for quarter ended 30 June 2026 (Galaxy Digital Inc. / SEC EDGAR). Used for: Helios status, CoreWeave leases (Phase I/II/III), $1.4bn Helios I credit agreement, deferred lease revenue, minimum lease income, group financials, risk factors</t>
  </si>
  <si>
    <t>S6 | SEC filing | 2026-02-26</t>
  </si>
  <si>
    <t>Galaxy Digital Form 10-K for FY2025 (Galaxy Digital Inc. / SEC EDGAR). Used for: Helios I project financing covenants (1.40x DSCR, 80% LTC, GDH LP net worth and liquidity)</t>
  </si>
  <si>
    <t>S7 | Press release | 2026-01-15</t>
  </si>
  <si>
    <t>Galaxy press release (Exhibit 99.1 to 8-K): ERCOT interconnection studies complete, additional 830 MW at Helios (Galaxy Digital Inc. / SEC EDGAR). Used for: ERCOT 830 MW approval, AEP Texas service agreement, WETT as transmission provider, total approved 1.6 GW</t>
  </si>
  <si>
    <t>S8 | Press release | 2026-08-05</t>
  </si>
  <si>
    <t>Galaxy Q2 2026 earnings press release (Exhibit 99.1) (Galaxy Digital Inc. / SEC EDGAR). Used for: Phase I delivery, notes proceeds for Helios I Phase II, group balance sheet metrics</t>
  </si>
  <si>
    <t>S9 | Press release | 2026-09-08</t>
  </si>
  <si>
    <t>Galaxy press release: Provides Update on ERCOT Batch Zero Large Load Classifications (reproduced by Finviz) (Galaxy Digital Inc. (via Finviz)). Used for: Batch Zero classification of Helios I (800 MW) and Helios II (830 MW) as Base Load, conditionality, audit, 2028 energization</t>
  </si>
  <si>
    <t>S10 | News | 2026-07-10</t>
  </si>
  <si>
    <t>KCBD: Galaxy completes Phase I of its Helios data center campus, delivering 133 MW to CoreWeave (KCBD (Lubbock) news). Used for: Phase I completion, Phase II start and schedule, 526 MW commitment across Phases I-III</t>
  </si>
  <si>
    <t>S11 | SEC filing | 2026-08-12</t>
  </si>
  <si>
    <t>CoreWeave Form 10-Q for quarter ended 30 June 2026 (CoreWeave, Inc. / SEC EDGAR). Used for: Tenant-side disclosure of a 393 MW undelivered single-site lease with a $14.7bn contractual maximum; CoreWeave liquidity and debt</t>
  </si>
  <si>
    <t>Barclays IG/HY Data Center Credit Digest (16-Sep-2026) and Bloomberg, via seed.json (Barclays / Bloomberg (secondary)). Used for: Leads only: ISIN, rating string, cost, rent per MW, leverage, spread</t>
  </si>
  <si>
    <t>S14 | SEC filing | 2026-09-23</t>
  </si>
  <si>
    <t>Galaxy Form 8-K (Item 5.02): appointment of Corporate Controller / principal accounting officer (Galaxy Digital Inc. / SEC EDGAR). Used for: CAO transition</t>
  </si>
  <si>
    <t>S13 | News | 2026-07-24</t>
  </si>
  <si>
    <t>Web search summaries on notes pricing, HITT Contracting and ratings (no primary agency or contractor document found) (Assorted trade press (blockspace.media, theenergymag.com, DCD)). Used for: Only used to record that HITT as general contractor and agency ratings could not be confirmed</t>
  </si>
  <si>
    <t>Offering memorandum (144A) not accessible: cost, per-MW capex, equity amount, sources and uses and construction schedule unverified; seed cost ($3,617mm), $13.9mm/MW, 85% debt, 7.0x leverage and ISIN/CUSIP are unverified.</t>
  </si>
  <si>
    <t>HITT Contracting: asked for in the brief but no official or press document I could access names HITT (or any GC) for Helios Phase II; unverified.</t>
  </si>
  <si>
    <t>AEP Texas: only Galaxy's press release (service agreement for the additional 830 MW) was available; the AEP/ERCOT/PUCT filings themselves were not retrieved; ERCOT's Batch Zero board PDF returned 403.</t>
  </si>
  <si>
    <t>Ratings: no S&amp;P/Fitch/Moody's publication found; seed NR/BB-/BB- unverified.</t>
  </si>
  <si>
    <t>Discrepancies: 8-K says ~260-acre site, presentation says 196-acre; 10-Q dates the (Phase I) lease April 2025 whereas the indenture defines the Data Center Lease as dated 8 Aug 2025; seed calls the lease modified gross whereas the company calls it near triple net.</t>
  </si>
  <si>
    <t>The CoreWeave lease itself (and the amendments) was not found as a filed exhibit; whether CoreWeave parent or an SPV is the obligor, SLA credits, termination rights beyond the indenture definitions, and rent per MW are not verified (seed $2.1mm/MW).</t>
  </si>
  <si>
    <t>Mapping of the notes' 400 MW utility capacity to ERCOT/AEP approvals, and why the 830 MW tranche energizes in 2028 versus rent start Q2 2027, not reconciled.</t>
  </si>
  <si>
    <t>Exact installment schedule in the indenture and the DSCR lock-up/default levels not extracted; the presentation schedule runs to 2040 beyond the 2031 maturity.</t>
  </si>
  <si>
    <t>Galaxy exchangeable notes amounts and the Oct 2025 PIPE (8-K filed 14 Oct 2025) were not reviewed in detail.</t>
  </si>
  <si>
    <t>Dossier as of 2026-10-16 | ISIN US28734DAA37 (seed, unverified) | HY section | Bloomberg: ELKGVP 7.5 06/15/31 144A Corp</t>
  </si>
  <si>
    <t>Elk Grove Village Property LLC, a wholly owned indirect subsidiary of Prime Data Centers LLC.</t>
  </si>
  <si>
    <t>S1,S2</t>
  </si>
  <si>
    <t>7.50% notes due 2031, $900mm aggregate principal, Rule 144A. Launched at $850mm and upsized by $50mm (press reports); Cahill confirms $900mm.</t>
  </si>
  <si>
    <t>S1,S3</t>
  </si>
  <si>
    <t>Ranking / security</t>
  </si>
  <si>
    <t>Cahill describes 'senior notes' and does not say secured; Creditflow and CCIR list the issue as Senior Secured. Collateral package (liens, mortgage, equity pledge) not confirmed from an official document.</t>
  </si>
  <si>
    <t>S1,S4,S5</t>
  </si>
  <si>
    <t>Coupon / pricing</t>
  </si>
  <si>
    <t>7.50%; priced at par to yield 7.5%, at the low end of talk. Pricing date 2-Jun-2026 per ledger; Cahill release dated 9-Jun-2026 (seed issue date 9-Jun is probably settlement/announcement, unverified).</t>
  </si>
  <si>
    <t>S3,S4,S5</t>
  </si>
  <si>
    <t>Maturity / tenor</t>
  </si>
  <si>
    <t>5-year tenor; Jun 2031 per ledger; seed gives 15-Jun-2031 (exact day unverified).</t>
  </si>
  <si>
    <t>S4,S0</t>
  </si>
  <si>
    <t>Ledger shows a 2-year call (non-call to about Jun 2028). Seed: first call 15-Jun-2028 at 103.75 (half the coupon). Make-whole terms not seen.</t>
  </si>
  <si>
    <t>Seed: ISIN US28734DAA37, CUSIP 28734DAA3 (144A). Not verified against an official document; Reg S identifiers not found.</t>
  </si>
  <si>
    <t>Reported that about 20% of project debt amortizes during the five-year term, leaving a large refinancing balloon. Seed estimate 19.5%, amortization starting mid-2027. Schedule itself not seen.</t>
  </si>
  <si>
    <t>S3,S0</t>
  </si>
  <si>
    <t>Bookrunner</t>
  </si>
  <si>
    <t>Banco Santander (sole manager / bookrunner per ledger and press).</t>
  </si>
  <si>
    <t>Not found (indenture and offering memorandum are not public).</t>
  </si>
  <si>
    <t>Borrower SPV</t>
  </si>
  <si>
    <t>Elk Grove Village Property LLC is the single-asset borrower for the Chicago-area build-to-suit data center leased to CoreWeave; indirect subsidiary of Prime Data Centers LLC.</t>
  </si>
  <si>
    <t>Guarantors / ring-fencing</t>
  </si>
  <si>
    <t>Not disclosed publicly. Structure of equity pledge, subsidiary guarantees and separateness covenants could not be verified without the offering memorandum.</t>
  </si>
  <si>
    <t>Related Prime financing</t>
  </si>
  <si>
    <t>Creditflow-sourced ledger lists a separate $500mm Norwegian-law bond by Prime Data Centers that was postponed (relationship to this deal not stated).</t>
  </si>
  <si>
    <t>Prime Data Centers</t>
  </si>
  <si>
    <t>Developer and operator of hyperscale and purpose-built data centers (Cahill release); first Illinois campus and first outside California. Private; no public financials.</t>
  </si>
  <si>
    <t>S1,S6</t>
  </si>
  <si>
    <t>Campus plan</t>
  </si>
  <si>
    <t>Prime announced a $1bn, three-building campus at 1600 E Higgins Rd, Elk Grove Village (175MW at full build-out per Prime release; Clune page says 275MW; Baxtel 275 MVA). ORD-01 is the first building.</t>
  </si>
  <si>
    <t>S6,S7,S8</t>
  </si>
  <si>
    <t>Capital position</t>
  </si>
  <si>
    <t>No public information on Prime's equity contribution, liquidity or other debt beyond this note and the postponed Norwegian bond.</t>
  </si>
  <si>
    <t>CoreWeave, Inc. is reported as the sole tenant, fully leasing the building. No CoreWeave filing or press release confirms the lease (10-Qs checked).</t>
  </si>
  <si>
    <t>S2,S3,S9</t>
  </si>
  <si>
    <t>15-year lease with two 7-year renewal options covering the entire premises and critical IT power (Bloomberg, anonymous source). Seed agrees (15 yrs, two 7-yr extensions).</t>
  </si>
  <si>
    <t>S2,S0</t>
  </si>
  <si>
    <t>CoreWeave pays substantially all operating costs including power, utilities and taxes, i.e. triple-net-style. Seed: Triple Net.</t>
  </si>
  <si>
    <t>Rent / value</t>
  </si>
  <si>
    <t>About $2.2bn of revenue over the 15-year term (single anonymous source). Seed: $1.69mm per MW per year, 3.0% escalator.</t>
  </si>
  <si>
    <t>Consistency check</t>
  </si>
  <si>
    <t>72MW x $1.69mm/MW = about $122mm in year 1; with 3% annual escalators over 15 years this sums to about $2.26bn, consistent with the reported ~$2.2bn (own calculation using seed rent).</t>
  </si>
  <si>
    <t>CoreWeave: S&amp;P B+ with positive outlook (reported); Fitch BB-/Positive as of Apr 2026. S&amp;P reportedly rates the project above CoreWeave because the building could be re-let in a strong Chicago market (the BB- on notes vs B+ tenant).</t>
  </si>
  <si>
    <t>S3,S12</t>
  </si>
  <si>
    <t>Guarantor / credit support</t>
  </si>
  <si>
    <t>No parent guarantee or third-party support reported. Delay/termination rights, SLA credits, assignment rights: not found.</t>
  </si>
  <si>
    <t>1600 E Higgins Rd, Elk Grove Village, Illinois (Chicago suburb), per Prime campus release; Baxtel lists the building on a 17-acre lot near Oakton St.</t>
  </si>
  <si>
    <t>ORD-01: up to 72MW, three stories, ~384,000 sq ft with ~200,000 sq ft data hall space. Seed: 72MW critical IT.</t>
  </si>
  <si>
    <t>Seed: facility cost $945mm ($13.1mm/MW), debt-funded 90%; not verified.</t>
  </si>
  <si>
    <t>Refinance $500mm of existing debt and accrued interest and fund remaining construction cost of the Chicago-area data center.</t>
  </si>
  <si>
    <t>Construction status at pricing</t>
  </si>
  <si>
    <t>Three data halls complete and the rest coming online in stages (June 2026 press).</t>
  </si>
  <si>
    <t>Power source</t>
  </si>
  <si>
    <t>Grid power from ComEd with a new dedicated onsite substation; listing cites 275 MVA service for the whole campus.</t>
  </si>
  <si>
    <t>S3,S8</t>
  </si>
  <si>
    <t>Regional substation</t>
  </si>
  <si>
    <t>ComEd broke ground in 2025 on expansion of its Elk Grove substation (1500 Midway Ct) enabling about 2,100MW of new load; read from search snippet only.</t>
  </si>
  <si>
    <t>Interconnection / energization dates</t>
  </si>
  <si>
    <t>No official ComEd agreement or energization dates found.</t>
  </si>
  <si>
    <t>Clune Construction is general contractor for the Prime ORD campus; contract type (GMP/fixed) not found.</t>
  </si>
  <si>
    <t>History</t>
  </si>
  <si>
    <t>Groundbreaking ceremony Nov 2022; Clune targeted Building A completion in Q3 2023 (page possibly outdated). Seed says construction start mid-2024 (unverified).</t>
  </si>
  <si>
    <t>S6,S7,S0</t>
  </si>
  <si>
    <t>Seed: rent commencement between Oct 2025 and early 2027 (phased). Not verified; consistent with phased data hall delivery.</t>
  </si>
  <si>
    <t>$900mm notes. Seed: leverage 7.4x at issuance falling to 5.4x at maturity, ~90% debt funded. Not verified.</t>
  </si>
  <si>
    <t>5-year notes against a 15-year lease with only ~20% amortization means about 80% of the balance must be refinanced in 2031.</t>
  </si>
  <si>
    <t>Other facilities and reserves</t>
  </si>
  <si>
    <t>DSRA, construction facility details and equity: not found.</t>
  </si>
  <si>
    <t>Re-leasing support</t>
  </si>
  <si>
    <t>Single-asset, single-tenant: S&amp;P gives credit for the building's re-leasability in the Chicago market; no third-party residual value guarantee reported.</t>
  </si>
  <si>
    <t>None reported; completion guarantee status unknown.</t>
  </si>
  <si>
    <t>Covenants, waterfall, DSCR tests, lock-up and EoD could not be sourced (indenture not public).</t>
  </si>
  <si>
    <t>Ba3 (first-time rating; credit opinion dated 5-Jun-2026; document not read).</t>
  </si>
  <si>
    <t>S10,S4</t>
  </si>
  <si>
    <t>BB- (preliminary per press on 3-Jun-2026; ledger shows BB-). Rationale cites strength of the 15-year lease and single-tenant reliance on CoreWeave (B+/positive).</t>
  </si>
  <si>
    <t>S3,S4</t>
  </si>
  <si>
    <t>BB- per ledger only; no Fitch release found.</t>
  </si>
  <si>
    <t>Refinance existing debt (about $500mm incl. accrued interest), fund remaining construction costs, and other corporate purposes if any proceeds remain.</t>
  </si>
  <si>
    <t>Entire credit rests on CoreWeave (S&amp;P B+/pos, Fitch BB-/pos). A CoreWeave downgrade is a direct risk.</t>
  </si>
  <si>
    <t>Roughly 80% balloon in Jun 2031 against a 15-year lease.</t>
  </si>
  <si>
    <t>Documentation opacity</t>
  </si>
  <si>
    <t>Lease terms, SLA credits, termination rights and covenants are unpublished; only press accounts are available.</t>
  </si>
  <si>
    <t>Unconfirmed lease</t>
  </si>
  <si>
    <t>CoreWeave has not acknowledged the lease in the filings checked.</t>
  </si>
  <si>
    <t>Post-issuance news</t>
  </si>
  <si>
    <t>No rating action, litigation or construction news after Jun 2026 found for this issuer. Seed shows the bond at 8.79% yield / +399bp on 15-Sep-2026 (Barclays).</t>
  </si>
  <si>
    <t>2022-11-15</t>
  </si>
  <si>
    <t>Prime breaks ground on Elk Grove Village campus (ORD-01 up to 72MW, 175MW campus)</t>
  </si>
  <si>
    <t>2023-09-30</t>
  </si>
  <si>
    <t>Clune target completion for Building A (Q3 2023; page may be outdated)</t>
  </si>
  <si>
    <t>2025-06-27</t>
  </si>
  <si>
    <t>ComEd breaks ground on Elk Grove substation expansion (~2,100MW new load), snippet only</t>
  </si>
  <si>
    <t>Bloomberg reports $850mm junk-bond launch for CoreWeave-leased Chicago-area data center</t>
  </si>
  <si>
    <t>2026-06-02</t>
  </si>
  <si>
    <t>$900mm 7.50% notes priced at par (upsized from $850mm); Santander sole bookrunner</t>
  </si>
  <si>
    <t>S&amp;P assigns preliminary BB- (per press)</t>
  </si>
  <si>
    <t>Moody's credit opinion after first-time Ba3 rating</t>
  </si>
  <si>
    <t>Cahill announces $900mm 7.5% senior notes due 2031 144A offering</t>
  </si>
  <si>
    <t>CoreWeave Q2 10-Q filed; no disclosure of this lease found</t>
  </si>
  <si>
    <t>Barclays digest: yield 8.79%, spread +399bp</t>
  </si>
  <si>
    <t>S1 | Press release | 2026-06-09</t>
  </si>
  <si>
    <t>Cahill Represents Initial Purchasers in Elk Grove Village Property's $900 Million Notes Offering (Cahill Gordon &amp; Reindel LLP). Used for: Size, coupon, 144A, 2031 maturity, use of proceeds, issuer is a Prime Data Centers subsidiary (page says senior notes, does not say secured, no ratings)</t>
  </si>
  <si>
    <t>S2 | News | 2026-06-01</t>
  </si>
  <si>
    <t>CoreWeave-Tied Data Center Seeks $850 Million Junk Bond Sale (Bloomberg, 1 Jun 2026; read via GuruFocus/TradingView syndication) (Bloomberg via TradingView). Used for: Launch size $850mm, 15-year CoreWeave lease, ~$2.2bn lease revenue, opex pass-through, two 7-year renewals, use of proceeds ($500mm refinancing); single anonymous source for lease value</t>
  </si>
  <si>
    <t>S3 | News | 2026-06-03</t>
  </si>
  <si>
    <t>CoreWeave's AI boom is becoming a junk bond story (Startup Fortune). Used for: Upsize to $900mm, priced at par / 7.5%, S&amp;P preliminary BB-, ~20% amortization within 5 years, Santander, ComEd onsite substation, three data halls complete</t>
  </si>
  <si>
    <t>S4 | News | 2026-06-02</t>
  </si>
  <si>
    <t>Elk Grove Village Property LLC issuer page (new-issue ledger) (Creditflow Research). Used for: Pricing date 2-Jun-2026, Senior Secured, Moody's Ba3 / S&amp;P BB- / Fitch BB-, 2-year call, sole bookrunner Santander Securities</t>
  </si>
  <si>
    <t>S5 | News | 2026-07-01</t>
  </si>
  <si>
    <t>Data-Center Bonds Price the Tenant (research note) (CCIR). Used for: Independent ledger entry: 7.50%, $900mm senior secured, issued 2026-06-02, CoreWeave 15-year lease, Banco Santander sole manager (note date approximate, page undated)</t>
  </si>
  <si>
    <t>S6 | News | 2022-11-15</t>
  </si>
  <si>
    <t>Prime Data Centres breaks ground on Chicago data centre campus (DCNN (reporting Prime press release)). Used for: Campus plan: 1600 E Higgins Rd, $1bn, 175MW at build-out, ORD-01 up to 72MW, 384,000 sq ft single-tenant; year 2022 inferred from datacentrereview.com URL (/2022/11/) seen in search</t>
  </si>
  <si>
    <t>S7 | News | 2026-01-01</t>
  </si>
  <si>
    <t>Prime Data Centers (ORD-1) project page (Clune Construction). Used for: General contractor Clune; Q3 2023 construction target for Building A (page appears outdated; cites 275 MW at full deployment vs 175MW in Prime release)</t>
  </si>
  <si>
    <t>S8 | News | 2026-01-01</t>
  </si>
  <si>
    <t>Prime: ORD01-01 Data Center listing (Baxtel). Used for: 17 acres, 3 floors, ~384,000 sq ft, 275 MVA ComEd service with dedicated onsite substation, expansions through 2027</t>
  </si>
  <si>
    <t>S9 | SEC filing | 2026-08-12</t>
  </si>
  <si>
    <t>CoreWeave, Inc. Form 10-Q for quarter ended 30-Jun-2026 (SEC EDGAR (CoreWeave)). Used for: Checked for Elk Grove / Prime / Chicago lease disclosure: none found by keyword search (also none in Q1 2026 10-Q)</t>
  </si>
  <si>
    <t>S10 | Rating agency | 2026-06-05</t>
  </si>
  <si>
    <t>Elk Grove Village Property LLC: Update to key credit considerations post first-time Ba3 rating (Moody's credit opinion title, 5 Jun 2026) (Moody's (listing seen via search only)). Used for: Existence and date of Moody's Ba3; document itself not accessible (403)</t>
  </si>
  <si>
    <t>S11 | News | 2025-06-27</t>
  </si>
  <si>
    <t>ComEd expanding Elk Grove substation to power data center boom (Daily Herald). Used for: ComEd substation expansion at 1500 Midway Ct (~2,100MW new load); known only from a search snippet, not read in full</t>
  </si>
  <si>
    <t>S12 | Rating agency | 2026-04-21</t>
  </si>
  <si>
    <t>Fitch Expects to Rate Edged Compute LLC and Its Senior Secured Notes 'BB-(EXP)' (Fitch Ratings (via MarketScreener)). Used for: Only used for CoreWeave's Fitch rating (BB-/Positive as of Apr 2026)</t>
  </si>
  <si>
    <t>Offering memorandum, indenture, security documents and rating-agency full reports are not public; ranking/collateral, guarantors, covenants, waterfall, DSRA, amortization schedule, make-whole and trustee are unverified.</t>
  </si>
  <si>
    <t>No SEC filing by issuer or Prime exists (144A). CoreWeave 10-Qs (Q1, Q2 2026) contain no keyword hit for Elk Grove, Prime or the Chicago lease, so the lease is known only through Bloomberg's anonymous source and press coverage.</t>
  </si>
  <si>
    <t>Seed items (ISIN/CUSIP, 103.75 call, facility cost $945mm, $13.1mm/MW, 7.4x/5.4x leverage, rent $1.69mm/MW, 90% debt-funded, lease commencement window) could not be verified.</t>
  </si>
  <si>
    <t>Discrepancy: seed says Sec Notes; Cahill says senior notes without 'secured'; ledgers say Senior Secured. Seed construction start mid-2024 vs groundbreaking Nov 2022 and Clune Q3 2023 target.</t>
  </si>
  <si>
    <t>Discrepancy: seed tenant comp bond is 'CRWV 9% 2031'; CoreWeave also priced 9.750% senior notes due 2031 in April 2026 (BusinessWire headline seen in search); confirm which line is the comp.</t>
  </si>
  <si>
    <t>Campus capacity inconsistent across sources (175MW Prime release, 180MW later DCD, 275MW Clune/Baxtel). The notes relate only to the 72MW ORD-01 building as far as reported.</t>
  </si>
  <si>
    <t>Moody's, S&amp;P and Fitch documents were not accessible; Fitch BB- and S&amp;P BB- rest on press and a ledger. Moody's Ba3 date rests on a listing title.</t>
  </si>
  <si>
    <t>Dossier as of 2026-10-16 | ISIN US78438PAA03 (seed, unverified) | HY section | Bloomberg: SECMOS 8.875 05/01/31 144A Corp</t>
  </si>
  <si>
    <t>SE Cosmos, LLC, a Delaware LLC; direct wholly owned subsidiary of Cosmos Pledgor, LLC ('HoldCo'); indirect subsidiary of Energy Global, LP ('Parent').</t>
  </si>
  <si>
    <t>$999,000,000 8.875% Senior Secured Notes due 1-May-2031; indenture dated 7-May-2026; offered under Rule 144A and Regulation S; the issuer's inaugural high-yield offering.</t>
  </si>
  <si>
    <t>S1,S2,S4</t>
  </si>
  <si>
    <t>Issued at 99.500% of par; yield to maturity 9.002%; net proceeds about $994.0mm. (Seed 9.66% yield on 15-Sep-2026 is the secondary-market level.)</t>
  </si>
  <si>
    <t>Fixed 8.875% per annum, semi-annual in arrears on 1 May and 1 Nov (record dates 15 Apr and 15 Oct). First coupon 1-Nov-2026 (inferred). Semi-annual coupon is about $44.3mm (own calculation).</t>
  </si>
  <si>
    <t>First-priority lien on substantially all assets of the issuer: pledge of issuer equity by Cosmos Pledgor, LLC, mortgages on real property and a security agreement over personal property; accounts under control of the collateral agent.</t>
  </si>
  <si>
    <t>Future subsidiaries of the issuer only; the issuer had no subsidiaries at issue date. Notes are solely obligations of the issuer, not guaranteed by SB Energy, Inc. or other subsidiaries. Non-recourse to the sponsor apart from the completion guaranty.</t>
  </si>
  <si>
    <t>Redemption</t>
  </si>
  <si>
    <t>Before 1-May-2028: par plus Applicable Premium (make-whole, Treasury-based; spread not extracted). Equity clawback up to 40% at 108.875% within 180 days of an equity offering, with at least 50% remaining. Up to 10% of original principal per calendar year at 103.000% before 1-May-2028. Call prices from 1-May-2028: 104.438% (2028), 102.219% (2029), 100% (2030 on). Also redeemable after a Data Center Lease Termination Event (price shown as 100.000%, remainder of clause not extracted). Seed call price 104.44 matches.</t>
  </si>
  <si>
    <t>None: no mandatory prepayment or sinking fund; bullet at 1-May-2031. Affiliates may buy notes in the open market. Seed 'N/A' amortization confirmed.</t>
  </si>
  <si>
    <t>Put at 101% only if a Change of Control (loss of operational control by Parent/affiliates or a Qualified Operator) coincides with a Ratings Decline (downgrade by at least two agencies attributed to the event).</t>
  </si>
  <si>
    <t>Denominations, trustee, law</t>
  </si>
  <si>
    <t>Minimum $2,000 and $1,000 multiples; Wilmington Trust, National Association as trustee and collateral agent; New York law; DTC / Euroclear / Clearstream.</t>
  </si>
  <si>
    <t>Seed: ISIN US78438PAA03, CUSIP 78438PAA0 (144A); the indenture refers to CUSIP/ISIN numbers generically (Section 2.13); no number found in text. Not verified.</t>
  </si>
  <si>
    <t>SE Cosmos, LLC owns the Cosmos Technology Campus and is landlord under the SoftBank-affiliate lease; its equity is pledged by Cosmos Pledgor, LLC; above sits Energy Global, LP, which gives the completion guaranty; SB Energy, Inc. (SoftBank-controlled, proposed Nasdaq 'SBE') is the listed parent group.</t>
  </si>
  <si>
    <t>Special purpose</t>
  </si>
  <si>
    <t>Indenture contains SPE, HoldCo negative-pledge, affiliate-transaction and no-modification-of-lease covenants.</t>
  </si>
  <si>
    <t>Bridge</t>
  </si>
  <si>
    <t>$425mm bridge loan agreed 31-Mar-2026; $342.3mm drawn 1-Apr-2026; repaid in full from note proceeds.</t>
  </si>
  <si>
    <t>SB Energy</t>
  </si>
  <si>
    <t>SoftBank-controlled developer of solar, storage and (new) data center campuses; S-1 filed 1-Sep-2026 for a Nasdaq 'SBE' IPO. SoftBank and OpenAI are strategic investors and customers; NVIDIA is a strategic investor ($1.5bn prepaid forward dated 17-Aug-2026 for Class N shares at IPO).</t>
  </si>
  <si>
    <t>Data center footprint</t>
  </si>
  <si>
    <t>8.8 GW-IT of signed data center leases across three campuses, all with SoftBank or OpenAI affiliates and no unaffiliated tenant: Cosmos (50MW, SoftBank), Milam County Buildings 1 and 2 (308MW + 445MW, OpenAI), PORTS-Pike, Ohio (8,024MW, OpenAI, executed Aug 2026). No data center capacity is operating yet.</t>
  </si>
  <si>
    <t>Sponsor leverage and obligations</t>
  </si>
  <si>
    <t>About $3.7bn of construction in progress at 30-Jun-2026; project loans for Libra, Athos and Cosmos of about $4.1bn closed in H1 2026; Hickory facilities $473mm are corporate-recourse; intercompany notes $709.5mm to be repaid from IPO. Some completion and performance guarantees are recourse to the parent.</t>
  </si>
  <si>
    <t>Related-party concentration</t>
  </si>
  <si>
    <t>Leases are with related parties; SoftBank holds a controlling interest and board designation rights, so a dispute with SoftBank/OpenAI would be a conflict-laden enforcement.</t>
  </si>
  <si>
    <t>Silver Bands 3 (US) Corp., a Delaware corporation, an affiliate of SoftBank (named in the indenture; the S-1 says 'affiliate of SoftBank'). The tenant is SoftBank-side, not OpenAI: OpenAI affiliates lease Milam County and PORTS-Pike, which are separate and do not back these notes.</t>
  </si>
  <si>
    <t>Lease guarantor</t>
  </si>
  <si>
    <t>SoftBank Group Capital Limited (England and Wales, a SoftBank Group affiliate) guarantees the tenant's obligations; anticipated aggregate guaranty exposure about $2.9bn. The indenture treats loss of the guarantee, or guarantor tangible net worth below $5bn, as a Lease Guarantee Event.</t>
  </si>
  <si>
    <t>Lease date and term</t>
  </si>
  <si>
    <t>Lease dated 7-Nov-2025; 15-year initial term, one 10-year renewal option (seed 15 yrs + one 10-yr confirmed). Triple net with 100% operating expense pass-through.</t>
  </si>
  <si>
    <t>Rent set as a percentage return on total project cost with annual escalators; expected aggregate rent about $2.5bn over 15 years. Seed: $2.63mm per MW per year, 3.0% escalator; check: 50MW x $2.63mm = about $131mm in year 1; 15 years at 3% escalation sums to about $2.45bn, consistent with about $2.5bn.</t>
  </si>
  <si>
    <t>Rent commences by phase on the earlier of 11-Dec-2026 or the phase achieving RFS (substantial completion, tenant acceptance, certifications, commissioning). Four phases; the final is 'Phase 4 (Sirius III)'. Full RFS by May 2027. Company expects first phase revenue in Q4 2026.</t>
  </si>
  <si>
    <t>Limited tenant termination rights. For milestone failures (design documents, early access, substantial/final completion) remedies may include liquidated damages, rent credits, self-help, buy-out rights or repayment of advances. Exact Cosmos caps and dates not available (the lease was not among the exhibits reviewed).</t>
  </si>
  <si>
    <t>Use by tenant</t>
  </si>
  <si>
    <t>Described as renovated to support tenants' needs including R&amp;D and engineering for advanced AI compute. SB Energy told local press it is an R&amp;D center, the building application lists office/lab, and Graphcore (SoftBank-owned) placed its US engineering HQ there (Aug 2026).</t>
  </si>
  <si>
    <t>Third-party support</t>
  </si>
  <si>
    <t>No NVIDIA or hyperscaler residual-value guaranty at Cosmos. The NVIDIA RVG applies only to the PORTS-Pike campus.</t>
  </si>
  <si>
    <t>Location (reconciled)</t>
  </si>
  <si>
    <t>Cosmos Technology Campus is in Travis County, Texas (Austin / Four Points, 6801 River Place Blvd), the former 3M campus (Highpoint 2222 / Highpoint Mega Campus). Milam County is a different, OpenAI-leased campus (308MW + 445MW) not financed by these notes. Barclays' 'Austin, TX' is correct; 'Milam County' conflates the sponsor's other project.</t>
  </si>
  <si>
    <t>S1,S4,S6</t>
  </si>
  <si>
    <t>Land and buildings</t>
  </si>
  <si>
    <t>156 acres, about 1.2mm sq ft of former office and lab space, vacant since 2019; SE Cosmos bought the property from Karlin Real Estate on 20-Mar-2026 (price not stated; one report cites $285.6mm, unverified).</t>
  </si>
  <si>
    <t>About 50MW critical IT (S-1) / 70MW utility capacity (Milbank). Seed 50MW confirmed.</t>
  </si>
  <si>
    <t>S1,S4</t>
  </si>
  <si>
    <t>Seed: facility cost $1,180mm ($23.6mm per MW), 84% debt-funded; notes $999mm / $1,180mm = 85% (own check). Cost not found in the S-1 extracts reviewed.</t>
  </si>
  <si>
    <t>Project financing</t>
  </si>
  <si>
    <t>Notes plus bridge refinancing; DCD reports about $1bn financing.</t>
  </si>
  <si>
    <t>S1,S8</t>
  </si>
  <si>
    <t>ERCOT market; Austin Energy (municipal utility) is completing substation and transmission upgrades needed for grid connection. Interconnection described as 'utility and ISO secured'; energization of certain Texas projects remains subject to the ERCOT/PUCT audit and verification process.</t>
  </si>
  <si>
    <t>Company says all material permits for construction have been obtained, with no material delays as of the prospectus date. The local building application describes office/lab use; Austin has no dedicated data center rules yet.</t>
  </si>
  <si>
    <t>S1,S6,S9</t>
  </si>
  <si>
    <t>Vertical construction; notice to proceed issued March 2026 (seed: Feb 2026); initial operations expected Q4 2026; full RFS by May 2027.</t>
  </si>
  <si>
    <t>Contractor and contract type</t>
  </si>
  <si>
    <t>Not found in documents reviewed.</t>
  </si>
  <si>
    <t>Energy Global gives an uncapped completion guaranty for project completion only (not a guarantee of the notes), for the benefit of the noteholders (via the collateral agent) and the tenant; it is a senior unsecured obligation of Energy Global.</t>
  </si>
  <si>
    <t>$999mm notes, non-recourse to the sponsor group other than the completion guaranty. Seed: leverage 7.6x at issuance, 7.1x at maturity (unverified).</t>
  </si>
  <si>
    <t>Uses of net proceeds</t>
  </si>
  <si>
    <t>Repay the $342.3mm bridge, finance construction, fund the Debt Service Reserve Account, pay fees. Remaining construction funding after bridge repayment is about $650mm before DSRA and fees (own calculation); sponsor equity amount not disclosed.</t>
  </si>
  <si>
    <t>Bullet in May 2031 against a 15-year lease: full balloon at maturity (no amortization); seed leverage of 7.1x at maturity implies refinancing at high leverage.</t>
  </si>
  <si>
    <t>After initial commencement, credit-facility debt up to $25mm plus 50% of trailing NOI; refinancing and certain other baskets permitted.</t>
  </si>
  <si>
    <t>SoftBank Group Capital guaranty</t>
  </si>
  <si>
    <t>Guaranty of tenant lease obligations, about $2.9bn anticipated exposure; the indenture requires a replacement guarantor to have TNW of at least $5bn and a rating of at least BB+ (S&amp;P/Fitch) or Ba2.</t>
  </si>
  <si>
    <t>Completion guaranty</t>
  </si>
  <si>
    <t>Uncapped, from Energy Global, LP; the Ratings Decline definition references assumption by a Replacement Completion Guarantor.</t>
  </si>
  <si>
    <t>Qualifying Tenant: NVIDIA, Apple, Microsoft, Amazon, Alphabet, Meta (or controlled affiliates), or a NYSE/Nasdaq-listed hyperscaler/tech company with EV or market cap of at least $50bn, or noteholder majority approval; Rating Agency Confirmation required.</t>
  </si>
  <si>
    <t>Accounts</t>
  </si>
  <si>
    <t>Notes Proceeds Account, Revenue Account, Debt Service Reserve Account and Designated Account (lease termination fee) under collateral agent control.</t>
  </si>
  <si>
    <t>During construction: $96.0mm (two coupons) less interest paid since issue, plus next payment's interest; after construction: next scheduled interest payment (about $44.3mm, own calculation). May be funded with cash, LCs or equity proceeds.</t>
  </si>
  <si>
    <t>Distributions</t>
  </si>
  <si>
    <t>Restricted payments permitted when forward NOI / debt service DSCR exceeds 1.10x (and does not fall below 1.10x after the payment), plus other baskets (equity proceeds, retained excess cash flow, etc.).</t>
  </si>
  <si>
    <t>30-day interest default; principal default; covenant breach after 60-day cure (extendable to 90); cross-default above $25mm. Lease Termination EoD requires three events: lease ends, no Qualifying Data Center Lease within 6 months (12 with LOI and funded DSRA), and failure to make a Termination Fee Offer at par. Lease Guarantee EoD if the guarantee is lost or guarantor TNW falls below $5bn and no replacement within 6 months (12 with LOI).</t>
  </si>
  <si>
    <t>Periodic reporting covenant (Section 4.09); lease termination fees go to the Designated Account and must be offered to noteholders at 100%.</t>
  </si>
  <si>
    <t>NR / (P)BB / BB- (Moody's / S&amp;P / Fitch ordering): not verified; no rating agency release found. DCD refers to an S&amp;P note describing the site but the rating was not visible.</t>
  </si>
  <si>
    <t>S0,S8</t>
  </si>
  <si>
    <t>Context</t>
  </si>
  <si>
    <t>The indenture defines Moody's, S&amp;P and Fitch as Rating Agencies and uses 'Applicable Rating', so the notes are agency-rated. The lease guarantor is a SoftBank subsidiary and itself unrated per the indenture tests (it must be replaced by a BB+/Ba2 guarantor if lost).</t>
  </si>
  <si>
    <t>Repay bridge ($342.3mm), build the Austin data center project, fund the DSRA, pay fees and expenses.</t>
  </si>
  <si>
    <t>S1,S5</t>
  </si>
  <si>
    <t>SoftBank concentration</t>
  </si>
  <si>
    <t>Tenant, guarantor and sponsor are all SoftBank-related; SoftBank Group Capital's credit is the ultimate rent support.</t>
  </si>
  <si>
    <t>Completion and delay</t>
  </si>
  <si>
    <t>First revenue expected Q4 2026, full RFS May 2027. Rent starts on the earlier of 11-Dec-2026 or RFS; a late building defers phase rent while the tenant can claim liquidated damages, rent credits or buy-out rights.</t>
  </si>
  <si>
    <t>Use and local opposition</t>
  </si>
  <si>
    <t>Mixed R&amp;D / data-center characterization, a building application listing office/lab, council questions and a 17-Sep town hall create permitting and reputational risk.</t>
  </si>
  <si>
    <t>S6,S9</t>
  </si>
  <si>
    <t>Austin Energy substation/transmission upgrades must complete; ERCOT/PUCT audit applies to certain Texas projects.</t>
  </si>
  <si>
    <t>Bullet maturity May 2031 against a 15-year lease.</t>
  </si>
  <si>
    <t>Sponsor stress</t>
  </si>
  <si>
    <t>Sponsor has $3.7bn construction in progress, recourse completion guarantees across Milam and PORTS-Pike, and depends on the IPO; parent distress would hit the completion guaranty.</t>
  </si>
  <si>
    <t>The lease and SoftBank guaranty documents were not in the exhibits reviewed; remedies are known only from the S-1 summary.</t>
  </si>
  <si>
    <t>IPO filing</t>
  </si>
  <si>
    <t>SB Energy filed an S-1 on 1-Sep-2026 (document dated 31-Aug), amended 21-Sep-2026; price range blank in the amendment reviewed. The NVIDIA prepaid forward and concurrent private placement are linked to the IPO.</t>
  </si>
  <si>
    <t>Local scrutiny</t>
  </si>
  <si>
    <t>Four Points News (3-Sep), council coverage (15-Sep) and a 17-Sep town hall raised questions on use and approvals.</t>
  </si>
  <si>
    <t>Seed: 9.66% yield / +482bp on 15-Sep-2026.</t>
  </si>
  <si>
    <t>Milestones ahead</t>
  </si>
  <si>
    <t>Rent commencement outside date 11-Dec-2026; Q4 2026 first-phase revenue guidance.</t>
  </si>
  <si>
    <t>2025-11-07</t>
  </si>
  <si>
    <t>Cosmos lease signed with SoftBank affiliate (Silver Bands 3 (US) Corp.); SoftBank Group Capital guaranty</t>
  </si>
  <si>
    <t>SE Cosmos buys Highpoint 2222 (former 3M campus) from Karlin Real Estate</t>
  </si>
  <si>
    <t>2026-03-31</t>
  </si>
  <si>
    <t>$425mm bridge loan agreed; $342.3mm drawn 1-Apr-2026; construction notice to proceed in March 2026</t>
  </si>
  <si>
    <t>Bloomberg: $999mm high-yield notes launch for SoftBank-leased Austin data center</t>
  </si>
  <si>
    <t>Purchase agreement signed for the notes</t>
  </si>
  <si>
    <t>2026-05-07</t>
  </si>
  <si>
    <t>$999mm 8.875% notes due 2031 settle at 99.5; indenture and completion guarantee dated</t>
  </si>
  <si>
    <t>2026-05-19</t>
  </si>
  <si>
    <t>Milbank announces closing of SB Energy's inaugural high-yield notes</t>
  </si>
  <si>
    <t>2026-05-22</t>
  </si>
  <si>
    <t>SB Energy confidential IPO draft (DRS) submitted</t>
  </si>
  <si>
    <t>NVIDIA $1.5bn prepaid forward with Energy Global</t>
  </si>
  <si>
    <t>S-1 filed on EDGAR (document dated 31-Aug-2026)</t>
  </si>
  <si>
    <t>2026-09-03</t>
  </si>
  <si>
    <t>Local press reports on SEC filing describing Cosmos data center at former 3M site</t>
  </si>
  <si>
    <t>Austin town hall on the project (reported)</t>
  </si>
  <si>
    <t>2026-09-21</t>
  </si>
  <si>
    <t>S-1/A Amendment No. 2 filed</t>
  </si>
  <si>
    <t>2026-12-11</t>
  </si>
  <si>
    <t>Outside date for initial-phase rent commencement under the lease</t>
  </si>
  <si>
    <t>S1 | SEC filing | 2026-09-21</t>
  </si>
  <si>
    <t>SB Energy, Inc. Form S-1/A (Amendment No. 2), proposed Nasdaq 'SBE' IPO (SEC EDGAR (SB Energy, Inc., CIK 2133037)). Used for: Cosmos location, lease, SoftBank guaranty, completion guaranty, notes summary, construction status, OpenAI/Milam, PORTS-Pike, NVIDIA RVG, sponsor financials and risk factors</t>
  </si>
  <si>
    <t>S2 | Indenture | 2026-09-01</t>
  </si>
  <si>
    <t>SE Cosmos, LLC 8.875% Senior Secured Notes due 2031 Indenture dated 7-May-2026 (Exhibit 10.2 to the S-1) (SEC EDGAR (SB Energy S-1, accession 0001628280-26-059639)). Used for: Notes terms, redemption schedule, tenant and lease guarantor names, covenants, EoD, DSRA, Qualifying Tenant tests, completion guarantee</t>
  </si>
  <si>
    <t>S3 | SEC filing | 2026-09-01</t>
  </si>
  <si>
    <t>SB Energy, Inc. Form S-1 (original filing, document dated 31-Aug-2026) (SEC EDGAR). Used for: Original filing date: EDGAR shows 1-Sep-2026 (earlier confidential DRS filings 22-May, 23-Jun, 22-Jul-2026)</t>
  </si>
  <si>
    <t>S4 | Press release | 2026-05-19</t>
  </si>
  <si>
    <t>Milbank Advises SB Energy on Inaugural High-Yield Notes Offering (Milbank LLP). Used for: Highpoint Mega Campus (former 3M Park), Austin; 70MW utility / 50MW IT; fully leased triple net; largest SB Energy project financing</t>
  </si>
  <si>
    <t>S5 | Press release | 2026-05-07</t>
  </si>
  <si>
    <t>Cahill Represents Initial Purchasers in SE Cosmos, LLC's $999 Million Notes Offering (Cahill Gordon &amp; Reindel LLP). Used for: Issuer, 144A, use of proceeds (Austin HPC data center, bridge repayment); seen via search result only</t>
  </si>
  <si>
    <t>S6 | News | 2026-09-03</t>
  </si>
  <si>
    <t>SEC filings show that SB Energy is constructing a data center at former 3M site in Four Points (Four Points News). Used for: 6801 River Place Blvd, 156 acres, 1.2mm sq ft, bought 20-Mar-2026 from Karlin Real Estate, R&amp;D vs data center messaging, Graphcore HQ, local reaction</t>
  </si>
  <si>
    <t>S7 | News | 2026-04-29</t>
  </si>
  <si>
    <t>SoftBank Unit's Austin Data Center Spurs New $999 Million High-Yield Bond Sale (Bloomberg (headline and search summary only)). Used for: Launch 29-Apr-2026, 5-year, ~9% yield (article not readable)</t>
  </si>
  <si>
    <t>S8 | News | 2026-04-01</t>
  </si>
  <si>
    <t>SoftBank-backed SB Energy subsidiary to develop former Texas 3M campus in R&amp;D tech center (DCD (search summary only)). Used for: Reports an S&amp;P ratings note describing 50MW critical IT and ~$1bn financing; article not readable (403); date approximate</t>
  </si>
  <si>
    <t>S9 | News | 2026-09-15</t>
  </si>
  <si>
    <t>Project Cosmos / Short circuit local coverage (KVUE, Austin Free Press, Four Points News 15-Sep-2026) (KVUE / Austin Free Press (search summaries only)). Used for: Council members' questions, 17-Sep-2026 town hall, no city data-center rules yet; pages not readable</t>
  </si>
  <si>
    <t>S10 | News | 2026-07-01</t>
  </si>
  <si>
    <t>Data-Center Bonds Price the Tenant (research note) (CCIR). Used for: Ledger entry matching SB Energy 8.875% notes: Cosmos Technology Campus, Travis County TX, $999M, issued 2026-05-07; tenant grouped with non-investment-grade</t>
  </si>
  <si>
    <t>Cosmos lease, SoftBank Group Capital guaranty, completion guarantee and the offering memorandum are not among the S-1 exhibits reviewed; rent, escalator, delay-damages caps and termination mechanics beyond the S-1 summary are unverified.</t>
  </si>
  <si>
    <t>No rating agency release found; seed NR/(P)BB/BB- unverified. S&amp;P is referenced by DCD but the rating was not visible.</t>
  </si>
  <si>
    <t>Seed items not verified: ISIN/CUSIP, rent $2.63mm/MW, cost $1,180mm ($23.6mm/MW), 84% debt-funded, leverage 7.6x/7.1x; seed NTP 'Feb 2026' vs S-1 March 2026.</t>
  </si>
  <si>
    <t>Location reconciled: Cosmos is Travis County (Austin); Milam County is OpenAI's separate campus. OpenAI is not the Cosmos tenant (SoftBank-side is). The 'OpenAI related' and 'Milam' premises are not supported for this bond.</t>
  </si>
  <si>
    <t>S-1 price range and IPO timing blank in the version read; later amendments or pricing after 21-Sep-2026 not checked. EDGAR filing date is 1-Sep-2026 (brief said 31-Aug).</t>
  </si>
  <si>
    <t>Make-whole spread, lease-termination redemption clause, waterfall order (Section 4.23(g)), contractor and contract type were not extracted from the indenture/S-1.</t>
  </si>
  <si>
    <t>Site purchase price ($285.6mm per one report) and municipal approvals not verified from records; local news pages were partly inaccessible (403).</t>
  </si>
  <si>
    <t>Bloomberg, DCD and KVUE items were read only via search summaries or blocked; used with low weight.</t>
  </si>
  <si>
    <t>Dossier as of 2026-10-16 | ISIN US982911AA70 (CUSIP 982911AA7) | HY section | Bloomberg: WULF 7.75 10/15/30 144A Corp</t>
  </si>
  <si>
    <t>WULF Compute LLC, a wholly owned indirect subsidiary of TeraWulf Inc.; direct parent is TeraWulf Brookings LLC.</t>
  </si>
  <si>
    <t>7.750% Senior Secured Notes due 2030; $3,200mm aggregate principal, issued at 100% of principal; Rule 144A resale, Morgan Stanley sole initial purchaser/bookrunner under a purchase agreement dated 16-Oct-2025.</t>
  </si>
  <si>
    <t>7.750% per year, payable semiannually in arrears on 15 Apr and 15 Oct, first payment 15-Apr-2026. The 10-Q shows an effective interest rate of 8.7% including issuance costs of $105.4mm. Day-count convention not checked in the indenture.</t>
  </si>
  <si>
    <t>Indenture and Issue Date 23-Oct-2025 (the 10-Q describes the offering as completed 22-Oct-2025). Maturity 15-Oct-2030.</t>
  </si>
  <si>
    <t>Original / current principal</t>
  </si>
  <si>
    <t>Original $3,200mm. Per the 10-Q, principal payments start only after completion of the initial phase of the buildout (amortization per building starts at that building's Commencement Date), so outstanding is presumed still $3,200mm; not separately confirmed.</t>
  </si>
  <si>
    <t>Senior secured. First-priority liens on substantially all assets of WULF Compute and guarantors (excluded property carved out), all equity of WULF Compute held by Brookings, a designated Fluidstack lockbox account, and, during the construction period, Google's pledge of its TeraWulf warrants.</t>
  </si>
  <si>
    <t>Before 15-Oct-2027: 100% plus make-whole (Applicable Premium is the greater of 1.0% or a present-value amount). From 15-Oct-2027: 103.875%; from 15-Oct-2028: 101.938%; from 15-Oct-2029: par. Up to 40% may be redeemed before 15-Oct-2027 with proceeds of certain equity offerings.</t>
  </si>
  <si>
    <t>(1) Datacenter Lease Termination Fee Mandatory Redemption: 100% of any Google termination fee received must redeem notes at par plus accrued. (2) Semiannual Excess Cash Flow Offer at par, Applicable ECF Percentage 50%. (3) Change of control offer at 101%.</t>
  </si>
  <si>
    <t>Scheduled amortization</t>
  </si>
  <si>
    <t>Semiannual on 15 Apr / 15 Oct, per building and only after that building's Commencement Date. Total amortization per measurement period: CB-3 $13.699mm (first 3 months) then $55.070mm, $56.171mm, $57.295mm, $58.441mm, $59.609mm (years 1-5); CB-4 $27.398mm then $110.140mm, $112.343mm, $114.589mm, $116.881mm, $119.219mm; CB-5 $31.964mm then $128.496mm, $131.066mm, $133.688mm, $136.361mm, $139.089mm. Year-1 amortization with all three buildings commenced sums to about $293.7mm (our arithmetic).</t>
  </si>
  <si>
    <t>Governing law</t>
  </si>
  <si>
    <t>New York law; exclusive jurisdiction of New York State and federal courts in Manhattan.</t>
  </si>
  <si>
    <t>$2,000 minimum and $1,000 multiples (indenture refers to $2,000 minimum for partial purchases and redemptions).</t>
  </si>
  <si>
    <t>CUSIP 982911AA7 and ISIN US982911AA70 (144A) as reported in a fund SEC N-PORT holding, with matching coupon and maturity; the identifiers do not appear in the indenture text itself. Reg S identifiers not found.</t>
  </si>
  <si>
    <t>WULF Compute LLC is the issuer. Full and unconditional guarantees from its subsidiaries La Lupa Data LLC, Akela Data Holdings LLC and Akela Data LLC. The notes are structurally subordinated to non-guarantor subsidiaries of the issuer.</t>
  </si>
  <si>
    <t>TeraWulf Inc. (Nasdaq: WULF) &gt; TeraWulf Brookings LLC &gt; WULF Compute LLC &gt; La Lupa Data (CB-2, Core42) and Akela Data Holdings / Akela Data LLC (CB-3, CB-4, CB-5, Fluidstack leases). Akela Data LLC is lessor under the Fluidstack leases.</t>
  </si>
  <si>
    <t>S4, S6, S7</t>
  </si>
  <si>
    <t>TeraWulf provides completion guarantees: it must fund WULF Compute as needed to complete the data-center buildings if notes proceeds and available funds (including prior equity contributions) are insufficient. Described as customary; no cap disclosed.</t>
  </si>
  <si>
    <t>Indenture limits debt, liens, restricted payments, affiliate transactions and asset sales; project accounts and a Fluidstack lockbox control rent flows (indenture Section 4.23).</t>
  </si>
  <si>
    <t>TeraWulf Inc., developer and owner of Lake Mariner (Barker, NY). Company states about $3.0bn of cash and restricted cash at 30-Jun-2026.</t>
  </si>
  <si>
    <t>Other parent financings and commitments</t>
  </si>
  <si>
    <t>$500mm 364-day delayed-draw bridge for the Justified (Hawesville, KY) campus ($100mm drawn at 30-Jun-2026); revolving credit facility and 2031 convertible notes disclosed; common stock offering closed 16-Apr-2026; Abernathy JV stake sold for about $530mm (see FLASHC dossier).</t>
  </si>
  <si>
    <t>S4, S10, S12</t>
  </si>
  <si>
    <t>Google equity link</t>
  </si>
  <si>
    <t>Google holds warrants over 73,580,000 TeraWulf shares at $0.01 strike in exchange for the Fluidstack backstop; TeraWulf said (Aug 2025) Google's pro forma stake rises to about 14%.</t>
  </si>
  <si>
    <t>Competing capital needs</t>
  </si>
  <si>
    <t>Parent is funding Hawesville (401MW Anthropic lease), Muskie (up to 1GW Kentucky Power service) and Chesapeake; completion guarantee relies on parent liquidity.</t>
  </si>
  <si>
    <t>S5, S10, S13</t>
  </si>
  <si>
    <t>Fluidstack tenant entity</t>
  </si>
  <si>
    <t>Fluidstack USA I Inc. leases CB-3, CB-4 and CB-5 from Akela Data LLC. Fluidstack is private and unrated; the indenture refers to its colocation customer as the Downstream Customer.</t>
  </si>
  <si>
    <t>Fluidstack lease term</t>
  </si>
  <si>
    <t>Initial 10-year term from each building's commencement (rent begins on the completion date), plus two 5-year renewal options.</t>
  </si>
  <si>
    <t>Contracted capacity by building</t>
  </si>
  <si>
    <t>CB-3 42MW, CB-4 168MW, CB-5 168MW critical IT = 378MW (company investor presentation). Aug-2025 releases cited about 360MW; the 10-Q says July 2026 amendments raised aggregate contracted load under two leases from 162MW to 168MW and moved to data-hall-by-data-hall commencement. Seed shows 366MW; company figure is 378MW (discrepancy).</t>
  </si>
  <si>
    <t>S4, S6, S8</t>
  </si>
  <si>
    <t>Commencement status</t>
  </si>
  <si>
    <t>10-Q: one Fluidstack lease partially commenced at 30-Jun-2026; the rest expected in 2H26 and early 2027. CB-3 delivered early July 2026.</t>
  </si>
  <si>
    <t>No rent per MW disclosed in documents reviewed. TeraWulf said tenant scope changes bring additional base rent per kW with annual escalation. Seed assumption of $1.59mm/MW/yr and 3.0% escalator not verified. Aug-2025 release cited $6.7bn contracted revenue (up to $16bn with extensions) for the contracted capacity headline.</t>
  </si>
  <si>
    <t>Seed says Modified Gross. Filings show leases combine space with power delivery, security and maintenance non-lease components; formal label not confirmed for Lake Mariner.</t>
  </si>
  <si>
    <t>Core42 lease</t>
  </si>
  <si>
    <t>60MW critical IT; four Core42 leases all commenced by 30-Jun-2026 (two Jul/Aug 2025, two in 1H26); 10-year initial term with two 5-year renewals. Core42 is not covered by the Google backstop described in filings.</t>
  </si>
  <si>
    <t>S4, S6</t>
  </si>
  <si>
    <t>Delay and termination rights</t>
  </si>
  <si>
    <t>If completion of an Akela project is delayed more than 180 days (300 days for force majeure), Fluidstack may terminate that building's lease; this termination would not trigger the Google backstop.</t>
  </si>
  <si>
    <t>Lake Mariner Data Campus, Barker, New York. Ground leases (Somerset-Brookings Leases plus Second A&amp;R Lease) cover 162.7 acres in aggregate.</t>
  </si>
  <si>
    <t>Contracted at Lake Mariner: 438MW critical IT (Core42 60MW + Fluidstack 378MW) with 162MW more in pipeline; 102MW energized and generating lease revenue as of July 2026 (81MW at 30-Jun-2026).</t>
  </si>
  <si>
    <t>S4, S5, S6</t>
  </si>
  <si>
    <t>Building sequence</t>
  </si>
  <si>
    <t>CB-3 (42MW) delivered; CB-4 (168MW) first data hall in commissioning with phased delivery 2H26; CB-5 (168MW) phased delivery early 2027 (company deck: 1Q27).</t>
  </si>
  <si>
    <t>Company cost guidance $8-10mm per critical IT MW. Seed estimates $3,222mm facility cost and $8.8mm/MW (not verified).</t>
  </si>
  <si>
    <t>Buildings purpose-built for high-density liquid-cooled workloads; target design PUE 1.25.</t>
  </si>
  <si>
    <t>Grid-connected with dual 345kV transmission lines (company description). Utility agreement terms, NYISO approvals and energization steps beyond the Fluidstack commencement dates were not found in documents reviewed.</t>
  </si>
  <si>
    <t>Expansion power</t>
  </si>
  <si>
    <t>TeraWulf pursues 250MW of incremental power at Lake Mariner subject to interconnection approval; not part of these notes.</t>
  </si>
  <si>
    <t>New York regulatory risk</t>
  </si>
  <si>
    <t>July 2026 New York Executive Order No. 62 temporarily pauses certain discretionary permits for covered data-center projects. TeraWulf says it does not expect a material effect on its Cayuga site timeline; Lake Mariner was not addressed in that disclosure.</t>
  </si>
  <si>
    <t>EPC contractor and contract type (GMP vs fixed price) not identified in documents reviewed.</t>
  </si>
  <si>
    <t>Schedule vs original</t>
  </si>
  <si>
    <t>Aug-2025: CB-3/CB-4 to be delivered in two phases in 2026 and CB-5 operations expected 2H26. By Aug-2026: CB-4 phased through 2H26; CB-5 moved to early 2027 (1Q27).</t>
  </si>
  <si>
    <t>S5, S7, S8</t>
  </si>
  <si>
    <t>Last official update (5-Aug-2026): CB-3 delivered, CB-4 first hall in commissioning, 336MW (CB-4 + CB-5) under construction, company says within cost and schedule guidance. No later filing with delivery data found.</t>
  </si>
  <si>
    <t>Capex secured</t>
  </si>
  <si>
    <t>Company deck states about 90% of WULF Compute construction capex is secured under orders (slide text extraction; approximate).</t>
  </si>
  <si>
    <t>TeraWulf completion guarantee; construction-period DSRA ($447mm at issue, then $265mm plus next two interest payments).</t>
  </si>
  <si>
    <t>$3,200mm notes at issuer level, supported by Fluidstack lockbox and Google backstop. Seed leverage 5.4x at issuance, 2.7x at maturity and 74% debt-funded are Barclays figures, not verified.</t>
  </si>
  <si>
    <t>Required amount $447mm at the issue date; during construction $265mm plus interest due on the next two payment dates (less interest paid, as defined).</t>
  </si>
  <si>
    <t>Additional debt</t>
  </si>
  <si>
    <t>After commencement of all datacenter leases, credit facilities limited to 50% of trailing net operating income; pari passu or Google-supported debt only up to the amount of notes redeemed or purchased through ECF offers, with maturity and call-premium constraints.</t>
  </si>
  <si>
    <t>Refinancing profile</t>
  </si>
  <si>
    <t>Notes mature Oct 2030 with amortization sized by building schedules; Fluidstack leases run 10 years from commencement so a balloon remains at 2030. Company materials describe refinancing into long-dated bullet debt at about 4.5x stabilized leverage.</t>
  </si>
  <si>
    <t>Under recognition agreements with Fluidstack and Google LLC, on a Fluidstack payment default or insolvency Google may either pay the lease termination fee or pay current rent and assume the lease. Backstop becomes effective at each lease's commencement date.</t>
  </si>
  <si>
    <t>About $3.2bn total after CB-5 (initial CB-3/CB-4 plus $1.4bn incremental). Company says $600mm of Google credit support became effective when CB-3 was delivered in July 2026; the remainder follows later commencements (implied by the commencement-based mechanism).</t>
  </si>
  <si>
    <t>S5, S8</t>
  </si>
  <si>
    <t>Construction-period bridge</t>
  </si>
  <si>
    <t>Google pledged its warrants to the collateral agent; the pledge releases at the earlier of each lease commencement or notes repayment. A Google affiliate also agreed with the collateral agent to cause Google to pay the Termination Fee per the recognition agreements.</t>
  </si>
  <si>
    <t>Warrants</t>
  </si>
  <si>
    <t>73,580,000 TeraWulf warrants at $0.01; exercisable from the earlier of lease commencement or 180 days after target commencement; expiry 13-Aug-2030 (41,011,803) and 17-Aug-2030 (32,568,197). Company booked a $515.5mm deferred asset for their fair value.</t>
  </si>
  <si>
    <t>Limits</t>
  </si>
  <si>
    <t>Backstop triggers only on payment default or insolvency; delay terminations and other termination events do not trigger it.</t>
  </si>
  <si>
    <t>Alphabet 10-Q shows credit derivatives for data-center backstops with $43,785mm gross notional at 30-Jun-2026 (vs $16,940mm at 31-Dec-2025) and $815mm fair-value liability; terms up to 15 years; Google retains the right to assume leases. Counterparties are not named.</t>
  </si>
  <si>
    <t>Limits on additional debt, restricted payments, investments, liens, asset sales, affiliate transactions and mergers; 101% change-of-control offer; customary events of default.</t>
  </si>
  <si>
    <t>50% ECF offer to holders at par each semiannual payment date, per 10-Q after completion of the initial phase.</t>
  </si>
  <si>
    <t>Indenture Section 4.23 sets project accounts and Fluidstack lockbox arrangements; full priority of payments not reproduced here.</t>
  </si>
  <si>
    <t>DSCR / lock-up</t>
  </si>
  <si>
    <t>Text searches of the indenture for DSCR, debt service coverage or lock-up tests returned no hits; no financial maintenance covenant identified.</t>
  </si>
  <si>
    <t>Seed shows Ba2 / BB / BB (Moody's/S&amp;P/Fitch). No agency release was accessible; ratings, outlooks, dates and triggers are unverified.</t>
  </si>
  <si>
    <t>Net proceeds finance a portion of the Lake Mariner data-center expansion in Barker, New York (CB-3, CB-4, CB-5).</t>
  </si>
  <si>
    <t>Delivery delay</t>
  </si>
  <si>
    <t>CB-5 slipped from 2H26 to early 2027; slippage beyond 180 days permits Fluidstack termination without Google backstop coverage.</t>
  </si>
  <si>
    <t>S5, S8, S9</t>
  </si>
  <si>
    <t>Backstop timing</t>
  </si>
  <si>
    <t>Google backstop is only effective after each building commences; until then protection is pledged warrants and the completion guarantee.</t>
  </si>
  <si>
    <t>S4, S9</t>
  </si>
  <si>
    <t>Completion guarantee depends on TeraWulf, which is committing capital to Hawesville, Muskie and Chesapeake.</t>
  </si>
  <si>
    <t>S5, S10</t>
  </si>
  <si>
    <t>All Fluidstack buildings depend on one private, unrated tenant (Google-backstopped); Core42 (60MW) has no Google support.</t>
  </si>
  <si>
    <t>Regulatory</t>
  </si>
  <si>
    <t>New York EO 62 pause on discretionary permits could affect expansion; effect on Lake Mariner completion not disclosed.</t>
  </si>
  <si>
    <t>2030 maturity precedes lease expiry; ECF offers and amortization reduce but do not eliminate the balloon.</t>
  </si>
  <si>
    <t>CB-3 delivered</t>
  </si>
  <si>
    <t>Early July 2026: CB-3 delivered, taking revenue-generating capacity to 102MW and making $600mm of Google credit support effective.</t>
  </si>
  <si>
    <t>Lease amendments</t>
  </si>
  <si>
    <t>July 2026: Fluidstack leases amended (162MW to 168MW under two leases; data-hall commencement).</t>
  </si>
  <si>
    <t>5-Aug-2026: HPC lease revenue $31.9mm (71% of revenue); CB-4/CB-5 within company cost and schedule guidance.</t>
  </si>
  <si>
    <t>Parent actions</t>
  </si>
  <si>
    <t>July 2026: Anthropic 401MW lease at Hawesville and sale of Abernathy JV stake for about $530mm; 5-Oct-2026 Muskie expansion release.</t>
  </si>
  <si>
    <t>Core42 HPC leases signed at Lake Mariner (changed Aug 2025).</t>
  </si>
  <si>
    <t>2025-08-13</t>
  </si>
  <si>
    <t>Fluidstack Leases (CB-3/CB-4) signed; Google recognition agreements and warrants over 41.0mm shares.</t>
  </si>
  <si>
    <t>CB-5 lease (160MW); Google backstop increased to about $3.2bn; Google pro forma stake about 14%.</t>
  </si>
  <si>
    <t>2025-10-14</t>
  </si>
  <si>
    <t>Offering risk factors furnished ahead of notes marketing.</t>
  </si>
  <si>
    <t>WULF Compute prices $3.2bn 7.750% notes due 2030 at par.</t>
  </si>
  <si>
    <t>2025-10-23</t>
  </si>
  <si>
    <t>Notes close; indenture signed with Wilmington Trust.</t>
  </si>
  <si>
    <t>TeraWulf common stock offering closes (underwriting agreement 14-Apr-2026).</t>
  </si>
  <si>
    <t>CB-3 delivered (early July); $600mm Google credit support becomes effective; revenue-generating capacity 102MW.</t>
  </si>
  <si>
    <t>New York Executive Order No. 62 pauses certain data-center permits.</t>
  </si>
  <si>
    <t>Anthropic 401MW lease at Hawesville announced; Abernathy stake sale (~$530mm).</t>
  </si>
  <si>
    <t>Q2 results and 10-Q: CB-4 first hall in commissioning; CB-5 targeted early 2027.</t>
  </si>
  <si>
    <t>2026-10-05</t>
  </si>
  <si>
    <t>TeraWulf Muskie power-expansion 8-K (no WULF Compute disclosure).</t>
  </si>
  <si>
    <t>S1 | SEC filing | 2025-10-23</t>
  </si>
  <si>
    <t>TeraWulf Form 8-K (Items 1.01, 2.03): closing of $3.2bn 7.750% Senior Secured Notes due 2030 (TeraWulf Inc. / SEC EDGAR). Used for: Notes terms, completion guarantee, covenant summary, trustee</t>
  </si>
  <si>
    <t>S2 | Indenture | 2025-10-23</t>
  </si>
  <si>
    <t>Indenture dated 23-Oct-2025 among WULF Compute LLC, guarantors and Wilmington Trust (Exhibit 4.1) (SEC EDGAR (TeraWulf 8-K)). Used for: Redemption prices, amortization schedule, ECF offer, DSRA, debt limit, termination-fee redemption, governing law</t>
  </si>
  <si>
    <t>S3 | Press release | 2025-10-16</t>
  </si>
  <si>
    <t>Press release: TeraWulf announces pricing of $3.2 billion senior secured notes (TeraWulf Inc. (8-K Ex. 99.1)). Used for: Pricing at par, guarantors, collateral package, sole bookrunner</t>
  </si>
  <si>
    <t>S4 | SEC filing | 2026-08-05</t>
  </si>
  <si>
    <t>TeraWulf Form 10-Q for quarter ended 30-Jun-2026 (TeraWulf Inc. / SEC EDGAR). Used for: Lease status, Google backstop and warrants, notes description, bridge facility, NY executive order, July 2026 lease amendments</t>
  </si>
  <si>
    <t>S5 | Press release | 2026-08-05</t>
  </si>
  <si>
    <t>Press release: TeraWulf reports second quarter 2026 results (TeraWulf Inc. (8-K Ex. 99.1)). Used for: CB-3 delivery, $600mm Google credit support effective, CB-4/CB-5 schedule, cost guidance</t>
  </si>
  <si>
    <t>S6 | Presentation | 2026-08-05</t>
  </si>
  <si>
    <t>TeraWulf Q2 2026 investor presentation (TeraWulf Inc. (8-K exhibit)). Used for: Building MW (CB-3 42MW, CB-4 168MW, CB-5 168MW), Core42 60MW, delivery windows</t>
  </si>
  <si>
    <t>S7 | SEC filing | 2025-08-13</t>
  </si>
  <si>
    <t>TeraWulf Form 8-K (Item 1.01): Fluidstack Leases for CB-3/CB-4, Google recognition agreements and warrants (TeraWulf Inc. / SEC EDGAR). Used for: Lease parties, 10-year term, backstop mechanics, warrant terms</t>
  </si>
  <si>
    <t>S8 | Press release | 2025-08-18</t>
  </si>
  <si>
    <t>Press release: TeraWulf announces Fluidstack expansion with 160 MW CB-5 lease; Google backstop increases to $3.2bn (TeraWulf Inc. (8-K Ex. 99.1)). Used for: CB-5 lease, total Google backstop about $3.2bn, Google about 14% pro forma stake, 345 kV lines</t>
  </si>
  <si>
    <t>S9 | SEC filing | 2025-10-14</t>
  </si>
  <si>
    <t>TeraWulf Form 8-K Ex. 99.1 (14-Oct-2025): offering risk factors for the WULF Compute notes (TeraWulf Inc. / SEC EDGAR). Used for: Lease termination right on delay (180/300 days), backstop trigger limits, completion guarantee limits</t>
  </si>
  <si>
    <t>S10 | SEC filing | 2026-07-06</t>
  </si>
  <si>
    <t>TeraWulf Form 8-K (Item 8.01): Anthropic lease at Justified (Hawesville) and sale of Abernathy JV interest (TeraWulf Inc. / SEC EDGAR). Used for: Parent liquidity events and competing capital needs</t>
  </si>
  <si>
    <t>S11 | SEC filing | 2026-07-23</t>
  </si>
  <si>
    <t>Alphabet Inc. Form 10-Q for quarter ended 30-Jun-2026 (derivatives and VIE notes) (Alphabet Inc. / SEC EDGAR). Used for: Aggregate Google data-center credit-derivative exposure (no named counterparties)</t>
  </si>
  <si>
    <t>S12 | SEC filing | 2026-04-16</t>
  </si>
  <si>
    <t>TeraWulf Form 8-K (Item 8.01): closing of common stock offering (TeraWulf Inc. / SEC EDGAR). Used for: Parent equity raise April 2026 (size not stated in the 8-K body)</t>
  </si>
  <si>
    <t>S13 | Press release | 2026-10-05</t>
  </si>
  <si>
    <t>TeraWulf Form 8-K (Item 8.01): Muskie power expansion press release (TeraWulf Inc. / SEC EDGAR). Used for: Most recent parent filing (no WULF Compute disclosure)</t>
  </si>
  <si>
    <t>S14 | SEC filing | 2026-01-29</t>
  </si>
  <si>
    <t>SEC Form N-PORT (NORTHERN LIGHTS FUND TRUST II): holding WULF Compute LLC 7.75% due 15-Oct-2030 (NORTHERN LIGHTS FUND TRUST II / SEC EDGAR). Used for: CUSIP 982911AA7 and ISIN US982911AA70, coupon and maturity as reported in a fund holding</t>
  </si>
  <si>
    <t>Ratings (Moody's Ba2, S&amp;P BB, Fitch BB per seed): agency releases are paywalled or not indexed; one secondary web result mentioned S&amp;P BB- for TeraWulf corporate, not the notes. All unverified.</t>
  </si>
  <si>
    <t>Fluidstack lease agreements and Google recognition agreements (rent per MW, escalators, termination-fee schedule by building) were not located as exhibits; seed rent $1.59mm/MW unverified.</t>
  </si>
  <si>
    <t>EPC contractor, contract type and cost-to-complete not identified; no construction update after 5-Aug-2026 found.</t>
  </si>
  <si>
    <t>Seed said 366MW Fluidstack; company deck says 378MW (168+168+42). Seed said CB-5 pushed to 1Q27: consistent with company deck.</t>
  </si>
  <si>
    <t>Cash waterfall and DSRA release mechanics read only in part; no maintenance DSCR found by text search but the indenture was not read line by line.</t>
  </si>
  <si>
    <t>Whether principal is still $3.2bn and whether an ECF offer has been made is not stated; Q3 2026 10-Q not yet filed.</t>
  </si>
  <si>
    <t>Seed leverage, debt-funded and yield/spread figures are broker/Bloomberg data and were not verified.</t>
  </si>
  <si>
    <t>Dossier as of 2026-10-16 | ISIN US985925AA44 (seed, unverified) | HY section | Bloomberg: YNDRDC 6.875 06/30/31 144A Corp</t>
  </si>
  <si>
    <t>Yondr JK 1, LLC, described by Yondr/JK Land as their joint venture (Milbank calls it a Yondr Group subsidiary).</t>
  </si>
  <si>
    <t>$715,000,000 aggregate principal amount of 6.875% senior secured notes due 2031.</t>
  </si>
  <si>
    <t>6.875% per year, paid semi-annually in cash in arrears on 30-Jun and 30-Dec; first payment 30-Dec-2026.</t>
  </si>
  <si>
    <t>30-Jun-2031.</t>
  </si>
  <si>
    <t>Priced 24-Jun-2026; delivery via DTC expected on or about 30-Jun-2026 (seed issue date 30-Jun-2026 consistent). Offer price/yield not disclosed in the release.</t>
  </si>
  <si>
    <t>Rule 144A to QIBs and Regulation S to non-US persons; not registered under the Securities Act.</t>
  </si>
  <si>
    <t>First-priority liens on substantially all of the issuer's assets (excluding certain excluded property) and on all equity interests in the issuer held by Yondr JK 1 HoldCo, LLC (Delaware), which becomes the direct parent at issuance.</t>
  </si>
  <si>
    <t>Semi-annual amortization payments begin after the final commencement date; schedule is in the offering memorandum (not accessible). Seed: starts late 2028, about 8.8% amortized to maturity (leverage 8.9x to 7.3x at maturity).</t>
  </si>
  <si>
    <t>Seed: first call 30-Jun-2028 at 103.44. Not confirmed; make-whole terms unknown.</t>
  </si>
  <si>
    <t>US985925AA44 / 985925AA4 per seed (144A). Not confirmed in any document read.</t>
  </si>
  <si>
    <t>Initial purchasers' counsel and issuer counsel</t>
  </si>
  <si>
    <t>Cahill Gordon &amp; Reindel represented the initial purchasers; Milbank LLP advised Yondr. Trustee, governing law and denominations not found.</t>
  </si>
  <si>
    <t>Yondr JK 1 HoldCo, LLC (Delaware) is the direct parent of Yondr JK 1, LLC (issuer); Yondr Group and JK Land Holdings are the JV partners. Ownership split not disclosed.</t>
  </si>
  <si>
    <t>Single-asset SPV; notes secured by first liens on all issuer assets and the HoldCo pledge of issuer equity. Further ring-fencing terms not available.</t>
  </si>
  <si>
    <t>JV HoldCo owns the issuer, which owns the 48MW building on a roughly 14.3-acre Loudoun County site; the notes are the issuer's senior secured debt.</t>
  </si>
  <si>
    <t>Yondr Group</t>
  </si>
  <si>
    <t>Hyperscale data center developer, owner and operator headquartered in London; DigitalBridge and La Caisse completed their acquisition of Yondr on 1-Jul-2025.</t>
  </si>
  <si>
    <t>JK Land Holdings</t>
  </si>
  <si>
    <t>Sterling (Loudoun County), Virginia based real estate company; per press and local reporting it owns land at the Arcola technology park.</t>
  </si>
  <si>
    <t>Yondr Arcola presence</t>
  </si>
  <si>
    <t>Yondr already operates an Arcola, VA campus (Project 'Allegro South', first phase operational 2024; second building started Feb-2024) and lists an adjacent-parcel expansion; financing is not confirmed to cover that expansion parcel.</t>
  </si>
  <si>
    <t>Not found in documents read.</t>
  </si>
  <si>
    <t>Oracle per the user brief and seed. The issuer press release, law-firm notices and press coverage do not name the tenant or offtaker; Oracle's filings do not name Yondr.</t>
  </si>
  <si>
    <t>Seed: modified gross, 15 years with two 5-year extensions. Not verified.</t>
  </si>
  <si>
    <t>Seed: about $1.95mm per MW per year with 3.0% escalator. Not verified.</t>
  </si>
  <si>
    <t>Seed: lease commencement Jan 2028 to Oct 2028; the release refers to a 'final commencement date' that starts amortization, consistent with staged commencement.</t>
  </si>
  <si>
    <t>Tenant credit context</t>
  </si>
  <si>
    <t>Oracle's own 4.95% notes due 4-Feb-2031 were priced at 99.834 to yield 4.988% (T+115) in Feb-2026; Oracle reports $288bn of not-yet-commenced data center leases at 31-Aug-2026.</t>
  </si>
  <si>
    <t>Loudoun County, Virginia (Arcola area per Yondr's existing campus; seed site name 'Allegro North'). The name 'Allegro North' was not found in any document.</t>
  </si>
  <si>
    <t>48 MW of critical IT capacity, a turnkey data center.</t>
  </si>
  <si>
    <t>Roughly 14.3 acres.</t>
  </si>
  <si>
    <t>Seed: facility cost $738mm ($15.4mm per MW); notes $715mm. Not verified.</t>
  </si>
  <si>
    <t>Part of construction of the data center, debt service reserves, and offering fees and expenses.</t>
  </si>
  <si>
    <t>Utility and interconnection</t>
  </si>
  <si>
    <t>No power, substation or Dominion interconnection details found for this parcel.</t>
  </si>
  <si>
    <t>Entitlements</t>
  </si>
  <si>
    <t>Local reporting says Yondr broke ground on a new 48MW building at Arcola; the by-right/grandfathered status of this specific site plan was not confirmed (see risks).</t>
  </si>
  <si>
    <t>Seed: construction start Feb 2026. The release says proceeds partly fund construction, so the project was under construction or about to start at pricing.</t>
  </si>
  <si>
    <t>No official completion timeline published; seed implies lease commencement Jan-Oct 2028.</t>
  </si>
  <si>
    <t>$715mm senior secured notes; equity contribution from the JV partners not disclosed. Seed: 82% debt-funded, 8.9x leverage at issuance, 7.3x at maturity.</t>
  </si>
  <si>
    <t>Proceeds fund debt service reserves (sizes not disclosed).</t>
  </si>
  <si>
    <t>Notes mature June 2031 with only partial amortization per seed (about 8.8%), implying a large balloon (about 91%, derived from seed) dependent on refinancing or lease renewal.</t>
  </si>
  <si>
    <t>No parent or tenant guaranty disclosed in documents read. Credit support, completion guaranty and termination payments unknown.</t>
  </si>
  <si>
    <t>Not available (offering memorandum private).</t>
  </si>
  <si>
    <t>Seed: Moody's Ba3, Fitch BB (S&amp;P NR). No rating agency release found; no agency publication read.</t>
  </si>
  <si>
    <t>Finance part of construction of the 48MW data center, fund debt service reserves, pay fees and expenses of the offering.</t>
  </si>
  <si>
    <t>Loudoun grandfathering</t>
  </si>
  <si>
    <t>Loudoun ended by-right data center approvals in Mar-2025 but passed a grandfathering resolution for site plans accepted by 12-Feb-2025 (protection to Feb-2028, lost if developers stop pursuing or substantially change plans). Staff warned that ending grandfathering could cost the county $45mm-$60mm in litigation. Whether this project is among the 15 grandfathered projects is unconfirmed.</t>
  </si>
  <si>
    <t>Single tenant, single asset, short tenor</t>
  </si>
  <si>
    <t>One 48MW asset, tenant not publicly named, a 5-year bullet-like maturity with high refinancing share.</t>
  </si>
  <si>
    <t>Construction and power</t>
  </si>
  <si>
    <t>No contractor, power or interconnection information found; delivery by 2028 not verifiable.</t>
  </si>
  <si>
    <t>6-Oct-2026 Board action</t>
  </si>
  <si>
    <t>Loudoun Board of Supervisors tabled the whole item: ending grandfathering, the data center approval proposal and the $200,000 outside audit of 15 grandfathered projects (30 buildings, about 10.5M sq ft). Chair Phyllis Randall moved to table; one report says a majority agreed, another summary reports 7-2. Grandfathering therefore stays in place; item deferred to an unspecified later date.</t>
  </si>
  <si>
    <t>Audit proposal</t>
  </si>
  <si>
    <t>Supervisor TeKrony's audit would have had an interim report Jan-2027 and final April-2027; shelved.</t>
  </si>
  <si>
    <t>Pre-meeting context</t>
  </si>
  <si>
    <t>In mid-September 2026 staff were drafting an amendment to end the grandfather clause and a possible pause on data center approvals.</t>
  </si>
  <si>
    <t>2025-03-01</t>
  </si>
  <si>
    <t>Loudoun ends by-right data center approvals in industrial districts (ZOAM) and passes a grandfathering resolution covering applications accepted by 12-Feb-2025</t>
  </si>
  <si>
    <t>2025-07-01</t>
  </si>
  <si>
    <t>DigitalBridge and La Caisse complete acquisition of Yondr Group</t>
  </si>
  <si>
    <t>2026-02-01</t>
  </si>
  <si>
    <t>Seed construction start (Feb 2026), unverified</t>
  </si>
  <si>
    <t>2026-06-24</t>
  </si>
  <si>
    <t>Yondr Group and JK Land Holdings announce pricing of $715mm 6.875% senior secured notes due 2031</t>
  </si>
  <si>
    <t>Notes expected to close/deliver via DTC; first-priority liens on issuer assets and HoldCo equity pledge</t>
  </si>
  <si>
    <t>Milbank announces its role advising Yondr on the offering</t>
  </si>
  <si>
    <t>Virginia Mercury reports Loudoun to consider pause and removing by-right grandfather clause</t>
  </si>
  <si>
    <t>Loudoun Board tables the grandfathering repeal item, outside-audit motion and data center approval proposal</t>
  </si>
  <si>
    <t>2026-12-30</t>
  </si>
  <si>
    <t>First semi-annual interest payment date on the notes</t>
  </si>
  <si>
    <t>S1 | Press release | 2026-06-24</t>
  </si>
  <si>
    <t>Yondr Group and JK Land Holdings Announce Pricing of Senior Secured Notes (Yondr Group). Used for: Notes terms, interest dates, security, use of proceeds, site</t>
  </si>
  <si>
    <t>S2 | Press release | 2026-07-07</t>
  </si>
  <si>
    <t>Milbank advises Yondr on $715M senior secured notes offering (Milbank LLP). Used for: Issuer described as subsidiary of Yondr; 144A/Reg S; counsel</t>
  </si>
  <si>
    <t>S3 | Press release | 2026-06-30</t>
  </si>
  <si>
    <t>Cahill represents initial purchasers in $715 million notes offering for Yondr data center project (read via search-result summary) (Cahill Gordman &amp; Reindel). Used for: Initial purchasers' counsel; proceeds finance a high-performance computing data center in Loudoun County</t>
  </si>
  <si>
    <t>S4 | News | 2026-06-25</t>
  </si>
  <si>
    <t>Yondr Group and JK Land Holding's JV to build hyperscale DC in Virginia (W.Media). Used for: Issuer is a Yondr/JK Land JV; security; 48MW; 14.3 acres; JK Land described as Sterling-based</t>
  </si>
  <si>
    <t>S5 | News | 2026-06-26</t>
  </si>
  <si>
    <t>Yondr JK 1 prices USD $715m notes for Virginia data centre (DataCentreNews UK). Used for: Interest dates, security, no tenant disclosed</t>
  </si>
  <si>
    <t>S6 | News | 2026-06-25</t>
  </si>
  <si>
    <t>Yondr: Arcola Expansion Data Center (Baxtel listing) (Baxtel). Used for: Yondr Arcola campus context; DigitalBridge/La Caisse acquisition of Yondr (1-Jul-2025); address; financing not confirmed to cover the expansion parcel</t>
  </si>
  <si>
    <t>S7 | News | 2026-10-07</t>
  </si>
  <si>
    <t>Loudoun County leaders table debate over data center approvals after warning about potential litigation cost (Yahoo News / Loudoun reporting). Used for: Outcome of the 6-Oct-2026 Board meeting: item tabled</t>
  </si>
  <si>
    <t>S8 | News | 2026-10-07</t>
  </si>
  <si>
    <t>Loudoun supervisors don't rollback data center grandfathering law, shelve $200,000 audit of grandfathered projects (Yahoo News / Loudoun reporting). Used for: Grandfathering resolution details, 15 projects, audit, liability estimate</t>
  </si>
  <si>
    <t>S9 | News | 2026-09-14</t>
  </si>
  <si>
    <t>Loudoun to consider data center pause, removing by-right grandfather clause (Virginia Mercury). Used for: Pre-meeting context (page returned HTTP 403; read via search summary only)</t>
  </si>
  <si>
    <t>S10 | Regulatory | 2025-04-01</t>
  </si>
  <si>
    <t>Loudoun County Eliminates By-Right Use for Data Centers (ZOAM of March 2025) (McGuireWoods). Used for: Legal background of the by-right elimination and grandfathering (search summary only)</t>
  </si>
  <si>
    <t>S11 | SEC filing | 2026-09-11</t>
  </si>
  <si>
    <t>Oracle Corporation Form 10-Q for quarter ended 31 Aug 2026 (Oracle Corporation (SEC)). Used for: Oracle's $288bn not-yet-commenced data center leases (does not name Yondr)</t>
  </si>
  <si>
    <t>S12 | SEC filing | 2026-02-02</t>
  </si>
  <si>
    <t>Oracle 424B2 prospectus supplement and FWP term sheet, 2 Feb 2026 (4.95% notes due 2031 comparable) (Oracle Corporation (SEC)). Used for: ORCL 4.95% 2031 pricing: 99.834, T+115, YTM 4.988% (tenant comparable)</t>
  </si>
  <si>
    <t>Tenant (Oracle), lease term, extensions, lease type (modified gross), rent per MW and escalator, commencement dates: seed only; no official document (including the issuer press release, law-firm notices and Oracle filings) names or confirms them.</t>
  </si>
  <si>
    <t>Ratings (Moody's Ba3, Fitch BB): no rating agency release found for Yondr JK 1; seed only.</t>
  </si>
  <si>
    <t>144A offering memorandum and indenture are private; covenants, reserves, amortization schedule (about 8.8%), call schedule (103.44 from 30-Jun-2028), trustee, governing law, denominations unverified.</t>
  </si>
  <si>
    <t>ISIN/CUSIP unverified; 'Allegro North' project name not found anywhere (Yondr's existing campus is called Allegro South in a data-center listing).</t>
  </si>
  <si>
    <t>Could not confirm whether this site's plan is among the 15 projects covered by Loudoun's grandfathering resolution; no county record read naming Yondr, JK Land or the parcel. County minutes and the resolution text were not accessed.</t>
  </si>
  <si>
    <t>Vote count on 6-Oct-2026: reports conflict (majority vs 7-2 with TeKrony and Briskman opposed); the Virginia Mercury, Loudoun Now and McGuireWoods pages returned HTTP 403/429 and were read only through search summaries.</t>
  </si>
  <si>
    <t>Power/Dominion interconnection, EPC contractor and construction schedule not disclosed.</t>
  </si>
  <si>
    <t>Equity contribution, JV ownership split and project cost (seed $738mm) not disclosed.</t>
  </si>
  <si>
    <t>Dossier as of 2026-10-16 | ISIN US21873SAG30 (seed, unverified) | Parent section | Bloomberg: CRWV 9.75 10/01/2031 144A Corp</t>
  </si>
  <si>
    <t>CoreWeave, Inc. (NASDAQ: CRWV), parent of all CoreWeave financing SPVs.</t>
  </si>
  <si>
    <t>Notes title</t>
  </si>
  <si>
    <t>9.750% Senior Notes due 1 Oct 2031 (general senior unsecured obligations).</t>
  </si>
  <si>
    <t>Principal outstanding</t>
  </si>
  <si>
    <t>$2,750mm = $1,750mm issued 14 Apr 2026 plus $1,000mm 'Additional Notes' issued 21 Apr 2026 at an issue price of 102.000% under a First Supplemental Indenture, forming a single class. Seed amount ($2,750mm) and 14 Apr issue date agree.</t>
  </si>
  <si>
    <t>Upsizing</t>
  </si>
  <si>
    <t>Initial launch (9 Apr 2026) was for $1,250mm of senior notes; the deal priced and closed at $1,750mm.</t>
  </si>
  <si>
    <t>9.750% p.a. cash, semi-annual on 1 Apr and 1 Oct, first coupon 1 Oct 2026; interest accrues from 14 Apr 2026 (also for the additional notes).</t>
  </si>
  <si>
    <t>Seed ISIN US21873SAG30 (144A); the additional notes may carry a different CUSIP; not verified. Reg S ISIN not found.</t>
  </si>
  <si>
    <t>Ranking and guarantees</t>
  </si>
  <si>
    <t>Senior unsecured; guaranteed by certain wholly-owned subsidiaries that guarantee CoreWeave's existing revolving credit facility. Non-recourse SPV borrowers (e.g. the DDTL 4.0 borrower) are not obligors; only the SPVs' equity value reaches the parent.</t>
  </si>
  <si>
    <t>Make-whole (Treasury + 50bp, PV of the 1 Oct 2028 call price) before 1 Oct 2028; up to 40% of the notes issued on the issue date may be redeemed with equity proceeds at 109.750% (within 180 days of the equity offering, 40% must remain outstanding); thereafter 104.875% (from 1 Oct 2028), 102.438% (from 1 Oct 2029), par (from 1 Oct 2030).</t>
  </si>
  <si>
    <t>Put at 101% plus accrued interest on a change of control triggering event.</t>
  </si>
  <si>
    <t>U.S. Bank Trust Company, National Association.</t>
  </si>
  <si>
    <t>Format / denominations</t>
  </si>
  <si>
    <t>Rule 144A (the 8-K for the first tranche refers to 144A; the launch notice refers to 144A and Reg S). Denominations and governing law not extracted.</t>
  </si>
  <si>
    <t>Maturity profile context</t>
  </si>
  <si>
    <t>Matures after the 2030 9.25% notes and 2031 9.00% notes; maturity 1 Oct 2031 sits inside a heavy 2030-2032 refinancing cluster (see Financing).</t>
  </si>
  <si>
    <t>Obligor</t>
  </si>
  <si>
    <t>CoreWeave, Inc. on a consolidated basis; recourse debt is either direct CoreWeave debt or guaranteed by CoreWeave, Inc. Non-recourse debt (DDTL 4.0 and some OEM financing) is limited to SPV assets save for customary carve-out guarantees.</t>
  </si>
  <si>
    <t>Guarantor group</t>
  </si>
  <si>
    <t>Wholly-owned subsidiaries guaranteeing the revolver also guarantee the 9.250% 2030, 9.000% 2031, 9.750% 2031, 9.625% 2032, 8.500% 2032 senior notes and the 1.75% 2031/2032 and 2.875% 2033 converts.</t>
  </si>
  <si>
    <t>Structural subordination</t>
  </si>
  <si>
    <t>The notes rank behind secured DDTL, revolver and OEM financing at asset level to the extent of collateral; DDTL borrowers (CoreWeave Compute Acquisition Co. VIII, CoreWeave Financing DDTL V / V-V) are indirect subsidiaries with parent guarantee and pledge for DDTL 5.0/5.5 (parent-guaranteed) but not for DDTL 4.0.</t>
  </si>
  <si>
    <t>Unconsolidated entities</t>
  </si>
  <si>
    <t>CoreWeave has unconsolidated VIE relationships (data center developers and an equipment lessor); maximum exposure per 10-Q: $108mm prepayments plus about $1.8bn committed equipment-lease payments.</t>
  </si>
  <si>
    <t>Company</t>
  </si>
  <si>
    <t>CoreWeave, Inc. ('The Essential Cloud for AI'), Livingston NJ; Nasdaq-100 member from Q2 2026; chairman and CEO Michael Intrator.</t>
  </si>
  <si>
    <t>Q2 2026 financials</t>
  </si>
  <si>
    <t>Revenue $2,575mm (+112% y/y); operating loss $(49)mm; Adjusted EBITDA $1,510mm (59% margin); adjusted operating income $128mm (5%); interest expense, net $(640)mm (vs $(267)mm); net loss $(626)mm.</t>
  </si>
  <si>
    <t>Cash flow items</t>
  </si>
  <si>
    <t>Q2 operating cash flow about $679mm and property and equipment purchases about $6.42bn (news summary of the 10-Q).</t>
  </si>
  <si>
    <t>Accumulated deficit</t>
  </si>
  <si>
    <t>$4.0bn at 30 Jun 2026.</t>
  </si>
  <si>
    <t>Equity support</t>
  </si>
  <si>
    <t>$1bn strategic investment from Jane Street after expanded commercial relationship (Q2 2026 release); Jane Street also committed about $6.0bn of platform usage (announced Apr 2026).</t>
  </si>
  <si>
    <t>Litigation</t>
  </si>
  <si>
    <t>Putative securities class action Masaitis v. CoreWeave filed 12 Jan 2026 (D.N.J.) against the company and certain officers.</t>
  </si>
  <si>
    <t>Credit metrics (derived)</t>
  </si>
  <si>
    <t>Gross debt principal $35.55bn vs annualized Q2 Adjusted EBITDA about $6.0bn gives about 5.9x gross debt/EBITDA before leases; with operating and finance lease liabilities ($16.5bn) obligations total about $51.6bn.</t>
  </si>
  <si>
    <t>CoreWeave as lessee (adapted section)</t>
  </si>
  <si>
    <t>CoreWeave is the tenant behind Core Scientific (590 MW, 12-year licenses) and Galaxy Helios (Phases I-III, 526 MW), plus other landlords. Own obligations: operating lease liabilities $16.3bn and finance lease liabilities $0.2bn at 30 Jun 2026 (YE2025: $8.2bn operating).</t>
  </si>
  <si>
    <t>Lease payments</t>
  </si>
  <si>
    <t>Undiscounted operating lease payments $29.1bn (remaining 2026 $1.03bn; 2027 $2.12bn; 2028 $2.31bn; 2029 $2.37bn; 2030 $2.29bn; thereafter $19.0bn); weighted-average remaining term 12 years; discount rate 10%.</t>
  </si>
  <si>
    <t>Leases not yet commenced</t>
  </si>
  <si>
    <t>$35.5bn of undiscounted payments for executed leases (data centers, equipment, offices) not yet commenced, starting 2026-2029, terms 7-16 years; this is on top of the $29.1bn and excludes cost-based leases below.</t>
  </si>
  <si>
    <t>Cost-based leases</t>
  </si>
  <si>
    <t>One single-site lease with 393 MW undelivered (phased 2026-2028) where rent follows lessor construction costs with a contractual maximum of $14.7bn over 16 years; other cost-based leases with 355 MW undelivered (2026-2028). The 393 MW matches Galaxy's Helios Phase II+III but CoreWeave does not name the lessor (inference).</t>
  </si>
  <si>
    <t>Equipment commitments</t>
  </si>
  <si>
    <t>CoreWeave must procure and install lessee-owned equipment at some leased premises: estimated $0.5-1.2bn through 2028.</t>
  </si>
  <si>
    <t>Landlord credit relevance</t>
  </si>
  <si>
    <t>CORZ and GALAXY notes both depend on CoreWeave rent; CoreWeave's own filings do not name them, so lease terms cannot be cross-checked from the tenant side beyond the aggregate disclosure above.</t>
  </si>
  <si>
    <t>Capacity footprint (adapted section)</t>
  </si>
  <si>
    <t>51 active data centers; active power about 1.5 GW (expanded by nearly 500 MW in Q2); total contracted power about 3.7 GW per Q2 release (about 4.2 GW per Sept 2026 deck citing the 11 Aug call; difference reflects early-Q3 additions).</t>
  </si>
  <si>
    <t>Third-party data center dependence</t>
  </si>
  <si>
    <t>Large share of capacity is leased from developers (Core Scientific, Galaxy, others); the 10-K discloses delivery delays announced Nov 2025 by an unnamed third-party provider.</t>
  </si>
  <si>
    <t>Customer mix of capacity</t>
  </si>
  <si>
    <t>Frontier AI labs, hyperscalers and enterprises; about 10% of backlog from financial services customers (13 Sep 2026).</t>
  </si>
  <si>
    <t>Power approach</t>
  </si>
  <si>
    <t>Capacity is delivered mainly by third-party landlords with their own utility arrangements; CoreWeave disclosed no direct utility agreements in the documents reviewed.</t>
  </si>
  <si>
    <t>Regulatory headwind</t>
  </si>
  <si>
    <t>10-Q cites a July 2026 New York moratorium on data centers using 50 MW or more as an example of moratoria that could raise costs or restrict development.</t>
  </si>
  <si>
    <t>ERCOT exposure (via landlords)</t>
  </si>
  <si>
    <t>Texas landlords' interconnection (Helios, Denton, Pecos, Hunt) is subject to ERCOT Batch Zero; see CORZ and GALAXY dossiers.</t>
  </si>
  <si>
    <t>Undelivered power</t>
  </si>
  <si>
    <t>393 MW at one site and 355 MW at other sites remain undelivered at 30 Jun 2026, expected 2026-2028.</t>
  </si>
  <si>
    <t>DDTL draw periods</t>
  </si>
  <si>
    <t>DDTL 5.0 commitments run to Sep 2026; DDTL 5.5 to Dec 2026; DDTL 4.0 to Jun 2027; draws fund GPU servers and related infrastructure as contracts deliver.</t>
  </si>
  <si>
    <t>Delivery slippage</t>
  </si>
  <si>
    <t>10-K flags delays in certain third-party data centers (announced Nov 2025); delivery delay credits are a component of variable consideration in RPO.</t>
  </si>
  <si>
    <t>Amortization sensitivity</t>
  </si>
  <si>
    <t>DDTL 4.0 principal payments begin on the earliest of commitment termination, delayed-site amortization dates and top-up draws, so late delivery accelerates amortization.</t>
  </si>
  <si>
    <t>Debt stack at 30 Jun 2026 ($mm principal)</t>
  </si>
  <si>
    <t>Recourse: DDTL 1.0 1,300 (Mar 2028); DDTL 2.0 3,190 (Aug 2030); DDTL 2.1 3,000 (Mar 2031); DDTL 3.0 2,215 (Aug 2030); DDTL 5.0 1,101 (Nov 2031); 9.25% 2030 notes 2,000; 9.00% 2031 notes 1,750 (Feb 2031); 9.75% 2031 notes 2,750; 9.625% 2032 notes 1,250; 8.50% EUR 2032 notes 2,279 (EUR 2.0bn); 1.75% 2031 converts 2,588 (Dec 2031); 1.75% 2032 converts 4,000; revolver undrawn (Nov 2029); OEM/software financing 4,220; Magnetar loan 189 (Jan 2029). Non-recourse: DDTL 4.0 2,837 (Mar 2032); OEM financing 882. Total $35,551mm principal; recourse net $31.4bn, non-recourse net $3.7bn.</t>
  </si>
  <si>
    <t>Principal maturities</t>
  </si>
  <si>
    <t>Remaining 2026 $4,413mm; 2027 $6,184mm; 2028 $4,416mm; 2029 $2,421mm; 2030 $3,221mm; thereafter $14,896mm. Derived: about $15.0bn due 2026-2028.</t>
  </si>
  <si>
    <t>Post-quarter additions</t>
  </si>
  <si>
    <t>DDTL 5.5 ($2.6bn, 7 Aug 2026; SOFR+5.50%; matures 1 Sep 2031; parent-guaranteed; draws to Dec 2026) and $4.2bn 2.875% convertible senior notes due 1 Apr 2033 (closed 22 Sep 2026; initial conversion price about $97.85, 22.5% premium; up to 52.6mm shares).</t>
  </si>
  <si>
    <t>DDTL 5.0</t>
  </si>
  <si>
    <t>$3.1bn facility (15 May 2026), SOFR+4.50%, matures 15 Nov 2031, parent-guaranteed; $1.1bn drawn at 30 Jun 2026.</t>
  </si>
  <si>
    <t>DDTL 4.0</t>
  </si>
  <si>
    <t>$8.5bn facility (30 Mar 2026), SOFR+2.25% floating or Treasury+2.00% fixed, matures 31 Mar 2032, non-recourse to parent; $2.84bn drawn.</t>
  </si>
  <si>
    <t>2032 convertible</t>
  </si>
  <si>
    <t>$4.0bn 1.75% due 1 Oct 2032 incl. $500mm option; conversion price about $119.60 (30% premium over $91.99 implied); max 43.5mm shares; non-callable before 8 Oct 2029; capped calls purchased.</t>
  </si>
  <si>
    <t>Liquidity at 30 Jun 2026</t>
  </si>
  <si>
    <t>Cash $5,524mm + marketable securities $15mm + undrawn secured commitments $10,014mm = $15,553mm (YE2025: $6,862mm). Company says liquidity suffices for 12 months.</t>
  </si>
  <si>
    <t>Interest cost</t>
  </si>
  <si>
    <t>Q2 contractual interest $592mm; interest expense after capitalization $558mm; net interest expense $640mm. Effective rate on the 9.75% 2031 notes shown as 10%.</t>
  </si>
  <si>
    <t>Equity programs</t>
  </si>
  <si>
    <t>Jane Street $1bn investment; ATM/collared forward programme (see Recent developments).</t>
  </si>
  <si>
    <t>This issue</t>
  </si>
  <si>
    <t>Unsecured; benefits only from subsidiary guarantees and structural position. No collateral.</t>
  </si>
  <si>
    <t>Customer prepayments</t>
  </si>
  <si>
    <t>Deferred revenue $9.7bn at 30 Jun 2026 (vs $8.2bn) and contract assets $179mm; Q2 deals included customer prepayments per management.</t>
  </si>
  <si>
    <t>Third-party backing</t>
  </si>
  <si>
    <t>NVIDIA reportedly holds about 11.5% of CoreWeave and is obligated to purchase up to $6.3bn of residual capacity through April 2032 (stated in Galaxy's July 2026 presentation; not found in CoreWeave documents I reviewed).</t>
  </si>
  <si>
    <t>Asset-level financing</t>
  </si>
  <si>
    <t>Secured DDTLs ring-fence GPU/contract cash flows, which senior unsecured holders rank behind.</t>
  </si>
  <si>
    <t>Ratio debt permitted if Consolidated Total Leverage Ratio (debt to LTM EBITDA) would be no greater than 6.00x; credit facility basket of $2.5bn plus the greater of $1.0bn and 25% of LTM EBITDA plus secured-ratio capacity (4.00x), the last part capped at the greater of $5,116mm and 100% of LTM EBITDA.</t>
  </si>
  <si>
    <t>Investments</t>
  </si>
  <si>
    <t>Certain investments conditioned on leverage no greater than 5.75x.</t>
  </si>
  <si>
    <t>Asset sale sweep</t>
  </si>
  <si>
    <t>Applicable percentage 100%, reduced to 50% if pro forma leverage is at most 2.50x but above 2.00x and to 0% at or below 2.00x.</t>
  </si>
  <si>
    <t>Liens</t>
  </si>
  <si>
    <t>Secured-leverage ratio limit of 4.00x for ratio liens; other negative covenants on restricted payments, affiliate transactions, mergers, unrestricted-subsidiary designations.</t>
  </si>
  <si>
    <t>Customary, incl. cross-default and bankruptcy; the 2032 convertible default threshold is the greater of $200mm or 5% of LTM EBITDA (note: convertible, not this indenture).</t>
  </si>
  <si>
    <t>Annual and quarterly reporting per offering-memorandum-style provisions; 8-K current report items mirrored.</t>
  </si>
  <si>
    <t>Seed</t>
  </si>
  <si>
    <t>No ratings in seed for CRWV.</t>
  </si>
  <si>
    <t>Secondary pointers (unconfirmed)</t>
  </si>
  <si>
    <t>Search summaries point to S&amp;P issuer rating B+ with positive outlook (May 2026) and issue-level B on the 9.00% 2030/2031 notes; Fitch BB- with RR4 on the convertible notes due 2031; Moody's Ba3 per a German-language aggregator. No agency release for the 9.75% 2031 notes was retrieved and no rating action after the Oct 2026 selloff was found.</t>
  </si>
  <si>
    <t>Not available from official sources.</t>
  </si>
  <si>
    <t>General corporate purposes, including repayment of outstanding indebtedness, and fees and expenses (both tranches).</t>
  </si>
  <si>
    <t>Same-day financing used $4.0bn convertible proceeds partly for capped calls; Q2 release cites more than $10bn of unsecured debt and convertible bonds raised in the quarter.</t>
  </si>
  <si>
    <t>Leverage and interest burden</t>
  </si>
  <si>
    <t>Net interest $640mm a quarter on revenue $2.6bn; operating loss; capex about $6.4bn a quarter; funding depends on continued market access.</t>
  </si>
  <si>
    <t>Maturity wall</t>
  </si>
  <si>
    <t>$15.0bn principal due 2026-2028 (derived), much of it DDTL amortization tied to contract cash flows, plus $4.4bn remaining 2026.</t>
  </si>
  <si>
    <t>Customer concentration</t>
  </si>
  <si>
    <t>Customer A 36%, B 26%, C 10% of Q2 revenue; A and B each 32% of receivables; Microsoft was about 67% of FY2025 revenue; OpenAI up to about $6.5bn through May 2031; Meta initially up to about $14.2bn through Dec 2031; Jane Street about $6.0bn.</t>
  </si>
  <si>
    <t>Backlog quality</t>
  </si>
  <si>
    <t>Backlog $104.2bn (RPO $103.7bn: 41% within 24 months, 39% in months 25-48) is not cash; requires delivery of capacity and availability; includes variable consideration estimates.</t>
  </si>
  <si>
    <t>Lease obligations</t>
  </si>
  <si>
    <t>$29.1bn operating lease payments plus $35.5bn not yet commenced; fixed obligations front-run revenue.</t>
  </si>
  <si>
    <t>Market stress Oct 2026</t>
  </si>
  <si>
    <t>Bonds and CDS at record distress; refinancing costs rising; equity down sharply; 2032 bond about 78c.</t>
  </si>
  <si>
    <t>Unsecured notes rank behind secured DDTL and OEM financings at the asset level.</t>
  </si>
  <si>
    <t>Dilution / equity funding</t>
  </si>
  <si>
    <t>35mm-share ATM plus convertible overhang (about 52.6mm shares on the 2033 convert at max rate, 43.5mm on 2032).</t>
  </si>
  <si>
    <t>Further debt after the 9.75% issue</t>
  </si>
  <si>
    <t>$1.25bn 9.625% senior notes due Jul 2032 and EUR 2.0bn 8.500% due Jul 2032 (18 Jun 2026); DDTL 5.0 $3.1bn (15 May); DDTL 5.5 $2.6bn (7 Aug); $4.2bn 2.875% converts due 2033 (22 Sep).</t>
  </si>
  <si>
    <t>ATM program</t>
  </si>
  <si>
    <t>17 Sep 2026 Equity Distribution Agreement with eleven agents plus four forward purchasers: up to 35,000,000 Class A shares by at-the-market sales or collared forward sale agreements; commission up to 2.0%; under Form S-3 filed 5 Jun 2026; no sales until at least 30 days after the convertible purchase agreement. Usage to date not disclosed.</t>
  </si>
  <si>
    <t>Backlog / demand</t>
  </si>
  <si>
    <t>Backlog $104.2bn at 30 Jun 2026 plus more than $25bn net new commitments in early Q3; price increases of about 70% on some SKUs in July 2026 for short-dated contracts (company claim).</t>
  </si>
  <si>
    <t>October 2026 selloff</t>
  </si>
  <si>
    <t>14-16 Oct 2026: 2032 unsecured bonds below 80c on 14 Oct and about 78c (yield just over 16%) on 15 Oct; five-year CDS above 1,000bp (record); stock -16% on 14 Oct; trigger cited as a hot US inflation print and fear of a December Fed hike.</t>
  </si>
  <si>
    <t>Company response</t>
  </si>
  <si>
    <t>CEO Intrator memo (14 Oct) states contracted backlog is sufficient to cover debt obligations and attributes the move to contagion from troubled AI infrastructure IPOs and debt deals; no buyback, tender or new financing action reported as of 16 Oct 2026.</t>
  </si>
  <si>
    <t>Price of this bond</t>
  </si>
  <si>
    <t>Specific price/yield of the 9.75% 2031 notes during the selloff was not found.</t>
  </si>
  <si>
    <t>CoreWeave signs all-stock merger agreement to acquire Core Scientific (per Core Scientific 10-K)</t>
  </si>
  <si>
    <t>Core Scientific stockholders reject the merger; terminated</t>
  </si>
  <si>
    <t>2026-01-12</t>
  </si>
  <si>
    <t>Securities class action Masaitis v. CoreWeave filed (D.N.J.)</t>
  </si>
  <si>
    <t>$8.5bn DDTL 4.0 (non-recourse) signed</t>
  </si>
  <si>
    <t>Launch of $1.25bn senior notes and $3.0bn convertible offerings</t>
  </si>
  <si>
    <t>2026-04-14</t>
  </si>
  <si>
    <t>Closing: $1.75bn 9.750% senior notes due 2031 and $4.0bn 1.75% converts due 2032</t>
  </si>
  <si>
    <t>$1.0bn additional 9.750% notes issued at 102.000; total $2.75bn</t>
  </si>
  <si>
    <t>2026-05-15</t>
  </si>
  <si>
    <t>$3.1bn DDTL 5.0 signed</t>
  </si>
  <si>
    <t>$1.25bn 9.625% and EUR 2.0bn 8.500% senior notes due 2032 issued</t>
  </si>
  <si>
    <t>2026-08-07</t>
  </si>
  <si>
    <t>$2.6bn DDTL 5.5 signed</t>
  </si>
  <si>
    <t>2026-08-11</t>
  </si>
  <si>
    <t>Q2 results: revenue $2.58bn, backlog $104bn; 10-Q filed 12 Aug</t>
  </si>
  <si>
    <t>$3.0bn convertible launch and ATM (35mm shares) agreement</t>
  </si>
  <si>
    <t>2026-09-22</t>
  </si>
  <si>
    <t>$4.2bn 2.875% convertible notes due 2033 closed</t>
  </si>
  <si>
    <t>First coupon date on the 9.750% 2031 notes</t>
  </si>
  <si>
    <t>Bonds and CDS sell off to distress levels; stock -16%; CEO memo</t>
  </si>
  <si>
    <t>Stock still falling; 2032 bonds about 78c (as of 15-16 Oct reports)</t>
  </si>
  <si>
    <t>S1 | SEC filing | 2026-04-14</t>
  </si>
  <si>
    <t>CoreWeave Form 8-K (Items 1.01, 2.03, 3.02): issuance of $1.75bn 9.750% Senior Notes due 2031 and $4.0bn 1.75% Convertible Senior Notes due 2032 (CoreWeave, Inc. / SEC EDGAR). Used for: Notes terms, trustee, guarantors, redemption, change of control, use of proceeds; 2032 convertible terms</t>
  </si>
  <si>
    <t>S2 | Indenture | 2026-04-14</t>
  </si>
  <si>
    <t>Senior Notes Indenture dated 14 Apr 2026 (Exhibit 4.1) (CoreWeave, Inc. / U.S. Bank Trust Company, N.A. (trustee) / SEC EDGAR). Used for: Call prices (104.875% / 102.438% / par), 40% equity clawback at 109.750%, debt incurrence 6.00x test, credit facility baskets, investments test, asset-sale sweep percentages</t>
  </si>
  <si>
    <t>S3 | SEC filing | 2026-04-21</t>
  </si>
  <si>
    <t>CoreWeave Form 8-K (Items 1.01, 2.03, 8.01): $1.0bn additional 9.750% Senior Notes due 2031 (CoreWeave, Inc. / SEC EDGAR). Used for: Tap at 102.000, total $2.75bn outstanding under one indenture</t>
  </si>
  <si>
    <t>S4 | SEC filing | 2026-08-12</t>
  </si>
  <si>
    <t>CoreWeave Form 10-Q for quarter ended 30 June 2026 (CoreWeave, Inc. / SEC EDGAR). Used for: Debt table, maturities, interest, liquidity, customer concentration, RPO, leases not yet commenced, undelivered MW, litigation</t>
  </si>
  <si>
    <t>S5 | Press release | 2026-08-11</t>
  </si>
  <si>
    <t>CoreWeave Q2 2026 earnings press release (Exhibit 99.1) (CoreWeave, Inc. / SEC EDGAR). Used for: Revenue, Adjusted EBITDA, backlog, active and contracted power, financing milestones</t>
  </si>
  <si>
    <t>S6 | SEC filing | 2026-06-18</t>
  </si>
  <si>
    <t>CoreWeave Form 8-K: $1.25bn 9.625% Senior Notes due 2032 and EUR 2.0bn 8.500% Senior Notes due 2032 (CoreWeave, Inc. / SEC EDGAR). Used for: Other senior unsecured notes</t>
  </si>
  <si>
    <t>S7 | SEC filing | 2026-05-18</t>
  </si>
  <si>
    <t>CoreWeave Form 8-K: $3.1bn DDTL 5.0 Facility (CoreWeave Financing DDTL V, LLC) (CoreWeave, Inc. / SEC EDGAR). Used for: DDTL 5.0 terms</t>
  </si>
  <si>
    <t>S8 | SEC filing | 2026-08-10</t>
  </si>
  <si>
    <t>CoreWeave Form 8-K: $2.6bn DDTL 5.5 Facility (CoreWeave Financing DDTL V-V, LLC) (CoreWeave, Inc. / SEC EDGAR). Used for: DDTL 5.5 terms</t>
  </si>
  <si>
    <t>S9 | SEC filing | 2026-03-31</t>
  </si>
  <si>
    <t>CoreWeave Form 8-K: $8.5bn DDTL 4.0 Facility (CoreWeave Compute Acquisition Co. VIII, LLC) (CoreWeave, Inc. / SEC EDGAR). Used for: DDTL 4.0 terms</t>
  </si>
  <si>
    <t>S10 | SEC filing | 2026-09-17</t>
  </si>
  <si>
    <t>CoreWeave Form 8-K (Items 7.01, 8.01): convertible notes due 2033 launch and Equity Distribution (ATM) Agreement (CoreWeave, Inc. / SEC EDGAR). Used for: ATM size, agents, commission, collared forward sale agreements, Form S-3 reference</t>
  </si>
  <si>
    <t>S11 | SEC filing | 2026-09-22</t>
  </si>
  <si>
    <t>CoreWeave Form 8-K (Items 1.01, 3.02, 8.01): $4.2bn 2.875% Convertible Senior Notes due 2033 closed (CoreWeave, Inc. / SEC EDGAR). Used for: Newest convertible, guarantor list incl. 9.750% 2031 notes</t>
  </si>
  <si>
    <t>S12 | Presentation | 2026-09-17</t>
  </si>
  <si>
    <t>CoreWeave investor presentation, September 2026 (Exhibit 99.2 to 8-K) (CoreWeave, Inc. / SEC EDGAR). Used for: Backlog $104.2bn, +$25bn early Q3 commitments, 4.2 GW contracted, 1.5 GW active, 51 data centers, customer mix</t>
  </si>
  <si>
    <t>S13 | SEC filing | 2026-04-09</t>
  </si>
  <si>
    <t>CoreWeave Form 8-K (Items 7.01, 8.01): launch of senior notes and convertible offerings, supplemental information (CoreWeave, Inc. / SEC EDGAR). Used for: Initial launch size ($1.25bn senior notes, $3.0bn convertible)</t>
  </si>
  <si>
    <t>S14 | SEC filing | 2026-03-02</t>
  </si>
  <si>
    <t>CoreWeave Form 10-K for FY2025 (CoreWeave, Inc. / SEC EDGAR). Used for: Microsoft 67% of 2025 revenue; OpenAI and Meta commitments; data center delay risk factor</t>
  </si>
  <si>
    <t>S15 | News | 2026-10-15</t>
  </si>
  <si>
    <t>Thecryptobasic: CoreWeave stock falls as bond yields top 15% despite CEO reassurance (The Crypto Basic (summarising Bloomberg/Reuters)). Used for: CEO memo, backlog-vs-debt claim, bond price/yield and CDS levels, Q2 capex and operating cash flow</t>
  </si>
  <si>
    <t>S16 | News | 2026-10-15</t>
  </si>
  <si>
    <t>Web search summaries of Bloomberg, CNBC, Reuters, Axios coverage of the 14-16 Oct 2026 selloff (articles not directly retrievable) (Bloomberg / CNBC / Reuters / Axios (via search results)). Used for: Selloff timeline, 2032 bond ~78c, yield above 16%, CDS above 1,000bp, stock -16%, trigger (hot inflation print)</t>
  </si>
  <si>
    <t>S17 | News | 2026-07-21</t>
  </si>
  <si>
    <t>Secondary summaries of CoreWeave ratings (S&amp;P B+ / positive; Fitch BB- RR4 on convertibles; Moody's Ba3) from search results (letsdatascience.com, ts2.tech, finanztrends.de (aggregators)). Used for: Unconfirmed rating pointers only</t>
  </si>
  <si>
    <t>S19 | SEC filing | 2026-03-02</t>
  </si>
  <si>
    <t>Core Scientific Form 10-K for FY2025 (CoreWeave merger context) (Core Scientific, Inc. / SEC EDGAR). Used for: Merger agreement 7 Jul 2025 and termination 30 Oct 2025</t>
  </si>
  <si>
    <t>S18 | News | 2026-10-16</t>
  </si>
  <si>
    <t>seed.json (Bloomberg description for CRWV 9.75% 10/01/2031 144A) (Bloomberg (secondary)). Used for: ISIN, amount outstanding, issue date check</t>
  </si>
  <si>
    <t>No 144A offering memorandum, pricing press release or Reg S documentation was retrieved; the issue price and yield of the initial $1.75bn tranche, ISIN/CUSIP split between tranches, governing law and denominations are not verified. Seed ISIN unverified.</t>
  </si>
  <si>
    <t>Ratings: no Moody's, S&amp;P or Fitch publication was accessible; S&amp;P B+/positive, Fitch BB- RR4 (convertibles) and Moody's Ba3 come only from aggregator summaries and may be stale; no post-selloff rating action found.</t>
  </si>
  <si>
    <t>The price/yield of the 9.75% 2031 notes during the October 2026 selloff was not found (news cites the 2032 notes); Bloomberg and CNBC articles were not directly retrievable (403) so selloff details are from summaries.</t>
  </si>
  <si>
    <t>Revolving credit facility size, maturity terms and covenants were not extracted (10-Q shows it undrawn at 30 Jun 2026, Nov 2029 maturity); LTM EBITDA per the indenture definition and thus headroom under the 6.00x test are not derivable.</t>
  </si>
  <si>
    <t>Customer identities for 10-Q 'Customer A/B/C' not disclosed (Microsoft is the named top customer for FY2025 only); OpenAI/Meta/Jane Street figures are order-form maximums from FY2025 10-K and a 10-Q mention.</t>
  </si>
  <si>
    <t>CoreWeave's own filings do not name Core Scientific or Galaxy as lessors; the Galaxy tie rests on the 393 MW match (inference). CoreWeave's NVIDIA $6.3bn residual-capacity obligation appears only in Galaxy's presentation.</t>
  </si>
  <si>
    <t>ATM usage to date and collared forward terms not disclosed; Q3 2026 results fall after 16 Oct 2026.</t>
  </si>
  <si>
    <t>Only the most recent filings (2026 8-Ks, Q2 10-Q, FY2025 10-K) were read; the Q1 10-Q, May 2026 operating metrics and CoreWeave's S-3/424B5 shelf documents were not reviewed.</t>
  </si>
  <si>
    <t>Dossier as of 2026-10-16 | ISIN US68389XDX03 | Parent section | Bloomberg: ORCL 4.95 02/04/31 Corp</t>
  </si>
  <si>
    <t>Oracle Corporation (Delaware), sole obligor; Oracle Systems Corporation is no longer an obligor under the indenture.</t>
  </si>
  <si>
    <t>4.950% Notes due 2031 (the '2031 Fixed Rate Notes'), unsecured senior obligations.</t>
  </si>
  <si>
    <t>US68389XDX03 / 68389XDX0 (seed ISIN confirmed in the pricing term sheet).</t>
  </si>
  <si>
    <t>$3,500,000,000 original; no sinking fund; reopenings permitted (additional notes would share the CUSIP). Seed $3,500mm outstanding confirmed at issue; no repurchase disclosed.</t>
  </si>
  <si>
    <t>Coupon and day count</t>
  </si>
  <si>
    <t>4.950% fixed, payable semi-annually on 4-Feb and 4-Aug from 4-Aug-2026; 30/360.</t>
  </si>
  <si>
    <t>Trade date 2-Feb-2026; settlement T+2, 4-Feb-2026; matures 4-Feb-2031.</t>
  </si>
  <si>
    <t>Price and yield at issue</t>
  </si>
  <si>
    <t>Priced at 99.834% of par; yield to maturity 4.988%; spread +115bp over the 3.700% UST due 31-Jan-2031 (yield 3.838%). Underwriting discount 0.200%; net proceeds before expenses $3,487.19mm.</t>
  </si>
  <si>
    <t>Equal with all other unsecured, unsubordinated Oracle debt; effectively subordinated to secured debt and structurally to subsidiary liabilities (about $65.4bn of subsidiary liabilities at 30-Nov-2025 out of $174.5bn consolidated liabilities; $108.1bn of senior unsecured borrowings pari passu).</t>
  </si>
  <si>
    <t>Par call date 4-Jan-2031 (one month before maturity). Before then redeemable at any time at the greater of par and make-whole at Treasury plus 20bp; at par on or after 4-Jan-2031.</t>
  </si>
  <si>
    <t>Change of control put</t>
  </si>
  <si>
    <t>None found in the prospectus supplement text (searched).</t>
  </si>
  <si>
    <t>Denominations, clearing, trustee, law</t>
  </si>
  <si>
    <t>$2,000 and $1,000 multiples; DTC (Euroclear/Clearstream indirect); trustee The Bank of New York Mellon Trust Company, N.A.; New York law.</t>
  </si>
  <si>
    <t>Indenture dated 13-Jan-2006 (Oracle Corporation, formerly Ozark Holding Inc., Oracle Systems Corporation and Citibank, N.A.), supplemented 9-May-2007; BNY Mellon successor trustee since 2007. Registered under shelf S-3 No. 333-277990 (prospectus 2-Feb-2026).</t>
  </si>
  <si>
    <t>Same-offering tranches</t>
  </si>
  <si>
    <t>Eight series, $25.0bn principal, $24.96bn gross at issue price: FRN 2029 (SOFR+1.11%) $500mm, 4.550% 2029 $3,000mm, 4.950% 2031 $3,500mm, 5.350% 2033 $3,000mm, 5.700% 2036 $5,000mm, 6.550% 2046 $2,250mm, 6.700% 2056 $5,000mm, 6.850% 2066 $2,750mm. ISINs: FRN US68389XDV47; 2029 US68389XDW20; 2033 US68389XDY85; 2036 US68389XDZ50; 2046 US68389XEA90; 2056 US68389XEB73; 2066 US68389XEC56.</t>
  </si>
  <si>
    <t>Tranche pricing and spreads</t>
  </si>
  <si>
    <t>Spread/YTM at issue: 2029 +95bp/4.596%; 2031 +115bp/4.988%; 2033 +130bp/5.354%; 2036 +145bp/5.729%; 2046 +170bp/6.558%; 2056 +180bp/6.714%; 2066 +195bp/6.864%. Make-whole spreads: 15bp (2029), 20bp (2031, 2033), 25bp (2036), 30bp (2046, 2056, 2066). Par calls: 2029 on 4-Jan-2029, 2033 on 4-Mar-2033, 2036 on 4-Nov-2035, 2046/2056/2066 on 4-Aug-2045/2055/2065.</t>
  </si>
  <si>
    <t>Oracle Corporation only; notes are not guaranteed by subsidiaries.</t>
  </si>
  <si>
    <t>Notes are structurally subordinate to liabilities of subsidiaries ($65.4bn at 30-Nov-2025).</t>
  </si>
  <si>
    <t>Capitalization effect</t>
  </si>
  <si>
    <t>Total debt $108.1bn at 30-Nov-2025 rose to $132.9bn as adjusted for the $25bn offering; total capitalization $162.9bn as adjusted (before use of proceeds).</t>
  </si>
  <si>
    <t>Concurrent financings</t>
  </si>
  <si>
    <t>Concurrently: $5.0bn 6.50% Series D mandatory convertible preferred (100mm depositary shares, $50 liquidation preference each, $5.0bn aggregate) and a $20bn at-the-market common equity program; the notes offering was not conditioned on either.</t>
  </si>
  <si>
    <t>Corporate profile</t>
  </si>
  <si>
    <t>Oracle Corporation, Austin, Texas; cloud infrastructure (OCI), applications, software, hardware, services. Q1 FY27 (Aug-2026) revenue $19.3bn, up from $14.9bn; cloud infrastructure revenue $7.4bn vs $3.3bn.</t>
  </si>
  <si>
    <t>Funding plan</t>
  </si>
  <si>
    <t>On 1-Feb-2026 Oracle said it expects to raise $45-50bn gross in calendar 2026, about half equity (mandatory convertible plus up to $20bn ATM) and half through a single investment-grade bond issuance, with no further bonds expected in calendar 2026, to build OCI capacity for customers including AMD, Meta, NVIDIA, OpenAI, TikTok and xAI.</t>
  </si>
  <si>
    <t>ATM completed</t>
  </si>
  <si>
    <t>Oracle fully used the $20bn ATM in Q1 FY27, issuing about 141 million shares for net proceeds of $19.9bn.</t>
  </si>
  <si>
    <t>Balance sheet at 31-Aug-2026</t>
  </si>
  <si>
    <t>Cash and equivalents $36.4bn plus marketable securities $0.7bn; notes payable and other borrowings $125.3bn (current $7.6bn, non-current $117.7bn; derived sum); equity $67.2bn; total assets $303.3bn.</t>
  </si>
  <si>
    <t>Cash flow Q1 FY27</t>
  </si>
  <si>
    <t>Operating cash flow $23.1bn (includes $11.4bn customer prepayments), capex $28.5bn, free cash flow -$5.4bn; interest expense $1.43bn for the quarter.</t>
  </si>
  <si>
    <t>Customer concentration and backlog</t>
  </si>
  <si>
    <t>Remaining performance obligations $664bn at 31-Aug-2026 ($638bn at 31-May-2026); S&amp;P says OpenAI is about half of RPO.</t>
  </si>
  <si>
    <t>Oracle as lessee: balance-sheet leases</t>
  </si>
  <si>
    <t>At 31-Aug-2026 operating lease liabilities $34.6bn and finance lease liabilities $9.2bn; undiscounted lease payments $48.1bn operating and $15.2bn finance.</t>
  </si>
  <si>
    <t>Off-balance-sheet data center leases</t>
  </si>
  <si>
    <t>$288bn of additional lease commitments at 31-Aug-2026, substantially all data centers, generally commencing between Q2 FY27 and FY29 for 15-19 year terms and not on the balance sheet ($260bn at 31-May-2026; $28bn added in Q1 FY27).</t>
  </si>
  <si>
    <t>Lessor-debt guarantee</t>
  </si>
  <si>
    <t>Among the $260bn is a lease for which Oracle guaranteed up to $3.3bn of the lessor's borrowing, maturing in September 2026; outcome of that maturity not disclosed in documents read.</t>
  </si>
  <si>
    <t>Unconditional purchase obligations</t>
  </si>
  <si>
    <t>$34.2bn at 31-Aug-2026 (chips/components and data center power), versus $13.3bn at 31-May-2026.</t>
  </si>
  <si>
    <t>Third-party lessor projects</t>
  </si>
  <si>
    <t>Oracle's filings do not name individual lessors; project bonds for Oracle-leased campuses (for example RD Michigan, where KBRA says Oracle guarantees the leases) rely on Oracle lease credit.</t>
  </si>
  <si>
    <t>Risk language</t>
  </si>
  <si>
    <t>Oracle warns its lease terms and renewal pricing typically do not align with customer contract duration and that it could be locked into excess space and financing if customers cannot pay.</t>
  </si>
  <si>
    <t>OCI capacity build</t>
  </si>
  <si>
    <t>Capex rose from $21.2bn in FY25 to $55.7bn in FY26 and $28.5bn in Q1 FY27 alone (vs $8.5bn a year earlier); management expects FY27 capex above FY26 as data center capacity expands in existing and new geographies. Unpaid capex $6.2bn at 31-Aug-2026.</t>
  </si>
  <si>
    <t>FY27 capex guidance</t>
  </si>
  <si>
    <t>S&amp;P cites Oracle FY27 capex guidance of $90-95bn (secondary; Oracle's 8-K not read).</t>
  </si>
  <si>
    <t>Property, plant and equipment</t>
  </si>
  <si>
    <t>Net PP&amp;E $127.8bn at 31-Aug-2026 vs $100.0bn at 31-May-2026.</t>
  </si>
  <si>
    <t>Power arrangements</t>
  </si>
  <si>
    <t>Unconditional obligations include data center power supply arrangements (included in the $34.2bn). No site-level power detail in these filings.</t>
  </si>
  <si>
    <t>Not applicable (corporate bond)</t>
  </si>
  <si>
    <t>Delivery risk sits in OCI capacity ramp: leases commence Q2 FY27 to FY29; 'delays or development and operational problems with construction of the data centers' are named risk factors in Oracle's funding press release.</t>
  </si>
  <si>
    <t>Debt stack</t>
  </si>
  <si>
    <t>Total senior notes and other borrowings $130.1bn at 31-May-2026 (principal) vs $92.9bn a year before; $125.3bn carrying value at 31-Aug-2026 after $4.2bn repayments in Q1.</t>
  </si>
  <si>
    <t>Cash raised in 2026</t>
  </si>
  <si>
    <t>$25bn notes (Feb-2026), $5bn mandatory convertible (Feb-2026) and $19.9bn net ATM proceeds (Q1 FY27), together near the $45-50bn plan.</t>
  </si>
  <si>
    <t>Maturity profile near the 2031 notes</t>
  </si>
  <si>
    <t>Debt maturing within 12 months $7.6bn at 31-Aug-2026.</t>
  </si>
  <si>
    <t>Equity cushion</t>
  </si>
  <si>
    <t>Common equity plus preferred increased with ATM proceeds; total stockholders' equity $67.2bn vs $43.1bn at 31-May-2026.</t>
  </si>
  <si>
    <t>None: unsecured, no subsidiary guarantees, no financial covenants. Credit support is Oracle's operating cash flow, liquidity and backlog.</t>
  </si>
  <si>
    <t>Limitation on liens (equal-and-ratable securing unless within exceptions, including Aggregate Debt not above the greater of 25% of Consolidated Net Worth at lien creation or at issuance of the series); limitation on sale-leaseback transactions; merger covenant (US successor assumes obligations). The covenants do not limit the amount of debt Oracle may incur.</t>
  </si>
  <si>
    <t>Non-payment of interest for 30 days, non-payment of principal, covenant breach continuing 90 days after notice, certain bankruptcy events; no cross-default described in the base-indenture summary read.</t>
  </si>
  <si>
    <t>At pricing (Feb-2026)</t>
  </si>
  <si>
    <t>Expected ratings in the pricing term sheet: Moody's Baa2 (negative) / S&amp;P BBB (negative) / Fitch BBB (stable).</t>
  </si>
  <si>
    <t>Baa2 affirmed with negative outlook on 2-Feb-2026 (headline report). A later Moody's action was not found; third-party summary says Moody's warned leverage could temporarily approach 5x EBITDA.</t>
  </si>
  <si>
    <t>Downgraded to BBB- from BBB on 9-Jul-2026, stable outlook (one notch above speculative grade); cited AI capex of $90-95bn in FY27, FOCF deficit near $42bn, leverage and customer concentration. Downgrade triggers: leverage sustained above 4.5x; no path to positive FOCF by FY29; negative view of Oracle's AI strategy. S&amp;P added $260bn of lease commitments to its analysis.</t>
  </si>
  <si>
    <t>BBB IDR, stable outlook, affirmed 2-Feb-2026 with BBB rating on the new unsecured notes; forecast EBITDA leverage above 3.5x in FY26 declining in FY27-28, pre-dividend FCF below -$26bn in FY26 and -$18bn in FY27. Later Fitch action not found.</t>
  </si>
  <si>
    <t>Rating of this note today</t>
  </si>
  <si>
    <t>S&amp;P BBB-, Moody's Baa2 negative (as of Feb-2026) and Fitch BBB are the last confirmed levels; no post-Jul-2026 Moody's/Fitch actions verified.</t>
  </si>
  <si>
    <t>General corporate purposes, which may include capital expenditures, repayment of indebtedness, future investments or acquisitions, and dividends or share repurchases. Gross proceeds $24.96bn at issue price; underwriting discount $75.0mm; other expenses about $22.6mm; net before expenses $24.89bn.</t>
  </si>
  <si>
    <t>Oracle's stated purpose</t>
  </si>
  <si>
    <t>The 1-Feb-2026 release says the raise funds OCI capacity to meet contracted demand from large customers.</t>
  </si>
  <si>
    <t>Free cash flow and leverage</t>
  </si>
  <si>
    <t>Q1 FY27 FCF of -$5.4bn; S&amp;P forecasts FY27 FOCF deficit near $42bn; rating headroom at S&amp;P is one notch above high yield.</t>
  </si>
  <si>
    <t>Off-balance-sheet leases</t>
  </si>
  <si>
    <t>$288bn of lease commitments not yet on balance sheet, commencing Q2 FY27 to FY29; will increase fixed charges and lease liabilities.</t>
  </si>
  <si>
    <t>RPO $664bn dominated by a few AI customers (S&amp;P: OpenAI about half).</t>
  </si>
  <si>
    <t>Notes rank behind subsidiary liabilities and any secured or project-level debt; Oracle-leased project bonds sit alongside this unsecured debt.</t>
  </si>
  <si>
    <t>Capital-markets reliance</t>
  </si>
  <si>
    <t>Oracle plans said no more bonds in calendar 2026, so further funding relies on equity, cash and project/lessor financing.</t>
  </si>
  <si>
    <t>Equity raise completed</t>
  </si>
  <si>
    <t>$20bn ATM fully used in Q1 FY27 (ended 31-Aug-2026), net $19.9bn.</t>
  </si>
  <si>
    <t>S&amp;P downgrade</t>
  </si>
  <si>
    <t>9-Jul-2026 to BBB- stable (secondary report).</t>
  </si>
  <si>
    <t>10-Q (11-Sep-2026)</t>
  </si>
  <si>
    <t>RPO $664bn; lease commitments $288bn; capex $28.5bn in the quarter; repaid $4.2bn of borrowings.</t>
  </si>
  <si>
    <t>Dividends</t>
  </si>
  <si>
    <t>8-K of 10-Sep-2026 declared $0.50 per common share and $1,625 per share on the mandatory convertible preferred.</t>
  </si>
  <si>
    <t>Chair's share-sale plan</t>
  </si>
  <si>
    <t>Larry Ellison cancelled his 10b5-1 plan on 12-Sep-2026 with no shares sold.</t>
  </si>
  <si>
    <t>Oracle announces $45-50bn 2026 funding plan: single IG bond issuance, mandatory convertible, $20bn ATM</t>
  </si>
  <si>
    <t>2026-02-02</t>
  </si>
  <si>
    <t>Notes priced ($25bn, eight series incl. $3.5bn 4.950% 2031 at 99.834, T+115); ATM agreement signed</t>
  </si>
  <si>
    <t>Moody's affirms Baa2 negative; Fitch affirms BBB stable and rates the notes BBB</t>
  </si>
  <si>
    <t>Notes settle; 8-K filed disclosing the equity distribution agreement</t>
  </si>
  <si>
    <t>Prospectus supplement for 6.50% Series D mandatory convertible preferred filed</t>
  </si>
  <si>
    <t>2026-06-22</t>
  </si>
  <si>
    <t>FY26 10-K: $260bn uncommenced lease commitments, RPO $638bn, FY26 capex $55.7bn</t>
  </si>
  <si>
    <t>2026-06-23</t>
  </si>
  <si>
    <t>ATM prospectus supplement amended to add sales agents</t>
  </si>
  <si>
    <t>S&amp;P cuts Oracle to BBB- from BBB, stable</t>
  </si>
  <si>
    <t>8-K: dividends declared on common and mandatory convertible preferred</t>
  </si>
  <si>
    <t>Q1 FY27 10-Q: $288bn lease commitments, ATM fully used, RPO $664bn</t>
  </si>
  <si>
    <t>2026-09-12</t>
  </si>
  <si>
    <t>Larry Ellison cancels 10b5-1 plan (8-K filed 14-Sep-2026)</t>
  </si>
  <si>
    <t>S1 | SEC filing | 2026-02-02</t>
  </si>
  <si>
    <t>Prospectus Supplement (Form 424B2) - $25,000,000,000 Oracle Corporation notes (8 series) (Oracle Corporation (SEC)). Used for: Terms of all eight series, ranking, redemption, use of proceeds, capitalization, covenants, trustee, underwriting</t>
  </si>
  <si>
    <t>S2 | SEC filing | 2026-02-02</t>
  </si>
  <si>
    <t>Issuer Free Writing Prospectus / Final Pricing Term Sheet (Rule 433) (Oracle Corporation (SEC)). Used for: Prices, yields, spreads, CUSIP/ISIN, expected ratings Baa2 neg / BBB neg / BBB stable</t>
  </si>
  <si>
    <t>S3 | Press release | 2026-02-01</t>
  </si>
  <si>
    <t>Oracle announces 2026 funding plan (Rule 163 FWP press release) (Oracle Corporation (SEC)). Used for: $45-50bn calendar-2026 raise, single bond issuance, equity half</t>
  </si>
  <si>
    <t>S4 | SEC filing | 2026-02-04</t>
  </si>
  <si>
    <t>Form 8-K Items 1.01/8.01: $20bn at-the-market equity distribution agreement (Oracle Corporation (SEC)). Used for: ATM program terms and sales agents</t>
  </si>
  <si>
    <t>S5 | SEC filing | 2026-02-04</t>
  </si>
  <si>
    <t>Prospectus Supplement (424B5) - 100,000,000 depositary shares, 6.50% Series D Mandatory Convertible Preferred (Oracle Corporation (SEC)). Used for: Concurrent equity-linked offering ($5.0bn at $50 per depositary share)</t>
  </si>
  <si>
    <t>S6 | SEC filing | 2026-06-22</t>
  </si>
  <si>
    <t>Oracle Form 10-K for fiscal year ended 31 May 2026 (Oracle Corporation (SEC)). Used for: FY26 capex, borrowings, RPO $638bn, $260bn lease commitments, $3.3bn lessor-debt guarantee</t>
  </si>
  <si>
    <t>S7 | SEC filing | 2026-09-11</t>
  </si>
  <si>
    <t>Oracle Form 10-Q for quarter ended 31 Aug 2026 (Q1 FY27) (Oracle Corporation (SEC)). Used for: Latest balance sheet, leases ($288bn uncommenced), capex, ATM completion, RPO $664bn</t>
  </si>
  <si>
    <t>S8 | SEC filing | 2026-09-14</t>
  </si>
  <si>
    <t>Form 8-K Item 8.01: Larry Ellison cancels 10b5-1 plan (Oracle Corporation (SEC)). Used for: Recent corporate event (no bond impact)</t>
  </si>
  <si>
    <t>S9 | News | 2026-02-02</t>
  </si>
  <si>
    <t>Oracle stock rises as Fitch affirms ratings (Investing.com report on Fitch action) (Yahoo Finance). Used for: Fitch BBB IDR stable, BBB for new notes, leverage and FCF forecasts (secondary; Fitch release not read)</t>
  </si>
  <si>
    <t>S10 | News | 2026-02-02</t>
  </si>
  <si>
    <t>Moody's affirms Oracle's Baa2 rating on equity announcement; outlook remains negative (headline only) (Newsquawk). Used for: Moody's Baa2 negative affirmation (headline only; Moody's release not read)</t>
  </si>
  <si>
    <t>S11 | News | 2026-07-09</t>
  </si>
  <si>
    <t>S&amp;P cuts Oracle to BBB- as AI buildout widens cash deficit to $42bn (secondary report of S&amp;P action) (PPC Land). Used for: S&amp;P downgrade to BBB- stable on 9 Jul 2026, triggers, FOCF forecast, leverage (S&amp;P release not read)</t>
  </si>
  <si>
    <t>S12 | SEC filing | 2026-06-23</t>
  </si>
  <si>
    <t>Form 424B5 (23 Jun 2026) amending the ATM sales-agent list (Oracle Corporation (SEC)). Used for: ATM amendment adding sales agents</t>
  </si>
  <si>
    <t>Rating agency releases themselves (Moody's, S&amp;P, Fitch) were not read; ratings after Feb-2026 come from term sheet expectations and secondary reports. No confirmed Moody's or Fitch action after Feb-2026 and no Moody's rationale or triggers.</t>
  </si>
  <si>
    <t>The executed indenture and supplemental documents were not opened; indenture terms are taken from the prospectus supplement and base prospectus description (cross-default and some definitions not verified).</t>
  </si>
  <si>
    <t>8-K of 5-Feb-2026 (Items 1.01/3.03/5.03) and the 10-Q footnote on borrowings and credit facilities were not reviewed in detail; revolver or term-loan capacity not captured.</t>
  </si>
  <si>
    <t>Oracle's FY27 capex guidance ($90-95bn) is from a secondary S&amp;P summary; the Jun-2026 earnings 8-K/press release was not read.</t>
  </si>
  <si>
    <t>Outcome of the $3.3bn lessor-debt guarantee maturing Sep-2026 is not disclosed in documents read.</t>
  </si>
  <si>
    <t>Oracle filings do not name individual landlords, so Oracle's lease obligations cannot be mapped to specific project bonds (RD Michigan, Yondr JK 1).</t>
  </si>
  <si>
    <t>Secondary trading levels and current spread for the 4.95% 2031 not sourced here (the seed set carries no yield for ORCL).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</si>
</sst>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Red]\-#,##0.0;0.0"/>
    <numFmt numFmtId="166" formatCode="\+0.0%;[Red]\-0.0%;0.0%"/>
    <numFmt numFmtId="167" formatCode="\+0;[Red]\-0;0"/>
    <numFmt numFmtId="168" formatCode="dd\-mmm\-yy"/>
    <numFmt numFmtId="169" formatCode="\+0;\-0;0"/>
    <numFmt numFmtId="170" formatCode="\+0.00;[Red]\-0.00;0.00"/>
    <numFmt numFmtId="171" formatCode="0.0%"/>
    <numFmt numFmtId="172" formatCode="0.0"/>
    <numFmt numFmtId="173" formatCode="0.0&quot;x&quot;"/>
    <numFmt numFmtId="174" formatCode="dd\-mmm\-yyyy"/>
  </numFmts>
  <fonts count="14" x14ac:knownFonts="1">
    <font>
      <sz val="11"/>
      <color theme="1"/>
      <name val="Calibri"/>
      <family val="2"/>
      <scheme val="minor"/>
    </font>
    <font>
      <b/>
      <sz val="14"/>
      <color rgb="FF0B2A4A"/>
      <name val="Calibri"/>
    </font>
    <font>
      <i/>
      <sz val="9"/>
      <color rgb="FF666666"/>
      <name val="Calibri"/>
    </font>
    <font>
      <b/>
      <sz val="9"/>
      <color rgb="FF0070A9"/>
      <name val="Calibri"/>
    </font>
    <font>
      <b/>
      <sz val="9"/>
      <name val="Calibri"/>
    </font>
    <font>
      <sz val="9"/>
      <name val="Calibri"/>
    </font>
    <font>
      <u/>
      <sz val="10"/>
      <color rgb="FF0563C1"/>
      <name val="Calibri"/>
    </font>
    <font>
      <b/>
      <sz val="9"/>
      <color rgb="FF2E7D32"/>
      <name val="Calibri"/>
    </font>
    <font>
      <sz val="9"/>
      <color rgb="FF1F4E79"/>
      <name val="Calibri"/>
    </font>
    <font>
      <sz val="9"/>
      <color rgb="FFC00000"/>
      <name val="Calibri"/>
    </font>
    <font>
      <sz val="9"/>
      <color rgb="FFC55A11"/>
      <name val="Calibri"/>
    </font>
    <font>
      <sz val="9"/>
      <color rgb="FF7F6000"/>
      <name val="Calibri"/>
    </font>
    <font>
      <u/>
      <sz val="9"/>
      <color rgb="FF0563C1"/>
      <name val="Calibri"/>
    </font>
    <font>
      <sz val="9"/>
      <color rgb="FF6A1B9A"/>
      <name val="Calibri"/>
    </font>
  </fonts>
  <fills count="5">
    <fill>
      <patternFill patternType="none"/>
    </fill>
    <fill>
      <patternFill patternType="gray125"/>
    </fill>
    <fill>
      <patternFill patternType="solid">
        <fgColor rgb="FFE7E6E6"/>
      </patternFill>
    </fill>
    <fill>
      <patternFill patternType="solid">
        <fgColor rgb="FFEAF3FB"/>
      </patternFill>
    </fill>
    <fill>
      <patternFill patternType="solid">
        <fgColor rgb="FFF2F2F2"/>
      </patternFill>
    </fill>
  </fills>
  <borders count="3">
    <border>
      <left/>
      <right/>
      <top/>
      <bottom/>
      <diagonal/>
    </border>
    <border>
      <left/>
      <right/>
      <top/>
      <bottom style="medium">
        <color rgb="FF0070A9"/>
      </bottom>
      <diagonal/>
    </border>
    <border>
      <left/>
      <right/>
      <top/>
      <bottom style="thin">
        <color rgb="FFBFBFBF"/>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1" xfId="0" applyFont="1" applyBorder="1" applyAlignment="1">
      <alignment horizontal="center" vertical="center" wrapText="1"/>
    </xf>
    <xf numFmtId="0" fontId="4" fillId="2" borderId="0" xfId="0" applyFont="1" applyFill="1"/>
    <xf numFmtId="0" fontId="0" fillId="2" borderId="0" xfId="0" applyFill="1"/>
    <xf numFmtId="0" fontId="5" fillId="0" borderId="2" xfId="0" applyFont="1" applyBorder="1" applyAlignment="1">
      <alignment horizontal="left" vertical="center" wrapText="1"/>
    </xf>
    <xf numFmtId="0" fontId="12" fillId="0" borderId="2" xfId="0" applyFont="1" applyBorder="1" applyAlignment="1">
      <alignment horizontal="left" vertical="center" wrapText="1"/>
    </xf>
    <xf numFmtId="0" fontId="5" fillId="0" borderId="2" xfId="0" applyFont="1" applyBorder="1" applyAlignment="1">
      <alignment horizontal="center" vertical="center" wrapText="1"/>
    </xf>
    <xf numFmtId="3" fontId="5" fillId="0" borderId="2" xfId="0" applyNumberFormat="1" applyFont="1" applyBorder="1" applyAlignment="1">
      <alignment horizontal="center" vertical="center" wrapText="1"/>
    </xf>
    <xf numFmtId="164" fontId="5" fillId="3" borderId="2" xfId="0" applyNumberFormat="1" applyFont="1" applyFill="1" applyBorder="1" applyAlignment="1">
      <alignment horizontal="center" vertical="center" wrapText="1"/>
    </xf>
    <xf numFmtId="2" fontId="5"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165" fontId="5" fillId="3" borderId="2" xfId="0" applyNumberFormat="1" applyFont="1" applyFill="1" applyBorder="1" applyAlignment="1">
      <alignment horizontal="center" vertical="center" wrapText="1"/>
    </xf>
    <xf numFmtId="166" fontId="5" fillId="3" borderId="2" xfId="0" applyNumberFormat="1" applyFont="1" applyFill="1" applyBorder="1" applyAlignment="1">
      <alignment horizontal="center" vertical="center" wrapText="1"/>
    </xf>
    <xf numFmtId="167" fontId="5" fillId="3" borderId="2" xfId="0" applyNumberFormat="1" applyFont="1" applyFill="1" applyBorder="1" applyAlignment="1">
      <alignment horizontal="center" vertical="center" wrapText="1"/>
    </xf>
    <xf numFmtId="168" fontId="5" fillId="0" borderId="2" xfId="0" applyNumberFormat="1" applyFont="1" applyBorder="1" applyAlignment="1">
      <alignment horizontal="center" vertical="center" wrapText="1"/>
    </xf>
    <xf numFmtId="1" fontId="5" fillId="3" borderId="2" xfId="0" applyNumberFormat="1" applyFont="1" applyFill="1" applyBorder="1" applyAlignment="1">
      <alignment horizontal="center" vertical="center" wrapText="1"/>
    </xf>
    <xf numFmtId="169" fontId="5" fillId="3" borderId="2" xfId="0" applyNumberFormat="1" applyFont="1" applyFill="1" applyBorder="1" applyAlignment="1">
      <alignment horizontal="center" vertical="center" wrapText="1"/>
    </xf>
    <xf numFmtId="169" fontId="5" fillId="0" borderId="2" xfId="0" applyNumberFormat="1" applyFont="1" applyBorder="1" applyAlignment="1">
      <alignment horizontal="center" vertical="center" wrapText="1"/>
    </xf>
    <xf numFmtId="0" fontId="5" fillId="0" borderId="2" xfId="0" applyFont="1" applyBorder="1" applyAlignment="1">
      <alignment horizontal="left" vertical="center"/>
    </xf>
    <xf numFmtId="0" fontId="4" fillId="4" borderId="0" xfId="0" applyFont="1" applyFill="1"/>
    <xf numFmtId="0" fontId="4" fillId="4" borderId="0" xfId="0" applyFont="1" applyFill="1" applyAlignment="1">
      <alignment horizontal="center"/>
    </xf>
    <xf numFmtId="3" fontId="4" fillId="4" borderId="0" xfId="0" applyNumberFormat="1" applyFont="1" applyFill="1" applyAlignment="1">
      <alignment horizontal="center"/>
    </xf>
    <xf numFmtId="2" fontId="4" fillId="4" borderId="0" xfId="0" applyNumberFormat="1" applyFont="1" applyFill="1" applyAlignment="1">
      <alignment horizontal="center"/>
    </xf>
    <xf numFmtId="165" fontId="4" fillId="4" borderId="0" xfId="0" applyNumberFormat="1" applyFont="1" applyFill="1" applyAlignment="1">
      <alignment horizontal="center"/>
    </xf>
    <xf numFmtId="166" fontId="4" fillId="4" borderId="0" xfId="0" applyNumberFormat="1" applyFont="1" applyFill="1" applyAlignment="1">
      <alignment horizontal="center"/>
    </xf>
    <xf numFmtId="0" fontId="3" fillId="0" borderId="1" xfId="0" applyFont="1" applyBorder="1" applyAlignment="1">
      <alignment horizontal="center" wrapText="1"/>
    </xf>
    <xf numFmtId="0" fontId="12" fillId="0" borderId="2" xfId="0" applyFont="1" applyBorder="1" applyAlignment="1">
      <alignment horizontal="center" vertical="top"/>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2" fontId="5" fillId="0" borderId="2" xfId="0" applyNumberFormat="1" applyFont="1" applyBorder="1" applyAlignment="1">
      <alignment horizontal="center" vertical="center" wrapText="1"/>
    </xf>
    <xf numFmtId="170" fontId="5" fillId="3" borderId="2" xfId="0" applyNumberFormat="1" applyFont="1" applyFill="1" applyBorder="1" applyAlignment="1">
      <alignment horizontal="center" vertical="center" wrapText="1"/>
    </xf>
    <xf numFmtId="171" fontId="5" fillId="0" borderId="2" xfId="0" applyNumberFormat="1" applyFont="1" applyBorder="1" applyAlignment="1">
      <alignment horizontal="center" vertical="center" wrapText="1"/>
    </xf>
    <xf numFmtId="172" fontId="5" fillId="0" borderId="2" xfId="0" applyNumberFormat="1" applyFont="1" applyBorder="1" applyAlignment="1">
      <alignment horizontal="center" vertical="center" wrapText="1"/>
    </xf>
    <xf numFmtId="9" fontId="5" fillId="0" borderId="2" xfId="0" applyNumberFormat="1" applyFont="1" applyBorder="1" applyAlignment="1">
      <alignment horizontal="center" vertical="center" wrapText="1"/>
    </xf>
    <xf numFmtId="173" fontId="5" fillId="0" borderId="2" xfId="0" applyNumberFormat="1"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left"/>
    </xf>
    <xf numFmtId="1" fontId="5" fillId="0" borderId="2" xfId="0" applyNumberFormat="1" applyFont="1" applyBorder="1" applyAlignment="1">
      <alignment horizontal="center" vertical="center" wrapText="1"/>
    </xf>
    <xf numFmtId="3" fontId="5" fillId="3" borderId="2" xfId="0" applyNumberFormat="1" applyFont="1" applyFill="1" applyBorder="1" applyAlignment="1">
      <alignment horizontal="center" vertical="center" wrapText="1"/>
    </xf>
    <xf numFmtId="0" fontId="6" fillId="0" borderId="0" xfId="0" applyFont="1"/>
    <xf numFmtId="0" fontId="4" fillId="0" borderId="0" xfId="0" applyFont="1"/>
    <xf numFmtId="164" fontId="5" fillId="3" borderId="0" xfId="0" applyNumberFormat="1" applyFont="1" applyFill="1" applyAlignment="1">
      <alignment horizontal="left"/>
    </xf>
    <xf numFmtId="2" fontId="5" fillId="3" borderId="0" xfId="0" applyNumberFormat="1" applyFont="1" applyFill="1" applyAlignment="1">
      <alignment horizontal="left"/>
    </xf>
    <xf numFmtId="3" fontId="5" fillId="3" borderId="0" xfId="0" applyNumberFormat="1" applyFont="1" applyFill="1" applyAlignment="1">
      <alignment horizontal="left"/>
    </xf>
    <xf numFmtId="165" fontId="5" fillId="3" borderId="0" xfId="0" applyNumberFormat="1" applyFont="1" applyFill="1" applyAlignment="1">
      <alignment horizontal="left"/>
    </xf>
    <xf numFmtId="166" fontId="5" fillId="3" borderId="0" xfId="0" applyNumberFormat="1" applyFont="1" applyFill="1" applyAlignment="1">
      <alignment horizontal="left"/>
    </xf>
    <xf numFmtId="174" fontId="5" fillId="3" borderId="0" xfId="0" applyNumberFormat="1" applyFont="1" applyFill="1" applyAlignment="1">
      <alignment horizontal="left"/>
    </xf>
    <xf numFmtId="169" fontId="5" fillId="3" borderId="0" xfId="0" applyNumberFormat="1" applyFont="1" applyFill="1" applyAlignment="1">
      <alignment horizontal="left"/>
    </xf>
    <xf numFmtId="0" fontId="5" fillId="3" borderId="0" xfId="0" applyFont="1" applyFill="1" applyAlignment="1">
      <alignment horizontal="left"/>
    </xf>
    <xf numFmtId="0" fontId="4" fillId="0" borderId="0" xfId="0" applyFont="1" applyAlignment="1">
      <alignment vertical="top"/>
    </xf>
    <xf numFmtId="0" fontId="5" fillId="0" borderId="0" xfId="0" applyFont="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5" fillId="0" borderId="2" xfId="0" applyFont="1" applyBorder="1" applyAlignment="1">
      <alignment horizontal="center" vertical="top"/>
    </xf>
    <xf numFmtId="0" fontId="7" fillId="0" borderId="2" xfId="0" applyFont="1" applyBorder="1" applyAlignment="1">
      <alignment vertical="top" wrapText="1"/>
    </xf>
    <xf numFmtId="0" fontId="8" fillId="0" borderId="2" xfId="0" applyFont="1" applyBorder="1" applyAlignment="1">
      <alignment vertical="top" wrapText="1"/>
    </xf>
    <xf numFmtId="0" fontId="9" fillId="0" borderId="2" xfId="0" applyFont="1" applyBorder="1" applyAlignment="1">
      <alignment vertical="top" wrapText="1"/>
    </xf>
    <xf numFmtId="0" fontId="10" fillId="0" borderId="2" xfId="0" applyFont="1" applyBorder="1" applyAlignment="1">
      <alignment vertical="top" wrapText="1"/>
    </xf>
    <xf numFmtId="0" fontId="11" fillId="0" borderId="2" xfId="0" applyFont="1" applyBorder="1" applyAlignment="1">
      <alignment vertical="top" wrapText="1"/>
    </xf>
    <xf numFmtId="0" fontId="4" fillId="0" borderId="2" xfId="0" applyFont="1" applyBorder="1" applyAlignment="1">
      <alignment vertical="top"/>
    </xf>
    <xf numFmtId="0" fontId="0" fillId="0" borderId="2" xfId="0" applyBorder="1"/>
    <xf numFmtId="0" fontId="13" fillId="0" borderId="2" xfId="0" applyFont="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10">
    <dxf>
      <fill>
        <patternFill patternType="solid">
          <bgColor rgb="FFFFE699"/>
        </patternFill>
      </fill>
    </dxf>
    <dxf>
      <fill>
        <patternFill patternType="solid">
          <bgColor rgb="FFF8CBAD"/>
        </patternFill>
      </fill>
    </dxf>
    <dxf>
      <font>
        <color rgb="FFC00000"/>
      </font>
    </dxf>
    <dxf>
      <fill>
        <patternFill patternType="solid">
          <bgColor rgb="FFFFE699"/>
        </patternFill>
      </fill>
    </dxf>
    <dxf>
      <fill>
        <patternFill patternType="solid">
          <bgColor rgb="FFF8CBAD"/>
        </patternFill>
      </fill>
    </dxf>
    <dxf>
      <fill>
        <patternFill patternType="solid">
          <bgColor rgb="FFF8CBAD"/>
        </patternFill>
      </fill>
    </dxf>
    <dxf>
      <fill>
        <patternFill patternType="solid">
          <bgColor rgb="FFF8CBAD"/>
        </patternFill>
      </fill>
    </dxf>
    <dxf>
      <font>
        <color rgb="FF2E7D32"/>
      </font>
    </dxf>
    <dxf>
      <font>
        <color rgb="FFC00000"/>
      </font>
    </dxf>
    <dxf>
      <fill>
        <patternFill patternType="solid">
          <b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v>84.352999999999994</v>
        <stp/>
        <stp>BDP|13439401194402814401|22</stp>
        <stp>NBIS 4.5 02/15/2034 144A Corp</stp>
        <stp>LAST_PRICE</stp>
        <tr r="D38" s="6"/>
      </tp>
      <tp>
        <v>8796959</v>
        <stp/>
        <stp>BDP|5808952568068783770|22</stp>
        <stp>GLXY US Equity</stp>
        <stp>VOLUME</stp>
        <tr r="F12" s="8"/>
      </tp>
    </main>
    <main first="bofaddin.rtdserver">
      <tp>
        <v>87.465999999999994</v>
        <stp/>
        <stp>BDP|8175053593761135587|22</stp>
        <stp>NVDA 5.625 06/15/56 Corp</stp>
        <stp>LAST_PRICE</stp>
        <tr r="D12" s="6"/>
      </tp>
      <tp t="s">
        <v>#N/A Real Time</v>
        <stp/>
        <stp>BDP|11350750098789494167|22</stp>
        <stp>BL097034 Corp</stp>
        <stp>LAST_PRICE</stp>
        <tr r="D26" s="6"/>
      </tp>
    </main>
    <main first="bofaddin.rtdserver">
      <tp>
        <v>99.932000000000002</v>
        <stp/>
        <stp>BDP|2786424303919569662|22</stp>
        <stp>USU47015AH24 Corp</stp>
        <stp>LAST_PRICE</stp>
        <tr r="D52" s="6"/>
      </tp>
      <tp>
        <v>98.563000000000002</v>
        <stp/>
        <stp>BDP|13366436082063542484|22</stp>
        <stp>BL577043 Corp</stp>
        <stp>LAST_PRICE</stp>
        <tr r="D35" s="6"/>
      </tp>
      <tp>
        <v>90.962000000000003</v>
        <stp/>
        <stp>BDP|9823095376816279845|22</stp>
        <stp>AVGO 4.8 10/15/2034 Corp</stp>
        <stp>LAST_PRICE</stp>
        <tr r="D15" s="6"/>
      </tp>
      <tp>
        <v>95.614000000000004</v>
        <stp/>
        <stp>BDP|4009562630785590108|22</stp>
        <stp>US023135DD51 Corp</stp>
        <stp>LAST_PRICE</stp>
        <tr r="D51" s="6"/>
      </tp>
      <tp>
        <v>95.153000000000006</v>
        <stp/>
        <stp>BDP|8956388710499373174|22</stp>
        <stp>PFORGE 6.75 03/15/31 144A Corp</stp>
        <stp>LAST_PRICE</stp>
        <tr r="H16" s="1"/>
      </tp>
    </main>
    <main first="bofaddin.rtdserver">
      <tp>
        <v>92.537999999999997</v>
        <stp/>
        <stp>BDP|4638666772214581868|22</stp>
        <stp>AVGO 5.2 07/15/2035 Corp</stp>
        <stp>LAST_PRICE</stp>
        <tr r="D16" s="6"/>
      </tp>
      <tp>
        <v>70.858999999999995</v>
        <stp/>
        <stp>BDP|4549198882653773454|22</stp>
        <stp>CRWV 1.75 10/01/2032 144A Corp</stp>
        <stp>LAST_PRICE</stp>
        <tr r="D29" s="6"/>
      </tp>
      <tp>
        <v>91.99</v>
        <stp/>
        <stp>BDP|2629387799511594088|22</stp>
        <stp>US68389XDX03 Corp</stp>
        <stp>LAST_PRICE</stp>
        <tr r="D49" s="6"/>
      </tp>
      <tp t="s">
        <v>#N/A Requesting Data...3079158213</v>
        <stp/>
        <stp>BDP|15889781558894085934</stp>
        <tr r="H37" s="6"/>
      </tp>
      <tp t="s">
        <v>#N/A Requesting Data...3823671610</v>
        <stp/>
        <stp>BDP|14273823076770929141</stp>
        <tr r="K14" s="6"/>
      </tp>
      <tp t="s">
        <v>#N/A Requesting Data...2153831208</v>
        <stp/>
        <stp>BDP|15816709595468600916</stp>
        <tr r="E15" s="8"/>
      </tp>
      <tp t="s">
        <v>#N/A Requesting Data...2934286460</v>
        <stp/>
        <stp>BDP|12923445961292029831</stp>
        <tr r="F44" s="6"/>
      </tp>
      <tp t="s">
        <v>#N/A Requesting Data...3323164488</v>
        <stp/>
        <stp>BDP|11457118244459445747</stp>
        <tr r="F19" s="6"/>
      </tp>
      <tp t="s">
        <v>#N/A Requesting Data...2679650430</v>
        <stp/>
        <stp>BDP|11829907874924847112</stp>
        <tr r="T22" s="1"/>
      </tp>
      <tp t="s">
        <v>#N/A Requesting Data...3749640249</v>
        <stp/>
        <stp>BDP|16571354404367829889</stp>
        <tr r="F37" s="6"/>
      </tp>
      <tp t="s">
        <v>#N/A Requesting Data...1582210619</v>
        <stp/>
        <stp>BDP|11729961620945582507</stp>
        <tr r="V15" s="1"/>
        <tr r="V17" s="1"/>
        <tr r="V21" s="1"/>
        <tr r="V22" s="1"/>
        <tr r="V28" s="1"/>
        <tr r="V29" s="1"/>
      </tp>
      <tp t="s">
        <v>#N/A Requesting Data...3856797529</v>
        <stp/>
        <stp>BDP|15526250759559692062</stp>
        <tr r="K19" s="6"/>
      </tp>
      <tp t="s">
        <v>#N/A Requesting Data...1481505167</v>
        <stp/>
        <stp>BDP|16483071639528897691</stp>
        <tr r="J25" s="1"/>
      </tp>
      <tp t="s">
        <v>#N/A Requesting Data...2028428879</v>
        <stp/>
        <stp>BDP|17183951604185808027</stp>
        <tr r="G18" s="8"/>
      </tp>
      <tp t="s">
        <v>#N/A Requesting Data...2732228247</v>
        <stp/>
        <stp>BDP|14623917859713716036</stp>
        <tr r="H34" s="6"/>
      </tp>
      <tp t="s">
        <v>#N/A Requesting Data...2906934909</v>
        <stp/>
        <stp>BDP|16798483481263131230</stp>
        <tr r="E7" s="8"/>
      </tp>
      <tp t="s">
        <v>#N/A Requesting Data...1775555048</v>
        <stp/>
        <stp>BDP|12725304590204263798</stp>
        <tr r="E42" s="6"/>
      </tp>
      <tp t="s">
        <v>#N/A Requesting Data...2449179801</v>
        <stp/>
        <stp>BDP|16427102709579961551</stp>
        <tr r="K44" s="6"/>
      </tp>
      <tp t="s">
        <v>#N/A Requesting Data...2322060060</v>
        <stp/>
        <stp>BDP|11017791888421280465</stp>
        <tr r="G23" s="8"/>
      </tp>
      <tp t="s">
        <v>#N/A Requesting Data...3738451881</v>
        <stp/>
        <stp>BDP|16196865366684338757</stp>
        <tr r="V23" s="1"/>
        <tr r="V24" s="1"/>
      </tp>
      <tp t="s">
        <v>#N/A Requesting Data...2305303117</v>
        <stp/>
        <stp>BDP|11222586428595779826</stp>
        <tr r="G48" s="6"/>
      </tp>
      <tp t="s">
        <v>#N/A Requesting Data...2036073292</v>
        <stp/>
        <stp>BDP|12647824824466191573</stp>
        <tr r="I25" s="1"/>
      </tp>
      <tp>
        <v>43833700</v>
        <stp/>
        <stp>BDP|16477737186695611345|22</stp>
        <stp>9984 JT Equity</stp>
        <stp>VOLUME</stp>
        <tr r="F23" s="8"/>
      </tp>
      <tp t="s">
        <v>#N/A Requesting Data...4166885885</v>
        <stp/>
        <stp>BDP|12568346810181864919</stp>
        <tr r="G10" s="6"/>
      </tp>
      <tp t="s">
        <v>#N/A Requesting Data...1558943444</v>
        <stp/>
        <stp>BDP|18362485255347205644</stp>
        <tr r="T10" s="1"/>
      </tp>
      <tp t="s">
        <v>#N/A Requesting Data...2419524169</v>
        <stp/>
        <stp>BDP|17956545797431726272</stp>
        <tr r="G61" s="6"/>
      </tp>
      <tp t="s">
        <v>#N/A Requesting Data...2473593459</v>
        <stp/>
        <stp>BDP|18231084422763723128</stp>
        <tr r="H6" s="6"/>
      </tp>
      <tp t="s">
        <v>#N/A Requesting Data...3423795543</v>
        <stp/>
        <stp>BDP|17955909377213169225</stp>
        <tr r="E54" s="6"/>
      </tp>
      <tp t="s">
        <v>#N/A Requesting Data...4150854035</v>
        <stp/>
        <stp>BDP|18156404129425603337</stp>
        <tr r="L32" s="1"/>
      </tp>
      <tp t="s">
        <v>#N/A Requesting Data...4219885912</v>
        <stp/>
        <stp>BDP|18086183405108597952</stp>
        <tr r="G11" s="8"/>
      </tp>
      <tp>
        <v>24811813</v>
        <stp/>
        <stp>BDP|2655290446042346635|22</stp>
        <stp>MSFT US Equity</stp>
        <stp>VOLUME</stp>
        <tr r="F21" s="8"/>
      </tp>
      <tp t="s">
        <v>#N/A Requesting Data...3884422360</v>
        <stp/>
        <stp>BDP|11599670657723278986</stp>
        <tr r="H51" s="6"/>
      </tp>
      <tp t="s">
        <v>#N/A Requesting Data...1605958477</v>
        <stp/>
        <stp>BDP|10949075127059110362</stp>
        <tr r="E49" s="6"/>
      </tp>
      <tp t="s">
        <v>#N/A Requesting Data...3586954199</v>
        <stp/>
        <stp>BDP|14535670654927548824</stp>
        <tr r="G21" s="6"/>
      </tp>
      <tp t="s">
        <v>#N/A Requesting Data...1587539355</v>
        <stp/>
        <stp>BDP|10914232289672017022</stp>
        <tr r="K8" s="6"/>
      </tp>
      <tp t="s">
        <v>#N/A Requesting Data...1383021067</v>
        <stp/>
        <stp>BDP|11985458997906370285</stp>
        <tr r="E8" s="8"/>
      </tp>
      <tp t="s">
        <v>#N/A Requesting Data...2412610328</v>
        <stp/>
        <stp>BDP|17811937492326097992</stp>
        <tr r="I23" s="1"/>
      </tp>
      <tp t="s">
        <v>#N/A Requesting Data...3501201644</v>
        <stp/>
        <stp>BDP|16389443682687327522</stp>
        <tr r="K46" s="6"/>
      </tp>
      <tp t="s">
        <v>#N/A Requesting Data...2657259337</v>
        <stp/>
        <stp>BDP|14421915625376627113</stp>
        <tr r="I30" s="1"/>
      </tp>
      <tp>
        <v>34783641</v>
        <stp/>
        <stp>BDP|1623489201613456288|22</stp>
        <stp>APLD US Equity</stp>
        <stp>VOLUME</stp>
        <tr r="F8" s="8"/>
      </tp>
      <tp t="s">
        <v>#N/A Requesting Data...2037263990</v>
        <stp/>
        <stp>BDP|17860168642253293833</stp>
        <tr r="K28" s="1"/>
      </tp>
      <tp t="s">
        <v>#N/A Requesting Data...1522033650</v>
        <stp/>
        <stp>BDP|18313446802470646520</stp>
        <tr r="L16" s="1"/>
      </tp>
      <tp t="s">
        <v>#N/A Requesting Data...4184598870</v>
        <stp/>
        <stp>BDP|18169958584663052318</stp>
        <tr r="G32" s="6"/>
      </tp>
      <tp t="s">
        <v>#N/A Requesting Data...3417380916</v>
        <stp/>
        <stp>BDP|16204889705522571594</stp>
        <tr r="I28" s="1"/>
      </tp>
      <tp t="s">
        <v>#N/A Requesting Data...1776559392</v>
        <stp/>
        <stp>BDP|15252005886120628404</stp>
        <tr r="F49" s="6"/>
      </tp>
      <tp t="s">
        <v>#N/A Requesting Data...3543839334</v>
        <stp/>
        <stp>BDP|14855173943898006092</stp>
        <tr r="K26" s="1"/>
      </tp>
      <tp t="s">
        <v>#N/A Requesting Data...3835956279</v>
        <stp/>
        <stp>BDP|10453750767311344901</stp>
        <tr r="K42" s="6"/>
      </tp>
      <tp t="s">
        <v>#N/A Requesting Data...3827484210</v>
        <stp/>
        <stp>BDP|14985067524538904766</stp>
        <tr r="H29" s="6"/>
      </tp>
      <tp t="s">
        <v>#N/A Requesting Data...2648233232</v>
        <stp/>
        <stp>BDP|11386843194609565018</stp>
        <tr r="I29" s="1"/>
      </tp>
      <tp>
        <v>120806855</v>
        <stp/>
        <stp>BDP|7187174289438164242|22</stp>
        <stp>NVDA US Equity</stp>
        <stp>VOLUME</stp>
        <tr r="F16" s="8"/>
      </tp>
      <tp t="s">
        <v>#N/A Requesting Data...4048714940</v>
        <stp/>
        <stp>BDP|17187312408723882993</stp>
        <tr r="H48" s="6"/>
      </tp>
      <tp t="s">
        <v>#N/A Requesting Data...2683460395</v>
        <stp/>
        <stp>BDP|14022664448638727006</stp>
        <tr r="K12" s="6"/>
      </tp>
      <tp t="s">
        <v>#N/A Requesting Data...1825414092</v>
        <stp/>
        <stp>BDP|17994831134280314262</stp>
        <tr r="E39" s="6"/>
      </tp>
      <tp t="s">
        <v>#N/A Requesting Data...1781559400</v>
        <stp/>
        <stp>BDP|16983906594870376833</stp>
        <tr r="G44" s="6"/>
      </tp>
      <tp t="s">
        <v>#N/A Requesting Data...3133439205</v>
        <stp/>
        <stp>BDP|11882841924847407298</stp>
        <tr r="L30" s="1"/>
      </tp>
      <tp t="s">
        <v>#N/A Requesting Data...3685497544</v>
        <stp/>
        <stp>BDP|11605471194230364224</stp>
        <tr r="I10" s="1"/>
      </tp>
      <tp t="s">
        <v>#N/A Requesting Data...3918536071</v>
        <stp/>
        <stp>BDP|16333644799575822220</stp>
        <tr r="T32" s="1"/>
      </tp>
      <tp t="s">
        <v>#N/A Requesting Data...4216947108</v>
        <stp/>
        <stp>BDP|15081825950080796613</stp>
        <tr r="K37" s="6"/>
      </tp>
      <tp t="s">
        <v>#N/A Requesting Data...4126241837</v>
        <stp/>
        <stp>BDP|15639416432125719949</stp>
        <tr r="C5" s="7"/>
      </tp>
      <tp t="s">
        <v>#N/A Requesting Data...3893835551</v>
        <stp/>
        <stp>BDP|13742148675098877235</stp>
        <tr r="I19" s="1"/>
      </tp>
      <tp t="s">
        <v>#N/A Requesting Data...3259172500</v>
        <stp/>
        <stp>BDP|14205985871806433339</stp>
        <tr r="E23" s="8"/>
      </tp>
      <tp t="s">
        <v>#N/A Requesting Data...4065578460</v>
        <stp/>
        <stp>BDP|10021354449960102823</stp>
        <tr r="K60" s="6"/>
      </tp>
      <tp t="s">
        <v>#N/A Requesting Data...1661317978</v>
        <stp/>
        <stp>BDP|15314770195010803461</stp>
        <tr r="I14" s="8"/>
      </tp>
      <tp t="s">
        <v>#N/A Requesting Data...2429599245</v>
        <stp/>
        <stp>BDP|15185961407243618087</stp>
        <tr r="C10" s="7"/>
      </tp>
      <tp t="s">
        <v>#N/A Requesting Data...2797334504</v>
        <stp/>
        <stp>BDP|17681483331398453758</stp>
        <tr r="E38" s="6"/>
      </tp>
      <tp t="s">
        <v>#N/A Requesting Data...3384532280</v>
        <stp/>
        <stp>BDP|12619802401470356558</stp>
        <tr r="G16" s="8"/>
      </tp>
      <tp t="s">
        <v>#N/A Requesting Data...2211846902</v>
        <stp/>
        <stp>BDP|13923413899229388875</stp>
        <tr r="F39" s="6"/>
      </tp>
      <tp t="s">
        <v>#N/A Requesting Data...3257402384</v>
        <stp/>
        <stp>BDP|10481170300016228865</stp>
        <tr r="C8" s="7"/>
      </tp>
      <tp t="s">
        <v>#N/A Requesting Data...1647102157</v>
        <stp/>
        <stp>BDP|14438410746098208360</stp>
        <tr r="K20" s="1"/>
      </tp>
      <tp>
        <v>35960721</v>
        <stp/>
        <stp>BDP|7097460608399528909|22</stp>
        <stp>ORCL US Equity</stp>
        <stp>VOLUME</stp>
        <tr r="F14" s="8"/>
      </tp>
      <tp t="s">
        <v>#N/A Requesting Data...2028015457</v>
        <stp/>
        <stp>BDP|10419986101894182159</stp>
        <tr r="G41" s="6"/>
      </tp>
      <tp t="s">
        <v>#N/A Requesting Data...4255067947</v>
        <stp/>
        <stp>BDP|10206720429388305130</stp>
        <tr r="J20" s="1"/>
      </tp>
      <tp t="s">
        <v>#N/A Requesting Data...3380503366</v>
        <stp/>
        <stp>BDP|16922143495057129505</stp>
        <tr r="H54" s="6"/>
      </tp>
      <tp t="s">
        <v>#N/A Requesting Data...2315243569</v>
        <stp/>
        <stp>BDP|17773296982657569623</stp>
        <tr r="K35" s="6"/>
      </tp>
      <tp t="s">
        <v>#N/A Requesting Data...3912638639</v>
        <stp/>
        <stp>BDP|15284942498040072942</stp>
        <tr r="T11" s="1"/>
      </tp>
      <tp t="s">
        <v>#N/A Requesting Data...3964710950</v>
        <stp/>
        <stp>BDP|14812379847286431913</stp>
        <tr r="E10" s="8"/>
      </tp>
      <tp t="s">
        <v>#N/A Requesting Data...4214443082</v>
        <stp/>
        <stp>BDP|16638036048197733948</stp>
        <tr r="E45" s="6"/>
      </tp>
      <tp t="s">
        <v>#N/A Requesting Data...2869342528</v>
        <stp/>
        <stp>BDP|13680387494181164455</stp>
        <tr r="K28" s="6"/>
      </tp>
      <tp t="s">
        <v>#N/A Requesting Data...3207942978</v>
        <stp/>
        <stp>BDP|13178773935048091320</stp>
        <tr r="G6" s="8"/>
      </tp>
      <tp t="s">
        <v>#N/A Requesting Data...3708984339</v>
        <stp/>
        <stp>BDP|11400063393385951197</stp>
        <tr r="G49" s="6"/>
      </tp>
      <tp t="s">
        <v>#N/A Requesting Data...2777002972</v>
        <stp/>
        <stp>BDP|15601465888166951301</stp>
        <tr r="E34" s="6"/>
      </tp>
      <tp t="s">
        <v>#N/A Requesting Data...2306945228</v>
        <stp/>
        <stp>BDP|16919586290606680042</stp>
        <tr r="J21" s="1"/>
      </tp>
      <tp t="s">
        <v>#N/A Requesting Data...3179706883</v>
        <stp/>
        <stp>BDP|10199438591970461141</stp>
        <tr r="I31" s="1"/>
      </tp>
      <tp t="s">
        <v>#N/A Requesting Data...2600994700</v>
        <stp/>
        <stp>BDP|18097088222943019583</stp>
        <tr r="T20" s="1"/>
      </tp>
      <tp t="s">
        <v>#N/A Requesting Data...1625096507</v>
        <stp/>
        <stp>BDP|17355569330614422946</stp>
        <tr r="F11" s="6"/>
      </tp>
      <tp t="s">
        <v>#N/A Requesting Data...3764219588</v>
        <stp/>
        <stp>BDP|15688537880542927699</stp>
        <tr r="K36" s="1"/>
      </tp>
      <tp>
        <v>34945608</v>
        <stp/>
        <stp>BDP|6845961552141948178|22</stp>
        <stp>NBIS US Equity</stp>
        <stp>VOLUME</stp>
        <tr r="F6" s="8"/>
      </tp>
      <tp t="s">
        <v>#N/A Requesting Data...2283226441</v>
        <stp/>
        <stp>BDP|12517686373737430930</stp>
        <tr r="E44" s="6"/>
      </tp>
      <tp t="s">
        <v>#N/A Requesting Data...3253241900</v>
        <stp/>
        <stp>BDP|13071899276959638805</stp>
        <tr r="K17" s="1"/>
      </tp>
      <tp t="s">
        <v>#N/A Requesting Data...2846511844</v>
        <stp/>
        <stp>BDP|11054355759889602313</stp>
        <tr r="G42" s="6"/>
      </tp>
      <tp t="s">
        <v>#N/A Requesting Data...2713989937</v>
        <stp/>
        <stp>BDP|18083224279523361350</stp>
        <tr r="K49" s="6"/>
      </tp>
      <tp t="s">
        <v>#N/A Requesting Data...4170064732</v>
        <stp/>
        <stp>BDP|11449428202239135195</stp>
        <tr r="H53" s="6"/>
      </tp>
      <tp t="s">
        <v>#N/A Requesting Data...2076528120</v>
        <stp/>
        <stp>BDP|16816743488926042287</stp>
        <tr r="I8" s="8"/>
      </tp>
      <tp t="s">
        <v>#N/A Requesting Data...2820213696</v>
        <stp/>
        <stp>BDP|12419021626024579994</stp>
        <tr r="H40" s="6"/>
      </tp>
      <tp t="s">
        <v>#N/A Requesting Data...2736849911</v>
        <stp/>
        <stp>BDP|17183188797141227335</stp>
        <tr r="H30" s="6"/>
      </tp>
      <tp t="s">
        <v>#N/A Requesting Data...2395626438</v>
        <stp/>
        <stp>BDP|13760943009553045450</stp>
        <tr r="K52" s="6"/>
      </tp>
      <tp t="s">
        <v>#N/A Requesting Data...3586316495</v>
        <stp/>
        <stp>BDP|10622589499015566433</stp>
        <tr r="K47" s="6"/>
      </tp>
      <tp t="s">
        <v>#N/A Requesting Data...3408694153</v>
        <stp/>
        <stp>BDP|17326835083942276828</stp>
        <tr r="I18" s="1"/>
      </tp>
      <tp t="s">
        <v>#N/A Requesting Data...3459837720</v>
        <stp/>
        <stp>BDP|13825293409569415599</stp>
        <tr r="F9" s="6"/>
      </tp>
      <tp t="s">
        <v>#N/A Requesting Data...2533773924</v>
        <stp/>
        <stp>BDP|14277862540333243631</stp>
        <tr r="F46" s="6"/>
      </tp>
      <tp t="s">
        <v>#N/A Requesting Data...2891345128</v>
        <stp/>
        <stp>BDP|14293379382594418671</stp>
        <tr r="I17" s="1"/>
      </tp>
      <tp t="s">
        <v>#N/A Requesting Data...3437556799</v>
        <stp/>
        <stp>BDP|13677616592001308018</stp>
        <tr r="J17" s="1"/>
      </tp>
      <tp t="s">
        <v>#N/A Requesting Data...2494260361</v>
        <stp/>
        <stp>BDP|18014128122912297455</stp>
        <tr r="F40" s="6"/>
      </tp>
      <tp t="s">
        <v>#N/A Requesting Data...3696590667</v>
        <stp/>
        <stp>BDP|10776933686474276861</stp>
        <tr r="C15" s="7"/>
      </tp>
      <tp>
        <v>97.885999999999996</v>
        <stp/>
        <stp>BDP|11393022086026876768|22</stp>
        <stp>AMD 5 08/17/2031 Corp</stp>
        <stp>LAST_PRICE</stp>
        <tr r="D21" s="6"/>
      </tp>
      <tp t="s">
        <v>#N/A Requesting Data...1697919718</v>
        <stp/>
        <stp>BDP|16699883096254655176</stp>
        <tr r="K61" s="6"/>
      </tp>
      <tp t="s">
        <v>#N/A Requesting Data...3126793461</v>
        <stp/>
        <stp>BDP|15274296416591152544</stp>
        <tr r="E33" s="6"/>
      </tp>
      <tp t="s">
        <v>#N/A Requesting Data...2737939237</v>
        <stp/>
        <stp>BDP|14659587745660330735</stp>
        <tr r="C17" s="7"/>
      </tp>
      <tp t="s">
        <v>#N/A Requesting Data...2249470344</v>
        <stp/>
        <stp>BDP|16658210662587622791</stp>
        <tr r="G26" s="6"/>
      </tp>
      <tp t="s">
        <v>#N/A Requesting Data...1690213984</v>
        <stp/>
        <stp>BDP|14589542372470709496</stp>
        <tr r="E47" s="6"/>
      </tp>
      <tp t="s">
        <v>#N/A Requesting Data...2433767584</v>
        <stp/>
        <stp>BDP|13314846938863168916</stp>
        <tr r="J32" s="1"/>
      </tp>
      <tp t="s">
        <v>#N/A Requesting Data...3757185720</v>
        <stp/>
        <stp>BDP|15215809037094221886</stp>
        <tr r="V16" s="1"/>
        <tr r="V32" s="1"/>
      </tp>
      <tp t="s">
        <v>#N/A Requesting Data...2853532516</v>
        <stp/>
        <stp>BDP|15806460630383188311</stp>
        <tr r="I10" s="8"/>
      </tp>
      <tp t="s">
        <v>#N/A Requesting Data...2347640585</v>
        <stp/>
        <stp>BDP|16929031380114091843</stp>
        <tr r="H58" s="6"/>
      </tp>
      <tp t="s">
        <v>#N/A Requesting Data...3194406265</v>
        <stp/>
        <stp>BDP|18316161565885975873</stp>
        <tr r="K7" s="1"/>
      </tp>
      <tp t="s">
        <v>#N/A Requesting Data...1344565950</v>
        <stp/>
        <stp>BDP|18129894553103866421</stp>
        <tr r="O25" s="1"/>
      </tp>
      <tp t="s">
        <v>#N/A Requesting Data...4033083881</v>
        <stp/>
        <stp>BDP|14765743319189353998</stp>
        <tr r="G17" s="6"/>
      </tp>
      <tp t="s">
        <v>#N/A Requesting Data...2084097827</v>
        <stp/>
        <stp>BDP|16872553661320524799</stp>
        <tr r="G9" s="6"/>
      </tp>
      <tp t="s">
        <v>#N/A Requesting Data...2770376033</v>
        <stp/>
        <stp>BDP|14148028312606759145</stp>
        <tr r="T30" s="1"/>
      </tp>
      <tp t="s">
        <v>#N/A Requesting Data...1473368207</v>
        <stp/>
        <stp>BDP|11386574370538840988</stp>
        <tr r="E12" s="6"/>
      </tp>
      <tp t="s">
        <v>#N/A Requesting Data...2637145872</v>
        <stp/>
        <stp>BDP|15315798503008341906</stp>
        <tr r="K12" s="1"/>
      </tp>
      <tp t="s">
        <v>#N/A Requesting Data...1562540600</v>
        <stp/>
        <stp>BDP|15975563432730184014</stp>
        <tr r="G45" s="6"/>
      </tp>
      <tp t="s">
        <v>#N/A Requesting Data...3755527153</v>
        <stp/>
        <stp>BDP|11734219026692556094</stp>
        <tr r="E13" s="8"/>
      </tp>
      <tp t="s">
        <v>#N/A Requesting Data...1454153437</v>
        <stp/>
        <stp>BDP|16548568318119772838</stp>
        <tr r="O16" s="1"/>
      </tp>
      <tp t="s">
        <v>#N/A Requesting Data...2893302101</v>
        <stp/>
        <stp>BDP|13953151992909896194</stp>
        <tr r="J26" s="1"/>
      </tp>
      <tp t="s">
        <v>#N/A Requesting Data...3244324346</v>
        <stp/>
        <stp>BDP|14882186794936985935</stp>
        <tr r="L36" s="1"/>
      </tp>
      <tp t="s">
        <v>#N/A Requesting Data...3519778519</v>
        <stp/>
        <stp>BDP|12054770419445974264</stp>
        <tr r="J11" s="1"/>
      </tp>
      <tp t="s">
        <v>#N/A Requesting Data...2765514254</v>
        <stp/>
        <stp>BDP|10309676946104259504</stp>
        <tr r="L31" s="1"/>
      </tp>
      <tp t="s">
        <v>#N/A Requesting Data...3873486353</v>
        <stp/>
        <stp>BDP|16364874606045433858</stp>
        <tr r="H7" s="6"/>
      </tp>
      <tp t="s">
        <v>#N/A Requesting Data...1610016197</v>
        <stp/>
        <stp>BDP|14789312173304589734</stp>
        <tr r="H24" s="6"/>
      </tp>
      <tp t="s">
        <v>#N/A Requesting Data...3492064534</v>
        <stp/>
        <stp>BDP|17201179776910037263</stp>
        <tr r="I12" s="8"/>
      </tp>
      <tp t="s">
        <v>#N/A Requesting Data...2885405859</v>
        <stp/>
        <stp>BDP|13507781374987473788</stp>
        <tr r="H50" s="6"/>
      </tp>
      <tp t="s">
        <v>#N/A Requesting Data...4137547122</v>
        <stp/>
        <stp>BDP|11739839544857355944</stp>
        <tr r="K30" s="1"/>
      </tp>
      <tp t="s">
        <v>#N/A Requesting Data...1655947125</v>
        <stp/>
        <stp>BDP|10409142949557656191</stp>
        <tr r="O20" s="1"/>
      </tp>
      <tp t="s">
        <v>#N/A Requesting Data...3678709488</v>
        <stp/>
        <stp>BDP|15295212146083126329</stp>
        <tr r="E40" s="6"/>
      </tp>
      <tp>
        <v>347</v>
        <stp/>
        <stp>BDP|7404987200803369609|22</stp>
        <stp>NBIS 3 06/05/2031 Corp</stp>
        <stp>LAST_PRICE</stp>
        <tr r="D58" s="6"/>
      </tp>
      <tp>
        <v>22464591</v>
        <stp/>
        <stp>BDP|13329940388261861965|22</stp>
        <stp>AMD US Equity</stp>
        <stp>VOLUME</stp>
        <tr r="F17" s="8"/>
      </tp>
      <tp t="s">
        <v>#N/A Requesting Data...2747934665</v>
        <stp/>
        <stp>BDP|12985013393532153931</stp>
        <tr r="E56" s="6"/>
      </tp>
      <tp t="s">
        <v>#N/A Requesting Data...2880731133</v>
        <stp/>
        <stp>BDP|10880543014064219036</stp>
        <tr r="L25" s="1"/>
      </tp>
      <tp t="s">
        <v>#N/A Requesting Data...1503270524</v>
        <stp/>
        <stp>BDP|13703661011844944001</stp>
        <tr r="L21" s="1"/>
      </tp>
      <tp t="s">
        <v>#N/A Requesting Data...1894530348</v>
        <stp/>
        <stp>BDP|16248650468767513127</stp>
        <tr r="K24" s="1"/>
      </tp>
      <tp t="s">
        <v>#N/A Requesting Data...2833415456</v>
        <stp/>
        <stp>BDP|17615266964507864464</stp>
        <tr r="C13" s="7"/>
      </tp>
      <tp t="s">
        <v>#N/A Requesting Data...2879682670</v>
        <stp/>
        <stp>BDP|10503760529092699704</stp>
        <tr r="T36" s="1"/>
      </tp>
      <tp t="s">
        <v>#N/A Requesting Data...3612861149</v>
        <stp/>
        <stp>BDP|11091954554385487897</stp>
        <tr r="H17" s="6"/>
      </tp>
      <tp t="s">
        <v>#N/A Requesting Data...2520247677</v>
        <stp/>
        <stp>BDP|16774253286895623931</stp>
        <tr r="T18" s="1"/>
      </tp>
      <tp t="s">
        <v>#N/A Requesting Data...4082717834</v>
        <stp/>
        <stp>BDP|17357763069635664397</stp>
        <tr r="L35" s="1"/>
      </tp>
      <tp t="s">
        <v>#N/A Requesting Data...3570115658</v>
        <stp/>
        <stp>BDP|15561148772066548543</stp>
        <tr r="K40" s="6"/>
      </tp>
      <tp t="s">
        <v>#N/A Requesting Data...3681223087</v>
        <stp/>
        <stp>BDP|16638611353461725471</stp>
        <tr r="I16" s="1"/>
      </tp>
      <tp t="s">
        <v>#N/A Requesting Data...2433868871</v>
        <stp/>
        <stp>BDP|18403806615956424722</stp>
        <tr r="E16" s="6"/>
      </tp>
      <tp t="s">
        <v>#N/A Requesting Data...2496404786</v>
        <stp/>
        <stp>BDP|14661144254933737364</stp>
        <tr r="E17" s="6"/>
      </tp>
      <tp t="s">
        <v>#N/A Requesting Data...3294252272</v>
        <stp/>
        <stp>BDP|14273284640597820554</stp>
        <tr r="I27" s="1"/>
      </tp>
      <tp t="s">
        <v>#N/A Requesting Data...4157566755</v>
        <stp/>
        <stp>BDP|17201117276853388204</stp>
        <tr r="G19" s="8"/>
      </tp>
      <tp>
        <v>85.391000000000005</v>
        <stp/>
        <stp>BDP|1520287451287127954|22</stp>
        <stp>US594918BS26 Corp</stp>
        <stp>LAST_PRICE</stp>
        <tr r="D50" s="6"/>
      </tp>
      <tp t="s">
        <v>#N/A Requesting Data...3778784815</v>
        <stp/>
        <stp>BDP|10555826520918710392</stp>
        <tr r="F60" s="6"/>
      </tp>
      <tp t="s">
        <v>#N/A Requesting Data...2372989178</v>
        <stp/>
        <stp>BDP|12533374768073634551</stp>
        <tr r="T12" s="1"/>
      </tp>
      <tp t="s">
        <v>#N/A Requesting Data...3523260133</v>
        <stp/>
        <stp>BDP|10785644471729268984</stp>
        <tr r="J30" s="1"/>
      </tp>
      <tp t="s">
        <v>#N/A Requesting Data...1578760909</v>
        <stp/>
        <stp>BDP|13254802624039580196</stp>
        <tr r="K22" s="6"/>
      </tp>
      <tp t="s">
        <v>#N/A Requesting Data...3275576682</v>
        <stp/>
        <stp>BDP|11397499200520136411</stp>
        <tr r="L17" s="1"/>
      </tp>
      <tp t="s">
        <v>#N/A Requesting Data...2858263056</v>
        <stp/>
        <stp>BDP|13125394907118009900</stp>
        <tr r="J31" s="1"/>
      </tp>
      <tp>
        <v>102.776</v>
        <stp/>
        <stp>BDP|13594205025157053944|22</stp>
        <stp>APLD 9.25 12/15/30 144A Corp</stp>
        <stp>LAST_PRICE</stp>
        <tr r="H15" s="1"/>
      </tp>
      <tp t="s">
        <v>#N/A Requesting Data...3820473650</v>
        <stp/>
        <stp>BDP|11863441287395317963</stp>
        <tr r="T16" s="1"/>
      </tp>
      <tp t="s">
        <v>#N/A Requesting Data...2423872900</v>
        <stp/>
        <stp>BDP|14217168777216120534</stp>
        <tr r="H14" s="6"/>
      </tp>
      <tp t="s">
        <v>#N/A Requesting Data...2183687735</v>
        <stp/>
        <stp>BDP|14348410411710135023</stp>
        <tr r="E61" s="6"/>
      </tp>
      <tp t="s">
        <v>#N/A Requesting Data...3357720238</v>
        <stp/>
        <stp>BDP|11185138996469674109</stp>
        <tr r="O26" s="1"/>
      </tp>
      <tp t="s">
        <v>#N/A Requesting Data...2033107040</v>
        <stp/>
        <stp>BDP|10209386959190897791</stp>
        <tr r="I15" s="8"/>
      </tp>
      <tp t="s">
        <v>#N/A Requesting Data...3861891102</v>
        <stp/>
        <stp>BDP|11588368640246234131</stp>
        <tr r="K57" s="6"/>
      </tp>
      <tp t="s">
        <v>#N/A Requesting Data...2596332438</v>
        <stp/>
        <stp>BDP|13679084751173533484</stp>
        <tr r="G15" s="8"/>
      </tp>
      <tp t="s">
        <v>#N/A Requesting Data...1962218506</v>
        <stp/>
        <stp>BDP|18311778547079336350</stp>
        <tr r="I23" s="8"/>
      </tp>
      <tp t="s">
        <v>#N/A Requesting Data...3583648138</v>
        <stp/>
        <stp>BDP|15136670834984605513</stp>
        <tr r="E20" s="8"/>
      </tp>
      <tp t="s">
        <v>#N/A Requesting Data...3765838434</v>
        <stp/>
        <stp>BDP|13481956514319297325</stp>
        <tr r="E10" s="6"/>
      </tp>
    </main>
    <main first="bofaddin.rtdserver">
      <tp t="s">
        <v>#N/A Requesting Data...2464417450</v>
        <stp/>
        <stp>BDP|17283587038504017396</stp>
        <tr r="E53" s="6"/>
      </tp>
      <tp t="s">
        <v>#N/A Requesting Data...1713596843</v>
        <stp/>
        <stp>BDP|13942336327764273033</stp>
        <tr r="T7" s="1"/>
      </tp>
      <tp t="s">
        <v>#N/A Requesting Data...3098401532</v>
        <stp/>
        <stp>BDP|13980835019624212809</stp>
        <tr r="T27" s="1"/>
      </tp>
      <tp t="s">
        <v>#N/A Requesting Data...2102622170</v>
        <stp/>
        <stp>BDP|12007642495359666241</stp>
        <tr r="E18" s="6"/>
      </tp>
      <tp t="s">
        <v>#N/A Requesting Data...1532590943</v>
        <stp/>
        <stp>BDP|17315739211991460679</stp>
        <tr r="I19" s="8"/>
      </tp>
      <tp t="s">
        <v>#N/A Requesting Data...2542490291</v>
        <stp/>
        <stp>BDP|17464658830705783146</stp>
        <tr r="K22" s="1"/>
      </tp>
      <tp t="s">
        <v>#N/A Requesting Data...2350314066</v>
        <stp/>
        <stp>BDP|18296257120596337811</stp>
        <tr r="J8" s="1"/>
      </tp>
      <tp t="s">
        <v>#N/A Requesting Data...2335991829</v>
        <stp/>
        <stp>BDP|17580096138363443150</stp>
        <tr r="F10" s="6"/>
      </tp>
      <tp t="s">
        <v>#N/A Requesting Data...3282028897</v>
        <stp/>
        <stp>BDP|14763878399446552585</stp>
        <tr r="E24" s="6"/>
      </tp>
      <tp t="s">
        <v>#N/A Requesting Data...1533585224</v>
        <stp/>
        <stp>BDP|16423789760938975918</stp>
        <tr r="G5" s="8"/>
      </tp>
      <tp t="s">
        <v>#N/A Requesting Data...1928331020</v>
        <stp/>
        <stp>BDP|16875354026637562749</stp>
        <tr r="J7" s="1"/>
      </tp>
      <tp t="s">
        <v>#N/A Requesting Data...2275280191</v>
        <stp/>
        <stp>BDP|13524393541385723603</stp>
        <tr r="J24" s="1"/>
      </tp>
      <tp t="s">
        <v>#N/A Requesting Data...3721307181</v>
        <stp/>
        <stp>BDP|11937935137318157417</stp>
        <tr r="F42" s="6"/>
      </tp>
      <tp t="s">
        <v>#N/A Requesting Data...1660308977</v>
        <stp/>
        <stp>BDP|12958359936491750415</stp>
        <tr r="E37" s="6"/>
      </tp>
      <tp t="s">
        <v>#N/A Requesting Data...2235131898</v>
        <stp/>
        <stp>BDP|10964356201234794040</stp>
        <tr r="K8" s="1"/>
      </tp>
      <tp t="s">
        <v>#N/A Requesting Data...4167186119</v>
        <stp/>
        <stp>BDP|13011610704694080645</stp>
        <tr r="K51" s="6"/>
      </tp>
      <tp t="s">
        <v>#N/A Requesting Data...1959139170</v>
        <stp/>
        <stp>BDP|11130571891492088870</stp>
        <tr r="F53" s="6"/>
      </tp>
      <tp t="s">
        <v>#N/A Requesting Data...3468776135</v>
        <stp/>
        <stp>BDP|10741845276888501026</stp>
        <tr r="F18" s="6"/>
      </tp>
      <tp t="s">
        <v>#N/A Requesting Data...2160394629</v>
        <stp/>
        <stp>BDP|14486982688854492628</stp>
        <tr r="O7" s="1"/>
      </tp>
      <tp t="s">
        <v>#N/A Requesting Data...3808882203</v>
        <stp/>
        <stp>BDP|13726155299538115487</stp>
        <tr r="I36" s="1"/>
      </tp>
      <tp t="s">
        <v>#N/A Requesting Data...2069757213</v>
        <stp/>
        <stp>BDP|17198507622053200448</stp>
        <tr r="O32" s="1"/>
      </tp>
      <tp t="s">
        <v>#N/A Requesting Data...4247630102</v>
        <stp/>
        <stp>BDP|13056342601170800783</stp>
        <tr r="K21" s="1"/>
      </tp>
      <tp t="s">
        <v>#N/A Requesting Data...1785978412</v>
        <stp/>
        <stp>BDP|17242309274275024114</stp>
        <tr r="E28" s="6"/>
      </tp>
      <tp t="s">
        <v>#N/A Requesting Data...1673689512</v>
        <stp/>
        <stp>BDP|16676563080538235451</stp>
        <tr r="C11" s="7"/>
      </tp>
      <tp t="s">
        <v>#N/A Requesting Data...4165322073</v>
        <stp/>
        <stp>BDP|11128386615917372396</stp>
        <tr r="E58" s="6"/>
      </tp>
      <tp>
        <v>96.534999999999997</v>
        <stp/>
        <stp>BDP|14313665827131760307|22</stp>
        <stp>AMD 5.5 08/17/2036 Corp</stp>
        <stp>LAST_PRICE</stp>
        <tr r="D22" s="6"/>
      </tp>
      <tp t="s">
        <v>#N/A Requesting Data...3517924903</v>
        <stp/>
        <stp>BDP|16635454353757222494</stp>
        <tr r="E26" s="6"/>
      </tp>
      <tp t="s">
        <v>#N/A Requesting Data...3646383704</v>
        <stp/>
        <stp>BDP|11873929205518183456</stp>
        <tr r="G19" s="6"/>
      </tp>
      <tp t="s">
        <v>#N/A Requesting Data...1678925088</v>
        <stp/>
        <stp>BDP|10311214058237714479</stp>
        <tr r="E11" s="6"/>
      </tp>
      <tp t="s">
        <v>#N/A Requesting Data...4293161181</v>
        <stp/>
        <stp>BDP|14848758313442498468</stp>
        <tr r="G22" s="6"/>
      </tp>
      <tp t="s">
        <v>#N/A Requesting Data...3076815251</v>
        <stp/>
        <stp>BDP|17831720855527154612</stp>
        <tr r="O6" s="1"/>
      </tp>
      <tp t="s">
        <v>#N/A Requesting Data...2596220030</v>
        <stp/>
        <stp>BDP|12134777064685122222</stp>
        <tr r="K26" s="6"/>
      </tp>
      <tp t="s">
        <v>#N/A Requesting Data...2585715423</v>
        <stp/>
        <stp>BDP|11078239973202816299</stp>
        <tr r="E19" s="6"/>
      </tp>
      <tp t="s">
        <v>#N/A Requesting Data...3572690078</v>
        <stp/>
        <stp>BDP|18417494019430270955</stp>
        <tr r="C12" s="7"/>
      </tp>
      <tp t="s">
        <v>#N/A Requesting Data...3469997980</v>
        <stp/>
        <stp>BDP|17127249562431004656</stp>
        <tr r="K56" s="6"/>
      </tp>
      <tp t="s">
        <v>#N/A Requesting Data...3031837656</v>
        <stp/>
        <stp>BDP|11417073585905703832</stp>
        <tr r="F28" s="6"/>
      </tp>
      <tp t="s">
        <v>#N/A Requesting Data...3914456006</v>
        <stp/>
        <stp>BDP|15879432356459024986</stp>
        <tr r="G25" s="6"/>
      </tp>
      <tp t="s">
        <v>#N/A Requesting Data...1742115184</v>
        <stp/>
        <stp>BDP|17922278605017868673</stp>
        <tr r="G24" s="6"/>
      </tp>
      <tp t="s">
        <v>#N/A Requesting Data...3376206143</v>
        <stp/>
        <stp>BDP|10043204159127640492</stp>
        <tr r="K15" s="1"/>
      </tp>
      <tp>
        <v>93.155000000000001</v>
        <stp/>
        <stp>BDP|13189304220199457524|22</stp>
        <stp>CORZ 7.75 05/15/31 144A Corp</stp>
        <stp>LAST_PRICE</stp>
        <tr r="H21" s="1"/>
      </tp>
      <tp t="s">
        <v>#N/A Requesting Data...1860998797</v>
        <stp/>
        <stp>BDP|16777599850846696510</stp>
        <tr r="T24" s="1"/>
      </tp>
      <tp t="s">
        <v>#N/A Requesting Data...3595026563</v>
        <stp/>
        <stp>BDP|14528891120003107865</stp>
        <tr r="O23" s="1"/>
      </tp>
      <tp t="s">
        <v>#N/A Requesting Data...1511868788</v>
        <stp/>
        <stp>BDP|13725697203445289520</stp>
        <tr r="T15" s="1"/>
      </tp>
      <tp t="s">
        <v>#N/A Requesting Data...3329202019</v>
        <stp/>
        <stp>BDP|10810678191242737841</stp>
        <tr r="G59" s="6"/>
      </tp>
      <tp t="s">
        <v>#N/A Requesting Data...4037826657</v>
        <stp/>
        <stp>BDP|12607127441934824611</stp>
        <tr r="F59" s="6"/>
      </tp>
      <tp t="s">
        <v>#N/A Requesting Data...2434208033</v>
        <stp/>
        <stp>BDP|15350806484986292691</stp>
        <tr r="H57" s="6"/>
      </tp>
      <tp t="s">
        <v>#N/A Requesting Data...3170285672</v>
        <stp/>
        <stp>BDP|15912579652424294420</stp>
        <tr r="J12" s="1"/>
      </tp>
      <tp t="s">
        <v>#N/A Requesting Data...1523786007</v>
        <stp/>
        <stp>BDP|12011657543320889516</stp>
        <tr r="E46" s="6"/>
      </tp>
      <tp t="s">
        <v>#N/A Requesting Data...2936653428</v>
        <stp/>
        <stp>BDP|12814919379621799889</stp>
        <tr r="F52" s="6"/>
      </tp>
      <tp t="s">
        <v>#N/A Requesting Data...4015398100</v>
        <stp/>
        <stp>BDP|12860662713530748055</stp>
        <tr r="K36" s="6"/>
      </tp>
      <tp t="s">
        <v>#N/A Requesting Data...1714271605</v>
        <stp/>
        <stp>BDP|10819857598394443008</stp>
        <tr r="E60" s="6"/>
      </tp>
      <tp t="s">
        <v>#N/A Requesting Data...2655431236</v>
        <stp/>
        <stp>BDP|14004445762257606415</stp>
        <tr r="T9" s="1"/>
      </tp>
      <tp t="s">
        <v>#N/A Requesting Data...3053426484</v>
        <stp/>
        <stp>BDP|13029011818073002483</stp>
        <tr r="L7" s="1"/>
      </tp>
      <tp t="s">
        <v>#N/A Requesting Data...1605387185</v>
        <stp/>
        <stp>BDP|14924686266247458625</stp>
        <tr r="H15" s="6"/>
      </tp>
      <tp t="s">
        <v>#N/A Requesting Data...4244632376</v>
        <stp/>
        <stp>BDP|18395017583401991485</stp>
        <tr r="L26" s="1"/>
      </tp>
      <tp t="s">
        <v>#N/A Requesting Data...1518633529</v>
        <stp/>
        <stp>BDP|17611040400210384221</stp>
        <tr r="F35" s="6"/>
      </tp>
      <tp t="s">
        <v>#N/A Requesting Data...3620712023</v>
        <stp/>
        <stp>BDP|12878356063185822753</stp>
        <tr r="E11" s="8"/>
      </tp>
      <tp t="s">
        <v>#N/A Requesting Data...3399160479</v>
        <stp/>
        <stp>BDP|12520766606203254355</stp>
        <tr r="E22" s="6"/>
      </tp>
      <tp t="s">
        <v>#N/A Requesting Data...3465522890</v>
        <stp/>
        <stp>BDP|12520022851422741035</stp>
        <tr r="L19" s="1"/>
      </tp>
      <tp t="s">
        <v>#N/A Requesting Data...3619433057</v>
        <stp/>
        <stp>BDP|12940632699760238843</stp>
        <tr r="I11" s="1"/>
      </tp>
      <tp t="s">
        <v>#N/A Requesting Data...3467919123</v>
        <stp/>
        <stp>BDP|15555704325405339060</stp>
        <tr r="E32" s="6"/>
      </tp>
      <tp t="s">
        <v>#N/A Requesting Data...3028861245</v>
        <stp/>
        <stp>BDP|16353185243862859443</stp>
        <tr r="V11" s="1"/>
        <tr r="V12" s="1"/>
      </tp>
      <tp t="s">
        <v>#N/A Requesting Data...2186526974</v>
        <stp/>
        <stp>BDP|17252304171976334048</stp>
        <tr r="F12" s="6"/>
      </tp>
      <tp t="s">
        <v>#N/A Requesting Data...2801255541</v>
        <stp/>
        <stp>BDP|13553443847526519049</stp>
        <tr r="H11" s="6"/>
      </tp>
      <tp t="s">
        <v>#N/A Requesting Data...3061126053</v>
        <stp/>
        <stp>BDP|17329327922332329173</stp>
        <tr r="T21" s="1"/>
      </tp>
      <tp t="s">
        <v>#N/A Requesting Data...1543742253</v>
        <stp/>
        <stp>BDP|15217665072319051807</stp>
        <tr r="G9" s="8"/>
      </tp>
    </main>
    <main first="bofaddin.rtdserver">
      <tp>
        <v>89.007999999999996</v>
        <stp/>
        <stp>BDP|11327123491408097774|22</stp>
        <stp>AVGO 4.8 02/15/2036 Corp</stp>
        <stp>LAST_PRICE</stp>
        <tr r="D18" s="6"/>
      </tp>
      <tp>
        <v>146.03</v>
        <stp/>
        <stp>BDP|10771411658827304663|22</stp>
        <stp>SPCX US Equity</stp>
        <stp>LAST_PRICE</stp>
        <tr r="D18" s="8"/>
      </tp>
      <tp>
        <v>92.8</v>
        <stp/>
        <stp>BDP|13473829321025405601|22</stp>
        <stp>AVGO 4.6 01/15/2033 Corp</stp>
        <stp>LAST_PRICE</stp>
        <tr r="D14" s="6"/>
      </tp>
      <tp>
        <v>26.99</v>
        <stp/>
        <stp>BDP|15691460519284109545|22</stp>
        <stp>IREN US Equity</stp>
        <stp>LAST_PRICE</stp>
        <tr r="D7" s="8"/>
      </tp>
      <tp>
        <v>340.59</v>
        <stp/>
        <stp>BDP|14464630041533025863|22</stp>
        <stp>GOOGL US Equity</stp>
        <stp>LAST_PRICE</stp>
        <tr r="D20" s="8"/>
      </tp>
      <tp>
        <v>18.05</v>
        <stp/>
        <stp>BDP|14133476836091146739|22</stp>
        <stp>APLD US Equity</stp>
        <stp>LAST_PRICE</stp>
        <tr r="D8" s="8"/>
      </tp>
    </main>
    <main first="bofaddin.rtdserver">
      <tp>
        <v>93.622</v>
        <stp/>
        <stp>BDP|6411873177360994489|22</stp>
        <stp>ELKGVP 7.5 06/15/31 144A Corp</stp>
        <stp>LAST_PRICE</stp>
        <tr r="H29" s="1"/>
      </tp>
      <tp>
        <v>328.75</v>
        <stp/>
        <stp>BDP|17019897193923426340|22</stp>
        <stp>AVGO US Equity</stp>
        <stp>LAST_PRICE</stp>
        <tr r="D15" s="8"/>
      </tp>
    </main>
    <main first="bofaddin.rtdserver">
      <tp>
        <v>102.417</v>
        <stp/>
        <stp>BDP|7870295523566751113|22</stp>
        <stp>WULF 7.75 10/15/30 144A Corp</stp>
        <stp>LAST_PRICE</stp>
        <tr r="H31" s="1"/>
      </tp>
      <tp>
        <v>86.781999999999996</v>
        <stp/>
        <stp>BDP|15594171195301209938|22</stp>
        <stp>AVGO 5.7 01/15/2056 Corp</stp>
        <stp>LAST_PRICE</stp>
        <tr r="D19" s="6"/>
      </tp>
      <tp>
        <v>28487354</v>
        <stp/>
        <stp>BDP|397758122808376170|22</stp>
        <stp>GOOGL US Equity</stp>
        <stp>VOLUME</stp>
        <tr r="F20" s="8"/>
      </tp>
      <tp>
        <v>218.30699999999999</v>
        <stp/>
        <stp>BDP|12059506706788261145|22</stp>
        <stp>IREN 3.5 12/15/2029 Corp</stp>
        <stp>LAST_PRICE</stp>
        <tr r="D61" s="6"/>
      </tp>
    </main>
    <main first="bofaddin.rtdserver">
      <tp>
        <v>87.706000000000003</v>
        <stp/>
        <stp>BDP|4067956663868007974|22</stp>
        <stp>BABA 2.125 02/09/2031 Corp</stp>
        <stp>LAST_PRICE</stp>
        <tr r="D54" s="6"/>
      </tp>
      <tp>
        <v>92.424000000000007</v>
        <stp/>
        <stp>BDP|673510731581089598|22</stp>
        <stp>HUTBPA 6.129 11/30/42 144A Corp</stp>
        <stp>LAST_PRICE</stp>
        <tr r="H6" s="1"/>
      </tp>
      <tp>
        <v>79.701999999999998</v>
        <stp/>
        <stp>BDP|585685740875230147|22</stp>
        <stp>CRWV 9.625 07/15/2032 144A Corp</stp>
        <stp>LAST_PRICE</stp>
        <tr r="D33" s="6"/>
      </tp>
      <tp>
        <v>16.14</v>
        <stp/>
        <stp>BDP|17520404022477601676|22</stp>
        <stp>GLXY US Equity</stp>
        <stp>LAST_PRICE</stp>
        <tr r="D12" s="8"/>
      </tp>
      <tp>
        <v>250</v>
        <stp/>
        <stp>BDP|11431942920512482031|22</stp>
        <stp>AMZN US Equity</stp>
        <stp>LAST_PRICE</stp>
        <tr r="D22" s="8"/>
      </tp>
    </main>
    <main first="bofaddin.rtdserver">
      <tp>
        <v>709.32500000000005</v>
        <stp/>
        <stp>BDP|12884552599081678750|22</stp>
        <stp>META US Equity</stp>
        <stp>LAST_PRICE</stp>
        <tr r="D19" s="8"/>
      </tp>
      <tp>
        <v>87.945999999999998</v>
        <stp/>
        <stp>BDP|3457674413876739128|22</stp>
        <stp>EDGCOM 7.5 04/30/31 144A Corp</stp>
        <stp>LAST_PRICE</stp>
        <tr r="H22" s="1"/>
      </tp>
      <tp>
        <v>87.247</v>
        <stp/>
        <stp>BDP|7814761620335215504|22</stp>
        <stp>RDMICH 7.5 03/30/45 144A Corp</stp>
        <stp>LAST_PRICE</stp>
        <tr r="H10" s="1"/>
      </tp>
      <tp>
        <v>61.39</v>
        <stp/>
        <stp>BDP|10926285164221538021|22</stp>
        <stp>CRWV US Equity</stp>
        <stp>LAST_PRICE</stp>
        <tr r="D5" s="8"/>
      </tp>
      <tp t="s">
        <v>#N/A Requesting Data...4097759628</v>
        <stp/>
        <stp>BDP|1208466390123933368</stp>
        <tr r="I20" s="8"/>
      </tp>
      <tp t="s">
        <v>#N/A Requesting Data...2883326016</v>
        <stp/>
        <stp>BDP|7251963703756726486</stp>
        <tr r="C7" s="7"/>
      </tp>
      <tp t="s">
        <v>#N/A Requesting Data...2583857913</v>
        <stp/>
        <stp>BDP|7917404285420618749</stp>
        <tr r="F21" s="6"/>
      </tp>
      <tp t="s">
        <v>#N/A Requesting Data...3582048179</v>
        <stp/>
        <stp>BDP|3790358845890966803</stp>
        <tr r="E7" s="6"/>
      </tp>
      <tp t="s">
        <v>#N/A Requesting Data...1599204319</v>
        <stp/>
        <stp>BDP|7868312996342433348</stp>
        <tr r="E57" s="6"/>
      </tp>
      <tp t="s">
        <v>#N/A Requesting Data...4218207230</v>
        <stp/>
        <stp>BDP|1939771574688264552</stp>
        <tr r="H31" s="6"/>
      </tp>
      <tp t="s">
        <v>#N/A Requesting Data...2139278832</v>
        <stp/>
        <stp>BDP|2662973661955353419</stp>
        <tr r="K9" s="1"/>
      </tp>
      <tp t="s">
        <v>#N/A Requesting Data...2051360709</v>
        <stp/>
        <stp>BDP|5543701573489732011</stp>
        <tr r="G21" s="8"/>
      </tp>
      <tp t="s">
        <v>#N/A Requesting Data...3642455759</v>
        <stp/>
        <stp>BDP|3958329739538256716</stp>
        <tr r="K23" s="1"/>
      </tp>
      <tp t="s">
        <v>#N/A Requesting Data...3607391254</v>
        <stp/>
        <stp>BDP|4554743165251993885</stp>
        <tr r="G57" s="6"/>
      </tp>
      <tp>
        <v>89.531000000000006</v>
        <stp/>
        <stp>BDP|12364431102504597989|22</stp>
        <stp>CIFR 0 10/01/2031 144A Corp</stp>
        <stp>LAST_PRICE</stp>
        <tr r="D40" s="6"/>
      </tp>
      <tp t="s">
        <v>#N/A Requesting Data...2935751368</v>
        <stp/>
        <stp>BDP|7174392288125329497</stp>
        <tr r="T35" s="1"/>
      </tp>
      <tp t="s">
        <v>#N/A Requesting Data...3613680511</v>
        <stp/>
        <stp>BDP|4957449696575085149</stp>
        <tr r="G14" s="6"/>
      </tp>
      <tp t="s">
        <v>#N/A Requesting Data...1639592454</v>
        <stp/>
        <stp>BDP|7630080163375027929</stp>
        <tr r="L22" s="1"/>
      </tp>
      <tp t="s">
        <v>#N/A Requesting Data...2827859392</v>
        <stp/>
        <stp>BDP|6650882803164089724</stp>
        <tr r="L20" s="1"/>
      </tp>
      <tp t="s">
        <v>#N/A Requesting Data...3034793802</v>
        <stp/>
        <stp>BDP|3862248132157292835</stp>
        <tr r="E21" s="6"/>
      </tp>
      <tp t="s">
        <v>#N/A Requesting Data...3516048696</v>
        <stp/>
        <stp>BDP|5425068046495985913</stp>
        <tr r="K39" s="6"/>
      </tp>
      <tp t="s">
        <v>#N/A Requesting Data...3644245486</v>
        <stp/>
        <stp>BDP|8715363527402377678</stp>
        <tr r="H47" s="6"/>
      </tp>
      <tp t="s">
        <v>#N/A Requesting Data...1998648106</v>
        <stp/>
        <stp>BDP|9323227190958111720</stp>
        <tr r="F58" s="6"/>
      </tp>
      <tp t="s">
        <v>#N/A Requesting Data...4124980364</v>
        <stp/>
        <stp>BDP|9481745932740117021</stp>
        <tr r="T29" s="1"/>
      </tp>
      <tp t="s">
        <v>#N/A Requesting Data...2965450092</v>
        <stp/>
        <stp>BDP|4261057666046141970</stp>
        <tr r="E18" s="8"/>
      </tp>
      <tp t="s">
        <v>#N/A Requesting Data...3160574864</v>
        <stp/>
        <stp>BDP|7818911328506523732</stp>
        <tr r="G7" s="6"/>
      </tp>
      <tp t="s">
        <v>#N/A Requesting Data...1913128615</v>
        <stp/>
        <stp>BDP|3142977832913470756</stp>
        <tr r="K59" s="6"/>
      </tp>
      <tp t="s">
        <v>#N/A Requesting Data...3526039974</v>
        <stp/>
        <stp>BDP|9352230061355204561</stp>
        <tr r="F31" s="6"/>
      </tp>
      <tp t="s">
        <v>#N/A Requesting Data...3161978885</v>
        <stp/>
        <stp>BDP|9028186723476575250</stp>
        <tr r="G15" s="6"/>
      </tp>
      <tp t="s">
        <v>#N/A Requesting Data...1970067719</v>
        <stp/>
        <stp>BDP|3168934921550843634</stp>
        <tr r="K16" s="1"/>
      </tp>
      <tp t="s">
        <v>#N/A Requesting Data...3770703592</v>
        <stp/>
        <stp>BDP|2213345839054485825</stp>
        <tr r="G30" s="6"/>
      </tp>
      <tp t="s">
        <v>#N/A Requesting Data...1812387394</v>
        <stp/>
        <stp>BDP|5704929301217964542</stp>
        <tr r="E5" s="8"/>
      </tp>
      <tp t="s">
        <v>#N/A Requesting Data...2645862026</v>
        <stp/>
        <stp>BDP|6400041129282064807</stp>
        <tr r="G35" s="6"/>
      </tp>
      <tp t="s">
        <v>#N/A Requesting Data...1787423885</v>
        <stp/>
        <stp>BDP|8457254559285907486</stp>
        <tr r="T26" s="1"/>
      </tp>
      <tp t="s">
        <v>#N/A Requesting Data...2168451073</v>
        <stp/>
        <stp>BDP|9662159129682184659</stp>
        <tr r="L12" s="1"/>
      </tp>
      <tp t="s">
        <v>#N/A Requesting Data...1939883517</v>
        <stp/>
        <stp>BDP|1720042417487970932</stp>
        <tr r="F61" s="6"/>
      </tp>
      <tp t="s">
        <v>#N/A Requesting Data...3171060617</v>
        <stp/>
        <stp>BDP|4061436979221396869</stp>
        <tr r="H18" s="6"/>
      </tp>
      <tp t="s">
        <v>#N/A Requesting Data...2032832727</v>
        <stp/>
        <stp>BDP|6846709527879145420</stp>
        <tr r="V18" s="1"/>
        <tr r="V25" s="1"/>
        <tr r="V26" s="1"/>
        <tr r="V31" s="1"/>
      </tp>
      <tp t="s">
        <v>#N/A Requesting Data...2746932644</v>
        <stp/>
        <stp>BDP|3777631408792770960</stp>
        <tr r="F24" s="6"/>
      </tp>
      <tp t="s">
        <v>#N/A Requesting Data...4093188961</v>
        <stp/>
        <stp>BDP|3546677227289081074</stp>
        <tr r="F16" s="6"/>
      </tp>
      <tp t="s">
        <v>#N/A Requesting Data...4194643724</v>
        <stp/>
        <stp>BDP|4943097389445364796</stp>
        <tr r="O21" s="1"/>
      </tp>
      <tp t="s">
        <v>#N/A Requesting Data...4185880207</v>
        <stp/>
        <stp>BDP|9996305568750671263</stp>
        <tr r="G36" s="6"/>
      </tp>
      <tp t="s">
        <v>#N/A Requesting Data...2599252097</v>
        <stp/>
        <stp>BDP|2369318977599675140</stp>
        <tr r="F14" s="6"/>
      </tp>
      <tp t="s">
        <v>#N/A Requesting Data...3368506203</v>
        <stp/>
        <stp>BDP|4641975603325222675</stp>
        <tr r="E52" s="6"/>
      </tp>
      <tp t="s">
        <v>#N/A Requesting Data...2625626386</v>
        <stp/>
        <stp>BDP|4050995628413450218</stp>
        <tr r="I7" s="8"/>
      </tp>
      <tp t="s">
        <v>#N/A Requesting Data...3781820215</v>
        <stp/>
        <stp>BDP|8118034642977423504</stp>
        <tr r="E25" s="6"/>
      </tp>
      <tp t="s">
        <v>#N/A Requesting Data...2169053332</v>
        <stp/>
        <stp>BDP|6877990825127570456</stp>
        <tr r="G58" s="6"/>
      </tp>
      <tp t="s">
        <v>#N/A Requesting Data...1984054376</v>
        <stp/>
        <stp>BDP|4928282828768480283</stp>
        <tr r="E6" s="8"/>
      </tp>
      <tp>
        <v>97.165999999999997</v>
        <stp/>
        <stp>BDP|6467752063803994410|22</stp>
        <stp>QTSODY 6.625 09/01/31 144A Corp</stp>
        <stp>LAST_PRICE</stp>
        <tr r="H11" s="1"/>
      </tp>
      <tp t="s">
        <v>#N/A Requesting Data...1551481713</v>
        <stp/>
        <stp>BDP|6100603798874756267</stp>
        <tr r="K32" s="6"/>
      </tp>
      <tp t="s">
        <v>#N/A Requesting Data...3409628957</v>
        <stp/>
        <stp>BDP|5194527062839030097</stp>
        <tr r="G39" s="6"/>
      </tp>
      <tp t="s">
        <v>#N/A Requesting Data...4282301508</v>
        <stp/>
        <stp>BDP|2029165778032110910</stp>
        <tr r="J6" s="1"/>
      </tp>
      <tp t="s">
        <v>#N/A Requesting Data...2744727784</v>
        <stp/>
        <stp>BDP|7145141716989940187</stp>
        <tr r="K35" s="1"/>
      </tp>
      <tp t="s">
        <v>#N/A Requesting Data...2383382425</v>
        <stp/>
        <stp>BDP|7283012195247356662</stp>
        <tr r="G10" s="8"/>
      </tp>
      <tp t="s">
        <v>#N/A Requesting Data...3753967618</v>
        <stp/>
        <stp>BDP|9611370760876162539</stp>
        <tr r="O31" s="1"/>
      </tp>
      <tp>
        <v>85.007999999999996</v>
        <stp/>
        <stp>BDP|2352427986084143593|22</stp>
        <stp>ZENARC 8.875 08/31/31 144A Corp</stp>
        <stp>LAST_PRICE</stp>
        <tr r="H27" s="1"/>
      </tp>
      <tp t="s">
        <v>#N/A Requesting Data...3411720740</v>
        <stp/>
        <stp>BDP|9024745000125129446</stp>
        <tr r="F25" s="6"/>
      </tp>
      <tp t="s">
        <v>#N/A Requesting Data...2403820929</v>
        <stp/>
        <stp>BDP|8103469711155331730</stp>
        <tr r="I18" s="8"/>
      </tp>
      <tp t="s">
        <v>#N/A Requesting Data...4012288122</v>
        <stp/>
        <stp>BDP|7545852561222662412</stp>
        <tr r="C14" s="7"/>
      </tp>
      <tp t="s">
        <v>#N/A Requesting Data...2080630248</v>
        <stp/>
        <stp>BDP|6088033293549052968</stp>
        <tr r="J36" s="1"/>
      </tp>
      <tp t="s">
        <v>#N/A Requesting Data...2097717256</v>
        <stp/>
        <stp>BDP|8543619153731106508</stp>
        <tr r="E19" s="8"/>
      </tp>
      <tp t="s">
        <v>#N/A Requesting Data...2241135957</v>
        <stp/>
        <stp>BDP|9333627650771467432</stp>
        <tr r="H22" s="6"/>
      </tp>
      <tp>
        <v>67.75</v>
        <stp/>
        <stp>BDP|15581427696386834120|22</stp>
        <stp>HUT US Equity</stp>
        <stp>LAST_PRICE</stp>
        <tr r="D13" s="8"/>
      </tp>
      <tp t="s">
        <v>#N/A Requesting Data...1605031949</v>
        <stp/>
        <stp>BDP|7608899411110868113</stp>
        <tr r="H42" s="6"/>
      </tp>
      <tp t="s">
        <v>#N/A Requesting Data...3622538327</v>
        <stp/>
        <stp>BDP|3004720136939948191</stp>
        <tr r="O12" s="1"/>
      </tp>
      <tp t="s">
        <v>#N/A Requesting Data...2715166870</v>
        <stp/>
        <stp>BDP|9820606202203625384</stp>
        <tr r="I6" s="8"/>
      </tp>
      <tp t="s">
        <v>#N/A Requesting Data...4012250200</v>
        <stp/>
        <stp>BDP|6753970355062434754</stp>
        <tr r="H60" s="6"/>
      </tp>
      <tp>
        <v>63.829000000000001</v>
        <stp/>
        <stp>BDP|13066584123635541285|22</stp>
        <stp>US68389XBW48 Corp</stp>
        <stp>LAST_PRICE</stp>
        <tr r="D48" s="6"/>
      </tp>
      <tp>
        <v>99.087999999999994</v>
        <stp/>
        <stp>BDP|9427707044144471413|22</stp>
        <stp>CIFR 7.125 11/15/30 144A Corp</stp>
        <stp>LAST_PRICE</stp>
        <tr r="H18" s="1"/>
      </tp>
      <tp>
        <v>87.748999999999995</v>
        <stp/>
        <stp>BDP|13786792336849835770|22</stp>
        <stp>CIFR 0 11/01/2032 144A Corp</stp>
        <stp>LAST_PRICE</stp>
        <tr r="D41" s="6"/>
      </tp>
      <tp t="s">
        <v>#N/A Requesting Data...2615938342</v>
        <stp/>
        <stp>BDP|8230192937521724319</stp>
        <tr r="L6" s="1"/>
      </tp>
      <tp t="s">
        <v>#N/A Requesting Data...2551136311</v>
        <stp/>
        <stp>BDP|7595835615954040288</stp>
        <tr r="T6" s="1"/>
      </tp>
      <tp t="s">
        <v>#N/A Requesting Data...1705422988</v>
        <stp/>
        <stp>BDP|5807873361166233577</stp>
        <tr r="T25" s="1"/>
      </tp>
      <tp t="s">
        <v>#N/A Requesting Data...3354823831</v>
        <stp/>
        <stp>BDP|4993137328496360993</stp>
        <tr r="G8" s="8"/>
      </tp>
      <tp t="s">
        <v>#N/A Requesting Data...3936110461</v>
        <stp/>
        <stp>BDP|9654801558589036565</stp>
        <tr r="L29" s="1"/>
      </tp>
      <tp t="s">
        <v>#N/A Requesting Data...4009728055</v>
        <stp/>
        <stp>BDP|6732527199853628172</stp>
        <tr r="F47" s="6"/>
      </tp>
      <tp t="s">
        <v>#N/A Requesting Data...3459558381</v>
        <stp/>
        <stp>BDP|5556134199102118736</stp>
        <tr r="H59" s="6"/>
      </tp>
      <tp t="s">
        <v>#N/A Requesting Data...3530316535</v>
        <stp/>
        <stp>BDP|8124040244997224311</stp>
        <tr r="J16" s="1"/>
      </tp>
      <tp t="s">
        <v>#N/A Requesting Data...2636185451</v>
        <stp/>
        <stp>BDP|8375298148032380432</stp>
        <tr r="K18" s="6"/>
      </tp>
      <tp t="s">
        <v>#N/A Requesting Data...4288184301</v>
        <stp/>
        <stp>BDP|6759049454779743209</stp>
        <tr r="L9" s="1"/>
      </tp>
      <tp t="s">
        <v>#N/A Requesting Data...3460994342</v>
        <stp/>
        <stp>BDP|2191283285353502381</stp>
        <tr r="K10" s="6"/>
      </tp>
      <tp t="s">
        <v>#N/A Requesting Data...3873015194</v>
        <stp/>
        <stp>BDP|2966257931882961925</stp>
        <tr r="H9" s="6"/>
      </tp>
      <tp t="s">
        <v>#N/A Requesting Data...2437924609</v>
        <stp/>
        <stp>BDP|7037047988862344599</stp>
        <tr r="K11" s="1"/>
      </tp>
      <tp t="s">
        <v>#N/A Requesting Data...1854995281</v>
        <stp/>
        <stp>BDP|1764203659728143688</stp>
        <tr r="O10" s="1"/>
      </tp>
      <tp t="s">
        <v>#N/A Requesting Data...4148262086</v>
        <stp/>
        <stp>BDP|4570552497776173614</stp>
        <tr r="H44" s="6"/>
      </tp>
      <tp>
        <v>91.908000000000001</v>
        <stp/>
        <stp>BDP|5477112545961760441|22</stp>
        <stp>RPLDCI 6.581 05/30/49 144A Corp</stp>
        <stp>LAST_PRICE</stp>
        <tr r="H8" s="1"/>
      </tp>
      <tp t="s">
        <v>#N/A Requesting Data...3199761284</v>
        <stp/>
        <stp>BDP|3545691585164915097</stp>
        <tr r="F50" s="6"/>
      </tp>
      <tp t="s">
        <v>#N/A Requesting Data...4066338764</v>
        <stp/>
        <stp>BDP|8635352422829730991</stp>
        <tr r="G40" s="6"/>
      </tp>
      <tp t="s">
        <v>#N/A Requesting Data...2825534727</v>
        <stp/>
        <stp>BDP|5326201860131646984</stp>
        <tr r="G13" s="8"/>
      </tp>
      <tp t="s">
        <v>#N/A Requesting Data...3640991482</v>
        <stp/>
        <stp>BDP|8430504353581033058</stp>
        <tr r="G60" s="6"/>
      </tp>
      <tp t="s">
        <v>#N/A Requesting Data...2847774741</v>
        <stp/>
        <stp>BDP|4594940172314280733</stp>
        <tr r="I32" s="1"/>
      </tp>
      <tp t="s">
        <v>#N/A Requesting Data...4173627777</v>
        <stp/>
        <stp>BDP|8851034421504855701</stp>
        <tr r="I9" s="1"/>
      </tp>
      <tp t="s">
        <v>#N/A Requesting Data...1738456272</v>
        <stp/>
        <stp>BDP|2517830276253540764</stp>
        <tr r="H21" s="6"/>
      </tp>
      <tp t="s">
        <v>#N/A Requesting Data...3097718729</v>
        <stp/>
        <stp>BDP|9825678459296293542</stp>
        <tr r="H39" s="6"/>
      </tp>
      <tp t="s">
        <v>#N/A Requesting Data...3428976402</v>
        <stp/>
        <stp>BDP|2154513095201012639</stp>
        <tr r="O17" s="1"/>
      </tp>
      <tp t="s">
        <v>#N/A Requesting Data...3308844261</v>
        <stp/>
        <stp>BDP|3161845469796377288</stp>
        <tr r="F8" s="6"/>
      </tp>
      <tp t="s">
        <v>#N/A Requesting Data...4245985183</v>
        <stp/>
        <stp>BDP|1084602901307356959</stp>
        <tr r="K24" s="6"/>
      </tp>
      <tp t="s">
        <v>#N/A Requesting Data...3607179787</v>
        <stp/>
        <stp>BDP|9549153394728191013</stp>
        <tr r="E41" s="6"/>
      </tp>
      <tp t="s">
        <v>#N/A Requesting Data...2463498885</v>
        <stp/>
        <stp>BDP|8717722950543419056</stp>
        <tr r="G22" s="8"/>
      </tp>
      <tp t="s">
        <v>#N/A Requesting Data...3591839895</v>
        <stp/>
        <stp>BDP|7422542492076126472</stp>
        <tr r="O28" s="1"/>
      </tp>
      <tp t="s">
        <v>#N/A Requesting Data...3341142255</v>
        <stp/>
        <stp>BDP|6306506997450066307</stp>
        <tr r="K31" s="6"/>
      </tp>
      <tp t="s">
        <v>#N/A Requesting Data...1755335060</v>
        <stp/>
        <stp>BDP|7703048089570797689</stp>
        <tr r="I35" s="1"/>
      </tp>
      <tp t="s">
        <v>#N/A Requesting Data...1733223914</v>
        <stp/>
        <stp>BDP|8251682650710756280</stp>
        <tr r="G16" s="6"/>
      </tp>
      <tp t="s">
        <v>#N/A Requesting Data...3787167568</v>
        <stp/>
        <stp>BDP|3541775099472855664</stp>
        <tr r="O15" s="1"/>
      </tp>
      <tp>
        <v>115.244</v>
        <stp/>
        <stp>BDP|5925875267641744975|22</stp>
        <stp>NBIS 2.625 03/15/2033 144A Corp</stp>
        <stp>LAST_PRICE</stp>
        <tr r="D37" s="6"/>
      </tp>
      <tp t="s">
        <v>#N/A Requesting Data...2112589765</v>
        <stp/>
        <stp>BDP|4827719888299887839</stp>
        <tr r="E6" s="6"/>
      </tp>
      <tp t="s">
        <v>#N/A Requesting Data...2076489898</v>
        <stp/>
        <stp>BDP|2025487435579316645</stp>
        <tr r="H52" s="6"/>
      </tp>
      <tp t="s">
        <v>#N/A Requesting Data...3370811406</v>
        <stp/>
        <stp>BDP|5269215896577974366</stp>
        <tr r="K27" s="1"/>
      </tp>
      <tp t="s">
        <v>#N/A Requesting Data...1933447400</v>
        <stp/>
        <stp>BDP|5088507489603222129</stp>
        <tr r="F56" s="6"/>
      </tp>
      <tp t="s">
        <v>#N/A Requesting Data...2736795863</v>
        <stp/>
        <stp>BDP|4643453765665404906</stp>
        <tr r="H41" s="6"/>
      </tp>
      <tp t="s">
        <v>#N/A Requesting Data...2225114380</v>
        <stp/>
        <stp>BDP|6437085761572883863</stp>
        <tr r="L8" s="1"/>
      </tp>
      <tp t="s">
        <v>#N/A Requesting Data...3221644783</v>
        <stp/>
        <stp>BDP|9995768444207396784</stp>
        <tr r="F7" s="6"/>
      </tp>
      <tp t="s">
        <v>#N/A Requesting Data...2583025061</v>
        <stp/>
        <stp>BDP|7947689887265094675</stp>
        <tr r="G38" s="6"/>
      </tp>
      <tp t="s">
        <v>#N/A Requesting Data...2308611014</v>
        <stp/>
        <stp>BDP|5661091581814811379</stp>
        <tr r="G37" s="6"/>
      </tp>
      <tp t="s">
        <v>#N/A Requesting Data...3306267097</v>
        <stp/>
        <stp>BDP|1921800158901426730</stp>
        <tr r="I5" s="8"/>
      </tp>
      <tp t="s">
        <v>#N/A Requesting Data...2198249989</v>
        <stp/>
        <stp>BDP|6043422799658905945</stp>
        <tr r="E14" s="8"/>
      </tp>
      <tp t="s">
        <v>#N/A Requesting Data...2036560117</v>
        <stp/>
        <stp>BDP|2636641184812511479</stp>
        <tr r="L10" s="1"/>
      </tp>
      <tp>
        <v>97.972999999999999</v>
        <stp/>
        <stp>BDP|1006021180285868042|22</stp>
        <stp>NVDA 4.35 06/15/29 Corp</stp>
        <stp>LAST_PRICE</stp>
        <tr r="D7" s="6"/>
      </tp>
      <tp t="s">
        <v>#N/A Requesting Data...1858526843</v>
        <stp/>
        <stp>BDP|3479022358919377456</stp>
        <tr r="K38" s="6"/>
      </tp>
      <tp t="s">
        <v>#N/A Requesting Data...3253202914</v>
        <stp/>
        <stp>BDP|1695757775513921919</stp>
        <tr r="V10" s="1"/>
      </tp>
      <tp t="s">
        <v>#N/A Requesting Data...3759148534</v>
        <stp/>
        <stp>BDP|8526524898137725863</stp>
        <tr r="K31" s="1"/>
      </tp>
      <tp t="s">
        <v>#N/A Requesting Data...3029315203</v>
        <stp/>
        <stp>BDP|3147406750230609996</stp>
        <tr r="T23" s="1"/>
      </tp>
      <tp t="s">
        <v>#N/A Requesting Data...4221304741</v>
        <stp/>
        <stp>BDP|9226679508593614744</stp>
        <tr r="G17" s="8"/>
      </tp>
      <tp t="s">
        <v>#N/A Requesting Data...3047662850</v>
        <stp/>
        <stp>BDP|2273170288327099726</stp>
        <tr r="V30" s="1"/>
      </tp>
      <tp t="s">
        <v>#N/A Requesting Data...2346011028</v>
        <stp/>
        <stp>BDP|9776471200700921662</stp>
        <tr r="E31" s="6"/>
      </tp>
      <tp t="s">
        <v>#N/A Requesting Data...4257385064</v>
        <stp/>
        <stp>BDP|8163049186123946862</stp>
        <tr r="O27" s="1"/>
      </tp>
      <tp t="s">
        <v>#N/A Requesting Data...2239449239</v>
        <stp/>
        <stp>BDP|7559397080345244238</stp>
        <tr r="F51" s="6"/>
      </tp>
      <tp t="s">
        <v>#N/A Requesting Data...1800196476</v>
        <stp/>
        <stp>BDP|8489328124494159633</stp>
        <tr r="F15" s="6"/>
      </tp>
      <tp t="s">
        <v>#N/A Requesting Data...2911256191</v>
        <stp/>
        <stp>BDP|1605154157469444716</stp>
        <tr r="I6" s="1"/>
      </tp>
      <tp t="s">
        <v>#N/A Requesting Data...2584462663</v>
        <stp/>
        <stp>BDP|5905197635128675424</stp>
        <tr r="C9" s="7"/>
      </tp>
      <tp t="s">
        <v>#N/A Requesting Data...4128141011</v>
        <stp/>
        <stp>BDP|8703004739775197595</stp>
        <tr r="F32" s="6"/>
      </tp>
      <tp t="s">
        <v>#N/A Requesting Data...3161039738</v>
        <stp/>
        <stp>BDP|4995878467965887477</stp>
        <tr r="F48" s="6"/>
      </tp>
      <tp t="s">
        <v>#N/A Requesting Data...3168665310</v>
        <stp/>
        <stp>BDP|4480320251130460959</stp>
        <tr r="L27" s="1"/>
      </tp>
      <tp t="s">
        <v>#N/A Requesting Data...2501045307</v>
        <stp/>
        <stp>BDP|9543728052221404161</stp>
        <tr r="I15" s="1"/>
      </tp>
      <tp t="s">
        <v>#N/A Requesting Data...4120011135</v>
        <stp/>
        <stp>BDP|7498380179231121902</stp>
        <tr r="K7" s="6"/>
      </tp>
      <tp t="s">
        <v>#N/A Requesting Data...2603707133</v>
        <stp/>
        <stp>BDP|4670337118479984401</stp>
        <tr r="J29" s="1"/>
      </tp>
      <tp t="s">
        <v>#N/A Requesting Data...1845448771</v>
        <stp/>
        <stp>BDP|6356191469059241352</stp>
        <tr r="E8" s="6"/>
      </tp>
      <tp>
        <v>81.064999999999998</v>
        <stp/>
        <stp>BDP|14231646125725239741|22</stp>
        <stp>CRWV 9 02/01/2031 144A Corp</stp>
        <stp>LAST_PRICE</stp>
        <tr r="D32" s="6"/>
      </tp>
      <tp t="s">
        <v>#N/A Requesting Data...2674730404</v>
        <stp/>
        <stp>BDP|7017686313092116628</stp>
        <tr r="F38" s="6"/>
      </tp>
      <tp t="s">
        <v>#N/A Requesting Data...3809391888</v>
        <stp/>
        <stp>BDP|3143175448653557124</stp>
        <tr r="H45" s="6"/>
      </tp>
      <tp t="s">
        <v>#N/A Requesting Data...2647606702</v>
        <stp/>
        <stp>BDP|4186693036736036310</stp>
        <tr r="F54" s="6"/>
      </tp>
      <tp t="s">
        <v>#N/A Requesting Data...3109444303</v>
        <stp/>
        <stp>BDP|4782421112944079183</stp>
        <tr r="F26" s="6"/>
      </tp>
      <tp t="s">
        <v>#N/A Requesting Data...2417568008</v>
        <stp/>
        <stp>BDP|1877502921023045165</stp>
        <tr r="V7" s="1"/>
      </tp>
      <tp t="s">
        <v>#N/A Requesting Data...1886742724</v>
        <stp/>
        <stp>BDP|8927545927903419834</stp>
        <tr r="H25" s="6"/>
      </tp>
      <tp t="s">
        <v>#N/A Requesting Data...2419828739</v>
        <stp/>
        <stp>BDP|1443849196875289196</stp>
        <tr r="I7" s="1"/>
      </tp>
      <tp t="s">
        <v>#N/A Requesting Data...2707697198</v>
        <stp/>
        <stp>BDP|7471828302968141373</stp>
        <tr r="I11" s="8"/>
      </tp>
      <tp t="s">
        <v>#N/A Requesting Data...3878920129</v>
        <stp/>
        <stp>BDP|8357048559328477199</stp>
        <tr r="H28" s="6"/>
      </tp>
      <tp t="s">
        <v>#N/A Requesting Data...3960283215</v>
        <stp/>
        <stp>BDP|2291148030161463515</stp>
        <tr r="H33" s="6"/>
      </tp>
      <tp t="s">
        <v>#N/A Requesting Data...2171610124</v>
        <stp/>
        <stp>BDP|8251090689355734159</stp>
        <tr r="G46" s="6"/>
      </tp>
      <tp t="s">
        <v>#N/A Requesting Data...3177528167</v>
        <stp/>
        <stp>BDP|1188512113793050239</stp>
        <tr r="L23" s="1"/>
      </tp>
      <tp t="s">
        <v>#N/A Requesting Data...2179558135</v>
        <stp/>
        <stp>BDP|8291616797607536419</stp>
        <tr r="T8" s="1"/>
      </tp>
      <tp t="s">
        <v>#N/A Requesting Data...1662202900</v>
        <stp/>
        <stp>BDP|2129168127850490551</stp>
        <tr r="G34" s="6"/>
      </tp>
      <tp t="s">
        <v>#N/A Requesting Data...1647148196</v>
        <stp/>
        <stp>BDP|3760013131380526445</stp>
        <tr r="J18" s="1"/>
      </tp>
      <tp t="s">
        <v>#N/A Requesting Data...4173161379</v>
        <stp/>
        <stp>BDP|5398441952933555340</stp>
        <tr r="J10" s="1"/>
      </tp>
      <tp t="s">
        <v>#N/A Requesting Data...3749762248</v>
        <stp/>
        <stp>BDP|8694187248348032132</stp>
        <tr r="E21" s="8"/>
      </tp>
      <tp t="s">
        <v>#N/A Requesting Data...2179337047</v>
        <stp/>
        <stp>BDP|3145529312873348073</stp>
        <tr r="J27" s="1"/>
      </tp>
      <tp t="s">
        <v>#N/A Requesting Data...2081848026</v>
        <stp/>
        <stp>BDP|4773683713427430124</stp>
        <tr r="E15" s="6"/>
      </tp>
      <tp t="s">
        <v>#N/A Requesting Data...2494879220</v>
        <stp/>
        <stp>BDP|2883344315863605678</stp>
        <tr r="C18" s="7"/>
      </tp>
      <tp t="s">
        <v>#N/A Requesting Data...3716999007</v>
        <stp/>
        <stp>BDP|5212032758746555342</stp>
        <tr r="K6" s="1"/>
      </tp>
      <tp t="s">
        <v>#N/A Requesting Data...3079828701</v>
        <stp/>
        <stp>BDP|7130703228535157213</stp>
        <tr r="E48" s="6"/>
      </tp>
      <tp t="s">
        <v>#N/A Requesting Data...3686131432</v>
        <stp/>
        <stp>BDP|1946566253226771222</stp>
        <tr r="I26" s="1"/>
      </tp>
      <tp t="s">
        <v>#N/A Requesting Data...2298582017</v>
        <stp/>
        <stp>BDP|5313097766971766750</stp>
        <tr r="F45" s="6"/>
      </tp>
      <tp t="s">
        <v>#N/A Requesting Data...2712259724</v>
        <stp/>
        <stp>BDP|2837217012294388074</stp>
        <tr r="F34" s="6"/>
      </tp>
      <tp t="s">
        <v>#N/A Requesting Data...2914662002</v>
        <stp/>
        <stp>BDP|1923172346430216166</stp>
        <tr r="L18" s="1"/>
      </tp>
      <tp t="s">
        <v>#N/A Requesting Data...2786047756</v>
        <stp/>
        <stp>BDP|8226405385582787320</stp>
        <tr r="C16" s="7"/>
      </tp>
      <tp t="s">
        <v>#N/A Requesting Data...2152979756</v>
        <stp/>
        <stp>BDP|9435055910899590454</stp>
        <tr r="J9" s="1"/>
      </tp>
      <tp t="s">
        <v>#N/A Requesting Data...3037018670</v>
        <stp/>
        <stp>BDP|2693622362262565552</stp>
        <tr r="O9" s="1"/>
      </tp>
      <tp t="s">
        <v>#N/A Requesting Data...2668515658</v>
        <stp/>
        <stp>BDP|1585195138343565577</stp>
        <tr r="K34" s="6"/>
      </tp>
      <tp t="s">
        <v>#N/A Requesting Data...3733976282</v>
        <stp/>
        <stp>BDP|9031510935703417978</stp>
        <tr r="K58" s="6"/>
      </tp>
      <tp t="s">
        <v>#N/A Requesting Data...1686335943</v>
        <stp/>
        <stp>BDP|3130524236542042224</stp>
        <tr r="K25" s="6"/>
      </tp>
      <tp t="s">
        <v>#N/A Requesting Data...2032247710</v>
        <stp/>
        <stp>BDP|1866475417443693299</stp>
        <tr r="G33" s="6"/>
      </tp>
      <tp t="s">
        <v>#N/A Requesting Data...4168840573</v>
        <stp/>
        <stp>BDP|9773009281854555044</stp>
        <tr r="G54" s="6"/>
      </tp>
      <tp t="s">
        <v>#N/A Requesting Data...2452006639</v>
        <stp/>
        <stp>BDP|9059029553440044947</stp>
        <tr r="I13" s="8"/>
      </tp>
      <tp t="s">
        <v>#N/A Requesting Data...2121505380</v>
        <stp/>
        <stp>BDP|1347301564849157832</stp>
        <tr r="O29" s="1"/>
      </tp>
      <tp t="s">
        <v>#N/A Requesting Data...2337528601</v>
        <stp/>
        <stp>BDP|9258625602752272852</stp>
        <tr r="K18" s="1"/>
      </tp>
      <tp>
        <v>91.99</v>
        <stp/>
        <stp>BDP|5774138132722034720|22</stp>
        <stp>ORCL 4.95 02/04/31 Corp</stp>
        <stp>LAST_PRICE</stp>
        <tr r="H36" s="1"/>
      </tp>
      <tp t="s">
        <v>#N/A Requesting Data...2386874251</v>
        <stp/>
        <stp>BDP|4503054905302656092</stp>
        <tr r="H38" s="6"/>
      </tp>
      <tp t="s">
        <v>#N/A Requesting Data...2760027673</v>
        <stp/>
        <stp>BDP|7475547003524835011</stp>
        <tr r="O18" s="1"/>
      </tp>
      <tp t="s">
        <v>#N/A Requesting Data...2264557603</v>
        <stp/>
        <stp>BDP|8204090322754654865</stp>
        <tr r="G18" s="6"/>
      </tp>
      <tp t="s">
        <v>#N/A Requesting Data...4285466496</v>
        <stp/>
        <stp>BDP|1298312559100210176</stp>
        <tr r="O24" s="1"/>
      </tp>
      <tp t="s">
        <v>#N/A Requesting Data...2964520367</v>
        <stp/>
        <stp>BDP|1444852128405628800</stp>
        <tr r="L24" s="1"/>
      </tp>
      <tp t="s">
        <v>#N/A Requesting Data...4113858050</v>
        <stp/>
        <stp>BDP|7437494701673457643</stp>
        <tr r="G51" s="6"/>
      </tp>
      <tp t="s">
        <v>#N/A Requesting Data...2895706100</v>
        <stp/>
        <stp>BDP|1190391703884555022</stp>
        <tr r="T19" s="1"/>
      </tp>
      <tp>
        <v>49235290</v>
        <stp/>
        <stp>BDP|663306183394246805|22</stp>
        <stp>CIFR US Equity</stp>
        <stp>VOLUME</stp>
        <tr r="F10" s="8"/>
      </tp>
      <tp t="s">
        <v>#N/A Requesting Data...3190278737</v>
        <stp/>
        <stp>BDP|5514103872940225582</stp>
        <tr r="H36" s="6"/>
      </tp>
      <tp t="s">
        <v>#N/A Requesting Data...3609723242</v>
        <stp/>
        <stp>BDP|5909443920187959298</stp>
        <tr r="F30" s="6"/>
      </tp>
      <tp t="s">
        <v>#N/A Requesting Data...2905305644</v>
        <stp/>
        <stp>BDP|1929857563919615042</stp>
        <tr r="E36" s="6"/>
      </tp>
      <tp t="s">
        <v>#N/A Requesting Data...3433323301</v>
        <stp/>
        <stp>BDP|5623595704943498527</stp>
        <tr r="G47" s="6"/>
      </tp>
      <tp t="s">
        <v>#N/A Requesting Data...2911466382</v>
        <stp/>
        <stp>BDP|9435814260330044182</stp>
        <tr r="G11" s="6"/>
      </tp>
      <tp t="s">
        <v>#N/A Requesting Data...2714900959</v>
        <stp/>
        <stp>BDP|2502608856951734625</stp>
        <tr r="O36" s="1"/>
      </tp>
      <tp t="s">
        <v>#N/A Requesting Data...4252850474</v>
        <stp/>
        <stp>BDP|7944887397239099924</stp>
        <tr r="K25" s="1"/>
      </tp>
    </main>
    <main first="bofaddin.rtdserver">
      <tp t="s">
        <v>#N/A Requesting Data...2414343499</v>
        <stp/>
        <stp>BDP|7793782512252009471</stp>
        <tr r="V19" s="1"/>
        <tr r="V20" s="1"/>
      </tp>
      <tp t="s">
        <v>#N/A Requesting Data...3592926784</v>
        <stp/>
        <stp>BDP|6203235363802805720</stp>
        <tr r="K15" s="6"/>
      </tp>
      <tp t="s">
        <v>#N/A Requesting Data...2194476888</v>
        <stp/>
        <stp>BDP|5199661847652132299</stp>
        <tr r="I20" s="1"/>
      </tp>
      <tp t="s">
        <v>#N/A Requesting Data...3749327009</v>
        <stp/>
        <stp>BDP|9075480403308453260</stp>
        <tr r="L28" s="1"/>
      </tp>
      <tp t="s">
        <v>#N/A Requesting Data...3616350589</v>
        <stp/>
        <stp>BDP|3190767634021524199</stp>
        <tr r="O19" s="1"/>
      </tp>
      <tp t="s">
        <v>#N/A Requesting Data...2407751581</v>
        <stp/>
        <stp>BDP|7971228742627336165</stp>
        <tr r="F6" s="6"/>
      </tp>
      <tp t="s">
        <v>#N/A Requesting Data...3025239517</v>
        <stp/>
        <stp>BDP|6102600148784776739</stp>
        <tr r="G31" s="6"/>
      </tp>
      <tp t="s">
        <v>#N/A Requesting Data...3340853997</v>
        <stp/>
        <stp>BDP|6674835644344537995</stp>
        <tr r="J35" s="1"/>
      </tp>
      <tp t="s">
        <v>#N/A Requesting Data...1847356257</v>
        <stp/>
        <stp>BDP|7151684809214159230</stp>
        <tr r="I24" s="1"/>
      </tp>
      <tp t="s">
        <v>#N/A Requesting Data...4199771486</v>
        <stp/>
        <stp>BDP|5542421353475227659</stp>
        <tr r="G56" s="6"/>
      </tp>
      <tp t="s">
        <v>#N/A Requesting Data...2968300912</v>
        <stp/>
        <stp>BDP|1758885034478817520</stp>
        <tr r="H61" s="6"/>
      </tp>
      <tp t="s">
        <v>#N/A Requesting Data...3057184024</v>
        <stp/>
        <stp>BDP|4296509837924235105</stp>
        <tr r="F29" s="6"/>
      </tp>
      <tp t="s">
        <v>#N/A Requesting Data...1786231707</v>
        <stp/>
        <stp>BDP|9538436591135465642</stp>
        <tr r="O30" s="1"/>
      </tp>
      <tp t="s">
        <v>#N/A Requesting Data...3394681820</v>
        <stp/>
        <stp>BDP|5299546780826410954</stp>
        <tr r="C19" s="7"/>
      </tp>
      <tp t="s">
        <v>#N/A Requesting Data...3847289556</v>
        <stp/>
        <stp>BDP|1048339084805340836</stp>
        <tr r="K29" s="1"/>
      </tp>
      <tp t="s">
        <v>#N/A Requesting Data...3858329085</v>
        <stp/>
        <stp>BDP|2276244343880550348</stp>
        <tr r="O35" s="1"/>
      </tp>
      <tp t="s">
        <v>#N/A Requesting Data...1873996082</v>
        <stp/>
        <stp>BDP|6291575176235518636</stp>
        <tr r="K45" s="6"/>
      </tp>
      <tp t="s">
        <v>#N/A Requesting Data...4181015490</v>
        <stp/>
        <stp>BDP|2146528348534926073</stp>
        <tr r="I16" s="8"/>
      </tp>
      <tp>
        <v>98.998999999999995</v>
        <stp/>
        <stp>BDP|2172782329201301421|22</stp>
        <stp>TXEDCI 7.534 11/30/48 144A Corp</stp>
        <stp>LAST_PRICE</stp>
        <tr r="H9" s="1"/>
      </tp>
      <tp t="s">
        <v>#N/A Requesting Data...2766339987</v>
        <stp/>
        <stp>BDP|2990840621280468820</stp>
        <tr r="E50" s="6"/>
      </tp>
      <tp t="s">
        <v>#N/A Requesting Data...1792002025</v>
        <stp/>
        <stp>BDP|2176347350717927372</stp>
        <tr r="E14" s="6"/>
      </tp>
      <tp t="s">
        <v>#N/A Requesting Data...2133490322</v>
        <stp/>
        <stp>BDP|4989023650639119825</stp>
        <tr r="F33" s="6"/>
      </tp>
      <tp t="s">
        <v>#N/A Requesting Data...1973911735</v>
        <stp/>
        <stp>BDP|4370763148287744026</stp>
        <tr r="I9" s="8"/>
      </tp>
      <tp t="s">
        <v>#N/A Requesting Data...2711668535</v>
        <stp/>
        <stp>BDP|3654698581394514926</stp>
        <tr r="H32" s="6"/>
      </tp>
      <tp t="s">
        <v>#N/A Requesting Data...3604960234</v>
        <stp/>
        <stp>BDP|1794798830736442349</stp>
        <tr r="V27" s="1"/>
      </tp>
      <tp t="s">
        <v>#N/A Requesting Data...1810365530</v>
        <stp/>
        <stp>BDP|1077261746885808262</stp>
        <tr r="J19" s="1"/>
      </tp>
      <tp t="s">
        <v>#N/A Requesting Data...3222419444</v>
        <stp/>
        <stp>BDP|8103200297270806303</stp>
        <tr r="F36" s="6"/>
      </tp>
      <tp t="s">
        <v>#N/A Requesting Data...4097433791</v>
        <stp/>
        <stp>BDP|8863218492994144742</stp>
        <tr r="E12" s="8"/>
      </tp>
      <tp t="s">
        <v>#N/A Requesting Data...4228036233</v>
        <stp/>
        <stp>BDP|8523430207108705486</stp>
        <tr r="E35" s="6"/>
      </tp>
      <tp t="s">
        <v>#N/A Requesting Data...2436250744</v>
        <stp/>
        <stp>BDP|7068130976530293183</stp>
        <tr r="O22" s="1"/>
      </tp>
      <tp t="s">
        <v>#N/A Requesting Data...3915982758</v>
        <stp/>
        <stp>BDP|6084002452480481395</stp>
        <tr r="K48" s="6"/>
      </tp>
      <tp t="s">
        <v>#N/A Requesting Data...4036254403</v>
        <stp/>
        <stp>BDP|4522109710855994113</stp>
        <tr r="L15" s="1"/>
      </tp>
      <tp t="s">
        <v>#N/A Requesting Data...2458701253</v>
        <stp/>
        <stp>BDP|7600621581720863901</stp>
        <tr r="G50" s="6"/>
      </tp>
      <tp t="s">
        <v>#N/A Requesting Data...2458662828</v>
        <stp/>
        <stp>BDP|7515243396875489915</stp>
        <tr r="E30" s="6"/>
      </tp>
      <tp t="s">
        <v>#N/A Requesting Data...3090082094</v>
        <stp/>
        <stp>BDP|5651478963927888093</stp>
        <tr r="I8" s="1"/>
      </tp>
      <tp t="s">
        <v>#N/A Requesting Data...3559618771</v>
        <stp/>
        <stp>BDP|1212441856368302831</stp>
        <tr r="I22" s="8"/>
      </tp>
      <tp t="s">
        <v>#N/A Requesting Data...3875904102</v>
        <stp/>
        <stp>BDP|6851818889813751561</stp>
        <tr r="E51" s="6"/>
      </tp>
      <tp t="s">
        <v>#N/A Requesting Data...2825920219</v>
        <stp/>
        <stp>BDP|8793914943952178757</stp>
        <tr r="E17" s="8"/>
      </tp>
      <tp t="s">
        <v>#N/A Requesting Data...1992637269</v>
        <stp/>
        <stp>BDP|4912710958264032251</stp>
        <tr r="G6" s="6"/>
      </tp>
      <tp t="s">
        <v>#N/A Requesting Data...2709835185</v>
        <stp/>
        <stp>BDP|8796622161710182803</stp>
        <tr r="K53" s="6"/>
      </tp>
    </main>
    <main first="bofaddin.rtdserver">
      <tp t="s">
        <v>#N/A Requesting Data...3897912494</v>
        <stp/>
        <stp>BDP|1938980580532978328</stp>
        <tr r="H46" s="6"/>
      </tp>
      <tp t="s">
        <v>#N/A Requesting Data...2267215782</v>
        <stp/>
        <stp>BDP|9794743119817318927</stp>
        <tr r="K16" s="6"/>
      </tp>
      <tp t="s">
        <v>#N/A Requesting Data...2071759458</v>
        <stp/>
        <stp>BDP|7855281955323231299</stp>
        <tr r="O8" s="1"/>
      </tp>
      <tp t="s">
        <v>#N/A Requesting Data...2278245126</v>
        <stp/>
        <stp>BDP|7281089848884464691</stp>
        <tr r="K41" s="6"/>
      </tp>
      <tp t="s">
        <v>#N/A Requesting Data...3511220045</v>
        <stp/>
        <stp>BDP|8034857287628640187</stp>
        <tr r="H8" s="6"/>
      </tp>
      <tp t="s">
        <v>#N/A Requesting Data...3595321200</v>
        <stp/>
        <stp>BDP|8413028594657678793</stp>
        <tr r="J15" s="1"/>
      </tp>
      <tp t="s">
        <v>#N/A Requesting Data...4288154661</v>
        <stp/>
        <stp>BDP|3126633093734399907</stp>
        <tr r="K50" s="6"/>
      </tp>
      <tp t="s">
        <v>#N/A Requesting Data...2595943603</v>
        <stp/>
        <stp>BDP|3263423326432419618</stp>
        <tr r="T31" s="1"/>
      </tp>
      <tp t="s">
        <v>#N/A Requesting Data...1991475476</v>
        <stp/>
        <stp>BDP|9450499594500891521</stp>
        <tr r="G12" s="8"/>
      </tp>
      <tp t="s">
        <v>#N/A Requesting Data...4090721140</v>
        <stp/>
        <stp>BDP|1668328566514322174</stp>
        <tr r="C6" s="7"/>
      </tp>
      <tp t="s">
        <v>#N/A Requesting Data...2270099092</v>
        <stp/>
        <stp>BDP|5412328744495039596</stp>
        <tr r="F57" s="6"/>
      </tp>
      <tp t="s">
        <v>#N/A Requesting Data...3732953923</v>
        <stp/>
        <stp>BDP|1488289654436813287</stp>
        <tr r="E59" s="6"/>
      </tp>
      <tp t="s">
        <v>#N/A Requesting Data...2292543975</v>
        <stp/>
        <stp>BDP|8568490059448877334</stp>
        <tr r="V8" s="1"/>
        <tr r="V9" s="1"/>
      </tp>
      <tp t="s">
        <v>#N/A Requesting Data...3359228178</v>
        <stp/>
        <stp>BDP|9567233396810863072</stp>
        <tr r="E9" s="8"/>
      </tp>
      <tp t="s">
        <v>#N/A Requesting Data...1984777384</v>
        <stp/>
        <stp>BDP|1732955987817856528</stp>
        <tr r="E16" s="8"/>
      </tp>
      <tp t="s">
        <v>#N/A Requesting Data...4146634310</v>
        <stp/>
        <stp>BDP|1582693194559547517</stp>
        <tr r="F22" s="6"/>
      </tp>
      <tp t="s">
        <v>#N/A Requesting Data...1779033321</v>
        <stp/>
        <stp>BDP|6667344232804140010</stp>
        <tr r="F41" s="6"/>
      </tp>
      <tp t="s">
        <v>#N/A Requesting Data...2088442289</v>
        <stp/>
        <stp>BDP|7379416374427361145</stp>
        <tr r="G12" s="6"/>
      </tp>
      <tp t="s">
        <v>#N/A Requesting Data...2229668427</v>
        <stp/>
        <stp>BDP|4778026783928634660</stp>
        <tr r="G28" s="6"/>
      </tp>
      <tp t="s">
        <v>#N/A Requesting Data...2456941714</v>
        <stp/>
        <stp>BDP|8714949356914782247</stp>
        <tr r="H12" s="6"/>
      </tp>
      <tp t="s">
        <v>#N/A Requesting Data...2636377011</v>
        <stp/>
        <stp>BDP|5067465274762704637</stp>
        <tr r="K6" s="6"/>
      </tp>
      <tp t="s">
        <v>#N/A Requesting Data...2564726088</v>
        <stp/>
        <stp>BDP|3032100733370460312</stp>
        <tr r="E29" s="6"/>
      </tp>
      <tp t="s">
        <v>#N/A Requesting Data...2776093089</v>
        <stp/>
        <stp>BDP|7169698485173362891</stp>
        <tr r="O11" s="1"/>
      </tp>
      <tp t="s">
        <v>#N/A Requesting Data...3962353485</v>
        <stp/>
        <stp>BDP|6711074978775029723</stp>
        <tr r="K32" s="1"/>
      </tp>
      <tp t="s">
        <v>#N/A Requesting Data...1948541848</v>
        <stp/>
        <stp>BDP|5627629519246525728</stp>
        <tr r="H49" s="6"/>
      </tp>
      <tp t="s">
        <v>#N/A Requesting Data...3676736701</v>
        <stp/>
        <stp>BDP|7242700538943691349</stp>
        <tr r="H10" s="6"/>
      </tp>
      <tp t="s">
        <v>#N/A Requesting Data...2073710812</v>
        <stp/>
        <stp>BDP|2793921993731966060</stp>
        <tr r="G7" s="8"/>
      </tp>
      <tp t="s">
        <v>#N/A Requesting Data...1906108407</v>
        <stp/>
        <stp>BDP|5064897994021796633</stp>
        <tr r="H16" s="6"/>
      </tp>
      <tp t="s">
        <v>#N/A Requesting Data...3907736505</v>
        <stp/>
        <stp>BDP|4631469969203027606</stp>
        <tr r="I21" s="1"/>
      </tp>
      <tp t="s">
        <v>#N/A Requesting Data...1893504935</v>
        <stp/>
        <stp>BDP|2417333940803734595</stp>
        <tr r="H26" s="6"/>
      </tp>
      <tp t="s">
        <v>#N/A Requesting Data...2028369928</v>
        <stp/>
        <stp>BDP|6686865587810732591</stp>
        <tr r="K9" s="6"/>
      </tp>
      <tp t="s">
        <v>#N/A Requesting Data...2797830331</v>
        <stp/>
        <stp>BDP|2695705952801226293</stp>
        <tr r="G20" s="8"/>
      </tp>
      <tp t="s">
        <v>#N/A Requesting Data...2642241499</v>
        <stp/>
        <stp>BDP|3710006632256116595</stp>
        <tr r="T28" s="1"/>
      </tp>
      <tp t="s">
        <v>#N/A Requesting Data...4133967377</v>
        <stp/>
        <stp>BDP|5843692017659765839</stp>
        <tr r="G29" s="6"/>
      </tp>
      <tp t="s">
        <v>#N/A Requesting Data...1836868123</v>
        <stp/>
        <stp>BDP|8177037816653788906</stp>
        <tr r="I17" s="8"/>
      </tp>
      <tp t="s">
        <v>#N/A Requesting Data...2251767617</v>
        <stp/>
        <stp>BDP|5543864289141226789</stp>
        <tr r="H56" s="6"/>
      </tp>
      <tp t="s">
        <v>#N/A Requesting Data...3306012143</v>
        <stp/>
        <stp>BDP|4260636324583695020</stp>
        <tr r="G53" s="6"/>
      </tp>
      <tp t="s">
        <v>#N/A Requesting Data...3992180506</v>
        <stp/>
        <stp>BDP|6886787835401137034</stp>
        <tr r="K19" s="1"/>
      </tp>
      <tp t="s">
        <v>#N/A Requesting Data...1823898741</v>
        <stp/>
        <stp>BDP|9417066929690538894</stp>
        <tr r="G52" s="6"/>
      </tp>
      <tp t="s">
        <v>#N/A Requesting Data...1988929735</v>
        <stp/>
        <stp>BDP|1613068478770878540</stp>
        <tr r="J28" s="1"/>
      </tp>
      <tp t="s">
        <v>#N/A Requesting Data...1984795132</v>
        <stp/>
        <stp>BDP|6381764386533744908</stp>
        <tr r="K29" s="6"/>
      </tp>
      <tp t="s">
        <v>#N/A Requesting Data...3655344663</v>
        <stp/>
        <stp>BDP|9230703750700167875</stp>
        <tr r="G8" s="6"/>
      </tp>
      <tp t="s">
        <v>#N/A Requesting Data...3430679416</v>
        <stp/>
        <stp>BDP|5458944560848108143</stp>
        <tr r="H19" s="6"/>
      </tp>
      <tp t="s">
        <v>#N/A Requesting Data...1822850424</v>
        <stp/>
        <stp>BDP|6030582204561077190</stp>
        <tr r="I22" s="1"/>
      </tp>
      <tp>
        <v>13.48</v>
        <stp/>
        <stp>BDP|8972461467364999250|22</stp>
        <stp>CORZ US Equity</stp>
        <stp>LAST_PRICE</stp>
        <tr r="D9" s="8"/>
      </tp>
      <tp>
        <v>528.75</v>
        <stp/>
        <stp>BDP|13806753115830245115|22</stp>
        <stp>AMD US Equity</stp>
        <stp>LAST_PRICE</stp>
        <tr r="D17" s="8"/>
      </tp>
      <tp>
        <v>529.04999999999995</v>
        <stp/>
        <stp>BDP|9988051122657863096|22</stp>
        <stp>MSFT US Equity</stp>
        <stp>LAST_PRICE</stp>
        <tr r="D21" s="8"/>
      </tp>
      <tp>
        <v>8.98</v>
        <stp/>
        <stp>BDP|6067601699113636410|22</stp>
        <stp>CIFR US Equity</stp>
        <stp>LAST_PRICE</stp>
        <tr r="D10" s="8"/>
      </tp>
      <tp>
        <v>98.903000000000006</v>
        <stp/>
        <stp>BDP|17600975912127066787|22</stp>
        <stp>SOFTBK 9.75 04/01/2034 144A Corp</stp>
        <stp>LAST_PRICE</stp>
        <tr r="D42" s="6"/>
      </tp>
      <tp>
        <v>11.68</v>
        <stp/>
        <stp>BDP|5468380634687913453|22</stp>
        <stp>WULF US Equity</stp>
        <stp>LAST_PRICE</stp>
        <tr r="D11" s="8"/>
      </tp>
      <tp>
        <v>4944</v>
        <stp/>
        <stp>BDP|12570771867092001813|22</stp>
        <stp>9984 JT Equity</stp>
        <stp>LAST_PRICE</stp>
        <tr r="D23" s="8"/>
      </tp>
      <tp>
        <v>93.150999999999996</v>
        <stp/>
        <stp>BDP|14587260570471674781|22</stp>
        <stp>US02079KBM80 Corp</stp>
        <stp>LAST_PRICE</stp>
        <tr r="D45" s="6"/>
      </tp>
      <tp>
        <v>99.47</v>
        <stp/>
        <stp>BDP|6755548650997387654|22</stp>
        <stp>BL567281 Corp</stp>
        <stp>LAST_PRICE</stp>
        <tr r="D34" s="6"/>
      </tp>
      <tp>
        <v>93.414000000000001</v>
        <stp/>
        <stp>BDP|11115385115753255430|22</stp>
        <stp>US30303MAH51 Corp</stp>
        <stp>LAST_PRICE</stp>
        <tr r="D47" s="6"/>
      </tp>
      <tp>
        <v>89.656999999999996</v>
        <stp/>
        <stp>BDP|2992516172908594041|22</stp>
        <stp>YNDRDC 6.875 06/30/31 144A Corp</stp>
        <stp>LAST_PRICE</stp>
        <tr r="H32" s="1"/>
      </tp>
      <tp t="s">
        <v>#N/A Requesting Data...3790634518</v>
        <stp/>
        <stp>BDP|99935050851379168</stp>
        <tr r="K10" s="1"/>
      </tp>
      <tp>
        <v>94831682</v>
        <stp/>
        <stp>BDP|311028603508895910|22</stp>
        <stp>CRWV US Equity</stp>
        <stp>VOLUME</stp>
        <tr r="F5" s="8"/>
      </tp>
      <tp>
        <v>99</v>
        <stp/>
        <stp>BDP|1734702802163202687|22</stp>
        <stp>BL570250 Corp</stp>
        <stp>LAST_PRICE</stp>
        <tr r="D25" s="6"/>
      </tp>
      <tp>
        <v>128.22999999999999</v>
        <stp/>
        <stp>BDP|8523820006929361112|22</stp>
        <stp>ORCL US Equity</stp>
        <stp>LAST_PRICE</stp>
        <tr r="D14" s="8"/>
      </tp>
      <tp>
        <v>95.519000000000005</v>
        <stp/>
        <stp>BDP|12961934589348894105|22</stp>
        <stp>US02079KBK25 Corp</stp>
        <stp>LAST_PRICE</stp>
        <tr r="D46" s="6"/>
      </tp>
      <tp t="s">
        <v>#N/A Requesting Data...2048719993</v>
        <stp/>
        <stp>BDP|38406218365294066</stp>
        <tr r="V6" s="1"/>
      </tp>
      <tp>
        <v>214.13</v>
        <stp/>
        <stp>BDP|2630581548609766860|22</stp>
        <stp>NVDA US Equity</stp>
        <stp>LAST_PRICE</stp>
        <tr r="D16" s="8"/>
      </tp>
      <tp>
        <v>95.951999999999998</v>
        <stp/>
        <stp>BDP|498346504391661719|22</stp>
        <stp>NVDA 4.5 06/15/31 Corp</stp>
        <stp>LAST_PRICE</stp>
        <tr r="D8" s="6"/>
      </tp>
      <tp>
        <v>86.515000000000001</v>
        <stp/>
        <stp>BDP|15859856197809572601|22</stp>
        <stp>US67066GAN43 Corp</stp>
        <stp>LAST_PRICE</stp>
        <tr r="D44" s="6"/>
      </tp>
      <tp>
        <v>6182193</v>
        <stp/>
        <stp>BDP|3081152151060990434|22</stp>
        <stp>HUT US Equity</stp>
        <stp>VOLUME</stp>
        <tr r="F13" s="8"/>
      </tp>
      <tp>
        <v>165.47</v>
        <stp/>
        <stp>BDP|2741149270745904146|22</stp>
        <stp>NBIS US Equity</stp>
        <stp>LAST_PRICE</stp>
        <tr r="D6" s="8"/>
      </tp>
      <tp t="s">
        <v>#N/A Requesting Data...2990899191</v>
        <stp/>
        <stp>BDP|55312636470723769</stp>
        <tr r="J22" s="1"/>
      </tp>
      <tp>
        <v>90.311000000000007</v>
        <stp/>
        <stp>BDP|8085128117460907140|22</stp>
        <stp>AVGO 4.95 01/15/2036 Corp</stp>
        <stp>LAST_PRICE</stp>
        <tr r="D17" s="6"/>
      </tp>
      <tp>
        <v>87.991</v>
        <stp/>
        <stp>BDP|10540261624053421233|22</stp>
        <stp>QTSQST 5.7 04/15/36 144A Corp</stp>
        <stp>LAST_PRICE</stp>
        <tr r="H12" s="1"/>
      </tp>
      <tp t="s">
        <v>#N/A Requesting Data...2609039004</v>
        <stp/>
        <stp>BDP|565074763883847264</stp>
        <tr r="E22" s="8"/>
      </tp>
      <tp>
        <v>84.936999999999998</v>
        <stp/>
        <stp>BDP|18145405737971218912|22</stp>
        <stp>SPCX 6.65 07/15/2056 144A Corp</stp>
        <stp>LAST_PRICE</stp>
        <tr r="D24" s="6"/>
      </tp>
      <tp t="s">
        <v>#N/A Requesting Data...3433961940</v>
        <stp/>
        <stp>BDP|903722517700095038</stp>
        <tr r="L11" s="1"/>
      </tp>
      <tp t="s">
        <v>#N/A Requesting Data...2135672381</v>
        <stp/>
        <stp>BDP|730015952581383215</stp>
        <tr r="E9" s="6"/>
      </tp>
      <tp t="s">
        <v>#N/A Requesting Data...1788568692</v>
        <stp/>
        <stp>BDP|458871451303257827</stp>
        <tr r="K30" s="6"/>
      </tp>
      <tp>
        <v>323.30200000000002</v>
        <stp/>
        <stp>BDP|14520542759837355199|22</stp>
        <stp>NBIS 2 06/05/2029 Corp</stp>
        <stp>LAST_PRICE</stp>
        <tr r="D57" s="6"/>
      </tp>
      <tp t="s">
        <v>#N/A Requesting Data...4243421048</v>
        <stp/>
        <stp>BDP|342762165359524989</stp>
        <tr r="G14" s="8"/>
      </tp>
      <tp>
        <v>55576764</v>
        <stp/>
        <stp>BDP|15397953186434714911|22</stp>
        <stp>WULF US Equity</stp>
        <stp>VOLUME</stp>
        <tr r="F11" s="8"/>
      </tp>
      <tp t="s">
        <v>#N/A Requesting Data...2056708308</v>
        <stp/>
        <stp>BDP|176883550059999793</stp>
        <tr r="T17" s="1"/>
      </tp>
      <tp t="s">
        <v>#N/A Requesting Data...1821870636</v>
        <stp/>
        <stp>BDP|507743551730598110</stp>
        <tr r="K11" s="6"/>
      </tp>
      <tp>
        <v>88158607</v>
        <stp/>
        <stp>BDP|12514168001375959207|22</stp>
        <stp>SPCX US Equity</stp>
        <stp>VOLUME</stp>
        <tr r="F18" s="8"/>
      </tp>
      <tp>
        <v>91.867999999999995</v>
        <stp/>
        <stp>BDP|17585352831963573831|22</stp>
        <stp>MERIDI 6.25 04/30/31 144A Corp</stp>
        <stp>LAST_PRICE</stp>
        <tr r="H26" s="1"/>
      </tp>
      <tp>
        <v>184.03299999999999</v>
        <stp/>
        <stp>BDP|5008575958118162067|22</stp>
        <stp>IREN 3.25 06/15/2030 Corp</stp>
        <stp>LAST_PRICE</stp>
        <tr r="D60" s="6"/>
      </tp>
      <tp t="s">
        <v>#N/A Requesting Data...2163594503</v>
        <stp/>
        <stp>BDP|331037944593727597</stp>
        <tr r="J23" s="1"/>
      </tp>
      <tp t="s">
        <v>#N/A Requesting Data...3452052200</v>
        <stp/>
        <stp>BDP|942969125216207076</stp>
        <tr r="H35" s="6"/>
      </tp>
    </main>
    <main first="bofaddin.rtdserver">
      <tp t="s">
        <v>#N/A Requesting Data...3294455911</v>
        <stp/>
        <stp>BDP|943133489084720384</stp>
        <tr r="K33" s="6"/>
      </tp>
      <tp t="s">
        <v>#N/A Requesting Data...2350246466</v>
        <stp/>
        <stp>BDP|996325817905748974</stp>
        <tr r="K54" s="6"/>
      </tp>
      <tp t="s">
        <v>#N/A Requesting Data...2781012373</v>
        <stp/>
        <stp>BDP|390714951618010480</stp>
        <tr r="F17" s="6"/>
      </tp>
      <tp>
        <v>29714467</v>
        <stp/>
        <stp>BDP|11603098018337228578|22</stp>
        <stp>AVGO US Equity</stp>
        <stp>VOLUME</stp>
        <tr r="F15" s="8"/>
      </tp>
      <tp>
        <v>113.562</v>
        <stp/>
        <stp>BDP|17642760468939980866|22</stp>
        <stp>NBIS 1.25 03/15/2031 144A Corp</stp>
        <stp>LAST_PRICE</stp>
        <tr r="D36" s="6"/>
      </tp>
      <tp t="s">
        <v>#N/A Requesting Data...3228035317</v>
        <stp/>
        <stp>BDP|230713272501440919</stp>
        <tr r="K17" s="6"/>
      </tp>
      <tp t="s">
        <v>#N/A Requesting Data...1897898093</v>
        <stp/>
        <stp>BDP|562418668792111899</stp>
        <tr r="I12" s="1"/>
      </tp>
      <tp>
        <v>98.352000000000004</v>
        <stp/>
        <stp>BDP|15006977115523237037|22</stp>
        <stp>BLKPRL 6.125 02/15/31 144A Corp</stp>
        <stp>LAST_PRICE</stp>
        <tr r="H19" s="1"/>
      </tp>
      <tp>
        <v>93.918999999999997</v>
        <stp/>
        <stp>BDP|16774445660167254142|22</stp>
        <stp>HUTRBA 6.192 11/15/42 144A Corp</stp>
        <stp>LAST_PRICE</stp>
        <tr r="H7" s="1"/>
      </tp>
      <tp t="s">
        <v>#N/A Requesting Data...3460965794</v>
        <stp/>
        <stp>BDP|425385163186521847</stp>
        <tr r="I21" s="8"/>
      </tp>
      <tp>
        <v>68109967</v>
        <stp/>
        <stp>BDP|15417176793975714826|22</stp>
        <stp>IREN US Equity</stp>
        <stp>VOLUME</stp>
        <tr r="F7" s="8"/>
      </tp>
      <tp t="s">
        <v>#N/A Requesting Data...3213322184</v>
        <stp/>
        <stp>BDP|195210141015962997</stp>
        <tr r="K21" s="6"/>
      </tp>
      <tp>
        <v>95.049000000000007</v>
        <stp/>
        <stp>BDP|12220723001015212684|22</stp>
        <stp>NVDA 4.75 06/15/33 Corp</stp>
        <stp>LAST_PRICE</stp>
        <tr r="D9" s="6"/>
      </tp>
      <tp>
        <v>90.215000000000003</v>
        <stp/>
        <stp>BDP|17146368634077644689|22</stp>
        <stp>TRACTD 6.5 05/01/31 144A Corp</stp>
        <stp>LAST_PRICE</stp>
        <tr r="H24" s="1"/>
      </tp>
      <tp>
        <v>99.373999999999995</v>
        <stp/>
        <stp>BDP|16059719473516356608|22</stp>
        <stp>FLASHC 7.25 12/31/30 144A Corp</stp>
        <stp>LAST_PRICE</stp>
        <tr r="H25" s="1"/>
      </tp>
    </main>
    <main first="bofaddin.rtdserver">
      <tp>
        <v>89.834999999999994</v>
        <stp/>
        <stp>BDP|10676250201110018644|22</stp>
        <stp>NVDA 5.55 06/15/46 Corp</stp>
        <stp>LAST_PRICE</stp>
        <tr r="D11" s="6"/>
      </tp>
      <tp>
        <v>84.688000000000002</v>
        <stp/>
        <stp>BDP|16255655435297560918|22</stp>
        <stp>CRWV 9.25 06/01/2030 144A Corp</stp>
        <stp>LAST_PRICE</stp>
        <tr r="D31" s="6"/>
      </tp>
      <tp>
        <v>137.68199999999999</v>
        <stp/>
        <stp>BDP|7533292225448713331|22</stp>
        <stp>NBIS 2.75 09/15/2032 Corp</stp>
        <stp>LAST_PRICE</stp>
        <tr r="D59" s="6"/>
      </tp>
      <tp>
        <v>40279356</v>
        <stp/>
        <stp>BDP|16774695171053780456|22</stp>
        <stp>AMZN US Equity</stp>
        <stp>VOLUME</stp>
        <tr r="F22" s="8"/>
      </tp>
      <tp>
        <v>93.078000000000003</v>
        <stp/>
        <stp>BDP|15823542099040345617|22</stp>
        <stp>NVDA 4.95 06/15/36 Corp</stp>
        <stp>LAST_PRICE</stp>
        <tr r="D10" s="6"/>
      </tp>
      <tp>
        <v>89.108999999999995</v>
        <stp/>
        <stp>BDP|12853771877057528374|22</stp>
        <stp>TRACTC 5.875 03/01/31 144A Corp</stp>
        <stp>LAST_PRICE</stp>
        <tr r="H23" s="1"/>
      </tp>
      <tp>
        <v>22283335</v>
        <stp/>
        <stp>BDP|17960980575517584074|22</stp>
        <stp>CORZ US Equity</stp>
        <stp>VOLUME</stp>
        <tr r="F9" s="8"/>
      </tp>
      <tp>
        <v>95.293999999999997</v>
        <stp/>
        <stp>BDP|13112421666766227465|22</stp>
        <stp>SECMOS 8.875 05/01/31 144A Corp</stp>
        <stp>LAST_PRICE</stp>
        <tr r="H30" s="1"/>
      </tp>
      <tp>
        <v>92.835999999999999</v>
        <stp/>
        <stp>BDP|2639190207547932951|22</stp>
        <stp>ELNFOR 7 06/15/31 144A Corp</stp>
        <stp>LAST_PRICE</stp>
        <tr r="H17" s="1"/>
      </tp>
      <tp>
        <v>223.50200000000001</v>
        <stp/>
        <stp>BDP|5833059066192355940|22</stp>
        <stp>CIFR 1.75 05/15/2030 Corp</stp>
        <stp>LAST_PRICE</stp>
        <tr r="D39" s="6"/>
      </tp>
      <tp>
        <v>97.75</v>
        <stp/>
        <stp>BDP|6701960274525107457|22</stp>
        <stp>XS3344488864 Corp</stp>
        <stp>LAST_PRICE</stp>
        <tr r="D53" s="6"/>
      </tp>
      <tp>
        <v>78.738</v>
        <stp/>
        <stp>BDP|17697452687979744561|22</stp>
        <stp>CRWV 2.875 04/01/2033 144A Corp</stp>
        <stp>LAST_PRICE</stp>
        <tr r="D30" s="6"/>
      </tp>
      <tp>
        <v>98.887</v>
        <stp/>
        <stp>BDP|11754453436242204979|22</stp>
        <stp>NVDA 4.25 06/15/28 Corp</stp>
        <stp>LAST_PRICE</stp>
        <tr r="D6" s="6"/>
      </tp>
      <tp>
        <v>77.838999999999999</v>
        <stp/>
        <stp>BDP|14494886421973149601|22</stp>
        <stp>CRWV 1.75 12/01/2031 144A Corp</stp>
        <stp>LAST_PRICE</stp>
        <tr r="D28" s="6"/>
      </tp>
    </main>
    <main first="bofaddin.rtdserver">
      <tp>
        <v>81.122</v>
        <stp/>
        <stp>BDP|12918736023981560030|22</stp>
        <stp>CRWV 9.75 10/01/2031 144A Corp</stp>
        <stp>LAST_PRICE</stp>
        <tr r="H35" s="1"/>
      </tp>
      <tp>
        <v>78.251000000000005</v>
        <stp/>
        <stp>BDP|9876805676023297344|22</stp>
        <stp>XS3333139288 Corp</stp>
        <stp>LAST_PRICE</stp>
        <tr r="D56" s="6"/>
      </tp>
      <tp>
        <v>95.265000000000001</v>
        <stp/>
        <stp>BDP|5639353754768422494|22</stp>
        <stp>STNGRY 6 06/15/31 144A Corp</stp>
        <stp>LAST_PRICE</stp>
        <tr r="H20" s="1"/>
      </tp>
      <tp>
        <v>91.063999999999993</v>
        <stp/>
        <stp>BDP|14915215773500795711|22</stp>
        <stp>GALAXY 9.875 08/01/31 144A Corp</stp>
        <stp>LAST_PRICE</stp>
        <tr r="H28" s="1"/>
      </tp>
      <tp>
        <v>20584774</v>
        <stp/>
        <stp>BDP|16998821685417815532|22</stp>
        <stp>META US Equity</stp>
        <stp>VOLUME</stp>
        <tr r="F19" s="8"/>
      </tp>
    </main>
  </volType>
</volType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hyperlink" Target="https://www.sec.gov/Archives/edgar/data/1964789/000110465926090041/tm2621890d1_ex99-1.htm" TargetMode="External"/><Relationship Id="rId13" Type="http://schemas.openxmlformats.org/officeDocument/2006/relationships/hyperlink" Target="https://www.sec.gov/Archives/edgar/data/1964789/000110465926111154/tm2625691d1_8k.htm" TargetMode="External"/><Relationship Id="rId3" Type="http://schemas.openxmlformats.org/officeDocument/2006/relationships/hyperlink" Target="https://www.sec.gov/Archives/edgar/data/1964789/000110465926070393/tm2616869d1_ex99-1.htm" TargetMode="External"/><Relationship Id="rId7" Type="http://schemas.openxmlformats.org/officeDocument/2006/relationships/hyperlink" Target="https://www.sec.gov/Archives/edgar/data/1964789/000110465926084862/tm2620835d1_ex99-1.htm" TargetMode="External"/><Relationship Id="rId12" Type="http://schemas.openxmlformats.org/officeDocument/2006/relationships/hyperlink" Target="https://www.coindesk.com/tech/2026/09/01/hut-8-s-texas-power-site-sits-inside-anthropic-s-usd35-billion-ai-deal" TargetMode="External"/><Relationship Id="rId2" Type="http://schemas.openxmlformats.org/officeDocument/2006/relationships/hyperlink" Target="https://www.sec.gov/Archives/edgar/data/1964789/000110465926071952/tm2617190d1_8k.htm" TargetMode="External"/><Relationship Id="rId1" Type="http://schemas.openxmlformats.org/officeDocument/2006/relationships/hyperlink" Target="https://www.sec.gov/Archives/edgar/data/1964789/000110465926071952/tm2617190d1_ex4-1.htm" TargetMode="External"/><Relationship Id="rId6" Type="http://schemas.openxmlformats.org/officeDocument/2006/relationships/hyperlink" Target="https://www.sec.gov/Archives/edgar/data/1964789/000110465926055894/hut-20260506xex99d1.htm" TargetMode="External"/><Relationship Id="rId11" Type="http://schemas.openxmlformats.org/officeDocument/2006/relationships/hyperlink" Target="https://thenextweb.com/news/nvidia-50bn-texas-data-centre" TargetMode="External"/><Relationship Id="rId5" Type="http://schemas.openxmlformats.org/officeDocument/2006/relationships/hyperlink" Target="https://www.placera.se/pressmeddelanden/hut-8-mining-hut-8-closes-4-25-billion-of-investment-grade-senior-secured-notes-for-beacon-point-data-center-project-20260610" TargetMode="External"/><Relationship Id="rId10" Type="http://schemas.openxmlformats.org/officeDocument/2006/relationships/hyperlink" Target="https://www.sec.gov/Archives/edgar/data/1045810/000104581026000075/nvda-20260726.htm" TargetMode="External"/><Relationship Id="rId4" Type="http://schemas.openxmlformats.org/officeDocument/2006/relationships/hyperlink" Target="https://www.sec.gov/Archives/edgar/data/1964789/000110465926070744/tm2616926d1_8k.htm" TargetMode="External"/><Relationship Id="rId9" Type="http://schemas.openxmlformats.org/officeDocument/2006/relationships/hyperlink" Target="https://www.sec.gov/Archives/edgar/data/1964789/000110465926090025/hut-20260630x10q.htm" TargetMode="External"/><Relationship Id="rId14" Type="http://schemas.openxmlformats.org/officeDocument/2006/relationships/hyperlink" Target="https://www.techtimes.com/articles/328138/20260928/hut-8-closes-two-tier-ai-data-center-finance-stack-jpmorgan-leads-12-bank-revolver.ht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sec.gov/Archives/edgar/data/1964789/000110465926019392/hut-20251231x10k.htm" TargetMode="External"/><Relationship Id="rId13" Type="http://schemas.openxmlformats.org/officeDocument/2006/relationships/hyperlink" Target="http://www.cajunconservatism.com/blog/2026/10/9/river-bend-data-center-moves-from-announcement-to-visible-buildout-near-st-francisville" TargetMode="External"/><Relationship Id="rId3" Type="http://schemas.openxmlformats.org/officeDocument/2006/relationships/hyperlink" Target="https://www.sec.gov/Archives/edgar/data/1964789/000110465926049090/tm2612485d1_ex99-1.htm" TargetMode="External"/><Relationship Id="rId7" Type="http://schemas.openxmlformats.org/officeDocument/2006/relationships/hyperlink" Target="https://www.sec.gov/Archives/edgar/data/1964789/000110465925122052/hut-20251217xex99d2.htm" TargetMode="External"/><Relationship Id="rId12" Type="http://schemas.openxmlformats.org/officeDocument/2006/relationships/hyperlink" Target="https://www.techtimes.com/articles/328138/20260928/hut-8-closes-two-tier-ai-data-center-finance-stack-jpmorgan-leads-12-bank-revolver.htm" TargetMode="External"/><Relationship Id="rId2" Type="http://schemas.openxmlformats.org/officeDocument/2006/relationships/hyperlink" Target="https://www.sec.gov/Archives/edgar/data/1964789/000110465926053247/tm2613163d1_8k.htm" TargetMode="External"/><Relationship Id="rId1" Type="http://schemas.openxmlformats.org/officeDocument/2006/relationships/hyperlink" Target="https://www.sec.gov/Archives/edgar/data/1964789/000110465926053247/tm2613163d1_ex4-1.htm" TargetMode="External"/><Relationship Id="rId6" Type="http://schemas.openxmlformats.org/officeDocument/2006/relationships/hyperlink" Target="https://www.sec.gov/Archives/edgar/data/1964789/000110465925122052/hut-20251217xex99d1.htm" TargetMode="External"/><Relationship Id="rId11" Type="http://schemas.openxmlformats.org/officeDocument/2006/relationships/hyperlink" Target="https://www.globaldatacenterhub.com/p/hut-8-prices-325b-investment-grade" TargetMode="External"/><Relationship Id="rId5" Type="http://schemas.openxmlformats.org/officeDocument/2006/relationships/hyperlink" Target="https://www.sec.gov/Archives/edgar/data/1964789/000110465925122052/hut-20251217x8k.htm" TargetMode="External"/><Relationship Id="rId15" Type="http://schemas.openxmlformats.org/officeDocument/2006/relationships/hyperlink" Target="https://finance.yahoo.com/sectors/technology/articles/hut-8-markets-3-billion-185710607.html" TargetMode="External"/><Relationship Id="rId10" Type="http://schemas.openxmlformats.org/officeDocument/2006/relationships/hyperlink" Target="https://www.sec.gov/Archives/edgar/data/1964789/000110465926090041/tm2621890d1_ex99-1.htm" TargetMode="External"/><Relationship Id="rId4" Type="http://schemas.openxmlformats.org/officeDocument/2006/relationships/hyperlink" Target="https://www.sec.gov/Archives/edgar/data/1964789/000110465926049810/tm2612880d1_8k.htm" TargetMode="External"/><Relationship Id="rId9" Type="http://schemas.openxmlformats.org/officeDocument/2006/relationships/hyperlink" Target="https://www.sec.gov/Archives/edgar/data/1964789/000110465926055894/hut-20260506xex99d1.htm" TargetMode="External"/><Relationship Id="rId14" Type="http://schemas.openxmlformats.org/officeDocument/2006/relationships/hyperlink" Target="https://www.sec.gov/Archives/edgar/data/1964789/000110465926111154/tm2625691d1_8k.ht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ifre.com/ifr-awards/2340435/the-metablue-owl-deal-broken-down-off-balance-sheet-gymnastics-24-years-after-enron" TargetMode="External"/><Relationship Id="rId3" Type="http://schemas.openxmlformats.org/officeDocument/2006/relationships/hyperlink" Target="https://www.sec.gov/Archives/edgar/data/1326801/000162828026028526/meta-20260331.htm" TargetMode="External"/><Relationship Id="rId7" Type="http://schemas.openxmlformats.org/officeDocument/2006/relationships/hyperlink" Target="https://www.ifre.com/ifr-awards/2327933/financing-package-blue-owl-capitalbeignet-investors-us27.3bn-23.6-year-bond" TargetMode="External"/><Relationship Id="rId2" Type="http://schemas.openxmlformats.org/officeDocument/2006/relationships/hyperlink" Target="https://www.sec.gov/Archives/edgar/data/1326801/000162828026003942/meta-20251231.htm" TargetMode="External"/><Relationship Id="rId1" Type="http://schemas.openxmlformats.org/officeDocument/2006/relationships/hyperlink" Target="https://www.sec.gov/Archives/edgar/data/1326801/000162828025047240/meta-20250930.htm" TargetMode="External"/><Relationship Id="rId6" Type="http://schemas.openxmlformats.org/officeDocument/2006/relationships/hyperlink" Target="https://www.hubbis.com/news/meta-and-blue-owl-capital-launch-usd27-billion-joint-venture-for-hyperion-data-center" TargetMode="External"/><Relationship Id="rId11" Type="http://schemas.openxmlformats.org/officeDocument/2006/relationships/hyperlink" Target="https://www.kplctv.com/2025/08/21/entergy-la-gets-green-light-plant-power-metas-ai-data-center" TargetMode="External"/><Relationship Id="rId5" Type="http://schemas.openxmlformats.org/officeDocument/2006/relationships/hyperlink" Target="https://www.sec.gov/Archives/edgar/data/1959372/000089418926023842/primary_doc.xml" TargetMode="External"/><Relationship Id="rId10" Type="http://schemas.openxmlformats.org/officeDocument/2006/relationships/hyperlink" Target="https://www.sec.gov/Archives/edgar/data/65984/000006598426000283/etr-20260630.htm" TargetMode="External"/><Relationship Id="rId4" Type="http://schemas.openxmlformats.org/officeDocument/2006/relationships/hyperlink" Target="https://www.sec.gov/Archives/edgar/data/1326801/000162828026050705/meta-20260630.htm" TargetMode="External"/><Relationship Id="rId9" Type="http://schemas.openxmlformats.org/officeDocument/2006/relationships/hyperlink" Target="https://www.globaldatacenterhub.com/p/meta-scales-hyperion-to-5gw-and-ove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lobaldatacenterhub.com/p/blackrock-launches-123-billion-bond" TargetMode="External"/><Relationship Id="rId7" Type="http://schemas.openxmlformats.org/officeDocument/2006/relationships/hyperlink" Target="https://insideclimatenews.org/news/21012026/meta-data-center-in-sunny-el-paso-will-rely-on-natural-gas/" TargetMode="External"/><Relationship Id="rId2" Type="http://schemas.openxmlformats.org/officeDocument/2006/relationships/hyperlink" Target="https://www.sec.gov/Archives/edgar/data/49905/000141036826101363/primary_doc.xml" TargetMode="External"/><Relationship Id="rId1" Type="http://schemas.openxmlformats.org/officeDocument/2006/relationships/hyperlink" Target="https://www.sec.gov/Archives/edgar/data/1326801/000162828026050705/meta-20260630.htm" TargetMode="External"/><Relationship Id="rId6" Type="http://schemas.openxmlformats.org/officeDocument/2006/relationships/hyperlink" Target="https://www.argusmedia.com/en/news-and-insights/latest-market-news/2810465-meta-funds-el-paso-nat-gas-plant-as-interim-power-fix" TargetMode="External"/><Relationship Id="rId5" Type="http://schemas.openxmlformats.org/officeDocument/2006/relationships/hyperlink" Target="https://thenextweb.com/news/meta-blackrock-el-paso-data-centre-14bn" TargetMode="External"/><Relationship Id="rId4" Type="http://schemas.openxmlformats.org/officeDocument/2006/relationships/hyperlink" Target="https://www.globaldatacenterhub.com/p/bondholders-are-not-underwriti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michigan.gov/ag/news/press-releases/2026/08/07/ag-nessel-briefs-appeal-over-mpsc-approval-of-dte-saline-data-center-contracts" TargetMode="External"/><Relationship Id="rId13" Type="http://schemas.openxmlformats.org/officeDocument/2006/relationships/hyperlink" Target="https://www.clickondetroit.com/news/local/2025/12/18/michigan-regulators-approve-dte-contract-for-massive-saline-township-data-center/" TargetMode="External"/><Relationship Id="rId18" Type="http://schemas.openxmlformats.org/officeDocument/2006/relationships/hyperlink" Target="https://michiganadvance.com/2026/10/02/michigan-regulators-ok-dte-contracts-for-google-data-center/" TargetMode="External"/><Relationship Id="rId3" Type="http://schemas.openxmlformats.org/officeDocument/2006/relationships/hyperlink" Target="https://www.stocktitan.net/news/BX/related-digital-announces-financing-for-16-billion-oracle-data-m6mbh8d9by2o.html" TargetMode="External"/><Relationship Id="rId7" Type="http://schemas.openxmlformats.org/officeDocument/2006/relationships/hyperlink" Target="https://elpc.org/news/michigan-regulators-conditionally-approve-dtes-saline-township-data-center-power-plan/" TargetMode="External"/><Relationship Id="rId12" Type="http://schemas.openxmlformats.org/officeDocument/2006/relationships/hyperlink" Target="https://finance.yahoo.com/news/funding-stalls-oracle-8217-michigan-155238542.html" TargetMode="External"/><Relationship Id="rId17" Type="http://schemas.openxmlformats.org/officeDocument/2006/relationships/hyperlink" Target="https://ppc.land/s-p-cuts-oracle-to-bbb-as-ai-buildout-widens-cash-deficit-to-42bn/" TargetMode="External"/><Relationship Id="rId2" Type="http://schemas.openxmlformats.org/officeDocument/2006/relationships/hyperlink" Target="https://www.kbra.com/publications/BNwvzDzR/kbra-assigns-a-preliminary-rating-of-bbb-to-rd-michigan-property-owner-i-llc-s-14-billion-senior-secured-notes" TargetMode="External"/><Relationship Id="rId16" Type="http://schemas.openxmlformats.org/officeDocument/2006/relationships/hyperlink" Target="https://www.sec.gov/Archives/edgar/data/1341439/000119312526033882/d44245dfwp.htm" TargetMode="External"/><Relationship Id="rId1" Type="http://schemas.openxmlformats.org/officeDocument/2006/relationships/hyperlink" Target="https://www.kbra.com/publications/YgLjqCFD/kbra-assigns-a-rating-of-bbb-to-rd-michigan-property-owner-i-llc-s-14-billion-senior-secured-notes" TargetMode="External"/><Relationship Id="rId6" Type="http://schemas.openxmlformats.org/officeDocument/2006/relationships/hyperlink" Target="https://planetdetroit.org/2025/10/saline-data-center-settlement/" TargetMode="External"/><Relationship Id="rId11" Type="http://schemas.openxmlformats.org/officeDocument/2006/relationships/hyperlink" Target="https://www.oracle.com/news/announcement/related-digital-oracle-openai-walbridge-and-governor-whitmer-celebrate-construction-of-stargate-campus-in-saline-township-2026-06-01/" TargetMode="External"/><Relationship Id="rId5" Type="http://schemas.openxmlformats.org/officeDocument/2006/relationships/hyperlink" Target="https://finance.yahoo.com/economy/policy/articles/related-digital-blackstone-secure-16b-130946339.html" TargetMode="External"/><Relationship Id="rId15" Type="http://schemas.openxmlformats.org/officeDocument/2006/relationships/hyperlink" Target="https://www.sec.gov/Archives/edgar/data/1341439/000119312526389274/orcl-20260831.htm" TargetMode="External"/><Relationship Id="rId10" Type="http://schemas.openxmlformats.org/officeDocument/2006/relationships/hyperlink" Target="https://www.wemu.org/wemu-news/2026-02-20/lawsuit-aimed-at-stopping-saline-township-data-center-rejected-by-washtenaw-county-judge" TargetMode="External"/><Relationship Id="rId4" Type="http://schemas.openxmlformats.org/officeDocument/2006/relationships/hyperlink" Target="https://www.paulhastings.com/news/paul-hastings-advises-initial-purchasers-on-related-digitals-14-billion-project-bond-issuance-for-oracle-data-center-campus" TargetMode="External"/><Relationship Id="rId9" Type="http://schemas.openxmlformats.org/officeDocument/2006/relationships/hyperlink" Target="https://michiganadvance.com/2026/04/20/nessel-appeals-dte-data-center-contracts-in-continued-push-for-contested-case/" TargetMode="External"/><Relationship Id="rId14" Type="http://schemas.openxmlformats.org/officeDocument/2006/relationships/hyperlink" Target="https://www.sec.gov/Archives/edgar/data/1341439/000119312526277521/orcl-20260531.ht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finance.biggo.com/news/32cb334d-e282-4ad5-bb13-14c29a3aaa1e" TargetMode="External"/><Relationship Id="rId13" Type="http://schemas.openxmlformats.org/officeDocument/2006/relationships/hyperlink" Target="https://www.interconnection.fyi/data-center/project/microsoft-fairwater-atlanta-9f8f329f" TargetMode="External"/><Relationship Id="rId3" Type="http://schemas.openxmlformats.org/officeDocument/2006/relationships/hyperlink" Target="https://www.paulhastings.com/news/paul-hastings-advises-the-initial-purchasers-on-qts-data-centers-usd4-6-billion-notes-offering" TargetMode="External"/><Relationship Id="rId7" Type="http://schemas.openxmlformats.org/officeDocument/2006/relationships/hyperlink" Target="https://cryptobriefing.com/project-odyssey-bond-sale-4b-demand/" TargetMode="External"/><Relationship Id="rId12" Type="http://schemas.openxmlformats.org/officeDocument/2006/relationships/hyperlink" Target="https://blogs.microsoft.com/blog/2025/11/12/infinite-scale-the-architecture-behind-the-azure-ai-superfactory/" TargetMode="External"/><Relationship Id="rId17" Type="http://schemas.openxmlformats.org/officeDocument/2006/relationships/hyperlink" Target="https://www.briefs.co/news/data-center-bonds-tied-to-microsoft-draw-billions-with-junk/" TargetMode="External"/><Relationship Id="rId2" Type="http://schemas.openxmlformats.org/officeDocument/2006/relationships/hyperlink" Target="https://www.stblaw.com/about-us/news/view/2026/04/28/qts-completes-inaugural-rule-144a-notes-offering" TargetMode="External"/><Relationship Id="rId16" Type="http://schemas.openxmlformats.org/officeDocument/2006/relationships/hyperlink" Target="https://ajc-ajc-prod.cdn.arcpublishing.com/business/2025/11/microsofts-newest-ai-superfactory-opens-at-sprawling-fayetteville-campus" TargetMode="External"/><Relationship Id="rId1" Type="http://schemas.openxmlformats.org/officeDocument/2006/relationships/hyperlink" Target="https://www.stblaw.com/about-us/news/view/2026/09/01/qts-completes-inaugural-construction-rule-144a-notes-offering" TargetMode="External"/><Relationship Id="rId6" Type="http://schemas.openxmlformats.org/officeDocument/2006/relationships/hyperlink" Target="https://www.investing.com/news/stock-market-news/microsoftlinked-qts-bond-sale-draws-8-billion-in-demand--bloomberg-93CH-4863795" TargetMode="External"/><Relationship Id="rId11" Type="http://schemas.openxmlformats.org/officeDocument/2006/relationships/hyperlink" Target="https://epoch.ai/data/ai-data-centers/directory/microsoft-fairwater-atlanta" TargetMode="External"/><Relationship Id="rId5" Type="http://schemas.openxmlformats.org/officeDocument/2006/relationships/hyperlink" Target="https://hoodline.com/2026/04/wall-street-s-4-6-billion-green-bet-lands-in-fayetteville-s-backyard/" TargetMode="External"/><Relationship Id="rId15" Type="http://schemas.openxmlformats.org/officeDocument/2006/relationships/hyperlink" Target="https://www.nakedcapitalism.com/2026/10/banks-struggle-to-digest-the-mounting-debt-driving-the-ai-boom.html" TargetMode="External"/><Relationship Id="rId10" Type="http://schemas.openxmlformats.org/officeDocument/2006/relationships/hyperlink" Target="https://cryptobriefing.com/qts-realty-bond-sale-microsoft-data-center/" TargetMode="External"/><Relationship Id="rId4" Type="http://schemas.openxmlformats.org/officeDocument/2006/relationships/hyperlink" Target="https://www.datacenterdynamics.com/en/news/blackstone-owned-qts-data-centers-looks-to-raise-46bn-starting-with-10-year-investment-grade-green-bond-sale" TargetMode="External"/><Relationship Id="rId9" Type="http://schemas.openxmlformats.org/officeDocument/2006/relationships/hyperlink" Target="https://finimize.com/content/blackstone-backed-qts-taps-bond-market-for-microsoft-data-center" TargetMode="External"/><Relationship Id="rId14" Type="http://schemas.openxmlformats.org/officeDocument/2006/relationships/hyperlink" Target="https://efts.sec.gov/LATEST/search-index?q=%22QTS%20Central%20Issuer%2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finance.biggo.com/news/32cb334d-e282-4ad5-bb13-14c29a3aaa1e" TargetMode="External"/><Relationship Id="rId13" Type="http://schemas.openxmlformats.org/officeDocument/2006/relationships/hyperlink" Target="https://www.interconnection.fyi/data-center/project/microsoft-fairwater-atlanta-9f8f329f" TargetMode="External"/><Relationship Id="rId3" Type="http://schemas.openxmlformats.org/officeDocument/2006/relationships/hyperlink" Target="https://www.paulhastings.com/news/paul-hastings-advises-the-initial-purchasers-on-qts-data-centers-usd4-6-billion-notes-offering" TargetMode="External"/><Relationship Id="rId7" Type="http://schemas.openxmlformats.org/officeDocument/2006/relationships/hyperlink" Target="https://cryptobriefing.com/project-odyssey-bond-sale-4b-demand/" TargetMode="External"/><Relationship Id="rId12" Type="http://schemas.openxmlformats.org/officeDocument/2006/relationships/hyperlink" Target="https://blogs.microsoft.com/blog/2025/11/12/infinite-scale-the-architecture-behind-the-azure-ai-superfactory/" TargetMode="External"/><Relationship Id="rId17" Type="http://schemas.openxmlformats.org/officeDocument/2006/relationships/hyperlink" Target="https://www.briefs.co/news/data-center-bonds-tied-to-microsoft-draw-billions-with-junk/" TargetMode="External"/><Relationship Id="rId2" Type="http://schemas.openxmlformats.org/officeDocument/2006/relationships/hyperlink" Target="https://www.stblaw.com/about-us/news/view/2026/04/28/qts-completes-inaugural-rule-144a-notes-offering" TargetMode="External"/><Relationship Id="rId16" Type="http://schemas.openxmlformats.org/officeDocument/2006/relationships/hyperlink" Target="https://ajc-ajc-prod.cdn.arcpublishing.com/business/2025/11/microsofts-newest-ai-superfactory-opens-at-sprawling-fayetteville-campus" TargetMode="External"/><Relationship Id="rId1" Type="http://schemas.openxmlformats.org/officeDocument/2006/relationships/hyperlink" Target="https://www.stblaw.com/about-us/news/view/2026/09/01/qts-completes-inaugural-construction-rule-144a-notes-offering" TargetMode="External"/><Relationship Id="rId6" Type="http://schemas.openxmlformats.org/officeDocument/2006/relationships/hyperlink" Target="https://www.investing.com/news/stock-market-news/microsoftlinked-qts-bond-sale-draws-8-billion-in-demand--bloomberg-93CH-4863795" TargetMode="External"/><Relationship Id="rId11" Type="http://schemas.openxmlformats.org/officeDocument/2006/relationships/hyperlink" Target="https://epoch.ai/data/ai-data-centers/directory/microsoft-fairwater-atlanta" TargetMode="External"/><Relationship Id="rId5" Type="http://schemas.openxmlformats.org/officeDocument/2006/relationships/hyperlink" Target="https://hoodline.com/2026/04/wall-street-s-4-6-billion-green-bet-lands-in-fayetteville-s-backyard/" TargetMode="External"/><Relationship Id="rId15" Type="http://schemas.openxmlformats.org/officeDocument/2006/relationships/hyperlink" Target="https://www.nakedcapitalism.com/2026/10/banks-struggle-to-digest-the-mounting-debt-driving-the-ai-boom.html" TargetMode="External"/><Relationship Id="rId10" Type="http://schemas.openxmlformats.org/officeDocument/2006/relationships/hyperlink" Target="https://cryptobriefing.com/qts-realty-bond-sale-microsoft-data-center/" TargetMode="External"/><Relationship Id="rId4" Type="http://schemas.openxmlformats.org/officeDocument/2006/relationships/hyperlink" Target="https://www.datacenterdynamics.com/en/news/blackstone-owned-qts-data-centers-looks-to-raise-46bn-starting-with-10-year-investment-grade-green-bond-sale" TargetMode="External"/><Relationship Id="rId9" Type="http://schemas.openxmlformats.org/officeDocument/2006/relationships/hyperlink" Target="https://finimize.com/content/blackstone-backed-qts-taps-bond-market-for-microsoft-data-center" TargetMode="External"/><Relationship Id="rId14" Type="http://schemas.openxmlformats.org/officeDocument/2006/relationships/hyperlink" Target="https://efts.sec.gov/LATEST/search-index?q=%22QTS%20Central%20Issuer%22"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sec.gov/Archives/edgar/data/1144879/000114487926000057/apldq127earningsrelease.htm" TargetMode="External"/><Relationship Id="rId13" Type="http://schemas.openxmlformats.org/officeDocument/2006/relationships/hyperlink" Target="https://ir.applieddigital.com/news-events/press-releases/detail/161/applied-digital-brings-an-additional-75-mw-of-ai" TargetMode="External"/><Relationship Id="rId3" Type="http://schemas.openxmlformats.org/officeDocument/2006/relationships/hyperlink" Target="https://www.sec.gov/Archives/edgar/data/1144879/000149315225022506/ex99-1.htm" TargetMode="External"/><Relationship Id="rId7" Type="http://schemas.openxmlformats.org/officeDocument/2006/relationships/hyperlink" Target="https://www.sec.gov/Archives/edgar/data/1144879/000114487926000059/apld-20260831.htm" TargetMode="External"/><Relationship Id="rId12" Type="http://schemas.openxmlformats.org/officeDocument/2006/relationships/hyperlink" Target="https://www.sec.gov/Archives/edgar/data/1144879/000149315226027984/form8-k.htm" TargetMode="External"/><Relationship Id="rId17" Type="http://schemas.openxmlformats.org/officeDocument/2006/relationships/hyperlink" Target="https://www.sec.gov/Archives/edgar/data/1769628/000176962826000366/crwv-20260630.htm" TargetMode="External"/><Relationship Id="rId2" Type="http://schemas.openxmlformats.org/officeDocument/2006/relationships/hyperlink" Target="https://www.sec.gov/Archives/edgar/data/1144879/000149315225021400/ex99-1.htm" TargetMode="External"/><Relationship Id="rId16" Type="http://schemas.openxmlformats.org/officeDocument/2006/relationships/hyperlink" Target="https://www.sec.gov/Archives/edgar/data/1144879/000149315226027857/ex99-1.htm" TargetMode="External"/><Relationship Id="rId1" Type="http://schemas.openxmlformats.org/officeDocument/2006/relationships/hyperlink" Target="https://www.sec.gov/Archives/edgar/data/1144879/000149315225024479/form8-k.htm" TargetMode="External"/><Relationship Id="rId6" Type="http://schemas.openxmlformats.org/officeDocument/2006/relationships/hyperlink" Target="https://www.sec.gov/Archives/edgar/data/1144879/000114487926000048/apld-20260531.htm" TargetMode="External"/><Relationship Id="rId11" Type="http://schemas.openxmlformats.org/officeDocument/2006/relationships/hyperlink" Target="https://www.sec.gov/Archives/edgar/data/1144879/000149315226027984/form8-k.htm" TargetMode="External"/><Relationship Id="rId5" Type="http://schemas.openxmlformats.org/officeDocument/2006/relationships/hyperlink" Target="https://www.sec.gov/Archives/edgar/data/1144879/000149315225021404/ex99-1.htm" TargetMode="External"/><Relationship Id="rId15" Type="http://schemas.openxmlformats.org/officeDocument/2006/relationships/hyperlink" Target="https://247wallst.com/investing/2026/10/16/applied-digital-sinks-4-as-rotation-out-of-debt-funded-ai-builders-extends-terawulf-dips-3-core-scientific-retreats-2/" TargetMode="External"/><Relationship Id="rId10" Type="http://schemas.openxmlformats.org/officeDocument/2006/relationships/hyperlink" Target="https://www.sec.gov/Archives/edgar/data/1144879/000149315226008849/form8-k.htm" TargetMode="External"/><Relationship Id="rId4" Type="http://schemas.openxmlformats.org/officeDocument/2006/relationships/hyperlink" Target="https://www.sec.gov/Archives/edgar/data/1144879/000149315225021955/ex99-1.htm" TargetMode="External"/><Relationship Id="rId9" Type="http://schemas.openxmlformats.org/officeDocument/2006/relationships/hyperlink" Target="https://www.sec.gov/Archives/edgar/data/1144879/000149315226030333/form8-k.htm" TargetMode="External"/><Relationship Id="rId14" Type="http://schemas.openxmlformats.org/officeDocument/2006/relationships/hyperlink" Target="https://blockspace.media/insight/jpmorgan-downgrades-apld-project-bonds/"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sec.gov/Archives/edgar/data/1144879/000114487926000057/apldq127earningsrelease.htm" TargetMode="External"/><Relationship Id="rId13" Type="http://schemas.openxmlformats.org/officeDocument/2006/relationships/hyperlink" Target="https://blockspace.media/insight/jpmorgan-downgrades-apld-project-bonds/" TargetMode="External"/><Relationship Id="rId3" Type="http://schemas.openxmlformats.org/officeDocument/2006/relationships/hyperlink" Target="https://www.sec.gov/Archives/edgar/data/1144879/000149315226009538/form8-k.htm" TargetMode="External"/><Relationship Id="rId7" Type="http://schemas.openxmlformats.org/officeDocument/2006/relationships/hyperlink" Target="https://www.sec.gov/Archives/edgar/data/1144879/000114487926000059/apld-20260831.htm" TargetMode="External"/><Relationship Id="rId12" Type="http://schemas.openxmlformats.org/officeDocument/2006/relationships/hyperlink" Target="https://www.sec.gov/Archives/edgar/data/1144879/000149315226027984/form8-k.htm" TargetMode="External"/><Relationship Id="rId2" Type="http://schemas.openxmlformats.org/officeDocument/2006/relationships/hyperlink" Target="https://www.sec.gov/Archives/edgar/data/1144879/000149315225021404/ex99-1.htm" TargetMode="External"/><Relationship Id="rId1" Type="http://schemas.openxmlformats.org/officeDocument/2006/relationships/hyperlink" Target="https://www.sec.gov/Archives/edgar/data/1144879/000149315225021955/ex99-1.htm" TargetMode="External"/><Relationship Id="rId6" Type="http://schemas.openxmlformats.org/officeDocument/2006/relationships/hyperlink" Target="https://www.sec.gov/Archives/edgar/data/1144879/000114487926000048/apld-20260531.htm" TargetMode="External"/><Relationship Id="rId11" Type="http://schemas.openxmlformats.org/officeDocument/2006/relationships/hyperlink" Target="https://www.sec.gov/Archives/edgar/data/1144879/000149315226027984/form8-k.htm" TargetMode="External"/><Relationship Id="rId5" Type="http://schemas.openxmlformats.org/officeDocument/2006/relationships/hyperlink" Target="https://www.sec.gov/Archives/edgar/data/1144879/000149315226008549/form8-k.htm" TargetMode="External"/><Relationship Id="rId10" Type="http://schemas.openxmlformats.org/officeDocument/2006/relationships/hyperlink" Target="https://www.sec.gov/Archives/edgar/data/1144879/000149315226008849/form8-k.htm" TargetMode="External"/><Relationship Id="rId4" Type="http://schemas.openxmlformats.org/officeDocument/2006/relationships/hyperlink" Target="https://www.sec.gov/Archives/edgar/data/1144879/000149315226008772/form8-k.htm" TargetMode="External"/><Relationship Id="rId9" Type="http://schemas.openxmlformats.org/officeDocument/2006/relationships/hyperlink" Target="https://www.sec.gov/Archives/edgar/data/1144879/000149315226030333/form8-k.htm" TargetMode="External"/><Relationship Id="rId14" Type="http://schemas.openxmlformats.org/officeDocument/2006/relationships/hyperlink" Target="https://247wallst.com/investing/2026/10/16/applied-digital-sinks-4-as-rotation-out-of-debt-funded-ai-builders-extends-terawulf-dips-3-core-scientific-retreats-2/"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sec.gov/Archives/edgar/data/1144879/000149315226030333/form8-k.htm" TargetMode="External"/><Relationship Id="rId13" Type="http://schemas.openxmlformats.org/officeDocument/2006/relationships/hyperlink" Target="https://blockspace.media/insight/jpmorgan-downgrades-apld-project-bonds/" TargetMode="External"/><Relationship Id="rId3" Type="http://schemas.openxmlformats.org/officeDocument/2006/relationships/hyperlink" Target="https://www.sec.gov/Archives/edgar/data/1144879/000149315226027979/ex99-1.htm" TargetMode="External"/><Relationship Id="rId7" Type="http://schemas.openxmlformats.org/officeDocument/2006/relationships/hyperlink" Target="https://www.sec.gov/Archives/edgar/data/1144879/000114487926000057/apldq127earningsrelease.htm" TargetMode="External"/><Relationship Id="rId12" Type="http://schemas.openxmlformats.org/officeDocument/2006/relationships/hyperlink" Target="https://ir.applieddigital.com/news-events/press-releases/detail/161/applied-digital-brings-an-additional-75-mw-of-ai" TargetMode="External"/><Relationship Id="rId17" Type="http://schemas.openxmlformats.org/officeDocument/2006/relationships/hyperlink" Target="https://www.sec.gov/Archives/edgar/data/1769628/000176962826000366/crwv-20260630.htm" TargetMode="External"/><Relationship Id="rId2" Type="http://schemas.openxmlformats.org/officeDocument/2006/relationships/hyperlink" Target="https://www.sec.gov/Archives/edgar/data/1144879/000149315226028899/form8-k.htm" TargetMode="External"/><Relationship Id="rId16" Type="http://schemas.openxmlformats.org/officeDocument/2006/relationships/hyperlink" Target="https://www.sec.gov/Archives/edgar/data/1144879/000149315226027857/ex99-1.htm" TargetMode="External"/><Relationship Id="rId1" Type="http://schemas.openxmlformats.org/officeDocument/2006/relationships/hyperlink" Target="https://www.sec.gov/Archives/edgar/data/1144879/000149315225021404/ex99-1.htm" TargetMode="External"/><Relationship Id="rId6" Type="http://schemas.openxmlformats.org/officeDocument/2006/relationships/hyperlink" Target="https://www.sec.gov/Archives/edgar/data/1144879/000114487926000059/apld-20260831.htm" TargetMode="External"/><Relationship Id="rId11" Type="http://schemas.openxmlformats.org/officeDocument/2006/relationships/hyperlink" Target="https://www.sec.gov/Archives/edgar/data/1144879/000149315226027984/form8-k.htm" TargetMode="External"/><Relationship Id="rId5" Type="http://schemas.openxmlformats.org/officeDocument/2006/relationships/hyperlink" Target="https://www.sec.gov/Archives/edgar/data/1144879/000114487926000048/apld-20260531.htm" TargetMode="External"/><Relationship Id="rId15" Type="http://schemas.openxmlformats.org/officeDocument/2006/relationships/hyperlink" Target="https://www.ad-hoc-news.de/boerse/news/unternehmensnachrichten/applied-digital-s-bond-downgrade-casts-shadow-over-13-billion-buildout/70314408" TargetMode="External"/><Relationship Id="rId10" Type="http://schemas.openxmlformats.org/officeDocument/2006/relationships/hyperlink" Target="https://www.sec.gov/Archives/edgar/data/1144879/000149315226027984/form8-k.htm" TargetMode="External"/><Relationship Id="rId4" Type="http://schemas.openxmlformats.org/officeDocument/2006/relationships/hyperlink" Target="https://www.sec.gov/Archives/edgar/data/1144879/000149315226027857/ex99-2.htm" TargetMode="External"/><Relationship Id="rId9" Type="http://schemas.openxmlformats.org/officeDocument/2006/relationships/hyperlink" Target="https://www.sec.gov/Archives/edgar/data/1144879/000149315226008849/form8-k.htm" TargetMode="External"/><Relationship Id="rId14" Type="http://schemas.openxmlformats.org/officeDocument/2006/relationships/hyperlink" Target="https://247wallst.com/investing/2026/10/16/applied-digital-sinks-4-as-rotation-out-of-debt-funded-ai-builders-extends-terawulf-dips-3-core-scientific-retreats-2/"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sec.gov/Archives/edgar/data/1819989/000095010325012168/dp234624_ex9901.htm" TargetMode="External"/><Relationship Id="rId13" Type="http://schemas.openxmlformats.org/officeDocument/2006/relationships/hyperlink" Target="https://www.sec.gov/Archives/edgar/data/1819989/000119312526419743/d134900dex991.htm" TargetMode="External"/><Relationship Id="rId18" Type="http://schemas.openxmlformats.org/officeDocument/2006/relationships/hyperlink" Target="https://www.sec.gov/Archives/edgar/data/1819989/000181998926000038/q226_earningsxprxdraftxvf.htm" TargetMode="External"/><Relationship Id="rId3" Type="http://schemas.openxmlformats.org/officeDocument/2006/relationships/hyperlink" Target="https://www.sec.gov/Archives/edgar/data/1819989/000095010325015073/dp237633_8k.htm" TargetMode="External"/><Relationship Id="rId7" Type="http://schemas.openxmlformats.org/officeDocument/2006/relationships/hyperlink" Target="https://www.sec.gov/Archives/edgar/data/1819989/000095010325012168/dp234624_8k.htm" TargetMode="External"/><Relationship Id="rId12" Type="http://schemas.openxmlformats.org/officeDocument/2006/relationships/hyperlink" Target="https://www.sec.gov/Archives/edgar/data/1819989/000181998926000038/cipherdigital_businessup.htm" TargetMode="External"/><Relationship Id="rId17" Type="http://schemas.openxmlformats.org/officeDocument/2006/relationships/hyperlink" Target="https://www.tikr.com/blog/cipher-digital-sinks-12-on-850-million-zero-coupon-convertible-note-offering" TargetMode="External"/><Relationship Id="rId2" Type="http://schemas.openxmlformats.org/officeDocument/2006/relationships/hyperlink" Target="https://www.sec.gov/Archives/edgar/data/1819989/000095010325014692/dp237330_0401.htm" TargetMode="External"/><Relationship Id="rId16" Type="http://schemas.openxmlformats.org/officeDocument/2006/relationships/hyperlink" Target="https://cryptobriefing.com/cipher-digital-ercot-3gw-conditional-classification/" TargetMode="External"/><Relationship Id="rId1" Type="http://schemas.openxmlformats.org/officeDocument/2006/relationships/hyperlink" Target="https://www.sec.gov/Archives/edgar/data/1819989/000095010325014692/dp237330_8k.htm" TargetMode="External"/><Relationship Id="rId6" Type="http://schemas.openxmlformats.org/officeDocument/2006/relationships/hyperlink" Target="https://www.sec.gov/Archives/edgar/data/1819989/000095010325015181/dp237816_8k.htm" TargetMode="External"/><Relationship Id="rId11" Type="http://schemas.openxmlformats.org/officeDocument/2006/relationships/hyperlink" Target="https://www.sec.gov/Archives/edgar/data/1819989/000181998926000041/cifr-20260630.htm" TargetMode="External"/><Relationship Id="rId5" Type="http://schemas.openxmlformats.org/officeDocument/2006/relationships/hyperlink" Target="https://www.sec.gov/Archives/edgar/data/1819989/000095010325015073/dp237633_ex9902.htm" TargetMode="External"/><Relationship Id="rId15" Type="http://schemas.openxmlformats.org/officeDocument/2006/relationships/hyperlink" Target="https://www.sec.gov/Archives/edgar/data/1819989/000095010326004609/dp244113_8k.htm" TargetMode="External"/><Relationship Id="rId10" Type="http://schemas.openxmlformats.org/officeDocument/2006/relationships/hyperlink" Target="https://www.sec.gov/Archives/edgar/data/1819989/000181998926000043/barberlakeleaseamendmentpr.htm" TargetMode="External"/><Relationship Id="rId19" Type="http://schemas.openxmlformats.org/officeDocument/2006/relationships/hyperlink" Target="https://247wallst.com/investing/2026/10/14/cipher-digital-falls-5-as-850m-zero-coupon-note-pricing-extends-slide-applied-digital-declines-6-iren-drops-4/" TargetMode="External"/><Relationship Id="rId4" Type="http://schemas.openxmlformats.org/officeDocument/2006/relationships/hyperlink" Target="https://www.sec.gov/Archives/edgar/data/1819989/000095010325015073/dp237633_ex9901.htm" TargetMode="External"/><Relationship Id="rId9" Type="http://schemas.openxmlformats.org/officeDocument/2006/relationships/hyperlink" Target="https://www.sec.gov/Archives/edgar/data/1819989/000181998926000043/cifr-20260924.htm" TargetMode="External"/><Relationship Id="rId14" Type="http://schemas.openxmlformats.org/officeDocument/2006/relationships/hyperlink" Target="https://www.sec.gov/Archives/edgar/data/1819989/000119312526421035/d77312dex991.ht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sec.gov/Archives/edgar/data/1819989/000181998926000038/q226_earningsxprxdraftxvf.htm" TargetMode="External"/><Relationship Id="rId13" Type="http://schemas.openxmlformats.org/officeDocument/2006/relationships/hyperlink" Target="https://cryptobriefing.com/cipher-digital-ercot-3gw-conditional-classification/" TargetMode="External"/><Relationship Id="rId3" Type="http://schemas.openxmlformats.org/officeDocument/2006/relationships/hyperlink" Target="https://www.sec.gov/Archives/edgar/data/1819989/000095010326001480/dp240991_ex9901.htm" TargetMode="External"/><Relationship Id="rId7" Type="http://schemas.openxmlformats.org/officeDocument/2006/relationships/hyperlink" Target="https://www.sec.gov/Archives/edgar/data/1819989/000181998926000038/cipherdigital_businessup.htm" TargetMode="External"/><Relationship Id="rId12" Type="http://schemas.openxmlformats.org/officeDocument/2006/relationships/hyperlink" Target="https://www.tikr.com/blog/cipher-digital-sinks-12-on-850-million-zero-coupon-convertible-note-offering" TargetMode="External"/><Relationship Id="rId2" Type="http://schemas.openxmlformats.org/officeDocument/2006/relationships/hyperlink" Target="https://www.sec.gov/Archives/edgar/data/1819989/000095010326001966/dp241421_ex0401.htm" TargetMode="External"/><Relationship Id="rId1" Type="http://schemas.openxmlformats.org/officeDocument/2006/relationships/hyperlink" Target="https://www.sec.gov/Archives/edgar/data/1819989/000095010326001966/dp241421_8k.htm" TargetMode="External"/><Relationship Id="rId6" Type="http://schemas.openxmlformats.org/officeDocument/2006/relationships/hyperlink" Target="https://www.sec.gov/Archives/edgar/data/1819989/000181998926000041/cifr-20260630.htm" TargetMode="External"/><Relationship Id="rId11" Type="http://schemas.openxmlformats.org/officeDocument/2006/relationships/hyperlink" Target="https://www.sec.gov/Archives/edgar/data/1819989/000119312526421035/d77312dex991.htm" TargetMode="External"/><Relationship Id="rId5" Type="http://schemas.openxmlformats.org/officeDocument/2006/relationships/hyperlink" Target="https://www.sec.gov/Archives/edgar/data/1819989/000181998925000110/nov3_earningspressreleasex.htm" TargetMode="External"/><Relationship Id="rId10" Type="http://schemas.openxmlformats.org/officeDocument/2006/relationships/hyperlink" Target="https://www.sec.gov/Archives/edgar/data/1819989/000095010326004609/dp244113_8k.htm" TargetMode="External"/><Relationship Id="rId4" Type="http://schemas.openxmlformats.org/officeDocument/2006/relationships/hyperlink" Target="https://www.sec.gov/Archives/edgar/data/1819989/000095010326001659/dp241116_ex9901.htm" TargetMode="External"/><Relationship Id="rId9" Type="http://schemas.openxmlformats.org/officeDocument/2006/relationships/hyperlink" Target="https://www.sec.gov/Archives/edgar/data/1819989/000119312526419743/d134900dex991.htm"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sec.gov/Archives/edgar/data/1819989/000181998926000038/q226_earningsxprxdraftxvf.htm" TargetMode="External"/><Relationship Id="rId13" Type="http://schemas.openxmlformats.org/officeDocument/2006/relationships/hyperlink" Target="https://cryptobriefing.com/cipher-digital-ercot-3gw-conditional-classification/" TargetMode="External"/><Relationship Id="rId3" Type="http://schemas.openxmlformats.org/officeDocument/2006/relationships/hyperlink" Target="https://www.sec.gov/Archives/edgar/data/1819989/000095010326008635/dp248110_ex9901.htm" TargetMode="External"/><Relationship Id="rId7" Type="http://schemas.openxmlformats.org/officeDocument/2006/relationships/hyperlink" Target="https://www.sec.gov/Archives/edgar/data/1819989/000181998926000038/cipherdigital_businessup.htm" TargetMode="External"/><Relationship Id="rId12" Type="http://schemas.openxmlformats.org/officeDocument/2006/relationships/hyperlink" Target="https://www.sec.gov/Archives/edgar/data/1819989/000119312526421035/d77312dex991.htm" TargetMode="External"/><Relationship Id="rId2" Type="http://schemas.openxmlformats.org/officeDocument/2006/relationships/hyperlink" Target="https://www.sec.gov/Archives/edgar/data/1819989/000095010326008994/dp248453_ex0401.htm" TargetMode="External"/><Relationship Id="rId1" Type="http://schemas.openxmlformats.org/officeDocument/2006/relationships/hyperlink" Target="https://www.sec.gov/Archives/edgar/data/1819989/000095010326008994/dp248453_8k.htm" TargetMode="External"/><Relationship Id="rId6" Type="http://schemas.openxmlformats.org/officeDocument/2006/relationships/hyperlink" Target="https://www.sec.gov/Archives/edgar/data/1819989/000181998926000041/cifr-20260630.htm" TargetMode="External"/><Relationship Id="rId11" Type="http://schemas.openxmlformats.org/officeDocument/2006/relationships/hyperlink" Target="https://www.sec.gov/Archives/edgar/data/1819989/000095010326004609/dp244113_8k.htm" TargetMode="External"/><Relationship Id="rId5" Type="http://schemas.openxmlformats.org/officeDocument/2006/relationships/hyperlink" Target="https://www.sec.gov/Archives/edgar/data/1819989/000095010326008678/dp248139_8k.htm" TargetMode="External"/><Relationship Id="rId10" Type="http://schemas.openxmlformats.org/officeDocument/2006/relationships/hyperlink" Target="https://www.sec.gov/Archives/edgar/data/1819989/000119312526419743/d134900dex991.htm" TargetMode="External"/><Relationship Id="rId4" Type="http://schemas.openxmlformats.org/officeDocument/2006/relationships/hyperlink" Target="https://www.sec.gov/Archives/edgar/data/1819989/000095010326008635/dp248110_ex9902.htm" TargetMode="External"/><Relationship Id="rId9" Type="http://schemas.openxmlformats.org/officeDocument/2006/relationships/hyperlink" Target="https://www.sec.gov/Archives/edgar/data/1819989/000181998926000025/exh992cipherdigital_busi.htm" TargetMode="External"/><Relationship Id="rId14" Type="http://schemas.openxmlformats.org/officeDocument/2006/relationships/hyperlink" Target="https://www.tikr.com/blog/cipher-digital-sinks-12-on-850-million-zero-coupon-convertible-note-offering"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sec.gov/Archives/edgar/data/1839341/000183934126000023/core-20260910.htm" TargetMode="External"/><Relationship Id="rId3" Type="http://schemas.openxmlformats.org/officeDocument/2006/relationships/hyperlink" Target="https://www.sec.gov/Archives/edgar/data/1839341/000119312526208905/d47435dex991.htm" TargetMode="External"/><Relationship Id="rId7" Type="http://schemas.openxmlformats.org/officeDocument/2006/relationships/hyperlink" Target="https://www.sec.gov/Archives/edgar/data/1839341/000183934126000018/core-20260813.htm" TargetMode="External"/><Relationship Id="rId2" Type="http://schemas.openxmlformats.org/officeDocument/2006/relationships/hyperlink" Target="https://www.sec.gov/Archives/edgar/data/1839341/000119312526208905/d47435dex41.htm" TargetMode="External"/><Relationship Id="rId1" Type="http://schemas.openxmlformats.org/officeDocument/2006/relationships/hyperlink" Target="https://www.sec.gov/Archives/edgar/data/1839341/000119312526208905/d47435d8k.htm" TargetMode="External"/><Relationship Id="rId6" Type="http://schemas.openxmlformats.org/officeDocument/2006/relationships/hyperlink" Target="https://www.sec.gov/Archives/edgar/data/1839341/000183934126000021/core-20260825.htm" TargetMode="External"/><Relationship Id="rId5" Type="http://schemas.openxmlformats.org/officeDocument/2006/relationships/hyperlink" Target="https://www.sec.gov/Archives/edgar/data/1839341/000162828026013305/core-20251231.htm" TargetMode="External"/><Relationship Id="rId4" Type="http://schemas.openxmlformats.org/officeDocument/2006/relationships/hyperlink" Target="https://www.sec.gov/Archives/edgar/data/1839341/000183934126000014/core-20260630.htm" TargetMode="External"/><Relationship Id="rId9" Type="http://schemas.openxmlformats.org/officeDocument/2006/relationships/hyperlink" Target="https://ar.tradingview.com/symbols/NASDAQ-CORZ/bonds/"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cryptobriefing.com/koch-edged-data-center-sale-15b/" TargetMode="External"/><Relationship Id="rId3" Type="http://schemas.openxmlformats.org/officeDocument/2006/relationships/hyperlink" Target="https://www.cahill.com/news/firm-news/2026-04-29-cahill-represents-initial-purchasers-in-edged-compute-13-billion-notes-offering" TargetMode="External"/><Relationship Id="rId7" Type="http://schemas.openxmlformats.org/officeDocument/2006/relationships/hyperlink" Target="https://datacenter.news/story/edged-tops-out-42mw-atlanta-data-centre-built-for-ai" TargetMode="External"/><Relationship Id="rId2" Type="http://schemas.openxmlformats.org/officeDocument/2006/relationships/hyperlink" Target="https://www.davispolk.com/experience/edged-compute-1-3-billion-notes-offering-april-2026" TargetMode="External"/><Relationship Id="rId1" Type="http://schemas.openxmlformats.org/officeDocument/2006/relationships/hyperlink" Target="https://ca.marketscreener.com/news/fitch-expects-to-rate-edged-compute-llc-and-its-senior-secured-notes-bb-exp-outlook-stable-ce7f59dbd988f126" TargetMode="External"/><Relationship Id="rId6" Type="http://schemas.openxmlformats.org/officeDocument/2006/relationships/hyperlink" Target="https://pulse2.com/edged-nearly-2-billion-financing-secures-expansion-of-ai-ready-data-center-infrastructure/" TargetMode="External"/><Relationship Id="rId5" Type="http://schemas.openxmlformats.org/officeDocument/2006/relationships/hyperlink" Target="https://datacenter.news/story/edged-tops-out-second-aurora-data-centre-in-chicago" TargetMode="External"/><Relationship Id="rId10" Type="http://schemas.openxmlformats.org/officeDocument/2006/relationships/hyperlink" Target="https://www.sec.gov/Archives/edgar/data/1769628/000176962826000366/crwv-20260630.htm" TargetMode="External"/><Relationship Id="rId4" Type="http://schemas.openxmlformats.org/officeDocument/2006/relationships/hyperlink" Target="https://edged.us/news/edged-us-expands-chicagoland-campus" TargetMode="External"/><Relationship Id="rId9" Type="http://schemas.openxmlformats.org/officeDocument/2006/relationships/hyperlink" Target="https://www.bloomberg.com/news/articles/2026-04-20/ai-junk-debt-offering-wave-rolls-on-as-edged-compute-sells-bonds"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cbsnews.com/news/nevada-data-center-lawsuit-ai-energy-costs/" TargetMode="External"/><Relationship Id="rId3" Type="http://schemas.openxmlformats.org/officeDocument/2006/relationships/hyperlink" Target="https://fleetdatacenters.com/news/fleet-data-centers-announces-pricing-of-4-6-billion-of-senior-secured-notes-for-hyperscale-facility-in-rapidly-growing-reno-hub/" TargetMode="External"/><Relationship Id="rId7" Type="http://schemas.openxmlformats.org/officeDocument/2006/relationships/hyperlink" Target="https://thenevadaindependent.com/article/nevadas-electric-utility-is-suing-a-major-data-center-company-heres-why" TargetMode="External"/><Relationship Id="rId2" Type="http://schemas.openxmlformats.org/officeDocument/2006/relationships/hyperlink" Target="https://fleetdatacenters.com/news/fleet-data-centers-announces-closing-of-upsized-3-8-billion-5-875-senior-secured-notes-offering-to-fund-hyperscale-facility-in-rapidly-growing-reno-hub/" TargetMode="External"/><Relationship Id="rId1" Type="http://schemas.openxmlformats.org/officeDocument/2006/relationships/hyperlink" Target="https://fleetdatacenters.com/news/fleet-data-centers-announces-pricing-of-3-8-billion-of-senior-secured-notes-for-hyperscale-facility-in-rapidly-growing-reno-hub/" TargetMode="External"/><Relationship Id="rId6" Type="http://schemas.openxmlformats.org/officeDocument/2006/relationships/hyperlink" Target="https://www.sec.gov/Archives/edgar/data/1045810/000104581026000075/nvda-20260726.htm" TargetMode="External"/><Relationship Id="rId11" Type="http://schemas.openxmlformats.org/officeDocument/2006/relationships/hyperlink" Target="https://thisisreno.com/2026/10/utility-attorney-disqualification-hearing/" TargetMode="External"/><Relationship Id="rId5" Type="http://schemas.openxmlformats.org/officeDocument/2006/relationships/hyperlink" Target="https://www.cahill.com/news/firm-news/2026-05-01-cahill-represents-initial-purchasers-in-pr-rno-property-owner-1-4585-billion-senior-notes-offering" TargetMode="External"/><Relationship Id="rId10" Type="http://schemas.openxmlformats.org/officeDocument/2006/relationships/hyperlink" Target="https://www.bloomberg.com/news/articles/2026-02-12/nvidia-to-lease-data-center-funded-by-3-8-billion-of-junk-bonds" TargetMode="External"/><Relationship Id="rId4" Type="http://schemas.openxmlformats.org/officeDocument/2006/relationships/hyperlink" Target="https://fleetdatacenters.com/news/fleet-data-centers-announces-closing-of-upsized-4-6-billion-6-500-senior-secured-notes-offering-to-fund-hyperscale-facility-in-rapidly-growing-reno-hub/" TargetMode="External"/><Relationship Id="rId9" Type="http://schemas.openxmlformats.org/officeDocument/2006/relationships/hyperlink" Target="https://www.govtech.com/artificial-intelligence/amid-data-center-growth-nevada-approves-temporary-gas-plants"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www.cbsnews.com/news/nevada-data-center-lawsuit-ai-energy-costs/" TargetMode="External"/><Relationship Id="rId3" Type="http://schemas.openxmlformats.org/officeDocument/2006/relationships/hyperlink" Target="https://fleetdatacenters.com/news/fleet-data-centers-announces-pricing-of-4-6-billion-of-senior-secured-notes-for-hyperscale-facility-in-rapidly-growing-reno-hub/" TargetMode="External"/><Relationship Id="rId7" Type="http://schemas.openxmlformats.org/officeDocument/2006/relationships/hyperlink" Target="https://thenevadaindependent.com/article/nevadas-electric-utility-is-suing-a-major-data-center-company-heres-why" TargetMode="External"/><Relationship Id="rId2" Type="http://schemas.openxmlformats.org/officeDocument/2006/relationships/hyperlink" Target="https://fleetdatacenters.com/news/fleet-data-centers-announces-closing-of-upsized-3-8-billion-5-875-senior-secured-notes-offering-to-fund-hyperscale-facility-in-rapidly-growing-reno-hub/" TargetMode="External"/><Relationship Id="rId1" Type="http://schemas.openxmlformats.org/officeDocument/2006/relationships/hyperlink" Target="https://fleetdatacenters.com/news/fleet-data-centers-announces-pricing-of-3-8-billion-of-senior-secured-notes-for-hyperscale-facility-in-rapidly-growing-reno-hub/" TargetMode="External"/><Relationship Id="rId6" Type="http://schemas.openxmlformats.org/officeDocument/2006/relationships/hyperlink" Target="https://www.sec.gov/Archives/edgar/data/1045810/000104581026000075/nvda-20260726.htm" TargetMode="External"/><Relationship Id="rId11" Type="http://schemas.openxmlformats.org/officeDocument/2006/relationships/hyperlink" Target="https://thisisreno.com/2026/10/utility-attorney-disqualification-hearing/" TargetMode="External"/><Relationship Id="rId5" Type="http://schemas.openxmlformats.org/officeDocument/2006/relationships/hyperlink" Target="https://www.cahill.com/news/firm-news/2026-05-01-cahill-represents-initial-purchasers-in-pr-rno-property-owner-1-4585-billion-senior-notes-offering" TargetMode="External"/><Relationship Id="rId10" Type="http://schemas.openxmlformats.org/officeDocument/2006/relationships/hyperlink" Target="https://www.bloomberg.com/news/articles/2026-02-12/nvidia-to-lease-data-center-funded-by-3-8-billion-of-junk-bonds" TargetMode="External"/><Relationship Id="rId4" Type="http://schemas.openxmlformats.org/officeDocument/2006/relationships/hyperlink" Target="https://fleetdatacenters.com/news/fleet-data-centers-announces-closing-of-upsized-4-6-billion-6-500-senior-secured-notes-offering-to-fund-hyperscale-facility-in-rapidly-growing-reno-hub/" TargetMode="External"/><Relationship Id="rId9" Type="http://schemas.openxmlformats.org/officeDocument/2006/relationships/hyperlink" Target="https://www.govtech.com/artificial-intelligence/amid-data-center-growth-nevada-approves-temporary-gas-plants"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sec.gov/Archives/edgar/data/1083301/000108330126000166/wulf-20260630.htm" TargetMode="External"/><Relationship Id="rId13" Type="http://schemas.openxmlformats.org/officeDocument/2006/relationships/hyperlink" Target="https://www.sec.gov/Archives/edgar/data/2063946/000094040026007262/primary_doc.xml" TargetMode="External"/><Relationship Id="rId3" Type="http://schemas.openxmlformats.org/officeDocument/2006/relationships/hyperlink" Target="https://www.sec.gov/Archives/edgar/data/1083301/000110465925122293/tm2533501d1_ex99d1.htm" TargetMode="External"/><Relationship Id="rId7" Type="http://schemas.openxmlformats.org/officeDocument/2006/relationships/hyperlink" Target="https://www.sec.gov/Archives/edgar/data/1083301/000110465926080583/tm2619468d1_8k.htm" TargetMode="External"/><Relationship Id="rId12" Type="http://schemas.openxmlformats.org/officeDocument/2006/relationships/hyperlink" Target="https://dealroom.co/news/127233-fluidstack-raises-750m-at-7b-as-google-and-anthropic-anchor-its-ai-data/" TargetMode="External"/><Relationship Id="rId2" Type="http://schemas.openxmlformats.org/officeDocument/2006/relationships/hyperlink" Target="https://www.sec.gov/Archives/edgar/data/1083301/000110465925124839/tm2534384d1_ex4-1.htm" TargetMode="External"/><Relationship Id="rId1" Type="http://schemas.openxmlformats.org/officeDocument/2006/relationships/hyperlink" Target="https://www.sec.gov/Archives/edgar/data/1083301/000110465925124839/tm2534384d1_8k.htm" TargetMode="External"/><Relationship Id="rId6" Type="http://schemas.openxmlformats.org/officeDocument/2006/relationships/hyperlink" Target="https://www.sec.gov/Archives/edgar/data/1083301/000110465925102858/tm2529509d1_ex99-3.htm" TargetMode="External"/><Relationship Id="rId11" Type="http://schemas.openxmlformats.org/officeDocument/2006/relationships/hyperlink" Target="https://www.newsquawk.com/headlines/terawulf-wulf-has-entered-into-a-definitive-agreement-to-sell-its-501-ownership-interest-in-the-abernathy-joint-venture-to-an-investor-group-led-by-its-joint-venture-partner-fluidstack" TargetMode="External"/><Relationship Id="rId5" Type="http://schemas.openxmlformats.org/officeDocument/2006/relationships/hyperlink" Target="https://www.sec.gov/Archives/edgar/data/1083301/000110465925102858/tm2529509d1_ex99-1.htm" TargetMode="External"/><Relationship Id="rId10" Type="http://schemas.openxmlformats.org/officeDocument/2006/relationships/hyperlink" Target="https://www.sec.gov/Archives/edgar/data/1652044/000165204426000071/goog-20260630.htm" TargetMode="External"/><Relationship Id="rId4" Type="http://schemas.openxmlformats.org/officeDocument/2006/relationships/hyperlink" Target="https://www.sec.gov/Archives/edgar/data/1083301/000110465925122293/tm2533501d1_8k.htm" TargetMode="External"/><Relationship Id="rId9" Type="http://schemas.openxmlformats.org/officeDocument/2006/relationships/hyperlink" Target="https://www.sec.gov/Archives/edgar/data/1083301/000108330126000162/a_wulfearningsreleaseq22026.ht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wthitv.com/2026/08/06/fluidstack-hosts-open-house-sullivan-county-data-center-campus/" TargetMode="External"/><Relationship Id="rId3" Type="http://schemas.openxmlformats.org/officeDocument/2006/relationships/hyperlink" Target="https://www.sec.gov/Archives/edgar/data/831114/000119312526320026/primary_doc.xml" TargetMode="External"/><Relationship Id="rId7" Type="http://schemas.openxmlformats.org/officeDocument/2006/relationships/hyperlink" Target="https://www.sec.gov/Archives/edgar/data/2104151/000090679126000132/primary_doc.xml" TargetMode="External"/><Relationship Id="rId2" Type="http://schemas.openxmlformats.org/officeDocument/2006/relationships/hyperlink" Target="https://www.cooley.com/news/coverage/2026/2026-04-16-fluidstack-joint-venture-to-issue-5-7-billion-in-senior-secured-notes" TargetMode="External"/><Relationship Id="rId1" Type="http://schemas.openxmlformats.org/officeDocument/2006/relationships/hyperlink" Target="https://www.lw.com/en/news/2026/04/latham-advises-on-meridian-arc-holdco-senior-secured-notes-offering-to-finance-ai-data-center" TargetMode="External"/><Relationship Id="rId6" Type="http://schemas.openxmlformats.org/officeDocument/2006/relationships/hyperlink" Target="https://www.sec.gov/Archives/edgar/data/1652044/000165204426000071/goog-20260630.htm" TargetMode="External"/><Relationship Id="rId5" Type="http://schemas.openxmlformats.org/officeDocument/2006/relationships/hyperlink" Target="https://www.idcnova.com/news/Coatue-Launches-Data-Center-Venture-Next-Frontier-Partners-with-Fluidstack-on-430MW-Indiana-Campus-5739" TargetMode="External"/><Relationship Id="rId4" Type="http://schemas.openxmlformats.org/officeDocument/2006/relationships/hyperlink" Target="https://newprojectmedia.com/financingorigination-data-center-start-up-potentia-behind-2-1-gw-indiana-project-now-backed-by-fluidstack-and-google/"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www.yourokmulgee.com/article/6020,commissioners-hear-details-behind-denial-of-data-center-floodplain-permit" TargetMode="External"/><Relationship Id="rId13" Type="http://schemas.openxmlformats.org/officeDocument/2006/relationships/hyperlink" Target="https://www.9fin.com/insights/fluidstack-coatue-data-center" TargetMode="External"/><Relationship Id="rId3" Type="http://schemas.openxmlformats.org/officeDocument/2006/relationships/hyperlink" Target="https://www.briefs.co/news/market-making-giant-s-lease-guaranty-anchors-2-25b-data-cent/" TargetMode="External"/><Relationship Id="rId7" Type="http://schemas.openxmlformats.org/officeDocument/2006/relationships/hyperlink" Target="https://www.henryettafree-lance.com/article/4965,county-denies-data-center-floodplain-permit-pending-additional-engineering-data" TargetMode="External"/><Relationship Id="rId12" Type="http://schemas.openxmlformats.org/officeDocument/2006/relationships/hyperlink" Target="https://krmg.com/2026/07/20/okmulgee-county-residents-seek-answers-on-proposed-data-center-near-wildlife-refuge/" TargetMode="External"/><Relationship Id="rId2" Type="http://schemas.openxmlformats.org/officeDocument/2006/relationships/hyperlink" Target="https://www.sec.gov/Archives/edgar/data/1217286/000207169126023656/primary_doc.xml" TargetMode="External"/><Relationship Id="rId1" Type="http://schemas.openxmlformats.org/officeDocument/2006/relationships/hyperlink" Target="https://www.sec.gov/Archives/edgar/data/1022695/000003540226005656/primary_doc.xml" TargetMode="External"/><Relationship Id="rId6" Type="http://schemas.openxmlformats.org/officeDocument/2006/relationships/hyperlink" Target="https://prismix.dev/news/1e63e9a6c2e3" TargetMode="External"/><Relationship Id="rId11" Type="http://schemas.openxmlformats.org/officeDocument/2006/relationships/hyperlink" Target="https://www.mvskokemedia.com/opposition-to-okmulgee-data-center-gains-momentum/" TargetMode="External"/><Relationship Id="rId5" Type="http://schemas.openxmlformats.org/officeDocument/2006/relationships/hyperlink" Target="https://www.gurufocus.com/news/9089494/jane-streets-debt-struggles-highlight-risks-in-ai-data-center-financing" TargetMode="External"/><Relationship Id="rId15" Type="http://schemas.openxmlformats.org/officeDocument/2006/relationships/hyperlink" Target="https://www.sec.gov/Archives/edgar/data/2104151/000090679126000132/primary_doc.xml" TargetMode="External"/><Relationship Id="rId10" Type="http://schemas.openxmlformats.org/officeDocument/2006/relationships/hyperlink" Target="https://www.okmulgeefluidstack.io/" TargetMode="External"/><Relationship Id="rId4" Type="http://schemas.openxmlformats.org/officeDocument/2006/relationships/hyperlink" Target="https://www.cobo.com/agentic-wallet/news/jane-street-lease-backs-2-25-billion-green-data-center-bond-issuance" TargetMode="External"/><Relationship Id="rId9" Type="http://schemas.openxmlformats.org/officeDocument/2006/relationships/hyperlink" Target="https://www.kjrh.com/news/local-news/new-info-released-on-possible-okmulgee-data-center-project" TargetMode="External"/><Relationship Id="rId14" Type="http://schemas.openxmlformats.org/officeDocument/2006/relationships/hyperlink" Target="https://dcmap.us/states/oklahoma/"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www.sec.gov/Archives/edgar/data/1859392/000185939226000084/glxy-20260630xpressrelease.htm" TargetMode="External"/><Relationship Id="rId13" Type="http://schemas.openxmlformats.org/officeDocument/2006/relationships/hyperlink" Target="https://blockspace.media/insight/galaxy-digital-helios-data-center-debt-offering/" TargetMode="External"/><Relationship Id="rId3" Type="http://schemas.openxmlformats.org/officeDocument/2006/relationships/hyperlink" Target="https://www.sec.gov/Archives/edgar/data/1859392/000185939226000068/launch8-kexhibit99172226.htm" TargetMode="External"/><Relationship Id="rId7" Type="http://schemas.openxmlformats.org/officeDocument/2006/relationships/hyperlink" Target="https://www.sec.gov/Archives/edgar/data/1859392/000185939226000005/heliosercotapproval_1x15.htm" TargetMode="External"/><Relationship Id="rId12" Type="http://schemas.openxmlformats.org/officeDocument/2006/relationships/hyperlink" Target="https://www.sec.gov/Archives/edgar/data/1859392/000185939226000105/glxy-20260922.htm" TargetMode="External"/><Relationship Id="rId2" Type="http://schemas.openxmlformats.org/officeDocument/2006/relationships/hyperlink" Target="https://www.sec.gov/Archives/edgar/data/1859392/000185939226000079/closing8-kxex41indenture.htm" TargetMode="External"/><Relationship Id="rId1" Type="http://schemas.openxmlformats.org/officeDocument/2006/relationships/hyperlink" Target="https://www.sec.gov/Archives/edgar/data/1859392/000185939226000079/glxy-20260728.htm" TargetMode="External"/><Relationship Id="rId6" Type="http://schemas.openxmlformats.org/officeDocument/2006/relationships/hyperlink" Target="https://www.sec.gov/Archives/edgar/data/1859392/000185939226000016/glxy-20251231.htm" TargetMode="External"/><Relationship Id="rId11" Type="http://schemas.openxmlformats.org/officeDocument/2006/relationships/hyperlink" Target="https://www.sec.gov/Archives/edgar/data/1769628/000176962826000366/crwv-20260630.htm" TargetMode="External"/><Relationship Id="rId5" Type="http://schemas.openxmlformats.org/officeDocument/2006/relationships/hyperlink" Target="https://www.sec.gov/Archives/edgar/data/1859392/000185939226000091/glxy-20260630.htm" TargetMode="External"/><Relationship Id="rId10" Type="http://schemas.openxmlformats.org/officeDocument/2006/relationships/hyperlink" Target="https://www.kcbd.com/2026/07/10/galaxy-completes-phase-i-its-helios-data-center-campus-delivering-133-megawatts-critical-it-load-coreweave/" TargetMode="External"/><Relationship Id="rId4" Type="http://schemas.openxmlformats.org/officeDocument/2006/relationships/hyperlink" Target="https://www.sec.gov/Archives/edgar/data/1859392/000185939226000074/glxy-20260723.htm" TargetMode="External"/><Relationship Id="rId9" Type="http://schemas.openxmlformats.org/officeDocument/2006/relationships/hyperlink" Target="https://finviz.com/news/389885/galaxy-provides-update-on-ercot-batch-zero-large-load-classifications"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baxtel.com/data-center/prime-ord01-01" TargetMode="External"/><Relationship Id="rId3" Type="http://schemas.openxmlformats.org/officeDocument/2006/relationships/hyperlink" Target="https://startupfortune.com/coreweaves-ai-boom-is-becoming-a-junk-bond-story/" TargetMode="External"/><Relationship Id="rId7" Type="http://schemas.openxmlformats.org/officeDocument/2006/relationships/hyperlink" Target="https://www.clunegc.com/project/prime-data-centers/" TargetMode="External"/><Relationship Id="rId12" Type="http://schemas.openxmlformats.org/officeDocument/2006/relationships/hyperlink" Target="https://ca.marketscreener.com/news/fitch-expects-to-rate-edged-compute-llc-and-its-senior-secured-notes-bb-exp-outlook-stable-ce7f59dbd988f126" TargetMode="External"/><Relationship Id="rId2" Type="http://schemas.openxmlformats.org/officeDocument/2006/relationships/hyperlink" Target="https://www.tradingview.com/news/gurufocus:35f8dbc6a094b:0-coreweave-linked-data-center-seeks-850-million-bond-financing/" TargetMode="External"/><Relationship Id="rId1" Type="http://schemas.openxmlformats.org/officeDocument/2006/relationships/hyperlink" Target="https://www.cahill.com/news/firm-news/2026-06-09-cahill-represents-initial-purchasers-in-elk-grove-village-property-900-million-notes-offering" TargetMode="External"/><Relationship Id="rId6" Type="http://schemas.openxmlformats.org/officeDocument/2006/relationships/hyperlink" Target="https://dcnnmagazine.com/data-centres/prime-data-centres-breaks-ground/" TargetMode="External"/><Relationship Id="rId11" Type="http://schemas.openxmlformats.org/officeDocument/2006/relationships/hyperlink" Target="https://www.dailyherald.com/20250627/business/comed-expanding-elk-grove-substation-to-power-data-center-boom/" TargetMode="External"/><Relationship Id="rId5" Type="http://schemas.openxmlformats.org/officeDocument/2006/relationships/hyperlink" Target="https://ccir.io/research/data-center-bonds-price-the-tenant" TargetMode="External"/><Relationship Id="rId10" Type="http://schemas.openxmlformats.org/officeDocument/2006/relationships/hyperlink" Target="https://www.moodys.com/researchandratings/region/004001/-/005008008002004" TargetMode="External"/><Relationship Id="rId4" Type="http://schemas.openxmlformats.org/officeDocument/2006/relationships/hyperlink" Target="https://creditflowresearch.com/issuer-31229-elk-grove-village-property-llc" TargetMode="External"/><Relationship Id="rId9" Type="http://schemas.openxmlformats.org/officeDocument/2006/relationships/hyperlink" Target="https://www.sec.gov/Archives/edgar/data/1769628/000176962826000366/crwv-20260630.htm"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www.datacenterdynamics.com/en/news/softbank-backed-sb-energy-subsidiary-to-develop-former-texas-3m-campus-in-rd-tech-center/" TargetMode="External"/><Relationship Id="rId3" Type="http://schemas.openxmlformats.org/officeDocument/2006/relationships/hyperlink" Target="https://www.sec.gov/Archives/edgar/data/2133037/000162828026059639/sbenergy-sx1.htm" TargetMode="External"/><Relationship Id="rId7" Type="http://schemas.openxmlformats.org/officeDocument/2006/relationships/hyperlink" Target="https://www.bloomberg.com/news/articles/2026-04-29/softbank-tied-deal-extends-junk-debt-spree-for-us-data-centers" TargetMode="External"/><Relationship Id="rId2" Type="http://schemas.openxmlformats.org/officeDocument/2006/relationships/hyperlink" Target="https://www.sec.gov/Archives/edgar/data/2133037/000162828026059639/exhibit102-indenturexcosmo.htm" TargetMode="External"/><Relationship Id="rId1" Type="http://schemas.openxmlformats.org/officeDocument/2006/relationships/hyperlink" Target="https://www.sec.gov/Archives/edgar/data/2133037/000162828026062846/sbenergy-sx1a2.htm" TargetMode="External"/><Relationship Id="rId6" Type="http://schemas.openxmlformats.org/officeDocument/2006/relationships/hyperlink" Target="https://www.fourpointsnews.com/2026/09/03/sec-filings-show-that-sb-energy-is-constructing-a-data-center-at-former-3m-site-in-four-points/" TargetMode="External"/><Relationship Id="rId5" Type="http://schemas.openxmlformats.org/officeDocument/2006/relationships/hyperlink" Target="https://www.cahill.com/news/firm-news/2026-05-07-cahill-represents-initial-purchasers-in-se-cosmos-llcs-999-million-notes-offering" TargetMode="External"/><Relationship Id="rId10" Type="http://schemas.openxmlformats.org/officeDocument/2006/relationships/hyperlink" Target="https://ccir.io/research/data-center-bonds-price-the-tenant" TargetMode="External"/><Relationship Id="rId4" Type="http://schemas.openxmlformats.org/officeDocument/2006/relationships/hyperlink" Target="https://www.milbank.com/en/news/milbank-advises-sb-energy-on-inaugural-high-yield-notes-offering.html" TargetMode="External"/><Relationship Id="rId9" Type="http://schemas.openxmlformats.org/officeDocument/2006/relationships/hyperlink" Target="https://www.kvue.com/article/news/community/data-centers/project-cosmos-northwest-austin-texas-details-neighbors-answers/269-a1a2dd87-d914-485c-be8d-bb7aacd44252"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www.sec.gov/Archives/edgar/data/1083301/000110465925079463/tm2523651d3_ex99-1.htm" TargetMode="External"/><Relationship Id="rId13" Type="http://schemas.openxmlformats.org/officeDocument/2006/relationships/hyperlink" Target="https://www.sec.gov/Archives/edgar/data/1083301/000162828026064757/muskieexpansionpr.htm" TargetMode="External"/><Relationship Id="rId3" Type="http://schemas.openxmlformats.org/officeDocument/2006/relationships/hyperlink" Target="https://www.sec.gov/Archives/edgar/data/1083301/000110465925100142/tm2528904d1_ex99-1.htm" TargetMode="External"/><Relationship Id="rId7" Type="http://schemas.openxmlformats.org/officeDocument/2006/relationships/hyperlink" Target="https://www.sec.gov/Archives/edgar/data/1083301/000110465925078084/tm2523008d2_8k.htm" TargetMode="External"/><Relationship Id="rId12" Type="http://schemas.openxmlformats.org/officeDocument/2006/relationships/hyperlink" Target="https://www.sec.gov/Archives/edgar/data/1083301/000110465926044387/tm2611661d9_8k.htm" TargetMode="External"/><Relationship Id="rId2" Type="http://schemas.openxmlformats.org/officeDocument/2006/relationships/hyperlink" Target="https://www.sec.gov/Archives/edgar/data/1083301/000110465925101866/tm2529300d1_ex4-1.htm" TargetMode="External"/><Relationship Id="rId1" Type="http://schemas.openxmlformats.org/officeDocument/2006/relationships/hyperlink" Target="https://www.sec.gov/Archives/edgar/data/1083301/000110465925101866/tm2529300d1_8k.htm" TargetMode="External"/><Relationship Id="rId6" Type="http://schemas.openxmlformats.org/officeDocument/2006/relationships/hyperlink" Target="https://www.sec.gov/Archives/edgar/data/1083301/000108330126000162/terawulfq22026investorpr.htm" TargetMode="External"/><Relationship Id="rId11" Type="http://schemas.openxmlformats.org/officeDocument/2006/relationships/hyperlink" Target="https://www.sec.gov/Archives/edgar/data/1652044/000165204426000071/goog-20260630.htm" TargetMode="External"/><Relationship Id="rId5" Type="http://schemas.openxmlformats.org/officeDocument/2006/relationships/hyperlink" Target="https://www.sec.gov/Archives/edgar/data/1083301/000108330126000162/a_wulfearningsreleaseq22026.htm" TargetMode="External"/><Relationship Id="rId10" Type="http://schemas.openxmlformats.org/officeDocument/2006/relationships/hyperlink" Target="https://www.sec.gov/Archives/edgar/data/1083301/000110465926080583/tm2619468d1_8k.htm" TargetMode="External"/><Relationship Id="rId4" Type="http://schemas.openxmlformats.org/officeDocument/2006/relationships/hyperlink" Target="https://www.sec.gov/Archives/edgar/data/1083301/000108330126000166/wulf-20260630.htm" TargetMode="External"/><Relationship Id="rId9" Type="http://schemas.openxmlformats.org/officeDocument/2006/relationships/hyperlink" Target="https://www.sec.gov/Archives/edgar/data/1083301/000110465925099345/tm2528711d1_ex99-1.htm" TargetMode="External"/><Relationship Id="rId14" Type="http://schemas.openxmlformats.org/officeDocument/2006/relationships/hyperlink" Target="https://www.sec.gov/Archives/edgar/data/1518042/000091047226001062/primary_doc.xml"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www.yahoo.com/news/politics/articles/loudoun-supervisors-dont-rollback-data-031938684.html" TargetMode="External"/><Relationship Id="rId3" Type="http://schemas.openxmlformats.org/officeDocument/2006/relationships/hyperlink" Target="https://www.cahill.com/news/firm-news/2026-06-30-cahill-represents-initial-purchasers-in-715-million-notes-offering-for-yondr-data-center-project/_pdfx/2026-06-30-cahill-represents-initial-purchasers-in-715-million-notes-offering-for-yondr-data-center-project.pdf" TargetMode="External"/><Relationship Id="rId7" Type="http://schemas.openxmlformats.org/officeDocument/2006/relationships/hyperlink" Target="https://www.yahoo.com/news/politics/articles/loudoun-county-leaders-table-debate-023521828.html" TargetMode="External"/><Relationship Id="rId12" Type="http://schemas.openxmlformats.org/officeDocument/2006/relationships/hyperlink" Target="https://www.sec.gov/Archives/edgar/data/1341439/000119312526033882/d44245dfwp.htm" TargetMode="External"/><Relationship Id="rId2" Type="http://schemas.openxmlformats.org/officeDocument/2006/relationships/hyperlink" Target="https://www.milbank.com/en/news/milbank-advises-yondr-on-dollar715m-senior-secured-notes-offering.html" TargetMode="External"/><Relationship Id="rId1" Type="http://schemas.openxmlformats.org/officeDocument/2006/relationships/hyperlink" Target="https://www.yondrgroup.com/newsroom/press-release/yondr-group-and-jk-land-holdings-announce-pricing-of-senior-secured-notes/" TargetMode="External"/><Relationship Id="rId6" Type="http://schemas.openxmlformats.org/officeDocument/2006/relationships/hyperlink" Target="https://baxtel.com/data-center/yondr-arcola-expansion" TargetMode="External"/><Relationship Id="rId11" Type="http://schemas.openxmlformats.org/officeDocument/2006/relationships/hyperlink" Target="https://www.sec.gov/Archives/edgar/data/1341439/000119312526389274/orcl-20260831.htm" TargetMode="External"/><Relationship Id="rId5" Type="http://schemas.openxmlformats.org/officeDocument/2006/relationships/hyperlink" Target="https://datacentrenews.uk/story/yondr-jk-1-prices-usd-715m-notes-for-virginia-data-centre" TargetMode="External"/><Relationship Id="rId10" Type="http://schemas.openxmlformats.org/officeDocument/2006/relationships/hyperlink" Target="https://www.mcguirewoods.com/client-resources/alerts/2025/4/loudoun-county-eliminates-by-right-use-for-data-centers-increasing-development-hurdles/" TargetMode="External"/><Relationship Id="rId4" Type="http://schemas.openxmlformats.org/officeDocument/2006/relationships/hyperlink" Target="https://w.media/?p=41104" TargetMode="External"/><Relationship Id="rId9" Type="http://schemas.openxmlformats.org/officeDocument/2006/relationships/hyperlink" Target="https://virginiamercury.com/2026/09/14/loudoun-to-consider-data-center-pause-removing-by-right-grandfather-claus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www.sec.gov/Archives/edgar/data/1769628/000176962826000357/crwv-20260807.htm" TargetMode="External"/><Relationship Id="rId13" Type="http://schemas.openxmlformats.org/officeDocument/2006/relationships/hyperlink" Target="https://www.sec.gov/Archives/edgar/data/1769628/000119312526148912/d136714d8k.htm" TargetMode="External"/><Relationship Id="rId18" Type="http://schemas.openxmlformats.org/officeDocument/2006/relationships/hyperlink" Target="https://www.sec.gov/Archives/edgar/data/1839341/000162828026013305/core-20251231.htm" TargetMode="External"/><Relationship Id="rId3" Type="http://schemas.openxmlformats.org/officeDocument/2006/relationships/hyperlink" Target="https://www.sec.gov/Archives/edgar/data/1769628/000176962826000183/crwv-20260416.htm" TargetMode="External"/><Relationship Id="rId7" Type="http://schemas.openxmlformats.org/officeDocument/2006/relationships/hyperlink" Target="https://www.sec.gov/Archives/edgar/data/1769628/000176962826000236/crwv-20260515.htm" TargetMode="External"/><Relationship Id="rId12" Type="http://schemas.openxmlformats.org/officeDocument/2006/relationships/hyperlink" Target="https://www.sec.gov/Archives/edgar/data/1769628/000176962826000429/crwv2026convertpresentat.htm" TargetMode="External"/><Relationship Id="rId17" Type="http://schemas.openxmlformats.org/officeDocument/2006/relationships/hyperlink" Target="https://letsdatascience.com/news/coreweave-faces-rising-liabilities-and-leverage-32d677ad" TargetMode="External"/><Relationship Id="rId2" Type="http://schemas.openxmlformats.org/officeDocument/2006/relationships/hyperlink" Target="https://www.sec.gov/Archives/edgar/data/1769628/000176962826000164/ex41.htm" TargetMode="External"/><Relationship Id="rId16" Type="http://schemas.openxmlformats.org/officeDocument/2006/relationships/hyperlink" Target="https://www.bloomberg.com/news/articles/2026-10-14/coreweave-bonds-tumble-into-distress-drawing-yikes-from-musk" TargetMode="External"/><Relationship Id="rId1" Type="http://schemas.openxmlformats.org/officeDocument/2006/relationships/hyperlink" Target="https://www.sec.gov/Archives/edgar/data/1769628/000176962826000164/crwv-20260409.htm" TargetMode="External"/><Relationship Id="rId6" Type="http://schemas.openxmlformats.org/officeDocument/2006/relationships/hyperlink" Target="https://www.sec.gov/Archives/edgar/data/1769628/000176962826000291/crwv-20260618.htm" TargetMode="External"/><Relationship Id="rId11" Type="http://schemas.openxmlformats.org/officeDocument/2006/relationships/hyperlink" Target="https://www.sec.gov/Archives/edgar/data/1769628/000176962826000432/crwv-20260917.htm" TargetMode="External"/><Relationship Id="rId5" Type="http://schemas.openxmlformats.org/officeDocument/2006/relationships/hyperlink" Target="https://www.sec.gov/Archives/edgar/data/1769628/000176962826000362/coreweave2q26earningspress.htm" TargetMode="External"/><Relationship Id="rId15" Type="http://schemas.openxmlformats.org/officeDocument/2006/relationships/hyperlink" Target="https://thecryptobasic.com/2026/10/15/coreweave-stock-falls-another-6-as-bond-yields-top-15-despite-ceo-reassurance/" TargetMode="External"/><Relationship Id="rId10" Type="http://schemas.openxmlformats.org/officeDocument/2006/relationships/hyperlink" Target="https://www.sec.gov/Archives/edgar/data/1769628/000176962826000429/crwv-20260917.htm" TargetMode="External"/><Relationship Id="rId4" Type="http://schemas.openxmlformats.org/officeDocument/2006/relationships/hyperlink" Target="https://www.sec.gov/Archives/edgar/data/1769628/000176962826000366/crwv-20260630.htm" TargetMode="External"/><Relationship Id="rId9" Type="http://schemas.openxmlformats.org/officeDocument/2006/relationships/hyperlink" Target="https://www.sec.gov/Archives/edgar/data/1769628/000176962826000129/crwv-20260330.htm" TargetMode="External"/><Relationship Id="rId14" Type="http://schemas.openxmlformats.org/officeDocument/2006/relationships/hyperlink" Target="https://www.sec.gov/Archives/edgar/data/1769628/000176962826000104/crwv-20251231.ht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www.sec.gov/Archives/edgar/data/1341439/000119312526389753/d20034d8k.htm" TargetMode="External"/><Relationship Id="rId3" Type="http://schemas.openxmlformats.org/officeDocument/2006/relationships/hyperlink" Target="https://www.sec.gov/Archives/edgar/data/1341439/000119312526032650/d36096dfwp.htm" TargetMode="External"/><Relationship Id="rId7" Type="http://schemas.openxmlformats.org/officeDocument/2006/relationships/hyperlink" Target="https://www.sec.gov/Archives/edgar/data/1341439/000119312526389274/orcl-20260831.htm" TargetMode="External"/><Relationship Id="rId12" Type="http://schemas.openxmlformats.org/officeDocument/2006/relationships/hyperlink" Target="https://www.sec.gov/Archives/edgar/data/1341439/000119312526278585/d120346d424b5.htm" TargetMode="External"/><Relationship Id="rId2" Type="http://schemas.openxmlformats.org/officeDocument/2006/relationships/hyperlink" Target="https://www.sec.gov/Archives/edgar/data/1341439/000119312526033882/d44245dfwp.htm" TargetMode="External"/><Relationship Id="rId1" Type="http://schemas.openxmlformats.org/officeDocument/2006/relationships/hyperlink" Target="https://www.sec.gov/Archives/edgar/data/1341439/000119312526035603/d33906d424b2.htm" TargetMode="External"/><Relationship Id="rId6" Type="http://schemas.openxmlformats.org/officeDocument/2006/relationships/hyperlink" Target="https://www.sec.gov/Archives/edgar/data/1341439/000119312526277521/orcl-20260531.htm" TargetMode="External"/><Relationship Id="rId11" Type="http://schemas.openxmlformats.org/officeDocument/2006/relationships/hyperlink" Target="https://ppc.land/s-p-cuts-oracle-to-bbb-as-ai-buildout-widens-cash-deficit-to-42bn/" TargetMode="External"/><Relationship Id="rId5" Type="http://schemas.openxmlformats.org/officeDocument/2006/relationships/hyperlink" Target="https://www.sec.gov/Archives/edgar/data/1341439/000119312526037818/d60756d424b5.htm" TargetMode="External"/><Relationship Id="rId10" Type="http://schemas.openxmlformats.org/officeDocument/2006/relationships/hyperlink" Target="https://www.newsquawk.com/headlines/moodys-affirms-oracles-orcl-baa2-rating-on-equity-announcement-outlook-remains-negative" TargetMode="External"/><Relationship Id="rId4" Type="http://schemas.openxmlformats.org/officeDocument/2006/relationships/hyperlink" Target="https://www.sec.gov/Archives/edgar/data/1341439/000119312526037840/d23732d8k.htm" TargetMode="External"/><Relationship Id="rId9" Type="http://schemas.openxmlformats.org/officeDocument/2006/relationships/hyperlink" Target="https://finance.yahoo.com/news/oracle-stock-rises-fitch-affirms-12534310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8"/>
  <sheetViews>
    <sheetView showGridLines="0" workbookViewId="0">
      <pane xSplit="2" ySplit="4" topLeftCell="K5" activePane="bottomRight" state="frozen"/>
      <selection pane="topRight"/>
      <selection pane="bottomLeft"/>
      <selection pane="bottomRight" activeCell="B18" sqref="B18"/>
    </sheetView>
  </sheetViews>
  <sheetFormatPr defaultRowHeight="15" x14ac:dyDescent="0.25"/>
  <cols>
    <col min="1" max="1" width="52" customWidth="1"/>
    <col min="2" max="2" width="9" customWidth="1"/>
    <col min="3" max="3" width="28" customWidth="1"/>
    <col min="4" max="4" width="26" customWidth="1"/>
    <col min="5" max="5" width="9" customWidth="1"/>
    <col min="6" max="6" width="15" customWidth="1"/>
    <col min="7" max="7" width="11" customWidth="1"/>
    <col min="8" max="8" width="10" customWidth="1"/>
    <col min="9" max="9" width="8" customWidth="1"/>
    <col min="10" max="10" width="9" customWidth="1"/>
    <col min="11" max="11" width="12" customWidth="1"/>
    <col min="12" max="12" width="10" customWidth="1"/>
    <col min="13" max="13" width="13" customWidth="1"/>
    <col min="14" max="14" width="11" customWidth="1"/>
    <col min="15" max="15" width="13" customWidth="1"/>
    <col min="16" max="16" width="12" customWidth="1"/>
    <col min="17" max="17" width="11" customWidth="1"/>
    <col min="18" max="18" width="8" customWidth="1"/>
    <col min="19" max="20" width="11" customWidth="1"/>
    <col min="21" max="21" width="20" customWidth="1"/>
    <col min="22" max="25" width="12" customWidth="1"/>
    <col min="26" max="26" width="36" customWidth="1"/>
  </cols>
  <sheetData>
    <row r="1" spans="1:26" ht="18.75" x14ac:dyDescent="0.3">
      <c r="A1" s="1" t="s">
        <v>0</v>
      </c>
    </row>
    <row r="2" spans="1:26" x14ac:dyDescent="0.25">
      <c r="A2" s="2" t="s">
        <v>1</v>
      </c>
    </row>
    <row r="4" spans="1:26" ht="39.950000000000003" customHeight="1"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row>
    <row r="5" spans="1:26" x14ac:dyDescent="0.25">
      <c r="A5" s="4" t="s">
        <v>28</v>
      </c>
      <c r="B5" s="5"/>
      <c r="C5" s="5"/>
      <c r="D5" s="5"/>
      <c r="E5" s="5"/>
      <c r="F5" s="5"/>
      <c r="G5" s="5"/>
      <c r="H5" s="5"/>
      <c r="I5" s="5"/>
      <c r="J5" s="5"/>
      <c r="K5" s="5"/>
      <c r="L5" s="5"/>
      <c r="M5" s="5"/>
      <c r="N5" s="5"/>
      <c r="O5" s="5"/>
      <c r="P5" s="5"/>
      <c r="Q5" s="5"/>
      <c r="R5" s="5"/>
      <c r="S5" s="5"/>
      <c r="T5" s="5"/>
      <c r="U5" s="5"/>
      <c r="V5" s="5"/>
      <c r="W5" s="5"/>
      <c r="X5" s="5"/>
      <c r="Y5" s="5"/>
      <c r="Z5" s="5"/>
    </row>
    <row r="6" spans="1:26" ht="26.1" customHeight="1" x14ac:dyDescent="0.25">
      <c r="A6" s="6" t="s">
        <v>29</v>
      </c>
      <c r="B6" s="7" t="s">
        <v>30</v>
      </c>
      <c r="C6" s="8" t="s">
        <v>31</v>
      </c>
      <c r="D6" s="8" t="s">
        <v>32</v>
      </c>
      <c r="E6" s="9">
        <v>352</v>
      </c>
      <c r="F6" s="8" t="s">
        <v>33</v>
      </c>
      <c r="G6" s="9">
        <v>4250</v>
      </c>
      <c r="H6" s="10">
        <f>_xll.BDP($Z6,"LAST_PRICE")</f>
        <v>92.424000000000007</v>
      </c>
      <c r="I6" s="11">
        <f>_xll.BDP($Z6,"CHG_PCT_1D")</f>
        <v>-3.4323654336598723E-2</v>
      </c>
      <c r="J6" s="11">
        <f>_xll.BDP($Z6,"YLD_YTM_MID")</f>
        <v>6.9070348261432164</v>
      </c>
      <c r="K6" s="12" t="str">
        <f>IFERROR(_xll.BDP($Z6,"TRACE_LAST_TRADE_SIZE"),"n/a")</f>
        <v>11</v>
      </c>
      <c r="L6" s="12" t="str">
        <f>IFERROR(_xll.BDP($Z6,"PRICE_LAST_TIME"),"")</f>
        <v>16:44:24</v>
      </c>
      <c r="M6" s="13">
        <f t="shared" ref="M6:M12" si="0">IF(AND(ISNUMBER(H6),ISNUMBER(G6)),(H6-100)/100*G6,"")</f>
        <v>-321.97999999999973</v>
      </c>
      <c r="N6" s="14">
        <f t="shared" ref="N6:N12" si="1">IF(ISNUMBER(H6),(H6-100)/100,"")</f>
        <v>-7.5759999999999939E-2</v>
      </c>
      <c r="O6" s="13">
        <f>IFERROR((H6-_xll.BDP($Z6,"PX_CLOSE_1D"))/100*G6,"")</f>
        <v>-4.547499999999971</v>
      </c>
      <c r="P6" s="13">
        <f>IF(ISNUMBER(H6),(H6-93.65)/100*G6,"")</f>
        <v>-52.104999999999961</v>
      </c>
      <c r="Q6" s="15">
        <f>IF(ISNUMBER(J6),(J6-6.99)*100,"")</f>
        <v>-8.2965173856783814</v>
      </c>
      <c r="R6" s="8"/>
      <c r="S6" s="16">
        <v>46182</v>
      </c>
      <c r="T6" s="17">
        <f>_xll.BDP($Z6,"OAS_SPREAD_MID")</f>
        <v>195.27657498732665</v>
      </c>
      <c r="U6" s="8" t="s">
        <v>34</v>
      </c>
      <c r="V6" s="17">
        <f>_xll.BDP("NVDA 4.95 06/15/36 Corp","OAS_SPREAD_MID")</f>
        <v>80.513519893860334</v>
      </c>
      <c r="W6" s="18">
        <f t="shared" ref="W6:W12" si="2">IF(AND(ISNUMBER(T6),ISNUMBER(V6)),T6-V6,"")</f>
        <v>114.76305509346632</v>
      </c>
      <c r="X6" s="19">
        <v>125</v>
      </c>
      <c r="Y6" s="15">
        <f t="shared" ref="Y6:Y12" si="3">IF(ISNUMBER(W6),W6-X6,"")</f>
        <v>-10.23694490653368</v>
      </c>
      <c r="Z6" s="20" t="s">
        <v>35</v>
      </c>
    </row>
    <row r="7" spans="1:26" ht="26.1" customHeight="1" x14ac:dyDescent="0.25">
      <c r="A7" s="6" t="s">
        <v>36</v>
      </c>
      <c r="B7" s="7" t="s">
        <v>37</v>
      </c>
      <c r="C7" s="8" t="s">
        <v>38</v>
      </c>
      <c r="D7" s="8" t="s">
        <v>39</v>
      </c>
      <c r="E7" s="9">
        <v>245</v>
      </c>
      <c r="F7" s="8" t="s">
        <v>40</v>
      </c>
      <c r="G7" s="9">
        <v>3250</v>
      </c>
      <c r="H7" s="10">
        <f>_xll.BDP($Z7,"LAST_PRICE")</f>
        <v>93.918999999999997</v>
      </c>
      <c r="I7" s="11">
        <f>_xll.BDP($Z7,"CHG_PCT_1D")</f>
        <v>-0.43961783924423353</v>
      </c>
      <c r="J7" s="11">
        <f>_xll.BDP($Z7,"YLD_YTM_MID")</f>
        <v>6.8227401754863894</v>
      </c>
      <c r="K7" s="12" t="str">
        <f>IFERROR(_xll.BDP($Z7,"TRACE_LAST_TRADE_SIZE"),"n/a")</f>
        <v>5MM+</v>
      </c>
      <c r="L7" s="12" t="str">
        <f>IFERROR(_xll.BDP($Z7,"PRICE_LAST_TIME"),"")</f>
        <v>16:44:24</v>
      </c>
      <c r="M7" s="13">
        <f t="shared" si="0"/>
        <v>-197.63250000000011</v>
      </c>
      <c r="N7" s="14">
        <f t="shared" si="1"/>
        <v>-6.0810000000000031E-2</v>
      </c>
      <c r="O7" s="13">
        <f>IFERROR((H7-_xll.BDP($Z7,"PX_CLOSE_1D"))/100*G7,"")</f>
        <v>-12.61000000000017</v>
      </c>
      <c r="P7" s="13">
        <f>IF(ISNUMBER(H7),(H7-96.15)/100*G7,"")</f>
        <v>-72.507500000000277</v>
      </c>
      <c r="Q7" s="15">
        <f>IF(ISNUMBER(J7),(J7-6.74)*100,"")</f>
        <v>8.2740175486389234</v>
      </c>
      <c r="R7" s="8"/>
      <c r="S7" s="16">
        <v>46142</v>
      </c>
      <c r="T7" s="17">
        <f>_xll.BDP($Z7,"OAS_SPREAD_MID")</f>
        <v>188.37732013017296</v>
      </c>
      <c r="U7" s="8" t="s">
        <v>41</v>
      </c>
      <c r="V7" s="17">
        <f>_xll.BDP("US02079KBM80 Corp","OAS_SPREAD_MID")</f>
        <v>68.481578260622825</v>
      </c>
      <c r="W7" s="18">
        <f t="shared" si="2"/>
        <v>119.89574186955014</v>
      </c>
      <c r="X7" s="19">
        <v>110</v>
      </c>
      <c r="Y7" s="15">
        <f t="shared" si="3"/>
        <v>9.895741869550136</v>
      </c>
      <c r="Z7" s="20" t="s">
        <v>42</v>
      </c>
    </row>
    <row r="8" spans="1:26" ht="26.1" customHeight="1" x14ac:dyDescent="0.25">
      <c r="A8" s="6" t="s">
        <v>43</v>
      </c>
      <c r="B8" s="7" t="s">
        <v>44</v>
      </c>
      <c r="C8" s="8" t="s">
        <v>45</v>
      </c>
      <c r="D8" s="8" t="s">
        <v>46</v>
      </c>
      <c r="E8" s="9">
        <v>2064</v>
      </c>
      <c r="F8" s="8" t="s">
        <v>47</v>
      </c>
      <c r="G8" s="9">
        <v>27293.8</v>
      </c>
      <c r="H8" s="10">
        <f>_xll.BDP($Z8,"LAST_PRICE")</f>
        <v>91.908000000000001</v>
      </c>
      <c r="I8" s="11">
        <f>_xll.BDP($Z8,"CHG_PCT_1D")</f>
        <v>-0.50901119257637462</v>
      </c>
      <c r="J8" s="11">
        <f>_xll.BDP($Z8,"YLD_YTM_MID")</f>
        <v>7.4801613526308399</v>
      </c>
      <c r="K8" s="12" t="str">
        <f>IFERROR(_xll.BDP($Z8,"TRACE_LAST_TRADE_SIZE"),"n/a")</f>
        <v>5MM+</v>
      </c>
      <c r="L8" s="12" t="str">
        <f>IFERROR(_xll.BDP($Z8,"PRICE_LAST_TIME"),"")</f>
        <v>16:44:24</v>
      </c>
      <c r="M8" s="13">
        <f t="shared" si="0"/>
        <v>-2208.6142959999997</v>
      </c>
      <c r="N8" s="14">
        <f t="shared" si="1"/>
        <v>-8.0919999999999992E-2</v>
      </c>
      <c r="O8" s="13">
        <f>IFERROR((H8-_xll.BDP($Z8,"PX_CLOSE_1D"))/100*G8,"")</f>
        <v>-139.19838000000141</v>
      </c>
      <c r="P8" s="13">
        <f>IF(ISNUMBER(H8),(H8-94.73)/100*G8,"")</f>
        <v>-770.2310360000007</v>
      </c>
      <c r="Q8" s="15">
        <f>IF(ISNUMBER(J8),(J8-7.15)*100,"")</f>
        <v>33.016135263083953</v>
      </c>
      <c r="R8" s="8" t="s">
        <v>48</v>
      </c>
      <c r="S8" s="16">
        <v>45951</v>
      </c>
      <c r="T8" s="17">
        <f>_xll.BDP($Z8,"OAS_SPREAD_MID")</f>
        <v>222.60592169814674</v>
      </c>
      <c r="U8" s="8" t="s">
        <v>49</v>
      </c>
      <c r="V8" s="17">
        <f>_xll.BDP("US30303MAH51 Corp","OAS_SPREAD_MID")</f>
        <v>107.58046004660193</v>
      </c>
      <c r="W8" s="18">
        <f t="shared" si="2"/>
        <v>115.02546165154482</v>
      </c>
      <c r="X8" s="19">
        <v>111</v>
      </c>
      <c r="Y8" s="15">
        <f t="shared" si="3"/>
        <v>4.0254616515448163</v>
      </c>
      <c r="Z8" s="20" t="s">
        <v>50</v>
      </c>
    </row>
    <row r="9" spans="1:26" ht="26.1" customHeight="1" x14ac:dyDescent="0.25">
      <c r="A9" s="6" t="s">
        <v>51</v>
      </c>
      <c r="B9" s="7" t="s">
        <v>52</v>
      </c>
      <c r="C9" s="8" t="s">
        <v>45</v>
      </c>
      <c r="D9" s="8" t="s">
        <v>53</v>
      </c>
      <c r="E9" s="9">
        <v>960</v>
      </c>
      <c r="F9" s="8" t="s">
        <v>54</v>
      </c>
      <c r="G9" s="9">
        <v>12639.5</v>
      </c>
      <c r="H9" s="10">
        <f>_xll.BDP($Z9,"LAST_PRICE")</f>
        <v>98.998999999999995</v>
      </c>
      <c r="I9" s="11">
        <f>_xll.BDP($Z9,"CHG_PCT_1D")</f>
        <v>-0.33711872873233112</v>
      </c>
      <c r="J9" s="11">
        <f>_xll.BDP($Z9,"YLD_YTM_MID")</f>
        <v>7.6225604360279799</v>
      </c>
      <c r="K9" s="12" t="str">
        <f>IFERROR(_xll.BDP($Z9,"TRACE_LAST_TRADE_SIZE"),"n/a")</f>
        <v>175</v>
      </c>
      <c r="L9" s="12" t="str">
        <f>IFERROR(_xll.BDP($Z9,"PRICE_LAST_TIME"),"")</f>
        <v>16:44:24</v>
      </c>
      <c r="M9" s="13">
        <f t="shared" si="0"/>
        <v>-126.52139500000061</v>
      </c>
      <c r="N9" s="14">
        <f t="shared" si="1"/>
        <v>-1.0010000000000048E-2</v>
      </c>
      <c r="O9" s="13">
        <f>IFERROR((H9-_xll.BDP($Z9,"PX_CLOSE_1D"))/100*G9,"")</f>
        <v>-70.275620000001467</v>
      </c>
      <c r="P9" s="13">
        <f>IF(ISNUMBER(H9),(H9-103.65)/100*G9,"")</f>
        <v>-587.8631450000014</v>
      </c>
      <c r="Q9" s="15">
        <f>IF(ISNUMBER(J9),(J9-7.22)*100,"")</f>
        <v>40.256043602798016</v>
      </c>
      <c r="R9" s="8" t="s">
        <v>48</v>
      </c>
      <c r="S9" s="16">
        <v>46233</v>
      </c>
      <c r="T9" s="17">
        <f>_xll.BDP($Z9,"OAS_SPREAD_MID")</f>
        <v>238.01140296119164</v>
      </c>
      <c r="U9" s="8" t="s">
        <v>49</v>
      </c>
      <c r="V9" s="17">
        <f>_xll.BDP("US30303MAH51 Corp","OAS_SPREAD_MID")</f>
        <v>107.58046004660193</v>
      </c>
      <c r="W9" s="18">
        <f t="shared" si="2"/>
        <v>130.43094291458971</v>
      </c>
      <c r="X9" s="19">
        <v>128</v>
      </c>
      <c r="Y9" s="15">
        <f t="shared" si="3"/>
        <v>2.430942914589707</v>
      </c>
      <c r="Z9" s="20" t="s">
        <v>55</v>
      </c>
    </row>
    <row r="10" spans="1:26" ht="26.1" customHeight="1" x14ac:dyDescent="0.25">
      <c r="A10" s="6" t="s">
        <v>56</v>
      </c>
      <c r="B10" s="7" t="s">
        <v>57</v>
      </c>
      <c r="C10" s="8" t="s">
        <v>58</v>
      </c>
      <c r="D10" s="8" t="s">
        <v>59</v>
      </c>
      <c r="E10" s="9">
        <v>974</v>
      </c>
      <c r="F10" s="8" t="s">
        <v>60</v>
      </c>
      <c r="G10" s="9">
        <v>14000</v>
      </c>
      <c r="H10" s="10">
        <f>_xll.BDP($Z10,"LAST_PRICE")</f>
        <v>87.247</v>
      </c>
      <c r="I10" s="11">
        <f>_xll.BDP($Z10,"CHG_PCT_1D")</f>
        <v>-1.3388337239860917</v>
      </c>
      <c r="J10" s="11">
        <f>_xll.BDP($Z10,"YLD_YTM_MID")</f>
        <v>8.9678815625000947</v>
      </c>
      <c r="K10" s="12" t="str">
        <f>IFERROR(_xll.BDP($Z10,"TRACE_LAST_TRADE_SIZE"),"n/a")</f>
        <v>5000</v>
      </c>
      <c r="L10" s="12" t="str">
        <f>IFERROR(_xll.BDP($Z10,"PRICE_LAST_TIME"),"")</f>
        <v>16:44:24</v>
      </c>
      <c r="M10" s="13">
        <f t="shared" si="0"/>
        <v>-1785.42</v>
      </c>
      <c r="N10" s="14">
        <f t="shared" si="1"/>
        <v>-0.12753</v>
      </c>
      <c r="O10" s="13">
        <f>IFERROR((H10-_xll.BDP($Z10,"PX_CLOSE_1D"))/100*G10,"")</f>
        <v>-104.57999999999998</v>
      </c>
      <c r="P10" s="13">
        <f>IF(ISNUMBER(H10),(H10-94.25)/100*G10,"")</f>
        <v>-980.42</v>
      </c>
      <c r="Q10" s="15">
        <f>IF(ISNUMBER(J10),(J10-8.21)*100,"")</f>
        <v>75.788156250009393</v>
      </c>
      <c r="R10" s="8"/>
      <c r="S10" s="16">
        <v>46142</v>
      </c>
      <c r="T10" s="17">
        <f>_xll.BDP($Z10,"OAS_SPREAD_MID")</f>
        <v>400.12211982965312</v>
      </c>
      <c r="U10" s="8" t="s">
        <v>61</v>
      </c>
      <c r="V10" s="17">
        <f>_xll.BDP("US68389XBW48 Corp","OAS_SPREAD_MID")</f>
        <v>275.0576991986303</v>
      </c>
      <c r="W10" s="18">
        <f t="shared" si="2"/>
        <v>125.06442063102281</v>
      </c>
      <c r="X10" s="19">
        <v>71</v>
      </c>
      <c r="Y10" s="15">
        <f t="shared" si="3"/>
        <v>54.064420631022813</v>
      </c>
      <c r="Z10" s="20" t="s">
        <v>62</v>
      </c>
    </row>
    <row r="11" spans="1:26" ht="26.1" customHeight="1" x14ac:dyDescent="0.25">
      <c r="A11" s="6" t="s">
        <v>63</v>
      </c>
      <c r="B11" s="7" t="s">
        <v>64</v>
      </c>
      <c r="C11" s="8" t="s">
        <v>65</v>
      </c>
      <c r="D11" s="8" t="s">
        <v>66</v>
      </c>
      <c r="E11" s="9">
        <v>204</v>
      </c>
      <c r="F11" s="8" t="s">
        <v>67</v>
      </c>
      <c r="G11" s="9">
        <v>3900</v>
      </c>
      <c r="H11" s="10">
        <f>_xll.BDP($Z11,"LAST_PRICE")</f>
        <v>97.165999999999997</v>
      </c>
      <c r="I11" s="11">
        <f>_xll.BDP($Z11,"CHG_PCT_1D")</f>
        <v>0.15399597756774883</v>
      </c>
      <c r="J11" s="11">
        <f>_xll.BDP($Z11,"YLD_YTM_MID")</f>
        <v>7.3295727076693167</v>
      </c>
      <c r="K11" s="12" t="str">
        <f>IFERROR(_xll.BDP($Z11,"TRACE_LAST_TRADE_SIZE"),"n/a")</f>
        <v>400</v>
      </c>
      <c r="L11" s="12" t="str">
        <f>IFERROR(_xll.BDP($Z11,"PRICE_LAST_TIME"),"")</f>
        <v>16:44:24</v>
      </c>
      <c r="M11" s="13">
        <f t="shared" si="0"/>
        <v>-110.52600000000012</v>
      </c>
      <c r="N11" s="14">
        <f t="shared" si="1"/>
        <v>-2.8340000000000032E-2</v>
      </c>
      <c r="O11" s="13">
        <f>IFERROR((H11-_xll.BDP($Z11,"PX_CLOSE_1D"))/100*G11,"")</f>
        <v>6.6300000000000665</v>
      </c>
      <c r="P11" s="13">
        <f>IF(ISNUMBER(H11),(H11-98.88)/100*G11,"")</f>
        <v>-66.845999999999947</v>
      </c>
      <c r="Q11" s="15">
        <f>IF(ISNUMBER(J11),(J11-6.9)*100,"")</f>
        <v>42.957270766931629</v>
      </c>
      <c r="R11" s="8"/>
      <c r="S11" s="16">
        <v>46261</v>
      </c>
      <c r="T11" s="17">
        <f>_xll.BDP($Z11,"OAS_SPREAD_MID")</f>
        <v>222.09583707619987</v>
      </c>
      <c r="U11" s="8" t="s">
        <v>68</v>
      </c>
      <c r="V11" s="17">
        <f>_xll.BDP("US594918BS26 Corp","OAS_SPREAD_MID")</f>
        <v>29.725184529616776</v>
      </c>
      <c r="W11" s="18">
        <f t="shared" si="2"/>
        <v>192.3706525465831</v>
      </c>
      <c r="X11" s="19">
        <v>145</v>
      </c>
      <c r="Y11" s="15">
        <f t="shared" si="3"/>
        <v>47.370652546583102</v>
      </c>
      <c r="Z11" s="20" t="s">
        <v>69</v>
      </c>
    </row>
    <row r="12" spans="1:26" ht="26.1" customHeight="1" x14ac:dyDescent="0.25">
      <c r="A12" s="6" t="s">
        <v>70</v>
      </c>
      <c r="B12" s="7" t="s">
        <v>71</v>
      </c>
      <c r="C12" s="8" t="s">
        <v>65</v>
      </c>
      <c r="D12" s="8" t="s">
        <v>66</v>
      </c>
      <c r="E12" s="9">
        <v>340</v>
      </c>
      <c r="F12" s="8" t="s">
        <v>33</v>
      </c>
      <c r="G12" s="9">
        <v>4600</v>
      </c>
      <c r="H12" s="10">
        <f>_xll.BDP($Z12,"LAST_PRICE")</f>
        <v>87.991</v>
      </c>
      <c r="I12" s="11">
        <f>_xll.BDP($Z12,"CHG_PCT_1D")</f>
        <v>-3.4385601040958919E-2</v>
      </c>
      <c r="J12" s="11">
        <f>_xll.BDP($Z12,"YLD_YTM_MID")</f>
        <v>7.5219323476729567</v>
      </c>
      <c r="K12" s="12" t="str">
        <f>IFERROR(_xll.BDP($Z12,"TRACE_LAST_TRADE_SIZE"),"n/a")</f>
        <v>96</v>
      </c>
      <c r="L12" s="12" t="str">
        <f>IFERROR(_xll.BDP($Z12,"PRICE_LAST_TIME"),"")</f>
        <v>16:44:24</v>
      </c>
      <c r="M12" s="13">
        <f t="shared" si="0"/>
        <v>-552.41399999999999</v>
      </c>
      <c r="N12" s="14">
        <f t="shared" si="1"/>
        <v>-0.12009</v>
      </c>
      <c r="O12" s="13">
        <f>IFERROR((H12-_xll.BDP($Z12,"PX_CLOSE_1D"))/100*G12,"")</f>
        <v>7.544000000000068</v>
      </c>
      <c r="P12" s="13">
        <f>IF(ISNUMBER(H12),(H12-89.96)/100*G12,"")</f>
        <v>-90.573999999999728</v>
      </c>
      <c r="Q12" s="15">
        <f>IF(ISNUMBER(J12),(J12-7.17)*100,"")</f>
        <v>35.193234767295678</v>
      </c>
      <c r="R12" s="8"/>
      <c r="S12" s="16">
        <v>46127</v>
      </c>
      <c r="T12" s="17">
        <f>_xll.BDP($Z12,"OAS_SPREAD_MID")</f>
        <v>244.89380327908469</v>
      </c>
      <c r="U12" s="8" t="s">
        <v>68</v>
      </c>
      <c r="V12" s="17">
        <f>_xll.BDP("US594918BS26 Corp","OAS_SPREAD_MID")</f>
        <v>29.725184529616776</v>
      </c>
      <c r="W12" s="18">
        <f t="shared" si="2"/>
        <v>215.16861874946792</v>
      </c>
      <c r="X12" s="19">
        <v>189</v>
      </c>
      <c r="Y12" s="15">
        <f t="shared" si="3"/>
        <v>26.168618749467925</v>
      </c>
      <c r="Z12" s="20" t="s">
        <v>72</v>
      </c>
    </row>
    <row r="13" spans="1:26" x14ac:dyDescent="0.25">
      <c r="A13" s="21" t="s">
        <v>73</v>
      </c>
      <c r="B13" s="21"/>
      <c r="C13" s="22"/>
      <c r="D13" s="22"/>
      <c r="E13" s="22"/>
      <c r="F13" s="22"/>
      <c r="G13" s="23">
        <f>SUM(G6:G12)</f>
        <v>69933.3</v>
      </c>
      <c r="H13" s="24">
        <f>IFERROR(SUMPRODUCT(H6:H12,G6:G12)/SUM(G6:G12),"")</f>
        <v>92.416905550002639</v>
      </c>
      <c r="I13" s="22"/>
      <c r="J13" s="22"/>
      <c r="K13" s="22"/>
      <c r="L13" s="22"/>
      <c r="M13" s="25">
        <f>IFERROR(SUM(M6:M12),"")</f>
        <v>-5303.1081910000003</v>
      </c>
      <c r="N13" s="26">
        <f>IFERROR(M13/G13,"")</f>
        <v>-7.5830944499973546E-2</v>
      </c>
      <c r="O13" s="25">
        <f>IFERROR(SUM(O6:O12),"")</f>
        <v>-317.03750000000286</v>
      </c>
      <c r="P13" s="25">
        <f>IFERROR(SUM(P6:P12),"")</f>
        <v>-2620.5466810000021</v>
      </c>
      <c r="Q13" s="22"/>
      <c r="R13" s="22"/>
      <c r="S13" s="22"/>
      <c r="T13" s="22"/>
      <c r="U13" s="22"/>
      <c r="V13" s="22"/>
      <c r="W13" s="22"/>
      <c r="X13" s="22"/>
      <c r="Y13" s="22"/>
      <c r="Z13" s="22"/>
    </row>
    <row r="14" spans="1:26" x14ac:dyDescent="0.25">
      <c r="A14" s="4" t="s">
        <v>74</v>
      </c>
      <c r="B14" s="5"/>
      <c r="C14" s="5"/>
      <c r="D14" s="5"/>
      <c r="E14" s="5"/>
      <c r="F14" s="5"/>
      <c r="G14" s="5"/>
      <c r="H14" s="5"/>
      <c r="I14" s="5"/>
      <c r="J14" s="5"/>
      <c r="K14" s="5"/>
      <c r="L14" s="5"/>
      <c r="M14" s="5"/>
      <c r="N14" s="5"/>
      <c r="O14" s="5"/>
      <c r="P14" s="5"/>
      <c r="Q14" s="5"/>
      <c r="R14" s="5"/>
      <c r="S14" s="5"/>
      <c r="T14" s="5"/>
      <c r="U14" s="5"/>
      <c r="V14" s="5"/>
      <c r="W14" s="5"/>
      <c r="X14" s="5"/>
      <c r="Y14" s="5"/>
      <c r="Z14" s="5"/>
    </row>
    <row r="15" spans="1:26" ht="26.1" customHeight="1" x14ac:dyDescent="0.25">
      <c r="A15" s="6" t="s">
        <v>75</v>
      </c>
      <c r="B15" s="7" t="s">
        <v>76</v>
      </c>
      <c r="C15" s="8" t="s">
        <v>77</v>
      </c>
      <c r="D15" s="8" t="s">
        <v>78</v>
      </c>
      <c r="E15" s="9">
        <v>250</v>
      </c>
      <c r="F15" s="8" t="s">
        <v>79</v>
      </c>
      <c r="G15" s="9">
        <v>2350</v>
      </c>
      <c r="H15" s="10">
        <f>_xll.BDP($Z15,"LAST_PRICE")</f>
        <v>102.776</v>
      </c>
      <c r="I15" s="11">
        <f>_xll.BDP($Z15,"CHG_PCT_1D")</f>
        <v>-0.6939254933995842</v>
      </c>
      <c r="J15" s="11">
        <f>_xll.BDP($Z15,"YLD_YTM_MID")</f>
        <v>8.4534708307236794</v>
      </c>
      <c r="K15" s="12" t="str">
        <f>IFERROR(_xll.BDP($Z15,"TRACE_LAST_TRADE_SIZE"),"n/a")</f>
        <v>1MM+</v>
      </c>
      <c r="L15" s="12" t="str">
        <f>IFERROR(_xll.BDP($Z15,"PRICE_LAST_TIME"),"")</f>
        <v>16:44:24</v>
      </c>
      <c r="M15" s="13">
        <f t="shared" ref="M15:M32" si="4">IF(AND(ISNUMBER(H15),ISNUMBER(G15)),(H15-100)/100*G15,"")</f>
        <v>65.235999999999905</v>
      </c>
      <c r="N15" s="14">
        <f t="shared" ref="N15:N32" si="5">IF(ISNUMBER(H15),(H15-100)/100,"")</f>
        <v>2.7759999999999962E-2</v>
      </c>
      <c r="O15" s="13">
        <f>IFERROR((H15-_xll.BDP($Z15,"PX_CLOSE_1D"))/100*G15,"")</f>
        <v>-15.627500000000145</v>
      </c>
      <c r="P15" s="13">
        <f>IF(ISNUMBER(H15),(H15-105.29)/100*G15,"")</f>
        <v>-59.079000000000235</v>
      </c>
      <c r="Q15" s="15">
        <f>IF(ISNUMBER(J15),(J15-7.6)*100,"")</f>
        <v>85.34708307236798</v>
      </c>
      <c r="R15" s="8" t="s">
        <v>80</v>
      </c>
      <c r="S15" s="16">
        <v>45981</v>
      </c>
      <c r="T15" s="17">
        <f>_xll.BDP($Z15,"OAS_SPREAD_MID")</f>
        <v>324.6967716864533</v>
      </c>
      <c r="U15" s="8" t="s">
        <v>81</v>
      </c>
      <c r="V15" s="17">
        <f>_xll.BDP("CRWV 9 02/01/2031 144A Corp","OAS_SPREAD_MID")</f>
        <v>1050.1993656113809</v>
      </c>
      <c r="W15" s="18">
        <f t="shared" ref="W15:W32" si="6">IF(AND(ISNUMBER(T15),ISNUMBER(V15)),T15-V15,"")</f>
        <v>-725.50259392492762</v>
      </c>
      <c r="X15" s="19">
        <v>-434</v>
      </c>
      <c r="Y15" s="15">
        <f t="shared" ref="Y15:Y32" si="7">IF(ISNUMBER(W15),W15-X15,"")</f>
        <v>-291.50259392492762</v>
      </c>
      <c r="Z15" s="20" t="s">
        <v>82</v>
      </c>
    </row>
    <row r="16" spans="1:26" ht="26.1" customHeight="1" x14ac:dyDescent="0.25">
      <c r="A16" s="6" t="s">
        <v>83</v>
      </c>
      <c r="B16" s="7" t="s">
        <v>84</v>
      </c>
      <c r="C16" s="8" t="s">
        <v>58</v>
      </c>
      <c r="D16" s="8" t="s">
        <v>85</v>
      </c>
      <c r="E16" s="9">
        <v>200</v>
      </c>
      <c r="F16" s="8" t="s">
        <v>86</v>
      </c>
      <c r="G16" s="9">
        <v>2150</v>
      </c>
      <c r="H16" s="10">
        <f>_xll.BDP($Z16,"LAST_PRICE")</f>
        <v>95.153000000000006</v>
      </c>
      <c r="I16" s="11">
        <f>_xll.BDP($Z16,"CHG_PCT_1D")</f>
        <v>-0.52129587874783956</v>
      </c>
      <c r="J16" s="11">
        <f>_xll.BDP($Z16,"YLD_YTM_MID")</f>
        <v>8.1104983405269078</v>
      </c>
      <c r="K16" s="12" t="str">
        <f>IFERROR(_xll.BDP($Z16,"TRACE_LAST_TRADE_SIZE"),"n/a")</f>
        <v>50</v>
      </c>
      <c r="L16" s="12" t="str">
        <f>IFERROR(_xll.BDP($Z16,"PRICE_LAST_TIME"),"")</f>
        <v>16:44:24</v>
      </c>
      <c r="M16" s="13">
        <f t="shared" si="4"/>
        <v>-104.21049999999988</v>
      </c>
      <c r="N16" s="14">
        <f t="shared" si="5"/>
        <v>-4.8469999999999944E-2</v>
      </c>
      <c r="O16" s="13">
        <f>IFERROR((H16-_xll.BDP($Z16,"PX_CLOSE_1D"))/100*G16,"")</f>
        <v>-8.1270000000000024</v>
      </c>
      <c r="P16" s="13">
        <f>IF(ISNUMBER(H16),(H16-96)/100*G16,"")</f>
        <v>-18.210499999999879</v>
      </c>
      <c r="Q16" s="15">
        <f>IF(ISNUMBER(J16),(J16-7.93)*100,"")</f>
        <v>18.049834052690805</v>
      </c>
      <c r="R16" s="8" t="s">
        <v>80</v>
      </c>
      <c r="S16" s="16">
        <v>46091</v>
      </c>
      <c r="T16" s="17">
        <f>_xll.BDP($Z16,"OAS_SPREAD_MID")</f>
        <v>339.02993749568009</v>
      </c>
      <c r="U16" s="8" t="s">
        <v>87</v>
      </c>
      <c r="V16" s="17">
        <f>_xll.BDP("US68389XDX03 Corp","OAS_SPREAD_MID")</f>
        <v>225.91147358268793</v>
      </c>
      <c r="W16" s="18">
        <f t="shared" si="6"/>
        <v>113.11846391299215</v>
      </c>
      <c r="X16" s="19">
        <v>167</v>
      </c>
      <c r="Y16" s="15">
        <f t="shared" si="7"/>
        <v>-53.881536087007845</v>
      </c>
      <c r="Z16" s="20" t="s">
        <v>88</v>
      </c>
    </row>
    <row r="17" spans="1:26" ht="26.1" customHeight="1" x14ac:dyDescent="0.25">
      <c r="A17" s="6" t="s">
        <v>89</v>
      </c>
      <c r="B17" s="7" t="s">
        <v>90</v>
      </c>
      <c r="C17" s="8" t="s">
        <v>77</v>
      </c>
      <c r="D17" s="8" t="s">
        <v>78</v>
      </c>
      <c r="E17" s="9">
        <v>150</v>
      </c>
      <c r="F17" s="8" t="s">
        <v>79</v>
      </c>
      <c r="G17" s="9">
        <v>1590</v>
      </c>
      <c r="H17" s="10">
        <f>_xll.BDP($Z17,"LAST_PRICE")</f>
        <v>92.835999999999999</v>
      </c>
      <c r="I17" s="11">
        <f>_xll.BDP($Z17,"CHG_PCT_1D")</f>
        <v>-0.64598563705747492</v>
      </c>
      <c r="J17" s="11">
        <f>_xll.BDP($Z17,"YLD_YTM_MID")</f>
        <v>8.8313829651650551</v>
      </c>
      <c r="K17" s="12" t="str">
        <f>IFERROR(_xll.BDP($Z17,"TRACE_LAST_TRADE_SIZE"),"n/a")</f>
        <v>254</v>
      </c>
      <c r="L17" s="12" t="str">
        <f>IFERROR(_xll.BDP($Z17,"PRICE_LAST_TIME"),"")</f>
        <v>16:44:24</v>
      </c>
      <c r="M17" s="13">
        <f t="shared" si="4"/>
        <v>-113.90760000000002</v>
      </c>
      <c r="N17" s="14">
        <f t="shared" si="5"/>
        <v>-7.1640000000000009E-2</v>
      </c>
      <c r="O17" s="13">
        <f>IFERROR((H17-_xll.BDP($Z17,"PX_CLOSE_1D"))/100*G17,"")</f>
        <v>-14.055600000000007</v>
      </c>
      <c r="P17" s="13">
        <f>IF(ISNUMBER(H17),(H17-95.75)/100*G17,"")</f>
        <v>-46.332600000000021</v>
      </c>
      <c r="Q17" s="15">
        <f>IF(ISNUMBER(J17),(J17-8.19)*100,"")</f>
        <v>64.138296516505562</v>
      </c>
      <c r="R17" s="8" t="s">
        <v>48</v>
      </c>
      <c r="S17" s="16">
        <v>46189</v>
      </c>
      <c r="T17" s="17">
        <f>_xll.BDP($Z17,"OAS_SPREAD_MID")</f>
        <v>408.84269356308204</v>
      </c>
      <c r="U17" s="8" t="s">
        <v>81</v>
      </c>
      <c r="V17" s="17">
        <f>_xll.BDP("CRWV 9 02/01/2031 144A Corp","OAS_SPREAD_MID")</f>
        <v>1050.1993656113809</v>
      </c>
      <c r="W17" s="18">
        <f t="shared" si="6"/>
        <v>-641.35667204829883</v>
      </c>
      <c r="X17" s="19">
        <v>-332</v>
      </c>
      <c r="Y17" s="15">
        <f t="shared" si="7"/>
        <v>-309.35667204829883</v>
      </c>
      <c r="Z17" s="20" t="s">
        <v>91</v>
      </c>
    </row>
    <row r="18" spans="1:26" ht="26.1" customHeight="1" x14ac:dyDescent="0.25">
      <c r="A18" s="6" t="s">
        <v>92</v>
      </c>
      <c r="B18" s="7" t="s">
        <v>93</v>
      </c>
      <c r="C18" s="8" t="s">
        <v>38</v>
      </c>
      <c r="D18" s="8" t="s">
        <v>94</v>
      </c>
      <c r="E18" s="9">
        <v>207</v>
      </c>
      <c r="F18" s="8" t="s">
        <v>86</v>
      </c>
      <c r="G18" s="9">
        <v>1733</v>
      </c>
      <c r="H18" s="10">
        <f>_xll.BDP($Z18,"LAST_PRICE")</f>
        <v>99.087999999999994</v>
      </c>
      <c r="I18" s="11">
        <f>_xll.BDP($Z18,"CHG_PCT_1D")</f>
        <v>-0.28045974095503323</v>
      </c>
      <c r="J18" s="11">
        <f>_xll.BDP($Z18,"YLD_YTM_MID")</f>
        <v>7.3958153800908946</v>
      </c>
      <c r="K18" s="12" t="str">
        <f>IFERROR(_xll.BDP($Z18,"TRACE_LAST_TRADE_SIZE"),"n/a")</f>
        <v>535</v>
      </c>
      <c r="L18" s="12" t="str">
        <f>IFERROR(_xll.BDP($Z18,"PRICE_LAST_TIME"),"")</f>
        <v>16:44:24</v>
      </c>
      <c r="M18" s="13">
        <f t="shared" si="4"/>
        <v>-15.804960000000108</v>
      </c>
      <c r="N18" s="14">
        <f t="shared" si="5"/>
        <v>-9.1200000000000621E-3</v>
      </c>
      <c r="O18" s="13">
        <f>IFERROR((H18-_xll.BDP($Z18,"PX_CLOSE_1D"))/100*G18,"")</f>
        <v>-4.2458500000000789</v>
      </c>
      <c r="P18" s="13">
        <f>IF(ISNUMBER(H18),(H18-101.5)/100*G18,"")</f>
        <v>-41.799960000000105</v>
      </c>
      <c r="Q18" s="15">
        <f>IF(ISNUMBER(J18),(J18-6.72)*100,"")</f>
        <v>67.581538009089485</v>
      </c>
      <c r="R18" s="8" t="s">
        <v>80</v>
      </c>
      <c r="S18" s="16">
        <v>45974</v>
      </c>
      <c r="T18" s="17">
        <f>_xll.BDP($Z18,"OAS_SPREAD_MID")</f>
        <v>238.72622728815529</v>
      </c>
      <c r="U18" s="8" t="s">
        <v>95</v>
      </c>
      <c r="V18" s="17">
        <f>_xll.BDP("US02079KBK25 Corp","OAS_SPREAD_MID")</f>
        <v>41.152337089800199</v>
      </c>
      <c r="W18" s="18">
        <f t="shared" si="6"/>
        <v>197.57389019835509</v>
      </c>
      <c r="X18" s="19">
        <v>127</v>
      </c>
      <c r="Y18" s="15">
        <f t="shared" si="7"/>
        <v>70.573890198355087</v>
      </c>
      <c r="Z18" s="20" t="s">
        <v>96</v>
      </c>
    </row>
    <row r="19" spans="1:26" ht="26.1" customHeight="1" x14ac:dyDescent="0.25">
      <c r="A19" s="6" t="s">
        <v>97</v>
      </c>
      <c r="B19" s="7" t="s">
        <v>98</v>
      </c>
      <c r="C19" s="8" t="s">
        <v>99</v>
      </c>
      <c r="D19" s="8" t="s">
        <v>100</v>
      </c>
      <c r="E19" s="9">
        <v>216</v>
      </c>
      <c r="F19" s="8" t="s">
        <v>101</v>
      </c>
      <c r="G19" s="9">
        <v>2000</v>
      </c>
      <c r="H19" s="10">
        <f>_xll.BDP($Z19,"LAST_PRICE")</f>
        <v>98.352000000000004</v>
      </c>
      <c r="I19" s="11">
        <f>_xll.BDP($Z19,"CHG_PCT_1D")</f>
        <v>-0.29605155367210273</v>
      </c>
      <c r="J19" s="11">
        <f>_xll.BDP($Z19,"YLD_YTM_MID")</f>
        <v>6.5859492563343176</v>
      </c>
      <c r="K19" s="12" t="str">
        <f>IFERROR(_xll.BDP($Z19,"TRACE_LAST_TRADE_SIZE"),"n/a")</f>
        <v>8</v>
      </c>
      <c r="L19" s="12" t="str">
        <f>IFERROR(_xll.BDP($Z19,"PRICE_LAST_TIME"),"")</f>
        <v>16:44:24</v>
      </c>
      <c r="M19" s="13">
        <f t="shared" si="4"/>
        <v>-32.959999999999923</v>
      </c>
      <c r="N19" s="14">
        <f t="shared" si="5"/>
        <v>-1.647999999999996E-2</v>
      </c>
      <c r="O19" s="13">
        <f>IFERROR((H19-_xll.BDP($Z19,"PX_CLOSE_1D"))/100*G19,"")</f>
        <v>-4.3799999999998818</v>
      </c>
      <c r="P19" s="13">
        <f>IF(ISNUMBER(H19),(H19-99.75)/100*G19,"")</f>
        <v>-27.959999999999923</v>
      </c>
      <c r="Q19" s="15">
        <f>IF(ISNUMBER(J19),(J19-6.22)*100,"")</f>
        <v>36.594925633431785</v>
      </c>
      <c r="R19" s="8" t="s">
        <v>80</v>
      </c>
      <c r="S19" s="16">
        <v>46064</v>
      </c>
      <c r="T19" s="17">
        <f>_xll.BDP($Z19,"OAS_SPREAD_MID")</f>
        <v>158.72643328529995</v>
      </c>
      <c r="U19" s="8" t="s">
        <v>102</v>
      </c>
      <c r="V19" s="17">
        <f>_xll.BDP("US023135DD51 Corp","OAS_SPREAD_MID")</f>
        <v>52.588859220289883</v>
      </c>
      <c r="W19" s="18">
        <f t="shared" si="6"/>
        <v>106.13757406501006</v>
      </c>
      <c r="X19" s="19">
        <v>77</v>
      </c>
      <c r="Y19" s="15">
        <f t="shared" si="7"/>
        <v>29.137574065010057</v>
      </c>
      <c r="Z19" s="20" t="s">
        <v>103</v>
      </c>
    </row>
    <row r="20" spans="1:26" ht="26.1" customHeight="1" x14ac:dyDescent="0.25">
      <c r="A20" s="6" t="s">
        <v>104</v>
      </c>
      <c r="B20" s="7" t="s">
        <v>105</v>
      </c>
      <c r="C20" s="8" t="s">
        <v>99</v>
      </c>
      <c r="D20" s="8" t="s">
        <v>106</v>
      </c>
      <c r="E20" s="9">
        <v>70</v>
      </c>
      <c r="F20" s="8" t="s">
        <v>101</v>
      </c>
      <c r="G20" s="9">
        <v>810</v>
      </c>
      <c r="H20" s="10">
        <f>_xll.BDP($Z20,"LAST_PRICE")</f>
        <v>95.265000000000001</v>
      </c>
      <c r="I20" s="11">
        <f>_xll.BDP($Z20,"CHG_PCT_1D")</f>
        <v>-0.26301011023974147</v>
      </c>
      <c r="J20" s="11">
        <f>_xll.BDP($Z20,"YLD_YTM_MID")</f>
        <v>7.217247171455174</v>
      </c>
      <c r="K20" s="12" t="str">
        <f>IFERROR(_xll.BDP($Z20,"TRACE_LAST_TRADE_SIZE"),"n/a")</f>
        <v>150</v>
      </c>
      <c r="L20" s="12" t="str">
        <f>IFERROR(_xll.BDP($Z20,"PRICE_LAST_TIME"),"")</f>
        <v>16:44:24</v>
      </c>
      <c r="M20" s="13">
        <f t="shared" si="4"/>
        <v>-38.353499999999997</v>
      </c>
      <c r="N20" s="14">
        <f t="shared" si="5"/>
        <v>-4.7349999999999996E-2</v>
      </c>
      <c r="O20" s="13">
        <f>IFERROR((H20-_xll.BDP($Z20,"PX_CLOSE_1D"))/100*G20,"")</f>
        <v>-1.8873000000000331</v>
      </c>
      <c r="P20" s="13">
        <f>IF(ISNUMBER(H20),(H20-97.13)/100*G20,"")</f>
        <v>-15.106499999999958</v>
      </c>
      <c r="Q20" s="15">
        <f>IF(ISNUMBER(J20),(J20-6.72)*100,"")</f>
        <v>49.724717145517431</v>
      </c>
      <c r="R20" s="8" t="s">
        <v>48</v>
      </c>
      <c r="S20" s="16">
        <v>46188</v>
      </c>
      <c r="T20" s="17">
        <f>_xll.BDP($Z20,"OAS_SPREAD_MID")</f>
        <v>229.43240199909579</v>
      </c>
      <c r="U20" s="8" t="s">
        <v>102</v>
      </c>
      <c r="V20" s="17">
        <f>_xll.BDP("US023135DD51 Corp","OAS_SPREAD_MID")</f>
        <v>52.588859220289883</v>
      </c>
      <c r="W20" s="18">
        <f t="shared" si="6"/>
        <v>176.8435427788059</v>
      </c>
      <c r="X20" s="19">
        <v>136</v>
      </c>
      <c r="Y20" s="15">
        <f t="shared" si="7"/>
        <v>40.843542778805897</v>
      </c>
      <c r="Z20" s="20" t="s">
        <v>107</v>
      </c>
    </row>
    <row r="21" spans="1:26" ht="26.1" customHeight="1" x14ac:dyDescent="0.25">
      <c r="A21" s="6" t="s">
        <v>108</v>
      </c>
      <c r="B21" s="7" t="s">
        <v>109</v>
      </c>
      <c r="C21" s="8" t="s">
        <v>77</v>
      </c>
      <c r="D21" s="8" t="s">
        <v>110</v>
      </c>
      <c r="E21" s="9">
        <v>590</v>
      </c>
      <c r="F21" s="8" t="s">
        <v>111</v>
      </c>
      <c r="G21" s="9">
        <v>3300</v>
      </c>
      <c r="H21" s="10">
        <f>_xll.BDP($Z21,"LAST_PRICE")</f>
        <v>93.155000000000001</v>
      </c>
      <c r="I21" s="11">
        <f>_xll.BDP($Z21,"CHG_PCT_1D")</f>
        <v>-0.75096228835946799</v>
      </c>
      <c r="J21" s="11">
        <f>_xll.BDP($Z21,"YLD_YTM_MID")</f>
        <v>9.6475756359011946</v>
      </c>
      <c r="K21" s="12" t="str">
        <f>IFERROR(_xll.BDP($Z21,"TRACE_LAST_TRADE_SIZE"),"n/a")</f>
        <v>1MM+</v>
      </c>
      <c r="L21" s="12" t="str">
        <f>IFERROR(_xll.BDP($Z21,"PRICE_LAST_TIME"),"")</f>
        <v>16:44:24</v>
      </c>
      <c r="M21" s="13">
        <f t="shared" si="4"/>
        <v>-225.88499999999993</v>
      </c>
      <c r="N21" s="14">
        <f t="shared" si="5"/>
        <v>-6.8449999999999983E-2</v>
      </c>
      <c r="O21" s="13">
        <f>IFERROR((H21-_xll.BDP($Z21,"PX_CLOSE_1D"))/100*G21,"")</f>
        <v>-21.549000000000191</v>
      </c>
      <c r="P21" s="13">
        <f>IF(ISNUMBER(H21),(H21-97.67)/100*G21,"")</f>
        <v>-148.995</v>
      </c>
      <c r="Q21" s="15">
        <f>IF(ISNUMBER(J21),(J21-8.41)*100,"")</f>
        <v>123.75756359011945</v>
      </c>
      <c r="R21" s="8" t="s">
        <v>48</v>
      </c>
      <c r="S21" s="16">
        <v>46148</v>
      </c>
      <c r="T21" s="17">
        <f>_xll.BDP($Z21,"OAS_SPREAD_MID")</f>
        <v>489.68715127987593</v>
      </c>
      <c r="U21" s="8" t="s">
        <v>81</v>
      </c>
      <c r="V21" s="17">
        <f>_xll.BDP("CRWV 9 02/01/2031 144A Corp","OAS_SPREAD_MID")</f>
        <v>1050.1993656113809</v>
      </c>
      <c r="W21" s="18">
        <f t="shared" si="6"/>
        <v>-560.51221433150499</v>
      </c>
      <c r="X21" s="19">
        <v>-313</v>
      </c>
      <c r="Y21" s="15">
        <f t="shared" si="7"/>
        <v>-247.51221433150499</v>
      </c>
      <c r="Z21" s="20" t="s">
        <v>112</v>
      </c>
    </row>
    <row r="22" spans="1:26" ht="26.1" customHeight="1" x14ac:dyDescent="0.25">
      <c r="A22" s="6" t="s">
        <v>113</v>
      </c>
      <c r="B22" s="7" t="s">
        <v>114</v>
      </c>
      <c r="C22" s="8" t="s">
        <v>115</v>
      </c>
      <c r="D22" s="8" t="s">
        <v>116</v>
      </c>
      <c r="E22" s="9">
        <v>114</v>
      </c>
      <c r="F22" s="8" t="s">
        <v>117</v>
      </c>
      <c r="G22" s="9">
        <v>1300</v>
      </c>
      <c r="H22" s="10">
        <f>_xll.BDP($Z22,"LAST_PRICE")</f>
        <v>87.945999999999998</v>
      </c>
      <c r="I22" s="11">
        <f>_xll.BDP($Z22,"CHG_PCT_1D")</f>
        <v>-1.0217074488944007</v>
      </c>
      <c r="J22" s="11">
        <f>_xll.BDP($Z22,"YLD_YTM_MID")</f>
        <v>10.899612829896141</v>
      </c>
      <c r="K22" s="12" t="str">
        <f>IFERROR(_xll.BDP($Z22,"TRACE_LAST_TRADE_SIZE"),"n/a")</f>
        <v>1MM+</v>
      </c>
      <c r="L22" s="12" t="str">
        <f>IFERROR(_xll.BDP($Z22,"PRICE_LAST_TIME"),"")</f>
        <v>16:44:24</v>
      </c>
      <c r="M22" s="13">
        <f t="shared" si="4"/>
        <v>-156.70200000000003</v>
      </c>
      <c r="N22" s="14">
        <f t="shared" si="5"/>
        <v>-0.12054000000000002</v>
      </c>
      <c r="O22" s="13">
        <f>IFERROR((H22-_xll.BDP($Z22,"PX_CLOSE_1D"))/100*G22,"")</f>
        <v>-13.663000000000025</v>
      </c>
      <c r="P22" s="13">
        <f>IF(ISNUMBER(H22),(H22-94.25)/100*G22,"")</f>
        <v>-81.952000000000041</v>
      </c>
      <c r="Q22" s="15">
        <f>IF(ISNUMBER(J22),(J22-9.3)*100,"")</f>
        <v>159.96128298961398</v>
      </c>
      <c r="R22" s="8" t="s">
        <v>118</v>
      </c>
      <c r="S22" s="16">
        <v>46141</v>
      </c>
      <c r="T22" s="17">
        <f>_xll.BDP($Z22,"OAS_SPREAD_MID")</f>
        <v>654.06518477163547</v>
      </c>
      <c r="U22" s="8" t="s">
        <v>81</v>
      </c>
      <c r="V22" s="17">
        <f>_xll.BDP("CRWV 9 02/01/2031 144A Corp","OAS_SPREAD_MID")</f>
        <v>1050.1993656113809</v>
      </c>
      <c r="W22" s="18">
        <f t="shared" si="6"/>
        <v>-396.13418083974545</v>
      </c>
      <c r="X22" s="19">
        <v>-217</v>
      </c>
      <c r="Y22" s="15">
        <f t="shared" si="7"/>
        <v>-179.13418083974545</v>
      </c>
      <c r="Z22" s="20" t="s">
        <v>119</v>
      </c>
    </row>
    <row r="23" spans="1:26" ht="26.1" customHeight="1" x14ac:dyDescent="0.25">
      <c r="A23" s="6" t="s">
        <v>120</v>
      </c>
      <c r="B23" s="7" t="s">
        <v>121</v>
      </c>
      <c r="C23" s="8" t="s">
        <v>31</v>
      </c>
      <c r="D23" s="8" t="s">
        <v>122</v>
      </c>
      <c r="E23" s="9">
        <v>200</v>
      </c>
      <c r="F23" s="8" t="s">
        <v>123</v>
      </c>
      <c r="G23" s="9">
        <v>3800</v>
      </c>
      <c r="H23" s="10">
        <f>_xll.BDP($Z23,"LAST_PRICE")</f>
        <v>89.108999999999995</v>
      </c>
      <c r="I23" s="11">
        <f>_xll.BDP($Z23,"CHG_PCT_1D")</f>
        <v>-0.57204534508222216</v>
      </c>
      <c r="J23" s="11">
        <f>_xll.BDP($Z23,"YLD_YTM_MID")</f>
        <v>8.81757170183654</v>
      </c>
      <c r="K23" s="12" t="str">
        <f>IFERROR(_xll.BDP($Z23,"TRACE_LAST_TRADE_SIZE"),"n/a")</f>
        <v>8</v>
      </c>
      <c r="L23" s="12" t="str">
        <f>IFERROR(_xll.BDP($Z23,"PRICE_LAST_TIME"),"")</f>
        <v>16:44:24</v>
      </c>
      <c r="M23" s="13">
        <f t="shared" si="4"/>
        <v>-413.85800000000017</v>
      </c>
      <c r="N23" s="14">
        <f t="shared" si="5"/>
        <v>-0.10891000000000005</v>
      </c>
      <c r="O23" s="13">
        <f>IFERROR((H23-_xll.BDP($Z23,"PX_CLOSE_1D"))/100*G23,"")</f>
        <v>-34.84600000000006</v>
      </c>
      <c r="P23" s="13">
        <f>IF(ISNUMBER(H23),(H23-92.63)/100*G23,"")</f>
        <v>-133.79800000000003</v>
      </c>
      <c r="Q23" s="15">
        <f>IF(ISNUMBER(J23),(J23-7.93)*100,"")</f>
        <v>88.75717018365404</v>
      </c>
      <c r="R23" s="8" t="s">
        <v>48</v>
      </c>
      <c r="S23" s="16">
        <v>46077</v>
      </c>
      <c r="T23" s="17">
        <f>_xll.BDP($Z23,"OAS_SPREAD_MID")</f>
        <v>405.15520168252681</v>
      </c>
      <c r="U23" s="8" t="s">
        <v>124</v>
      </c>
      <c r="V23" s="17">
        <f>_xll.BDP("US67066GAN43 Corp","OAS_SPREAD_MID")</f>
        <v>44.411946531147898</v>
      </c>
      <c r="W23" s="18">
        <f t="shared" si="6"/>
        <v>360.74325515137889</v>
      </c>
      <c r="X23" s="19">
        <v>276</v>
      </c>
      <c r="Y23" s="15">
        <f t="shared" si="7"/>
        <v>84.743255151378889</v>
      </c>
      <c r="Z23" s="20" t="s">
        <v>125</v>
      </c>
    </row>
    <row r="24" spans="1:26" ht="26.1" customHeight="1" x14ac:dyDescent="0.25">
      <c r="A24" s="6" t="s">
        <v>126</v>
      </c>
      <c r="B24" s="7" t="s">
        <v>127</v>
      </c>
      <c r="C24" s="8" t="s">
        <v>31</v>
      </c>
      <c r="D24" s="8" t="s">
        <v>122</v>
      </c>
      <c r="E24" s="9">
        <v>200</v>
      </c>
      <c r="F24" s="8" t="s">
        <v>128</v>
      </c>
      <c r="G24" s="9">
        <v>4585</v>
      </c>
      <c r="H24" s="10">
        <f>_xll.BDP($Z24,"LAST_PRICE")</f>
        <v>90.215000000000003</v>
      </c>
      <c r="I24" s="11">
        <f>_xll.BDP($Z24,"CHG_PCT_1D")</f>
        <v>-1.0544260354860824</v>
      </c>
      <c r="J24" s="11">
        <f>_xll.BDP($Z24,"YLD_YTM_MID")</f>
        <v>9.2035095298589091</v>
      </c>
      <c r="K24" s="12" t="str">
        <f>IFERROR(_xll.BDP($Z24,"TRACE_LAST_TRADE_SIZE"),"n/a")</f>
        <v>500</v>
      </c>
      <c r="L24" s="12" t="str">
        <f>IFERROR(_xll.BDP($Z24,"PRICE_LAST_TIME"),"")</f>
        <v>16:44:24</v>
      </c>
      <c r="M24" s="13">
        <f t="shared" si="4"/>
        <v>-448.64224999999982</v>
      </c>
      <c r="N24" s="14">
        <f t="shared" si="5"/>
        <v>-9.7849999999999965E-2</v>
      </c>
      <c r="O24" s="13">
        <f>IFERROR((H24-_xll.BDP($Z24,"PX_CLOSE_1D"))/100*G24,"")</f>
        <v>-41.356700000000046</v>
      </c>
      <c r="P24" s="13">
        <f>IF(ISNUMBER(H24),(H24-93.75)/100*G24,"")</f>
        <v>-162.07974999999985</v>
      </c>
      <c r="Q24" s="15">
        <f>IF(ISNUMBER(J24),(J24-8.2)*100,"")</f>
        <v>100.35095298589098</v>
      </c>
      <c r="R24" s="8" t="s">
        <v>48</v>
      </c>
      <c r="S24" s="16">
        <v>46143</v>
      </c>
      <c r="T24" s="17">
        <f>_xll.BDP($Z24,"OAS_SPREAD_MID")</f>
        <v>439.52395246758118</v>
      </c>
      <c r="U24" s="8" t="s">
        <v>124</v>
      </c>
      <c r="V24" s="17">
        <f>_xll.BDP("US67066GAN43 Corp","OAS_SPREAD_MID")</f>
        <v>44.411946531147898</v>
      </c>
      <c r="W24" s="18">
        <f t="shared" si="6"/>
        <v>395.11200593643326</v>
      </c>
      <c r="X24" s="19">
        <v>302</v>
      </c>
      <c r="Y24" s="15">
        <f t="shared" si="7"/>
        <v>93.112005936433263</v>
      </c>
      <c r="Z24" s="20" t="s">
        <v>129</v>
      </c>
    </row>
    <row r="25" spans="1:26" ht="26.1" customHeight="1" x14ac:dyDescent="0.25">
      <c r="A25" s="6" t="s">
        <v>130</v>
      </c>
      <c r="B25" s="7" t="s">
        <v>131</v>
      </c>
      <c r="C25" s="8" t="s">
        <v>38</v>
      </c>
      <c r="D25" s="8" t="s">
        <v>132</v>
      </c>
      <c r="E25" s="9">
        <v>168</v>
      </c>
      <c r="F25" s="8" t="s">
        <v>133</v>
      </c>
      <c r="G25" s="9">
        <v>1300</v>
      </c>
      <c r="H25" s="10">
        <f>_xll.BDP($Z25,"LAST_PRICE")</f>
        <v>99.373999999999995</v>
      </c>
      <c r="I25" s="11">
        <f>_xll.BDP($Z25,"CHG_PCT_1D")</f>
        <v>-0.32772999274780862</v>
      </c>
      <c r="J25" s="11">
        <f>_xll.BDP($Z25,"YLD_YTM_MID")</f>
        <v>7.458760599639918</v>
      </c>
      <c r="K25" s="12" t="str">
        <f>IFERROR(_xll.BDP($Z25,"TRACE_LAST_TRADE_SIZE"),"n/a")</f>
        <v>1MM+</v>
      </c>
      <c r="L25" s="12" t="str">
        <f>IFERROR(_xll.BDP($Z25,"PRICE_LAST_TIME"),"")</f>
        <v>16:44:24</v>
      </c>
      <c r="M25" s="13">
        <f t="shared" si="4"/>
        <v>-8.1380000000000621</v>
      </c>
      <c r="N25" s="14">
        <f t="shared" si="5"/>
        <v>-6.2600000000000476E-3</v>
      </c>
      <c r="O25" s="13">
        <f>IFERROR((H25-_xll.BDP($Z25,"PX_CLOSE_1D"))/100*G25,"")</f>
        <v>-2.5479999999999734</v>
      </c>
      <c r="P25" s="13">
        <f>IF(ISNUMBER(H25),(H25-100.25)/100*G25,"")</f>
        <v>-11.388000000000062</v>
      </c>
      <c r="Q25" s="15">
        <f>IF(ISNUMBER(J25),(J25-7.19)*100,"")</f>
        <v>26.876059963991761</v>
      </c>
      <c r="R25" s="8" t="s">
        <v>80</v>
      </c>
      <c r="S25" s="16">
        <v>46020</v>
      </c>
      <c r="T25" s="17">
        <f>_xll.BDP($Z25,"OAS_SPREAD_MID")</f>
        <v>260.34912685422773</v>
      </c>
      <c r="U25" s="8" t="s">
        <v>95</v>
      </c>
      <c r="V25" s="17">
        <f>_xll.BDP("US02079KBK25 Corp","OAS_SPREAD_MID")</f>
        <v>41.152337089800199</v>
      </c>
      <c r="W25" s="18">
        <f t="shared" si="6"/>
        <v>219.19678976442754</v>
      </c>
      <c r="X25" s="19">
        <v>192</v>
      </c>
      <c r="Y25" s="15">
        <f t="shared" si="7"/>
        <v>27.196789764427535</v>
      </c>
      <c r="Z25" s="20" t="s">
        <v>134</v>
      </c>
    </row>
    <row r="26" spans="1:26" ht="26.1" customHeight="1" x14ac:dyDescent="0.25">
      <c r="A26" s="6" t="s">
        <v>135</v>
      </c>
      <c r="B26" s="7" t="s">
        <v>136</v>
      </c>
      <c r="C26" s="8" t="s">
        <v>38</v>
      </c>
      <c r="D26" s="8" t="s">
        <v>137</v>
      </c>
      <c r="E26" s="9">
        <v>430</v>
      </c>
      <c r="F26" s="8" t="s">
        <v>138</v>
      </c>
      <c r="G26" s="9">
        <v>5700</v>
      </c>
      <c r="H26" s="10">
        <f>_xll.BDP($Z26,"LAST_PRICE")</f>
        <v>91.867999999999995</v>
      </c>
      <c r="I26" s="11">
        <f>_xll.BDP($Z26,"CHG_PCT_1D")</f>
        <v>-0.31145585152917549</v>
      </c>
      <c r="J26" s="11">
        <f>_xll.BDP($Z26,"YLD_YTM_MID")</f>
        <v>8.4501542552578037</v>
      </c>
      <c r="K26" s="12" t="str">
        <f>IFERROR(_xll.BDP($Z26,"TRACE_LAST_TRADE_SIZE"),"n/a")</f>
        <v>100</v>
      </c>
      <c r="L26" s="12" t="str">
        <f>IFERROR(_xll.BDP($Z26,"PRICE_LAST_TIME"),"")</f>
        <v>16:44:24</v>
      </c>
      <c r="M26" s="13">
        <f t="shared" si="4"/>
        <v>-463.52400000000023</v>
      </c>
      <c r="N26" s="14">
        <f t="shared" si="5"/>
        <v>-8.1320000000000045E-2</v>
      </c>
      <c r="O26" s="13">
        <f>IFERROR((H26-_xll.BDP($Z26,"PX_CLOSE_1D"))/100*G26,"")</f>
        <v>-15.56100000000059</v>
      </c>
      <c r="P26" s="13">
        <f>IF(ISNUMBER(H26),(H26-94.63)/100*G26,"")</f>
        <v>-157.43400000000003</v>
      </c>
      <c r="Q26" s="15">
        <f>IF(ISNUMBER(J26),(J26-7.67)*100,"")</f>
        <v>78.015425525780387</v>
      </c>
      <c r="R26" s="8" t="s">
        <v>80</v>
      </c>
      <c r="S26" s="16">
        <v>46136</v>
      </c>
      <c r="T26" s="17">
        <f>_xll.BDP($Z26,"OAS_SPREAD_MID")</f>
        <v>357.71612913258156</v>
      </c>
      <c r="U26" s="8" t="s">
        <v>95</v>
      </c>
      <c r="V26" s="17">
        <f>_xll.BDP("US02079KBK25 Corp","OAS_SPREAD_MID")</f>
        <v>41.152337089800199</v>
      </c>
      <c r="W26" s="18">
        <f t="shared" si="6"/>
        <v>316.56379204278136</v>
      </c>
      <c r="X26" s="19">
        <v>245</v>
      </c>
      <c r="Y26" s="15">
        <f t="shared" si="7"/>
        <v>71.563792042781358</v>
      </c>
      <c r="Z26" s="20" t="s">
        <v>139</v>
      </c>
    </row>
    <row r="27" spans="1:26" ht="26.1" customHeight="1" x14ac:dyDescent="0.25">
      <c r="A27" s="6" t="s">
        <v>140</v>
      </c>
      <c r="B27" s="7" t="s">
        <v>141</v>
      </c>
      <c r="C27" s="8" t="s">
        <v>142</v>
      </c>
      <c r="D27" s="8" t="s">
        <v>143</v>
      </c>
      <c r="E27" s="9">
        <v>149</v>
      </c>
      <c r="F27" s="8" t="s">
        <v>144</v>
      </c>
      <c r="G27" s="9">
        <v>2250</v>
      </c>
      <c r="H27" s="10">
        <f>_xll.BDP($Z27,"LAST_PRICE")</f>
        <v>85.007999999999996</v>
      </c>
      <c r="I27" s="11">
        <f>_xll.BDP($Z27,"CHG_PCT_1D")</f>
        <v>2.1858097439468356</v>
      </c>
      <c r="J27" s="11">
        <f>_xll.BDP($Z27,"YLD_YTM_MID")</f>
        <v>13.095812480306121</v>
      </c>
      <c r="K27" s="12" t="str">
        <f>IFERROR(_xll.BDP($Z27,"TRACE_LAST_TRADE_SIZE"),"n/a")</f>
        <v>1000</v>
      </c>
      <c r="L27" s="12" t="str">
        <f>IFERROR(_xll.BDP($Z27,"PRICE_LAST_TIME"),"")</f>
        <v>16:44:24</v>
      </c>
      <c r="M27" s="13">
        <f t="shared" si="4"/>
        <v>-337.32000000000011</v>
      </c>
      <c r="N27" s="14">
        <f t="shared" si="5"/>
        <v>-0.14992000000000005</v>
      </c>
      <c r="O27" s="13">
        <f>IFERROR((H27-_xll.BDP($Z27,"PX_CLOSE_1D"))/100*G27,"")</f>
        <v>39.532499999999793</v>
      </c>
      <c r="P27" s="13">
        <f>IF(ISNUMBER(H27),(H27-92.5)/100*G27,"")</f>
        <v>-168.57000000000011</v>
      </c>
      <c r="Q27" s="15">
        <f>IF(ISNUMBER(J27),(J27-10.86)*100,"")</f>
        <v>223.58124803061213</v>
      </c>
      <c r="R27" s="8"/>
      <c r="S27" s="16">
        <v>46252</v>
      </c>
      <c r="T27" s="17">
        <f>_xll.BDP($Z27,"OAS_SPREAD_MID")</f>
        <v>822.75218813690776</v>
      </c>
      <c r="U27" s="8" t="s">
        <v>145</v>
      </c>
      <c r="V27" s="17">
        <f>_xll.BDP("USU47015AH24 Corp","OAS_SPREAD_MID")</f>
        <v>226.43298472285346</v>
      </c>
      <c r="W27" s="18">
        <f t="shared" si="6"/>
        <v>596.3192034140543</v>
      </c>
      <c r="X27" s="19">
        <v>410</v>
      </c>
      <c r="Y27" s="15">
        <f t="shared" si="7"/>
        <v>186.3192034140543</v>
      </c>
      <c r="Z27" s="20" t="s">
        <v>146</v>
      </c>
    </row>
    <row r="28" spans="1:26" ht="26.1" customHeight="1" x14ac:dyDescent="0.25">
      <c r="A28" s="6" t="s">
        <v>147</v>
      </c>
      <c r="B28" s="7" t="s">
        <v>148</v>
      </c>
      <c r="C28" s="8" t="s">
        <v>77</v>
      </c>
      <c r="D28" s="8" t="s">
        <v>149</v>
      </c>
      <c r="E28" s="9">
        <v>260</v>
      </c>
      <c r="F28" s="8" t="s">
        <v>79</v>
      </c>
      <c r="G28" s="9">
        <v>3507</v>
      </c>
      <c r="H28" s="10">
        <f>_xll.BDP($Z28,"LAST_PRICE")</f>
        <v>91.063999999999993</v>
      </c>
      <c r="I28" s="11">
        <f>_xll.BDP($Z28,"CHG_PCT_1D")</f>
        <v>-1.0446241575312336</v>
      </c>
      <c r="J28" s="11">
        <f>_xll.BDP($Z28,"YLD_YTM_MID")</f>
        <v>12.517411644268451</v>
      </c>
      <c r="K28" s="12" t="str">
        <f>IFERROR(_xll.BDP($Z28,"TRACE_LAST_TRADE_SIZE"),"n/a")</f>
        <v>1000</v>
      </c>
      <c r="L28" s="12" t="str">
        <f>IFERROR(_xll.BDP($Z28,"PRICE_LAST_TIME"),"")</f>
        <v>16:44:24</v>
      </c>
      <c r="M28" s="13">
        <f t="shared" si="4"/>
        <v>-313.38552000000021</v>
      </c>
      <c r="N28" s="14">
        <f t="shared" si="5"/>
        <v>-8.9360000000000064E-2</v>
      </c>
      <c r="O28" s="13">
        <f>IFERROR((H28-_xll.BDP($Z28,"PX_CLOSE_1D"))/100*G28,"")</f>
        <v>-19.428780000000071</v>
      </c>
      <c r="P28" s="13">
        <f>IF(ISNUMBER(H28),(H28-99.25)/100*G28,"")</f>
        <v>-287.08302000000026</v>
      </c>
      <c r="Q28" s="15">
        <f>IF(ISNUMBER(J28),(J28-10.1)*100,"")</f>
        <v>241.74116442684516</v>
      </c>
      <c r="R28" s="8" t="s">
        <v>48</v>
      </c>
      <c r="S28" s="16">
        <v>46231</v>
      </c>
      <c r="T28" s="17">
        <f>_xll.BDP($Z28,"OAS_SPREAD_MID")</f>
        <v>764.78519840480863</v>
      </c>
      <c r="U28" s="8" t="s">
        <v>81</v>
      </c>
      <c r="V28" s="17">
        <f>_xll.BDP("CRWV 9 02/01/2031 144A Corp","OAS_SPREAD_MID")</f>
        <v>1050.1993656113809</v>
      </c>
      <c r="W28" s="18">
        <f t="shared" si="6"/>
        <v>-285.4141672065723</v>
      </c>
      <c r="X28" s="19">
        <v>-150</v>
      </c>
      <c r="Y28" s="15">
        <f t="shared" si="7"/>
        <v>-135.4141672065723</v>
      </c>
      <c r="Z28" s="20" t="s">
        <v>150</v>
      </c>
    </row>
    <row r="29" spans="1:26" ht="26.1" customHeight="1" x14ac:dyDescent="0.25">
      <c r="A29" s="6" t="s">
        <v>151</v>
      </c>
      <c r="B29" s="7" t="s">
        <v>152</v>
      </c>
      <c r="C29" s="8" t="s">
        <v>77</v>
      </c>
      <c r="D29" s="8" t="s">
        <v>153</v>
      </c>
      <c r="E29" s="9">
        <v>72</v>
      </c>
      <c r="F29" s="8" t="s">
        <v>154</v>
      </c>
      <c r="G29" s="9">
        <v>900</v>
      </c>
      <c r="H29" s="10">
        <f>_xll.BDP($Z29,"LAST_PRICE")</f>
        <v>93.622</v>
      </c>
      <c r="I29" s="11">
        <f>_xll.BDP($Z29,"CHG_PCT_1D")</f>
        <v>-0.32418555446663871</v>
      </c>
      <c r="J29" s="11">
        <f>_xll.BDP($Z29,"YLD_YTM_MID")</f>
        <v>9.2615243002615735</v>
      </c>
      <c r="K29" s="12" t="str">
        <f>IFERROR(_xll.BDP($Z29,"TRACE_LAST_TRADE_SIZE"),"n/a")</f>
        <v>1MM+</v>
      </c>
      <c r="L29" s="12" t="str">
        <f>IFERROR(_xll.BDP($Z29,"PRICE_LAST_TIME"),"")</f>
        <v>16:44:24</v>
      </c>
      <c r="M29" s="13">
        <f t="shared" si="4"/>
        <v>-57.402000000000001</v>
      </c>
      <c r="N29" s="14">
        <f t="shared" si="5"/>
        <v>-6.3780000000000003E-2</v>
      </c>
      <c r="O29" s="13">
        <f>IFERROR((H29-_xll.BDP($Z29,"PX_CLOSE_1D"))/100*G29,"")</f>
        <v>-1.088999999999956</v>
      </c>
      <c r="P29" s="13">
        <f>IF(ISNUMBER(H29),(H29-95.63)/100*G29,"")</f>
        <v>-18.07199999999996</v>
      </c>
      <c r="Q29" s="15">
        <f>IF(ISNUMBER(J29),(J29-8.79)*100,"")</f>
        <v>47.152430026157433</v>
      </c>
      <c r="R29" s="8" t="s">
        <v>48</v>
      </c>
      <c r="S29" s="16">
        <v>46182</v>
      </c>
      <c r="T29" s="17">
        <f>_xll.BDP($Z29,"OAS_SPREAD_MID")</f>
        <v>460.50214570219634</v>
      </c>
      <c r="U29" s="8" t="s">
        <v>81</v>
      </c>
      <c r="V29" s="17">
        <f>_xll.BDP("CRWV 9 02/01/2031 144A Corp","OAS_SPREAD_MID")</f>
        <v>1050.1993656113809</v>
      </c>
      <c r="W29" s="18">
        <f t="shared" si="6"/>
        <v>-589.69721990918458</v>
      </c>
      <c r="X29" s="19">
        <v>-271</v>
      </c>
      <c r="Y29" s="15">
        <f t="shared" si="7"/>
        <v>-318.69721990918458</v>
      </c>
      <c r="Z29" s="20" t="s">
        <v>155</v>
      </c>
    </row>
    <row r="30" spans="1:26" ht="26.1" customHeight="1" x14ac:dyDescent="0.25">
      <c r="A30" s="6" t="s">
        <v>156</v>
      </c>
      <c r="B30" s="7" t="s">
        <v>157</v>
      </c>
      <c r="C30" s="8" t="s">
        <v>158</v>
      </c>
      <c r="D30" s="8" t="s">
        <v>159</v>
      </c>
      <c r="E30" s="9">
        <v>50</v>
      </c>
      <c r="F30" s="8" t="s">
        <v>160</v>
      </c>
      <c r="G30" s="9">
        <v>999</v>
      </c>
      <c r="H30" s="10">
        <f>_xll.BDP($Z30,"LAST_PRICE")</f>
        <v>95.293999999999997</v>
      </c>
      <c r="I30" s="11">
        <f>_xll.BDP($Z30,"CHG_PCT_1D")</f>
        <v>-1.2367634889689816</v>
      </c>
      <c r="J30" s="11">
        <f>_xll.BDP($Z30,"YLD_YTM_MID")</f>
        <v>10.262202773244603</v>
      </c>
      <c r="K30" s="12" t="str">
        <f>IFERROR(_xll.BDP($Z30,"TRACE_LAST_TRADE_SIZE"),"n/a")</f>
        <v>1MM+</v>
      </c>
      <c r="L30" s="12" t="str">
        <f>IFERROR(_xll.BDP($Z30,"PRICE_LAST_TIME"),"")</f>
        <v>16:44:24</v>
      </c>
      <c r="M30" s="13">
        <f t="shared" si="4"/>
        <v>-47.012940000000029</v>
      </c>
      <c r="N30" s="14">
        <f t="shared" si="5"/>
        <v>-4.7060000000000032E-2</v>
      </c>
      <c r="O30" s="13">
        <f>IFERROR((H30-_xll.BDP($Z30,"PX_CLOSE_1D"))/100*G30,"")</f>
        <v>-9.5904000000000789</v>
      </c>
      <c r="P30" s="13">
        <f>IF(ISNUMBER(H30),(H30-97.13)/100*G30,"")</f>
        <v>-18.341639999999984</v>
      </c>
      <c r="Q30" s="15">
        <f>IF(ISNUMBER(J30),(J30-9.66)*100,"")</f>
        <v>60.22027732446027</v>
      </c>
      <c r="R30" s="8" t="s">
        <v>80</v>
      </c>
      <c r="S30" s="16">
        <v>46149</v>
      </c>
      <c r="T30" s="17">
        <f>_xll.BDP($Z30,"OAS_SPREAD_MID")</f>
        <v>536.33904075988221</v>
      </c>
      <c r="U30" s="8" t="s">
        <v>161</v>
      </c>
      <c r="V30" s="17">
        <f>_xll.BDP("XS3344488864 Corp","OAS_SPREAD_MID")</f>
        <v>392.92231034080658</v>
      </c>
      <c r="W30" s="18">
        <f t="shared" si="6"/>
        <v>143.41673041907563</v>
      </c>
      <c r="X30" s="19">
        <v>106</v>
      </c>
      <c r="Y30" s="15">
        <f t="shared" si="7"/>
        <v>37.416730419075634</v>
      </c>
      <c r="Z30" s="20" t="s">
        <v>162</v>
      </c>
    </row>
    <row r="31" spans="1:26" ht="26.1" customHeight="1" x14ac:dyDescent="0.25">
      <c r="A31" s="6" t="s">
        <v>163</v>
      </c>
      <c r="B31" s="7" t="s">
        <v>164</v>
      </c>
      <c r="C31" s="8" t="s">
        <v>165</v>
      </c>
      <c r="D31" s="8" t="s">
        <v>166</v>
      </c>
      <c r="E31" s="9">
        <v>366</v>
      </c>
      <c r="F31" s="8" t="s">
        <v>167</v>
      </c>
      <c r="G31" s="9">
        <v>3200</v>
      </c>
      <c r="H31" s="10">
        <f>_xll.BDP($Z31,"LAST_PRICE")</f>
        <v>102.417</v>
      </c>
      <c r="I31" s="11">
        <f>_xll.BDP($Z31,"CHG_PCT_1D")</f>
        <v>-7.8565558810957295E-2</v>
      </c>
      <c r="J31" s="11">
        <f>_xll.BDP($Z31,"YLD_YTM_MID")</f>
        <v>7.054066270652938</v>
      </c>
      <c r="K31" s="12" t="str">
        <f>IFERROR(_xll.BDP($Z31,"TRACE_LAST_TRADE_SIZE"),"n/a")</f>
        <v>1MM+</v>
      </c>
      <c r="L31" s="12" t="str">
        <f>IFERROR(_xll.BDP($Z31,"PRICE_LAST_TIME"),"")</f>
        <v>16:44:24</v>
      </c>
      <c r="M31" s="13">
        <f t="shared" si="4"/>
        <v>77.344000000000051</v>
      </c>
      <c r="N31" s="14">
        <f t="shared" si="5"/>
        <v>2.4170000000000014E-2</v>
      </c>
      <c r="O31" s="13">
        <f>IFERROR((H31-_xll.BDP($Z31,"PX_CLOSE_1D"))/100*G31,"")</f>
        <v>-1.4400000000000546</v>
      </c>
      <c r="P31" s="13">
        <f>IF(ISNUMBER(H31),(H31-103.9)/100*G31,"")</f>
        <v>-47.456000000000131</v>
      </c>
      <c r="Q31" s="15">
        <f>IF(ISNUMBER(J31),(J31-6.34)*100,"")</f>
        <v>71.406627065293819</v>
      </c>
      <c r="R31" s="8" t="s">
        <v>80</v>
      </c>
      <c r="S31" s="16">
        <v>45953</v>
      </c>
      <c r="T31" s="17">
        <f>_xll.BDP($Z31,"OAS_SPREAD_MID")</f>
        <v>183.86387157050294</v>
      </c>
      <c r="U31" s="8" t="s">
        <v>95</v>
      </c>
      <c r="V31" s="17">
        <f>_xll.BDP("US02079KBK25 Corp","OAS_SPREAD_MID")</f>
        <v>41.152337089800199</v>
      </c>
      <c r="W31" s="18">
        <f t="shared" si="6"/>
        <v>142.71153448070274</v>
      </c>
      <c r="X31" s="19">
        <v>90</v>
      </c>
      <c r="Y31" s="15">
        <f t="shared" si="7"/>
        <v>52.711534480702738</v>
      </c>
      <c r="Z31" s="20" t="s">
        <v>168</v>
      </c>
    </row>
    <row r="32" spans="1:26" ht="26.1" customHeight="1" x14ac:dyDescent="0.25">
      <c r="A32" s="6" t="s">
        <v>169</v>
      </c>
      <c r="B32" s="7" t="s">
        <v>170</v>
      </c>
      <c r="C32" s="8" t="s">
        <v>58</v>
      </c>
      <c r="D32" s="8" t="s">
        <v>171</v>
      </c>
      <c r="E32" s="9">
        <v>48</v>
      </c>
      <c r="F32" s="8" t="s">
        <v>172</v>
      </c>
      <c r="G32" s="9">
        <v>715</v>
      </c>
      <c r="H32" s="10">
        <f>_xll.BDP($Z32,"LAST_PRICE")</f>
        <v>89.656999999999996</v>
      </c>
      <c r="I32" s="11">
        <f>_xll.BDP($Z32,"CHG_PCT_1D")</f>
        <v>-2.0872717314822329</v>
      </c>
      <c r="J32" s="11">
        <f>_xll.BDP($Z32,"YLD_YTM_MID")</f>
        <v>9.6972191398590439</v>
      </c>
      <c r="K32" s="12" t="str">
        <f>IFERROR(_xll.BDP($Z32,"TRACE_LAST_TRADE_SIZE"),"n/a")</f>
        <v>1000</v>
      </c>
      <c r="L32" s="12" t="str">
        <f>IFERROR(_xll.BDP($Z32,"PRICE_LAST_TIME"),"")</f>
        <v>16:44:24</v>
      </c>
      <c r="M32" s="13">
        <f t="shared" si="4"/>
        <v>-73.952450000000027</v>
      </c>
      <c r="N32" s="14">
        <f t="shared" si="5"/>
        <v>-0.10343000000000004</v>
      </c>
      <c r="O32" s="13">
        <f>IFERROR((H32-_xll.BDP($Z32,"PX_CLOSE_1D"))/100*G32,"")</f>
        <v>-12.741299999999974</v>
      </c>
      <c r="P32" s="13">
        <f>IF(ISNUMBER(H32),(H32-92.75)/100*G32,"")</f>
        <v>-22.114950000000025</v>
      </c>
      <c r="Q32" s="15">
        <f>IF(ISNUMBER(J32),(J32-8.92)*100,"")</f>
        <v>77.721913985904393</v>
      </c>
      <c r="R32" s="8" t="s">
        <v>48</v>
      </c>
      <c r="S32" s="16">
        <v>46203</v>
      </c>
      <c r="T32" s="17">
        <f>_xll.BDP($Z32,"OAS_SPREAD_MID")</f>
        <v>508.1048310674712</v>
      </c>
      <c r="U32" s="8" t="s">
        <v>87</v>
      </c>
      <c r="V32" s="17">
        <f>_xll.BDP("US68389XDX03 Corp","OAS_SPREAD_MID")</f>
        <v>225.91147358268793</v>
      </c>
      <c r="W32" s="18">
        <f t="shared" si="6"/>
        <v>282.19335748478329</v>
      </c>
      <c r="X32" s="19">
        <v>267</v>
      </c>
      <c r="Y32" s="15">
        <f t="shared" si="7"/>
        <v>15.193357484783292</v>
      </c>
      <c r="Z32" s="20" t="s">
        <v>173</v>
      </c>
    </row>
    <row r="33" spans="1:26" x14ac:dyDescent="0.25">
      <c r="A33" s="21" t="s">
        <v>174</v>
      </c>
      <c r="B33" s="21"/>
      <c r="C33" s="22"/>
      <c r="D33" s="22"/>
      <c r="E33" s="22"/>
      <c r="F33" s="22"/>
      <c r="G33" s="23">
        <f>SUM(G15:G32)</f>
        <v>42189</v>
      </c>
      <c r="H33" s="24">
        <f>IFERROR(SUMPRODUCT(H15:H32,G15:G32)/SUM(G15:G32),"")</f>
        <v>93.580130555358025</v>
      </c>
      <c r="I33" s="22"/>
      <c r="J33" s="22"/>
      <c r="K33" s="22"/>
      <c r="L33" s="22"/>
      <c r="M33" s="25">
        <f>IFERROR(SUM(M15:M32),"")</f>
        <v>-2708.478720000001</v>
      </c>
      <c r="N33" s="26">
        <f>IFERROR(M33/G33,"")</f>
        <v>-6.4198694446419707E-2</v>
      </c>
      <c r="O33" s="25">
        <f>IFERROR(SUM(O15:O32),"")</f>
        <v>-182.60393000000133</v>
      </c>
      <c r="P33" s="25">
        <f>IFERROR(SUM(P15:P32),"")</f>
        <v>-1465.7729200000008</v>
      </c>
      <c r="Q33" s="22"/>
      <c r="R33" s="22"/>
      <c r="S33" s="22"/>
      <c r="T33" s="22"/>
      <c r="U33" s="22"/>
      <c r="V33" s="22"/>
      <c r="W33" s="22"/>
      <c r="X33" s="22"/>
      <c r="Y33" s="22"/>
      <c r="Z33" s="22"/>
    </row>
    <row r="34" spans="1:26" x14ac:dyDescent="0.25">
      <c r="A34" s="4" t="s">
        <v>175</v>
      </c>
      <c r="B34" s="5"/>
      <c r="C34" s="5"/>
      <c r="D34" s="5"/>
      <c r="E34" s="5"/>
      <c r="F34" s="5"/>
      <c r="G34" s="5"/>
      <c r="H34" s="5"/>
      <c r="I34" s="5"/>
      <c r="J34" s="5"/>
      <c r="K34" s="5"/>
      <c r="L34" s="5"/>
      <c r="M34" s="5"/>
      <c r="N34" s="5"/>
      <c r="O34" s="5"/>
      <c r="P34" s="5"/>
      <c r="Q34" s="5"/>
      <c r="R34" s="5"/>
      <c r="S34" s="5"/>
      <c r="T34" s="5"/>
      <c r="U34" s="5"/>
      <c r="V34" s="5"/>
      <c r="W34" s="5"/>
      <c r="X34" s="5"/>
      <c r="Y34" s="5"/>
      <c r="Z34" s="5"/>
    </row>
    <row r="35" spans="1:26" ht="26.1" customHeight="1" x14ac:dyDescent="0.25">
      <c r="A35" s="6" t="s">
        <v>176</v>
      </c>
      <c r="B35" s="7" t="s">
        <v>177</v>
      </c>
      <c r="C35" s="8" t="s">
        <v>77</v>
      </c>
      <c r="D35" s="8" t="s">
        <v>178</v>
      </c>
      <c r="E35" s="9"/>
      <c r="F35" s="8"/>
      <c r="G35" s="9">
        <v>2750</v>
      </c>
      <c r="H35" s="10">
        <f>_xll.BDP($Z35,"LAST_PRICE")</f>
        <v>81.122</v>
      </c>
      <c r="I35" s="11">
        <f>_xll.BDP($Z35,"CHG_PCT_1D")</f>
        <v>-2.6888331483585071</v>
      </c>
      <c r="J35" s="11">
        <f>_xll.BDP($Z35,"YLD_YTM_MID")</f>
        <v>15.566072564600406</v>
      </c>
      <c r="K35" s="12" t="str">
        <f>IFERROR(_xll.BDP($Z35,"TRACE_LAST_TRADE_SIZE"),"n/a")</f>
        <v>1000</v>
      </c>
      <c r="L35" s="12" t="str">
        <f>IFERROR(_xll.BDP($Z35,"PRICE_LAST_TIME"),"")</f>
        <v>16:44:24</v>
      </c>
      <c r="M35" s="13">
        <f>IF(AND(ISNUMBER(H35),ISNUMBER(G35)),(H35-100)/100*G35,"")</f>
        <v>-519.14499999999998</v>
      </c>
      <c r="N35" s="14">
        <f>IF(ISNUMBER(H35),(H35-100)/100,"")</f>
        <v>-0.18878</v>
      </c>
      <c r="O35" s="13">
        <f>IFERROR((H35-_xll.BDP($Z35,"PX_CLOSE_1D"))/100*G35,"")</f>
        <v>-41.552499999999881</v>
      </c>
      <c r="P35" s="13">
        <f>IF(ISNUMBER(H35),(H35-90.25)/100*G35,"")</f>
        <v>-251.02</v>
      </c>
      <c r="Q35" s="15">
        <f>IF(ISNUMBER(J35),(J35-12.46)*100,"")</f>
        <v>310.6072564600405</v>
      </c>
      <c r="R35" s="8"/>
      <c r="S35" s="16">
        <v>46126</v>
      </c>
      <c r="T35" s="17">
        <f>_xll.BDP($Z35,"OAS_SPREAD_MID")</f>
        <v>1070.076221877137</v>
      </c>
      <c r="U35" s="8"/>
      <c r="V35" s="12"/>
      <c r="W35" s="12"/>
      <c r="X35" s="8"/>
      <c r="Y35" s="12"/>
      <c r="Z35" s="20" t="s">
        <v>179</v>
      </c>
    </row>
    <row r="36" spans="1:26" ht="26.1" customHeight="1" x14ac:dyDescent="0.25">
      <c r="A36" s="6" t="s">
        <v>180</v>
      </c>
      <c r="B36" s="7" t="s">
        <v>181</v>
      </c>
      <c r="C36" s="8" t="s">
        <v>58</v>
      </c>
      <c r="D36" s="8" t="s">
        <v>182</v>
      </c>
      <c r="E36" s="9"/>
      <c r="F36" s="8"/>
      <c r="G36" s="9">
        <v>3500</v>
      </c>
      <c r="H36" s="10">
        <f>_xll.BDP($Z36,"LAST_PRICE")</f>
        <v>91.99</v>
      </c>
      <c r="I36" s="11">
        <f>_xll.BDP($Z36,"CHG_PCT_1D")</f>
        <v>6.6211329257392718E-2</v>
      </c>
      <c r="J36" s="11">
        <f>_xll.BDP($Z36,"YLD_YTM_MID")</f>
        <v>7.1286629885702366</v>
      </c>
      <c r="K36" s="12" t="str">
        <f>IFERROR(_xll.BDP($Z36,"TRACE_LAST_TRADE_SIZE"),"n/a")</f>
        <v>48</v>
      </c>
      <c r="L36" s="12" t="str">
        <f>IFERROR(_xll.BDP($Z36,"PRICE_LAST_TIME"),"")</f>
        <v>16:44:24</v>
      </c>
      <c r="M36" s="13">
        <f>IF(AND(ISNUMBER(H36),ISNUMBER(G36)),(H36-100)/100*G36,"")</f>
        <v>-280.35000000000014</v>
      </c>
      <c r="N36" s="14">
        <f>IF(ISNUMBER(H36),(H36-100)/100,"")</f>
        <v>-8.0100000000000046E-2</v>
      </c>
      <c r="O36" s="13">
        <f>IFERROR((H36-_xll.BDP($Z36,"PX_CLOSE_1D"))/100*G36,"")</f>
        <v>-0.10500000000000398</v>
      </c>
      <c r="P36" s="13">
        <f>IF(ISNUMBER(H36),(H36-94.96)/100*G36,"")</f>
        <v>-103.94999999999996</v>
      </c>
      <c r="Q36" s="15">
        <f>IF(ISNUMBER(J36),(J36-6.28)*100,"")</f>
        <v>84.866298857023637</v>
      </c>
      <c r="R36" s="8"/>
      <c r="S36" s="16">
        <v>46057</v>
      </c>
      <c r="T36" s="17">
        <f>_xll.BDP($Z36,"OAS_SPREAD_MID")</f>
        <v>225.91147358268793</v>
      </c>
      <c r="U36" s="8"/>
      <c r="V36" s="12"/>
      <c r="W36" s="12"/>
      <c r="X36" s="8"/>
      <c r="Y36" s="12"/>
      <c r="Z36" s="20" t="s">
        <v>183</v>
      </c>
    </row>
    <row r="38" spans="1:26" ht="84" customHeight="1" x14ac:dyDescent="0.25">
      <c r="A38" s="64" t="s">
        <v>184</v>
      </c>
      <c r="B38" s="65"/>
      <c r="C38" s="65"/>
      <c r="D38" s="65"/>
      <c r="E38" s="65"/>
      <c r="F38" s="65"/>
      <c r="G38" s="65"/>
      <c r="H38" s="65"/>
      <c r="I38" s="65"/>
      <c r="J38" s="65"/>
      <c r="K38" s="65"/>
      <c r="L38" s="65"/>
    </row>
  </sheetData>
  <mergeCells count="1">
    <mergeCell ref="A38:L38"/>
  </mergeCells>
  <conditionalFormatting sqref="J5:J36">
    <cfRule type="expression" dxfId="9" priority="5">
      <formula>AND(ISNUMBER(J5),J5&gt;=10)</formula>
    </cfRule>
  </conditionalFormatting>
  <conditionalFormatting sqref="M5:P36">
    <cfRule type="expression" dxfId="8" priority="1">
      <formula>AND(ISNUMBER(M5),M5&lt;0)</formula>
    </cfRule>
    <cfRule type="expression" dxfId="7" priority="2">
      <formula>AND(ISNUMBER(M5),M5&gt;0)</formula>
    </cfRule>
  </conditionalFormatting>
  <conditionalFormatting sqref="Q5:Q36">
    <cfRule type="expression" dxfId="6" priority="3">
      <formula>AND(ISNUMBER(Q5),Q5&gt;=25)</formula>
    </cfRule>
  </conditionalFormatting>
  <conditionalFormatting sqref="Y5:Y36">
    <cfRule type="expression" dxfId="5" priority="4">
      <formula>AND(ISNUMBER(Y5),Y5&gt;=25)</formula>
    </cfRule>
  </conditionalFormatting>
  <hyperlinks>
    <hyperlink ref="B6" location="'HUTBPA'!A1" display="HUTBPA" xr:uid="{00000000-0004-0000-0000-000000000000}"/>
    <hyperlink ref="B7" location="'HUTRBA'!A1" display="HUTRBA" xr:uid="{00000000-0004-0000-0000-000001000000}"/>
    <hyperlink ref="B8" location="'RPLDCI'!A1" display="RPLDCI" xr:uid="{00000000-0004-0000-0000-000002000000}"/>
    <hyperlink ref="B9" location="'TXEDCI'!A1" display="TXEDCI" xr:uid="{00000000-0004-0000-0000-000003000000}"/>
    <hyperlink ref="B10" location="'RDMICH'!A1" display="RDMICH" xr:uid="{00000000-0004-0000-0000-000004000000}"/>
    <hyperlink ref="B11" location="'QTSODY'!A1" display="QTSODY" xr:uid="{00000000-0004-0000-0000-000005000000}"/>
    <hyperlink ref="B12" location="'QTSQST'!A1" display="QTSQST" xr:uid="{00000000-0004-0000-0000-000006000000}"/>
    <hyperlink ref="B15" location="'APLD'!A1" display="APLD" xr:uid="{00000000-0004-0000-0000-000007000000}"/>
    <hyperlink ref="B16" location="'PFORGE'!A1" display="PFORGE" xr:uid="{00000000-0004-0000-0000-000008000000}"/>
    <hyperlink ref="B17" location="'ELNFOR'!A1" display="ELNFOR" xr:uid="{00000000-0004-0000-0000-000009000000}"/>
    <hyperlink ref="B18" location="'CIFR'!A1" display="CIFR" xr:uid="{00000000-0004-0000-0000-00000A000000}"/>
    <hyperlink ref="B19" location="'BLKPRL'!A1" display="BLKPRL" xr:uid="{00000000-0004-0000-0000-00000B000000}"/>
    <hyperlink ref="B20" location="'STNGRY'!A1" display="STNGRY" xr:uid="{00000000-0004-0000-0000-00000C000000}"/>
    <hyperlink ref="B21" location="'CORZ'!A1" display="CORZ" xr:uid="{00000000-0004-0000-0000-00000D000000}"/>
    <hyperlink ref="B22" location="'EDGCOM'!A1" display="EDGCOM" xr:uid="{00000000-0004-0000-0000-00000E000000}"/>
    <hyperlink ref="B23" location="'TRACTC'!A1" display="TRACTC" xr:uid="{00000000-0004-0000-0000-00000F000000}"/>
    <hyperlink ref="B24" location="'TRACTD'!A1" display="TRACTD" xr:uid="{00000000-0004-0000-0000-000010000000}"/>
    <hyperlink ref="B25" location="'FLASHC'!A1" display="FLASHC" xr:uid="{00000000-0004-0000-0000-000011000000}"/>
    <hyperlink ref="B26" location="'MERIDI'!A1" display="MERIDI" xr:uid="{00000000-0004-0000-0000-000012000000}"/>
    <hyperlink ref="B27" location="'ZENARC'!A1" display="ZENARC" xr:uid="{00000000-0004-0000-0000-000013000000}"/>
    <hyperlink ref="B28" location="'GALAXY'!A1" display="GALAXY" xr:uid="{00000000-0004-0000-0000-000014000000}"/>
    <hyperlink ref="B29" location="'ELKGVP'!A1" display="ELKGVP" xr:uid="{00000000-0004-0000-0000-000015000000}"/>
    <hyperlink ref="B30" location="'SECMOS'!A1" display="SECMOS" xr:uid="{00000000-0004-0000-0000-000016000000}"/>
    <hyperlink ref="B31" location="'WULF'!A1" display="WULF" xr:uid="{00000000-0004-0000-0000-000017000000}"/>
    <hyperlink ref="B32" location="'YNDRDC'!A1" display="YNDRDC" xr:uid="{00000000-0004-0000-0000-000018000000}"/>
    <hyperlink ref="B35" location="'CRWV'!A1" display="CRWV" xr:uid="{00000000-0004-0000-0000-000019000000}"/>
    <hyperlink ref="B36" location="'ORCL'!A1" display="ORCL" xr:uid="{00000000-0004-0000-0000-00001A000000}"/>
  </hyperlinks>
  <pageMargins left="0.75" right="0.75" top="1" bottom="1" header="0.5" footer="0.5"/>
  <pageSetup paperSize="9" scale="3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showGridLines="0" tabSelected="1" workbookViewId="0">
      <pane ySplit="4" topLeftCell="A5" activePane="bottomLeft" state="frozen"/>
      <selection pane="bottomLeft" activeCell="G13" sqref="G13"/>
    </sheetView>
  </sheetViews>
  <sheetFormatPr defaultRowHeight="15" x14ac:dyDescent="0.25"/>
  <cols>
    <col min="1" max="1" width="10" customWidth="1"/>
    <col min="2" max="2" width="56" customWidth="1"/>
    <col min="3" max="3" width="10" customWidth="1"/>
    <col min="4" max="4" width="9" customWidth="1"/>
    <col min="5" max="5" width="12" customWidth="1"/>
    <col min="6" max="6" width="9" customWidth="1"/>
    <col min="7" max="7" width="140" customWidth="1"/>
  </cols>
  <sheetData>
    <row r="1" spans="1:7" ht="18.75" x14ac:dyDescent="0.3">
      <c r="A1" s="1" t="s">
        <v>185</v>
      </c>
    </row>
    <row r="2" spans="1:7" x14ac:dyDescent="0.25">
      <c r="A2" s="2" t="s">
        <v>186</v>
      </c>
    </row>
    <row r="4" spans="1:7" ht="24.75" x14ac:dyDescent="0.25">
      <c r="A4" s="27" t="s">
        <v>3</v>
      </c>
      <c r="B4" s="27" t="s">
        <v>187</v>
      </c>
      <c r="C4" s="27" t="s">
        <v>188</v>
      </c>
      <c r="D4" s="27" t="s">
        <v>189</v>
      </c>
      <c r="E4" s="27" t="s">
        <v>190</v>
      </c>
      <c r="F4" s="27" t="s">
        <v>191</v>
      </c>
      <c r="G4" s="27" t="s">
        <v>192</v>
      </c>
    </row>
    <row r="5" spans="1:7" ht="69" customHeight="1" x14ac:dyDescent="0.25">
      <c r="A5" s="28" t="s">
        <v>30</v>
      </c>
      <c r="B5" s="29" t="s">
        <v>193</v>
      </c>
      <c r="C5" s="30" t="s">
        <v>194</v>
      </c>
      <c r="D5" s="30">
        <v>15</v>
      </c>
      <c r="E5" s="30">
        <v>11</v>
      </c>
      <c r="F5" s="30">
        <v>11</v>
      </c>
      <c r="G5" s="29" t="s">
        <v>195</v>
      </c>
    </row>
    <row r="6" spans="1:7" ht="69" customHeight="1" x14ac:dyDescent="0.25">
      <c r="A6" s="28" t="s">
        <v>37</v>
      </c>
      <c r="B6" s="29" t="s">
        <v>196</v>
      </c>
      <c r="C6" s="30" t="s">
        <v>194</v>
      </c>
      <c r="D6" s="30">
        <v>16</v>
      </c>
      <c r="E6" s="30">
        <v>11</v>
      </c>
      <c r="F6" s="30">
        <v>9</v>
      </c>
      <c r="G6" s="29" t="s">
        <v>197</v>
      </c>
    </row>
    <row r="7" spans="1:7" ht="69" customHeight="1" x14ac:dyDescent="0.25">
      <c r="A7" s="28" t="s">
        <v>44</v>
      </c>
      <c r="B7" s="29" t="s">
        <v>198</v>
      </c>
      <c r="C7" s="30" t="s">
        <v>194</v>
      </c>
      <c r="D7" s="30">
        <v>12</v>
      </c>
      <c r="E7" s="30">
        <v>7</v>
      </c>
      <c r="F7" s="30">
        <v>9</v>
      </c>
      <c r="G7" s="29" t="s">
        <v>199</v>
      </c>
    </row>
    <row r="8" spans="1:7" ht="82.15" customHeight="1" x14ac:dyDescent="0.25">
      <c r="A8" s="28" t="s">
        <v>52</v>
      </c>
      <c r="B8" s="29" t="s">
        <v>200</v>
      </c>
      <c r="C8" s="30" t="s">
        <v>194</v>
      </c>
      <c r="D8" s="30">
        <v>8</v>
      </c>
      <c r="E8" s="30">
        <v>2</v>
      </c>
      <c r="F8" s="30">
        <v>8</v>
      </c>
      <c r="G8" s="29" t="s">
        <v>201</v>
      </c>
    </row>
    <row r="9" spans="1:7" ht="55.9" customHeight="1" x14ac:dyDescent="0.25">
      <c r="A9" s="28" t="s">
        <v>57</v>
      </c>
      <c r="B9" s="29" t="s">
        <v>202</v>
      </c>
      <c r="C9" s="30" t="s">
        <v>194</v>
      </c>
      <c r="D9" s="30">
        <v>18</v>
      </c>
      <c r="E9" s="30">
        <v>9</v>
      </c>
      <c r="F9" s="30">
        <v>9</v>
      </c>
      <c r="G9" s="29" t="s">
        <v>203</v>
      </c>
    </row>
    <row r="10" spans="1:7" ht="55.9" customHeight="1" x14ac:dyDescent="0.25">
      <c r="A10" s="28" t="s">
        <v>64</v>
      </c>
      <c r="B10" s="29" t="s">
        <v>204</v>
      </c>
      <c r="C10" s="30" t="s">
        <v>194</v>
      </c>
      <c r="D10" s="30">
        <v>18</v>
      </c>
      <c r="E10" s="30">
        <v>5</v>
      </c>
      <c r="F10" s="30">
        <v>9</v>
      </c>
      <c r="G10" s="29" t="s">
        <v>205</v>
      </c>
    </row>
    <row r="11" spans="1:7" ht="42.6" customHeight="1" x14ac:dyDescent="0.25">
      <c r="A11" s="28" t="s">
        <v>71</v>
      </c>
      <c r="B11" s="29" t="s">
        <v>206</v>
      </c>
      <c r="C11" s="30" t="s">
        <v>194</v>
      </c>
      <c r="D11" s="30">
        <v>18</v>
      </c>
      <c r="E11" s="30">
        <v>5</v>
      </c>
      <c r="F11" s="30">
        <v>7</v>
      </c>
      <c r="G11" s="29" t="s">
        <v>207</v>
      </c>
    </row>
    <row r="12" spans="1:7" ht="69" customHeight="1" x14ac:dyDescent="0.25">
      <c r="A12" s="28" t="s">
        <v>76</v>
      </c>
      <c r="B12" s="29" t="s">
        <v>208</v>
      </c>
      <c r="C12" s="30" t="s">
        <v>209</v>
      </c>
      <c r="D12" s="30">
        <v>17</v>
      </c>
      <c r="E12" s="30">
        <v>15</v>
      </c>
      <c r="F12" s="30">
        <v>11</v>
      </c>
      <c r="G12" s="29" t="s">
        <v>210</v>
      </c>
    </row>
    <row r="13" spans="1:7" ht="69" customHeight="1" x14ac:dyDescent="0.25">
      <c r="A13" s="28" t="s">
        <v>84</v>
      </c>
      <c r="B13" s="29" t="s">
        <v>211</v>
      </c>
      <c r="C13" s="30" t="s">
        <v>209</v>
      </c>
      <c r="D13" s="30">
        <v>14</v>
      </c>
      <c r="E13" s="30">
        <v>12</v>
      </c>
      <c r="F13" s="30">
        <v>9</v>
      </c>
      <c r="G13" s="29" t="s">
        <v>212</v>
      </c>
    </row>
    <row r="14" spans="1:7" ht="69" customHeight="1" x14ac:dyDescent="0.25">
      <c r="A14" s="28" t="s">
        <v>90</v>
      </c>
      <c r="B14" s="29" t="s">
        <v>213</v>
      </c>
      <c r="C14" s="30" t="s">
        <v>209</v>
      </c>
      <c r="D14" s="30">
        <v>17</v>
      </c>
      <c r="E14" s="30">
        <v>14</v>
      </c>
      <c r="F14" s="30">
        <v>9</v>
      </c>
      <c r="G14" s="29" t="s">
        <v>214</v>
      </c>
    </row>
    <row r="15" spans="1:7" ht="55.9" customHeight="1" x14ac:dyDescent="0.25">
      <c r="A15" s="28" t="s">
        <v>93</v>
      </c>
      <c r="B15" s="29" t="s">
        <v>215</v>
      </c>
      <c r="C15" s="30" t="s">
        <v>209</v>
      </c>
      <c r="D15" s="30">
        <v>19</v>
      </c>
      <c r="E15" s="30">
        <v>16</v>
      </c>
      <c r="F15" s="30">
        <v>9</v>
      </c>
      <c r="G15" s="29" t="s">
        <v>216</v>
      </c>
    </row>
    <row r="16" spans="1:7" ht="69" customHeight="1" x14ac:dyDescent="0.25">
      <c r="A16" s="28" t="s">
        <v>98</v>
      </c>
      <c r="B16" s="29" t="s">
        <v>217</v>
      </c>
      <c r="C16" s="30" t="s">
        <v>209</v>
      </c>
      <c r="D16" s="30">
        <v>13</v>
      </c>
      <c r="E16" s="30">
        <v>11</v>
      </c>
      <c r="F16" s="30">
        <v>9</v>
      </c>
      <c r="G16" s="29" t="s">
        <v>218</v>
      </c>
    </row>
    <row r="17" spans="1:7" ht="55.9" customHeight="1" x14ac:dyDescent="0.25">
      <c r="A17" s="28" t="s">
        <v>105</v>
      </c>
      <c r="B17" s="29" t="s">
        <v>219</v>
      </c>
      <c r="C17" s="30" t="s">
        <v>209</v>
      </c>
      <c r="D17" s="30">
        <v>14</v>
      </c>
      <c r="E17" s="30">
        <v>12</v>
      </c>
      <c r="F17" s="30">
        <v>8</v>
      </c>
      <c r="G17" s="29" t="s">
        <v>220</v>
      </c>
    </row>
    <row r="18" spans="1:7" ht="69" customHeight="1" x14ac:dyDescent="0.25">
      <c r="A18" s="28" t="s">
        <v>109</v>
      </c>
      <c r="B18" s="29" t="s">
        <v>221</v>
      </c>
      <c r="C18" s="30" t="s">
        <v>209</v>
      </c>
      <c r="D18" s="30">
        <v>10</v>
      </c>
      <c r="E18" s="30">
        <v>8</v>
      </c>
      <c r="F18" s="30">
        <v>9</v>
      </c>
      <c r="G18" s="29" t="s">
        <v>222</v>
      </c>
    </row>
    <row r="19" spans="1:7" ht="55.9" customHeight="1" x14ac:dyDescent="0.25">
      <c r="A19" s="28" t="s">
        <v>114</v>
      </c>
      <c r="B19" s="29" t="s">
        <v>223</v>
      </c>
      <c r="C19" s="30" t="s">
        <v>209</v>
      </c>
      <c r="D19" s="30">
        <v>11</v>
      </c>
      <c r="E19" s="30">
        <v>5</v>
      </c>
      <c r="F19" s="30">
        <v>8</v>
      </c>
      <c r="G19" s="29" t="s">
        <v>224</v>
      </c>
    </row>
    <row r="20" spans="1:7" ht="55.9" customHeight="1" x14ac:dyDescent="0.25">
      <c r="A20" s="28" t="s">
        <v>121</v>
      </c>
      <c r="B20" s="29" t="s">
        <v>225</v>
      </c>
      <c r="C20" s="30" t="s">
        <v>209</v>
      </c>
      <c r="D20" s="30">
        <v>12</v>
      </c>
      <c r="E20" s="30">
        <v>5</v>
      </c>
      <c r="F20" s="30">
        <v>8</v>
      </c>
      <c r="G20" s="29" t="s">
        <v>226</v>
      </c>
    </row>
    <row r="21" spans="1:7" ht="55.9" customHeight="1" x14ac:dyDescent="0.25">
      <c r="A21" s="28" t="s">
        <v>127</v>
      </c>
      <c r="B21" s="29" t="s">
        <v>227</v>
      </c>
      <c r="C21" s="30" t="s">
        <v>209</v>
      </c>
      <c r="D21" s="30">
        <v>12</v>
      </c>
      <c r="E21" s="30">
        <v>5</v>
      </c>
      <c r="F21" s="30">
        <v>8</v>
      </c>
      <c r="G21" s="29" t="s">
        <v>228</v>
      </c>
    </row>
    <row r="22" spans="1:7" ht="55.9" customHeight="1" x14ac:dyDescent="0.25">
      <c r="A22" s="28" t="s">
        <v>131</v>
      </c>
      <c r="B22" s="29" t="s">
        <v>229</v>
      </c>
      <c r="C22" s="30" t="s">
        <v>209</v>
      </c>
      <c r="D22" s="30">
        <v>13</v>
      </c>
      <c r="E22" s="30">
        <v>11</v>
      </c>
      <c r="F22" s="30">
        <v>8</v>
      </c>
      <c r="G22" s="29" t="s">
        <v>230</v>
      </c>
    </row>
    <row r="23" spans="1:7" ht="42.6" customHeight="1" x14ac:dyDescent="0.25">
      <c r="A23" s="28" t="s">
        <v>136</v>
      </c>
      <c r="B23" s="29" t="s">
        <v>231</v>
      </c>
      <c r="C23" s="30" t="s">
        <v>209</v>
      </c>
      <c r="D23" s="30">
        <v>8</v>
      </c>
      <c r="E23" s="30">
        <v>5</v>
      </c>
      <c r="F23" s="30">
        <v>7</v>
      </c>
      <c r="G23" s="29" t="s">
        <v>232</v>
      </c>
    </row>
    <row r="24" spans="1:7" ht="55.9" customHeight="1" x14ac:dyDescent="0.25">
      <c r="A24" s="28" t="s">
        <v>141</v>
      </c>
      <c r="B24" s="29" t="s">
        <v>233</v>
      </c>
      <c r="C24" s="30" t="s">
        <v>209</v>
      </c>
      <c r="D24" s="30">
        <v>15</v>
      </c>
      <c r="E24" s="30">
        <v>4</v>
      </c>
      <c r="F24" s="30">
        <v>8</v>
      </c>
      <c r="G24" s="29" t="s">
        <v>234</v>
      </c>
    </row>
    <row r="25" spans="1:7" ht="69" customHeight="1" x14ac:dyDescent="0.25">
      <c r="A25" s="28" t="s">
        <v>148</v>
      </c>
      <c r="B25" s="29" t="s">
        <v>235</v>
      </c>
      <c r="C25" s="30" t="s">
        <v>209</v>
      </c>
      <c r="D25" s="30">
        <v>14</v>
      </c>
      <c r="E25" s="30">
        <v>11</v>
      </c>
      <c r="F25" s="30">
        <v>9</v>
      </c>
      <c r="G25" s="29" t="s">
        <v>236</v>
      </c>
    </row>
    <row r="26" spans="1:7" ht="55.9" customHeight="1" x14ac:dyDescent="0.25">
      <c r="A26" s="28" t="s">
        <v>152</v>
      </c>
      <c r="B26" s="29" t="s">
        <v>237</v>
      </c>
      <c r="C26" s="30" t="s">
        <v>209</v>
      </c>
      <c r="D26" s="30">
        <v>13</v>
      </c>
      <c r="E26" s="30">
        <v>4</v>
      </c>
      <c r="F26" s="30">
        <v>7</v>
      </c>
      <c r="G26" s="29" t="s">
        <v>238</v>
      </c>
    </row>
    <row r="27" spans="1:7" ht="55.9" customHeight="1" x14ac:dyDescent="0.25">
      <c r="A27" s="28" t="s">
        <v>157</v>
      </c>
      <c r="B27" s="29" t="s">
        <v>239</v>
      </c>
      <c r="C27" s="30" t="s">
        <v>209</v>
      </c>
      <c r="D27" s="30">
        <v>11</v>
      </c>
      <c r="E27" s="30">
        <v>5</v>
      </c>
      <c r="F27" s="30">
        <v>8</v>
      </c>
      <c r="G27" s="29" t="s">
        <v>240</v>
      </c>
    </row>
    <row r="28" spans="1:7" ht="55.9" customHeight="1" x14ac:dyDescent="0.25">
      <c r="A28" s="28" t="s">
        <v>164</v>
      </c>
      <c r="B28" s="29" t="s">
        <v>241</v>
      </c>
      <c r="C28" s="30" t="s">
        <v>209</v>
      </c>
      <c r="D28" s="30">
        <v>14</v>
      </c>
      <c r="E28" s="30">
        <v>14</v>
      </c>
      <c r="F28" s="30">
        <v>8</v>
      </c>
      <c r="G28" s="29" t="s">
        <v>242</v>
      </c>
    </row>
    <row r="29" spans="1:7" ht="69" customHeight="1" x14ac:dyDescent="0.25">
      <c r="A29" s="28" t="s">
        <v>170</v>
      </c>
      <c r="B29" s="29" t="s">
        <v>243</v>
      </c>
      <c r="C29" s="30" t="s">
        <v>209</v>
      </c>
      <c r="D29" s="30">
        <v>12</v>
      </c>
      <c r="E29" s="30">
        <v>6</v>
      </c>
      <c r="F29" s="30">
        <v>8</v>
      </c>
      <c r="G29" s="29" t="s">
        <v>244</v>
      </c>
    </row>
    <row r="30" spans="1:7" ht="55.9" customHeight="1" x14ac:dyDescent="0.25">
      <c r="A30" s="28" t="s">
        <v>177</v>
      </c>
      <c r="B30" s="29" t="s">
        <v>245</v>
      </c>
      <c r="C30" s="30" t="s">
        <v>246</v>
      </c>
      <c r="D30" s="30">
        <v>19</v>
      </c>
      <c r="E30" s="30">
        <v>15</v>
      </c>
      <c r="F30" s="30">
        <v>8</v>
      </c>
      <c r="G30" s="29" t="s">
        <v>247</v>
      </c>
    </row>
    <row r="31" spans="1:7" ht="55.9" customHeight="1" x14ac:dyDescent="0.25">
      <c r="A31" s="28" t="s">
        <v>181</v>
      </c>
      <c r="B31" s="29" t="s">
        <v>248</v>
      </c>
      <c r="C31" s="30" t="s">
        <v>246</v>
      </c>
      <c r="D31" s="30">
        <v>12</v>
      </c>
      <c r="E31" s="30">
        <v>9</v>
      </c>
      <c r="F31" s="30">
        <v>7</v>
      </c>
      <c r="G31" s="29" t="s">
        <v>249</v>
      </c>
    </row>
  </sheetData>
  <hyperlinks>
    <hyperlink ref="A5" location="'HUTBPA'!A1" display="HUTBPA" xr:uid="{00000000-0004-0000-0100-000000000000}"/>
    <hyperlink ref="A6" location="'HUTRBA'!A1" display="HUTRBA" xr:uid="{00000000-0004-0000-0100-000001000000}"/>
    <hyperlink ref="A7" location="'RPLDCI'!A1" display="RPLDCI" xr:uid="{00000000-0004-0000-0100-000002000000}"/>
    <hyperlink ref="A8" location="'TXEDCI'!A1" display="TXEDCI" xr:uid="{00000000-0004-0000-0100-000003000000}"/>
    <hyperlink ref="A9" location="'RDMICH'!A1" display="RDMICH" xr:uid="{00000000-0004-0000-0100-000004000000}"/>
    <hyperlink ref="A10" location="'QTSODY'!A1" display="QTSODY" xr:uid="{00000000-0004-0000-0100-000005000000}"/>
    <hyperlink ref="A11" location="'QTSQST'!A1" display="QTSQST" xr:uid="{00000000-0004-0000-0100-000006000000}"/>
    <hyperlink ref="A12" location="'APLD'!A1" display="APLD" xr:uid="{00000000-0004-0000-0100-000007000000}"/>
    <hyperlink ref="A13" location="'PFORGE'!A1" display="PFORGE" xr:uid="{00000000-0004-0000-0100-000008000000}"/>
    <hyperlink ref="A14" location="'ELNFOR'!A1" display="ELNFOR" xr:uid="{00000000-0004-0000-0100-000009000000}"/>
    <hyperlink ref="A15" location="'CIFR'!A1" display="CIFR" xr:uid="{00000000-0004-0000-0100-00000A000000}"/>
    <hyperlink ref="A16" location="'BLKPRL'!A1" display="BLKPRL" xr:uid="{00000000-0004-0000-0100-00000B000000}"/>
    <hyperlink ref="A17" location="'STNGRY'!A1" display="STNGRY" xr:uid="{00000000-0004-0000-0100-00000C000000}"/>
    <hyperlink ref="A18" location="'CORZ'!A1" display="CORZ" xr:uid="{00000000-0004-0000-0100-00000D000000}"/>
    <hyperlink ref="A19" location="'EDGCOM'!A1" display="EDGCOM" xr:uid="{00000000-0004-0000-0100-00000E000000}"/>
    <hyperlink ref="A20" location="'TRACTC'!A1" display="TRACTC" xr:uid="{00000000-0004-0000-0100-00000F000000}"/>
    <hyperlink ref="A21" location="'TRACTD'!A1" display="TRACTD" xr:uid="{00000000-0004-0000-0100-000010000000}"/>
    <hyperlink ref="A22" location="'FLASHC'!A1" display="FLASHC" xr:uid="{00000000-0004-0000-0100-000011000000}"/>
    <hyperlink ref="A23" location="'MERIDI'!A1" display="MERIDI" xr:uid="{00000000-0004-0000-0100-000012000000}"/>
    <hyperlink ref="A24" location="'ZENARC'!A1" display="ZENARC" xr:uid="{00000000-0004-0000-0100-000013000000}"/>
    <hyperlink ref="A25" location="'GALAXY'!A1" display="GALAXY" xr:uid="{00000000-0004-0000-0100-000014000000}"/>
    <hyperlink ref="A26" location="'ELKGVP'!A1" display="ELKGVP" xr:uid="{00000000-0004-0000-0100-000015000000}"/>
    <hyperlink ref="A27" location="'SECMOS'!A1" display="SECMOS" xr:uid="{00000000-0004-0000-0100-000016000000}"/>
    <hyperlink ref="A28" location="'WULF'!A1" display="WULF" xr:uid="{00000000-0004-0000-0100-000017000000}"/>
    <hyperlink ref="A29" location="'YNDRDC'!A1" display="YNDRDC" xr:uid="{00000000-0004-0000-0100-000018000000}"/>
    <hyperlink ref="A30" location="'CRWV'!A1" display="CRWV" xr:uid="{00000000-0004-0000-0100-000019000000}"/>
    <hyperlink ref="A31" location="'ORCL'!A1" display="ORCL" xr:uid="{00000000-0004-0000-0100-00001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6"/>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52" customWidth="1"/>
    <col min="2" max="2" width="9" customWidth="1"/>
    <col min="3" max="3" width="28" customWidth="1"/>
    <col min="4" max="5" width="10" customWidth="1"/>
    <col min="6" max="6" width="9" customWidth="1"/>
    <col min="7" max="8" width="11" customWidth="1"/>
    <col min="9" max="9" width="15" customWidth="1"/>
    <col min="10" max="10" width="24" customWidth="1"/>
    <col min="11" max="11" width="11" customWidth="1"/>
    <col min="12" max="12" width="18" customWidth="1"/>
    <col min="13" max="13" width="26" customWidth="1"/>
    <col min="14" max="14" width="14" customWidth="1"/>
    <col min="15" max="15" width="24" customWidth="1"/>
    <col min="16" max="16" width="11" customWidth="1"/>
  </cols>
  <sheetData>
    <row r="1" spans="1:16" ht="18.75" x14ac:dyDescent="0.3">
      <c r="A1" s="1" t="s">
        <v>250</v>
      </c>
    </row>
    <row r="2" spans="1:16" x14ac:dyDescent="0.25">
      <c r="A2" s="2" t="s">
        <v>251</v>
      </c>
    </row>
    <row r="4" spans="1:16" ht="39.950000000000003" customHeight="1" x14ac:dyDescent="0.25">
      <c r="A4" s="3" t="s">
        <v>2</v>
      </c>
      <c r="B4" s="3" t="s">
        <v>3</v>
      </c>
      <c r="C4" s="3" t="s">
        <v>4</v>
      </c>
      <c r="D4" s="3" t="s">
        <v>9</v>
      </c>
      <c r="E4" s="3" t="s">
        <v>252</v>
      </c>
      <c r="F4" s="3" t="s">
        <v>253</v>
      </c>
      <c r="G4" s="3" t="s">
        <v>254</v>
      </c>
      <c r="H4" s="3" t="s">
        <v>255</v>
      </c>
      <c r="I4" s="3" t="s">
        <v>256</v>
      </c>
      <c r="J4" s="3" t="s">
        <v>257</v>
      </c>
      <c r="K4" s="3" t="s">
        <v>258</v>
      </c>
      <c r="L4" s="3" t="s">
        <v>259</v>
      </c>
      <c r="M4" s="3" t="s">
        <v>260</v>
      </c>
      <c r="N4" s="3" t="s">
        <v>261</v>
      </c>
      <c r="O4" s="3" t="s">
        <v>262</v>
      </c>
      <c r="P4" s="3" t="s">
        <v>263</v>
      </c>
    </row>
    <row r="5" spans="1:16" x14ac:dyDescent="0.25">
      <c r="A5" s="4" t="s">
        <v>28</v>
      </c>
      <c r="B5" s="5"/>
      <c r="C5" s="5"/>
      <c r="D5" s="5"/>
      <c r="E5" s="5"/>
      <c r="F5" s="5"/>
      <c r="G5" s="5"/>
      <c r="H5" s="5"/>
      <c r="I5" s="5"/>
      <c r="J5" s="5"/>
      <c r="K5" s="5"/>
      <c r="L5" s="5"/>
      <c r="M5" s="5"/>
      <c r="N5" s="5"/>
      <c r="O5" s="5"/>
      <c r="P5" s="5"/>
    </row>
    <row r="6" spans="1:16" ht="26.1" customHeight="1" x14ac:dyDescent="0.25">
      <c r="A6" s="6" t="s">
        <v>29</v>
      </c>
      <c r="B6" s="6" t="s">
        <v>30</v>
      </c>
      <c r="C6" s="8" t="s">
        <v>31</v>
      </c>
      <c r="D6" s="10">
        <f>Monitor!H6</f>
        <v>92.424000000000007</v>
      </c>
      <c r="E6" s="8" t="s">
        <v>264</v>
      </c>
      <c r="F6" s="31">
        <v>100</v>
      </c>
      <c r="G6" s="32">
        <f t="shared" ref="G6:G12" si="0">IF(ISNUMBER(D6),F6-D6,"")</f>
        <v>7.5759999999999934</v>
      </c>
      <c r="H6" s="8" t="s">
        <v>265</v>
      </c>
      <c r="I6" s="33">
        <v>1</v>
      </c>
      <c r="J6" s="8" t="s">
        <v>34</v>
      </c>
      <c r="K6" s="8">
        <v>75</v>
      </c>
      <c r="L6" s="8" t="s">
        <v>266</v>
      </c>
      <c r="M6" s="8" t="s">
        <v>267</v>
      </c>
      <c r="N6" s="8" t="s">
        <v>268</v>
      </c>
      <c r="O6" s="8" t="s">
        <v>269</v>
      </c>
      <c r="P6" s="8">
        <v>200</v>
      </c>
    </row>
    <row r="7" spans="1:16" ht="26.1" customHeight="1" x14ac:dyDescent="0.25">
      <c r="A7" s="6" t="s">
        <v>36</v>
      </c>
      <c r="B7" s="6" t="s">
        <v>37</v>
      </c>
      <c r="C7" s="8" t="s">
        <v>38</v>
      </c>
      <c r="D7" s="10">
        <f>Monitor!H7</f>
        <v>93.918999999999997</v>
      </c>
      <c r="E7" s="8" t="s">
        <v>270</v>
      </c>
      <c r="F7" s="31">
        <v>100</v>
      </c>
      <c r="G7" s="32">
        <f t="shared" si="0"/>
        <v>6.0810000000000031</v>
      </c>
      <c r="H7" s="8" t="s">
        <v>271</v>
      </c>
      <c r="I7" s="33">
        <v>1</v>
      </c>
      <c r="J7" s="8" t="s">
        <v>41</v>
      </c>
      <c r="K7" s="8">
        <v>68</v>
      </c>
      <c r="L7" s="8" t="s">
        <v>266</v>
      </c>
      <c r="M7" s="8" t="s">
        <v>267</v>
      </c>
      <c r="N7" s="8" t="s">
        <v>272</v>
      </c>
      <c r="O7" s="8" t="s">
        <v>273</v>
      </c>
      <c r="P7" s="8">
        <v>178</v>
      </c>
    </row>
    <row r="8" spans="1:16" ht="26.1" customHeight="1" x14ac:dyDescent="0.25">
      <c r="A8" s="6" t="s">
        <v>43</v>
      </c>
      <c r="B8" s="6" t="s">
        <v>44</v>
      </c>
      <c r="C8" s="8" t="s">
        <v>45</v>
      </c>
      <c r="D8" s="10">
        <f>Monitor!H8</f>
        <v>91.908000000000001</v>
      </c>
      <c r="E8" s="8" t="s">
        <v>274</v>
      </c>
      <c r="F8" s="31">
        <v>100</v>
      </c>
      <c r="G8" s="32">
        <f t="shared" si="0"/>
        <v>8.0919999999999987</v>
      </c>
      <c r="H8" s="8" t="s">
        <v>275</v>
      </c>
      <c r="I8" s="33">
        <v>1</v>
      </c>
      <c r="J8" s="8" t="s">
        <v>49</v>
      </c>
      <c r="K8" s="8">
        <v>94</v>
      </c>
      <c r="L8" s="8" t="s">
        <v>266</v>
      </c>
      <c r="M8" s="8" t="s">
        <v>276</v>
      </c>
      <c r="N8" s="8" t="s">
        <v>277</v>
      </c>
      <c r="O8" s="8" t="s">
        <v>278</v>
      </c>
      <c r="P8" s="8">
        <v>205</v>
      </c>
    </row>
    <row r="9" spans="1:16" ht="26.1" customHeight="1" x14ac:dyDescent="0.25">
      <c r="A9" s="6" t="s">
        <v>51</v>
      </c>
      <c r="B9" s="6" t="s">
        <v>52</v>
      </c>
      <c r="C9" s="8" t="s">
        <v>45</v>
      </c>
      <c r="D9" s="10">
        <f>Monitor!H9</f>
        <v>98.998999999999995</v>
      </c>
      <c r="E9" s="8" t="s">
        <v>279</v>
      </c>
      <c r="F9" s="31">
        <v>100</v>
      </c>
      <c r="G9" s="32">
        <f t="shared" si="0"/>
        <v>1.0010000000000048</v>
      </c>
      <c r="H9" s="8" t="s">
        <v>280</v>
      </c>
      <c r="I9" s="33">
        <v>1</v>
      </c>
      <c r="J9" s="8" t="s">
        <v>49</v>
      </c>
      <c r="K9" s="8">
        <v>94</v>
      </c>
      <c r="L9" s="8" t="s">
        <v>266</v>
      </c>
      <c r="M9" s="8" t="s">
        <v>276</v>
      </c>
      <c r="N9" s="8" t="s">
        <v>281</v>
      </c>
      <c r="O9" s="8" t="s">
        <v>282</v>
      </c>
      <c r="P9" s="8">
        <v>222</v>
      </c>
    </row>
    <row r="10" spans="1:16" ht="26.1" customHeight="1" x14ac:dyDescent="0.25">
      <c r="A10" s="6" t="s">
        <v>56</v>
      </c>
      <c r="B10" s="6" t="s">
        <v>57</v>
      </c>
      <c r="C10" s="8" t="s">
        <v>58</v>
      </c>
      <c r="D10" s="10">
        <f>Monitor!H10</f>
        <v>87.247</v>
      </c>
      <c r="E10" s="8" t="s">
        <v>283</v>
      </c>
      <c r="F10" s="31">
        <v>100</v>
      </c>
      <c r="G10" s="32">
        <f t="shared" si="0"/>
        <v>12.753</v>
      </c>
      <c r="H10" s="8" t="s">
        <v>284</v>
      </c>
      <c r="I10" s="33">
        <v>1</v>
      </c>
      <c r="J10" s="8" t="s">
        <v>61</v>
      </c>
      <c r="K10" s="8">
        <v>208</v>
      </c>
      <c r="L10" s="8" t="s">
        <v>266</v>
      </c>
      <c r="M10" s="8" t="s">
        <v>285</v>
      </c>
      <c r="N10" s="8" t="s">
        <v>268</v>
      </c>
      <c r="O10" s="8" t="s">
        <v>286</v>
      </c>
      <c r="P10" s="8">
        <v>279</v>
      </c>
    </row>
    <row r="11" spans="1:16" ht="26.1" customHeight="1" x14ac:dyDescent="0.25">
      <c r="A11" s="6" t="s">
        <v>63</v>
      </c>
      <c r="B11" s="6" t="s">
        <v>64</v>
      </c>
      <c r="C11" s="8" t="s">
        <v>65</v>
      </c>
      <c r="D11" s="10">
        <f>Monitor!H11</f>
        <v>97.165999999999997</v>
      </c>
      <c r="E11" s="8" t="s">
        <v>287</v>
      </c>
      <c r="F11" s="31">
        <v>100</v>
      </c>
      <c r="G11" s="32">
        <f t="shared" si="0"/>
        <v>2.8340000000000032</v>
      </c>
      <c r="H11" s="8" t="s">
        <v>275</v>
      </c>
      <c r="I11" s="33">
        <v>5.5E-2</v>
      </c>
      <c r="J11" s="8" t="s">
        <v>68</v>
      </c>
      <c r="K11" s="8">
        <v>31</v>
      </c>
      <c r="L11" s="8" t="s">
        <v>266</v>
      </c>
      <c r="M11" s="8" t="s">
        <v>288</v>
      </c>
      <c r="N11" s="8" t="s">
        <v>268</v>
      </c>
      <c r="O11" s="8" t="s">
        <v>289</v>
      </c>
      <c r="P11" s="8">
        <v>176</v>
      </c>
    </row>
    <row r="12" spans="1:16" ht="26.1" customHeight="1" x14ac:dyDescent="0.25">
      <c r="A12" s="6" t="s">
        <v>70</v>
      </c>
      <c r="B12" s="6" t="s">
        <v>71</v>
      </c>
      <c r="C12" s="8" t="s">
        <v>65</v>
      </c>
      <c r="D12" s="10">
        <f>Monitor!H12</f>
        <v>87.991</v>
      </c>
      <c r="E12" s="8" t="s">
        <v>290</v>
      </c>
      <c r="F12" s="31">
        <v>100</v>
      </c>
      <c r="G12" s="32">
        <f t="shared" si="0"/>
        <v>12.009</v>
      </c>
      <c r="H12" s="8" t="s">
        <v>291</v>
      </c>
      <c r="I12" s="33">
        <v>0</v>
      </c>
      <c r="J12" s="8" t="s">
        <v>68</v>
      </c>
      <c r="K12" s="8">
        <v>33</v>
      </c>
      <c r="L12" s="8" t="s">
        <v>266</v>
      </c>
      <c r="M12" s="8" t="s">
        <v>292</v>
      </c>
      <c r="N12" s="8" t="s">
        <v>293</v>
      </c>
      <c r="O12" s="8" t="s">
        <v>294</v>
      </c>
      <c r="P12" s="8">
        <v>222</v>
      </c>
    </row>
    <row r="14" spans="1:16" x14ac:dyDescent="0.25">
      <c r="A14" s="4" t="s">
        <v>74</v>
      </c>
      <c r="B14" s="5"/>
      <c r="C14" s="5"/>
      <c r="D14" s="5"/>
      <c r="E14" s="5"/>
      <c r="F14" s="5"/>
      <c r="G14" s="5"/>
      <c r="H14" s="5"/>
      <c r="I14" s="5"/>
      <c r="J14" s="5"/>
      <c r="K14" s="5"/>
      <c r="L14" s="5"/>
      <c r="M14" s="5"/>
      <c r="N14" s="5"/>
      <c r="O14" s="5"/>
      <c r="P14" s="5"/>
    </row>
    <row r="15" spans="1:16" ht="26.1" customHeight="1" x14ac:dyDescent="0.25">
      <c r="A15" s="6" t="s">
        <v>75</v>
      </c>
      <c r="B15" s="6" t="s">
        <v>76</v>
      </c>
      <c r="C15" s="8" t="s">
        <v>77</v>
      </c>
      <c r="D15" s="10">
        <f>Monitor!H15</f>
        <v>102.776</v>
      </c>
      <c r="E15" s="8" t="s">
        <v>295</v>
      </c>
      <c r="F15" s="31">
        <v>104.63</v>
      </c>
      <c r="G15" s="32">
        <f t="shared" ref="G15:G32" si="1">IF(ISNUMBER(D15),F15-D15,"")</f>
        <v>1.8539999999999992</v>
      </c>
      <c r="H15" s="8" t="s">
        <v>296</v>
      </c>
      <c r="I15" s="33">
        <v>0.30399999999999999</v>
      </c>
      <c r="J15" s="8" t="s">
        <v>81</v>
      </c>
      <c r="K15" s="8">
        <v>670</v>
      </c>
      <c r="L15" s="8" t="s">
        <v>297</v>
      </c>
      <c r="M15" s="8" t="s">
        <v>267</v>
      </c>
      <c r="N15" s="8" t="s">
        <v>298</v>
      </c>
      <c r="O15" s="8" t="s">
        <v>299</v>
      </c>
      <c r="P15" s="8">
        <v>236</v>
      </c>
    </row>
    <row r="16" spans="1:16" ht="26.1" customHeight="1" x14ac:dyDescent="0.25">
      <c r="A16" s="6" t="s">
        <v>83</v>
      </c>
      <c r="B16" s="6" t="s">
        <v>84</v>
      </c>
      <c r="C16" s="8" t="s">
        <v>58</v>
      </c>
      <c r="D16" s="10">
        <f>Monitor!H16</f>
        <v>95.153000000000006</v>
      </c>
      <c r="E16" s="8" t="s">
        <v>300</v>
      </c>
      <c r="F16" s="31">
        <v>103.38</v>
      </c>
      <c r="G16" s="32">
        <f t="shared" si="1"/>
        <v>8.2269999999999897</v>
      </c>
      <c r="H16" s="8" t="s">
        <v>301</v>
      </c>
      <c r="I16" s="33">
        <v>0.191</v>
      </c>
      <c r="J16" s="8" t="s">
        <v>87</v>
      </c>
      <c r="K16" s="8">
        <v>147</v>
      </c>
      <c r="L16" s="8" t="s">
        <v>297</v>
      </c>
      <c r="M16" s="8" t="s">
        <v>302</v>
      </c>
      <c r="N16" s="8" t="s">
        <v>303</v>
      </c>
      <c r="O16" s="8" t="s">
        <v>304</v>
      </c>
      <c r="P16" s="8">
        <v>314</v>
      </c>
    </row>
    <row r="17" spans="1:16" ht="26.1" customHeight="1" x14ac:dyDescent="0.25">
      <c r="A17" s="6" t="s">
        <v>89</v>
      </c>
      <c r="B17" s="6" t="s">
        <v>90</v>
      </c>
      <c r="C17" s="8" t="s">
        <v>77</v>
      </c>
      <c r="D17" s="10">
        <f>Monitor!H17</f>
        <v>92.835999999999999</v>
      </c>
      <c r="E17" s="8" t="s">
        <v>305</v>
      </c>
      <c r="F17" s="31">
        <v>103.5</v>
      </c>
      <c r="G17" s="32">
        <f t="shared" si="1"/>
        <v>10.664000000000001</v>
      </c>
      <c r="H17" s="8" t="s">
        <v>301</v>
      </c>
      <c r="I17" s="33">
        <v>0.14699999999999999</v>
      </c>
      <c r="J17" s="8" t="s">
        <v>81</v>
      </c>
      <c r="K17" s="8">
        <v>670</v>
      </c>
      <c r="L17" s="8" t="s">
        <v>297</v>
      </c>
      <c r="M17" s="8" t="s">
        <v>267</v>
      </c>
      <c r="N17" s="8" t="s">
        <v>306</v>
      </c>
      <c r="O17" s="8" t="s">
        <v>307</v>
      </c>
      <c r="P17" s="8">
        <v>338</v>
      </c>
    </row>
    <row r="18" spans="1:16" ht="26.1" customHeight="1" x14ac:dyDescent="0.25">
      <c r="A18" s="6" t="s">
        <v>92</v>
      </c>
      <c r="B18" s="6" t="s">
        <v>93</v>
      </c>
      <c r="C18" s="8" t="s">
        <v>38</v>
      </c>
      <c r="D18" s="10">
        <f>Monitor!H18</f>
        <v>99.087999999999994</v>
      </c>
      <c r="E18" s="8" t="s">
        <v>308</v>
      </c>
      <c r="F18" s="31">
        <v>103.56</v>
      </c>
      <c r="G18" s="32">
        <f t="shared" si="1"/>
        <v>4.4720000000000084</v>
      </c>
      <c r="H18" s="8" t="s">
        <v>309</v>
      </c>
      <c r="I18" s="33">
        <v>0.441</v>
      </c>
      <c r="J18" s="8" t="s">
        <v>95</v>
      </c>
      <c r="K18" s="8">
        <v>42</v>
      </c>
      <c r="L18" s="8" t="s">
        <v>297</v>
      </c>
      <c r="M18" s="8" t="s">
        <v>310</v>
      </c>
      <c r="N18" s="8" t="s">
        <v>311</v>
      </c>
      <c r="O18" s="8" t="s">
        <v>312</v>
      </c>
      <c r="P18" s="8">
        <v>169</v>
      </c>
    </row>
    <row r="19" spans="1:16" ht="26.1" customHeight="1" x14ac:dyDescent="0.25">
      <c r="A19" s="6" t="s">
        <v>97</v>
      </c>
      <c r="B19" s="6" t="s">
        <v>98</v>
      </c>
      <c r="C19" s="8" t="s">
        <v>99</v>
      </c>
      <c r="D19" s="10">
        <f>Monitor!H19</f>
        <v>98.352000000000004</v>
      </c>
      <c r="E19" s="8" t="s">
        <v>313</v>
      </c>
      <c r="F19" s="31">
        <v>103.06</v>
      </c>
      <c r="G19" s="32">
        <f t="shared" si="1"/>
        <v>4.7079999999999984</v>
      </c>
      <c r="H19" s="8" t="s">
        <v>314</v>
      </c>
      <c r="I19" s="33">
        <v>0.27700000000000002</v>
      </c>
      <c r="J19" s="8" t="s">
        <v>102</v>
      </c>
      <c r="K19" s="8">
        <v>50</v>
      </c>
      <c r="L19" s="8" t="s">
        <v>266</v>
      </c>
      <c r="M19" s="8" t="s">
        <v>267</v>
      </c>
      <c r="N19" s="8" t="s">
        <v>315</v>
      </c>
      <c r="O19" s="8" t="s">
        <v>316</v>
      </c>
      <c r="P19" s="8">
        <v>127</v>
      </c>
    </row>
    <row r="20" spans="1:16" ht="26.1" customHeight="1" x14ac:dyDescent="0.25">
      <c r="A20" s="6" t="s">
        <v>104</v>
      </c>
      <c r="B20" s="6" t="s">
        <v>105</v>
      </c>
      <c r="C20" s="8" t="s">
        <v>99</v>
      </c>
      <c r="D20" s="10">
        <f>Monitor!H20</f>
        <v>95.265000000000001</v>
      </c>
      <c r="E20" s="8" t="s">
        <v>305</v>
      </c>
      <c r="F20" s="31">
        <v>103</v>
      </c>
      <c r="G20" s="32">
        <f t="shared" si="1"/>
        <v>7.7349999999999994</v>
      </c>
      <c r="H20" s="8" t="s">
        <v>301</v>
      </c>
      <c r="I20" s="33">
        <v>0.25800000000000001</v>
      </c>
      <c r="J20" s="8" t="s">
        <v>102</v>
      </c>
      <c r="K20" s="8">
        <v>50</v>
      </c>
      <c r="L20" s="8" t="s">
        <v>266</v>
      </c>
      <c r="M20" s="8" t="s">
        <v>267</v>
      </c>
      <c r="N20" s="8" t="s">
        <v>317</v>
      </c>
      <c r="O20" s="8" t="s">
        <v>318</v>
      </c>
      <c r="P20" s="8">
        <v>186</v>
      </c>
    </row>
    <row r="21" spans="1:16" ht="26.1" customHeight="1" x14ac:dyDescent="0.25">
      <c r="A21" s="6" t="s">
        <v>108</v>
      </c>
      <c r="B21" s="6" t="s">
        <v>109</v>
      </c>
      <c r="C21" s="8" t="s">
        <v>77</v>
      </c>
      <c r="D21" s="10">
        <f>Monitor!H21</f>
        <v>93.155000000000001</v>
      </c>
      <c r="E21" s="8" t="s">
        <v>319</v>
      </c>
      <c r="F21" s="31">
        <v>103.88</v>
      </c>
      <c r="G21" s="32">
        <f t="shared" si="1"/>
        <v>10.724999999999994</v>
      </c>
      <c r="H21" s="8" t="s">
        <v>320</v>
      </c>
      <c r="I21" s="33">
        <v>0.23599999999999999</v>
      </c>
      <c r="J21" s="8" t="s">
        <v>81</v>
      </c>
      <c r="K21" s="8">
        <v>670</v>
      </c>
      <c r="L21" s="8" t="s">
        <v>297</v>
      </c>
      <c r="M21" s="8" t="s">
        <v>321</v>
      </c>
      <c r="N21" s="8" t="s">
        <v>322</v>
      </c>
      <c r="O21" s="8" t="s">
        <v>323</v>
      </c>
      <c r="P21" s="8">
        <v>357</v>
      </c>
    </row>
    <row r="22" spans="1:16" ht="26.1" customHeight="1" x14ac:dyDescent="0.25">
      <c r="A22" s="6" t="s">
        <v>113</v>
      </c>
      <c r="B22" s="6" t="s">
        <v>114</v>
      </c>
      <c r="C22" s="8" t="s">
        <v>115</v>
      </c>
      <c r="D22" s="10">
        <f>Monitor!H22</f>
        <v>87.945999999999998</v>
      </c>
      <c r="E22" s="8" t="s">
        <v>324</v>
      </c>
      <c r="F22" s="31">
        <v>103.75</v>
      </c>
      <c r="G22" s="32">
        <f t="shared" si="1"/>
        <v>15.804000000000002</v>
      </c>
      <c r="H22" s="8" t="s">
        <v>325</v>
      </c>
      <c r="I22" s="33">
        <v>6.6000000000000003E-2</v>
      </c>
      <c r="J22" s="8" t="s">
        <v>326</v>
      </c>
      <c r="K22" s="8"/>
      <c r="L22" s="8" t="s">
        <v>327</v>
      </c>
      <c r="M22" s="8" t="s">
        <v>328</v>
      </c>
      <c r="N22" s="8" t="s">
        <v>329</v>
      </c>
      <c r="O22" s="8" t="s">
        <v>330</v>
      </c>
      <c r="P22" s="8">
        <v>453</v>
      </c>
    </row>
    <row r="23" spans="1:16" ht="26.1" customHeight="1" x14ac:dyDescent="0.25">
      <c r="A23" s="6" t="s">
        <v>120</v>
      </c>
      <c r="B23" s="6" t="s">
        <v>121</v>
      </c>
      <c r="C23" s="8" t="s">
        <v>31</v>
      </c>
      <c r="D23" s="10">
        <f>Monitor!H23</f>
        <v>89.108999999999995</v>
      </c>
      <c r="E23" s="8" t="s">
        <v>331</v>
      </c>
      <c r="F23" s="31">
        <v>102.94</v>
      </c>
      <c r="G23" s="32">
        <f t="shared" si="1"/>
        <v>13.831000000000003</v>
      </c>
      <c r="H23" s="8" t="s">
        <v>271</v>
      </c>
      <c r="I23" s="33">
        <v>8.2000000000000003E-2</v>
      </c>
      <c r="J23" s="8" t="s">
        <v>124</v>
      </c>
      <c r="K23" s="8">
        <v>39</v>
      </c>
      <c r="L23" s="8" t="s">
        <v>266</v>
      </c>
      <c r="M23" s="8" t="s">
        <v>332</v>
      </c>
      <c r="N23" s="8" t="s">
        <v>333</v>
      </c>
      <c r="O23" s="8" t="s">
        <v>334</v>
      </c>
      <c r="P23" s="8">
        <v>315</v>
      </c>
    </row>
    <row r="24" spans="1:16" ht="26.1" customHeight="1" x14ac:dyDescent="0.25">
      <c r="A24" s="6" t="s">
        <v>126</v>
      </c>
      <c r="B24" s="6" t="s">
        <v>127</v>
      </c>
      <c r="C24" s="8" t="s">
        <v>31</v>
      </c>
      <c r="D24" s="10">
        <f>Monitor!H24</f>
        <v>90.215000000000003</v>
      </c>
      <c r="E24" s="8" t="s">
        <v>335</v>
      </c>
      <c r="F24" s="31">
        <v>103.25</v>
      </c>
      <c r="G24" s="32">
        <f t="shared" si="1"/>
        <v>13.034999999999997</v>
      </c>
      <c r="H24" s="8" t="s">
        <v>271</v>
      </c>
      <c r="I24" s="33">
        <v>7.4999999999999997E-2</v>
      </c>
      <c r="J24" s="8" t="s">
        <v>124</v>
      </c>
      <c r="K24" s="8">
        <v>39</v>
      </c>
      <c r="L24" s="8" t="s">
        <v>266</v>
      </c>
      <c r="M24" s="8" t="s">
        <v>332</v>
      </c>
      <c r="N24" s="8" t="s">
        <v>336</v>
      </c>
      <c r="O24" s="8" t="s">
        <v>337</v>
      </c>
      <c r="P24" s="8">
        <v>341</v>
      </c>
    </row>
    <row r="25" spans="1:16" ht="26.1" customHeight="1" x14ac:dyDescent="0.25">
      <c r="A25" s="6" t="s">
        <v>130</v>
      </c>
      <c r="B25" s="6" t="s">
        <v>131</v>
      </c>
      <c r="C25" s="8" t="s">
        <v>38</v>
      </c>
      <c r="D25" s="10">
        <f>Monitor!H25</f>
        <v>99.373999999999995</v>
      </c>
      <c r="E25" s="8" t="s">
        <v>338</v>
      </c>
      <c r="F25" s="31">
        <v>103.63</v>
      </c>
      <c r="G25" s="32">
        <f t="shared" si="1"/>
        <v>4.2560000000000002</v>
      </c>
      <c r="H25" s="8" t="s">
        <v>309</v>
      </c>
      <c r="I25" s="33">
        <v>0.32500000000000001</v>
      </c>
      <c r="J25" s="8" t="s">
        <v>95</v>
      </c>
      <c r="K25" s="8">
        <v>42</v>
      </c>
      <c r="L25" s="8" t="s">
        <v>297</v>
      </c>
      <c r="M25" s="8" t="s">
        <v>339</v>
      </c>
      <c r="N25" s="8" t="s">
        <v>303</v>
      </c>
      <c r="O25" s="8" t="s">
        <v>340</v>
      </c>
      <c r="P25" s="8">
        <v>234</v>
      </c>
    </row>
    <row r="26" spans="1:16" ht="26.1" customHeight="1" x14ac:dyDescent="0.25">
      <c r="A26" s="6" t="s">
        <v>135</v>
      </c>
      <c r="B26" s="6" t="s">
        <v>136</v>
      </c>
      <c r="C26" s="8" t="s">
        <v>38</v>
      </c>
      <c r="D26" s="10">
        <f>Monitor!H26</f>
        <v>91.867999999999995</v>
      </c>
      <c r="E26" s="8" t="s">
        <v>324</v>
      </c>
      <c r="F26" s="31">
        <v>103.13</v>
      </c>
      <c r="G26" s="32">
        <f t="shared" si="1"/>
        <v>11.262</v>
      </c>
      <c r="H26" s="8" t="s">
        <v>301</v>
      </c>
      <c r="I26" s="33">
        <v>0.13</v>
      </c>
      <c r="J26" s="8" t="s">
        <v>95</v>
      </c>
      <c r="K26" s="8">
        <v>42</v>
      </c>
      <c r="L26" s="8" t="s">
        <v>266</v>
      </c>
      <c r="M26" s="8" t="s">
        <v>267</v>
      </c>
      <c r="N26" s="8" t="s">
        <v>317</v>
      </c>
      <c r="O26" s="8" t="s">
        <v>341</v>
      </c>
      <c r="P26" s="8">
        <v>287</v>
      </c>
    </row>
    <row r="27" spans="1:16" ht="26.1" customHeight="1" x14ac:dyDescent="0.25">
      <c r="A27" s="6" t="s">
        <v>140</v>
      </c>
      <c r="B27" s="6" t="s">
        <v>141</v>
      </c>
      <c r="C27" s="8" t="s">
        <v>142</v>
      </c>
      <c r="D27" s="10">
        <f>Monitor!H27</f>
        <v>85.007999999999996</v>
      </c>
      <c r="E27" s="8" t="s">
        <v>342</v>
      </c>
      <c r="F27" s="31">
        <v>104.44</v>
      </c>
      <c r="G27" s="32">
        <f t="shared" si="1"/>
        <v>19.432000000000002</v>
      </c>
      <c r="H27" s="8" t="s">
        <v>296</v>
      </c>
      <c r="I27" s="33">
        <v>8.8999999999999996E-2</v>
      </c>
      <c r="J27" s="8" t="s">
        <v>343</v>
      </c>
      <c r="K27" s="8">
        <v>196</v>
      </c>
      <c r="L27" s="8" t="s">
        <v>266</v>
      </c>
      <c r="M27" s="8" t="s">
        <v>302</v>
      </c>
      <c r="N27" s="8" t="s">
        <v>344</v>
      </c>
      <c r="O27" s="8" t="s">
        <v>345</v>
      </c>
      <c r="P27" s="8">
        <v>606</v>
      </c>
    </row>
    <row r="28" spans="1:16" ht="26.1" customHeight="1" x14ac:dyDescent="0.25">
      <c r="A28" s="6" t="s">
        <v>147</v>
      </c>
      <c r="B28" s="6" t="s">
        <v>148</v>
      </c>
      <c r="C28" s="8" t="s">
        <v>77</v>
      </c>
      <c r="D28" s="10">
        <f>Monitor!H28</f>
        <v>91.063999999999993</v>
      </c>
      <c r="E28" s="8" t="s">
        <v>346</v>
      </c>
      <c r="F28" s="31">
        <v>104.94</v>
      </c>
      <c r="G28" s="32">
        <f t="shared" si="1"/>
        <v>13.876000000000005</v>
      </c>
      <c r="H28" s="8" t="s">
        <v>280</v>
      </c>
      <c r="I28" s="33">
        <v>9.9000000000000005E-2</v>
      </c>
      <c r="J28" s="8" t="s">
        <v>81</v>
      </c>
      <c r="K28" s="8">
        <v>670</v>
      </c>
      <c r="L28" s="8" t="s">
        <v>297</v>
      </c>
      <c r="M28" s="8" t="s">
        <v>302</v>
      </c>
      <c r="N28" s="8" t="s">
        <v>347</v>
      </c>
      <c r="O28" s="8" t="s">
        <v>348</v>
      </c>
      <c r="P28" s="8">
        <v>520</v>
      </c>
    </row>
    <row r="29" spans="1:16" ht="26.1" customHeight="1" x14ac:dyDescent="0.25">
      <c r="A29" s="6" t="s">
        <v>151</v>
      </c>
      <c r="B29" s="6" t="s">
        <v>152</v>
      </c>
      <c r="C29" s="8" t="s">
        <v>77</v>
      </c>
      <c r="D29" s="10">
        <f>Monitor!H29</f>
        <v>93.622</v>
      </c>
      <c r="E29" s="8" t="s">
        <v>305</v>
      </c>
      <c r="F29" s="31">
        <v>103.75</v>
      </c>
      <c r="G29" s="32">
        <f t="shared" si="1"/>
        <v>10.128</v>
      </c>
      <c r="H29" s="8" t="s">
        <v>301</v>
      </c>
      <c r="I29" s="33">
        <v>0.19500000000000001</v>
      </c>
      <c r="J29" s="8" t="s">
        <v>81</v>
      </c>
      <c r="K29" s="8">
        <v>670</v>
      </c>
      <c r="L29" s="8" t="s">
        <v>266</v>
      </c>
      <c r="M29" s="8" t="s">
        <v>349</v>
      </c>
      <c r="N29" s="8" t="s">
        <v>322</v>
      </c>
      <c r="O29" s="8" t="s">
        <v>350</v>
      </c>
      <c r="P29" s="8">
        <v>399</v>
      </c>
    </row>
    <row r="30" spans="1:16" ht="26.1" customHeight="1" x14ac:dyDescent="0.25">
      <c r="A30" s="6" t="s">
        <v>156</v>
      </c>
      <c r="B30" s="6" t="s">
        <v>157</v>
      </c>
      <c r="C30" s="8" t="s">
        <v>158</v>
      </c>
      <c r="D30" s="10">
        <f>Monitor!H30</f>
        <v>95.293999999999997</v>
      </c>
      <c r="E30" s="8" t="s">
        <v>335</v>
      </c>
      <c r="F30" s="31">
        <v>104.44</v>
      </c>
      <c r="G30" s="32">
        <f t="shared" si="1"/>
        <v>9.1460000000000008</v>
      </c>
      <c r="H30" s="8" t="s">
        <v>291</v>
      </c>
      <c r="I30" s="33">
        <v>0</v>
      </c>
      <c r="J30" s="8" t="s">
        <v>351</v>
      </c>
      <c r="K30" s="8">
        <v>376</v>
      </c>
      <c r="L30" s="8" t="s">
        <v>266</v>
      </c>
      <c r="M30" s="8" t="s">
        <v>352</v>
      </c>
      <c r="N30" s="8" t="s">
        <v>315</v>
      </c>
      <c r="O30" s="8" t="s">
        <v>353</v>
      </c>
      <c r="P30" s="8">
        <v>482</v>
      </c>
    </row>
    <row r="31" spans="1:16" ht="26.1" customHeight="1" x14ac:dyDescent="0.25">
      <c r="A31" s="6" t="s">
        <v>163</v>
      </c>
      <c r="B31" s="6" t="s">
        <v>164</v>
      </c>
      <c r="C31" s="8" t="s">
        <v>165</v>
      </c>
      <c r="D31" s="10">
        <f>Monitor!H31</f>
        <v>102.417</v>
      </c>
      <c r="E31" s="8" t="s">
        <v>354</v>
      </c>
      <c r="F31" s="31">
        <v>103.88</v>
      </c>
      <c r="G31" s="32">
        <f t="shared" si="1"/>
        <v>1.4629999999999939</v>
      </c>
      <c r="H31" s="8" t="s">
        <v>309</v>
      </c>
      <c r="I31" s="33">
        <v>0.45</v>
      </c>
      <c r="J31" s="8" t="s">
        <v>95</v>
      </c>
      <c r="K31" s="8">
        <v>42</v>
      </c>
      <c r="L31" s="8" t="s">
        <v>297</v>
      </c>
      <c r="M31" s="8" t="s">
        <v>310</v>
      </c>
      <c r="N31" s="8" t="s">
        <v>355</v>
      </c>
      <c r="O31" s="8" t="s">
        <v>356</v>
      </c>
      <c r="P31" s="8">
        <v>132</v>
      </c>
    </row>
    <row r="32" spans="1:16" ht="26.1" customHeight="1" x14ac:dyDescent="0.25">
      <c r="A32" s="6" t="s">
        <v>169</v>
      </c>
      <c r="B32" s="6" t="s">
        <v>170</v>
      </c>
      <c r="C32" s="8" t="s">
        <v>58</v>
      </c>
      <c r="D32" s="10">
        <f>Monitor!H32</f>
        <v>89.656999999999996</v>
      </c>
      <c r="E32" s="8" t="s">
        <v>357</v>
      </c>
      <c r="F32" s="31">
        <v>103.44</v>
      </c>
      <c r="G32" s="32">
        <f t="shared" si="1"/>
        <v>13.783000000000001</v>
      </c>
      <c r="H32" s="8" t="s">
        <v>280</v>
      </c>
      <c r="I32" s="33">
        <v>8.7999999999999995E-2</v>
      </c>
      <c r="J32" s="8" t="s">
        <v>87</v>
      </c>
      <c r="K32" s="8">
        <v>147</v>
      </c>
      <c r="L32" s="8" t="s">
        <v>297</v>
      </c>
      <c r="M32" s="8" t="s">
        <v>302</v>
      </c>
      <c r="N32" s="8" t="s">
        <v>315</v>
      </c>
      <c r="O32" s="8" t="s">
        <v>358</v>
      </c>
      <c r="P32" s="8">
        <v>414</v>
      </c>
    </row>
    <row r="34" spans="1:16" x14ac:dyDescent="0.25">
      <c r="A34" s="4" t="s">
        <v>175</v>
      </c>
      <c r="B34" s="5"/>
      <c r="C34" s="5"/>
      <c r="D34" s="5"/>
      <c r="E34" s="5"/>
      <c r="F34" s="5"/>
      <c r="G34" s="5"/>
      <c r="H34" s="5"/>
      <c r="I34" s="5"/>
      <c r="J34" s="5"/>
      <c r="K34" s="5"/>
      <c r="L34" s="5"/>
      <c r="M34" s="5"/>
      <c r="N34" s="5"/>
      <c r="O34" s="5"/>
      <c r="P34" s="5"/>
    </row>
    <row r="35" spans="1:16" ht="26.1" customHeight="1" x14ac:dyDescent="0.25">
      <c r="A35" s="6" t="s">
        <v>176</v>
      </c>
      <c r="B35" s="6" t="s">
        <v>177</v>
      </c>
      <c r="C35" s="8" t="s">
        <v>77</v>
      </c>
      <c r="D35" s="10">
        <f>Monitor!H35</f>
        <v>81.122</v>
      </c>
      <c r="E35" s="8"/>
      <c r="F35" s="8"/>
      <c r="G35" s="12"/>
      <c r="H35" s="8"/>
      <c r="I35" s="8"/>
      <c r="J35" s="8"/>
      <c r="K35" s="8"/>
      <c r="L35" s="8"/>
      <c r="M35" s="8"/>
      <c r="N35" s="8"/>
      <c r="O35" s="8"/>
      <c r="P35" s="8">
        <v>768</v>
      </c>
    </row>
    <row r="36" spans="1:16" ht="26.1" customHeight="1" x14ac:dyDescent="0.25">
      <c r="A36" s="6" t="s">
        <v>180</v>
      </c>
      <c r="B36" s="6" t="s">
        <v>181</v>
      </c>
      <c r="C36" s="8" t="s">
        <v>58</v>
      </c>
      <c r="D36" s="10">
        <f>Monitor!H36</f>
        <v>91.99</v>
      </c>
      <c r="E36" s="8"/>
      <c r="F36" s="8"/>
      <c r="G36" s="12"/>
      <c r="H36" s="8"/>
      <c r="I36" s="8"/>
      <c r="J36" s="8"/>
      <c r="K36" s="8"/>
      <c r="L36" s="8"/>
      <c r="M36" s="8"/>
      <c r="N36" s="8"/>
      <c r="O36" s="8"/>
      <c r="P36" s="8">
        <v>149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6"/>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52" customWidth="1"/>
    <col min="2" max="2" width="9" customWidth="1"/>
    <col min="3" max="3" width="28" customWidth="1"/>
    <col min="4" max="5" width="10" customWidth="1"/>
    <col min="6" max="8" width="11" customWidth="1"/>
    <col min="9" max="9" width="12" customWidth="1"/>
    <col min="10" max="11" width="11" customWidth="1"/>
    <col min="12" max="13" width="12" customWidth="1"/>
    <col min="14" max="14" width="10" customWidth="1"/>
    <col min="15" max="15" width="11" customWidth="1"/>
    <col min="16" max="16" width="9" customWidth="1"/>
  </cols>
  <sheetData>
    <row r="1" spans="1:16" ht="18.75" x14ac:dyDescent="0.3">
      <c r="A1" s="1" t="s">
        <v>359</v>
      </c>
    </row>
    <row r="2" spans="1:16" x14ac:dyDescent="0.25">
      <c r="A2" s="2" t="s">
        <v>360</v>
      </c>
    </row>
    <row r="4" spans="1:16" ht="39.950000000000003" customHeight="1" x14ac:dyDescent="0.25">
      <c r="A4" s="3" t="s">
        <v>2</v>
      </c>
      <c r="B4" s="3" t="s">
        <v>3</v>
      </c>
      <c r="C4" s="3" t="s">
        <v>4</v>
      </c>
      <c r="D4" s="3" t="s">
        <v>9</v>
      </c>
      <c r="E4" s="3" t="s">
        <v>11</v>
      </c>
      <c r="F4" s="3" t="s">
        <v>8</v>
      </c>
      <c r="G4" s="3" t="s">
        <v>361</v>
      </c>
      <c r="H4" s="3" t="s">
        <v>362</v>
      </c>
      <c r="I4" s="3" t="s">
        <v>363</v>
      </c>
      <c r="J4" s="3" t="s">
        <v>364</v>
      </c>
      <c r="K4" s="3" t="s">
        <v>365</v>
      </c>
      <c r="L4" s="3" t="s">
        <v>366</v>
      </c>
      <c r="M4" s="3" t="s">
        <v>367</v>
      </c>
      <c r="N4" s="3" t="s">
        <v>368</v>
      </c>
      <c r="O4" s="3" t="s">
        <v>369</v>
      </c>
      <c r="P4" s="3" t="s">
        <v>6</v>
      </c>
    </row>
    <row r="5" spans="1:16" x14ac:dyDescent="0.25">
      <c r="A5" s="4" t="s">
        <v>28</v>
      </c>
      <c r="B5" s="5"/>
      <c r="C5" s="5"/>
      <c r="D5" s="5"/>
      <c r="E5" s="5"/>
      <c r="F5" s="5"/>
      <c r="G5" s="5"/>
      <c r="H5" s="5"/>
      <c r="I5" s="5"/>
      <c r="J5" s="5"/>
      <c r="K5" s="5"/>
      <c r="L5" s="5"/>
      <c r="M5" s="5"/>
      <c r="N5" s="5"/>
      <c r="O5" s="5"/>
      <c r="P5" s="5"/>
    </row>
    <row r="6" spans="1:16" ht="26.1" customHeight="1" x14ac:dyDescent="0.25">
      <c r="A6" s="6" t="s">
        <v>29</v>
      </c>
      <c r="B6" s="6" t="s">
        <v>30</v>
      </c>
      <c r="C6" s="8" t="s">
        <v>31</v>
      </c>
      <c r="D6" s="10">
        <f>Monitor!H6</f>
        <v>92.424000000000007</v>
      </c>
      <c r="E6" s="11">
        <f>Monitor!J6</f>
        <v>6.9070348261432164</v>
      </c>
      <c r="F6" s="9">
        <f>Monitor!G6</f>
        <v>4250</v>
      </c>
      <c r="G6" s="9">
        <v>3871</v>
      </c>
      <c r="H6" s="34">
        <v>11</v>
      </c>
      <c r="I6" s="31">
        <v>1.57</v>
      </c>
      <c r="J6" s="8" t="s">
        <v>370</v>
      </c>
      <c r="K6" s="35">
        <v>0.97</v>
      </c>
      <c r="L6" s="36">
        <v>7.7</v>
      </c>
      <c r="M6" s="36">
        <v>0</v>
      </c>
      <c r="N6" s="33">
        <f t="shared" ref="N6:N12" si="0">IF(AND(ISNUMBER(I6),ISNUMBER(H6)),I6/H6,"")</f>
        <v>0.14272727272727273</v>
      </c>
      <c r="O6" s="34">
        <f t="shared" ref="O6:O12" si="1">IF(AND(ISNUMBER(F6),ISNUMBER(P6),P6&gt;0),F6/P6,"")</f>
        <v>12.073863636363637</v>
      </c>
      <c r="P6" s="9">
        <v>352</v>
      </c>
    </row>
    <row r="7" spans="1:16" ht="26.1" customHeight="1" x14ac:dyDescent="0.25">
      <c r="A7" s="6" t="s">
        <v>36</v>
      </c>
      <c r="B7" s="6" t="s">
        <v>37</v>
      </c>
      <c r="C7" s="8" t="s">
        <v>38</v>
      </c>
      <c r="D7" s="10">
        <f>Monitor!H7</f>
        <v>93.918999999999997</v>
      </c>
      <c r="E7" s="11">
        <f>Monitor!J7</f>
        <v>6.8227401754863894</v>
      </c>
      <c r="F7" s="9">
        <f>Monitor!G7</f>
        <v>3250</v>
      </c>
      <c r="G7" s="9">
        <v>3057</v>
      </c>
      <c r="H7" s="34">
        <v>12.5</v>
      </c>
      <c r="I7" s="31">
        <v>1.5</v>
      </c>
      <c r="J7" s="8" t="s">
        <v>370</v>
      </c>
      <c r="K7" s="35">
        <v>0.97</v>
      </c>
      <c r="L7" s="36">
        <v>8.8000000000000007</v>
      </c>
      <c r="M7" s="36">
        <v>0</v>
      </c>
      <c r="N7" s="33">
        <f t="shared" si="0"/>
        <v>0.12</v>
      </c>
      <c r="O7" s="34">
        <f t="shared" si="1"/>
        <v>13.26530612244898</v>
      </c>
      <c r="P7" s="9">
        <v>245</v>
      </c>
    </row>
    <row r="8" spans="1:16" ht="26.1" customHeight="1" x14ac:dyDescent="0.25">
      <c r="A8" s="6" t="s">
        <v>43</v>
      </c>
      <c r="B8" s="6" t="s">
        <v>44</v>
      </c>
      <c r="C8" s="8" t="s">
        <v>45</v>
      </c>
      <c r="D8" s="10">
        <f>Monitor!H8</f>
        <v>91.908000000000001</v>
      </c>
      <c r="E8" s="11">
        <f>Monitor!J8</f>
        <v>7.4801613526308399</v>
      </c>
      <c r="F8" s="9">
        <f>Monitor!G8</f>
        <v>27293.8</v>
      </c>
      <c r="G8" s="9">
        <v>28800</v>
      </c>
      <c r="H8" s="34">
        <v>14</v>
      </c>
      <c r="I8" s="31">
        <v>1.23</v>
      </c>
      <c r="J8" s="8" t="s">
        <v>371</v>
      </c>
      <c r="K8" s="35">
        <v>0.9</v>
      </c>
      <c r="L8" s="36">
        <v>9.1</v>
      </c>
      <c r="M8" s="36">
        <v>0</v>
      </c>
      <c r="N8" s="33">
        <f t="shared" si="0"/>
        <v>8.7857142857142856E-2</v>
      </c>
      <c r="O8" s="34">
        <f t="shared" si="1"/>
        <v>13.223740310077519</v>
      </c>
      <c r="P8" s="9">
        <v>2064</v>
      </c>
    </row>
    <row r="9" spans="1:16" ht="26.1" customHeight="1" x14ac:dyDescent="0.25">
      <c r="A9" s="6" t="s">
        <v>51</v>
      </c>
      <c r="B9" s="6" t="s">
        <v>52</v>
      </c>
      <c r="C9" s="8" t="s">
        <v>45</v>
      </c>
      <c r="D9" s="10">
        <f>Monitor!H9</f>
        <v>98.998999999999995</v>
      </c>
      <c r="E9" s="11">
        <f>Monitor!J9</f>
        <v>7.6225604360279799</v>
      </c>
      <c r="F9" s="9">
        <f>Monitor!G9</f>
        <v>12639.5</v>
      </c>
      <c r="G9" s="9">
        <v>13700</v>
      </c>
      <c r="H9" s="34">
        <v>14.3</v>
      </c>
      <c r="I9" s="31">
        <v>1.38</v>
      </c>
      <c r="J9" s="8" t="s">
        <v>371</v>
      </c>
      <c r="K9" s="35">
        <v>0.9</v>
      </c>
      <c r="L9" s="36">
        <v>9.3000000000000007</v>
      </c>
      <c r="M9" s="36">
        <v>0</v>
      </c>
      <c r="N9" s="33">
        <f t="shared" si="0"/>
        <v>9.6503496503496489E-2</v>
      </c>
      <c r="O9" s="34">
        <f t="shared" si="1"/>
        <v>13.166145833333333</v>
      </c>
      <c r="P9" s="9">
        <v>960</v>
      </c>
    </row>
    <row r="10" spans="1:16" ht="26.1" customHeight="1" x14ac:dyDescent="0.25">
      <c r="A10" s="6" t="s">
        <v>56</v>
      </c>
      <c r="B10" s="6" t="s">
        <v>57</v>
      </c>
      <c r="C10" s="8" t="s">
        <v>58</v>
      </c>
      <c r="D10" s="10">
        <f>Monitor!H10</f>
        <v>87.247</v>
      </c>
      <c r="E10" s="11">
        <f>Monitor!J10</f>
        <v>8.9678815625000947</v>
      </c>
      <c r="F10" s="9">
        <f>Monitor!G10</f>
        <v>14000</v>
      </c>
      <c r="G10" s="9">
        <v>15543</v>
      </c>
      <c r="H10" s="34">
        <v>16</v>
      </c>
      <c r="I10" s="31">
        <v>1.43</v>
      </c>
      <c r="J10" s="8" t="s">
        <v>370</v>
      </c>
      <c r="K10" s="35">
        <v>0.9</v>
      </c>
      <c r="L10" s="36">
        <v>10.1</v>
      </c>
      <c r="M10" s="36">
        <v>0</v>
      </c>
      <c r="N10" s="33">
        <f t="shared" si="0"/>
        <v>8.9374999999999996E-2</v>
      </c>
      <c r="O10" s="34">
        <f t="shared" si="1"/>
        <v>14.373716632443532</v>
      </c>
      <c r="P10" s="9">
        <v>974</v>
      </c>
    </row>
    <row r="11" spans="1:16" ht="26.1" customHeight="1" x14ac:dyDescent="0.25">
      <c r="A11" s="6" t="s">
        <v>63</v>
      </c>
      <c r="B11" s="6" t="s">
        <v>64</v>
      </c>
      <c r="C11" s="8" t="s">
        <v>65</v>
      </c>
      <c r="D11" s="10">
        <f>Monitor!H11</f>
        <v>97.165999999999997</v>
      </c>
      <c r="E11" s="11">
        <f>Monitor!J11</f>
        <v>7.3295727076693167</v>
      </c>
      <c r="F11" s="9">
        <f>Monitor!G11</f>
        <v>3900</v>
      </c>
      <c r="G11" s="9"/>
      <c r="H11" s="34"/>
      <c r="I11" s="31">
        <v>1.74</v>
      </c>
      <c r="J11" s="8" t="s">
        <v>370</v>
      </c>
      <c r="K11" s="35"/>
      <c r="L11" s="36">
        <v>11</v>
      </c>
      <c r="M11" s="36">
        <v>9.8000000000000007</v>
      </c>
      <c r="N11" s="33" t="str">
        <f t="shared" si="0"/>
        <v/>
      </c>
      <c r="O11" s="34">
        <f t="shared" si="1"/>
        <v>19.117647058823529</v>
      </c>
      <c r="P11" s="9">
        <v>204</v>
      </c>
    </row>
    <row r="12" spans="1:16" ht="26.1" customHeight="1" x14ac:dyDescent="0.25">
      <c r="A12" s="6" t="s">
        <v>70</v>
      </c>
      <c r="B12" s="6" t="s">
        <v>71</v>
      </c>
      <c r="C12" s="8" t="s">
        <v>65</v>
      </c>
      <c r="D12" s="10">
        <f>Monitor!H12</f>
        <v>87.991</v>
      </c>
      <c r="E12" s="11">
        <f>Monitor!J12</f>
        <v>7.5219323476729567</v>
      </c>
      <c r="F12" s="9">
        <f>Monitor!G12</f>
        <v>4600</v>
      </c>
      <c r="G12" s="9"/>
      <c r="H12" s="34"/>
      <c r="I12" s="31">
        <v>0.9</v>
      </c>
      <c r="J12" s="8" t="s">
        <v>370</v>
      </c>
      <c r="K12" s="35"/>
      <c r="L12" s="36">
        <v>15</v>
      </c>
      <c r="M12" s="36">
        <v>11.3</v>
      </c>
      <c r="N12" s="33" t="str">
        <f t="shared" si="0"/>
        <v/>
      </c>
      <c r="O12" s="34">
        <f t="shared" si="1"/>
        <v>13.529411764705882</v>
      </c>
      <c r="P12" s="9">
        <v>340</v>
      </c>
    </row>
    <row r="14" spans="1:16" x14ac:dyDescent="0.25">
      <c r="A14" s="4" t="s">
        <v>74</v>
      </c>
      <c r="B14" s="5"/>
      <c r="C14" s="5"/>
      <c r="D14" s="5"/>
      <c r="E14" s="5"/>
      <c r="F14" s="5"/>
      <c r="G14" s="5"/>
      <c r="H14" s="5"/>
      <c r="I14" s="5"/>
      <c r="J14" s="5"/>
      <c r="K14" s="5"/>
      <c r="L14" s="5"/>
      <c r="M14" s="5"/>
      <c r="N14" s="5"/>
      <c r="O14" s="5"/>
      <c r="P14" s="5"/>
    </row>
    <row r="15" spans="1:16" ht="26.1" customHeight="1" x14ac:dyDescent="0.25">
      <c r="A15" s="6" t="s">
        <v>75</v>
      </c>
      <c r="B15" s="6" t="s">
        <v>76</v>
      </c>
      <c r="C15" s="8" t="s">
        <v>77</v>
      </c>
      <c r="D15" s="10">
        <f>Monitor!H15</f>
        <v>102.776</v>
      </c>
      <c r="E15" s="11">
        <f>Monitor!J15</f>
        <v>8.4534708307236794</v>
      </c>
      <c r="F15" s="9">
        <f>Monitor!G15</f>
        <v>2350</v>
      </c>
      <c r="G15" s="9">
        <v>3100</v>
      </c>
      <c r="H15" s="34">
        <v>12.4</v>
      </c>
      <c r="I15" s="31">
        <v>1.39</v>
      </c>
      <c r="J15" s="8" t="s">
        <v>370</v>
      </c>
      <c r="K15" s="35">
        <v>0.66</v>
      </c>
      <c r="L15" s="36">
        <v>7.2</v>
      </c>
      <c r="M15" s="36">
        <v>4.5</v>
      </c>
      <c r="N15" s="33">
        <f t="shared" ref="N15:N32" si="2">IF(AND(ISNUMBER(I15),ISNUMBER(H15)),I15/H15,"")</f>
        <v>0.11209677419354838</v>
      </c>
      <c r="O15" s="34">
        <f t="shared" ref="O15:O32" si="3">IF(AND(ISNUMBER(F15),ISNUMBER(P15),P15&gt;0),F15/P15,"")</f>
        <v>9.4</v>
      </c>
      <c r="P15" s="9">
        <v>250</v>
      </c>
    </row>
    <row r="16" spans="1:16" ht="26.1" customHeight="1" x14ac:dyDescent="0.25">
      <c r="A16" s="6" t="s">
        <v>83</v>
      </c>
      <c r="B16" s="6" t="s">
        <v>84</v>
      </c>
      <c r="C16" s="8" t="s">
        <v>58</v>
      </c>
      <c r="D16" s="10">
        <f>Monitor!H16</f>
        <v>95.153000000000006</v>
      </c>
      <c r="E16" s="11">
        <f>Monitor!J16</f>
        <v>8.1104983405269078</v>
      </c>
      <c r="F16" s="9">
        <f>Monitor!G16</f>
        <v>2150</v>
      </c>
      <c r="G16" s="9">
        <v>2391</v>
      </c>
      <c r="H16" s="34">
        <v>12</v>
      </c>
      <c r="I16" s="31">
        <v>1.34</v>
      </c>
      <c r="J16" s="8" t="s">
        <v>372</v>
      </c>
      <c r="K16" s="35">
        <v>0.8</v>
      </c>
      <c r="L16" s="36">
        <v>9.1</v>
      </c>
      <c r="M16" s="36">
        <v>6.6</v>
      </c>
      <c r="N16" s="33">
        <f t="shared" si="2"/>
        <v>0.11166666666666668</v>
      </c>
      <c r="O16" s="34">
        <f t="shared" si="3"/>
        <v>10.75</v>
      </c>
      <c r="P16" s="9">
        <v>200</v>
      </c>
    </row>
    <row r="17" spans="1:16" ht="26.1" customHeight="1" x14ac:dyDescent="0.25">
      <c r="A17" s="6" t="s">
        <v>89</v>
      </c>
      <c r="B17" s="6" t="s">
        <v>90</v>
      </c>
      <c r="C17" s="8" t="s">
        <v>77</v>
      </c>
      <c r="D17" s="10">
        <f>Monitor!H17</f>
        <v>92.835999999999999</v>
      </c>
      <c r="E17" s="11">
        <f>Monitor!J17</f>
        <v>8.8313829651650551</v>
      </c>
      <c r="F17" s="9">
        <f>Monitor!G17</f>
        <v>1590</v>
      </c>
      <c r="G17" s="9">
        <v>1923</v>
      </c>
      <c r="H17" s="34">
        <v>12.8</v>
      </c>
      <c r="I17" s="31">
        <v>1.43</v>
      </c>
      <c r="J17" s="8" t="s">
        <v>370</v>
      </c>
      <c r="K17" s="35">
        <v>0.74</v>
      </c>
      <c r="L17" s="36">
        <v>8.1999999999999993</v>
      </c>
      <c r="M17" s="36">
        <v>6.3</v>
      </c>
      <c r="N17" s="33">
        <f t="shared" si="2"/>
        <v>0.11171874999999999</v>
      </c>
      <c r="O17" s="34">
        <f t="shared" si="3"/>
        <v>10.6</v>
      </c>
      <c r="P17" s="9">
        <v>150</v>
      </c>
    </row>
    <row r="18" spans="1:16" ht="26.1" customHeight="1" x14ac:dyDescent="0.25">
      <c r="A18" s="6" t="s">
        <v>92</v>
      </c>
      <c r="B18" s="6" t="s">
        <v>93</v>
      </c>
      <c r="C18" s="8" t="s">
        <v>38</v>
      </c>
      <c r="D18" s="10">
        <f>Monitor!H18</f>
        <v>99.087999999999994</v>
      </c>
      <c r="E18" s="11">
        <f>Monitor!J18</f>
        <v>7.3958153800908946</v>
      </c>
      <c r="F18" s="9">
        <f>Monitor!G18</f>
        <v>1733</v>
      </c>
      <c r="G18" s="9">
        <v>2443</v>
      </c>
      <c r="H18" s="34">
        <v>11.8</v>
      </c>
      <c r="I18" s="31">
        <v>1.59</v>
      </c>
      <c r="J18" s="8" t="s">
        <v>370</v>
      </c>
      <c r="K18" s="35">
        <v>0.7</v>
      </c>
      <c r="L18" s="36">
        <v>6.1</v>
      </c>
      <c r="M18" s="36">
        <v>3</v>
      </c>
      <c r="N18" s="33">
        <f t="shared" si="2"/>
        <v>0.13474576271186439</v>
      </c>
      <c r="O18" s="34">
        <f t="shared" si="3"/>
        <v>8.3719806763285032</v>
      </c>
      <c r="P18" s="9">
        <v>207</v>
      </c>
    </row>
    <row r="19" spans="1:16" ht="26.1" customHeight="1" x14ac:dyDescent="0.25">
      <c r="A19" s="6" t="s">
        <v>97</v>
      </c>
      <c r="B19" s="6" t="s">
        <v>98</v>
      </c>
      <c r="C19" s="8" t="s">
        <v>99</v>
      </c>
      <c r="D19" s="10">
        <f>Monitor!H19</f>
        <v>98.352000000000004</v>
      </c>
      <c r="E19" s="11">
        <f>Monitor!J19</f>
        <v>6.5859492563343176</v>
      </c>
      <c r="F19" s="9">
        <f>Monitor!G19</f>
        <v>2000</v>
      </c>
      <c r="G19" s="9">
        <v>2100</v>
      </c>
      <c r="H19" s="34">
        <v>9.6999999999999993</v>
      </c>
      <c r="I19" s="31">
        <v>1.38</v>
      </c>
      <c r="J19" s="8" t="s">
        <v>370</v>
      </c>
      <c r="K19" s="35">
        <v>0.85</v>
      </c>
      <c r="L19" s="36">
        <v>6.7</v>
      </c>
      <c r="M19" s="36">
        <v>4.3</v>
      </c>
      <c r="N19" s="33">
        <f t="shared" si="2"/>
        <v>0.1422680412371134</v>
      </c>
      <c r="O19" s="34">
        <f t="shared" si="3"/>
        <v>9.2592592592592595</v>
      </c>
      <c r="P19" s="9">
        <v>216</v>
      </c>
    </row>
    <row r="20" spans="1:16" ht="26.1" customHeight="1" x14ac:dyDescent="0.25">
      <c r="A20" s="6" t="s">
        <v>104</v>
      </c>
      <c r="B20" s="6" t="s">
        <v>105</v>
      </c>
      <c r="C20" s="8" t="s">
        <v>99</v>
      </c>
      <c r="D20" s="10">
        <f>Monitor!H20</f>
        <v>95.265000000000001</v>
      </c>
      <c r="E20" s="11">
        <f>Monitor!J20</f>
        <v>7.217247171455174</v>
      </c>
      <c r="F20" s="9">
        <f>Monitor!G20</f>
        <v>810</v>
      </c>
      <c r="G20" s="9">
        <v>735</v>
      </c>
      <c r="H20" s="34">
        <v>10.5</v>
      </c>
      <c r="I20" s="31">
        <v>1.58</v>
      </c>
      <c r="J20" s="8" t="s">
        <v>370</v>
      </c>
      <c r="K20" s="35">
        <v>0.98</v>
      </c>
      <c r="L20" s="36">
        <v>7.3</v>
      </c>
      <c r="M20" s="36">
        <v>4.9000000000000004</v>
      </c>
      <c r="N20" s="33">
        <f t="shared" si="2"/>
        <v>0.15047619047619049</v>
      </c>
      <c r="O20" s="34">
        <f t="shared" si="3"/>
        <v>11.571428571428571</v>
      </c>
      <c r="P20" s="9">
        <v>70</v>
      </c>
    </row>
    <row r="21" spans="1:16" ht="26.1" customHeight="1" x14ac:dyDescent="0.25">
      <c r="A21" s="6" t="s">
        <v>108</v>
      </c>
      <c r="B21" s="6" t="s">
        <v>109</v>
      </c>
      <c r="C21" s="8" t="s">
        <v>77</v>
      </c>
      <c r="D21" s="10">
        <f>Monitor!H21</f>
        <v>93.155000000000001</v>
      </c>
      <c r="E21" s="11">
        <f>Monitor!J21</f>
        <v>9.6475756359011946</v>
      </c>
      <c r="F21" s="9">
        <f>Monitor!G21</f>
        <v>3300</v>
      </c>
      <c r="G21" s="9">
        <v>5500</v>
      </c>
      <c r="H21" s="34">
        <v>9.3000000000000007</v>
      </c>
      <c r="I21" s="31">
        <v>1.2</v>
      </c>
      <c r="J21" s="8" t="s">
        <v>370</v>
      </c>
      <c r="K21" s="35">
        <v>0.56000000000000005</v>
      </c>
      <c r="L21" s="36">
        <v>5.7</v>
      </c>
      <c r="M21" s="36">
        <v>3.8</v>
      </c>
      <c r="N21" s="33">
        <f t="shared" si="2"/>
        <v>0.12903225806451613</v>
      </c>
      <c r="O21" s="34">
        <f t="shared" si="3"/>
        <v>5.593220338983051</v>
      </c>
      <c r="P21" s="9">
        <v>590</v>
      </c>
    </row>
    <row r="22" spans="1:16" ht="26.1" customHeight="1" x14ac:dyDescent="0.25">
      <c r="A22" s="6" t="s">
        <v>113</v>
      </c>
      <c r="B22" s="6" t="s">
        <v>114</v>
      </c>
      <c r="C22" s="8" t="s">
        <v>115</v>
      </c>
      <c r="D22" s="10">
        <f>Monitor!H22</f>
        <v>87.945999999999998</v>
      </c>
      <c r="E22" s="11">
        <f>Monitor!J22</f>
        <v>10.899612829896141</v>
      </c>
      <c r="F22" s="9">
        <f>Monitor!G22</f>
        <v>1300</v>
      </c>
      <c r="G22" s="9">
        <v>1633</v>
      </c>
      <c r="H22" s="34">
        <v>14.3</v>
      </c>
      <c r="I22" s="31">
        <v>1.71</v>
      </c>
      <c r="J22" s="8" t="s">
        <v>370</v>
      </c>
      <c r="K22" s="35">
        <v>0.71</v>
      </c>
      <c r="L22" s="36">
        <v>7.4</v>
      </c>
      <c r="M22" s="36">
        <v>6</v>
      </c>
      <c r="N22" s="33">
        <f t="shared" si="2"/>
        <v>0.11958041958041957</v>
      </c>
      <c r="O22" s="34">
        <f t="shared" si="3"/>
        <v>11.403508771929825</v>
      </c>
      <c r="P22" s="9">
        <v>114</v>
      </c>
    </row>
    <row r="23" spans="1:16" ht="26.1" customHeight="1" x14ac:dyDescent="0.25">
      <c r="A23" s="6" t="s">
        <v>120</v>
      </c>
      <c r="B23" s="6" t="s">
        <v>121</v>
      </c>
      <c r="C23" s="8" t="s">
        <v>31</v>
      </c>
      <c r="D23" s="10">
        <f>Monitor!H23</f>
        <v>89.108999999999995</v>
      </c>
      <c r="E23" s="11">
        <f>Monitor!J23</f>
        <v>8.81757170183654</v>
      </c>
      <c r="F23" s="9">
        <f>Monitor!G23</f>
        <v>3800</v>
      </c>
      <c r="G23" s="9">
        <v>4400</v>
      </c>
      <c r="H23" s="34">
        <v>22</v>
      </c>
      <c r="I23" s="31">
        <v>2</v>
      </c>
      <c r="J23" s="8" t="s">
        <v>373</v>
      </c>
      <c r="K23" s="35">
        <v>0.83</v>
      </c>
      <c r="L23" s="36">
        <v>9.1</v>
      </c>
      <c r="M23" s="36">
        <v>8</v>
      </c>
      <c r="N23" s="33">
        <f t="shared" si="2"/>
        <v>9.0909090909090912E-2</v>
      </c>
      <c r="O23" s="34">
        <f t="shared" si="3"/>
        <v>19</v>
      </c>
      <c r="P23" s="9">
        <v>200</v>
      </c>
    </row>
    <row r="24" spans="1:16" ht="26.1" customHeight="1" x14ac:dyDescent="0.25">
      <c r="A24" s="6" t="s">
        <v>126</v>
      </c>
      <c r="B24" s="6" t="s">
        <v>127</v>
      </c>
      <c r="C24" s="8" t="s">
        <v>31</v>
      </c>
      <c r="D24" s="10">
        <f>Monitor!H24</f>
        <v>90.215000000000003</v>
      </c>
      <c r="E24" s="11">
        <f>Monitor!J24</f>
        <v>9.2035095298589091</v>
      </c>
      <c r="F24" s="9">
        <f>Monitor!G24</f>
        <v>4585</v>
      </c>
      <c r="G24" s="9">
        <v>4435</v>
      </c>
      <c r="H24" s="34">
        <v>22.2</v>
      </c>
      <c r="I24" s="31">
        <v>2.27</v>
      </c>
      <c r="J24" s="8" t="s">
        <v>373</v>
      </c>
      <c r="K24" s="35">
        <v>0.91</v>
      </c>
      <c r="L24" s="36">
        <v>10</v>
      </c>
      <c r="M24" s="36">
        <v>8.6999999999999993</v>
      </c>
      <c r="N24" s="33">
        <f t="shared" si="2"/>
        <v>0.10225225225225226</v>
      </c>
      <c r="O24" s="34">
        <f t="shared" si="3"/>
        <v>22.925000000000001</v>
      </c>
      <c r="P24" s="9">
        <v>200</v>
      </c>
    </row>
    <row r="25" spans="1:16" ht="26.1" customHeight="1" x14ac:dyDescent="0.25">
      <c r="A25" s="6" t="s">
        <v>130</v>
      </c>
      <c r="B25" s="6" t="s">
        <v>131</v>
      </c>
      <c r="C25" s="8" t="s">
        <v>38</v>
      </c>
      <c r="D25" s="10">
        <f>Monitor!H25</f>
        <v>99.373999999999995</v>
      </c>
      <c r="E25" s="11">
        <f>Monitor!J25</f>
        <v>7.458760599639918</v>
      </c>
      <c r="F25" s="9">
        <f>Monitor!G25</f>
        <v>1300</v>
      </c>
      <c r="G25" s="9">
        <v>1354</v>
      </c>
      <c r="H25" s="34">
        <v>8.1</v>
      </c>
      <c r="I25" s="31">
        <v>1.55</v>
      </c>
      <c r="J25" s="8" t="s">
        <v>370</v>
      </c>
      <c r="K25" s="35">
        <v>0.79</v>
      </c>
      <c r="L25" s="36">
        <v>5.9</v>
      </c>
      <c r="M25" s="36">
        <v>3.5</v>
      </c>
      <c r="N25" s="33">
        <f t="shared" si="2"/>
        <v>0.19135802469135804</v>
      </c>
      <c r="O25" s="34">
        <f t="shared" si="3"/>
        <v>7.7380952380952381</v>
      </c>
      <c r="P25" s="9">
        <v>168</v>
      </c>
    </row>
    <row r="26" spans="1:16" ht="26.1" customHeight="1" x14ac:dyDescent="0.25">
      <c r="A26" s="6" t="s">
        <v>135</v>
      </c>
      <c r="B26" s="6" t="s">
        <v>136</v>
      </c>
      <c r="C26" s="8" t="s">
        <v>38</v>
      </c>
      <c r="D26" s="10">
        <f>Monitor!H26</f>
        <v>91.867999999999995</v>
      </c>
      <c r="E26" s="11">
        <f>Monitor!J26</f>
        <v>8.4501542552578037</v>
      </c>
      <c r="F26" s="9">
        <f>Monitor!G26</f>
        <v>5700</v>
      </c>
      <c r="G26" s="9">
        <v>5250</v>
      </c>
      <c r="H26" s="34">
        <v>12.2</v>
      </c>
      <c r="I26" s="31">
        <v>1.49</v>
      </c>
      <c r="J26" s="8" t="s">
        <v>370</v>
      </c>
      <c r="K26" s="35">
        <v>0.91</v>
      </c>
      <c r="L26" s="36">
        <v>8.9</v>
      </c>
      <c r="M26" s="36">
        <v>7.1</v>
      </c>
      <c r="N26" s="33">
        <f t="shared" si="2"/>
        <v>0.12213114754098361</v>
      </c>
      <c r="O26" s="34">
        <f t="shared" si="3"/>
        <v>13.255813953488373</v>
      </c>
      <c r="P26" s="9">
        <v>430</v>
      </c>
    </row>
    <row r="27" spans="1:16" ht="26.1" customHeight="1" x14ac:dyDescent="0.25">
      <c r="A27" s="6" t="s">
        <v>140</v>
      </c>
      <c r="B27" s="6" t="s">
        <v>141</v>
      </c>
      <c r="C27" s="8" t="s">
        <v>142</v>
      </c>
      <c r="D27" s="10">
        <f>Monitor!H27</f>
        <v>85.007999999999996</v>
      </c>
      <c r="E27" s="11">
        <f>Monitor!J27</f>
        <v>13.095812480306121</v>
      </c>
      <c r="F27" s="9">
        <f>Monitor!G27</f>
        <v>2250</v>
      </c>
      <c r="G27" s="9">
        <v>2120</v>
      </c>
      <c r="H27" s="34">
        <v>14.2</v>
      </c>
      <c r="I27" s="31">
        <v>1.75</v>
      </c>
      <c r="J27" s="8" t="s">
        <v>370</v>
      </c>
      <c r="K27" s="35">
        <v>0.91</v>
      </c>
      <c r="L27" s="36">
        <v>8.6</v>
      </c>
      <c r="M27" s="36">
        <v>7.2</v>
      </c>
      <c r="N27" s="33">
        <f t="shared" si="2"/>
        <v>0.12323943661971831</v>
      </c>
      <c r="O27" s="34">
        <f t="shared" si="3"/>
        <v>15.100671140939598</v>
      </c>
      <c r="P27" s="9">
        <v>149</v>
      </c>
    </row>
    <row r="28" spans="1:16" ht="26.1" customHeight="1" x14ac:dyDescent="0.25">
      <c r="A28" s="6" t="s">
        <v>147</v>
      </c>
      <c r="B28" s="6" t="s">
        <v>148</v>
      </c>
      <c r="C28" s="8" t="s">
        <v>77</v>
      </c>
      <c r="D28" s="10">
        <f>Monitor!H28</f>
        <v>91.063999999999993</v>
      </c>
      <c r="E28" s="11">
        <f>Monitor!J28</f>
        <v>12.517411644268451</v>
      </c>
      <c r="F28" s="9">
        <f>Monitor!G28</f>
        <v>3507</v>
      </c>
      <c r="G28" s="9">
        <v>3617</v>
      </c>
      <c r="H28" s="34">
        <v>13.9</v>
      </c>
      <c r="I28" s="31">
        <v>2.1</v>
      </c>
      <c r="J28" s="8" t="s">
        <v>374</v>
      </c>
      <c r="K28" s="35">
        <v>0.85</v>
      </c>
      <c r="L28" s="36">
        <v>7</v>
      </c>
      <c r="M28" s="36">
        <v>5.6</v>
      </c>
      <c r="N28" s="33">
        <f t="shared" si="2"/>
        <v>0.15107913669064749</v>
      </c>
      <c r="O28" s="34">
        <f t="shared" si="3"/>
        <v>13.488461538461538</v>
      </c>
      <c r="P28" s="9">
        <v>260</v>
      </c>
    </row>
    <row r="29" spans="1:16" ht="26.1" customHeight="1" x14ac:dyDescent="0.25">
      <c r="A29" s="6" t="s">
        <v>151</v>
      </c>
      <c r="B29" s="6" t="s">
        <v>152</v>
      </c>
      <c r="C29" s="8" t="s">
        <v>77</v>
      </c>
      <c r="D29" s="10">
        <f>Monitor!H29</f>
        <v>93.622</v>
      </c>
      <c r="E29" s="11">
        <f>Monitor!J29</f>
        <v>9.2615243002615735</v>
      </c>
      <c r="F29" s="9">
        <f>Monitor!G29</f>
        <v>900</v>
      </c>
      <c r="G29" s="9">
        <v>945</v>
      </c>
      <c r="H29" s="34">
        <v>13.1</v>
      </c>
      <c r="I29" s="31">
        <v>1.69</v>
      </c>
      <c r="J29" s="8" t="s">
        <v>370</v>
      </c>
      <c r="K29" s="35">
        <v>0.9</v>
      </c>
      <c r="L29" s="36">
        <v>7.4</v>
      </c>
      <c r="M29" s="36">
        <v>5.4</v>
      </c>
      <c r="N29" s="33">
        <f t="shared" si="2"/>
        <v>0.12900763358778625</v>
      </c>
      <c r="O29" s="34">
        <f t="shared" si="3"/>
        <v>12.5</v>
      </c>
      <c r="P29" s="9">
        <v>72</v>
      </c>
    </row>
    <row r="30" spans="1:16" ht="26.1" customHeight="1" x14ac:dyDescent="0.25">
      <c r="A30" s="6" t="s">
        <v>156</v>
      </c>
      <c r="B30" s="6" t="s">
        <v>157</v>
      </c>
      <c r="C30" s="8" t="s">
        <v>158</v>
      </c>
      <c r="D30" s="10">
        <f>Monitor!H30</f>
        <v>95.293999999999997</v>
      </c>
      <c r="E30" s="11">
        <f>Monitor!J30</f>
        <v>10.262202773244603</v>
      </c>
      <c r="F30" s="9">
        <f>Monitor!G30</f>
        <v>999</v>
      </c>
      <c r="G30" s="9">
        <v>1180</v>
      </c>
      <c r="H30" s="34">
        <v>23.6</v>
      </c>
      <c r="I30" s="31">
        <v>2.63</v>
      </c>
      <c r="J30" s="8" t="s">
        <v>370</v>
      </c>
      <c r="K30" s="35">
        <v>0.84</v>
      </c>
      <c r="L30" s="36">
        <v>7.6</v>
      </c>
      <c r="M30" s="36">
        <v>7.1</v>
      </c>
      <c r="N30" s="33">
        <f t="shared" si="2"/>
        <v>0.11144067796610169</v>
      </c>
      <c r="O30" s="34">
        <f t="shared" si="3"/>
        <v>19.98</v>
      </c>
      <c r="P30" s="9">
        <v>50</v>
      </c>
    </row>
    <row r="31" spans="1:16" ht="26.1" customHeight="1" x14ac:dyDescent="0.25">
      <c r="A31" s="6" t="s">
        <v>163</v>
      </c>
      <c r="B31" s="6" t="s">
        <v>164</v>
      </c>
      <c r="C31" s="8" t="s">
        <v>165</v>
      </c>
      <c r="D31" s="10">
        <f>Monitor!H31</f>
        <v>102.417</v>
      </c>
      <c r="E31" s="11">
        <f>Monitor!J31</f>
        <v>7.054066270652938</v>
      </c>
      <c r="F31" s="9">
        <f>Monitor!G31</f>
        <v>3200</v>
      </c>
      <c r="G31" s="9">
        <v>3222</v>
      </c>
      <c r="H31" s="34">
        <v>8.8000000000000007</v>
      </c>
      <c r="I31" s="31">
        <v>1.59</v>
      </c>
      <c r="J31" s="8" t="s">
        <v>370</v>
      </c>
      <c r="K31" s="35">
        <v>0.74</v>
      </c>
      <c r="L31" s="36">
        <v>5.4</v>
      </c>
      <c r="M31" s="36">
        <v>2.7</v>
      </c>
      <c r="N31" s="33">
        <f t="shared" si="2"/>
        <v>0.18068181818181817</v>
      </c>
      <c r="O31" s="34">
        <f t="shared" si="3"/>
        <v>8.7431693989071047</v>
      </c>
      <c r="P31" s="9">
        <v>366</v>
      </c>
    </row>
    <row r="32" spans="1:16" ht="26.1" customHeight="1" x14ac:dyDescent="0.25">
      <c r="A32" s="6" t="s">
        <v>169</v>
      </c>
      <c r="B32" s="6" t="s">
        <v>170</v>
      </c>
      <c r="C32" s="8" t="s">
        <v>58</v>
      </c>
      <c r="D32" s="10">
        <f>Monitor!H32</f>
        <v>89.656999999999996</v>
      </c>
      <c r="E32" s="11">
        <f>Monitor!J32</f>
        <v>9.6972191398590439</v>
      </c>
      <c r="F32" s="9">
        <f>Monitor!G32</f>
        <v>715</v>
      </c>
      <c r="G32" s="9">
        <v>738</v>
      </c>
      <c r="H32" s="34">
        <v>15.4</v>
      </c>
      <c r="I32" s="31">
        <v>1.95</v>
      </c>
      <c r="J32" s="8" t="s">
        <v>370</v>
      </c>
      <c r="K32" s="35">
        <v>0.82</v>
      </c>
      <c r="L32" s="36">
        <v>8.9</v>
      </c>
      <c r="M32" s="36">
        <v>7.3</v>
      </c>
      <c r="N32" s="33">
        <f t="shared" si="2"/>
        <v>0.12662337662337661</v>
      </c>
      <c r="O32" s="34">
        <f t="shared" si="3"/>
        <v>14.895833333333334</v>
      </c>
      <c r="P32" s="9">
        <v>48</v>
      </c>
    </row>
    <row r="34" spans="1:16" x14ac:dyDescent="0.25">
      <c r="A34" s="4" t="s">
        <v>175</v>
      </c>
      <c r="B34" s="5"/>
      <c r="C34" s="5"/>
      <c r="D34" s="5"/>
      <c r="E34" s="5"/>
      <c r="F34" s="5"/>
      <c r="G34" s="5"/>
      <c r="H34" s="5"/>
      <c r="I34" s="5"/>
      <c r="J34" s="5"/>
      <c r="K34" s="5"/>
      <c r="L34" s="5"/>
      <c r="M34" s="5"/>
      <c r="N34" s="5"/>
      <c r="O34" s="5"/>
      <c r="P34" s="5"/>
    </row>
    <row r="35" spans="1:16" ht="26.1" customHeight="1" x14ac:dyDescent="0.25">
      <c r="A35" s="6" t="s">
        <v>176</v>
      </c>
      <c r="B35" s="6" t="s">
        <v>177</v>
      </c>
      <c r="C35" s="8" t="s">
        <v>77</v>
      </c>
      <c r="D35" s="10">
        <f>Monitor!H35</f>
        <v>81.122</v>
      </c>
      <c r="E35" s="11">
        <f>Monitor!J35</f>
        <v>15.566072564600406</v>
      </c>
      <c r="F35" s="9">
        <f>Monitor!G35</f>
        <v>2750</v>
      </c>
      <c r="G35" s="8"/>
      <c r="H35" s="8"/>
      <c r="I35" s="8"/>
      <c r="J35" s="8"/>
      <c r="K35" s="8"/>
      <c r="L35" s="8"/>
      <c r="M35" s="8"/>
      <c r="N35" s="8"/>
      <c r="O35" s="8"/>
      <c r="P35" s="8"/>
    </row>
    <row r="36" spans="1:16" ht="26.1" customHeight="1" x14ac:dyDescent="0.25">
      <c r="A36" s="6" t="s">
        <v>180</v>
      </c>
      <c r="B36" s="6" t="s">
        <v>181</v>
      </c>
      <c r="C36" s="8" t="s">
        <v>58</v>
      </c>
      <c r="D36" s="10">
        <f>Monitor!H36</f>
        <v>91.99</v>
      </c>
      <c r="E36" s="11">
        <f>Monitor!J36</f>
        <v>7.1286629885702366</v>
      </c>
      <c r="F36" s="9">
        <f>Monitor!G36</f>
        <v>3500</v>
      </c>
      <c r="G36" s="8"/>
      <c r="H36" s="8"/>
      <c r="I36" s="8"/>
      <c r="J36" s="8"/>
      <c r="K36" s="8"/>
      <c r="L36" s="8"/>
      <c r="M36" s="8"/>
      <c r="N36" s="8"/>
      <c r="O36" s="8"/>
      <c r="P36"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6"/>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52" customWidth="1"/>
    <col min="2" max="2" width="9" customWidth="1"/>
    <col min="3" max="3" width="28" customWidth="1"/>
    <col min="4" max="5" width="9" customWidth="1"/>
    <col min="6" max="6" width="10" customWidth="1"/>
    <col min="7" max="8" width="9" customWidth="1"/>
    <col min="9" max="10" width="10" customWidth="1"/>
    <col min="11" max="11" width="9" customWidth="1"/>
    <col min="12" max="15" width="11" customWidth="1"/>
  </cols>
  <sheetData>
    <row r="1" spans="1:15" ht="18.75" x14ac:dyDescent="0.3">
      <c r="A1" s="1" t="s">
        <v>375</v>
      </c>
    </row>
    <row r="2" spans="1:15" x14ac:dyDescent="0.25">
      <c r="A2" s="2" t="s">
        <v>376</v>
      </c>
    </row>
    <row r="4" spans="1:15" ht="39.950000000000003" customHeight="1" x14ac:dyDescent="0.25">
      <c r="A4" s="3" t="s">
        <v>2</v>
      </c>
      <c r="B4" s="3" t="s">
        <v>3</v>
      </c>
      <c r="C4" s="3" t="s">
        <v>4</v>
      </c>
      <c r="D4" s="3" t="s">
        <v>377</v>
      </c>
      <c r="E4" s="3" t="s">
        <v>378</v>
      </c>
      <c r="F4" s="3" t="s">
        <v>379</v>
      </c>
      <c r="G4" s="3" t="s">
        <v>380</v>
      </c>
      <c r="H4" s="3" t="s">
        <v>381</v>
      </c>
      <c r="I4" s="3" t="s">
        <v>382</v>
      </c>
      <c r="J4" s="3" t="s">
        <v>9</v>
      </c>
      <c r="K4" s="3" t="s">
        <v>11</v>
      </c>
      <c r="L4" s="3" t="s">
        <v>383</v>
      </c>
      <c r="M4" s="3" t="s">
        <v>384</v>
      </c>
      <c r="N4" s="3" t="s">
        <v>385</v>
      </c>
      <c r="O4" s="3" t="s">
        <v>386</v>
      </c>
    </row>
    <row r="5" spans="1:15" x14ac:dyDescent="0.25">
      <c r="A5" s="4" t="s">
        <v>28</v>
      </c>
      <c r="B5" s="5"/>
      <c r="C5" s="5"/>
      <c r="D5" s="5"/>
      <c r="E5" s="5"/>
      <c r="F5" s="5"/>
      <c r="G5" s="5"/>
      <c r="H5" s="5"/>
      <c r="I5" s="5"/>
      <c r="J5" s="5"/>
      <c r="K5" s="5"/>
      <c r="L5" s="5"/>
      <c r="M5" s="5"/>
      <c r="N5" s="5"/>
      <c r="O5" s="5"/>
    </row>
    <row r="6" spans="1:15" ht="26.1" customHeight="1" x14ac:dyDescent="0.25">
      <c r="A6" s="6" t="s">
        <v>29</v>
      </c>
      <c r="B6" s="6" t="s">
        <v>30</v>
      </c>
      <c r="C6" s="8" t="s">
        <v>31</v>
      </c>
      <c r="D6" s="31">
        <v>96.42</v>
      </c>
      <c r="E6" s="31">
        <v>6.59</v>
      </c>
      <c r="F6" s="8">
        <v>185</v>
      </c>
      <c r="G6" s="31">
        <v>93.65</v>
      </c>
      <c r="H6" s="31">
        <v>6.99</v>
      </c>
      <c r="I6" s="8">
        <v>200</v>
      </c>
      <c r="J6" s="11">
        <f>Monitor!H6</f>
        <v>92.424000000000007</v>
      </c>
      <c r="K6" s="11">
        <f>Monitor!J6</f>
        <v>6.9070348261432164</v>
      </c>
      <c r="L6" s="32">
        <f t="shared" ref="L6:L12" si="0">IF(ISNUMBER(J6),J6-G6,"")</f>
        <v>-1.2259999999999991</v>
      </c>
      <c r="M6" s="15">
        <f t="shared" ref="M6:M12" si="1">IF(ISNUMBER(K6),(K6-H6)*100,"")</f>
        <v>-8.2965173856783814</v>
      </c>
      <c r="N6" s="15">
        <f>IF(ISNUMBER(K6),(K6-E6)*100,"")</f>
        <v>31.703482614321654</v>
      </c>
      <c r="O6" s="32">
        <f>IF(ISNUMBER(J6),J6-D6,"")</f>
        <v>-3.9959999999999951</v>
      </c>
    </row>
    <row r="7" spans="1:15" ht="26.1" customHeight="1" x14ac:dyDescent="0.25">
      <c r="A7" s="6" t="s">
        <v>36</v>
      </c>
      <c r="B7" s="6" t="s">
        <v>37</v>
      </c>
      <c r="C7" s="8" t="s">
        <v>38</v>
      </c>
      <c r="D7" s="31">
        <v>97.46</v>
      </c>
      <c r="E7" s="31">
        <v>6.54</v>
      </c>
      <c r="F7" s="8">
        <v>184</v>
      </c>
      <c r="G7" s="31">
        <v>96.15</v>
      </c>
      <c r="H7" s="31">
        <v>6.74</v>
      </c>
      <c r="I7" s="8">
        <v>178</v>
      </c>
      <c r="J7" s="11">
        <f>Monitor!H7</f>
        <v>93.918999999999997</v>
      </c>
      <c r="K7" s="11">
        <f>Monitor!J7</f>
        <v>6.8227401754863894</v>
      </c>
      <c r="L7" s="32">
        <f t="shared" si="0"/>
        <v>-2.2310000000000088</v>
      </c>
      <c r="M7" s="15">
        <f t="shared" si="1"/>
        <v>8.2740175486389234</v>
      </c>
      <c r="N7" s="15">
        <f>IF(ISNUMBER(K7),(K7-E7)*100,"")</f>
        <v>28.274017548638941</v>
      </c>
      <c r="O7" s="32">
        <f>IF(ISNUMBER(J7),J7-D7,"")</f>
        <v>-3.5409999999999968</v>
      </c>
    </row>
    <row r="8" spans="1:15" ht="26.1" customHeight="1" x14ac:dyDescent="0.25">
      <c r="A8" s="6" t="s">
        <v>43</v>
      </c>
      <c r="B8" s="6" t="s">
        <v>44</v>
      </c>
      <c r="C8" s="8" t="s">
        <v>45</v>
      </c>
      <c r="D8" s="31">
        <v>97.07</v>
      </c>
      <c r="E8" s="31">
        <v>6.89</v>
      </c>
      <c r="F8" s="8">
        <v>197</v>
      </c>
      <c r="G8" s="31">
        <v>94.73</v>
      </c>
      <c r="H8" s="31">
        <v>7.15</v>
      </c>
      <c r="I8" s="8">
        <v>205</v>
      </c>
      <c r="J8" s="11">
        <f>Monitor!H8</f>
        <v>91.908000000000001</v>
      </c>
      <c r="K8" s="11">
        <f>Monitor!J8</f>
        <v>7.4801613526308399</v>
      </c>
      <c r="L8" s="32">
        <f t="shared" si="0"/>
        <v>-2.8220000000000027</v>
      </c>
      <c r="M8" s="15">
        <f t="shared" si="1"/>
        <v>33.016135263083953</v>
      </c>
      <c r="N8" s="15">
        <f>IF(ISNUMBER(K8),(K8-E8)*100,"")</f>
        <v>59.016135263084024</v>
      </c>
      <c r="O8" s="32">
        <f>IF(ISNUMBER(J8),J8-D8,"")</f>
        <v>-5.1619999999999919</v>
      </c>
    </row>
    <row r="9" spans="1:15" ht="26.1" customHeight="1" x14ac:dyDescent="0.25">
      <c r="A9" s="6" t="s">
        <v>51</v>
      </c>
      <c r="B9" s="6" t="s">
        <v>52</v>
      </c>
      <c r="C9" s="8" t="s">
        <v>45</v>
      </c>
      <c r="D9" s="31">
        <v>104.11</v>
      </c>
      <c r="E9" s="31">
        <v>7.09</v>
      </c>
      <c r="F9" s="8">
        <v>217</v>
      </c>
      <c r="G9" s="31">
        <v>103.65</v>
      </c>
      <c r="H9" s="31">
        <v>7.22</v>
      </c>
      <c r="I9" s="8">
        <v>222</v>
      </c>
      <c r="J9" s="11">
        <f>Monitor!H9</f>
        <v>98.998999999999995</v>
      </c>
      <c r="K9" s="11">
        <f>Monitor!J9</f>
        <v>7.6225604360279799</v>
      </c>
      <c r="L9" s="32">
        <f t="shared" si="0"/>
        <v>-4.6510000000000105</v>
      </c>
      <c r="M9" s="15">
        <f t="shared" si="1"/>
        <v>40.256043602798016</v>
      </c>
      <c r="N9" s="15">
        <f>IF(ISNUMBER(K9),(K9-E9)*100,"")</f>
        <v>53.256043602798009</v>
      </c>
      <c r="O9" s="32">
        <f>IF(ISNUMBER(J9),J9-D9,"")</f>
        <v>-5.1110000000000042</v>
      </c>
    </row>
    <row r="10" spans="1:15" ht="26.1" customHeight="1" x14ac:dyDescent="0.25">
      <c r="A10" s="6" t="s">
        <v>56</v>
      </c>
      <c r="B10" s="6" t="s">
        <v>57</v>
      </c>
      <c r="C10" s="8" t="s">
        <v>58</v>
      </c>
      <c r="D10" s="31">
        <v>96.97</v>
      </c>
      <c r="E10" s="31">
        <v>7.87</v>
      </c>
      <c r="F10" s="8">
        <v>271</v>
      </c>
      <c r="G10" s="31">
        <v>94.25</v>
      </c>
      <c r="H10" s="31">
        <v>8.2100000000000009</v>
      </c>
      <c r="I10" s="8">
        <v>279</v>
      </c>
      <c r="J10" s="11">
        <f>Monitor!H10</f>
        <v>87.247</v>
      </c>
      <c r="K10" s="11">
        <f>Monitor!J10</f>
        <v>8.9678815625000947</v>
      </c>
      <c r="L10" s="32">
        <f t="shared" si="0"/>
        <v>-7.0030000000000001</v>
      </c>
      <c r="M10" s="15">
        <f t="shared" si="1"/>
        <v>75.788156250009393</v>
      </c>
      <c r="N10" s="15">
        <f>IF(ISNUMBER(K10),(K10-E10)*100,"")</f>
        <v>109.78815625000946</v>
      </c>
      <c r="O10" s="32">
        <f>IF(ISNUMBER(J10),J10-D10,"")</f>
        <v>-9.722999999999999</v>
      </c>
    </row>
    <row r="11" spans="1:15" ht="26.1" customHeight="1" x14ac:dyDescent="0.25">
      <c r="A11" s="6" t="s">
        <v>63</v>
      </c>
      <c r="B11" s="6" t="s">
        <v>64</v>
      </c>
      <c r="C11" s="8" t="s">
        <v>65</v>
      </c>
      <c r="D11" s="31"/>
      <c r="E11" s="31"/>
      <c r="F11" s="8"/>
      <c r="G11" s="31">
        <v>98.88</v>
      </c>
      <c r="H11" s="31">
        <v>6.9</v>
      </c>
      <c r="I11" s="8">
        <v>176</v>
      </c>
      <c r="J11" s="11">
        <f>Monitor!H11</f>
        <v>97.165999999999997</v>
      </c>
      <c r="K11" s="11">
        <f>Monitor!J11</f>
        <v>7.3295727076693167</v>
      </c>
      <c r="L11" s="32">
        <f t="shared" si="0"/>
        <v>-1.7139999999999986</v>
      </c>
      <c r="M11" s="15">
        <f t="shared" si="1"/>
        <v>42.957270766931629</v>
      </c>
      <c r="N11" s="15"/>
      <c r="O11" s="32"/>
    </row>
    <row r="12" spans="1:15" ht="26.1" customHeight="1" x14ac:dyDescent="0.25">
      <c r="A12" s="6" t="s">
        <v>70</v>
      </c>
      <c r="B12" s="6" t="s">
        <v>71</v>
      </c>
      <c r="C12" s="8" t="s">
        <v>65</v>
      </c>
      <c r="D12" s="31">
        <v>91.83</v>
      </c>
      <c r="E12" s="31">
        <v>6.87</v>
      </c>
      <c r="F12" s="8">
        <v>219</v>
      </c>
      <c r="G12" s="31">
        <v>89.96</v>
      </c>
      <c r="H12" s="31">
        <v>7.17</v>
      </c>
      <c r="I12" s="8">
        <v>222</v>
      </c>
      <c r="J12" s="11">
        <f>Monitor!H12</f>
        <v>87.991</v>
      </c>
      <c r="K12" s="11">
        <f>Monitor!J12</f>
        <v>7.5219323476729567</v>
      </c>
      <c r="L12" s="32">
        <f t="shared" si="0"/>
        <v>-1.9689999999999941</v>
      </c>
      <c r="M12" s="15">
        <f t="shared" si="1"/>
        <v>35.193234767295678</v>
      </c>
      <c r="N12" s="15">
        <f>IF(ISNUMBER(K12),(K12-E12)*100,"")</f>
        <v>65.193234767295664</v>
      </c>
      <c r="O12" s="32">
        <f>IF(ISNUMBER(J12),J12-D12,"")</f>
        <v>-3.8389999999999986</v>
      </c>
    </row>
    <row r="14" spans="1:15" x14ac:dyDescent="0.25">
      <c r="A14" s="4" t="s">
        <v>74</v>
      </c>
      <c r="B14" s="5"/>
      <c r="C14" s="5"/>
      <c r="D14" s="5"/>
      <c r="E14" s="5"/>
      <c r="F14" s="5"/>
      <c r="G14" s="5"/>
      <c r="H14" s="5"/>
      <c r="I14" s="5"/>
      <c r="J14" s="5"/>
      <c r="K14" s="5"/>
      <c r="L14" s="5"/>
      <c r="M14" s="5"/>
      <c r="N14" s="5"/>
      <c r="O14" s="5"/>
    </row>
    <row r="15" spans="1:15" ht="26.1" customHeight="1" x14ac:dyDescent="0.25">
      <c r="A15" s="6" t="s">
        <v>75</v>
      </c>
      <c r="B15" s="6" t="s">
        <v>76</v>
      </c>
      <c r="C15" s="8" t="s">
        <v>77</v>
      </c>
      <c r="D15" s="31">
        <v>106.57</v>
      </c>
      <c r="E15" s="31">
        <v>7.29</v>
      </c>
      <c r="F15" s="8">
        <v>240</v>
      </c>
      <c r="G15" s="31">
        <v>105.29</v>
      </c>
      <c r="H15" s="31">
        <v>7.6</v>
      </c>
      <c r="I15" s="8">
        <v>236</v>
      </c>
      <c r="J15" s="11">
        <f>Monitor!H15</f>
        <v>102.776</v>
      </c>
      <c r="K15" s="11">
        <f>Monitor!J15</f>
        <v>8.4534708307236794</v>
      </c>
      <c r="L15" s="32">
        <f t="shared" ref="L15:L32" si="2">IF(ISNUMBER(J15),J15-G15,"")</f>
        <v>-2.51400000000001</v>
      </c>
      <c r="M15" s="15">
        <f t="shared" ref="M15:M32" si="3">IF(ISNUMBER(K15),(K15-H15)*100,"")</f>
        <v>85.34708307236798</v>
      </c>
      <c r="N15" s="15">
        <f t="shared" ref="N15:N26" si="4">IF(ISNUMBER(K15),(K15-E15)*100,"")</f>
        <v>116.34708307236794</v>
      </c>
      <c r="O15" s="32">
        <f t="shared" ref="O15:O26" si="5">IF(ISNUMBER(J15),J15-D15,"")</f>
        <v>-3.7939999999999969</v>
      </c>
    </row>
    <row r="16" spans="1:15" ht="26.1" customHeight="1" x14ac:dyDescent="0.25">
      <c r="A16" s="6" t="s">
        <v>83</v>
      </c>
      <c r="B16" s="6" t="s">
        <v>84</v>
      </c>
      <c r="C16" s="8" t="s">
        <v>58</v>
      </c>
      <c r="D16" s="31">
        <v>98.15</v>
      </c>
      <c r="E16" s="31">
        <v>7.28</v>
      </c>
      <c r="F16" s="8">
        <v>289</v>
      </c>
      <c r="G16" s="31">
        <v>96</v>
      </c>
      <c r="H16" s="31">
        <v>7.93</v>
      </c>
      <c r="I16" s="8">
        <v>314</v>
      </c>
      <c r="J16" s="11">
        <f>Monitor!H16</f>
        <v>95.153000000000006</v>
      </c>
      <c r="K16" s="11">
        <f>Monitor!J16</f>
        <v>8.1104983405269078</v>
      </c>
      <c r="L16" s="32">
        <f t="shared" si="2"/>
        <v>-0.8469999999999942</v>
      </c>
      <c r="M16" s="15">
        <f t="shared" si="3"/>
        <v>18.049834052690805</v>
      </c>
      <c r="N16" s="15">
        <f t="shared" si="4"/>
        <v>83.049834052690755</v>
      </c>
      <c r="O16" s="32">
        <f t="shared" si="5"/>
        <v>-2.9969999999999999</v>
      </c>
    </row>
    <row r="17" spans="1:15" ht="26.1" customHeight="1" x14ac:dyDescent="0.25">
      <c r="A17" s="6" t="s">
        <v>89</v>
      </c>
      <c r="B17" s="6" t="s">
        <v>90</v>
      </c>
      <c r="C17" s="8" t="s">
        <v>77</v>
      </c>
      <c r="D17" s="31">
        <v>98.33</v>
      </c>
      <c r="E17" s="31">
        <v>7.44</v>
      </c>
      <c r="F17" s="8">
        <v>325</v>
      </c>
      <c r="G17" s="31">
        <v>95.75</v>
      </c>
      <c r="H17" s="31">
        <v>8.19</v>
      </c>
      <c r="I17" s="8">
        <v>338</v>
      </c>
      <c r="J17" s="11">
        <f>Monitor!H17</f>
        <v>92.835999999999999</v>
      </c>
      <c r="K17" s="11">
        <f>Monitor!J17</f>
        <v>8.8313829651650551</v>
      </c>
      <c r="L17" s="32">
        <f t="shared" si="2"/>
        <v>-2.9140000000000015</v>
      </c>
      <c r="M17" s="15">
        <f t="shared" si="3"/>
        <v>64.138296516505562</v>
      </c>
      <c r="N17" s="15">
        <f t="shared" si="4"/>
        <v>139.13829651650548</v>
      </c>
      <c r="O17" s="32">
        <f t="shared" si="5"/>
        <v>-5.4939999999999998</v>
      </c>
    </row>
    <row r="18" spans="1:15" ht="26.1" customHeight="1" x14ac:dyDescent="0.25">
      <c r="A18" s="6" t="s">
        <v>92</v>
      </c>
      <c r="B18" s="6" t="s">
        <v>93</v>
      </c>
      <c r="C18" s="8" t="s">
        <v>38</v>
      </c>
      <c r="D18" s="31">
        <v>102.45</v>
      </c>
      <c r="E18" s="31">
        <v>6.46</v>
      </c>
      <c r="F18" s="8">
        <v>181</v>
      </c>
      <c r="G18" s="31">
        <v>101.5</v>
      </c>
      <c r="H18" s="31">
        <v>6.72</v>
      </c>
      <c r="I18" s="8">
        <v>169</v>
      </c>
      <c r="J18" s="11">
        <f>Monitor!H18</f>
        <v>99.087999999999994</v>
      </c>
      <c r="K18" s="11">
        <f>Monitor!J18</f>
        <v>7.3958153800908946</v>
      </c>
      <c r="L18" s="32">
        <f t="shared" si="2"/>
        <v>-2.4120000000000061</v>
      </c>
      <c r="M18" s="15">
        <f t="shared" si="3"/>
        <v>67.581538009089485</v>
      </c>
      <c r="N18" s="15">
        <f t="shared" si="4"/>
        <v>93.581538009089456</v>
      </c>
      <c r="O18" s="32">
        <f t="shared" si="5"/>
        <v>-3.362000000000009</v>
      </c>
    </row>
    <row r="19" spans="1:15" ht="26.1" customHeight="1" x14ac:dyDescent="0.25">
      <c r="A19" s="6" t="s">
        <v>97</v>
      </c>
      <c r="B19" s="6" t="s">
        <v>98</v>
      </c>
      <c r="C19" s="8" t="s">
        <v>99</v>
      </c>
      <c r="D19" s="31">
        <v>100.06</v>
      </c>
      <c r="E19" s="31">
        <v>6.1</v>
      </c>
      <c r="F19" s="8">
        <v>164</v>
      </c>
      <c r="G19" s="31">
        <v>99.75</v>
      </c>
      <c r="H19" s="31">
        <v>6.22</v>
      </c>
      <c r="I19" s="8">
        <v>127</v>
      </c>
      <c r="J19" s="11">
        <f>Monitor!H19</f>
        <v>98.352000000000004</v>
      </c>
      <c r="K19" s="11">
        <f>Monitor!J19</f>
        <v>6.5859492563343176</v>
      </c>
      <c r="L19" s="32">
        <f t="shared" si="2"/>
        <v>-1.3979999999999961</v>
      </c>
      <c r="M19" s="15">
        <f t="shared" si="3"/>
        <v>36.594925633431785</v>
      </c>
      <c r="N19" s="15">
        <f t="shared" si="4"/>
        <v>48.594925633431799</v>
      </c>
      <c r="O19" s="32">
        <f t="shared" si="5"/>
        <v>-1.7079999999999984</v>
      </c>
    </row>
    <row r="20" spans="1:15" ht="26.1" customHeight="1" x14ac:dyDescent="0.25">
      <c r="A20" s="6" t="s">
        <v>104</v>
      </c>
      <c r="B20" s="6" t="s">
        <v>105</v>
      </c>
      <c r="C20" s="8" t="s">
        <v>99</v>
      </c>
      <c r="D20" s="31">
        <v>98.17</v>
      </c>
      <c r="E20" s="31">
        <v>6.44</v>
      </c>
      <c r="F20" s="8">
        <v>199</v>
      </c>
      <c r="G20" s="31">
        <v>97.13</v>
      </c>
      <c r="H20" s="31">
        <v>6.72</v>
      </c>
      <c r="I20" s="8">
        <v>186</v>
      </c>
      <c r="J20" s="11">
        <f>Monitor!H20</f>
        <v>95.265000000000001</v>
      </c>
      <c r="K20" s="11">
        <f>Monitor!J20</f>
        <v>7.217247171455174</v>
      </c>
      <c r="L20" s="32">
        <f t="shared" si="2"/>
        <v>-1.8649999999999949</v>
      </c>
      <c r="M20" s="15">
        <f t="shared" si="3"/>
        <v>49.724717145517431</v>
      </c>
      <c r="N20" s="15">
        <f t="shared" si="4"/>
        <v>77.72471714551736</v>
      </c>
      <c r="O20" s="32">
        <f t="shared" si="5"/>
        <v>-2.9050000000000011</v>
      </c>
    </row>
    <row r="21" spans="1:15" ht="26.1" customHeight="1" x14ac:dyDescent="0.25">
      <c r="A21" s="6" t="s">
        <v>108</v>
      </c>
      <c r="B21" s="6" t="s">
        <v>109</v>
      </c>
      <c r="C21" s="8" t="s">
        <v>77</v>
      </c>
      <c r="D21" s="31">
        <v>98.51</v>
      </c>
      <c r="E21" s="31">
        <v>8.15</v>
      </c>
      <c r="F21" s="8">
        <v>386</v>
      </c>
      <c r="G21" s="31">
        <v>97.67</v>
      </c>
      <c r="H21" s="31">
        <v>8.41</v>
      </c>
      <c r="I21" s="8">
        <v>357</v>
      </c>
      <c r="J21" s="11">
        <f>Monitor!H21</f>
        <v>93.155000000000001</v>
      </c>
      <c r="K21" s="11">
        <f>Monitor!J21</f>
        <v>9.6475756359011946</v>
      </c>
      <c r="L21" s="32">
        <f t="shared" si="2"/>
        <v>-4.5150000000000006</v>
      </c>
      <c r="M21" s="15">
        <f t="shared" si="3"/>
        <v>123.75756359011945</v>
      </c>
      <c r="N21" s="15">
        <f t="shared" si="4"/>
        <v>149.75756359011942</v>
      </c>
      <c r="O21" s="32">
        <f t="shared" si="5"/>
        <v>-5.355000000000004</v>
      </c>
    </row>
    <row r="22" spans="1:15" ht="26.1" customHeight="1" x14ac:dyDescent="0.25">
      <c r="A22" s="6" t="s">
        <v>113</v>
      </c>
      <c r="B22" s="6" t="s">
        <v>114</v>
      </c>
      <c r="C22" s="8" t="s">
        <v>115</v>
      </c>
      <c r="D22" s="31">
        <v>94.94</v>
      </c>
      <c r="E22" s="31">
        <v>9</v>
      </c>
      <c r="F22" s="8">
        <v>462</v>
      </c>
      <c r="G22" s="31">
        <v>94.25</v>
      </c>
      <c r="H22" s="31">
        <v>9.3000000000000007</v>
      </c>
      <c r="I22" s="8">
        <v>453</v>
      </c>
      <c r="J22" s="11">
        <f>Monitor!H22</f>
        <v>87.945999999999998</v>
      </c>
      <c r="K22" s="11">
        <f>Monitor!J22</f>
        <v>10.899612829896141</v>
      </c>
      <c r="L22" s="32">
        <f t="shared" si="2"/>
        <v>-6.304000000000002</v>
      </c>
      <c r="M22" s="15">
        <f t="shared" si="3"/>
        <v>159.96128298961398</v>
      </c>
      <c r="N22" s="15">
        <f t="shared" si="4"/>
        <v>189.96128298961406</v>
      </c>
      <c r="O22" s="32">
        <f t="shared" si="5"/>
        <v>-6.9939999999999998</v>
      </c>
    </row>
    <row r="23" spans="1:15" ht="26.1" customHeight="1" x14ac:dyDescent="0.25">
      <c r="A23" s="6" t="s">
        <v>120</v>
      </c>
      <c r="B23" s="6" t="s">
        <v>121</v>
      </c>
      <c r="C23" s="8" t="s">
        <v>31</v>
      </c>
      <c r="D23" s="31">
        <v>93.53</v>
      </c>
      <c r="E23" s="31">
        <v>7.62</v>
      </c>
      <c r="F23" s="8">
        <v>330</v>
      </c>
      <c r="G23" s="31">
        <v>92.63</v>
      </c>
      <c r="H23" s="31">
        <v>7.93</v>
      </c>
      <c r="I23" s="8">
        <v>315</v>
      </c>
      <c r="J23" s="11">
        <f>Monitor!H23</f>
        <v>89.108999999999995</v>
      </c>
      <c r="K23" s="11">
        <f>Monitor!J23</f>
        <v>8.81757170183654</v>
      </c>
      <c r="L23" s="32">
        <f t="shared" si="2"/>
        <v>-3.5210000000000008</v>
      </c>
      <c r="M23" s="15">
        <f t="shared" si="3"/>
        <v>88.75717018365404</v>
      </c>
      <c r="N23" s="15">
        <f t="shared" si="4"/>
        <v>119.757170183654</v>
      </c>
      <c r="O23" s="32">
        <f t="shared" si="5"/>
        <v>-4.4210000000000065</v>
      </c>
    </row>
    <row r="24" spans="1:15" ht="26.1" customHeight="1" x14ac:dyDescent="0.25">
      <c r="A24" s="6" t="s">
        <v>126</v>
      </c>
      <c r="B24" s="6" t="s">
        <v>127</v>
      </c>
      <c r="C24" s="8" t="s">
        <v>31</v>
      </c>
      <c r="D24" s="31">
        <v>94.48</v>
      </c>
      <c r="E24" s="31">
        <v>7.94</v>
      </c>
      <c r="F24" s="8">
        <v>357</v>
      </c>
      <c r="G24" s="31">
        <v>93.75</v>
      </c>
      <c r="H24" s="31">
        <v>8.1999999999999993</v>
      </c>
      <c r="I24" s="8">
        <v>341</v>
      </c>
      <c r="J24" s="11">
        <f>Monitor!H24</f>
        <v>90.215000000000003</v>
      </c>
      <c r="K24" s="11">
        <f>Monitor!J24</f>
        <v>9.2035095298589091</v>
      </c>
      <c r="L24" s="32">
        <f t="shared" si="2"/>
        <v>-3.5349999999999966</v>
      </c>
      <c r="M24" s="15">
        <f t="shared" si="3"/>
        <v>100.35095298589098</v>
      </c>
      <c r="N24" s="15">
        <f t="shared" si="4"/>
        <v>126.35095298589087</v>
      </c>
      <c r="O24" s="32">
        <f t="shared" si="5"/>
        <v>-4.2650000000000006</v>
      </c>
    </row>
    <row r="25" spans="1:15" ht="26.1" customHeight="1" x14ac:dyDescent="0.25">
      <c r="A25" s="6" t="s">
        <v>130</v>
      </c>
      <c r="B25" s="6" t="s">
        <v>131</v>
      </c>
      <c r="C25" s="8" t="s">
        <v>38</v>
      </c>
      <c r="D25" s="31">
        <v>101.33</v>
      </c>
      <c r="E25" s="31">
        <v>6.8</v>
      </c>
      <c r="F25" s="8">
        <v>232</v>
      </c>
      <c r="G25" s="31">
        <v>100.25</v>
      </c>
      <c r="H25" s="31">
        <v>7.19</v>
      </c>
      <c r="I25" s="8">
        <v>234</v>
      </c>
      <c r="J25" s="11">
        <f>Monitor!H25</f>
        <v>99.373999999999995</v>
      </c>
      <c r="K25" s="11">
        <f>Monitor!J25</f>
        <v>7.458760599639918</v>
      </c>
      <c r="L25" s="32">
        <f t="shared" si="2"/>
        <v>-0.87600000000000477</v>
      </c>
      <c r="M25" s="15">
        <f t="shared" si="3"/>
        <v>26.876059963991761</v>
      </c>
      <c r="N25" s="15">
        <f t="shared" si="4"/>
        <v>65.876059963991821</v>
      </c>
      <c r="O25" s="32">
        <f t="shared" si="5"/>
        <v>-1.9560000000000031</v>
      </c>
    </row>
    <row r="26" spans="1:15" ht="26.1" customHeight="1" x14ac:dyDescent="0.25">
      <c r="A26" s="6" t="s">
        <v>135</v>
      </c>
      <c r="B26" s="6" t="s">
        <v>136</v>
      </c>
      <c r="C26" s="8" t="s">
        <v>38</v>
      </c>
      <c r="D26" s="31">
        <v>96.41</v>
      </c>
      <c r="E26" s="31">
        <v>7.15</v>
      </c>
      <c r="F26" s="8">
        <v>274</v>
      </c>
      <c r="G26" s="31">
        <v>94.63</v>
      </c>
      <c r="H26" s="31">
        <v>7.67</v>
      </c>
      <c r="I26" s="8">
        <v>287</v>
      </c>
      <c r="J26" s="11">
        <f>Monitor!H26</f>
        <v>91.867999999999995</v>
      </c>
      <c r="K26" s="11">
        <f>Monitor!J26</f>
        <v>8.4501542552578037</v>
      </c>
      <c r="L26" s="32">
        <f t="shared" si="2"/>
        <v>-2.7620000000000005</v>
      </c>
      <c r="M26" s="15">
        <f t="shared" si="3"/>
        <v>78.015425525780387</v>
      </c>
      <c r="N26" s="15">
        <f t="shared" si="4"/>
        <v>130.01542552578033</v>
      </c>
      <c r="O26" s="32">
        <f t="shared" si="5"/>
        <v>-4.5420000000000016</v>
      </c>
    </row>
    <row r="27" spans="1:15" ht="26.1" customHeight="1" x14ac:dyDescent="0.25">
      <c r="A27" s="6" t="s">
        <v>140</v>
      </c>
      <c r="B27" s="6" t="s">
        <v>141</v>
      </c>
      <c r="C27" s="8" t="s">
        <v>142</v>
      </c>
      <c r="D27" s="31"/>
      <c r="E27" s="31"/>
      <c r="F27" s="8"/>
      <c r="G27" s="31">
        <v>92.5</v>
      </c>
      <c r="H27" s="31">
        <v>10.86</v>
      </c>
      <c r="I27" s="8">
        <v>606</v>
      </c>
      <c r="J27" s="11">
        <f>Monitor!H27</f>
        <v>85.007999999999996</v>
      </c>
      <c r="K27" s="11">
        <f>Monitor!J27</f>
        <v>13.095812480306121</v>
      </c>
      <c r="L27" s="32">
        <f t="shared" si="2"/>
        <v>-7.4920000000000044</v>
      </c>
      <c r="M27" s="15">
        <f t="shared" si="3"/>
        <v>223.58124803061213</v>
      </c>
      <c r="N27" s="15"/>
      <c r="O27" s="32"/>
    </row>
    <row r="28" spans="1:15" ht="26.1" customHeight="1" x14ac:dyDescent="0.25">
      <c r="A28" s="6" t="s">
        <v>147</v>
      </c>
      <c r="B28" s="6" t="s">
        <v>148</v>
      </c>
      <c r="C28" s="8" t="s">
        <v>77</v>
      </c>
      <c r="D28" s="31">
        <v>101.2</v>
      </c>
      <c r="E28" s="31">
        <v>9.51</v>
      </c>
      <c r="F28" s="8">
        <v>505</v>
      </c>
      <c r="G28" s="31">
        <v>99.25</v>
      </c>
      <c r="H28" s="31">
        <v>10.1</v>
      </c>
      <c r="I28" s="8">
        <v>520</v>
      </c>
      <c r="J28" s="11">
        <f>Monitor!H28</f>
        <v>91.063999999999993</v>
      </c>
      <c r="K28" s="11">
        <f>Monitor!J28</f>
        <v>12.517411644268451</v>
      </c>
      <c r="L28" s="32">
        <f t="shared" si="2"/>
        <v>-8.186000000000007</v>
      </c>
      <c r="M28" s="15">
        <f t="shared" si="3"/>
        <v>241.74116442684516</v>
      </c>
      <c r="N28" s="15">
        <f>IF(ISNUMBER(K28),(K28-E28)*100,"")</f>
        <v>300.7411644268451</v>
      </c>
      <c r="O28" s="32">
        <f>IF(ISNUMBER(J28),J28-D28,"")</f>
        <v>-10.13600000000001</v>
      </c>
    </row>
    <row r="29" spans="1:15" ht="26.1" customHeight="1" x14ac:dyDescent="0.25">
      <c r="A29" s="6" t="s">
        <v>151</v>
      </c>
      <c r="B29" s="6" t="s">
        <v>152</v>
      </c>
      <c r="C29" s="8" t="s">
        <v>77</v>
      </c>
      <c r="D29" s="31">
        <v>97.66</v>
      </c>
      <c r="E29" s="31">
        <v>8.15</v>
      </c>
      <c r="F29" s="8">
        <v>379</v>
      </c>
      <c r="G29" s="31">
        <v>95.63</v>
      </c>
      <c r="H29" s="31">
        <v>8.7899999999999991</v>
      </c>
      <c r="I29" s="8">
        <v>399</v>
      </c>
      <c r="J29" s="11">
        <f>Monitor!H29</f>
        <v>93.622</v>
      </c>
      <c r="K29" s="11">
        <f>Monitor!J29</f>
        <v>9.2615243002615735</v>
      </c>
      <c r="L29" s="32">
        <f t="shared" si="2"/>
        <v>-2.0079999999999956</v>
      </c>
      <c r="M29" s="15">
        <f t="shared" si="3"/>
        <v>47.152430026157433</v>
      </c>
      <c r="N29" s="15">
        <f>IF(ISNUMBER(K29),(K29-E29)*100,"")</f>
        <v>111.1524300261573</v>
      </c>
      <c r="O29" s="32">
        <f>IF(ISNUMBER(J29),J29-D29,"")</f>
        <v>-4.0379999999999967</v>
      </c>
    </row>
    <row r="30" spans="1:15" ht="26.1" customHeight="1" x14ac:dyDescent="0.25">
      <c r="A30" s="6" t="s">
        <v>156</v>
      </c>
      <c r="B30" s="6" t="s">
        <v>157</v>
      </c>
      <c r="C30" s="8" t="s">
        <v>158</v>
      </c>
      <c r="D30" s="31">
        <v>98.94</v>
      </c>
      <c r="E30" s="31">
        <v>9.15</v>
      </c>
      <c r="F30" s="8">
        <v>467</v>
      </c>
      <c r="G30" s="31">
        <v>97.13</v>
      </c>
      <c r="H30" s="31">
        <v>9.66</v>
      </c>
      <c r="I30" s="8">
        <v>482</v>
      </c>
      <c r="J30" s="11">
        <f>Monitor!H30</f>
        <v>95.293999999999997</v>
      </c>
      <c r="K30" s="11">
        <f>Monitor!J30</f>
        <v>10.262202773244603</v>
      </c>
      <c r="L30" s="32">
        <f t="shared" si="2"/>
        <v>-1.8359999999999985</v>
      </c>
      <c r="M30" s="15">
        <f t="shared" si="3"/>
        <v>60.22027732446027</v>
      </c>
      <c r="N30" s="15">
        <f>IF(ISNUMBER(K30),(K30-E30)*100,"")</f>
        <v>111.22027732446026</v>
      </c>
      <c r="O30" s="32">
        <f>IF(ISNUMBER(J30),J30-D30,"")</f>
        <v>-3.6460000000000008</v>
      </c>
    </row>
    <row r="31" spans="1:15" ht="26.1" customHeight="1" x14ac:dyDescent="0.25">
      <c r="A31" s="6" t="s">
        <v>163</v>
      </c>
      <c r="B31" s="6" t="s">
        <v>164</v>
      </c>
      <c r="C31" s="8" t="s">
        <v>165</v>
      </c>
      <c r="D31" s="31">
        <v>104.26</v>
      </c>
      <c r="E31" s="31">
        <v>6.26</v>
      </c>
      <c r="F31" s="8">
        <v>175</v>
      </c>
      <c r="G31" s="31">
        <v>103.9</v>
      </c>
      <c r="H31" s="31">
        <v>6.34</v>
      </c>
      <c r="I31" s="8">
        <v>132</v>
      </c>
      <c r="J31" s="11">
        <f>Monitor!H31</f>
        <v>102.417</v>
      </c>
      <c r="K31" s="11">
        <f>Monitor!J31</f>
        <v>7.054066270652938</v>
      </c>
      <c r="L31" s="32">
        <f t="shared" si="2"/>
        <v>-1.4830000000000041</v>
      </c>
      <c r="M31" s="15">
        <f t="shared" si="3"/>
        <v>71.406627065293819</v>
      </c>
      <c r="N31" s="15">
        <f>IF(ISNUMBER(K31),(K31-E31)*100,"")</f>
        <v>79.406627065293819</v>
      </c>
      <c r="O31" s="32">
        <f>IF(ISNUMBER(J31),J31-D31,"")</f>
        <v>-1.8430000000000035</v>
      </c>
    </row>
    <row r="32" spans="1:15" ht="26.1" customHeight="1" x14ac:dyDescent="0.25">
      <c r="A32" s="6" t="s">
        <v>169</v>
      </c>
      <c r="B32" s="6" t="s">
        <v>170</v>
      </c>
      <c r="C32" s="8" t="s">
        <v>58</v>
      </c>
      <c r="D32" s="31">
        <v>95.81</v>
      </c>
      <c r="E32" s="31">
        <v>8</v>
      </c>
      <c r="F32" s="8">
        <v>361</v>
      </c>
      <c r="G32" s="31">
        <v>92.75</v>
      </c>
      <c r="H32" s="31">
        <v>8.92</v>
      </c>
      <c r="I32" s="8">
        <v>414</v>
      </c>
      <c r="J32" s="11">
        <f>Monitor!H32</f>
        <v>89.656999999999996</v>
      </c>
      <c r="K32" s="11">
        <f>Monitor!J32</f>
        <v>9.6972191398590439</v>
      </c>
      <c r="L32" s="32">
        <f t="shared" si="2"/>
        <v>-3.0930000000000035</v>
      </c>
      <c r="M32" s="15">
        <f t="shared" si="3"/>
        <v>77.721913985904393</v>
      </c>
      <c r="N32" s="15">
        <f>IF(ISNUMBER(K32),(K32-E32)*100,"")</f>
        <v>169.72191398590439</v>
      </c>
      <c r="O32" s="32">
        <f>IF(ISNUMBER(J32),J32-D32,"")</f>
        <v>-6.1530000000000058</v>
      </c>
    </row>
    <row r="34" spans="1:15" x14ac:dyDescent="0.25">
      <c r="A34" s="4" t="s">
        <v>175</v>
      </c>
      <c r="B34" s="5"/>
      <c r="C34" s="5"/>
      <c r="D34" s="5"/>
      <c r="E34" s="5"/>
      <c r="F34" s="5"/>
      <c r="G34" s="5"/>
      <c r="H34" s="5"/>
      <c r="I34" s="5"/>
      <c r="J34" s="5"/>
      <c r="K34" s="5"/>
      <c r="L34" s="5"/>
      <c r="M34" s="5"/>
      <c r="N34" s="5"/>
      <c r="O34" s="5"/>
    </row>
    <row r="35" spans="1:15" ht="26.1" customHeight="1" x14ac:dyDescent="0.25">
      <c r="A35" s="6" t="s">
        <v>176</v>
      </c>
      <c r="B35" s="6" t="s">
        <v>177</v>
      </c>
      <c r="C35" s="8" t="s">
        <v>77</v>
      </c>
      <c r="D35" s="31">
        <v>91.58</v>
      </c>
      <c r="E35" s="31">
        <v>11.98</v>
      </c>
      <c r="F35" s="8">
        <v>752</v>
      </c>
      <c r="G35" s="31">
        <v>90.25</v>
      </c>
      <c r="H35" s="31">
        <v>12.46</v>
      </c>
      <c r="I35" s="8">
        <v>768</v>
      </c>
      <c r="J35" s="11">
        <f>Monitor!H35</f>
        <v>81.122</v>
      </c>
      <c r="K35" s="11">
        <f>Monitor!J35</f>
        <v>15.566072564600406</v>
      </c>
      <c r="L35" s="32">
        <f>IF(ISNUMBER(J35),J35-G35,"")</f>
        <v>-9.1280000000000001</v>
      </c>
      <c r="M35" s="15">
        <f>IF(ISNUMBER(K35),(K35-H35)*100,"")</f>
        <v>310.6072564600405</v>
      </c>
      <c r="N35" s="15">
        <f>IF(ISNUMBER(K35),(K35-E35)*100,"")</f>
        <v>358.6072564600405</v>
      </c>
      <c r="O35" s="32">
        <f>IF(ISNUMBER(J35),J35-D35,"")</f>
        <v>-10.457999999999998</v>
      </c>
    </row>
    <row r="36" spans="1:15" ht="26.1" customHeight="1" x14ac:dyDescent="0.25">
      <c r="A36" s="6" t="s">
        <v>180</v>
      </c>
      <c r="B36" s="6" t="s">
        <v>181</v>
      </c>
      <c r="C36" s="8" t="s">
        <v>58</v>
      </c>
      <c r="D36" s="31">
        <v>95.95</v>
      </c>
      <c r="E36" s="31">
        <v>5.99</v>
      </c>
      <c r="F36" s="8">
        <v>164</v>
      </c>
      <c r="G36" s="31">
        <v>94.96</v>
      </c>
      <c r="H36" s="31">
        <v>6.28</v>
      </c>
      <c r="I36" s="8">
        <v>149</v>
      </c>
      <c r="J36" s="11">
        <f>Monitor!H36</f>
        <v>91.99</v>
      </c>
      <c r="K36" s="11">
        <f>Monitor!J36</f>
        <v>7.1286629885702366</v>
      </c>
      <c r="L36" s="32">
        <f>IF(ISNUMBER(J36),J36-G36,"")</f>
        <v>-2.9699999999999989</v>
      </c>
      <c r="M36" s="15">
        <f>IF(ISNUMBER(K36),(K36-H36)*100,"")</f>
        <v>84.866298857023637</v>
      </c>
      <c r="N36" s="15">
        <f>IF(ISNUMBER(K36),(K36-E36)*100,"")</f>
        <v>113.86629885702364</v>
      </c>
      <c r="O36" s="32">
        <f>IF(ISNUMBER(J36),J36-D36,"")</f>
        <v>-3.960000000000008</v>
      </c>
    </row>
  </sheetData>
  <conditionalFormatting sqref="M5:N36">
    <cfRule type="expression" dxfId="4" priority="1">
      <formula>AND(ISNUMBER(M5),M5&gt;=25)</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1"/>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34" customWidth="1"/>
    <col min="2" max="2" width="30" customWidth="1"/>
    <col min="3" max="3" width="11" customWidth="1"/>
    <col min="4" max="4" width="10" customWidth="1"/>
    <col min="5" max="5" width="8" customWidth="1"/>
    <col min="6" max="6" width="9" customWidth="1"/>
    <col min="7" max="7" width="12" customWidth="1"/>
    <col min="8" max="8" width="10" customWidth="1"/>
    <col min="9" max="9" width="13" customWidth="1"/>
    <col min="10" max="10" width="11" customWidth="1"/>
    <col min="11" max="11" width="13" customWidth="1"/>
    <col min="12" max="12" width="10" customWidth="1"/>
    <col min="13" max="13" width="11" customWidth="1"/>
    <col min="14" max="14" width="9" customWidth="1"/>
    <col min="15" max="15" width="15" customWidth="1"/>
    <col min="16" max="16" width="38" customWidth="1"/>
  </cols>
  <sheetData>
    <row r="1" spans="1:16" ht="18.75" x14ac:dyDescent="0.3">
      <c r="A1" s="1" t="s">
        <v>387</v>
      </c>
    </row>
    <row r="2" spans="1:16" x14ac:dyDescent="0.25">
      <c r="A2" s="2" t="s">
        <v>388</v>
      </c>
    </row>
    <row r="4" spans="1:16" ht="39.950000000000003" customHeight="1" x14ac:dyDescent="0.25">
      <c r="A4" s="3" t="s">
        <v>389</v>
      </c>
      <c r="B4" s="3" t="s">
        <v>390</v>
      </c>
      <c r="C4" s="3" t="s">
        <v>8</v>
      </c>
      <c r="D4" s="3" t="s">
        <v>9</v>
      </c>
      <c r="E4" s="3" t="s">
        <v>10</v>
      </c>
      <c r="F4" s="3" t="s">
        <v>11</v>
      </c>
      <c r="G4" s="3" t="s">
        <v>12</v>
      </c>
      <c r="H4" s="3" t="s">
        <v>13</v>
      </c>
      <c r="I4" s="3" t="s">
        <v>14</v>
      </c>
      <c r="J4" s="3" t="s">
        <v>15</v>
      </c>
      <c r="K4" s="3" t="s">
        <v>16</v>
      </c>
      <c r="L4" s="3" t="s">
        <v>391</v>
      </c>
      <c r="M4" s="3" t="s">
        <v>392</v>
      </c>
      <c r="N4" s="3" t="s">
        <v>393</v>
      </c>
      <c r="O4" s="3" t="s">
        <v>394</v>
      </c>
      <c r="P4" s="3" t="s">
        <v>27</v>
      </c>
    </row>
    <row r="5" spans="1:16" x14ac:dyDescent="0.25">
      <c r="A5" s="4" t="s">
        <v>395</v>
      </c>
      <c r="B5" s="5"/>
      <c r="C5" s="5"/>
      <c r="D5" s="5"/>
      <c r="E5" s="5"/>
      <c r="F5" s="5"/>
      <c r="G5" s="5"/>
      <c r="H5" s="5"/>
      <c r="I5" s="5"/>
      <c r="J5" s="5"/>
      <c r="K5" s="5"/>
      <c r="L5" s="5"/>
      <c r="M5" s="5"/>
      <c r="N5" s="5"/>
      <c r="O5" s="5"/>
      <c r="P5" s="5"/>
    </row>
    <row r="6" spans="1:16" ht="48" x14ac:dyDescent="0.25">
      <c r="A6" s="37" t="s">
        <v>396</v>
      </c>
      <c r="B6" s="6" t="s">
        <v>395</v>
      </c>
      <c r="C6" s="9">
        <v>3500</v>
      </c>
      <c r="D6" s="10">
        <f>_xll.BDP($P6,"LAST_PRICE")</f>
        <v>98.887</v>
      </c>
      <c r="E6" s="11">
        <f>_xll.BDP($P6,"CHG_PCT_1D")</f>
        <v>5.2242370201136284E-2</v>
      </c>
      <c r="F6" s="11">
        <f>_xll.BDP($P6,"YLD_YTM_MID")</f>
        <v>4.9477722477929733</v>
      </c>
      <c r="G6" s="12" t="str">
        <f>IFERROR(_xll.BDP($P6,"TRACE_LAST_TRADE_SIZE"),"n/a")</f>
        <v>1000</v>
      </c>
      <c r="H6" s="12" t="str">
        <f>IFERROR(_xll.BDP($P6,"PRICE_LAST_TIME"),"")</f>
        <v>16:44:24</v>
      </c>
      <c r="I6" s="13">
        <f t="shared" ref="I6:I12" si="0">IF(AND(ISNUMBER(D6),ISNUMBER(C6)),(D6-100)/100*C6,"")</f>
        <v>-38.954999999999984</v>
      </c>
      <c r="J6" s="14">
        <f t="shared" ref="J6:J12" si="1">IF(ISNUMBER(D6),(D6-100)/100,"")</f>
        <v>-1.1129999999999996E-2</v>
      </c>
      <c r="K6" s="13">
        <f>IFERROR((D6-_xll.BDP($P6,"PX_CLOSE_1D"))/100*C6,"")</f>
        <v>1.4000000000002188</v>
      </c>
      <c r="L6" s="31">
        <v>4.9333571845935147</v>
      </c>
      <c r="M6" s="15">
        <f t="shared" ref="M6:M12" si="2">IF(AND(ISNUMBER(F6),ISNUMBER(L6)),(F6-L6)*100,"")</f>
        <v>1.4415063199458622</v>
      </c>
      <c r="N6" s="8" t="s">
        <v>397</v>
      </c>
      <c r="O6" s="8" t="s">
        <v>398</v>
      </c>
      <c r="P6" s="38" t="s">
        <v>399</v>
      </c>
    </row>
    <row r="7" spans="1:16" ht="48" x14ac:dyDescent="0.25">
      <c r="A7" s="37" t="s">
        <v>400</v>
      </c>
      <c r="B7" s="6" t="s">
        <v>395</v>
      </c>
      <c r="C7" s="9">
        <v>3500</v>
      </c>
      <c r="D7" s="10">
        <f>_xll.BDP($P7,"LAST_PRICE")</f>
        <v>97.972999999999999</v>
      </c>
      <c r="E7" s="11">
        <f>_xll.BDP($P7,"CHG_PCT_1D")</f>
        <v>-7.032849121499673E-3</v>
      </c>
      <c r="F7" s="11">
        <f>_xll.BDP($P7,"YLD_YTM_MID")</f>
        <v>5.1789924261561469</v>
      </c>
      <c r="G7" s="12" t="str">
        <f>IFERROR(_xll.BDP($P7,"TRACE_LAST_TRADE_SIZE"),"n/a")</f>
        <v>20</v>
      </c>
      <c r="H7" s="12" t="str">
        <f>IFERROR(_xll.BDP($P7,"PRICE_LAST_TIME"),"")</f>
        <v>16:44:24</v>
      </c>
      <c r="I7" s="13">
        <f t="shared" si="0"/>
        <v>-70.945000000000036</v>
      </c>
      <c r="J7" s="14">
        <f t="shared" si="1"/>
        <v>-2.027000000000001E-2</v>
      </c>
      <c r="K7" s="13">
        <f>IFERROR((D7-_xll.BDP($P7,"PX_CLOSE_1D"))/100*C7,"")</f>
        <v>0.1400000000001711</v>
      </c>
      <c r="L7" s="31">
        <v>5.1744509549070097</v>
      </c>
      <c r="M7" s="15">
        <f t="shared" si="2"/>
        <v>0.45414712491371745</v>
      </c>
      <c r="N7" s="8" t="s">
        <v>397</v>
      </c>
      <c r="O7" s="8" t="s">
        <v>401</v>
      </c>
      <c r="P7" s="38" t="s">
        <v>402</v>
      </c>
    </row>
    <row r="8" spans="1:16" ht="48" x14ac:dyDescent="0.25">
      <c r="A8" s="37" t="s">
        <v>403</v>
      </c>
      <c r="B8" s="6" t="s">
        <v>395</v>
      </c>
      <c r="C8" s="9">
        <v>4000</v>
      </c>
      <c r="D8" s="10">
        <f>_xll.BDP($P8,"LAST_PRICE")</f>
        <v>95.951999999999998</v>
      </c>
      <c r="E8" s="11">
        <f>_xll.BDP($P8,"CHG_PCT_1D")</f>
        <v>7.2089295718917078E-3</v>
      </c>
      <c r="F8" s="11">
        <f>_xll.BDP($P8,"YLD_YTM_MID")</f>
        <v>5.4839066655541577</v>
      </c>
      <c r="G8" s="12" t="str">
        <f>IFERROR(_xll.BDP($P8,"TRACE_LAST_TRADE_SIZE"),"n/a")</f>
        <v>12</v>
      </c>
      <c r="H8" s="12" t="str">
        <f>IFERROR(_xll.BDP($P8,"PRICE_LAST_TIME"),"")</f>
        <v>16:44:24</v>
      </c>
      <c r="I8" s="13">
        <f t="shared" si="0"/>
        <v>-161.92000000000007</v>
      </c>
      <c r="J8" s="14">
        <f t="shared" si="1"/>
        <v>-4.0480000000000016E-2</v>
      </c>
      <c r="K8" s="13">
        <f>IFERROR((D8-_xll.BDP($P8,"PX_CLOSE_1D"))/100*C8,"")</f>
        <v>-1.6000000000002501</v>
      </c>
      <c r="L8" s="31">
        <v>5.4709213463011288</v>
      </c>
      <c r="M8" s="15">
        <f t="shared" si="2"/>
        <v>1.2985319253028926</v>
      </c>
      <c r="N8" s="8" t="s">
        <v>397</v>
      </c>
      <c r="O8" s="8" t="s">
        <v>404</v>
      </c>
      <c r="P8" s="38" t="s">
        <v>405</v>
      </c>
    </row>
    <row r="9" spans="1:16" ht="48" x14ac:dyDescent="0.25">
      <c r="A9" s="37" t="s">
        <v>406</v>
      </c>
      <c r="B9" s="6" t="s">
        <v>395</v>
      </c>
      <c r="C9" s="9">
        <v>3500</v>
      </c>
      <c r="D9" s="10">
        <f>_xll.BDP($P9,"LAST_PRICE")</f>
        <v>95.049000000000007</v>
      </c>
      <c r="E9" s="11">
        <f>_xll.BDP($P9,"CHG_PCT_1D")</f>
        <v>-0.25740124507142537</v>
      </c>
      <c r="F9" s="11">
        <f>_xll.BDP($P9,"YLD_YTM_MID")</f>
        <v>5.6836282575267782</v>
      </c>
      <c r="G9" s="12" t="str">
        <f>IFERROR(_xll.BDP($P9,"TRACE_LAST_TRADE_SIZE"),"n/a")</f>
        <v>50</v>
      </c>
      <c r="H9" s="12" t="str">
        <f>IFERROR(_xll.BDP($P9,"PRICE_LAST_TIME"),"")</f>
        <v>16:44:24</v>
      </c>
      <c r="I9" s="13">
        <f t="shared" si="0"/>
        <v>-173.28499999999977</v>
      </c>
      <c r="J9" s="14">
        <f t="shared" si="1"/>
        <v>-4.9509999999999936E-2</v>
      </c>
      <c r="K9" s="13">
        <f>IFERROR((D9-_xll.BDP($P9,"PX_CLOSE_1D"))/100*C9,"")</f>
        <v>-2.6249999999996021</v>
      </c>
      <c r="L9" s="31">
        <v>5.6524060286099216</v>
      </c>
      <c r="M9" s="15">
        <f t="shared" si="2"/>
        <v>3.1222228916856665</v>
      </c>
      <c r="N9" s="8" t="s">
        <v>397</v>
      </c>
      <c r="O9" s="8" t="s">
        <v>407</v>
      </c>
      <c r="P9" s="38" t="s">
        <v>408</v>
      </c>
    </row>
    <row r="10" spans="1:16" ht="48" x14ac:dyDescent="0.25">
      <c r="A10" s="37" t="s">
        <v>409</v>
      </c>
      <c r="B10" s="6" t="s">
        <v>395</v>
      </c>
      <c r="C10" s="9">
        <v>4000</v>
      </c>
      <c r="D10" s="10">
        <f>_xll.BDP($P10,"LAST_PRICE")</f>
        <v>93.078000000000003</v>
      </c>
      <c r="E10" s="11">
        <f>_xll.BDP($P10,"CHG_PCT_1D")</f>
        <v>-0.22418591865609247</v>
      </c>
      <c r="F10" s="11">
        <f>_xll.BDP($P10,"YLD_YTM_MID")</f>
        <v>5.8910647999498282</v>
      </c>
      <c r="G10" s="12" t="str">
        <f>IFERROR(_xll.BDP($P10,"TRACE_LAST_TRADE_SIZE"),"n/a")</f>
        <v>50</v>
      </c>
      <c r="H10" s="12" t="str">
        <f>IFERROR(_xll.BDP($P10,"PRICE_LAST_TIME"),"")</f>
        <v>16:44:24</v>
      </c>
      <c r="I10" s="13">
        <f t="shared" si="0"/>
        <v>-276.87999999999988</v>
      </c>
      <c r="J10" s="14">
        <f t="shared" si="1"/>
        <v>-6.9219999999999976E-2</v>
      </c>
      <c r="K10" s="13">
        <f>IFERROR((D10-_xll.BDP($P10,"PX_CLOSE_1D"))/100*C10,"")</f>
        <v>-10.75999999999965</v>
      </c>
      <c r="L10" s="31">
        <v>5.8594365442155283</v>
      </c>
      <c r="M10" s="15">
        <f t="shared" si="2"/>
        <v>3.1628255734299948</v>
      </c>
      <c r="N10" s="8" t="s">
        <v>397</v>
      </c>
      <c r="O10" s="8" t="s">
        <v>410</v>
      </c>
      <c r="P10" s="38" t="s">
        <v>411</v>
      </c>
    </row>
    <row r="11" spans="1:16" ht="48" x14ac:dyDescent="0.25">
      <c r="A11" s="37" t="s">
        <v>412</v>
      </c>
      <c r="B11" s="6" t="s">
        <v>395</v>
      </c>
      <c r="C11" s="9">
        <v>3000</v>
      </c>
      <c r="D11" s="10">
        <f>_xll.BDP($P11,"LAST_PRICE")</f>
        <v>89.834999999999994</v>
      </c>
      <c r="E11" s="11">
        <f>_xll.BDP($P11,"CHG_PCT_1D")</f>
        <v>-0.22849530736634155</v>
      </c>
      <c r="F11" s="11">
        <f>_xll.BDP($P11,"YLD_YTM_MID")</f>
        <v>6.470783199560552</v>
      </c>
      <c r="G11" s="12" t="str">
        <f>IFERROR(_xll.BDP($P11,"TRACE_LAST_TRADE_SIZE"),"n/a")</f>
        <v>2</v>
      </c>
      <c r="H11" s="12" t="str">
        <f>IFERROR(_xll.BDP($P11,"PRICE_LAST_TIME"),"")</f>
        <v>16:44:24</v>
      </c>
      <c r="I11" s="13">
        <f t="shared" si="0"/>
        <v>-304.95000000000016</v>
      </c>
      <c r="J11" s="14">
        <f t="shared" si="1"/>
        <v>-0.10165000000000006</v>
      </c>
      <c r="K11" s="13">
        <f>IFERROR((D11-_xll.BDP($P11,"PX_CLOSE_1D"))/100*C11,"")</f>
        <v>-6.0600000000003726</v>
      </c>
      <c r="L11" s="31">
        <v>6.4509419380359283</v>
      </c>
      <c r="M11" s="15">
        <f t="shared" si="2"/>
        <v>1.9841261524623732</v>
      </c>
      <c r="N11" s="8" t="s">
        <v>397</v>
      </c>
      <c r="O11" s="8" t="s">
        <v>413</v>
      </c>
      <c r="P11" s="38" t="s">
        <v>414</v>
      </c>
    </row>
    <row r="12" spans="1:16" ht="48" x14ac:dyDescent="0.25">
      <c r="A12" s="37" t="s">
        <v>415</v>
      </c>
      <c r="B12" s="6" t="s">
        <v>395</v>
      </c>
      <c r="C12" s="9">
        <v>3500</v>
      </c>
      <c r="D12" s="10">
        <f>_xll.BDP($P12,"LAST_PRICE")</f>
        <v>87.465999999999994</v>
      </c>
      <c r="E12" s="11">
        <f>_xll.BDP($P12,"CHG_PCT_1D")</f>
        <v>-0.51128101533010062</v>
      </c>
      <c r="F12" s="11">
        <f>_xll.BDP($P12,"YLD_YTM_MID")</f>
        <v>6.6036483696372335</v>
      </c>
      <c r="G12" s="12" t="str">
        <f>IFERROR(_xll.BDP($P12,"TRACE_LAST_TRADE_SIZE"),"n/a")</f>
        <v>5MM+</v>
      </c>
      <c r="H12" s="12" t="str">
        <f>IFERROR(_xll.BDP($P12,"PRICE_LAST_TIME"),"")</f>
        <v>16:44:24</v>
      </c>
      <c r="I12" s="13">
        <f t="shared" si="0"/>
        <v>-438.69000000000023</v>
      </c>
      <c r="J12" s="14">
        <f t="shared" si="1"/>
        <v>-0.12534000000000006</v>
      </c>
      <c r="K12" s="13">
        <f>IFERROR((D12-_xll.BDP($P12,"PX_CLOSE_1D"))/100*C12,"")</f>
        <v>-10.920000000000414</v>
      </c>
      <c r="L12" s="31">
        <v>6.5851300270744666</v>
      </c>
      <c r="M12" s="15">
        <f t="shared" si="2"/>
        <v>1.8518342562766854</v>
      </c>
      <c r="N12" s="8" t="s">
        <v>397</v>
      </c>
      <c r="O12" s="8" t="s">
        <v>416</v>
      </c>
      <c r="P12" s="38" t="s">
        <v>417</v>
      </c>
    </row>
    <row r="13" spans="1:16" x14ac:dyDescent="0.25">
      <c r="A13" s="4" t="s">
        <v>418</v>
      </c>
      <c r="B13" s="5"/>
      <c r="C13" s="5"/>
      <c r="D13" s="5"/>
      <c r="E13" s="5"/>
      <c r="F13" s="5"/>
      <c r="G13" s="5"/>
      <c r="H13" s="5"/>
      <c r="I13" s="5"/>
      <c r="J13" s="5"/>
      <c r="K13" s="5"/>
      <c r="L13" s="5"/>
      <c r="M13" s="5"/>
      <c r="N13" s="5"/>
      <c r="O13" s="5"/>
      <c r="P13" s="5"/>
    </row>
    <row r="14" spans="1:16" ht="48" x14ac:dyDescent="0.25">
      <c r="A14" s="37" t="s">
        <v>419</v>
      </c>
      <c r="B14" s="6" t="s">
        <v>418</v>
      </c>
      <c r="C14" s="9">
        <v>1250</v>
      </c>
      <c r="D14" s="10">
        <f>_xll.BDP($P14,"LAST_PRICE")</f>
        <v>92.8</v>
      </c>
      <c r="E14" s="11">
        <f>_xll.BDP($P14,"CHG_PCT_1D")</f>
        <v>-0.17004353760297725</v>
      </c>
      <c r="F14" s="11">
        <f>_xll.BDP($P14,"YLD_YTM_MID")</f>
        <v>6.0070573530686682</v>
      </c>
      <c r="G14" s="12" t="str">
        <f>IFERROR(_xll.BDP($P14,"TRACE_LAST_TRADE_SIZE"),"n/a")</f>
        <v>2</v>
      </c>
      <c r="H14" s="12" t="str">
        <f>IFERROR(_xll.BDP($P14,"PRICE_LAST_TIME"),"")</f>
        <v>16:44:24</v>
      </c>
      <c r="I14" s="13">
        <f t="shared" ref="I14:I19" si="3">IF(AND(ISNUMBER(D14),ISNUMBER(C14)),(D14-100)/100*C14,"")</f>
        <v>-90.000000000000028</v>
      </c>
      <c r="J14" s="14">
        <f t="shared" ref="J14:J19" si="4">IF(ISNUMBER(D14),(D14-100)/100,"")</f>
        <v>-7.2000000000000022E-2</v>
      </c>
      <c r="K14" s="13">
        <f>IFERROR((D14-_xll.BDP($P14,"PX_CLOSE_1D"))/100*C14,"")</f>
        <v>-1.4625000000000554</v>
      </c>
      <c r="L14" s="31">
        <v>5.9776008875014401</v>
      </c>
      <c r="M14" s="15">
        <f t="shared" ref="M14:M19" si="5">IF(AND(ISNUMBER(F14),ISNUMBER(L14)),(F14-L14)*100,"")</f>
        <v>2.945646556722803</v>
      </c>
      <c r="N14" s="8" t="s">
        <v>420</v>
      </c>
      <c r="O14" s="8" t="s">
        <v>421</v>
      </c>
      <c r="P14" s="38" t="s">
        <v>422</v>
      </c>
    </row>
    <row r="15" spans="1:16" ht="48" x14ac:dyDescent="0.25">
      <c r="A15" s="37" t="s">
        <v>423</v>
      </c>
      <c r="B15" s="6" t="s">
        <v>418</v>
      </c>
      <c r="C15" s="9">
        <v>1750</v>
      </c>
      <c r="D15" s="10">
        <f>_xll.BDP($P15,"LAST_PRICE")</f>
        <v>90.962000000000003</v>
      </c>
      <c r="E15" s="11">
        <f>_xll.BDP($P15,"CHG_PCT_1D")</f>
        <v>-0.43272842234222741</v>
      </c>
      <c r="F15" s="11">
        <f>_xll.BDP($P15,"YLD_YTM_MID")</f>
        <v>6.2717354623965766</v>
      </c>
      <c r="G15" s="12" t="str">
        <f>IFERROR(_xll.BDP($P15,"TRACE_LAST_TRADE_SIZE"),"n/a")</f>
        <v>10</v>
      </c>
      <c r="H15" s="12" t="str">
        <f>IFERROR(_xll.BDP($P15,"PRICE_LAST_TIME"),"")</f>
        <v>16:44:24</v>
      </c>
      <c r="I15" s="13">
        <f t="shared" si="3"/>
        <v>-158.16499999999994</v>
      </c>
      <c r="J15" s="14">
        <f t="shared" si="4"/>
        <v>-9.037999999999996E-2</v>
      </c>
      <c r="K15" s="13">
        <f>IFERROR((D15-_xll.BDP($P15,"PX_CLOSE_1D"))/100*C15,"")</f>
        <v>-5.1449999999999463</v>
      </c>
      <c r="L15" s="31">
        <v>6.2306886862731403</v>
      </c>
      <c r="M15" s="15">
        <f t="shared" si="5"/>
        <v>4.1046776123436324</v>
      </c>
      <c r="N15" s="8" t="s">
        <v>420</v>
      </c>
      <c r="O15" s="8" t="s">
        <v>424</v>
      </c>
      <c r="P15" s="38" t="s">
        <v>425</v>
      </c>
    </row>
    <row r="16" spans="1:16" ht="48" x14ac:dyDescent="0.25">
      <c r="A16" s="37" t="s">
        <v>426</v>
      </c>
      <c r="B16" s="6" t="s">
        <v>418</v>
      </c>
      <c r="C16" s="9">
        <v>2500</v>
      </c>
      <c r="D16" s="10">
        <f>_xll.BDP($P16,"LAST_PRICE")</f>
        <v>92.537999999999997</v>
      </c>
      <c r="E16" s="11">
        <f>_xll.BDP($P16,"CHG_PCT_1D")</f>
        <v>-0.41688305266978098</v>
      </c>
      <c r="F16" s="11">
        <f>_xll.BDP($P16,"YLD_YTM_MID")</f>
        <v>6.3376816072315307</v>
      </c>
      <c r="G16" s="12" t="str">
        <f>IFERROR(_xll.BDP($P16,"TRACE_LAST_TRADE_SIZE"),"n/a")</f>
        <v>20</v>
      </c>
      <c r="H16" s="12" t="str">
        <f>IFERROR(_xll.BDP($P16,"PRICE_LAST_TIME"),"")</f>
        <v>16:44:24</v>
      </c>
      <c r="I16" s="13">
        <f t="shared" si="3"/>
        <v>-186.5500000000001</v>
      </c>
      <c r="J16" s="14">
        <f t="shared" si="4"/>
        <v>-7.4620000000000034E-2</v>
      </c>
      <c r="K16" s="13">
        <f>IFERROR((D16-_xll.BDP($P16,"PX_CLOSE_1D"))/100*C16,"")</f>
        <v>-7.3499999999999224</v>
      </c>
      <c r="L16" s="31">
        <v>6.2989257584323592</v>
      </c>
      <c r="M16" s="15">
        <f t="shared" si="5"/>
        <v>3.8755848799171488</v>
      </c>
      <c r="N16" s="8" t="s">
        <v>420</v>
      </c>
      <c r="O16" s="8" t="s">
        <v>427</v>
      </c>
      <c r="P16" s="38" t="s">
        <v>428</v>
      </c>
    </row>
    <row r="17" spans="1:16" ht="48" x14ac:dyDescent="0.25">
      <c r="A17" s="37" t="s">
        <v>429</v>
      </c>
      <c r="B17" s="6" t="s">
        <v>418</v>
      </c>
      <c r="C17" s="9">
        <v>1250</v>
      </c>
      <c r="D17" s="10">
        <f>_xll.BDP($P17,"LAST_PRICE")</f>
        <v>90.311000000000007</v>
      </c>
      <c r="E17" s="11">
        <f>_xll.BDP($P17,"CHG_PCT_1D")</f>
        <v>-0.38034003560897922</v>
      </c>
      <c r="F17" s="11">
        <f>_xll.BDP($P17,"YLD_YTM_MID")</f>
        <v>6.3663487974569399</v>
      </c>
      <c r="G17" s="12" t="str">
        <f>IFERROR(_xll.BDP($P17,"TRACE_LAST_TRADE_SIZE"),"n/a")</f>
        <v>110</v>
      </c>
      <c r="H17" s="12" t="str">
        <f>IFERROR(_xll.BDP($P17,"PRICE_LAST_TIME"),"")</f>
        <v>16:44:24</v>
      </c>
      <c r="I17" s="13">
        <f t="shared" si="3"/>
        <v>-121.11249999999991</v>
      </c>
      <c r="J17" s="14">
        <f t="shared" si="4"/>
        <v>-9.6889999999999935E-2</v>
      </c>
      <c r="K17" s="13">
        <f>IFERROR((D17-_xll.BDP($P17,"PX_CLOSE_1D"))/100*C17,"")</f>
        <v>-3.0624999999998792</v>
      </c>
      <c r="L17" s="31">
        <v>6.3314813437518263</v>
      </c>
      <c r="M17" s="15">
        <f t="shared" si="5"/>
        <v>3.4867453705113682</v>
      </c>
      <c r="N17" s="8" t="s">
        <v>420</v>
      </c>
      <c r="O17" s="8" t="s">
        <v>430</v>
      </c>
      <c r="P17" s="38" t="s">
        <v>431</v>
      </c>
    </row>
    <row r="18" spans="1:16" ht="48" x14ac:dyDescent="0.25">
      <c r="A18" s="37" t="s">
        <v>432</v>
      </c>
      <c r="B18" s="6" t="s">
        <v>418</v>
      </c>
      <c r="C18" s="9">
        <v>2250</v>
      </c>
      <c r="D18" s="10">
        <f>_xll.BDP($P18,"LAST_PRICE")</f>
        <v>89.007999999999996</v>
      </c>
      <c r="E18" s="11">
        <f>_xll.BDP($P18,"CHG_PCT_1D")</f>
        <v>-0.40946951892455641</v>
      </c>
      <c r="F18" s="11">
        <f>_xll.BDP($P18,"YLD_YTM_MID")</f>
        <v>6.3975004893830061</v>
      </c>
      <c r="G18" s="12" t="str">
        <f>IFERROR(_xll.BDP($P18,"TRACE_LAST_TRADE_SIZE"),"n/a")</f>
        <v>8</v>
      </c>
      <c r="H18" s="12" t="str">
        <f>IFERROR(_xll.BDP($P18,"PRICE_LAST_TIME"),"")</f>
        <v>16:44:24</v>
      </c>
      <c r="I18" s="13">
        <f t="shared" si="3"/>
        <v>-247.32000000000011</v>
      </c>
      <c r="J18" s="14">
        <f t="shared" si="4"/>
        <v>-0.10992000000000005</v>
      </c>
      <c r="K18" s="13">
        <f>IFERROR((D18-_xll.BDP($P18,"PX_CLOSE_1D"))/100*C18,"")</f>
        <v>-5.8725000000002225</v>
      </c>
      <c r="L18" s="31">
        <v>6.3551843080055654</v>
      </c>
      <c r="M18" s="15">
        <f t="shared" si="5"/>
        <v>4.2316181377440643</v>
      </c>
      <c r="N18" s="8" t="s">
        <v>420</v>
      </c>
      <c r="O18" s="8" t="s">
        <v>433</v>
      </c>
      <c r="P18" s="38" t="s">
        <v>434</v>
      </c>
    </row>
    <row r="19" spans="1:16" ht="48" x14ac:dyDescent="0.25">
      <c r="A19" s="37" t="s">
        <v>435</v>
      </c>
      <c r="B19" s="6" t="s">
        <v>418</v>
      </c>
      <c r="C19" s="9">
        <v>1250</v>
      </c>
      <c r="D19" s="10">
        <f>_xll.BDP($P19,"LAST_PRICE")</f>
        <v>86.781999999999996</v>
      </c>
      <c r="E19" s="11">
        <f>_xll.BDP($P19,"CHG_PCT_1D")</f>
        <v>-0.46331277897934442</v>
      </c>
      <c r="F19" s="11">
        <f>_xll.BDP($P19,"YLD_YTM_MID")</f>
        <v>6.7627229149630397</v>
      </c>
      <c r="G19" s="12" t="str">
        <f>IFERROR(_xll.BDP($P19,"TRACE_LAST_TRADE_SIZE"),"n/a")</f>
        <v>5MM+</v>
      </c>
      <c r="H19" s="12" t="str">
        <f>IFERROR(_xll.BDP($P19,"PRICE_LAST_TIME"),"")</f>
        <v>16:44:24</v>
      </c>
      <c r="I19" s="13">
        <f t="shared" si="3"/>
        <v>-165.22500000000005</v>
      </c>
      <c r="J19" s="14">
        <f t="shared" si="4"/>
        <v>-0.13218000000000005</v>
      </c>
      <c r="K19" s="13">
        <f>IFERROR((D19-_xll.BDP($P19,"PX_CLOSE_1D"))/100*C19,"")</f>
        <v>-1.7750000000001263</v>
      </c>
      <c r="L19" s="31">
        <v>6.7303168363925074</v>
      </c>
      <c r="M19" s="15">
        <f t="shared" si="5"/>
        <v>3.2406078570532237</v>
      </c>
      <c r="N19" s="8" t="s">
        <v>420</v>
      </c>
      <c r="O19" s="8" t="s">
        <v>436</v>
      </c>
      <c r="P19" s="38" t="s">
        <v>437</v>
      </c>
    </row>
    <row r="20" spans="1:16" x14ac:dyDescent="0.25">
      <c r="A20" s="4" t="s">
        <v>438</v>
      </c>
      <c r="B20" s="5"/>
      <c r="C20" s="5"/>
      <c r="D20" s="5"/>
      <c r="E20" s="5"/>
      <c r="F20" s="5"/>
      <c r="G20" s="5"/>
      <c r="H20" s="5"/>
      <c r="I20" s="5"/>
      <c r="J20" s="5"/>
      <c r="K20" s="5"/>
      <c r="L20" s="5"/>
      <c r="M20" s="5"/>
      <c r="N20" s="5"/>
      <c r="O20" s="5"/>
      <c r="P20" s="5"/>
    </row>
    <row r="21" spans="1:16" x14ac:dyDescent="0.25">
      <c r="A21" s="37" t="s">
        <v>439</v>
      </c>
      <c r="B21" s="6" t="s">
        <v>438</v>
      </c>
      <c r="C21" s="9">
        <v>1500</v>
      </c>
      <c r="D21" s="10">
        <f>_xll.BDP($P21,"LAST_PRICE")</f>
        <v>97.885999999999996</v>
      </c>
      <c r="E21" s="11">
        <f>_xll.BDP($P21,"CHG_PCT_1D")</f>
        <v>-2.8611908441895668E-2</v>
      </c>
      <c r="F21" s="11">
        <f>_xll.BDP($P21,"YLD_YTM_MID")</f>
        <v>5.5239091120663879</v>
      </c>
      <c r="G21" s="12" t="str">
        <f>IFERROR(_xll.BDP($P21,"TRACE_LAST_TRADE_SIZE"),"n/a")</f>
        <v>50</v>
      </c>
      <c r="H21" s="12" t="str">
        <f>IFERROR(_xll.BDP($P21,"PRICE_LAST_TIME"),"")</f>
        <v>16:44:24</v>
      </c>
      <c r="I21" s="13">
        <f>IF(AND(ISNUMBER(D21),ISNUMBER(C21)),(D21-100)/100*C21,"")</f>
        <v>-31.710000000000065</v>
      </c>
      <c r="J21" s="14">
        <f>IF(ISNUMBER(D21),(D21-100)/100,"")</f>
        <v>-2.1140000000000044E-2</v>
      </c>
      <c r="K21" s="13">
        <f>IFERROR((D21-_xll.BDP($P21,"PX_CLOSE_1D"))/100*C21,"")</f>
        <v>0.90000000000003411</v>
      </c>
      <c r="L21" s="31">
        <v>5.4996140887313381</v>
      </c>
      <c r="M21" s="15">
        <f>IF(AND(ISNUMBER(F21),ISNUMBER(L21)),(F21-L21)*100,"")</f>
        <v>2.4295023335049848</v>
      </c>
      <c r="N21" s="8" t="s">
        <v>440</v>
      </c>
      <c r="O21" s="8" t="s">
        <v>441</v>
      </c>
      <c r="P21" s="38" t="s">
        <v>442</v>
      </c>
    </row>
    <row r="22" spans="1:16" x14ac:dyDescent="0.25">
      <c r="A22" s="37" t="s">
        <v>443</v>
      </c>
      <c r="B22" s="6" t="s">
        <v>438</v>
      </c>
      <c r="C22" s="9">
        <v>1000</v>
      </c>
      <c r="D22" s="10">
        <f>_xll.BDP($P22,"LAST_PRICE")</f>
        <v>96.534999999999997</v>
      </c>
      <c r="E22" s="11">
        <f>_xll.BDP($P22,"CHG_PCT_1D")</f>
        <v>-0.1031172286400238</v>
      </c>
      <c r="F22" s="11">
        <f>_xll.BDP($P22,"YLD_YTM_MID")</f>
        <v>5.9896524470397985</v>
      </c>
      <c r="G22" s="12" t="str">
        <f>IFERROR(_xll.BDP($P22,"TRACE_LAST_TRADE_SIZE"),"n/a")</f>
        <v>9</v>
      </c>
      <c r="H22" s="12" t="str">
        <f>IFERROR(_xll.BDP($P22,"PRICE_LAST_TIME"),"")</f>
        <v>16:44:24</v>
      </c>
      <c r="I22" s="13">
        <f>IF(AND(ISNUMBER(D22),ISNUMBER(C22)),(D22-100)/100*C22,"")</f>
        <v>-34.650000000000034</v>
      </c>
      <c r="J22" s="14">
        <f>IF(ISNUMBER(D22),(D22-100)/100,"")</f>
        <v>-3.4650000000000035E-2</v>
      </c>
      <c r="K22" s="13">
        <f>IFERROR((D22-_xll.BDP($P22,"PX_CLOSE_1D"))/100*C22,"")</f>
        <v>0.42999999999992156</v>
      </c>
      <c r="L22" s="31">
        <v>5.9702551766775702</v>
      </c>
      <c r="M22" s="15">
        <f>IF(AND(ISNUMBER(F22),ISNUMBER(L22)),(F22-L22)*100,"")</f>
        <v>1.9397270362228269</v>
      </c>
      <c r="N22" s="8" t="s">
        <v>440</v>
      </c>
      <c r="O22" s="8" t="s">
        <v>444</v>
      </c>
      <c r="P22" s="38" t="s">
        <v>445</v>
      </c>
    </row>
    <row r="23" spans="1:16" x14ac:dyDescent="0.25">
      <c r="A23" s="4" t="s">
        <v>446</v>
      </c>
      <c r="B23" s="5"/>
      <c r="C23" s="5"/>
      <c r="D23" s="5"/>
      <c r="E23" s="5"/>
      <c r="F23" s="5"/>
      <c r="G23" s="5"/>
      <c r="H23" s="5"/>
      <c r="I23" s="5"/>
      <c r="J23" s="5"/>
      <c r="K23" s="5"/>
      <c r="L23" s="5"/>
      <c r="M23" s="5"/>
      <c r="N23" s="5"/>
      <c r="O23" s="5"/>
      <c r="P23" s="5"/>
    </row>
    <row r="24" spans="1:16" x14ac:dyDescent="0.25">
      <c r="A24" s="37" t="s">
        <v>447</v>
      </c>
      <c r="B24" s="6" t="s">
        <v>446</v>
      </c>
      <c r="C24" s="9">
        <v>3500</v>
      </c>
      <c r="D24" s="10">
        <f>_xll.BDP($P24,"LAST_PRICE")</f>
        <v>84.936999999999998</v>
      </c>
      <c r="E24" s="11">
        <f>_xll.BDP($P24,"CHG_PCT_1D")</f>
        <v>-1.1296513135065387</v>
      </c>
      <c r="F24" s="11">
        <f>_xll.BDP($P24,"YLD_YTM_MID")</f>
        <v>8.0264083886780639</v>
      </c>
      <c r="G24" s="12" t="str">
        <f>IFERROR(_xll.BDP($P24,"TRACE_LAST_TRADE_SIZE"),"n/a")</f>
        <v>5000</v>
      </c>
      <c r="H24" s="12" t="str">
        <f>IFERROR(_xll.BDP($P24,"PRICE_LAST_TIME"),"")</f>
        <v>16:44:24</v>
      </c>
      <c r="I24" s="13">
        <f>IF(AND(ISNUMBER(D24),ISNUMBER(C24)),(D24-100)/100*C24,"")</f>
        <v>-527.20500000000004</v>
      </c>
      <c r="J24" s="14">
        <f>IF(ISNUMBER(D24),(D24-100)/100,"")</f>
        <v>-0.15063000000000001</v>
      </c>
      <c r="K24" s="13">
        <f>IFERROR((D24-_xll.BDP($P24,"PX_CLOSE_1D"))/100*C24,"")</f>
        <v>-17.779999999999845</v>
      </c>
      <c r="L24" s="31">
        <v>7.9249448014130808</v>
      </c>
      <c r="M24" s="15">
        <f>IF(AND(ISNUMBER(F24),ISNUMBER(L24)),(F24-L24)*100,"")</f>
        <v>10.146358726498317</v>
      </c>
      <c r="N24" s="8" t="s">
        <v>448</v>
      </c>
      <c r="O24" s="8" t="s">
        <v>449</v>
      </c>
      <c r="P24" s="38" t="s">
        <v>450</v>
      </c>
    </row>
    <row r="25" spans="1:16" ht="36" x14ac:dyDescent="0.25">
      <c r="A25" s="37" t="s">
        <v>451</v>
      </c>
      <c r="B25" s="6" t="s">
        <v>446</v>
      </c>
      <c r="C25" s="9">
        <v>20000</v>
      </c>
      <c r="D25" s="10">
        <f>_xll.BDP($P25,"LAST_PRICE")</f>
        <v>99</v>
      </c>
      <c r="E25" s="11">
        <f>_xll.BDP($P25,"CHG_PCT_1D")</f>
        <v>0</v>
      </c>
      <c r="F25" s="11">
        <f>_xll.BDP($P25,"YLD_YTM_MID")</f>
        <v>6.1656171689115231</v>
      </c>
      <c r="G25" s="12" t="str">
        <f>IFERROR(_xll.BDP($P25,"TRACE_LAST_TRADE_SIZE"),"n/a")</f>
        <v>#N/A Field Not Applicable</v>
      </c>
      <c r="H25" s="12" t="str">
        <f>IFERROR(_xll.BDP($P25,"PRICE_LAST_TIME"),"")</f>
        <v>16:00:00</v>
      </c>
      <c r="I25" s="13">
        <f>IF(AND(ISNUMBER(D25),ISNUMBER(C25)),(D25-100)/100*C25,"")</f>
        <v>-200</v>
      </c>
      <c r="J25" s="14">
        <f>IF(ISNUMBER(D25),(D25-100)/100,"")</f>
        <v>-0.01</v>
      </c>
      <c r="K25" s="13">
        <f>IFERROR((D25-_xll.BDP($P25,"PX_CLOSE_1D"))/100*C25,"")</f>
        <v>0</v>
      </c>
      <c r="L25" s="31">
        <v>6.1656171689115231</v>
      </c>
      <c r="M25" s="15">
        <f>IF(AND(ISNUMBER(F25),ISNUMBER(L25)),(F25-L25)*100,"")</f>
        <v>0</v>
      </c>
      <c r="N25" s="8"/>
      <c r="O25" s="8"/>
      <c r="P25" s="38" t="s">
        <v>452</v>
      </c>
    </row>
    <row r="26" spans="1:16" ht="36" x14ac:dyDescent="0.25">
      <c r="A26" s="37" t="s">
        <v>453</v>
      </c>
      <c r="B26" s="6" t="s">
        <v>446</v>
      </c>
      <c r="C26" s="9">
        <v>0</v>
      </c>
      <c r="D26" s="10" t="str">
        <f>_xll.BDP($P26,"LAST_PRICE")</f>
        <v>#N/A Real Time</v>
      </c>
      <c r="E26" s="11" t="str">
        <f>_xll.BDP($P26,"CHG_PCT_1D")</f>
        <v>#N/A N/A</v>
      </c>
      <c r="F26" s="11" t="str">
        <f>_xll.BDP($P26,"YLD_YTM_MID")</f>
        <v>#N/A N/A</v>
      </c>
      <c r="G26" s="12" t="str">
        <f>IFERROR(_xll.BDP($P26,"TRACE_LAST_TRADE_SIZE"),"n/a")</f>
        <v>#N/A Field Not Applicable</v>
      </c>
      <c r="H26" s="12" t="str">
        <f>IFERROR(_xll.BDP($P26,"PRICE_LAST_TIME"),"")</f>
        <v>#N/A Field Not Applicable</v>
      </c>
      <c r="I26" s="13" t="str">
        <f>IF(AND(ISNUMBER(D26),ISNUMBER(C26)),(D26-100)/100*C26,"")</f>
        <v/>
      </c>
      <c r="J26" s="14" t="str">
        <f>IF(ISNUMBER(D26),(D26-100)/100,"")</f>
        <v/>
      </c>
      <c r="K26" s="13" t="str">
        <f>IFERROR((D26-_xll.BDP($P26,"PX_CLOSE_1D"))/100*C26,"")</f>
        <v/>
      </c>
      <c r="L26" s="31"/>
      <c r="M26" s="15" t="str">
        <f>IF(AND(ISNUMBER(F26),ISNUMBER(L26)),(F26-L26)*100,"")</f>
        <v/>
      </c>
      <c r="N26" s="8"/>
      <c r="O26" s="8" t="s">
        <v>454</v>
      </c>
      <c r="P26" s="38" t="s">
        <v>455</v>
      </c>
    </row>
    <row r="27" spans="1:16" x14ac:dyDescent="0.25">
      <c r="A27" s="4" t="s">
        <v>456</v>
      </c>
      <c r="B27" s="5"/>
      <c r="C27" s="5"/>
      <c r="D27" s="5"/>
      <c r="E27" s="5"/>
      <c r="F27" s="5"/>
      <c r="G27" s="5"/>
      <c r="H27" s="5"/>
      <c r="I27" s="5"/>
      <c r="J27" s="5"/>
      <c r="K27" s="5"/>
      <c r="L27" s="5"/>
      <c r="M27" s="5"/>
      <c r="N27" s="5"/>
      <c r="O27" s="5"/>
      <c r="P27" s="5"/>
    </row>
    <row r="28" spans="1:16" x14ac:dyDescent="0.25">
      <c r="A28" s="37" t="s">
        <v>457</v>
      </c>
      <c r="B28" s="6" t="s">
        <v>456</v>
      </c>
      <c r="C28" s="9">
        <v>2587.5</v>
      </c>
      <c r="D28" s="10">
        <f>_xll.BDP($P28,"LAST_PRICE")</f>
        <v>77.838999999999999</v>
      </c>
      <c r="E28" s="11">
        <f>_xll.BDP($P28,"CHG_PCT_1D")</f>
        <v>-3.0317497622120975</v>
      </c>
      <c r="F28" s="11">
        <f>_xll.BDP($P28,"YLD_YTM_MID")</f>
        <v>6.7118905488621792</v>
      </c>
      <c r="G28" s="12" t="str">
        <f>IFERROR(_xll.BDP($P28,"TRACE_LAST_TRADE_SIZE"),"n/a")</f>
        <v>1MM+</v>
      </c>
      <c r="H28" s="12" t="str">
        <f>IFERROR(_xll.BDP($P28,"PRICE_LAST_TIME"),"")</f>
        <v>12:32:46</v>
      </c>
      <c r="I28" s="13">
        <f t="shared" ref="I28:I42" si="6">IF(AND(ISNUMBER(D28),ISNUMBER(C28)),(D28-100)/100*C28,"")</f>
        <v>-573.41587500000003</v>
      </c>
      <c r="J28" s="14">
        <f t="shared" ref="J28:J42" si="7">IF(ISNUMBER(D28),(D28-100)/100,"")</f>
        <v>-0.22161</v>
      </c>
      <c r="K28" s="13">
        <f>IFERROR((D28-_xll.BDP($P28,"PX_CLOSE_1D"))/100*C28,"")</f>
        <v>-88.777124999999927</v>
      </c>
      <c r="L28" s="31">
        <v>6.0617974890807202</v>
      </c>
      <c r="M28" s="15">
        <f t="shared" ref="M28:M42" si="8">IF(AND(ISNUMBER(F28),ISNUMBER(L28)),(F28-L28)*100,"")</f>
        <v>65.009305978145889</v>
      </c>
      <c r="N28" s="8" t="s">
        <v>458</v>
      </c>
      <c r="O28" s="8" t="s">
        <v>459</v>
      </c>
      <c r="P28" s="38" t="s">
        <v>460</v>
      </c>
    </row>
    <row r="29" spans="1:16" x14ac:dyDescent="0.25">
      <c r="A29" s="37" t="s">
        <v>461</v>
      </c>
      <c r="B29" s="6" t="s">
        <v>456</v>
      </c>
      <c r="C29" s="9">
        <v>4000</v>
      </c>
      <c r="D29" s="10">
        <f>_xll.BDP($P29,"LAST_PRICE")</f>
        <v>70.858999999999995</v>
      </c>
      <c r="E29" s="11">
        <f>_xll.BDP($P29,"CHG_PCT_1D")</f>
        <v>-7.0582523893773192</v>
      </c>
      <c r="F29" s="11">
        <f>_xll.BDP($P29,"YLD_YTM_MID")</f>
        <v>7.8077739656522942</v>
      </c>
      <c r="G29" s="12" t="str">
        <f>IFERROR(_xll.BDP($P29,"TRACE_LAST_TRADE_SIZE"),"n/a")</f>
        <v>1MM+</v>
      </c>
      <c r="H29" s="12" t="str">
        <f>IFERROR(_xll.BDP($P29,"PRICE_LAST_TIME"),"")</f>
        <v>12:32:31</v>
      </c>
      <c r="I29" s="13">
        <f t="shared" si="6"/>
        <v>-1165.6400000000003</v>
      </c>
      <c r="J29" s="14">
        <f t="shared" si="7"/>
        <v>-0.29141000000000006</v>
      </c>
      <c r="K29" s="13">
        <f>IFERROR((D29-_xll.BDP($P29,"PX_CLOSE_1D"))/100*C29,"")</f>
        <v>-247.20000000000027</v>
      </c>
      <c r="L29" s="31">
        <v>6.4588590510117152</v>
      </c>
      <c r="M29" s="15">
        <f t="shared" si="8"/>
        <v>134.89149146405791</v>
      </c>
      <c r="N29" s="8"/>
      <c r="O29" s="8" t="s">
        <v>462</v>
      </c>
      <c r="P29" s="38" t="s">
        <v>463</v>
      </c>
    </row>
    <row r="30" spans="1:16" x14ac:dyDescent="0.25">
      <c r="A30" s="37" t="s">
        <v>464</v>
      </c>
      <c r="B30" s="6" t="s">
        <v>456</v>
      </c>
      <c r="C30" s="9">
        <v>4200</v>
      </c>
      <c r="D30" s="10">
        <f>_xll.BDP($P30,"LAST_PRICE")</f>
        <v>78.738</v>
      </c>
      <c r="E30" s="11">
        <f>_xll.BDP($P30,"CHG_PCT_1D")</f>
        <v>-7.3694817816886378</v>
      </c>
      <c r="F30" s="11">
        <f>_xll.BDP($P30,"YLD_YTM_MID")</f>
        <v>5.8690660905031971</v>
      </c>
      <c r="G30" s="12" t="str">
        <f>IFERROR(_xll.BDP($P30,"TRACE_LAST_TRADE_SIZE"),"n/a")</f>
        <v>1MM+</v>
      </c>
      <c r="H30" s="12" t="str">
        <f>IFERROR(_xll.BDP($P30,"PRICE_LAST_TIME"),"")</f>
        <v>12:32:10</v>
      </c>
      <c r="I30" s="13">
        <f t="shared" si="6"/>
        <v>-893.00400000000002</v>
      </c>
      <c r="J30" s="14">
        <f t="shared" si="7"/>
        <v>-0.21262</v>
      </c>
      <c r="K30" s="13">
        <f>IFERROR((D30-_xll.BDP($P30,"PX_CLOSE_1D"))/100*C30,"")</f>
        <v>-506.68800000000027</v>
      </c>
      <c r="L30" s="31">
        <v>4.535442806943804</v>
      </c>
      <c r="M30" s="15">
        <f t="shared" si="8"/>
        <v>133.3623283559393</v>
      </c>
      <c r="N30" s="8"/>
      <c r="O30" s="8" t="s">
        <v>465</v>
      </c>
      <c r="P30" s="38" t="s">
        <v>466</v>
      </c>
    </row>
    <row r="31" spans="1:16" x14ac:dyDescent="0.25">
      <c r="A31" s="37" t="s">
        <v>467</v>
      </c>
      <c r="B31" s="6" t="s">
        <v>456</v>
      </c>
      <c r="C31" s="9">
        <v>2000</v>
      </c>
      <c r="D31" s="10">
        <f>_xll.BDP($P31,"LAST_PRICE")</f>
        <v>84.688000000000002</v>
      </c>
      <c r="E31" s="11">
        <f>_xll.BDP($P31,"CHG_PCT_1D")</f>
        <v>-1.7004657783993757</v>
      </c>
      <c r="F31" s="11">
        <f>_xll.BDP($P31,"YLD_YTM_MID")</f>
        <v>14.730328785558163</v>
      </c>
      <c r="G31" s="12" t="str">
        <f>IFERROR(_xll.BDP($P31,"TRACE_LAST_TRADE_SIZE"),"n/a")</f>
        <v>1MM+</v>
      </c>
      <c r="H31" s="12" t="str">
        <f>IFERROR(_xll.BDP($P31,"PRICE_LAST_TIME"),"")</f>
        <v>16:44:24</v>
      </c>
      <c r="I31" s="13">
        <f t="shared" si="6"/>
        <v>-306.23999999999995</v>
      </c>
      <c r="J31" s="14">
        <f t="shared" si="7"/>
        <v>-0.15311999999999998</v>
      </c>
      <c r="K31" s="13">
        <f>IFERROR((D31-_xll.BDP($P31,"PX_CLOSE_1D"))/100*C31,"")</f>
        <v>-35.979999999999848</v>
      </c>
      <c r="L31" s="31">
        <v>14.34519534127959</v>
      </c>
      <c r="M31" s="15">
        <f t="shared" si="8"/>
        <v>38.513344427857277</v>
      </c>
      <c r="N31" s="8" t="s">
        <v>458</v>
      </c>
      <c r="O31" s="8" t="s">
        <v>468</v>
      </c>
      <c r="P31" s="38" t="s">
        <v>469</v>
      </c>
    </row>
    <row r="32" spans="1:16" x14ac:dyDescent="0.25">
      <c r="A32" s="37" t="s">
        <v>470</v>
      </c>
      <c r="B32" s="6" t="s">
        <v>456</v>
      </c>
      <c r="C32" s="9">
        <v>1750</v>
      </c>
      <c r="D32" s="10">
        <f>_xll.BDP($P32,"LAST_PRICE")</f>
        <v>81.064999999999998</v>
      </c>
      <c r="E32" s="11">
        <f>_xll.BDP($P32,"CHG_PCT_1D")</f>
        <v>-2.910248599916561</v>
      </c>
      <c r="F32" s="11">
        <f>_xll.BDP($P32,"YLD_YTM_MID")</f>
        <v>15.36832041013799</v>
      </c>
      <c r="G32" s="12" t="str">
        <f>IFERROR(_xll.BDP($P32,"TRACE_LAST_TRADE_SIZE"),"n/a")</f>
        <v>1MM+</v>
      </c>
      <c r="H32" s="12" t="str">
        <f>IFERROR(_xll.BDP($P32,"PRICE_LAST_TIME"),"")</f>
        <v>16:44:24</v>
      </c>
      <c r="I32" s="13">
        <f t="shared" si="6"/>
        <v>-331.36250000000001</v>
      </c>
      <c r="J32" s="14">
        <f t="shared" si="7"/>
        <v>-0.18935000000000002</v>
      </c>
      <c r="K32" s="13">
        <f>IFERROR((D32-_xll.BDP($P32,"PX_CLOSE_1D"))/100*C32,"")</f>
        <v>-32.305000000000064</v>
      </c>
      <c r="L32" s="31">
        <v>14.776174815814</v>
      </c>
      <c r="M32" s="15">
        <f t="shared" si="8"/>
        <v>59.21455943239895</v>
      </c>
      <c r="N32" s="8" t="s">
        <v>458</v>
      </c>
      <c r="O32" s="8" t="s">
        <v>471</v>
      </c>
      <c r="P32" s="38" t="s">
        <v>472</v>
      </c>
    </row>
    <row r="33" spans="1:16" x14ac:dyDescent="0.25">
      <c r="A33" s="37" t="s">
        <v>473</v>
      </c>
      <c r="B33" s="6" t="s">
        <v>456</v>
      </c>
      <c r="C33" s="9">
        <v>1250</v>
      </c>
      <c r="D33" s="10">
        <f>_xll.BDP($P33,"LAST_PRICE")</f>
        <v>79.701999999999998</v>
      </c>
      <c r="E33" s="11">
        <f>_xll.BDP($P33,"CHG_PCT_1D")</f>
        <v>-2.6568141063408541</v>
      </c>
      <c r="F33" s="11">
        <f>_xll.BDP($P33,"YLD_YTM_MID")</f>
        <v>15.051917002969116</v>
      </c>
      <c r="G33" s="12" t="str">
        <f>IFERROR(_xll.BDP($P33,"TRACE_LAST_TRADE_SIZE"),"n/a")</f>
        <v>1MM+</v>
      </c>
      <c r="H33" s="12" t="str">
        <f>IFERROR(_xll.BDP($P33,"PRICE_LAST_TIME"),"")</f>
        <v>16:44:24</v>
      </c>
      <c r="I33" s="13">
        <f t="shared" si="6"/>
        <v>-253.72500000000002</v>
      </c>
      <c r="J33" s="14">
        <f t="shared" si="7"/>
        <v>-0.20298000000000002</v>
      </c>
      <c r="K33" s="13">
        <f>IFERROR((D33-_xll.BDP($P33,"PX_CLOSE_1D"))/100*C33,"")</f>
        <v>-25.287499999999948</v>
      </c>
      <c r="L33" s="31">
        <v>14.7828691188933</v>
      </c>
      <c r="M33" s="15">
        <f t="shared" si="8"/>
        <v>26.90478840758157</v>
      </c>
      <c r="N33" s="8" t="s">
        <v>458</v>
      </c>
      <c r="O33" s="8" t="s">
        <v>474</v>
      </c>
      <c r="P33" s="38" t="s">
        <v>475</v>
      </c>
    </row>
    <row r="34" spans="1:16" ht="36" x14ac:dyDescent="0.25">
      <c r="A34" s="37" t="s">
        <v>476</v>
      </c>
      <c r="B34" s="6" t="s">
        <v>456</v>
      </c>
      <c r="C34" s="9">
        <v>1101</v>
      </c>
      <c r="D34" s="10">
        <f>_xll.BDP($P34,"LAST_PRICE")</f>
        <v>99.47</v>
      </c>
      <c r="E34" s="11">
        <f>_xll.BDP($P34,"CHG_PCT_1D")</f>
        <v>-5.4119210846055012E-2</v>
      </c>
      <c r="F34" s="11">
        <f>_xll.BDP($P34,"YLD_YTM_MID")</f>
        <v>8.5464185214246875</v>
      </c>
      <c r="G34" s="12" t="str">
        <f>IFERROR(_xll.BDP($P34,"TRACE_LAST_TRADE_SIZE"),"n/a")</f>
        <v>#N/A Field Not Applicable</v>
      </c>
      <c r="H34" s="12" t="str">
        <f>IFERROR(_xll.BDP($P34,"PRICE_LAST_TIME"),"")</f>
        <v>16:00:00</v>
      </c>
      <c r="I34" s="13">
        <f t="shared" si="6"/>
        <v>-5.8353000000000126</v>
      </c>
      <c r="J34" s="14">
        <f t="shared" si="7"/>
        <v>-5.3000000000000113E-3</v>
      </c>
      <c r="K34" s="13">
        <f>IFERROR((D34-_xll.BDP($P34,"PX_CLOSE_1D"))/100*C34,"")</f>
        <v>-3.0031976999999359</v>
      </c>
      <c r="L34" s="31">
        <v>8.5296160461554162</v>
      </c>
      <c r="M34" s="15">
        <f t="shared" si="8"/>
        <v>1.6802475269271255</v>
      </c>
      <c r="N34" s="8"/>
      <c r="O34" s="8" t="s">
        <v>477</v>
      </c>
      <c r="P34" s="38" t="s">
        <v>478</v>
      </c>
    </row>
    <row r="35" spans="1:16" ht="36" x14ac:dyDescent="0.25">
      <c r="A35" s="37" t="s">
        <v>479</v>
      </c>
      <c r="B35" s="6" t="s">
        <v>456</v>
      </c>
      <c r="C35" s="9">
        <v>1200</v>
      </c>
      <c r="D35" s="10">
        <f>_xll.BDP($P35,"LAST_PRICE")</f>
        <v>98.563000000000002</v>
      </c>
      <c r="E35" s="11">
        <f>_xll.BDP($P35,"CHG_PCT_1D")</f>
        <v>-6.2383031815346227E-2</v>
      </c>
      <c r="F35" s="11">
        <f>_xll.BDP($P35,"YLD_YTM_MID")</f>
        <v>8.1203521734114208</v>
      </c>
      <c r="G35" s="12" t="str">
        <f>IFERROR(_xll.BDP($P35,"TRACE_LAST_TRADE_SIZE"),"n/a")</f>
        <v>#N/A Field Not Applicable</v>
      </c>
      <c r="H35" s="12" t="str">
        <f>IFERROR(_xll.BDP($P35,"PRICE_LAST_TIME"),"")</f>
        <v>16:00:00</v>
      </c>
      <c r="I35" s="13">
        <f t="shared" si="6"/>
        <v>-17.243999999999971</v>
      </c>
      <c r="J35" s="14">
        <f t="shared" si="7"/>
        <v>-1.4369999999999977E-2</v>
      </c>
      <c r="K35" s="13">
        <f>IFERROR((D35-_xll.BDP($P35,"PX_CLOSE_1D"))/100*C35,"")</f>
        <v>-19.493999999999971</v>
      </c>
      <c r="L35" s="31">
        <v>8.1203521734114208</v>
      </c>
      <c r="M35" s="15">
        <f t="shared" si="8"/>
        <v>0</v>
      </c>
      <c r="N35" s="8"/>
      <c r="O35" s="8" t="s">
        <v>480</v>
      </c>
      <c r="P35" s="38" t="s">
        <v>481</v>
      </c>
    </row>
    <row r="36" spans="1:16" x14ac:dyDescent="0.25">
      <c r="A36" s="37" t="s">
        <v>482</v>
      </c>
      <c r="B36" s="6" t="s">
        <v>456</v>
      </c>
      <c r="C36" s="9">
        <v>2587.5</v>
      </c>
      <c r="D36" s="10">
        <f>_xll.BDP($P36,"LAST_PRICE")</f>
        <v>113.562</v>
      </c>
      <c r="E36" s="11">
        <f>_xll.BDP($P36,"CHG_PCT_1D")</f>
        <v>0</v>
      </c>
      <c r="F36" s="11">
        <f>_xll.BDP($P36,"YLD_YTM_MID")</f>
        <v>1.1892054566137107</v>
      </c>
      <c r="G36" s="12" t="str">
        <f>IFERROR(_xll.BDP($P36,"TRACE_LAST_TRADE_SIZE"),"n/a")</f>
        <v>1MM+</v>
      </c>
      <c r="H36" s="12" t="str">
        <f>IFERROR(_xll.BDP($P36,"PRICE_LAST_TIME"),"")</f>
        <v>15:31:45</v>
      </c>
      <c r="I36" s="13">
        <f t="shared" si="6"/>
        <v>350.91674999999992</v>
      </c>
      <c r="J36" s="14">
        <f t="shared" si="7"/>
        <v>0.13561999999999996</v>
      </c>
      <c r="K36" s="13">
        <f>IFERROR((D36-_xll.BDP($P36,"PX_CLOSE_1D"))/100*C36,"")</f>
        <v>-146.97000000000017</v>
      </c>
      <c r="L36" s="31">
        <v>1.1892054566137109</v>
      </c>
      <c r="M36" s="15">
        <f t="shared" si="8"/>
        <v>-2.2204460492503131E-14</v>
      </c>
      <c r="N36" s="8"/>
      <c r="O36" s="8" t="s">
        <v>483</v>
      </c>
      <c r="P36" s="38" t="s">
        <v>484</v>
      </c>
    </row>
    <row r="37" spans="1:16" x14ac:dyDescent="0.25">
      <c r="A37" s="37" t="s">
        <v>485</v>
      </c>
      <c r="B37" s="6" t="s">
        <v>456</v>
      </c>
      <c r="C37" s="9">
        <v>1750</v>
      </c>
      <c r="D37" s="10">
        <f>_xll.BDP($P37,"LAST_PRICE")</f>
        <v>115.244</v>
      </c>
      <c r="E37" s="11">
        <f>_xll.BDP($P37,"CHG_PCT_1D")</f>
        <v>-1.0297715712282176</v>
      </c>
      <c r="F37" s="11">
        <f>_xll.BDP($P37,"YLD_YTM_MID")</f>
        <v>2.8690390571268138</v>
      </c>
      <c r="G37" s="12" t="str">
        <f>IFERROR(_xll.BDP($P37,"TRACE_LAST_TRADE_SIZE"),"n/a")</f>
        <v>1MM+</v>
      </c>
      <c r="H37" s="12" t="str">
        <f>IFERROR(_xll.BDP($P37,"PRICE_LAST_TIME"),"")</f>
        <v>12:22:34</v>
      </c>
      <c r="I37" s="13">
        <f t="shared" si="6"/>
        <v>266.77</v>
      </c>
      <c r="J37" s="14">
        <f t="shared" si="7"/>
        <v>0.15243999999999999</v>
      </c>
      <c r="K37" s="13">
        <f>IFERROR((D37-_xll.BDP($P37,"PX_CLOSE_1D"))/100*C37,"")</f>
        <v>-20.982499999999966</v>
      </c>
      <c r="L37" s="31">
        <v>2.694239008714181</v>
      </c>
      <c r="M37" s="15">
        <f t="shared" si="8"/>
        <v>17.480004841263288</v>
      </c>
      <c r="N37" s="8"/>
      <c r="O37" s="8" t="s">
        <v>486</v>
      </c>
      <c r="P37" s="38" t="s">
        <v>487</v>
      </c>
    </row>
    <row r="38" spans="1:16" x14ac:dyDescent="0.25">
      <c r="A38" s="37" t="s">
        <v>488</v>
      </c>
      <c r="B38" s="6" t="s">
        <v>456</v>
      </c>
      <c r="C38" s="9">
        <v>2300</v>
      </c>
      <c r="D38" s="10">
        <f>_xll.BDP($P38,"LAST_PRICE")</f>
        <v>84.352999999999994</v>
      </c>
      <c r="E38" s="11">
        <f>_xll.BDP($P38,"CHG_PCT_1D")</f>
        <v>-5.5064757032331508</v>
      </c>
      <c r="F38" s="11">
        <f>_xll.BDP($P38,"YLD_YTM_MID")</f>
        <v>9.9552672854104198</v>
      </c>
      <c r="G38" s="12" t="str">
        <f>IFERROR(_xll.BDP($P38,"TRACE_LAST_TRADE_SIZE"),"n/a")</f>
        <v>1MM+</v>
      </c>
      <c r="H38" s="12" t="str">
        <f>IFERROR(_xll.BDP($P38,"PRICE_LAST_TIME"),"")</f>
        <v>12:39:40</v>
      </c>
      <c r="I38" s="13">
        <f t="shared" si="6"/>
        <v>-359.88100000000014</v>
      </c>
      <c r="J38" s="14">
        <f t="shared" si="7"/>
        <v>-0.15647000000000005</v>
      </c>
      <c r="K38" s="13">
        <f>IFERROR((D38-_xll.BDP($P38,"PX_CLOSE_1D"))/100*C38,"")</f>
        <v>-113.50500000000005</v>
      </c>
      <c r="L38" s="31">
        <v>9.0128136092006326</v>
      </c>
      <c r="M38" s="15">
        <f t="shared" si="8"/>
        <v>94.245367620978726</v>
      </c>
      <c r="N38" s="8"/>
      <c r="O38" s="8" t="s">
        <v>489</v>
      </c>
      <c r="P38" s="38" t="s">
        <v>490</v>
      </c>
    </row>
    <row r="39" spans="1:16" x14ac:dyDescent="0.25">
      <c r="A39" s="37" t="s">
        <v>491</v>
      </c>
      <c r="B39" s="6" t="s">
        <v>456</v>
      </c>
      <c r="C39" s="9">
        <v>172.5</v>
      </c>
      <c r="D39" s="10">
        <f>_xll.BDP($P39,"LAST_PRICE")</f>
        <v>223.50200000000001</v>
      </c>
      <c r="E39" s="11">
        <f>_xll.BDP($P39,"CHG_PCT_1D")</f>
        <v>-9.5358455601600607</v>
      </c>
      <c r="F39" s="11">
        <f>_xll.BDP($P39,"YLD_YTM_MID")</f>
        <v>-20.000853614723159</v>
      </c>
      <c r="G39" s="12" t="str">
        <f>IFERROR(_xll.BDP($P39,"TRACE_LAST_TRADE_SIZE"),"n/a")</f>
        <v>1MM+</v>
      </c>
      <c r="H39" s="12" t="str">
        <f>IFERROR(_xll.BDP($P39,"PRICE_LAST_TIME"),"")</f>
        <v>16:00:00</v>
      </c>
      <c r="I39" s="13">
        <f t="shared" si="6"/>
        <v>213.04095000000001</v>
      </c>
      <c r="J39" s="14">
        <f t="shared" si="7"/>
        <v>1.23502</v>
      </c>
      <c r="K39" s="13">
        <f>IFERROR((D39-_xll.BDP($P39,"PX_CLOSE_1D"))/100*C39,"")</f>
        <v>-38.003474999999966</v>
      </c>
      <c r="L39" s="31">
        <v>-20.911975270430371</v>
      </c>
      <c r="M39" s="15">
        <f t="shared" si="8"/>
        <v>91.11216557072126</v>
      </c>
      <c r="N39" s="8"/>
      <c r="O39" s="8" t="s">
        <v>492</v>
      </c>
      <c r="P39" s="38" t="s">
        <v>493</v>
      </c>
    </row>
    <row r="40" spans="1:16" x14ac:dyDescent="0.25">
      <c r="A40" s="37" t="s">
        <v>494</v>
      </c>
      <c r="B40" s="6" t="s">
        <v>456</v>
      </c>
      <c r="C40" s="9">
        <v>1300</v>
      </c>
      <c r="D40" s="10">
        <f>_xll.BDP($P40,"LAST_PRICE")</f>
        <v>89.531000000000006</v>
      </c>
      <c r="E40" s="11">
        <f>_xll.BDP($P40,"CHG_PCT_1D")</f>
        <v>0</v>
      </c>
      <c r="F40" s="11">
        <f>_xll.BDP($P40,"YLD_YTM_MID")</f>
        <v>1.437792947245109</v>
      </c>
      <c r="G40" s="12" t="str">
        <f>IFERROR(_xll.BDP($P40,"TRACE_LAST_TRADE_SIZE"),"n/a")</f>
        <v>1MM+</v>
      </c>
      <c r="H40" s="12" t="str">
        <f>IFERROR(_xll.BDP($P40,"PRICE_LAST_TIME"),"")</f>
        <v>17:08:59</v>
      </c>
      <c r="I40" s="13">
        <f t="shared" si="6"/>
        <v>-136.09699999999992</v>
      </c>
      <c r="J40" s="14">
        <f t="shared" si="7"/>
        <v>-0.10468999999999994</v>
      </c>
      <c r="K40" s="13">
        <f>IFERROR((D40-_xll.BDP($P40,"PX_CLOSE_1D"))/100*C40,"")</f>
        <v>-47.098999999999869</v>
      </c>
      <c r="L40" s="31">
        <v>1.437792947245109</v>
      </c>
      <c r="M40" s="15">
        <f t="shared" si="8"/>
        <v>0</v>
      </c>
      <c r="N40" s="8"/>
      <c r="O40" s="8" t="s">
        <v>495</v>
      </c>
      <c r="P40" s="38" t="s">
        <v>496</v>
      </c>
    </row>
    <row r="41" spans="1:16" x14ac:dyDescent="0.25">
      <c r="A41" s="37" t="s">
        <v>497</v>
      </c>
      <c r="B41" s="6" t="s">
        <v>456</v>
      </c>
      <c r="C41" s="9">
        <v>850</v>
      </c>
      <c r="D41" s="10">
        <f>_xll.BDP($P41,"LAST_PRICE")</f>
        <v>87.748999999999995</v>
      </c>
      <c r="E41" s="11">
        <f>_xll.BDP($P41,"CHG_PCT_1D")</f>
        <v>-1.7182944986268847</v>
      </c>
      <c r="F41" s="11">
        <f>_xll.BDP($P41,"YLD_YTM_MID")</f>
        <v>1.8327374499344184</v>
      </c>
      <c r="G41" s="12" t="str">
        <f>IFERROR(_xll.BDP($P41,"TRACE_LAST_TRADE_SIZE"),"n/a")</f>
        <v>1MM+</v>
      </c>
      <c r="H41" s="12" t="str">
        <f>IFERROR(_xll.BDP($P41,"PRICE_LAST_TIME"),"")</f>
        <v>12:11:21</v>
      </c>
      <c r="I41" s="13">
        <f t="shared" si="6"/>
        <v>-104.13350000000004</v>
      </c>
      <c r="J41" s="14">
        <f t="shared" si="7"/>
        <v>-0.12251000000000005</v>
      </c>
      <c r="K41" s="13">
        <f>IFERROR((D41-_xll.BDP($P41,"PX_CLOSE_1D"))/100*C41,"")</f>
        <v>-28.849000000000046</v>
      </c>
      <c r="L41" s="31">
        <v>1.543057221820598</v>
      </c>
      <c r="M41" s="15">
        <f t="shared" si="8"/>
        <v>28.968022811382042</v>
      </c>
      <c r="N41" s="8"/>
      <c r="O41" s="8" t="s">
        <v>498</v>
      </c>
      <c r="P41" s="38" t="s">
        <v>499</v>
      </c>
    </row>
    <row r="42" spans="1:16" x14ac:dyDescent="0.25">
      <c r="A42" s="37" t="s">
        <v>500</v>
      </c>
      <c r="B42" s="6" t="s">
        <v>456</v>
      </c>
      <c r="C42" s="9">
        <v>4500</v>
      </c>
      <c r="D42" s="10">
        <f>_xll.BDP($P42,"LAST_PRICE")</f>
        <v>98.903000000000006</v>
      </c>
      <c r="E42" s="11">
        <f>_xll.BDP($P42,"CHG_PCT_1D")</f>
        <v>-2.4784682530299427</v>
      </c>
      <c r="F42" s="11">
        <f>_xll.BDP($P42,"YLD_YTM_MID")</f>
        <v>10.104965950421402</v>
      </c>
      <c r="G42" s="12" t="str">
        <f>IFERROR(_xll.BDP($P42,"TRACE_LAST_TRADE_SIZE"),"n/a")</f>
        <v>1MM+</v>
      </c>
      <c r="H42" s="12" t="str">
        <f>IFERROR(_xll.BDP($P42,"PRICE_LAST_TIME"),"")</f>
        <v>16:44:24</v>
      </c>
      <c r="I42" s="13">
        <f t="shared" si="6"/>
        <v>-49.364999999999739</v>
      </c>
      <c r="J42" s="14">
        <f t="shared" si="7"/>
        <v>-1.0969999999999942E-2</v>
      </c>
      <c r="K42" s="13">
        <f>IFERROR((D42-_xll.BDP($P42,"PX_CLOSE_1D"))/100*C42,"")</f>
        <v>-78.794999999999575</v>
      </c>
      <c r="L42" s="31">
        <v>9.7278248046724407</v>
      </c>
      <c r="M42" s="15">
        <f t="shared" si="8"/>
        <v>37.714114574896129</v>
      </c>
      <c r="N42" s="8" t="s">
        <v>501</v>
      </c>
      <c r="O42" s="8" t="s">
        <v>502</v>
      </c>
      <c r="P42" s="38" t="s">
        <v>503</v>
      </c>
    </row>
    <row r="43" spans="1:16" x14ac:dyDescent="0.25">
      <c r="A43" s="4" t="s">
        <v>504</v>
      </c>
      <c r="B43" s="5"/>
      <c r="C43" s="5"/>
      <c r="D43" s="5"/>
      <c r="E43" s="5"/>
      <c r="F43" s="5"/>
      <c r="G43" s="5"/>
      <c r="H43" s="5"/>
      <c r="I43" s="5"/>
      <c r="J43" s="5"/>
      <c r="K43" s="5"/>
      <c r="L43" s="5"/>
      <c r="M43" s="5"/>
      <c r="N43" s="5"/>
      <c r="O43" s="5"/>
      <c r="P43" s="5"/>
    </row>
    <row r="44" spans="1:16" x14ac:dyDescent="0.25">
      <c r="A44" s="37" t="s">
        <v>505</v>
      </c>
      <c r="B44" s="6" t="s">
        <v>504</v>
      </c>
      <c r="C44" s="9">
        <v>1250</v>
      </c>
      <c r="D44" s="10">
        <f>_xll.BDP($P44,"LAST_PRICE")</f>
        <v>86.515000000000001</v>
      </c>
      <c r="E44" s="11">
        <f>_xll.BDP($P44,"CHG_PCT_1D")</f>
        <v>-0.11621104174726121</v>
      </c>
      <c r="F44" s="11">
        <f>_xll.BDP($P44,"YLD_YTM_MID")</f>
        <v>5.3217499489097122</v>
      </c>
      <c r="G44" s="12" t="str">
        <f>IFERROR(_xll.BDP($P44,"TRACE_LAST_TRADE_SIZE"),"n/a")</f>
        <v>35</v>
      </c>
      <c r="H44" s="12" t="str">
        <f>IFERROR(_xll.BDP($P44,"PRICE_LAST_TIME"),"")</f>
        <v>16:44:24</v>
      </c>
      <c r="I44" s="13">
        <f t="shared" ref="I44:I54" si="9">IF(AND(ISNUMBER(D44),ISNUMBER(C44)),(D44-100)/100*C44,"")</f>
        <v>-168.5625</v>
      </c>
      <c r="J44" s="14">
        <f t="shared" ref="J44:J54" si="10">IF(ISNUMBER(D44),(D44-100)/100,"")</f>
        <v>-0.13485</v>
      </c>
      <c r="K44" s="13">
        <f>IFERROR((D44-_xll.BDP($P44,"PX_CLOSE_1D"))/100*C44,"")</f>
        <v>-0.53750000000007958</v>
      </c>
      <c r="L44" s="31">
        <v>5.319216078684434</v>
      </c>
      <c r="M44" s="15">
        <f t="shared" ref="M44:M54" si="11">IF(AND(ISNUMBER(F44),ISNUMBER(L44)),(F44-L44)*100,"")</f>
        <v>0.25338702252781786</v>
      </c>
      <c r="N44" s="8" t="s">
        <v>397</v>
      </c>
      <c r="O44" s="8" t="s">
        <v>506</v>
      </c>
      <c r="P44" s="38" t="s">
        <v>507</v>
      </c>
    </row>
    <row r="45" spans="1:16" x14ac:dyDescent="0.25">
      <c r="A45" s="37" t="s">
        <v>508</v>
      </c>
      <c r="B45" s="6" t="s">
        <v>504</v>
      </c>
      <c r="C45" s="9">
        <v>4250</v>
      </c>
      <c r="D45" s="10">
        <f>_xll.BDP($P45,"LAST_PRICE")</f>
        <v>93.150999999999996</v>
      </c>
      <c r="E45" s="11">
        <f>_xll.BDP($P45,"CHG_PCT_1D")</f>
        <v>-8.107289649905329E-2</v>
      </c>
      <c r="F45" s="11">
        <f>_xll.BDP($P45,"YLD_YTM_MID")</f>
        <v>5.7643551177864971</v>
      </c>
      <c r="G45" s="12" t="str">
        <f>IFERROR(_xll.BDP($P45,"TRACE_LAST_TRADE_SIZE"),"n/a")</f>
        <v>15</v>
      </c>
      <c r="H45" s="12" t="str">
        <f>IFERROR(_xll.BDP($P45,"PRICE_LAST_TIME"),"")</f>
        <v>16:44:24</v>
      </c>
      <c r="I45" s="13">
        <f t="shared" si="9"/>
        <v>-291.08250000000015</v>
      </c>
      <c r="J45" s="14">
        <f t="shared" si="10"/>
        <v>-6.8490000000000037E-2</v>
      </c>
      <c r="K45" s="13">
        <f>IFERROR((D45-_xll.BDP($P45,"PX_CLOSE_1D"))/100*C45,"")</f>
        <v>-1.5725000000002609</v>
      </c>
      <c r="L45" s="31">
        <v>5.7500256723280998</v>
      </c>
      <c r="M45" s="15">
        <f t="shared" si="11"/>
        <v>1.4329445458397316</v>
      </c>
      <c r="N45" s="8" t="s">
        <v>509</v>
      </c>
      <c r="O45" s="8" t="s">
        <v>510</v>
      </c>
      <c r="P45" s="38" t="s">
        <v>511</v>
      </c>
    </row>
    <row r="46" spans="1:16" x14ac:dyDescent="0.25">
      <c r="A46" s="37" t="s">
        <v>512</v>
      </c>
      <c r="B46" s="6" t="s">
        <v>504</v>
      </c>
      <c r="C46" s="9">
        <v>3000</v>
      </c>
      <c r="D46" s="10">
        <f>_xll.BDP($P46,"LAST_PRICE")</f>
        <v>95.519000000000005</v>
      </c>
      <c r="E46" s="11">
        <f>_xll.BDP($P46,"CHG_PCT_1D")</f>
        <v>-3.8553314616503562E-2</v>
      </c>
      <c r="F46" s="11">
        <f>_xll.BDP($P46,"YLD_YTM_MID")</f>
        <v>5.2852493637957245</v>
      </c>
      <c r="G46" s="12" t="str">
        <f>IFERROR(_xll.BDP($P46,"TRACE_LAST_TRADE_SIZE"),"n/a")</f>
        <v>65</v>
      </c>
      <c r="H46" s="12" t="str">
        <f>IFERROR(_xll.BDP($P46,"PRICE_LAST_TIME"),"")</f>
        <v>16:44:24</v>
      </c>
      <c r="I46" s="13">
        <f t="shared" si="9"/>
        <v>-134.42999999999984</v>
      </c>
      <c r="J46" s="14">
        <f t="shared" si="10"/>
        <v>-4.4809999999999947E-2</v>
      </c>
      <c r="K46" s="13">
        <f>IFERROR((D46-_xll.BDP($P46,"PX_CLOSE_1D"))/100*C46,"")</f>
        <v>0.45000000000001705</v>
      </c>
      <c r="L46" s="31">
        <v>5.2802737129314652</v>
      </c>
      <c r="M46" s="15">
        <f t="shared" si="11"/>
        <v>0.49756508642593289</v>
      </c>
      <c r="N46" s="8" t="s">
        <v>509</v>
      </c>
      <c r="O46" s="8" t="s">
        <v>513</v>
      </c>
      <c r="P46" s="38" t="s">
        <v>514</v>
      </c>
    </row>
    <row r="47" spans="1:16" x14ac:dyDescent="0.25">
      <c r="A47" s="37" t="s">
        <v>515</v>
      </c>
      <c r="B47" s="6" t="s">
        <v>504</v>
      </c>
      <c r="C47" s="9">
        <v>6000</v>
      </c>
      <c r="D47" s="10">
        <f>_xll.BDP($P47,"LAST_PRICE")</f>
        <v>93.414000000000001</v>
      </c>
      <c r="E47" s="11">
        <f>_xll.BDP($P47,"CHG_PCT_1D")</f>
        <v>-0.2390102700158788</v>
      </c>
      <c r="F47" s="11">
        <f>_xll.BDP($P47,"YLD_YTM_MID")</f>
        <v>6.1574728738137257</v>
      </c>
      <c r="G47" s="12" t="str">
        <f>IFERROR(_xll.BDP($P47,"TRACE_LAST_TRADE_SIZE"),"n/a")</f>
        <v>2</v>
      </c>
      <c r="H47" s="12" t="str">
        <f>IFERROR(_xll.BDP($P47,"PRICE_LAST_TIME"),"")</f>
        <v>16:44:24</v>
      </c>
      <c r="I47" s="13">
        <f t="shared" si="9"/>
        <v>-395.15999999999991</v>
      </c>
      <c r="J47" s="14">
        <f t="shared" si="10"/>
        <v>-6.5859999999999988E-2</v>
      </c>
      <c r="K47" s="13">
        <f>IFERROR((D47-_xll.BDP($P47,"PX_CLOSE_1D"))/100*C47,"")</f>
        <v>-18.839999999999577</v>
      </c>
      <c r="L47" s="31">
        <v>6.1477172828091744</v>
      </c>
      <c r="M47" s="15">
        <f t="shared" si="11"/>
        <v>0.97555910045512562</v>
      </c>
      <c r="N47" s="8" t="s">
        <v>516</v>
      </c>
      <c r="O47" s="8" t="s">
        <v>517</v>
      </c>
      <c r="P47" s="38" t="s">
        <v>518</v>
      </c>
    </row>
    <row r="48" spans="1:16" x14ac:dyDescent="0.25">
      <c r="A48" s="37" t="s">
        <v>519</v>
      </c>
      <c r="B48" s="6" t="s">
        <v>504</v>
      </c>
      <c r="C48" s="9">
        <v>3000</v>
      </c>
      <c r="D48" s="10">
        <f>_xll.BDP($P48,"LAST_PRICE")</f>
        <v>63.829000000000001</v>
      </c>
      <c r="E48" s="11">
        <f>_xll.BDP($P48,"CHG_PCT_1D")</f>
        <v>-1.1045580264229615</v>
      </c>
      <c r="F48" s="11">
        <f>_xll.BDP($P48,"YLD_YTM_MID")</f>
        <v>8.0571206601815604</v>
      </c>
      <c r="G48" s="12" t="str">
        <f>IFERROR(_xll.BDP($P48,"TRACE_LAST_TRADE_SIZE"),"n/a")</f>
        <v>700</v>
      </c>
      <c r="H48" s="12" t="str">
        <f>IFERROR(_xll.BDP($P48,"PRICE_LAST_TIME"),"")</f>
        <v>16:44:24</v>
      </c>
      <c r="I48" s="13">
        <f t="shared" si="9"/>
        <v>-1085.1299999999999</v>
      </c>
      <c r="J48" s="14">
        <f t="shared" si="10"/>
        <v>-0.36170999999999998</v>
      </c>
      <c r="K48" s="13">
        <f>IFERROR((D48-_xll.BDP($P48,"PX_CLOSE_1D"))/100*C48,"")</f>
        <v>-20.399999999999991</v>
      </c>
      <c r="L48" s="31">
        <v>8.0349417548656312</v>
      </c>
      <c r="M48" s="15">
        <f t="shared" si="11"/>
        <v>2.2178905315929143</v>
      </c>
      <c r="N48" s="8" t="s">
        <v>520</v>
      </c>
      <c r="O48" s="8" t="s">
        <v>521</v>
      </c>
      <c r="P48" s="38" t="s">
        <v>522</v>
      </c>
    </row>
    <row r="49" spans="1:16" x14ac:dyDescent="0.25">
      <c r="A49" s="37" t="s">
        <v>523</v>
      </c>
      <c r="B49" s="6" t="s">
        <v>504</v>
      </c>
      <c r="C49" s="9">
        <v>3500</v>
      </c>
      <c r="D49" s="10">
        <f>_xll.BDP($P49,"LAST_PRICE")</f>
        <v>91.99</v>
      </c>
      <c r="E49" s="11">
        <f>_xll.BDP($P49,"CHG_PCT_1D")</f>
        <v>6.6211329257392718E-2</v>
      </c>
      <c r="F49" s="11">
        <f>_xll.BDP($P49,"YLD_YTM_MID")</f>
        <v>7.1286629885702366</v>
      </c>
      <c r="G49" s="12" t="str">
        <f>IFERROR(_xll.BDP($P49,"TRACE_LAST_TRADE_SIZE"),"n/a")</f>
        <v>48</v>
      </c>
      <c r="H49" s="12" t="str">
        <f>IFERROR(_xll.BDP($P49,"PRICE_LAST_TIME"),"")</f>
        <v>16:44:24</v>
      </c>
      <c r="I49" s="13">
        <f t="shared" si="9"/>
        <v>-280.35000000000014</v>
      </c>
      <c r="J49" s="14">
        <f t="shared" si="10"/>
        <v>-8.0100000000000046E-2</v>
      </c>
      <c r="K49" s="13">
        <f>IFERROR((D49-_xll.BDP($P49,"PX_CLOSE_1D"))/100*C49,"")</f>
        <v>-0.10500000000000398</v>
      </c>
      <c r="L49" s="31">
        <v>7.1314023867508638</v>
      </c>
      <c r="M49" s="15">
        <f t="shared" si="11"/>
        <v>-0.27393981806271839</v>
      </c>
      <c r="N49" s="8" t="s">
        <v>520</v>
      </c>
      <c r="O49" s="8" t="s">
        <v>524</v>
      </c>
      <c r="P49" s="38" t="s">
        <v>525</v>
      </c>
    </row>
    <row r="50" spans="1:16" x14ac:dyDescent="0.25">
      <c r="A50" s="37" t="s">
        <v>526</v>
      </c>
      <c r="B50" s="6" t="s">
        <v>504</v>
      </c>
      <c r="C50" s="9">
        <v>1749.3</v>
      </c>
      <c r="D50" s="10">
        <f>_xll.BDP($P50,"LAST_PRICE")</f>
        <v>85.391000000000005</v>
      </c>
      <c r="E50" s="11">
        <f>_xll.BDP($P50,"CHG_PCT_1D")</f>
        <v>-0.22969061977183505</v>
      </c>
      <c r="F50" s="11">
        <f>_xll.BDP($P50,"YLD_YTM_MID")</f>
        <v>5.3957353207426912</v>
      </c>
      <c r="G50" s="12" t="str">
        <f>IFERROR(_xll.BDP($P50,"TRACE_LAST_TRADE_SIZE"),"n/a")</f>
        <v>6</v>
      </c>
      <c r="H50" s="12" t="str">
        <f>IFERROR(_xll.BDP($P50,"PRICE_LAST_TIME"),"")</f>
        <v>16:44:24</v>
      </c>
      <c r="I50" s="13">
        <f t="shared" si="9"/>
        <v>-255.55523699999989</v>
      </c>
      <c r="J50" s="14">
        <f t="shared" si="10"/>
        <v>-0.14608999999999994</v>
      </c>
      <c r="K50" s="13">
        <f>IFERROR((D50-_xll.BDP($P50,"PX_CLOSE_1D"))/100*C50,"")</f>
        <v>-2.3965410000000076</v>
      </c>
      <c r="L50" s="31">
        <v>5.3699721699880447</v>
      </c>
      <c r="M50" s="15">
        <f t="shared" si="11"/>
        <v>2.5763150754646524</v>
      </c>
      <c r="N50" s="8" t="s">
        <v>527</v>
      </c>
      <c r="O50" s="8" t="s">
        <v>528</v>
      </c>
      <c r="P50" s="38" t="s">
        <v>529</v>
      </c>
    </row>
    <row r="51" spans="1:16" x14ac:dyDescent="0.25">
      <c r="A51" s="37" t="s">
        <v>530</v>
      </c>
      <c r="B51" s="6" t="s">
        <v>504</v>
      </c>
      <c r="C51" s="9">
        <v>5000</v>
      </c>
      <c r="D51" s="10">
        <f>_xll.BDP($P51,"LAST_PRICE")</f>
        <v>95.614000000000004</v>
      </c>
      <c r="E51" s="11">
        <f>_xll.BDP($P51,"CHG_PCT_1D")</f>
        <v>-9.9199639038352674E-2</v>
      </c>
      <c r="F51" s="11">
        <f>_xll.BDP($P51,"YLD_YTM_MID")</f>
        <v>5.3958070884274791</v>
      </c>
      <c r="G51" s="12" t="str">
        <f>IFERROR(_xll.BDP($P51,"TRACE_LAST_TRADE_SIZE"),"n/a")</f>
        <v>18</v>
      </c>
      <c r="H51" s="12" t="str">
        <f>IFERROR(_xll.BDP($P51,"PRICE_LAST_TIME"),"")</f>
        <v>16:44:24</v>
      </c>
      <c r="I51" s="13">
        <f t="shared" si="9"/>
        <v>-219.29999999999978</v>
      </c>
      <c r="J51" s="14">
        <f t="shared" si="10"/>
        <v>-4.3859999999999955E-2</v>
      </c>
      <c r="K51" s="13">
        <f>IFERROR((D51-_xll.BDP($P51,"PX_CLOSE_1D"))/100*C51,"")</f>
        <v>-2.1000000000000796</v>
      </c>
      <c r="L51" s="31">
        <v>5.3877169201842943</v>
      </c>
      <c r="M51" s="15">
        <f t="shared" si="11"/>
        <v>0.80901682431848698</v>
      </c>
      <c r="N51" s="8" t="s">
        <v>397</v>
      </c>
      <c r="O51" s="8" t="s">
        <v>531</v>
      </c>
      <c r="P51" s="38" t="s">
        <v>532</v>
      </c>
    </row>
    <row r="52" spans="1:16" x14ac:dyDescent="0.25">
      <c r="A52" s="37" t="s">
        <v>533</v>
      </c>
      <c r="B52" s="6" t="s">
        <v>504</v>
      </c>
      <c r="C52" s="9">
        <v>5860</v>
      </c>
      <c r="D52" s="10">
        <f>_xll.BDP($P52,"LAST_PRICE")</f>
        <v>99.932000000000002</v>
      </c>
      <c r="E52" s="11">
        <f>_xll.BDP($P52,"CHG_PCT_1D")</f>
        <v>-0.6188480519183448</v>
      </c>
      <c r="F52" s="11">
        <f>_xll.BDP($P52,"YLD_YTM_MID")</f>
        <v>7.3160842281051837</v>
      </c>
      <c r="G52" s="12" t="str">
        <f>IFERROR(_xll.BDP($P52,"TRACE_LAST_TRADE_SIZE"),"n/a")</f>
        <v>100</v>
      </c>
      <c r="H52" s="12" t="str">
        <f>IFERROR(_xll.BDP($P52,"PRICE_LAST_TIME"),"")</f>
        <v>16:44:24</v>
      </c>
      <c r="I52" s="13">
        <f t="shared" si="9"/>
        <v>-3.9847999999998733</v>
      </c>
      <c r="J52" s="14">
        <f t="shared" si="10"/>
        <v>-6.7999999999997836E-4</v>
      </c>
      <c r="K52" s="13">
        <f>IFERROR((D52-_xll.BDP($P52,"PX_CLOSE_1D"))/100*C52,"")</f>
        <v>-34.866999999999933</v>
      </c>
      <c r="L52" s="31">
        <v>7.2826007449548884</v>
      </c>
      <c r="M52" s="15">
        <f t="shared" si="11"/>
        <v>3.3483483150295257</v>
      </c>
      <c r="N52" s="8" t="s">
        <v>534</v>
      </c>
      <c r="O52" s="8" t="s">
        <v>535</v>
      </c>
      <c r="P52" s="38" t="s">
        <v>536</v>
      </c>
    </row>
    <row r="53" spans="1:16" x14ac:dyDescent="0.25">
      <c r="A53" s="37" t="s">
        <v>537</v>
      </c>
      <c r="B53" s="6" t="s">
        <v>504</v>
      </c>
      <c r="C53" s="9">
        <v>600</v>
      </c>
      <c r="D53" s="10">
        <f>_xll.BDP($P53,"LAST_PRICE")</f>
        <v>97.75</v>
      </c>
      <c r="E53" s="11">
        <f>_xll.BDP($P53,"CHG_PCT_1D")</f>
        <v>-8.3210268093923512E-2</v>
      </c>
      <c r="F53" s="11">
        <f>_xll.BDP($P53,"YLD_YTM_MID")</f>
        <v>8.8231534529273041</v>
      </c>
      <c r="G53" s="12" t="str">
        <f>IFERROR(_xll.BDP($P53,"TRACE_LAST_TRADE_SIZE"),"n/a")</f>
        <v>200</v>
      </c>
      <c r="H53" s="12" t="str">
        <f>IFERROR(_xll.BDP($P53,"PRICE_LAST_TIME"),"")</f>
        <v>16:44:24</v>
      </c>
      <c r="I53" s="13">
        <f t="shared" si="9"/>
        <v>-13.5</v>
      </c>
      <c r="J53" s="14">
        <f t="shared" si="10"/>
        <v>-2.2499999999999999E-2</v>
      </c>
      <c r="K53" s="13">
        <f>IFERROR((D53-_xll.BDP($P53,"PX_CLOSE_1D"))/100*C53,"")</f>
        <v>-0.29999999999998295</v>
      </c>
      <c r="L53" s="31">
        <v>8.801869305510202</v>
      </c>
      <c r="M53" s="15">
        <f t="shared" si="11"/>
        <v>2.1284147417102162</v>
      </c>
      <c r="N53" s="8" t="s">
        <v>501</v>
      </c>
      <c r="O53" s="8" t="s">
        <v>538</v>
      </c>
      <c r="P53" s="38" t="s">
        <v>539</v>
      </c>
    </row>
    <row r="54" spans="1:16" x14ac:dyDescent="0.25">
      <c r="A54" s="37" t="s">
        <v>540</v>
      </c>
      <c r="B54" s="6" t="s">
        <v>504</v>
      </c>
      <c r="C54" s="9">
        <v>1500</v>
      </c>
      <c r="D54" s="10">
        <f>_xll.BDP($P54,"LAST_PRICE")</f>
        <v>87.706000000000003</v>
      </c>
      <c r="E54" s="11">
        <f>_xll.BDP($P54,"CHG_PCT_1D")</f>
        <v>-3.7983479751988937E-2</v>
      </c>
      <c r="F54" s="11">
        <f>_xll.BDP($P54,"YLD_YTM_MID")</f>
        <v>5.3718895325594902</v>
      </c>
      <c r="G54" s="12" t="str">
        <f>IFERROR(_xll.BDP($P54,"TRACE_LAST_TRADE_SIZE"),"n/a")</f>
        <v>200</v>
      </c>
      <c r="H54" s="12" t="str">
        <f>IFERROR(_xll.BDP($P54,"PRICE_LAST_TIME"),"")</f>
        <v>16:44:24</v>
      </c>
      <c r="I54" s="13">
        <f t="shared" si="9"/>
        <v>-184.40999999999994</v>
      </c>
      <c r="J54" s="14">
        <f t="shared" si="10"/>
        <v>-0.12293999999999997</v>
      </c>
      <c r="K54" s="13">
        <f>IFERROR((D54-_xll.BDP($P54,"PX_CLOSE_1D"))/100*C54,"")</f>
        <v>0.15000000000007674</v>
      </c>
      <c r="L54" s="31">
        <v>5.3819757901080294</v>
      </c>
      <c r="M54" s="15">
        <f t="shared" si="11"/>
        <v>-1.0086257548539201</v>
      </c>
      <c r="N54" s="8" t="s">
        <v>541</v>
      </c>
      <c r="O54" s="8" t="s">
        <v>542</v>
      </c>
      <c r="P54" s="38" t="s">
        <v>543</v>
      </c>
    </row>
    <row r="55" spans="1:16" x14ac:dyDescent="0.25">
      <c r="A55" s="4" t="s">
        <v>456</v>
      </c>
      <c r="B55" s="5"/>
      <c r="C55" s="5"/>
      <c r="D55" s="5"/>
      <c r="E55" s="5"/>
      <c r="F55" s="5"/>
      <c r="G55" s="5"/>
      <c r="H55" s="5"/>
      <c r="I55" s="5"/>
      <c r="J55" s="5"/>
      <c r="K55" s="5"/>
      <c r="L55" s="5"/>
      <c r="M55" s="5"/>
      <c r="N55" s="5"/>
      <c r="O55" s="5"/>
      <c r="P55" s="5"/>
    </row>
    <row r="56" spans="1:16" ht="36" x14ac:dyDescent="0.25">
      <c r="A56" s="37" t="s">
        <v>544</v>
      </c>
      <c r="B56" s="6" t="s">
        <v>456</v>
      </c>
      <c r="C56" s="9">
        <v>2000</v>
      </c>
      <c r="D56" s="10">
        <f>_xll.BDP($P56,"LAST_PRICE")</f>
        <v>78.251000000000005</v>
      </c>
      <c r="E56" s="11">
        <f>_xll.BDP($P56,"CHG_PCT_1D")</f>
        <v>-0.31372909714760361</v>
      </c>
      <c r="F56" s="11">
        <f>_xll.BDP($P56,"YLD_YTM_MID")</f>
        <v>14.146720261590879</v>
      </c>
      <c r="G56" s="12" t="str">
        <f>IFERROR(_xll.BDP($P56,"TRACE_LAST_TRADE_SIZE"),"n/a")</f>
        <v>#N/A Field Not Applicable</v>
      </c>
      <c r="H56" s="12" t="str">
        <f>IFERROR(_xll.BDP($P56,"PRICE_LAST_TIME"),"")</f>
        <v>12:59:55</v>
      </c>
      <c r="I56" s="13">
        <f t="shared" ref="I56:I61" si="12">IF(AND(ISNUMBER(D56),ISNUMBER(C56)),(D56-100)/100*C56,"")</f>
        <v>-434.9799999999999</v>
      </c>
      <c r="J56" s="14">
        <f t="shared" ref="J56:J61" si="13">IF(ISNUMBER(D56),(D56-100)/100,"")</f>
        <v>-0.21748999999999996</v>
      </c>
      <c r="K56" s="13">
        <f>IFERROR((D56-_xll.BDP($P56,"PX_CLOSE_1D"))/100*C56,"")</f>
        <v>-4.9399999999999977</v>
      </c>
      <c r="L56" s="31">
        <v>14.14656820619485</v>
      </c>
      <c r="M56" s="15">
        <f t="shared" ref="M56:M61" si="14">IF(AND(ISNUMBER(F56),ISNUMBER(L56)),(F56-L56)*100,"")</f>
        <v>1.5205539602902718E-2</v>
      </c>
      <c r="N56" s="8" t="s">
        <v>458</v>
      </c>
      <c r="O56" s="8" t="s">
        <v>545</v>
      </c>
      <c r="P56" s="38" t="s">
        <v>546</v>
      </c>
    </row>
    <row r="57" spans="1:16" x14ac:dyDescent="0.25">
      <c r="A57" s="37" t="s">
        <v>547</v>
      </c>
      <c r="B57" s="6" t="s">
        <v>456</v>
      </c>
      <c r="C57" s="9">
        <v>87.5</v>
      </c>
      <c r="D57" s="10">
        <f>_xll.BDP($P57,"LAST_PRICE")</f>
        <v>323.30200000000002</v>
      </c>
      <c r="E57" s="11">
        <f>_xll.BDP($P57,"CHG_PCT_1D")</f>
        <v>-12.625641572540342</v>
      </c>
      <c r="F57" s="11">
        <f>_xll.BDP($P57,"YLD_YTM_MID")</f>
        <v>-33.200485737631936</v>
      </c>
      <c r="G57" s="12" t="str">
        <f>IFERROR(_xll.BDP($P57,"TRACE_LAST_TRADE_SIZE"),"n/a")</f>
        <v>5</v>
      </c>
      <c r="H57" s="12" t="str">
        <f>IFERROR(_xll.BDP($P57,"PRICE_LAST_TIME"),"")</f>
        <v>16:00:00</v>
      </c>
      <c r="I57" s="13">
        <f t="shared" si="12"/>
        <v>195.38925000000003</v>
      </c>
      <c r="J57" s="14">
        <f t="shared" si="13"/>
        <v>2.2330200000000002</v>
      </c>
      <c r="K57" s="13">
        <f>IFERROR((D57-_xll.BDP($P57,"PX_CLOSE_1D"))/100*C57,"")</f>
        <v>-38.737124999999963</v>
      </c>
      <c r="L57" s="31">
        <v>-34.692671406937173</v>
      </c>
      <c r="M57" s="15">
        <f t="shared" si="14"/>
        <v>149.21856693052362</v>
      </c>
      <c r="N57" s="8"/>
      <c r="O57" s="8" t="s">
        <v>548</v>
      </c>
      <c r="P57" s="38" t="s">
        <v>549</v>
      </c>
    </row>
    <row r="58" spans="1:16" x14ac:dyDescent="0.25">
      <c r="A58" s="37" t="s">
        <v>550</v>
      </c>
      <c r="B58" s="6" t="s">
        <v>456</v>
      </c>
      <c r="C58" s="9">
        <v>87.5</v>
      </c>
      <c r="D58" s="10">
        <f>_xll.BDP($P58,"LAST_PRICE")</f>
        <v>347</v>
      </c>
      <c r="E58" s="11">
        <f>_xll.BDP($P58,"CHG_PCT_1D")</f>
        <v>0</v>
      </c>
      <c r="F58" s="11">
        <f>_xll.BDP($P58,"YLD_YTM_MID")</f>
        <v>-19.474582176737158</v>
      </c>
      <c r="G58" s="12" t="str">
        <f>IFERROR(_xll.BDP($P58,"TRACE_LAST_TRADE_SIZE"),"n/a")</f>
        <v>250</v>
      </c>
      <c r="H58" s="12" t="str">
        <f>IFERROR(_xll.BDP($P58,"PRICE_LAST_TIME"),"")</f>
        <v>12:47:46</v>
      </c>
      <c r="I58" s="13">
        <f t="shared" si="12"/>
        <v>216.12500000000003</v>
      </c>
      <c r="J58" s="14">
        <f t="shared" si="13"/>
        <v>2.4700000000000002</v>
      </c>
      <c r="K58" s="13">
        <f>IFERROR((D58-_xll.BDP($P58,"PX_CLOSE_1D"))/100*C58,"")</f>
        <v>0</v>
      </c>
      <c r="L58" s="31">
        <v>-19.474582176737162</v>
      </c>
      <c r="M58" s="15">
        <f t="shared" si="14"/>
        <v>3.5527136788005009E-13</v>
      </c>
      <c r="N58" s="8"/>
      <c r="O58" s="8" t="s">
        <v>551</v>
      </c>
      <c r="P58" s="38" t="s">
        <v>552</v>
      </c>
    </row>
    <row r="59" spans="1:16" x14ac:dyDescent="0.25">
      <c r="A59" s="37" t="s">
        <v>553</v>
      </c>
      <c r="B59" s="6" t="s">
        <v>456</v>
      </c>
      <c r="C59" s="9">
        <v>1581.2</v>
      </c>
      <c r="D59" s="10">
        <f>_xll.BDP($P59,"LAST_PRICE")</f>
        <v>137.68199999999999</v>
      </c>
      <c r="E59" s="11" t="str">
        <f>_xll.BDP($P59,"CHG_PCT_1D")</f>
        <v>#N/A N/A</v>
      </c>
      <c r="F59" s="11">
        <f>_xll.BDP($P59,"YLD_YTM_MID")</f>
        <v>-1.1408687352449671</v>
      </c>
      <c r="G59" s="12" t="str">
        <f>IFERROR(_xll.BDP($P59,"TRACE_LAST_TRADE_SIZE"),"n/a")</f>
        <v>1MM+</v>
      </c>
      <c r="H59" s="12" t="str">
        <f>IFERROR(_xll.BDP($P59,"PRICE_LAST_TIME"),"")</f>
        <v>12:43:46</v>
      </c>
      <c r="I59" s="13">
        <f t="shared" si="12"/>
        <v>595.82778399999984</v>
      </c>
      <c r="J59" s="14">
        <f t="shared" si="13"/>
        <v>0.37681999999999988</v>
      </c>
      <c r="K59" s="13" t="str">
        <f>IFERROR((D59-_xll.BDP($P59,"PX_CLOSE_1D"))/100*C59,"")</f>
        <v/>
      </c>
      <c r="L59" s="31">
        <v>-1.272815772978221</v>
      </c>
      <c r="M59" s="15">
        <f t="shared" si="14"/>
        <v>13.19470377332539</v>
      </c>
      <c r="N59" s="8"/>
      <c r="O59" s="8" t="s">
        <v>554</v>
      </c>
      <c r="P59" s="38" t="s">
        <v>555</v>
      </c>
    </row>
    <row r="60" spans="1:16" x14ac:dyDescent="0.25">
      <c r="A60" s="37" t="s">
        <v>556</v>
      </c>
      <c r="B60" s="6" t="s">
        <v>456</v>
      </c>
      <c r="C60" s="9">
        <v>212.3</v>
      </c>
      <c r="D60" s="10">
        <f>_xll.BDP($P60,"LAST_PRICE")</f>
        <v>184.03299999999999</v>
      </c>
      <c r="E60" s="11">
        <f>_xll.BDP($P60,"CHG_PCT_1D")</f>
        <v>-9.1116711996143636</v>
      </c>
      <c r="F60" s="11">
        <f>_xll.BDP($P60,"YLD_YTM_MID")</f>
        <v>-13.573530604859993</v>
      </c>
      <c r="G60" s="12" t="str">
        <f>IFERROR(_xll.BDP($P60,"TRACE_LAST_TRADE_SIZE"),"n/a")</f>
        <v>22</v>
      </c>
      <c r="H60" s="12" t="str">
        <f>IFERROR(_xll.BDP($P60,"PRICE_LAST_TIME"),"")</f>
        <v>16:00:00</v>
      </c>
      <c r="I60" s="13">
        <f t="shared" si="12"/>
        <v>178.40205899999998</v>
      </c>
      <c r="J60" s="14">
        <f t="shared" si="13"/>
        <v>0.84032999999999991</v>
      </c>
      <c r="K60" s="13">
        <f>IFERROR((D60-_xll.BDP($P60,"PX_CLOSE_1D"))/100*C60,"")</f>
        <v>-37.369046000000012</v>
      </c>
      <c r="L60" s="31">
        <v>-14.36547836098122</v>
      </c>
      <c r="M60" s="15">
        <f t="shared" si="14"/>
        <v>79.19477561212264</v>
      </c>
      <c r="N60" s="8"/>
      <c r="O60" s="8" t="s">
        <v>557</v>
      </c>
      <c r="P60" s="38" t="s">
        <v>558</v>
      </c>
    </row>
    <row r="61" spans="1:16" x14ac:dyDescent="0.25">
      <c r="A61" s="37" t="s">
        <v>559</v>
      </c>
      <c r="B61" s="6" t="s">
        <v>456</v>
      </c>
      <c r="C61" s="9">
        <v>233.4</v>
      </c>
      <c r="D61" s="10">
        <f>_xll.BDP($P61,"LAST_PRICE")</f>
        <v>218.30699999999999</v>
      </c>
      <c r="E61" s="11">
        <f>_xll.BDP($P61,"CHG_PCT_1D")</f>
        <v>-10.233906396905018</v>
      </c>
      <c r="F61" s="11">
        <f>_xll.BDP($P61,"YLD_YTM_MID")</f>
        <v>-20.825853735304221</v>
      </c>
      <c r="G61" s="12" t="str">
        <f>IFERROR(_xll.BDP($P61,"TRACE_LAST_TRADE_SIZE"),"n/a")</f>
        <v>1MM+</v>
      </c>
      <c r="H61" s="12" t="str">
        <f>IFERROR(_xll.BDP($P61,"PRICE_LAST_TIME"),"")</f>
        <v>16:00:00</v>
      </c>
      <c r="I61" s="13">
        <f t="shared" si="12"/>
        <v>276.12853799999999</v>
      </c>
      <c r="J61" s="14">
        <f t="shared" si="13"/>
        <v>1.1830699999999998</v>
      </c>
      <c r="K61" s="13">
        <f>IFERROR((D61-_xll.BDP($P61,"PX_CLOSE_1D"))/100*C61,"")</f>
        <v>-54.736967999999997</v>
      </c>
      <c r="L61" s="31">
        <v>-21.841513933151031</v>
      </c>
      <c r="M61" s="15">
        <f t="shared" si="14"/>
        <v>101.56601978468096</v>
      </c>
      <c r="N61" s="8"/>
      <c r="O61" s="8" t="s">
        <v>560</v>
      </c>
      <c r="P61" s="38" t="s">
        <v>561</v>
      </c>
    </row>
  </sheetData>
  <conditionalFormatting sqref="F5:F62">
    <cfRule type="expression" dxfId="3" priority="3">
      <formula>AND(ISNUMBER(F5),F5&gt;=10,ISERROR(SEARCH("(cv",A5)))</formula>
    </cfRule>
  </conditionalFormatting>
  <conditionalFormatting sqref="I5:K62">
    <cfRule type="expression" dxfId="2" priority="1">
      <formula>AND(ISNUMBER(I5),I5&lt;0)</formula>
    </cfRule>
  </conditionalFormatting>
  <conditionalFormatting sqref="M5:M62">
    <cfRule type="expression" dxfId="1" priority="2">
      <formula>AND(ISNUMBER(M5),M5&gt;=25)</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showGridLines="0" workbookViewId="0">
      <pane ySplit="4" topLeftCell="A5" activePane="bottomLeft" state="frozen"/>
      <selection pane="bottomLeft"/>
    </sheetView>
  </sheetViews>
  <sheetFormatPr defaultRowHeight="15" x14ac:dyDescent="0.25"/>
  <cols>
    <col min="1" max="1" width="22" customWidth="1"/>
    <col min="2" max="2" width="38" customWidth="1"/>
    <col min="3" max="4" width="14" customWidth="1"/>
    <col min="5" max="5" width="12" customWidth="1"/>
    <col min="6" max="6" width="14" customWidth="1"/>
    <col min="7" max="7" width="12" customWidth="1"/>
  </cols>
  <sheetData>
    <row r="1" spans="1:7" ht="18.75" x14ac:dyDescent="0.3">
      <c r="A1" s="1" t="s">
        <v>562</v>
      </c>
    </row>
    <row r="2" spans="1:7" x14ac:dyDescent="0.25">
      <c r="A2" s="2" t="s">
        <v>563</v>
      </c>
    </row>
    <row r="4" spans="1:7" ht="39.950000000000003" customHeight="1" x14ac:dyDescent="0.25">
      <c r="A4" s="3" t="s">
        <v>564</v>
      </c>
      <c r="B4" s="3" t="s">
        <v>565</v>
      </c>
      <c r="C4" s="3" t="s">
        <v>566</v>
      </c>
      <c r="D4" s="3" t="s">
        <v>567</v>
      </c>
      <c r="E4" s="3" t="s">
        <v>568</v>
      </c>
      <c r="F4" s="3" t="s">
        <v>569</v>
      </c>
      <c r="G4" s="3" t="s">
        <v>570</v>
      </c>
    </row>
    <row r="5" spans="1:7" x14ac:dyDescent="0.25">
      <c r="A5" s="6" t="s">
        <v>571</v>
      </c>
      <c r="B5" s="38" t="s">
        <v>572</v>
      </c>
      <c r="C5" s="17">
        <f>_xll.BDP($B5,"CDS_FLAT_SPREAD")</f>
        <v>146.93</v>
      </c>
      <c r="D5" s="39">
        <v>146.93</v>
      </c>
      <c r="E5" s="15">
        <f t="shared" ref="E5:E19" si="0">IF(AND(ISNUMBER(C5),ISNUMBER(D5)),C5-D5,"")</f>
        <v>0</v>
      </c>
      <c r="F5" s="39">
        <v>124</v>
      </c>
      <c r="G5" s="15">
        <f t="shared" ref="G5:G19" si="1">IF(AND(ISNUMBER(C5),ISNUMBER(F5)),C5-F5,"")</f>
        <v>22.930000000000007</v>
      </c>
    </row>
    <row r="6" spans="1:7" ht="36" x14ac:dyDescent="0.25">
      <c r="A6" s="6" t="s">
        <v>573</v>
      </c>
      <c r="B6" s="38" t="s">
        <v>574</v>
      </c>
      <c r="C6" s="17">
        <f>_xll.BDP($B6,"CDS_FLAT_SPREAD")</f>
        <v>100</v>
      </c>
      <c r="D6" s="39">
        <v>100</v>
      </c>
      <c r="E6" s="15">
        <f t="shared" si="0"/>
        <v>0</v>
      </c>
      <c r="F6" s="39"/>
      <c r="G6" s="15" t="str">
        <f t="shared" si="1"/>
        <v/>
      </c>
    </row>
    <row r="7" spans="1:7" ht="36" x14ac:dyDescent="0.25">
      <c r="A7" s="6" t="s">
        <v>575</v>
      </c>
      <c r="B7" s="38" t="s">
        <v>576</v>
      </c>
      <c r="C7" s="17">
        <f>_xll.BDP($B7,"CDS_FLAT_SPREAD")</f>
        <v>101.3124</v>
      </c>
      <c r="D7" s="39">
        <v>101.3124</v>
      </c>
      <c r="E7" s="15">
        <f t="shared" si="0"/>
        <v>0</v>
      </c>
      <c r="F7" s="39">
        <v>94</v>
      </c>
      <c r="G7" s="15">
        <f t="shared" si="1"/>
        <v>7.3123999999999967</v>
      </c>
    </row>
    <row r="8" spans="1:7" ht="36" x14ac:dyDescent="0.25">
      <c r="A8" s="6" t="s">
        <v>577</v>
      </c>
      <c r="B8" s="38" t="s">
        <v>578</v>
      </c>
      <c r="C8" s="17">
        <f>_xll.BDP($B8,"CDS_FLAT_SPREAD")</f>
        <v>220.86999999999998</v>
      </c>
      <c r="D8" s="39">
        <v>220.87</v>
      </c>
      <c r="E8" s="15">
        <f t="shared" si="0"/>
        <v>-2.8421709430404007E-14</v>
      </c>
      <c r="F8" s="39">
        <v>171</v>
      </c>
      <c r="G8" s="15">
        <f t="shared" si="1"/>
        <v>49.869999999999976</v>
      </c>
    </row>
    <row r="9" spans="1:7" ht="36" x14ac:dyDescent="0.25">
      <c r="A9" s="6" t="s">
        <v>579</v>
      </c>
      <c r="B9" s="38" t="s">
        <v>580</v>
      </c>
      <c r="C9" s="17">
        <f>_xll.BDP($B9,"CDS_FLAT_SPREAD")</f>
        <v>96.830000000000013</v>
      </c>
      <c r="D9" s="39">
        <v>96.830000000000013</v>
      </c>
      <c r="E9" s="15">
        <f t="shared" si="0"/>
        <v>0</v>
      </c>
      <c r="F9" s="39">
        <v>84</v>
      </c>
      <c r="G9" s="15">
        <f t="shared" si="1"/>
        <v>12.830000000000013</v>
      </c>
    </row>
    <row r="10" spans="1:7" ht="36" x14ac:dyDescent="0.25">
      <c r="A10" s="6" t="s">
        <v>581</v>
      </c>
      <c r="B10" s="38" t="s">
        <v>582</v>
      </c>
      <c r="C10" s="17">
        <f>_xll.BDP($B10,"CDS_FLAT_SPREAD")</f>
        <v>287.14999999999998</v>
      </c>
      <c r="D10" s="39">
        <v>287.14999999999998</v>
      </c>
      <c r="E10" s="15">
        <f t="shared" si="0"/>
        <v>0</v>
      </c>
      <c r="F10" s="39">
        <v>217</v>
      </c>
      <c r="G10" s="15">
        <f t="shared" si="1"/>
        <v>70.149999999999977</v>
      </c>
    </row>
    <row r="11" spans="1:7" ht="36" x14ac:dyDescent="0.25">
      <c r="A11" s="6" t="s">
        <v>583</v>
      </c>
      <c r="B11" s="38" t="s">
        <v>584</v>
      </c>
      <c r="C11" s="17">
        <f>_xll.BDP($B11,"CDS_FLAT_SPREAD")</f>
        <v>790.30152437541415</v>
      </c>
      <c r="D11" s="39">
        <v>790.30152437541415</v>
      </c>
      <c r="E11" s="15">
        <f t="shared" si="0"/>
        <v>0</v>
      </c>
      <c r="F11" s="39"/>
      <c r="G11" s="15" t="str">
        <f t="shared" si="1"/>
        <v/>
      </c>
    </row>
    <row r="12" spans="1:7" ht="36" x14ac:dyDescent="0.25">
      <c r="A12" s="6" t="s">
        <v>585</v>
      </c>
      <c r="B12" s="38" t="s">
        <v>586</v>
      </c>
      <c r="C12" s="17">
        <f>_xll.BDP($B12,"CDS_FLAT_SPREAD")</f>
        <v>1033.1828306275665</v>
      </c>
      <c r="D12" s="39">
        <v>1033.182830627567</v>
      </c>
      <c r="E12" s="15">
        <f t="shared" si="0"/>
        <v>-4.5474735088646412E-13</v>
      </c>
      <c r="F12" s="39"/>
      <c r="G12" s="15" t="str">
        <f t="shared" si="1"/>
        <v/>
      </c>
    </row>
    <row r="13" spans="1:7" ht="36" x14ac:dyDescent="0.25">
      <c r="A13" s="6" t="s">
        <v>587</v>
      </c>
      <c r="B13" s="38" t="s">
        <v>588</v>
      </c>
      <c r="C13" s="17">
        <f>_xll.BDP($B13,"CDS_FLAT_SPREAD")</f>
        <v>1119.6388774309778</v>
      </c>
      <c r="D13" s="39">
        <v>1119.638877430978</v>
      </c>
      <c r="E13" s="15">
        <f t="shared" si="0"/>
        <v>-2.2737367544323206E-13</v>
      </c>
      <c r="F13" s="39"/>
      <c r="G13" s="15" t="str">
        <f t="shared" si="1"/>
        <v/>
      </c>
    </row>
    <row r="14" spans="1:7" ht="36" x14ac:dyDescent="0.25">
      <c r="A14" s="6" t="s">
        <v>589</v>
      </c>
      <c r="B14" s="38" t="s">
        <v>590</v>
      </c>
      <c r="C14" s="17">
        <f>_xll.BDP($B14,"CDS_FLAT_SPREAD")</f>
        <v>1180.4990697860433</v>
      </c>
      <c r="D14" s="39">
        <v>1180.499069786043</v>
      </c>
      <c r="E14" s="15">
        <f t="shared" si="0"/>
        <v>2.2737367544323206E-13</v>
      </c>
      <c r="F14" s="39"/>
      <c r="G14" s="15" t="str">
        <f t="shared" si="1"/>
        <v/>
      </c>
    </row>
    <row r="15" spans="1:7" ht="36" x14ac:dyDescent="0.25">
      <c r="A15" s="6" t="s">
        <v>591</v>
      </c>
      <c r="B15" s="38" t="s">
        <v>592</v>
      </c>
      <c r="C15" s="17">
        <f>_xll.BDP($B15,"CDS_FLAT_SPREAD")</f>
        <v>1204.8018571417317</v>
      </c>
      <c r="D15" s="39">
        <v>1204.8018571417319</v>
      </c>
      <c r="E15" s="15">
        <f t="shared" si="0"/>
        <v>-2.2737367544323206E-13</v>
      </c>
      <c r="F15" s="39"/>
      <c r="G15" s="15" t="str">
        <f t="shared" si="1"/>
        <v/>
      </c>
    </row>
    <row r="16" spans="1:7" ht="36" x14ac:dyDescent="0.25">
      <c r="A16" s="6" t="s">
        <v>593</v>
      </c>
      <c r="B16" s="38" t="s">
        <v>594</v>
      </c>
      <c r="C16" s="17">
        <f>_xll.BDP($B16,"CDS_FLAT_SPREAD")</f>
        <v>108.56000000000002</v>
      </c>
      <c r="D16" s="39">
        <v>108.56</v>
      </c>
      <c r="E16" s="15">
        <f t="shared" si="0"/>
        <v>1.4210854715202004E-14</v>
      </c>
      <c r="F16" s="39">
        <v>95</v>
      </c>
      <c r="G16" s="15">
        <f t="shared" si="1"/>
        <v>13.560000000000016</v>
      </c>
    </row>
    <row r="17" spans="1:7" ht="36" x14ac:dyDescent="0.25">
      <c r="A17" s="6" t="s">
        <v>595</v>
      </c>
      <c r="B17" s="38" t="s">
        <v>596</v>
      </c>
      <c r="C17" s="17">
        <f>_xll.BDP($B17,"CDS_FLAT_SPREAD")</f>
        <v>77.27</v>
      </c>
      <c r="D17" s="39">
        <v>77.27</v>
      </c>
      <c r="E17" s="15">
        <f t="shared" si="0"/>
        <v>0</v>
      </c>
      <c r="F17" s="39">
        <v>56</v>
      </c>
      <c r="G17" s="15">
        <f t="shared" si="1"/>
        <v>21.269999999999996</v>
      </c>
    </row>
    <row r="18" spans="1:7" ht="36" x14ac:dyDescent="0.25">
      <c r="A18" s="6" t="s">
        <v>597</v>
      </c>
      <c r="B18" s="38" t="s">
        <v>598</v>
      </c>
      <c r="C18" s="17">
        <f>_xll.BDP($B18,"CDS_FLAT_SPREAD")</f>
        <v>55.386499999999998</v>
      </c>
      <c r="D18" s="39">
        <v>54.44</v>
      </c>
      <c r="E18" s="15">
        <f t="shared" si="0"/>
        <v>0.94650000000000034</v>
      </c>
      <c r="F18" s="39">
        <v>46</v>
      </c>
      <c r="G18" s="15">
        <f t="shared" si="1"/>
        <v>9.3864999999999981</v>
      </c>
    </row>
    <row r="19" spans="1:7" ht="36" x14ac:dyDescent="0.25">
      <c r="A19" s="6" t="s">
        <v>599</v>
      </c>
      <c r="B19" s="38" t="s">
        <v>600</v>
      </c>
      <c r="C19" s="17">
        <f>_xll.BDP($B19,"CDS_FLAT_SPREAD")</f>
        <v>78.998599999999996</v>
      </c>
      <c r="D19" s="39">
        <v>78.026200000000003</v>
      </c>
      <c r="E19" s="15">
        <f t="shared" si="0"/>
        <v>0.97239999999999327</v>
      </c>
      <c r="F19" s="39">
        <v>63</v>
      </c>
      <c r="G19" s="15">
        <f t="shared" si="1"/>
        <v>15.998599999999996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3"/>
  <sheetViews>
    <sheetView showGridLines="0" workbookViewId="0">
      <pane ySplit="4" topLeftCell="A10" activePane="bottomLeft" state="frozen"/>
      <selection pane="bottomLeft" activeCell="E14" sqref="E14"/>
    </sheetView>
  </sheetViews>
  <sheetFormatPr defaultRowHeight="15" x14ac:dyDescent="0.25"/>
  <cols>
    <col min="1" max="1" width="20" customWidth="1"/>
    <col min="2" max="2" width="60" customWidth="1"/>
    <col min="3" max="3" width="18" customWidth="1"/>
    <col min="4" max="4" width="10" customWidth="1"/>
    <col min="5" max="5" width="9" customWidth="1"/>
    <col min="6" max="7" width="15" customWidth="1"/>
    <col min="8" max="9" width="12" customWidth="1"/>
  </cols>
  <sheetData>
    <row r="1" spans="1:9" ht="18.75" x14ac:dyDescent="0.3">
      <c r="A1" s="1" t="s">
        <v>601</v>
      </c>
    </row>
    <row r="2" spans="1:9" x14ac:dyDescent="0.25">
      <c r="A2" s="2" t="s">
        <v>602</v>
      </c>
    </row>
    <row r="4" spans="1:9" ht="39.950000000000003" customHeight="1" x14ac:dyDescent="0.25">
      <c r="A4" s="3" t="s">
        <v>603</v>
      </c>
      <c r="B4" s="3" t="s">
        <v>604</v>
      </c>
      <c r="C4" s="3" t="s">
        <v>565</v>
      </c>
      <c r="D4" s="3" t="s">
        <v>9</v>
      </c>
      <c r="E4" s="3" t="s">
        <v>10</v>
      </c>
      <c r="F4" s="3" t="s">
        <v>605</v>
      </c>
      <c r="G4" s="3" t="s">
        <v>606</v>
      </c>
      <c r="H4" s="3" t="s">
        <v>607</v>
      </c>
      <c r="I4" s="3" t="s">
        <v>608</v>
      </c>
    </row>
    <row r="5" spans="1:9" ht="24" x14ac:dyDescent="0.25">
      <c r="A5" s="6" t="s">
        <v>77</v>
      </c>
      <c r="B5" s="37" t="s">
        <v>609</v>
      </c>
      <c r="C5" s="8" t="s">
        <v>610</v>
      </c>
      <c r="D5" s="11">
        <f>_xll.BDP($C5,"LAST_PRICE")</f>
        <v>61.39</v>
      </c>
      <c r="E5" s="11">
        <f>_xll.BDP($C5,"CHG_PCT_1D")</f>
        <v>-13.45961</v>
      </c>
      <c r="F5" s="40">
        <f>_xll.BDP($C5,"VOLUME")</f>
        <v>94831682</v>
      </c>
      <c r="G5" s="40">
        <f>_xll.BDP($C5,"VOLUME_AVG_30D")</f>
        <v>35350154.100000001</v>
      </c>
      <c r="H5" s="11">
        <f t="shared" ref="H5:H23" si="0">IFERROR(F5/G5,"")</f>
        <v>2.6826384329679627</v>
      </c>
      <c r="I5" s="12" t="str">
        <f>IFERROR(_xll.BDP($C5,"LAST_TRADE_TIME"),"")</f>
        <v>16:44:52</v>
      </c>
    </row>
    <row r="6" spans="1:9" ht="36" x14ac:dyDescent="0.25">
      <c r="A6" s="6" t="s">
        <v>611</v>
      </c>
      <c r="B6" s="37" t="s">
        <v>612</v>
      </c>
      <c r="C6" s="8" t="s">
        <v>613</v>
      </c>
      <c r="D6" s="11">
        <f>_xll.BDP($C6,"LAST_PRICE")</f>
        <v>165.47</v>
      </c>
      <c r="E6" s="11">
        <f>_xll.BDP($C6,"CHG_PCT_1D")</f>
        <v>-12.902710000000001</v>
      </c>
      <c r="F6" s="40">
        <f>_xll.BDP($C6,"VOLUME")</f>
        <v>34945608</v>
      </c>
      <c r="G6" s="40">
        <f>_xll.BDP($C6,"VOLUME_AVG_30D")</f>
        <v>17411746.366666667</v>
      </c>
      <c r="H6" s="11">
        <f t="shared" si="0"/>
        <v>2.0070133841887592</v>
      </c>
      <c r="I6" s="12" t="str">
        <f>IFERROR(_xll.BDP($C6,"LAST_TRADE_TIME"),"")</f>
        <v>16:44:52</v>
      </c>
    </row>
    <row r="7" spans="1:9" ht="36" x14ac:dyDescent="0.25">
      <c r="A7" s="6" t="s">
        <v>614</v>
      </c>
      <c r="B7" s="37" t="s">
        <v>612</v>
      </c>
      <c r="C7" s="8" t="s">
        <v>615</v>
      </c>
      <c r="D7" s="11">
        <f>_xll.BDP($C7,"LAST_PRICE")</f>
        <v>26.99</v>
      </c>
      <c r="E7" s="11">
        <f>_xll.BDP($C7,"CHG_PCT_1D")</f>
        <v>-12.35604</v>
      </c>
      <c r="F7" s="40">
        <f>_xll.BDP($C7,"VOLUME")</f>
        <v>68109967</v>
      </c>
      <c r="G7" s="40">
        <f>_xll.BDP($C7,"VOLUME_AVG_30D")</f>
        <v>42105307.633333333</v>
      </c>
      <c r="H7" s="11">
        <f t="shared" si="0"/>
        <v>1.617610007582029</v>
      </c>
      <c r="I7" s="12" t="str">
        <f>IFERROR(_xll.BDP($C7,"LAST_TRADE_TIME"),"")</f>
        <v>16:44:52</v>
      </c>
    </row>
    <row r="8" spans="1:9" ht="36" x14ac:dyDescent="0.25">
      <c r="A8" s="6" t="s">
        <v>616</v>
      </c>
      <c r="B8" s="37" t="s">
        <v>617</v>
      </c>
      <c r="C8" s="8" t="s">
        <v>618</v>
      </c>
      <c r="D8" s="11">
        <f>_xll.BDP($C8,"LAST_PRICE")</f>
        <v>18.05</v>
      </c>
      <c r="E8" s="11">
        <f>_xll.BDP($C8,"CHG_PCT_1D")</f>
        <v>-13.16822</v>
      </c>
      <c r="F8" s="40">
        <f>_xll.BDP($C8,"VOLUME")</f>
        <v>34783641</v>
      </c>
      <c r="G8" s="40">
        <f>_xll.BDP($C8,"VOLUME_AVG_30D")</f>
        <v>20851899</v>
      </c>
      <c r="H8" s="11">
        <f t="shared" si="0"/>
        <v>1.668128212207435</v>
      </c>
      <c r="I8" s="12" t="str">
        <f>IFERROR(_xll.BDP($C8,"LAST_TRADE_TIME"),"")</f>
        <v>16:44:52</v>
      </c>
    </row>
    <row r="9" spans="1:9" ht="36" x14ac:dyDescent="0.25">
      <c r="A9" s="6" t="s">
        <v>619</v>
      </c>
      <c r="B9" s="37" t="s">
        <v>620</v>
      </c>
      <c r="C9" s="8" t="s">
        <v>621</v>
      </c>
      <c r="D9" s="11">
        <f>_xll.BDP($C9,"LAST_PRICE")</f>
        <v>13.48</v>
      </c>
      <c r="E9" s="11">
        <f>_xll.BDP($C9,"CHG_PCT_1D")</f>
        <v>-6.8488410000000002</v>
      </c>
      <c r="F9" s="40">
        <f>_xll.BDP($C9,"VOLUME")</f>
        <v>22283335</v>
      </c>
      <c r="G9" s="40">
        <f>_xll.BDP($C9,"VOLUME_AVG_30D")</f>
        <v>12635102.1</v>
      </c>
      <c r="H9" s="11">
        <f t="shared" si="0"/>
        <v>1.7636054559464147</v>
      </c>
      <c r="I9" s="12" t="str">
        <f>IFERROR(_xll.BDP($C9,"LAST_TRADE_TIME"),"")</f>
        <v>16:44:51</v>
      </c>
    </row>
    <row r="10" spans="1:9" ht="36" x14ac:dyDescent="0.25">
      <c r="A10" s="6" t="s">
        <v>622</v>
      </c>
      <c r="B10" s="37" t="s">
        <v>623</v>
      </c>
      <c r="C10" s="8" t="s">
        <v>624</v>
      </c>
      <c r="D10" s="11">
        <f>_xll.BDP($C10,"LAST_PRICE")</f>
        <v>8.98</v>
      </c>
      <c r="E10" s="11">
        <f>_xll.BDP($C10,"CHG_PCT_1D")</f>
        <v>-11.95219</v>
      </c>
      <c r="F10" s="40">
        <f>_xll.BDP($C10,"VOLUME")</f>
        <v>49235290</v>
      </c>
      <c r="G10" s="40">
        <f>_xll.BDP($C10,"VOLUME_AVG_30D")</f>
        <v>40807708.899999999</v>
      </c>
      <c r="H10" s="11">
        <f t="shared" si="0"/>
        <v>1.2065193397809206</v>
      </c>
      <c r="I10" s="12" t="str">
        <f>IFERROR(_xll.BDP($C10,"LAST_TRADE_TIME"),"")</f>
        <v>16:44:52</v>
      </c>
    </row>
    <row r="11" spans="1:9" ht="36" x14ac:dyDescent="0.25">
      <c r="A11" s="6" t="s">
        <v>625</v>
      </c>
      <c r="B11" s="37" t="s">
        <v>626</v>
      </c>
      <c r="C11" s="8" t="s">
        <v>627</v>
      </c>
      <c r="D11" s="11">
        <f>_xll.BDP($C11,"LAST_PRICE")</f>
        <v>11.68</v>
      </c>
      <c r="E11" s="11">
        <f>_xll.BDP($C11,"CHG_PCT_1D")</f>
        <v>-7.9136290000000002</v>
      </c>
      <c r="F11" s="40">
        <f>_xll.BDP($C11,"VOLUME")</f>
        <v>55576764</v>
      </c>
      <c r="G11" s="40">
        <f>_xll.BDP($C11,"VOLUME_AVG_30D")</f>
        <v>31964216.766666666</v>
      </c>
      <c r="H11" s="11">
        <f t="shared" si="0"/>
        <v>1.7387181549199502</v>
      </c>
      <c r="I11" s="12" t="str">
        <f>IFERROR(_xll.BDP($C11,"LAST_TRADE_TIME"),"")</f>
        <v>16:44:51</v>
      </c>
    </row>
    <row r="12" spans="1:9" ht="36" x14ac:dyDescent="0.25">
      <c r="A12" s="6" t="s">
        <v>628</v>
      </c>
      <c r="B12" s="37" t="s">
        <v>629</v>
      </c>
      <c r="C12" s="8" t="s">
        <v>630</v>
      </c>
      <c r="D12" s="11">
        <f>_xll.BDP($C12,"LAST_PRICE")</f>
        <v>16.14</v>
      </c>
      <c r="E12" s="11">
        <f>_xll.BDP($C12,"CHG_PCT_1D")</f>
        <v>-12.602740000000001</v>
      </c>
      <c r="F12" s="40">
        <f>_xll.BDP($C12,"VOLUME")</f>
        <v>8796959</v>
      </c>
      <c r="G12" s="40">
        <f>_xll.BDP($C12,"VOLUME_AVG_30D")</f>
        <v>5400968.7999999998</v>
      </c>
      <c r="H12" s="11">
        <f t="shared" si="0"/>
        <v>1.6287742673129311</v>
      </c>
      <c r="I12" s="12" t="str">
        <f>IFERROR(_xll.BDP($C12,"LAST_TRADE_TIME"),"")</f>
        <v>16:44:52</v>
      </c>
    </row>
    <row r="13" spans="1:9" ht="36" x14ac:dyDescent="0.25">
      <c r="A13" s="6" t="s">
        <v>631</v>
      </c>
      <c r="B13" s="37" t="s">
        <v>632</v>
      </c>
      <c r="C13" s="8" t="s">
        <v>633</v>
      </c>
      <c r="D13" s="11">
        <f>_xll.BDP($C13,"LAST_PRICE")</f>
        <v>67.75</v>
      </c>
      <c r="E13" s="11">
        <f>_xll.BDP($C13,"CHG_PCT_1D")</f>
        <v>-11.374689999999999</v>
      </c>
      <c r="F13" s="40">
        <f>_xll.BDP($C13,"VOLUME")</f>
        <v>6182193</v>
      </c>
      <c r="G13" s="40">
        <f>_xll.BDP($C13,"VOLUME_AVG_30D")</f>
        <v>5676837.0999999996</v>
      </c>
      <c r="H13" s="11">
        <f t="shared" si="0"/>
        <v>1.0890206801953151</v>
      </c>
      <c r="I13" s="12" t="str">
        <f>IFERROR(_xll.BDP($C13,"LAST_TRADE_TIME"),"")</f>
        <v>16:44:46</v>
      </c>
    </row>
    <row r="14" spans="1:9" ht="36" x14ac:dyDescent="0.25">
      <c r="A14" s="6" t="s">
        <v>58</v>
      </c>
      <c r="B14" s="37" t="s">
        <v>634</v>
      </c>
      <c r="C14" s="8" t="s">
        <v>635</v>
      </c>
      <c r="D14" s="11">
        <f>_xll.BDP($C14,"LAST_PRICE")</f>
        <v>128.22999999999999</v>
      </c>
      <c r="E14" s="11">
        <f>_xll.BDP($C14,"CHG_PCT_1D")</f>
        <v>-4.7594260000000004</v>
      </c>
      <c r="F14" s="40">
        <f>_xll.BDP($C14,"VOLUME")</f>
        <v>35960721</v>
      </c>
      <c r="G14" s="40">
        <f>_xll.BDP($C14,"VOLUME_AVG_30D")</f>
        <v>33477277.300000001</v>
      </c>
      <c r="H14" s="11">
        <f t="shared" si="0"/>
        <v>1.0741829652915054</v>
      </c>
      <c r="I14" s="12" t="str">
        <f>IFERROR(_xll.BDP($C14,"LAST_TRADE_TIME"),"")</f>
        <v>16:44:49</v>
      </c>
    </row>
    <row r="15" spans="1:9" ht="36" x14ac:dyDescent="0.25">
      <c r="A15" s="6" t="s">
        <v>636</v>
      </c>
      <c r="B15" s="37" t="s">
        <v>637</v>
      </c>
      <c r="C15" s="8" t="s">
        <v>638</v>
      </c>
      <c r="D15" s="11">
        <f>_xll.BDP($C15,"LAST_PRICE")</f>
        <v>328.75</v>
      </c>
      <c r="E15" s="11">
        <f>_xll.BDP($C15,"CHG_PCT_1D")</f>
        <v>-4.3548340000000003</v>
      </c>
      <c r="F15" s="40">
        <f>_xll.BDP($C15,"VOLUME")</f>
        <v>29714467</v>
      </c>
      <c r="G15" s="40">
        <f>_xll.BDP($C15,"VOLUME_AVG_30D")</f>
        <v>25351404.233333334</v>
      </c>
      <c r="H15" s="11">
        <f t="shared" si="0"/>
        <v>1.1721033961870202</v>
      </c>
      <c r="I15" s="12" t="str">
        <f>IFERROR(_xll.BDP($C15,"LAST_TRADE_TIME"),"")</f>
        <v>16:44:52</v>
      </c>
    </row>
    <row r="16" spans="1:9" ht="36" x14ac:dyDescent="0.25">
      <c r="A16" s="6" t="s">
        <v>31</v>
      </c>
      <c r="B16" s="37" t="s">
        <v>639</v>
      </c>
      <c r="C16" s="8" t="s">
        <v>640</v>
      </c>
      <c r="D16" s="11">
        <f>_xll.BDP($C16,"LAST_PRICE")</f>
        <v>214.13</v>
      </c>
      <c r="E16" s="11">
        <f>_xll.BDP($C16,"CHG_PCT_1D")</f>
        <v>-1.4201539999999999</v>
      </c>
      <c r="F16" s="40">
        <f>_xll.BDP($C16,"VOLUME")</f>
        <v>120806855</v>
      </c>
      <c r="G16" s="40">
        <f>_xll.BDP($C16,"VOLUME_AVG_30D")</f>
        <v>108284487.7</v>
      </c>
      <c r="H16" s="11">
        <f t="shared" si="0"/>
        <v>1.1156432243064489</v>
      </c>
      <c r="I16" s="12" t="str">
        <f>IFERROR(_xll.BDP($C16,"LAST_TRADE_TIME"),"")</f>
        <v>16:44:52</v>
      </c>
    </row>
    <row r="17" spans="1:9" ht="36" x14ac:dyDescent="0.25">
      <c r="A17" s="6" t="s">
        <v>641</v>
      </c>
      <c r="B17" s="37" t="s">
        <v>642</v>
      </c>
      <c r="C17" s="8" t="s">
        <v>643</v>
      </c>
      <c r="D17" s="11">
        <f>_xll.BDP($C17,"LAST_PRICE")</f>
        <v>528.75</v>
      </c>
      <c r="E17" s="11">
        <f>_xll.BDP($C17,"CHG_PCT_1D")</f>
        <v>-5.9361829999999998</v>
      </c>
      <c r="F17" s="40">
        <f>_xll.BDP($C17,"VOLUME")</f>
        <v>22464591</v>
      </c>
      <c r="G17" s="40">
        <f>_xll.BDP($C17,"VOLUME_AVG_30D")</f>
        <v>21571898.566666666</v>
      </c>
      <c r="H17" s="11">
        <f t="shared" si="0"/>
        <v>1.0413821913066446</v>
      </c>
      <c r="I17" s="12" t="str">
        <f>IFERROR(_xll.BDP($C17,"LAST_TRADE_TIME"),"")</f>
        <v>16:44:52</v>
      </c>
    </row>
    <row r="18" spans="1:9" ht="36" x14ac:dyDescent="0.25">
      <c r="A18" s="6" t="s">
        <v>446</v>
      </c>
      <c r="B18" s="37" t="s">
        <v>644</v>
      </c>
      <c r="C18" s="8" t="s">
        <v>645</v>
      </c>
      <c r="D18" s="11">
        <f>_xll.BDP($C18,"LAST_PRICE")</f>
        <v>146.03</v>
      </c>
      <c r="E18" s="11">
        <f>_xll.BDP($C18,"CHG_PCT_1D")</f>
        <v>-3.542592</v>
      </c>
      <c r="F18" s="40">
        <f>_xll.BDP($C18,"VOLUME")</f>
        <v>88158607</v>
      </c>
      <c r="G18" s="40">
        <f>_xll.BDP($C18,"VOLUME_AVG_30D")</f>
        <v>93228191.400000006</v>
      </c>
      <c r="H18" s="11">
        <f t="shared" si="0"/>
        <v>0.94562176607879567</v>
      </c>
      <c r="I18" s="12" t="str">
        <f>IFERROR(_xll.BDP($C18,"LAST_TRADE_TIME"),"")</f>
        <v>16:44:51</v>
      </c>
    </row>
    <row r="19" spans="1:9" ht="36" x14ac:dyDescent="0.25">
      <c r="A19" s="6" t="s">
        <v>45</v>
      </c>
      <c r="B19" s="37" t="s">
        <v>646</v>
      </c>
      <c r="C19" s="8" t="s">
        <v>647</v>
      </c>
      <c r="D19" s="11">
        <f>_xll.BDP($C19,"LAST_PRICE")</f>
        <v>709.32500000000005</v>
      </c>
      <c r="E19" s="11">
        <f>_xll.BDP($C19,"CHG_PCT_1D")</f>
        <v>-4.5091760000000001</v>
      </c>
      <c r="F19" s="40">
        <f>_xll.BDP($C19,"VOLUME")</f>
        <v>20584774</v>
      </c>
      <c r="G19" s="40">
        <f>_xll.BDP($C19,"VOLUME_AVG_30D")</f>
        <v>21448073.066666666</v>
      </c>
      <c r="H19" s="11">
        <f t="shared" si="0"/>
        <v>0.95974934139848889</v>
      </c>
      <c r="I19" s="12" t="str">
        <f>IFERROR(_xll.BDP($C19,"LAST_TRADE_TIME"),"")</f>
        <v>16:44:51</v>
      </c>
    </row>
    <row r="20" spans="1:9" ht="36" x14ac:dyDescent="0.25">
      <c r="A20" s="6" t="s">
        <v>648</v>
      </c>
      <c r="B20" s="37" t="s">
        <v>649</v>
      </c>
      <c r="C20" s="8" t="s">
        <v>650</v>
      </c>
      <c r="D20" s="11">
        <f>_xll.BDP($C20,"LAST_PRICE")</f>
        <v>340.59</v>
      </c>
      <c r="E20" s="11">
        <f>_xll.BDP($C20,"CHG_PCT_1D")</f>
        <v>-2.654487</v>
      </c>
      <c r="F20" s="40">
        <f>_xll.BDP($C20,"VOLUME")</f>
        <v>28487354</v>
      </c>
      <c r="G20" s="40">
        <f>_xll.BDP($C20,"VOLUME_AVG_30D")</f>
        <v>25528079.899999999</v>
      </c>
      <c r="H20" s="11">
        <f t="shared" si="0"/>
        <v>1.1159223142356274</v>
      </c>
      <c r="I20" s="12" t="str">
        <f>IFERROR(_xll.BDP($C20,"LAST_TRADE_TIME"),"")</f>
        <v>16:44:51</v>
      </c>
    </row>
    <row r="21" spans="1:9" ht="36" x14ac:dyDescent="0.25">
      <c r="A21" s="6" t="s">
        <v>65</v>
      </c>
      <c r="B21" s="37" t="s">
        <v>651</v>
      </c>
      <c r="C21" s="8" t="s">
        <v>652</v>
      </c>
      <c r="D21" s="11">
        <f>_xll.BDP($C21,"LAST_PRICE")</f>
        <v>529.04999999999995</v>
      </c>
      <c r="E21" s="11">
        <f>_xll.BDP($C21,"CHG_PCT_1D")</f>
        <v>-2.5665499999999999</v>
      </c>
      <c r="F21" s="40">
        <f>_xll.BDP($C21,"VOLUME")</f>
        <v>24811813</v>
      </c>
      <c r="G21" s="40">
        <f>_xll.BDP($C21,"VOLUME_AVG_30D")</f>
        <v>21370234.100000001</v>
      </c>
      <c r="H21" s="11">
        <f t="shared" si="0"/>
        <v>1.1610454468535747</v>
      </c>
      <c r="I21" s="12" t="str">
        <f>IFERROR(_xll.BDP($C21,"LAST_TRADE_TIME"),"")</f>
        <v>16:44:50</v>
      </c>
    </row>
    <row r="22" spans="1:9" ht="36" x14ac:dyDescent="0.25">
      <c r="A22" s="6" t="s">
        <v>99</v>
      </c>
      <c r="B22" s="37" t="s">
        <v>653</v>
      </c>
      <c r="C22" s="8" t="s">
        <v>654</v>
      </c>
      <c r="D22" s="11">
        <f>_xll.BDP($C22,"LAST_PRICE")</f>
        <v>250</v>
      </c>
      <c r="E22" s="11">
        <f>_xll.BDP($C22,"CHG_PCT_1D")</f>
        <v>-2.1274929999999999</v>
      </c>
      <c r="F22" s="40">
        <f>_xll.BDP($C22,"VOLUME")</f>
        <v>40279356</v>
      </c>
      <c r="G22" s="40">
        <f>_xll.BDP($C22,"VOLUME_AVG_30D")</f>
        <v>34494326.833333336</v>
      </c>
      <c r="H22" s="11">
        <f t="shared" si="0"/>
        <v>1.1677095829299196</v>
      </c>
      <c r="I22" s="12" t="str">
        <f>IFERROR(_xll.BDP($C22,"LAST_TRADE_TIME"),"")</f>
        <v>16:44:50</v>
      </c>
    </row>
    <row r="23" spans="1:9" ht="36" x14ac:dyDescent="0.25">
      <c r="A23" s="6" t="s">
        <v>158</v>
      </c>
      <c r="B23" s="37" t="s">
        <v>655</v>
      </c>
      <c r="C23" s="8" t="s">
        <v>656</v>
      </c>
      <c r="D23" s="11">
        <f>_xll.BDP($C23,"LAST_PRICE")</f>
        <v>4944</v>
      </c>
      <c r="E23" s="11">
        <f>_xll.BDP($C23,"CHG_PCT_1D")</f>
        <v>1.8961250000000001</v>
      </c>
      <c r="F23" s="40">
        <f>_xll.BDP($C23,"VOLUME")</f>
        <v>43833700</v>
      </c>
      <c r="G23" s="40">
        <f>_xll.BDP($C23,"VOLUME_AVG_30D")</f>
        <v>63391133.333333336</v>
      </c>
      <c r="H23" s="11">
        <f t="shared" si="0"/>
        <v>0.69147998615999917</v>
      </c>
      <c r="I23" s="12" t="str">
        <f>IFERROR(_xll.BDP($C23,"LAST_TRADE_TIME"),"")</f>
        <v>03:30:00</v>
      </c>
    </row>
  </sheetData>
  <conditionalFormatting sqref="H5:H24">
    <cfRule type="expression" dxfId="0" priority="1">
      <formula>AND(ISNUMBER(H5),H5&gt;=1.5)</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
  <sheetViews>
    <sheetView workbookViewId="0"/>
  </sheetViews>
  <sheetFormatPr defaultRowHeight="15" x14ac:dyDescent="0.25"/>
  <cols>
    <col min="1" max="1" width="170" customWidth="1"/>
  </cols>
  <sheetData>
    <row r="1" spans="1:1" x14ac:dyDescent="0.25">
      <c r="A1" t="s">
        <v>657</v>
      </c>
    </row>
    <row r="2" spans="1:1" x14ac:dyDescent="0.25">
      <c r="A2" t="s">
        <v>658</v>
      </c>
    </row>
    <row r="3" spans="1:1" x14ac:dyDescent="0.25">
      <c r="A3" t="s">
        <v>659</v>
      </c>
    </row>
    <row r="4" spans="1:1" x14ac:dyDescent="0.25">
      <c r="A4" t="s">
        <v>660</v>
      </c>
    </row>
    <row r="5" spans="1:1" x14ac:dyDescent="0.25">
      <c r="A5" t="s">
        <v>661</v>
      </c>
    </row>
    <row r="6" spans="1:1" x14ac:dyDescent="0.25">
      <c r="A6" t="s">
        <v>662</v>
      </c>
    </row>
    <row r="7" spans="1:1" x14ac:dyDescent="0.25">
      <c r="A7" t="s">
        <v>663</v>
      </c>
    </row>
    <row r="8" spans="1:1" x14ac:dyDescent="0.25">
      <c r="A8" t="s">
        <v>664</v>
      </c>
    </row>
    <row r="9" spans="1:1" x14ac:dyDescent="0.25">
      <c r="A9" t="s">
        <v>665</v>
      </c>
    </row>
    <row r="10" spans="1:1" x14ac:dyDescent="0.25">
      <c r="A10" t="s">
        <v>666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pageSetUpPr fitToPage="1"/>
  </sheetPr>
  <dimension ref="A1:D169"/>
  <sheetViews>
    <sheetView showGridLines="0" workbookViewId="0">
      <pane ySplit="3" topLeftCell="A4" activePane="bottomLeft" state="frozen"/>
      <selection pane="bottomLeft" activeCell="A14" sqref="A14"/>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193</v>
      </c>
      <c r="D1" s="41" t="s">
        <v>667</v>
      </c>
    </row>
    <row r="2" spans="1:4" x14ac:dyDescent="0.25">
      <c r="A2" s="2" t="s">
        <v>668</v>
      </c>
    </row>
    <row r="4" spans="1:4" x14ac:dyDescent="0.25">
      <c r="A4" s="42" t="s">
        <v>9</v>
      </c>
      <c r="B4" s="43">
        <f>Monitor!H6</f>
        <v>92.424000000000007</v>
      </c>
    </row>
    <row r="5" spans="1:4" x14ac:dyDescent="0.25">
      <c r="A5" s="42" t="s">
        <v>11</v>
      </c>
      <c r="B5" s="44">
        <f>Monitor!J6</f>
        <v>6.9070348261432164</v>
      </c>
    </row>
    <row r="6" spans="1:4" x14ac:dyDescent="0.25">
      <c r="A6" s="42" t="s">
        <v>8</v>
      </c>
      <c r="B6" s="45">
        <f>Monitor!G6</f>
        <v>4250</v>
      </c>
    </row>
    <row r="7" spans="1:4" x14ac:dyDescent="0.25">
      <c r="A7" s="42" t="s">
        <v>14</v>
      </c>
      <c r="B7" s="46">
        <f>Monitor!M6</f>
        <v>-321.97999999999973</v>
      </c>
    </row>
    <row r="8" spans="1:4" x14ac:dyDescent="0.25">
      <c r="A8" s="42" t="s">
        <v>15</v>
      </c>
      <c r="B8" s="47">
        <f>Monitor!N6</f>
        <v>-7.5759999999999939E-2</v>
      </c>
    </row>
    <row r="9" spans="1:4" x14ac:dyDescent="0.25">
      <c r="A9" s="42" t="s">
        <v>669</v>
      </c>
      <c r="B9" s="46">
        <f>Monitor!O6</f>
        <v>-4.547499999999971</v>
      </c>
    </row>
    <row r="10" spans="1:4" x14ac:dyDescent="0.25">
      <c r="A10" s="42" t="s">
        <v>20</v>
      </c>
      <c r="B10" s="48">
        <f>Monitor!S6</f>
        <v>46182</v>
      </c>
    </row>
    <row r="11" spans="1:4" x14ac:dyDescent="0.25">
      <c r="A11" s="42" t="s">
        <v>670</v>
      </c>
      <c r="B11" s="49">
        <f>Monitor!W6</f>
        <v>114.76305509346632</v>
      </c>
    </row>
    <row r="12" spans="1:4" x14ac:dyDescent="0.25">
      <c r="A12" s="42" t="s">
        <v>671</v>
      </c>
      <c r="B12" s="50" t="str">
        <f>Monitor!F6</f>
        <v>Baa2/NR/NR</v>
      </c>
    </row>
    <row r="13" spans="1:4" x14ac:dyDescent="0.25">
      <c r="A13" s="42" t="s">
        <v>4</v>
      </c>
      <c r="B13" s="50" t="str">
        <f>Monitor!C6</f>
        <v>NVIDIA</v>
      </c>
    </row>
    <row r="15" spans="1:4" x14ac:dyDescent="0.25">
      <c r="A15" s="4" t="s">
        <v>672</v>
      </c>
      <c r="B15" s="5"/>
      <c r="C15" s="5"/>
      <c r="D15" s="5"/>
    </row>
    <row r="16" spans="1:4" ht="69" customHeight="1" x14ac:dyDescent="0.25">
      <c r="A16" s="51" t="s">
        <v>192</v>
      </c>
      <c r="B16" s="52" t="s">
        <v>195</v>
      </c>
    </row>
    <row r="18" spans="1:4" x14ac:dyDescent="0.25">
      <c r="A18" s="4" t="s">
        <v>673</v>
      </c>
      <c r="B18" s="5"/>
      <c r="C18" s="4" t="s">
        <v>674</v>
      </c>
      <c r="D18" s="4" t="s">
        <v>675</v>
      </c>
    </row>
    <row r="19" spans="1:4" ht="16.149999999999999" customHeight="1" x14ac:dyDescent="0.25">
      <c r="A19" s="53" t="s">
        <v>676</v>
      </c>
      <c r="B19" s="54" t="s">
        <v>677</v>
      </c>
      <c r="C19" s="55" t="s">
        <v>678</v>
      </c>
      <c r="D19" s="56" t="s">
        <v>679</v>
      </c>
    </row>
    <row r="20" spans="1:4" ht="16.149999999999999" customHeight="1" x14ac:dyDescent="0.25">
      <c r="A20" s="53" t="s">
        <v>680</v>
      </c>
      <c r="B20" s="54" t="s">
        <v>681</v>
      </c>
      <c r="C20" s="55" t="s">
        <v>678</v>
      </c>
      <c r="D20" s="56" t="s">
        <v>679</v>
      </c>
    </row>
    <row r="21" spans="1:4" ht="29.45" customHeight="1" x14ac:dyDescent="0.25">
      <c r="A21" s="53" t="s">
        <v>682</v>
      </c>
      <c r="B21" s="54" t="s">
        <v>683</v>
      </c>
      <c r="C21" s="55" t="s">
        <v>684</v>
      </c>
      <c r="D21" s="56" t="s">
        <v>679</v>
      </c>
    </row>
    <row r="22" spans="1:4" ht="29.45" customHeight="1" x14ac:dyDescent="0.25">
      <c r="A22" s="53" t="s">
        <v>685</v>
      </c>
      <c r="B22" s="54" t="s">
        <v>686</v>
      </c>
      <c r="C22" s="55" t="s">
        <v>678</v>
      </c>
      <c r="D22" s="56" t="s">
        <v>679</v>
      </c>
    </row>
    <row r="23" spans="1:4" ht="29.45" customHeight="1" x14ac:dyDescent="0.25">
      <c r="A23" s="53" t="s">
        <v>687</v>
      </c>
      <c r="B23" s="54" t="s">
        <v>688</v>
      </c>
      <c r="C23" s="55" t="s">
        <v>689</v>
      </c>
      <c r="D23" s="57" t="s">
        <v>690</v>
      </c>
    </row>
    <row r="24" spans="1:4" ht="16.149999999999999" customHeight="1" x14ac:dyDescent="0.25">
      <c r="A24" s="53" t="s">
        <v>691</v>
      </c>
      <c r="B24" s="54" t="s">
        <v>692</v>
      </c>
      <c r="C24" s="55" t="s">
        <v>678</v>
      </c>
      <c r="D24" s="56" t="s">
        <v>679</v>
      </c>
    </row>
    <row r="25" spans="1:4" ht="29.45" customHeight="1" x14ac:dyDescent="0.25">
      <c r="A25" s="53" t="s">
        <v>693</v>
      </c>
      <c r="B25" s="54" t="s">
        <v>694</v>
      </c>
      <c r="C25" s="55" t="s">
        <v>684</v>
      </c>
      <c r="D25" s="56" t="s">
        <v>679</v>
      </c>
    </row>
    <row r="26" spans="1:4" ht="29.45" customHeight="1" x14ac:dyDescent="0.25">
      <c r="A26" s="53" t="s">
        <v>695</v>
      </c>
      <c r="B26" s="54" t="s">
        <v>696</v>
      </c>
      <c r="C26" s="55" t="s">
        <v>697</v>
      </c>
      <c r="D26" s="58" t="s">
        <v>698</v>
      </c>
    </row>
    <row r="27" spans="1:4" ht="16.149999999999999" customHeight="1" x14ac:dyDescent="0.25">
      <c r="A27" s="53" t="s">
        <v>699</v>
      </c>
      <c r="B27" s="54" t="s">
        <v>700</v>
      </c>
      <c r="C27" s="55" t="s">
        <v>678</v>
      </c>
      <c r="D27" s="56" t="s">
        <v>679</v>
      </c>
    </row>
    <row r="28" spans="1:4" ht="16.149999999999999" customHeight="1" x14ac:dyDescent="0.25">
      <c r="A28" s="53" t="s">
        <v>701</v>
      </c>
      <c r="B28" s="54" t="s">
        <v>702</v>
      </c>
      <c r="C28" s="55" t="s">
        <v>678</v>
      </c>
      <c r="D28" s="56" t="s">
        <v>679</v>
      </c>
    </row>
    <row r="29" spans="1:4" ht="16.149999999999999" customHeight="1" x14ac:dyDescent="0.25">
      <c r="A29" s="53" t="s">
        <v>703</v>
      </c>
      <c r="B29" s="54" t="s">
        <v>704</v>
      </c>
      <c r="C29" s="55" t="s">
        <v>678</v>
      </c>
      <c r="D29" s="56" t="s">
        <v>679</v>
      </c>
    </row>
    <row r="30" spans="1:4" ht="29.45" customHeight="1" x14ac:dyDescent="0.25">
      <c r="A30" s="53" t="s">
        <v>705</v>
      </c>
      <c r="B30" s="54" t="s">
        <v>706</v>
      </c>
      <c r="C30" s="55" t="s">
        <v>678</v>
      </c>
      <c r="D30" s="56" t="s">
        <v>679</v>
      </c>
    </row>
    <row r="31" spans="1:4" ht="42.6" customHeight="1" x14ac:dyDescent="0.25">
      <c r="A31" s="53" t="s">
        <v>707</v>
      </c>
      <c r="B31" s="54" t="s">
        <v>708</v>
      </c>
      <c r="C31" s="55" t="s">
        <v>678</v>
      </c>
      <c r="D31" s="56" t="s">
        <v>679</v>
      </c>
    </row>
    <row r="32" spans="1:4" ht="55.9" customHeight="1" x14ac:dyDescent="0.25">
      <c r="A32" s="53" t="s">
        <v>709</v>
      </c>
      <c r="B32" s="54" t="s">
        <v>710</v>
      </c>
      <c r="C32" s="55" t="s">
        <v>678</v>
      </c>
      <c r="D32" s="56" t="s">
        <v>679</v>
      </c>
    </row>
    <row r="33" spans="1:4" ht="55.9" customHeight="1" x14ac:dyDescent="0.25">
      <c r="A33" s="53" t="s">
        <v>711</v>
      </c>
      <c r="B33" s="54" t="s">
        <v>712</v>
      </c>
      <c r="C33" s="55" t="s">
        <v>678</v>
      </c>
      <c r="D33" s="56" t="s">
        <v>679</v>
      </c>
    </row>
    <row r="34" spans="1:4" ht="42.6" customHeight="1" x14ac:dyDescent="0.25">
      <c r="A34" s="53" t="s">
        <v>713</v>
      </c>
      <c r="B34" s="54" t="s">
        <v>714</v>
      </c>
      <c r="C34" s="55" t="s">
        <v>678</v>
      </c>
      <c r="D34" s="56" t="s">
        <v>679</v>
      </c>
    </row>
    <row r="35" spans="1:4" ht="16.149999999999999" customHeight="1" x14ac:dyDescent="0.25">
      <c r="A35" s="53" t="s">
        <v>715</v>
      </c>
      <c r="B35" s="54" t="s">
        <v>716</v>
      </c>
      <c r="C35" s="55" t="s">
        <v>697</v>
      </c>
      <c r="D35" s="58" t="s">
        <v>698</v>
      </c>
    </row>
    <row r="37" spans="1:4" x14ac:dyDescent="0.25">
      <c r="A37" s="4" t="s">
        <v>717</v>
      </c>
      <c r="B37" s="5"/>
      <c r="C37" s="4" t="s">
        <v>674</v>
      </c>
      <c r="D37" s="4" t="s">
        <v>675</v>
      </c>
    </row>
    <row r="38" spans="1:4" ht="29.45" customHeight="1" x14ac:dyDescent="0.25">
      <c r="A38" s="53" t="s">
        <v>718</v>
      </c>
      <c r="B38" s="54" t="s">
        <v>719</v>
      </c>
      <c r="C38" s="55" t="s">
        <v>678</v>
      </c>
      <c r="D38" s="56" t="s">
        <v>679</v>
      </c>
    </row>
    <row r="39" spans="1:4" ht="29.45" customHeight="1" x14ac:dyDescent="0.25">
      <c r="A39" s="53" t="s">
        <v>720</v>
      </c>
      <c r="B39" s="54" t="s">
        <v>721</v>
      </c>
      <c r="C39" s="55" t="s">
        <v>689</v>
      </c>
      <c r="D39" s="57" t="s">
        <v>690</v>
      </c>
    </row>
    <row r="40" spans="1:4" ht="42.6" customHeight="1" x14ac:dyDescent="0.25">
      <c r="A40" s="53" t="s">
        <v>722</v>
      </c>
      <c r="B40" s="54" t="s">
        <v>723</v>
      </c>
      <c r="C40" s="55" t="s">
        <v>678</v>
      </c>
      <c r="D40" s="56" t="s">
        <v>679</v>
      </c>
    </row>
    <row r="41" spans="1:4" ht="29.45" customHeight="1" x14ac:dyDescent="0.25">
      <c r="A41" s="53" t="s">
        <v>724</v>
      </c>
      <c r="B41" s="54" t="s">
        <v>725</v>
      </c>
      <c r="C41" s="55" t="s">
        <v>678</v>
      </c>
      <c r="D41" s="56" t="s">
        <v>679</v>
      </c>
    </row>
    <row r="42" spans="1:4" ht="29.45" customHeight="1" x14ac:dyDescent="0.25">
      <c r="A42" s="53" t="s">
        <v>726</v>
      </c>
      <c r="B42" s="54" t="s">
        <v>727</v>
      </c>
      <c r="C42" s="55" t="s">
        <v>689</v>
      </c>
      <c r="D42" s="57" t="s">
        <v>690</v>
      </c>
    </row>
    <row r="44" spans="1:4" x14ac:dyDescent="0.25">
      <c r="A44" s="4" t="s">
        <v>728</v>
      </c>
      <c r="B44" s="5"/>
      <c r="C44" s="4" t="s">
        <v>674</v>
      </c>
      <c r="D44" s="4" t="s">
        <v>675</v>
      </c>
    </row>
    <row r="45" spans="1:4" ht="29.45" customHeight="1" x14ac:dyDescent="0.25">
      <c r="A45" s="53" t="s">
        <v>729</v>
      </c>
      <c r="B45" s="54" t="s">
        <v>730</v>
      </c>
      <c r="C45" s="55" t="s">
        <v>731</v>
      </c>
      <c r="D45" s="57" t="s">
        <v>690</v>
      </c>
    </row>
    <row r="46" spans="1:4" ht="42.6" customHeight="1" x14ac:dyDescent="0.25">
      <c r="A46" s="53" t="s">
        <v>732</v>
      </c>
      <c r="B46" s="54" t="s">
        <v>733</v>
      </c>
      <c r="C46" s="55" t="s">
        <v>734</v>
      </c>
      <c r="D46" s="56" t="s">
        <v>679</v>
      </c>
    </row>
    <row r="47" spans="1:4" ht="29.45" customHeight="1" x14ac:dyDescent="0.25">
      <c r="A47" s="53" t="s">
        <v>735</v>
      </c>
      <c r="B47" s="54" t="s">
        <v>736</v>
      </c>
      <c r="C47" s="55" t="s">
        <v>737</v>
      </c>
      <c r="D47" s="57" t="s">
        <v>690</v>
      </c>
    </row>
    <row r="48" spans="1:4" ht="29.45" customHeight="1" x14ac:dyDescent="0.25">
      <c r="A48" s="53" t="s">
        <v>738</v>
      </c>
      <c r="B48" s="54" t="s">
        <v>739</v>
      </c>
      <c r="C48" s="55" t="s">
        <v>734</v>
      </c>
      <c r="D48" s="56" t="s">
        <v>679</v>
      </c>
    </row>
    <row r="50" spans="1:4" x14ac:dyDescent="0.25">
      <c r="A50" s="4" t="s">
        <v>740</v>
      </c>
      <c r="B50" s="5"/>
      <c r="C50" s="4" t="s">
        <v>674</v>
      </c>
      <c r="D50" s="4" t="s">
        <v>675</v>
      </c>
    </row>
    <row r="51" spans="1:4" ht="16.149999999999999" customHeight="1" x14ac:dyDescent="0.25">
      <c r="A51" s="53" t="s">
        <v>741</v>
      </c>
      <c r="B51" s="54" t="s">
        <v>742</v>
      </c>
      <c r="C51" s="55" t="s">
        <v>678</v>
      </c>
      <c r="D51" s="56" t="s">
        <v>679</v>
      </c>
    </row>
    <row r="52" spans="1:4" ht="29.45" customHeight="1" x14ac:dyDescent="0.25">
      <c r="A52" s="53" t="s">
        <v>743</v>
      </c>
      <c r="B52" s="54" t="s">
        <v>744</v>
      </c>
      <c r="C52" s="55" t="s">
        <v>684</v>
      </c>
      <c r="D52" s="56" t="s">
        <v>679</v>
      </c>
    </row>
    <row r="53" spans="1:4" ht="42.6" customHeight="1" x14ac:dyDescent="0.25">
      <c r="A53" s="53" t="s">
        <v>745</v>
      </c>
      <c r="B53" s="54" t="s">
        <v>746</v>
      </c>
      <c r="C53" s="55" t="s">
        <v>747</v>
      </c>
      <c r="D53" s="59" t="s">
        <v>748</v>
      </c>
    </row>
    <row r="54" spans="1:4" ht="42.6" customHeight="1" x14ac:dyDescent="0.25">
      <c r="A54" s="53" t="s">
        <v>749</v>
      </c>
      <c r="B54" s="54" t="s">
        <v>750</v>
      </c>
      <c r="C54" s="55" t="s">
        <v>731</v>
      </c>
      <c r="D54" s="57" t="s">
        <v>690</v>
      </c>
    </row>
    <row r="55" spans="1:4" ht="29.45" customHeight="1" x14ac:dyDescent="0.25">
      <c r="A55" s="53" t="s">
        <v>751</v>
      </c>
      <c r="B55" s="54" t="s">
        <v>752</v>
      </c>
      <c r="C55" s="55" t="s">
        <v>753</v>
      </c>
      <c r="D55" s="57" t="s">
        <v>690</v>
      </c>
    </row>
    <row r="56" spans="1:4" ht="29.45" customHeight="1" x14ac:dyDescent="0.25">
      <c r="A56" s="53" t="s">
        <v>754</v>
      </c>
      <c r="B56" s="54" t="s">
        <v>755</v>
      </c>
      <c r="C56" s="55" t="s">
        <v>737</v>
      </c>
      <c r="D56" s="57" t="s">
        <v>690</v>
      </c>
    </row>
    <row r="57" spans="1:4" ht="42.6" customHeight="1" x14ac:dyDescent="0.25">
      <c r="A57" s="53" t="s">
        <v>756</v>
      </c>
      <c r="B57" s="54" t="s">
        <v>757</v>
      </c>
      <c r="C57" s="55" t="s">
        <v>678</v>
      </c>
      <c r="D57" s="56" t="s">
        <v>679</v>
      </c>
    </row>
    <row r="58" spans="1:4" ht="29.45" customHeight="1" x14ac:dyDescent="0.25">
      <c r="A58" s="53" t="s">
        <v>758</v>
      </c>
      <c r="B58" s="54" t="s">
        <v>759</v>
      </c>
      <c r="C58" s="55" t="s">
        <v>678</v>
      </c>
      <c r="D58" s="56" t="s">
        <v>679</v>
      </c>
    </row>
    <row r="59" spans="1:4" ht="29.45" customHeight="1" x14ac:dyDescent="0.25">
      <c r="A59" s="53" t="s">
        <v>760</v>
      </c>
      <c r="B59" s="54" t="s">
        <v>761</v>
      </c>
      <c r="C59" s="55" t="s">
        <v>678</v>
      </c>
      <c r="D59" s="56" t="s">
        <v>679</v>
      </c>
    </row>
    <row r="61" spans="1:4" x14ac:dyDescent="0.25">
      <c r="A61" s="4" t="s">
        <v>762</v>
      </c>
      <c r="B61" s="5"/>
      <c r="C61" s="4" t="s">
        <v>674</v>
      </c>
      <c r="D61" s="4" t="s">
        <v>675</v>
      </c>
    </row>
    <row r="62" spans="1:4" ht="16.149999999999999" customHeight="1" x14ac:dyDescent="0.25">
      <c r="A62" s="53" t="s">
        <v>763</v>
      </c>
      <c r="B62" s="54" t="s">
        <v>764</v>
      </c>
      <c r="C62" s="55" t="s">
        <v>684</v>
      </c>
      <c r="D62" s="56" t="s">
        <v>679</v>
      </c>
    </row>
    <row r="63" spans="1:4" ht="29.45" customHeight="1" x14ac:dyDescent="0.25">
      <c r="A63" s="53" t="s">
        <v>765</v>
      </c>
      <c r="B63" s="54" t="s">
        <v>766</v>
      </c>
      <c r="C63" s="55" t="s">
        <v>731</v>
      </c>
      <c r="D63" s="57" t="s">
        <v>690</v>
      </c>
    </row>
    <row r="64" spans="1:4" ht="29.45" customHeight="1" x14ac:dyDescent="0.25">
      <c r="A64" s="53" t="s">
        <v>767</v>
      </c>
      <c r="B64" s="54" t="s">
        <v>768</v>
      </c>
      <c r="C64" s="55" t="s">
        <v>731</v>
      </c>
      <c r="D64" s="57" t="s">
        <v>690</v>
      </c>
    </row>
    <row r="65" spans="1:4" ht="29.45" customHeight="1" x14ac:dyDescent="0.25">
      <c r="A65" s="53" t="s">
        <v>769</v>
      </c>
      <c r="B65" s="54" t="s">
        <v>770</v>
      </c>
      <c r="C65" s="55" t="s">
        <v>697</v>
      </c>
      <c r="D65" s="58" t="s">
        <v>698</v>
      </c>
    </row>
    <row r="66" spans="1:4" ht="16.149999999999999" customHeight="1" x14ac:dyDescent="0.25">
      <c r="A66" s="53" t="s">
        <v>771</v>
      </c>
      <c r="B66" s="54" t="s">
        <v>772</v>
      </c>
      <c r="C66" s="55" t="s">
        <v>684</v>
      </c>
      <c r="D66" s="56" t="s">
        <v>679</v>
      </c>
    </row>
    <row r="68" spans="1:4" x14ac:dyDescent="0.25">
      <c r="A68" s="4" t="s">
        <v>773</v>
      </c>
      <c r="B68" s="5"/>
      <c r="C68" s="4" t="s">
        <v>674</v>
      </c>
      <c r="D68" s="4" t="s">
        <v>675</v>
      </c>
    </row>
    <row r="69" spans="1:4" ht="29.45" customHeight="1" x14ac:dyDescent="0.25">
      <c r="A69" s="53" t="s">
        <v>774</v>
      </c>
      <c r="B69" s="54" t="s">
        <v>775</v>
      </c>
      <c r="C69" s="55" t="s">
        <v>776</v>
      </c>
      <c r="D69" s="57" t="s">
        <v>690</v>
      </c>
    </row>
    <row r="70" spans="1:4" ht="16.149999999999999" customHeight="1" x14ac:dyDescent="0.25">
      <c r="A70" s="53" t="s">
        <v>777</v>
      </c>
      <c r="B70" s="54" t="s">
        <v>778</v>
      </c>
      <c r="C70" s="55" t="s">
        <v>737</v>
      </c>
      <c r="D70" s="57" t="s">
        <v>690</v>
      </c>
    </row>
    <row r="71" spans="1:4" ht="16.149999999999999" customHeight="1" x14ac:dyDescent="0.25">
      <c r="A71" s="53" t="s">
        <v>779</v>
      </c>
      <c r="B71" s="54" t="s">
        <v>780</v>
      </c>
      <c r="C71" s="55" t="s">
        <v>776</v>
      </c>
      <c r="D71" s="57" t="s">
        <v>690</v>
      </c>
    </row>
    <row r="73" spans="1:4" x14ac:dyDescent="0.25">
      <c r="A73" s="4" t="s">
        <v>781</v>
      </c>
      <c r="B73" s="5"/>
      <c r="C73" s="4" t="s">
        <v>674</v>
      </c>
      <c r="D73" s="4" t="s">
        <v>675</v>
      </c>
    </row>
    <row r="74" spans="1:4" ht="29.45" customHeight="1" x14ac:dyDescent="0.25">
      <c r="A74" s="53" t="s">
        <v>782</v>
      </c>
      <c r="B74" s="54" t="s">
        <v>783</v>
      </c>
      <c r="C74" s="55" t="s">
        <v>737</v>
      </c>
      <c r="D74" s="57" t="s">
        <v>690</v>
      </c>
    </row>
    <row r="75" spans="1:4" ht="29.45" customHeight="1" x14ac:dyDescent="0.25">
      <c r="A75" s="53" t="s">
        <v>784</v>
      </c>
      <c r="B75" s="54" t="s">
        <v>785</v>
      </c>
      <c r="C75" s="55" t="s">
        <v>678</v>
      </c>
      <c r="D75" s="56" t="s">
        <v>679</v>
      </c>
    </row>
    <row r="76" spans="1:4" ht="29.45" customHeight="1" x14ac:dyDescent="0.25">
      <c r="A76" s="53" t="s">
        <v>786</v>
      </c>
      <c r="B76" s="54" t="s">
        <v>787</v>
      </c>
      <c r="C76" s="55" t="s">
        <v>678</v>
      </c>
      <c r="D76" s="56" t="s">
        <v>679</v>
      </c>
    </row>
    <row r="77" spans="1:4" ht="16.149999999999999" customHeight="1" x14ac:dyDescent="0.25">
      <c r="A77" s="53" t="s">
        <v>788</v>
      </c>
      <c r="B77" s="54" t="s">
        <v>789</v>
      </c>
      <c r="C77" s="55" t="s">
        <v>678</v>
      </c>
      <c r="D77" s="56" t="s">
        <v>679</v>
      </c>
    </row>
    <row r="78" spans="1:4" ht="16.149999999999999" customHeight="1" x14ac:dyDescent="0.25">
      <c r="A78" s="53" t="s">
        <v>790</v>
      </c>
      <c r="B78" s="54" t="s">
        <v>791</v>
      </c>
      <c r="C78" s="55" t="s">
        <v>697</v>
      </c>
      <c r="D78" s="58" t="s">
        <v>698</v>
      </c>
    </row>
    <row r="80" spans="1:4" x14ac:dyDescent="0.25">
      <c r="A80" s="4" t="s">
        <v>792</v>
      </c>
      <c r="B80" s="5"/>
      <c r="C80" s="4" t="s">
        <v>674</v>
      </c>
      <c r="D80" s="4" t="s">
        <v>675</v>
      </c>
    </row>
    <row r="81" spans="1:4" ht="29.45" customHeight="1" x14ac:dyDescent="0.25">
      <c r="A81" s="53" t="s">
        <v>793</v>
      </c>
      <c r="B81" s="54" t="s">
        <v>794</v>
      </c>
      <c r="C81" s="55" t="s">
        <v>678</v>
      </c>
      <c r="D81" s="56" t="s">
        <v>679</v>
      </c>
    </row>
    <row r="82" spans="1:4" ht="29.45" customHeight="1" x14ac:dyDescent="0.25">
      <c r="A82" s="53" t="s">
        <v>795</v>
      </c>
      <c r="B82" s="54" t="s">
        <v>796</v>
      </c>
      <c r="C82" s="55" t="s">
        <v>753</v>
      </c>
      <c r="D82" s="57" t="s">
        <v>690</v>
      </c>
    </row>
    <row r="83" spans="1:4" ht="29.45" customHeight="1" x14ac:dyDescent="0.25">
      <c r="A83" s="53" t="s">
        <v>797</v>
      </c>
      <c r="B83" s="54" t="s">
        <v>798</v>
      </c>
      <c r="C83" s="55" t="s">
        <v>684</v>
      </c>
      <c r="D83" s="56" t="s">
        <v>679</v>
      </c>
    </row>
    <row r="84" spans="1:4" ht="29.45" customHeight="1" x14ac:dyDescent="0.25">
      <c r="A84" s="53" t="s">
        <v>799</v>
      </c>
      <c r="B84" s="54" t="s">
        <v>800</v>
      </c>
      <c r="C84" s="55" t="s">
        <v>678</v>
      </c>
      <c r="D84" s="56" t="s">
        <v>679</v>
      </c>
    </row>
    <row r="85" spans="1:4" ht="29.45" customHeight="1" x14ac:dyDescent="0.25">
      <c r="A85" s="53" t="s">
        <v>801</v>
      </c>
      <c r="B85" s="54" t="s">
        <v>802</v>
      </c>
      <c r="C85" s="55" t="s">
        <v>678</v>
      </c>
      <c r="D85" s="60" t="s">
        <v>803</v>
      </c>
    </row>
    <row r="87" spans="1:4" x14ac:dyDescent="0.25">
      <c r="A87" s="4" t="s">
        <v>804</v>
      </c>
      <c r="B87" s="5"/>
      <c r="C87" s="4" t="s">
        <v>674</v>
      </c>
      <c r="D87" s="4" t="s">
        <v>675</v>
      </c>
    </row>
    <row r="88" spans="1:4" ht="16.149999999999999" customHeight="1" x14ac:dyDescent="0.25">
      <c r="A88" s="53" t="s">
        <v>805</v>
      </c>
      <c r="B88" s="54" t="s">
        <v>806</v>
      </c>
      <c r="C88" s="55" t="s">
        <v>689</v>
      </c>
      <c r="D88" s="57" t="s">
        <v>690</v>
      </c>
    </row>
    <row r="89" spans="1:4" ht="42.6" customHeight="1" x14ac:dyDescent="0.25">
      <c r="A89" s="53" t="s">
        <v>807</v>
      </c>
      <c r="B89" s="54" t="s">
        <v>808</v>
      </c>
      <c r="C89" s="55" t="s">
        <v>678</v>
      </c>
      <c r="D89" s="56" t="s">
        <v>679</v>
      </c>
    </row>
    <row r="90" spans="1:4" ht="29.45" customHeight="1" x14ac:dyDescent="0.25">
      <c r="A90" s="53" t="s">
        <v>809</v>
      </c>
      <c r="B90" s="54" t="s">
        <v>810</v>
      </c>
      <c r="C90" s="55" t="s">
        <v>678</v>
      </c>
      <c r="D90" s="56" t="s">
        <v>679</v>
      </c>
    </row>
    <row r="91" spans="1:4" ht="16.149999999999999" customHeight="1" x14ac:dyDescent="0.25">
      <c r="A91" s="53" t="s">
        <v>811</v>
      </c>
      <c r="B91" s="54" t="s">
        <v>812</v>
      </c>
      <c r="C91" s="55" t="s">
        <v>678</v>
      </c>
      <c r="D91" s="56" t="s">
        <v>679</v>
      </c>
    </row>
    <row r="93" spans="1:4" x14ac:dyDescent="0.25">
      <c r="A93" s="4" t="s">
        <v>813</v>
      </c>
      <c r="B93" s="5"/>
      <c r="C93" s="4" t="s">
        <v>674</v>
      </c>
      <c r="D93" s="4" t="s">
        <v>675</v>
      </c>
    </row>
    <row r="94" spans="1:4" ht="29.45" customHeight="1" x14ac:dyDescent="0.25">
      <c r="A94" s="53" t="s">
        <v>814</v>
      </c>
      <c r="B94" s="54" t="s">
        <v>815</v>
      </c>
      <c r="C94" s="55" t="s">
        <v>678</v>
      </c>
      <c r="D94" s="56" t="s">
        <v>679</v>
      </c>
    </row>
    <row r="95" spans="1:4" ht="29.45" customHeight="1" x14ac:dyDescent="0.25">
      <c r="A95" s="53" t="s">
        <v>816</v>
      </c>
      <c r="B95" s="54" t="s">
        <v>817</v>
      </c>
      <c r="C95" s="55" t="s">
        <v>678</v>
      </c>
      <c r="D95" s="56" t="s">
        <v>679</v>
      </c>
    </row>
    <row r="96" spans="1:4" ht="29.45" customHeight="1" x14ac:dyDescent="0.25">
      <c r="A96" s="53" t="s">
        <v>818</v>
      </c>
      <c r="B96" s="54" t="s">
        <v>819</v>
      </c>
      <c r="C96" s="55" t="s">
        <v>678</v>
      </c>
      <c r="D96" s="56" t="s">
        <v>679</v>
      </c>
    </row>
    <row r="97" spans="1:4" ht="29.45" customHeight="1" x14ac:dyDescent="0.25">
      <c r="A97" s="53" t="s">
        <v>820</v>
      </c>
      <c r="B97" s="54" t="s">
        <v>821</v>
      </c>
      <c r="C97" s="55" t="s">
        <v>678</v>
      </c>
      <c r="D97" s="56" t="s">
        <v>679</v>
      </c>
    </row>
    <row r="98" spans="1:4" ht="29.45" customHeight="1" x14ac:dyDescent="0.25">
      <c r="A98" s="53" t="s">
        <v>822</v>
      </c>
      <c r="B98" s="54" t="s">
        <v>823</v>
      </c>
      <c r="C98" s="55" t="s">
        <v>678</v>
      </c>
      <c r="D98" s="56" t="s">
        <v>679</v>
      </c>
    </row>
    <row r="99" spans="1:4" ht="29.45" customHeight="1" x14ac:dyDescent="0.25">
      <c r="A99" s="53" t="s">
        <v>824</v>
      </c>
      <c r="B99" s="54" t="s">
        <v>825</v>
      </c>
      <c r="C99" s="55" t="s">
        <v>678</v>
      </c>
      <c r="D99" s="56" t="s">
        <v>679</v>
      </c>
    </row>
    <row r="101" spans="1:4" x14ac:dyDescent="0.25">
      <c r="A101" s="4" t="s">
        <v>826</v>
      </c>
      <c r="B101" s="5"/>
      <c r="C101" s="4" t="s">
        <v>674</v>
      </c>
      <c r="D101" s="4" t="s">
        <v>675</v>
      </c>
    </row>
    <row r="102" spans="1:4" ht="16.149999999999999" customHeight="1" x14ac:dyDescent="0.25">
      <c r="A102" s="53" t="s">
        <v>827</v>
      </c>
      <c r="B102" s="54" t="s">
        <v>828</v>
      </c>
      <c r="C102" s="55" t="s">
        <v>689</v>
      </c>
      <c r="D102" s="57" t="s">
        <v>690</v>
      </c>
    </row>
    <row r="103" spans="1:4" ht="29.45" customHeight="1" x14ac:dyDescent="0.25">
      <c r="A103" s="53" t="s">
        <v>829</v>
      </c>
      <c r="B103" s="54" t="s">
        <v>830</v>
      </c>
      <c r="C103" s="55" t="s">
        <v>697</v>
      </c>
      <c r="D103" s="58" t="s">
        <v>698</v>
      </c>
    </row>
    <row r="104" spans="1:4" ht="16.149999999999999" customHeight="1" x14ac:dyDescent="0.25">
      <c r="A104" s="53" t="s">
        <v>831</v>
      </c>
      <c r="B104" s="54" t="s">
        <v>832</v>
      </c>
      <c r="C104" s="55" t="s">
        <v>689</v>
      </c>
      <c r="D104" s="57" t="s">
        <v>690</v>
      </c>
    </row>
    <row r="106" spans="1:4" x14ac:dyDescent="0.25">
      <c r="A106" s="4" t="s">
        <v>833</v>
      </c>
      <c r="B106" s="5"/>
      <c r="C106" s="4" t="s">
        <v>674</v>
      </c>
      <c r="D106" s="4" t="s">
        <v>675</v>
      </c>
    </row>
    <row r="107" spans="1:4" ht="29.45" customHeight="1" x14ac:dyDescent="0.25">
      <c r="A107" s="53" t="s">
        <v>834</v>
      </c>
      <c r="B107" s="54" t="s">
        <v>835</v>
      </c>
      <c r="C107" s="55" t="s">
        <v>684</v>
      </c>
      <c r="D107" s="56" t="s">
        <v>679</v>
      </c>
    </row>
    <row r="109" spans="1:4" x14ac:dyDescent="0.25">
      <c r="A109" s="4" t="s">
        <v>836</v>
      </c>
      <c r="B109" s="5"/>
      <c r="C109" s="4" t="s">
        <v>674</v>
      </c>
      <c r="D109" s="4" t="s">
        <v>675</v>
      </c>
    </row>
    <row r="110" spans="1:4" ht="29.45" customHeight="1" x14ac:dyDescent="0.25">
      <c r="A110" s="53" t="s">
        <v>837</v>
      </c>
      <c r="B110" s="54" t="s">
        <v>838</v>
      </c>
      <c r="C110" s="55" t="s">
        <v>684</v>
      </c>
      <c r="D110" s="56" t="s">
        <v>679</v>
      </c>
    </row>
    <row r="111" spans="1:4" ht="69" customHeight="1" x14ac:dyDescent="0.25">
      <c r="A111" s="53" t="s">
        <v>839</v>
      </c>
      <c r="B111" s="54" t="s">
        <v>840</v>
      </c>
      <c r="C111" s="55" t="s">
        <v>841</v>
      </c>
      <c r="D111" s="56" t="s">
        <v>679</v>
      </c>
    </row>
    <row r="112" spans="1:4" ht="55.9" customHeight="1" x14ac:dyDescent="0.25">
      <c r="A112" s="53" t="s">
        <v>842</v>
      </c>
      <c r="B112" s="54" t="s">
        <v>843</v>
      </c>
      <c r="C112" s="55" t="s">
        <v>844</v>
      </c>
      <c r="D112" s="59" t="s">
        <v>748</v>
      </c>
    </row>
    <row r="113" spans="1:4" ht="29.45" customHeight="1" x14ac:dyDescent="0.25">
      <c r="A113" s="53" t="s">
        <v>845</v>
      </c>
      <c r="B113" s="54" t="s">
        <v>846</v>
      </c>
      <c r="C113" s="55" t="s">
        <v>678</v>
      </c>
      <c r="D113" s="60" t="s">
        <v>803</v>
      </c>
    </row>
    <row r="114" spans="1:4" ht="16.149999999999999" customHeight="1" x14ac:dyDescent="0.25">
      <c r="A114" s="53" t="s">
        <v>847</v>
      </c>
      <c r="B114" s="54" t="s">
        <v>848</v>
      </c>
      <c r="C114" s="55" t="s">
        <v>678</v>
      </c>
      <c r="D114" s="60" t="s">
        <v>803</v>
      </c>
    </row>
    <row r="115" spans="1:4" ht="29.45" customHeight="1" x14ac:dyDescent="0.25">
      <c r="A115" s="53" t="s">
        <v>849</v>
      </c>
      <c r="B115" s="54" t="s">
        <v>850</v>
      </c>
      <c r="C115" s="55" t="s">
        <v>678</v>
      </c>
      <c r="D115" s="60" t="s">
        <v>803</v>
      </c>
    </row>
    <row r="116" spans="1:4" ht="29.45" customHeight="1" x14ac:dyDescent="0.25">
      <c r="A116" s="53" t="s">
        <v>851</v>
      </c>
      <c r="B116" s="54" t="s">
        <v>852</v>
      </c>
      <c r="C116" s="55" t="s">
        <v>731</v>
      </c>
      <c r="D116" s="57" t="s">
        <v>690</v>
      </c>
    </row>
    <row r="117" spans="1:4" ht="29.45" customHeight="1" x14ac:dyDescent="0.25">
      <c r="A117" s="53" t="s">
        <v>853</v>
      </c>
      <c r="B117" s="54" t="s">
        <v>854</v>
      </c>
      <c r="C117" s="55" t="s">
        <v>737</v>
      </c>
      <c r="D117" s="57" t="s">
        <v>690</v>
      </c>
    </row>
    <row r="119" spans="1:4" x14ac:dyDescent="0.25">
      <c r="A119" s="4" t="s">
        <v>855</v>
      </c>
      <c r="B119" s="5"/>
      <c r="C119" s="4" t="s">
        <v>674</v>
      </c>
      <c r="D119" s="4" t="s">
        <v>675</v>
      </c>
    </row>
    <row r="120" spans="1:4" ht="29.45" customHeight="1" x14ac:dyDescent="0.25">
      <c r="A120" s="53" t="s">
        <v>856</v>
      </c>
      <c r="B120" s="54" t="s">
        <v>857</v>
      </c>
      <c r="C120" s="55" t="s">
        <v>731</v>
      </c>
      <c r="D120" s="57" t="s">
        <v>690</v>
      </c>
    </row>
    <row r="121" spans="1:4" ht="16.149999999999999" customHeight="1" x14ac:dyDescent="0.25">
      <c r="A121" s="53" t="s">
        <v>858</v>
      </c>
      <c r="B121" s="54" t="s">
        <v>859</v>
      </c>
      <c r="C121" s="55" t="s">
        <v>737</v>
      </c>
      <c r="D121" s="57" t="s">
        <v>690</v>
      </c>
    </row>
    <row r="122" spans="1:4" ht="16.149999999999999" customHeight="1" x14ac:dyDescent="0.25">
      <c r="A122" s="53" t="s">
        <v>860</v>
      </c>
      <c r="B122" s="54" t="s">
        <v>861</v>
      </c>
      <c r="C122" s="55" t="s">
        <v>841</v>
      </c>
      <c r="D122" s="56" t="s">
        <v>679</v>
      </c>
    </row>
    <row r="123" spans="1:4" ht="16.149999999999999" customHeight="1" x14ac:dyDescent="0.25">
      <c r="A123" s="53" t="s">
        <v>862</v>
      </c>
      <c r="B123" s="54" t="s">
        <v>863</v>
      </c>
      <c r="C123" s="55" t="s">
        <v>844</v>
      </c>
      <c r="D123" s="59" t="s">
        <v>748</v>
      </c>
    </row>
    <row r="124" spans="1:4" ht="16.149999999999999" customHeight="1" x14ac:dyDescent="0.25">
      <c r="A124" s="53" t="s">
        <v>864</v>
      </c>
      <c r="B124" s="54" t="s">
        <v>865</v>
      </c>
      <c r="C124" s="55" t="s">
        <v>734</v>
      </c>
      <c r="D124" s="56" t="s">
        <v>679</v>
      </c>
    </row>
    <row r="125" spans="1:4" ht="16.149999999999999" customHeight="1" x14ac:dyDescent="0.25">
      <c r="A125" s="53" t="s">
        <v>866</v>
      </c>
      <c r="B125" s="54" t="s">
        <v>867</v>
      </c>
      <c r="C125" s="55" t="s">
        <v>697</v>
      </c>
      <c r="D125" s="58" t="s">
        <v>698</v>
      </c>
    </row>
    <row r="127" spans="1:4" x14ac:dyDescent="0.25">
      <c r="A127" s="4" t="s">
        <v>868</v>
      </c>
      <c r="B127" s="5"/>
      <c r="C127" s="4" t="s">
        <v>674</v>
      </c>
      <c r="D127" s="5"/>
    </row>
    <row r="128" spans="1:4" ht="16.149999999999999" customHeight="1" x14ac:dyDescent="0.25">
      <c r="A128" s="61" t="s">
        <v>869</v>
      </c>
      <c r="B128" s="54" t="s">
        <v>870</v>
      </c>
      <c r="C128" s="55" t="s">
        <v>678</v>
      </c>
      <c r="D128" s="62"/>
    </row>
    <row r="129" spans="1:4" ht="16.149999999999999" customHeight="1" x14ac:dyDescent="0.25">
      <c r="A129" s="61" t="s">
        <v>871</v>
      </c>
      <c r="B129" s="54" t="s">
        <v>872</v>
      </c>
      <c r="C129" s="55" t="s">
        <v>678</v>
      </c>
      <c r="D129" s="62"/>
    </row>
    <row r="130" spans="1:4" ht="16.149999999999999" customHeight="1" x14ac:dyDescent="0.25">
      <c r="A130" s="61" t="s">
        <v>873</v>
      </c>
      <c r="B130" s="54" t="s">
        <v>874</v>
      </c>
      <c r="C130" s="55" t="s">
        <v>776</v>
      </c>
      <c r="D130" s="62"/>
    </row>
    <row r="131" spans="1:4" ht="16.149999999999999" customHeight="1" x14ac:dyDescent="0.25">
      <c r="A131" s="61" t="s">
        <v>875</v>
      </c>
      <c r="B131" s="54" t="s">
        <v>876</v>
      </c>
      <c r="C131" s="55" t="s">
        <v>877</v>
      </c>
      <c r="D131" s="62"/>
    </row>
    <row r="132" spans="1:4" ht="16.149999999999999" customHeight="1" x14ac:dyDescent="0.25">
      <c r="A132" s="61" t="s">
        <v>878</v>
      </c>
      <c r="B132" s="54" t="s">
        <v>879</v>
      </c>
      <c r="C132" s="55" t="s">
        <v>689</v>
      </c>
      <c r="D132" s="62"/>
    </row>
    <row r="133" spans="1:4" ht="16.149999999999999" customHeight="1" x14ac:dyDescent="0.25">
      <c r="A133" s="61" t="s">
        <v>880</v>
      </c>
      <c r="B133" s="54" t="s">
        <v>881</v>
      </c>
      <c r="C133" s="55" t="s">
        <v>684</v>
      </c>
      <c r="D133" s="62"/>
    </row>
    <row r="134" spans="1:4" ht="16.149999999999999" customHeight="1" x14ac:dyDescent="0.25">
      <c r="A134" s="61" t="s">
        <v>882</v>
      </c>
      <c r="B134" s="54" t="s">
        <v>883</v>
      </c>
      <c r="C134" s="55" t="s">
        <v>731</v>
      </c>
      <c r="D134" s="62"/>
    </row>
    <row r="135" spans="1:4" ht="16.149999999999999" customHeight="1" x14ac:dyDescent="0.25">
      <c r="A135" s="61" t="s">
        <v>884</v>
      </c>
      <c r="B135" s="54" t="s">
        <v>885</v>
      </c>
      <c r="C135" s="55" t="s">
        <v>747</v>
      </c>
      <c r="D135" s="62"/>
    </row>
    <row r="136" spans="1:4" ht="16.149999999999999" customHeight="1" x14ac:dyDescent="0.25">
      <c r="A136" s="61" t="s">
        <v>886</v>
      </c>
      <c r="B136" s="54" t="s">
        <v>887</v>
      </c>
      <c r="C136" s="55" t="s">
        <v>737</v>
      </c>
      <c r="D136" s="62"/>
    </row>
    <row r="137" spans="1:4" ht="16.149999999999999" customHeight="1" x14ac:dyDescent="0.25">
      <c r="A137" s="61" t="s">
        <v>888</v>
      </c>
      <c r="B137" s="54" t="s">
        <v>889</v>
      </c>
      <c r="C137" s="55" t="s">
        <v>841</v>
      </c>
      <c r="D137" s="62"/>
    </row>
    <row r="138" spans="1:4" ht="16.149999999999999" customHeight="1" x14ac:dyDescent="0.25">
      <c r="A138" s="61" t="s">
        <v>890</v>
      </c>
      <c r="B138" s="54" t="s">
        <v>891</v>
      </c>
      <c r="C138" s="55" t="s">
        <v>844</v>
      </c>
      <c r="D138" s="62"/>
    </row>
    <row r="139" spans="1:4" ht="16.149999999999999" customHeight="1" x14ac:dyDescent="0.25">
      <c r="A139" s="61" t="s">
        <v>892</v>
      </c>
      <c r="B139" s="54" t="s">
        <v>893</v>
      </c>
      <c r="C139" s="55" t="s">
        <v>734</v>
      </c>
      <c r="D139" s="62"/>
    </row>
    <row r="141" spans="1:4" x14ac:dyDescent="0.25">
      <c r="A141" s="4" t="s">
        <v>894</v>
      </c>
      <c r="B141" s="5"/>
      <c r="C141" s="5"/>
      <c r="D141" s="5"/>
    </row>
    <row r="142" spans="1:4" ht="29.45" customHeight="1" x14ac:dyDescent="0.25">
      <c r="A142" s="53" t="s">
        <v>895</v>
      </c>
      <c r="B142" s="54" t="s">
        <v>896</v>
      </c>
      <c r="C142" s="28" t="s">
        <v>897</v>
      </c>
      <c r="D142" s="62"/>
    </row>
    <row r="143" spans="1:4" ht="29.45" customHeight="1" x14ac:dyDescent="0.25">
      <c r="A143" s="53" t="s">
        <v>898</v>
      </c>
      <c r="B143" s="54" t="s">
        <v>899</v>
      </c>
      <c r="C143" s="28" t="s">
        <v>897</v>
      </c>
      <c r="D143" s="62"/>
    </row>
    <row r="144" spans="1:4" ht="29.45" customHeight="1" x14ac:dyDescent="0.25">
      <c r="A144" s="53" t="s">
        <v>900</v>
      </c>
      <c r="B144" s="54" t="s">
        <v>901</v>
      </c>
      <c r="C144" s="28" t="s">
        <v>897</v>
      </c>
      <c r="D144" s="62"/>
    </row>
    <row r="145" spans="1:4" ht="29.45" customHeight="1" x14ac:dyDescent="0.25">
      <c r="A145" s="53" t="s">
        <v>902</v>
      </c>
      <c r="B145" s="54" t="s">
        <v>903</v>
      </c>
      <c r="C145" s="28" t="s">
        <v>897</v>
      </c>
      <c r="D145" s="62"/>
    </row>
    <row r="146" spans="1:4" ht="29.45" customHeight="1" x14ac:dyDescent="0.25">
      <c r="A146" s="53" t="s">
        <v>904</v>
      </c>
      <c r="B146" s="54" t="s">
        <v>905</v>
      </c>
      <c r="C146" s="28" t="s">
        <v>897</v>
      </c>
      <c r="D146" s="62"/>
    </row>
    <row r="147" spans="1:4" ht="29.45" customHeight="1" x14ac:dyDescent="0.25">
      <c r="A147" s="53" t="s">
        <v>906</v>
      </c>
      <c r="B147" s="54" t="s">
        <v>907</v>
      </c>
      <c r="C147" s="28" t="s">
        <v>897</v>
      </c>
      <c r="D147" s="62"/>
    </row>
    <row r="148" spans="1:4" ht="29.45" customHeight="1" x14ac:dyDescent="0.25">
      <c r="A148" s="53" t="s">
        <v>908</v>
      </c>
      <c r="B148" s="54" t="s">
        <v>909</v>
      </c>
      <c r="C148" s="28" t="s">
        <v>897</v>
      </c>
      <c r="D148" s="62"/>
    </row>
    <row r="149" spans="1:4" ht="29.45" customHeight="1" x14ac:dyDescent="0.25">
      <c r="A149" s="53" t="s">
        <v>910</v>
      </c>
      <c r="B149" s="54" t="s">
        <v>911</v>
      </c>
      <c r="C149" s="28" t="s">
        <v>897</v>
      </c>
      <c r="D149" s="62"/>
    </row>
    <row r="150" spans="1:4" ht="29.45" customHeight="1" x14ac:dyDescent="0.25">
      <c r="A150" s="53" t="s">
        <v>912</v>
      </c>
      <c r="B150" s="54" t="s">
        <v>913</v>
      </c>
      <c r="C150" s="28" t="s">
        <v>897</v>
      </c>
      <c r="D150" s="62"/>
    </row>
    <row r="151" spans="1:4" ht="29.45" customHeight="1" x14ac:dyDescent="0.25">
      <c r="A151" s="53" t="s">
        <v>914</v>
      </c>
      <c r="B151" s="54" t="s">
        <v>915</v>
      </c>
      <c r="C151" s="28" t="s">
        <v>897</v>
      </c>
      <c r="D151" s="62"/>
    </row>
    <row r="152" spans="1:4" ht="29.45" customHeight="1" x14ac:dyDescent="0.25">
      <c r="A152" s="53" t="s">
        <v>916</v>
      </c>
      <c r="B152" s="54" t="s">
        <v>917</v>
      </c>
      <c r="C152" s="28" t="s">
        <v>897</v>
      </c>
      <c r="D152" s="62"/>
    </row>
    <row r="153" spans="1:4" ht="29.45" customHeight="1" x14ac:dyDescent="0.25">
      <c r="A153" s="53" t="s">
        <v>918</v>
      </c>
      <c r="B153" s="54" t="s">
        <v>919</v>
      </c>
      <c r="C153" s="28" t="s">
        <v>897</v>
      </c>
      <c r="D153" s="62"/>
    </row>
    <row r="154" spans="1:4" ht="29.45" customHeight="1" x14ac:dyDescent="0.25">
      <c r="A154" s="53" t="s">
        <v>920</v>
      </c>
      <c r="B154" s="54" t="s">
        <v>921</v>
      </c>
      <c r="C154" s="28" t="s">
        <v>897</v>
      </c>
      <c r="D154" s="62"/>
    </row>
    <row r="155" spans="1:4" ht="29.45" customHeight="1" x14ac:dyDescent="0.25">
      <c r="A155" s="53" t="s">
        <v>922</v>
      </c>
      <c r="B155" s="54" t="s">
        <v>923</v>
      </c>
      <c r="C155" s="28" t="s">
        <v>897</v>
      </c>
      <c r="D155" s="62"/>
    </row>
    <row r="156" spans="1:4" ht="29.45" customHeight="1" x14ac:dyDescent="0.25">
      <c r="A156" s="53" t="s">
        <v>924</v>
      </c>
      <c r="B156" s="54" t="s">
        <v>925</v>
      </c>
      <c r="C156" s="62"/>
      <c r="D156" s="62"/>
    </row>
    <row r="158" spans="1:4" x14ac:dyDescent="0.25">
      <c r="A158" s="4" t="s">
        <v>926</v>
      </c>
      <c r="B158" s="5"/>
      <c r="C158" s="5"/>
      <c r="D158" s="5"/>
    </row>
    <row r="159" spans="1:4" ht="29.45" customHeight="1" x14ac:dyDescent="0.25">
      <c r="B159" s="52" t="s">
        <v>927</v>
      </c>
    </row>
    <row r="160" spans="1:4" ht="29.45" customHeight="1" x14ac:dyDescent="0.25">
      <c r="B160" s="52" t="s">
        <v>928</v>
      </c>
    </row>
    <row r="161" spans="2:2" ht="16.149999999999999" customHeight="1" x14ac:dyDescent="0.25">
      <c r="B161" s="52" t="s">
        <v>929</v>
      </c>
    </row>
    <row r="162" spans="2:2" ht="29.45" customHeight="1" x14ac:dyDescent="0.25">
      <c r="B162" s="52" t="s">
        <v>930</v>
      </c>
    </row>
    <row r="163" spans="2:2" ht="29.45" customHeight="1" x14ac:dyDescent="0.25">
      <c r="B163" s="52" t="s">
        <v>931</v>
      </c>
    </row>
    <row r="164" spans="2:2" ht="29.45" customHeight="1" x14ac:dyDescent="0.25">
      <c r="B164" s="52" t="s">
        <v>932</v>
      </c>
    </row>
    <row r="165" spans="2:2" ht="16.149999999999999" customHeight="1" x14ac:dyDescent="0.25">
      <c r="B165" s="52" t="s">
        <v>933</v>
      </c>
    </row>
    <row r="166" spans="2:2" ht="29.45" customHeight="1" x14ac:dyDescent="0.25">
      <c r="B166" s="52" t="s">
        <v>934</v>
      </c>
    </row>
    <row r="167" spans="2:2" ht="29.45" customHeight="1" x14ac:dyDescent="0.25">
      <c r="B167" s="52" t="s">
        <v>935</v>
      </c>
    </row>
    <row r="168" spans="2:2" ht="29.45" customHeight="1" x14ac:dyDescent="0.25">
      <c r="B168" s="52" t="s">
        <v>936</v>
      </c>
    </row>
    <row r="169" spans="2:2" ht="29.45" customHeight="1" x14ac:dyDescent="0.25">
      <c r="B169" s="52" t="s">
        <v>937</v>
      </c>
    </row>
  </sheetData>
  <hyperlinks>
    <hyperlink ref="D1" location="'Monitor'!A6" display="&lt;&lt; Monitor" xr:uid="{00000000-0004-0000-0900-000000000000}"/>
    <hyperlink ref="C142" r:id="rId1" xr:uid="{00000000-0004-0000-0900-000001000000}"/>
    <hyperlink ref="C143" r:id="rId2" xr:uid="{00000000-0004-0000-0900-000002000000}"/>
    <hyperlink ref="C144" r:id="rId3" xr:uid="{00000000-0004-0000-0900-000003000000}"/>
    <hyperlink ref="C145" r:id="rId4" xr:uid="{00000000-0004-0000-0900-000004000000}"/>
    <hyperlink ref="C146" r:id="rId5" xr:uid="{00000000-0004-0000-0900-000005000000}"/>
    <hyperlink ref="C147" r:id="rId6" xr:uid="{00000000-0004-0000-0900-000006000000}"/>
    <hyperlink ref="C148" r:id="rId7" xr:uid="{00000000-0004-0000-0900-000007000000}"/>
    <hyperlink ref="C149" r:id="rId8" xr:uid="{00000000-0004-0000-0900-000008000000}"/>
    <hyperlink ref="C150" r:id="rId9" xr:uid="{00000000-0004-0000-0900-000009000000}"/>
    <hyperlink ref="C151" r:id="rId10" xr:uid="{00000000-0004-0000-0900-00000A000000}"/>
    <hyperlink ref="C152" r:id="rId11" xr:uid="{00000000-0004-0000-0900-00000B000000}"/>
    <hyperlink ref="C153" r:id="rId12" xr:uid="{00000000-0004-0000-0900-00000C000000}"/>
    <hyperlink ref="C154" r:id="rId13" xr:uid="{00000000-0004-0000-0900-00000D000000}"/>
    <hyperlink ref="C155" r:id="rId14" xr:uid="{00000000-0004-0000-0900-00000E000000}"/>
  </hyperlink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pageSetUpPr fitToPage="1"/>
  </sheetPr>
  <dimension ref="A1:D159"/>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196</v>
      </c>
      <c r="D1" s="41" t="s">
        <v>667</v>
      </c>
    </row>
    <row r="2" spans="1:4" x14ac:dyDescent="0.25">
      <c r="A2" s="2" t="s">
        <v>938</v>
      </c>
    </row>
    <row r="4" spans="1:4" x14ac:dyDescent="0.25">
      <c r="A4" s="42" t="s">
        <v>9</v>
      </c>
      <c r="B4" s="43">
        <f>Monitor!H7</f>
        <v>93.918999999999997</v>
      </c>
    </row>
    <row r="5" spans="1:4" x14ac:dyDescent="0.25">
      <c r="A5" s="42" t="s">
        <v>11</v>
      </c>
      <c r="B5" s="44">
        <f>Monitor!J7</f>
        <v>6.8227401754863894</v>
      </c>
    </row>
    <row r="6" spans="1:4" x14ac:dyDescent="0.25">
      <c r="A6" s="42" t="s">
        <v>8</v>
      </c>
      <c r="B6" s="45">
        <f>Monitor!G7</f>
        <v>3250</v>
      </c>
    </row>
    <row r="7" spans="1:4" x14ac:dyDescent="0.25">
      <c r="A7" s="42" t="s">
        <v>14</v>
      </c>
      <c r="B7" s="46">
        <f>Monitor!M7</f>
        <v>-197.63250000000011</v>
      </c>
    </row>
    <row r="8" spans="1:4" x14ac:dyDescent="0.25">
      <c r="A8" s="42" t="s">
        <v>15</v>
      </c>
      <c r="B8" s="47">
        <f>Monitor!N7</f>
        <v>-6.0810000000000031E-2</v>
      </c>
    </row>
    <row r="9" spans="1:4" x14ac:dyDescent="0.25">
      <c r="A9" s="42" t="s">
        <v>669</v>
      </c>
      <c r="B9" s="46">
        <f>Monitor!O7</f>
        <v>-12.61000000000017</v>
      </c>
    </row>
    <row r="10" spans="1:4" x14ac:dyDescent="0.25">
      <c r="A10" s="42" t="s">
        <v>20</v>
      </c>
      <c r="B10" s="48">
        <f>Monitor!S7</f>
        <v>46142</v>
      </c>
    </row>
    <row r="11" spans="1:4" x14ac:dyDescent="0.25">
      <c r="A11" s="42" t="s">
        <v>670</v>
      </c>
      <c r="B11" s="49">
        <f>Monitor!W7</f>
        <v>119.89574186955014</v>
      </c>
    </row>
    <row r="12" spans="1:4" x14ac:dyDescent="0.25">
      <c r="A12" s="42" t="s">
        <v>671</v>
      </c>
      <c r="B12" s="50" t="str">
        <f>Monitor!F7</f>
        <v>NR/BBB-/BBB-</v>
      </c>
    </row>
    <row r="13" spans="1:4" x14ac:dyDescent="0.25">
      <c r="A13" s="42" t="s">
        <v>4</v>
      </c>
      <c r="B13" s="50" t="str">
        <f>Monitor!C7</f>
        <v>Fluidstack (Google backstop)</v>
      </c>
    </row>
    <row r="15" spans="1:4" x14ac:dyDescent="0.25">
      <c r="A15" s="4" t="s">
        <v>672</v>
      </c>
      <c r="B15" s="5"/>
      <c r="C15" s="5"/>
      <c r="D15" s="5"/>
    </row>
    <row r="16" spans="1:4" ht="69" customHeight="1" x14ac:dyDescent="0.25">
      <c r="A16" s="51" t="s">
        <v>192</v>
      </c>
      <c r="B16" s="52" t="s">
        <v>197</v>
      </c>
    </row>
    <row r="18" spans="1:4" x14ac:dyDescent="0.25">
      <c r="A18" s="4" t="s">
        <v>673</v>
      </c>
      <c r="B18" s="5"/>
      <c r="C18" s="4" t="s">
        <v>674</v>
      </c>
      <c r="D18" s="4" t="s">
        <v>675</v>
      </c>
    </row>
    <row r="19" spans="1:4" ht="16.149999999999999" customHeight="1" x14ac:dyDescent="0.25">
      <c r="A19" s="53" t="s">
        <v>676</v>
      </c>
      <c r="B19" s="54" t="s">
        <v>939</v>
      </c>
      <c r="C19" s="55" t="s">
        <v>684</v>
      </c>
      <c r="D19" s="56" t="s">
        <v>679</v>
      </c>
    </row>
    <row r="20" spans="1:4" ht="16.149999999999999" customHeight="1" x14ac:dyDescent="0.25">
      <c r="A20" s="53" t="s">
        <v>680</v>
      </c>
      <c r="B20" s="54" t="s">
        <v>940</v>
      </c>
      <c r="C20" s="55" t="s">
        <v>684</v>
      </c>
      <c r="D20" s="56" t="s">
        <v>679</v>
      </c>
    </row>
    <row r="21" spans="1:4" ht="29.45" customHeight="1" x14ac:dyDescent="0.25">
      <c r="A21" s="53" t="s">
        <v>682</v>
      </c>
      <c r="B21" s="54" t="s">
        <v>941</v>
      </c>
      <c r="C21" s="55" t="s">
        <v>678</v>
      </c>
      <c r="D21" s="56" t="s">
        <v>679</v>
      </c>
    </row>
    <row r="22" spans="1:4" ht="29.45" customHeight="1" x14ac:dyDescent="0.25">
      <c r="A22" s="53" t="s">
        <v>942</v>
      </c>
      <c r="B22" s="54" t="s">
        <v>943</v>
      </c>
      <c r="C22" s="55" t="s">
        <v>684</v>
      </c>
      <c r="D22" s="56" t="s">
        <v>679</v>
      </c>
    </row>
    <row r="23" spans="1:4" ht="29.45" customHeight="1" x14ac:dyDescent="0.25">
      <c r="A23" s="53" t="s">
        <v>687</v>
      </c>
      <c r="B23" s="54" t="s">
        <v>944</v>
      </c>
      <c r="C23" s="55" t="s">
        <v>877</v>
      </c>
      <c r="D23" s="56" t="s">
        <v>679</v>
      </c>
    </row>
    <row r="24" spans="1:4" ht="16.149999999999999" customHeight="1" x14ac:dyDescent="0.25">
      <c r="A24" s="53" t="s">
        <v>691</v>
      </c>
      <c r="B24" s="54" t="s">
        <v>945</v>
      </c>
      <c r="C24" s="55" t="s">
        <v>684</v>
      </c>
      <c r="D24" s="56" t="s">
        <v>679</v>
      </c>
    </row>
    <row r="25" spans="1:4" ht="29.45" customHeight="1" x14ac:dyDescent="0.25">
      <c r="A25" s="53" t="s">
        <v>693</v>
      </c>
      <c r="B25" s="54" t="s">
        <v>946</v>
      </c>
      <c r="C25" s="55" t="s">
        <v>684</v>
      </c>
      <c r="D25" s="56" t="s">
        <v>679</v>
      </c>
    </row>
    <row r="26" spans="1:4" ht="16.149999999999999" customHeight="1" x14ac:dyDescent="0.25">
      <c r="A26" s="53" t="s">
        <v>695</v>
      </c>
      <c r="B26" s="54" t="s">
        <v>947</v>
      </c>
      <c r="C26" s="55" t="s">
        <v>948</v>
      </c>
      <c r="D26" s="58" t="s">
        <v>698</v>
      </c>
    </row>
    <row r="27" spans="1:4" ht="16.149999999999999" customHeight="1" x14ac:dyDescent="0.25">
      <c r="A27" s="53" t="s">
        <v>949</v>
      </c>
      <c r="B27" s="54" t="s">
        <v>950</v>
      </c>
      <c r="C27" s="55" t="s">
        <v>678</v>
      </c>
      <c r="D27" s="56" t="s">
        <v>679</v>
      </c>
    </row>
    <row r="28" spans="1:4" ht="42.6" customHeight="1" x14ac:dyDescent="0.25">
      <c r="A28" s="53" t="s">
        <v>705</v>
      </c>
      <c r="B28" s="54" t="s">
        <v>951</v>
      </c>
      <c r="C28" s="55" t="s">
        <v>684</v>
      </c>
      <c r="D28" s="56" t="s">
        <v>679</v>
      </c>
    </row>
    <row r="29" spans="1:4" ht="29.45" customHeight="1" x14ac:dyDescent="0.25">
      <c r="A29" s="53" t="s">
        <v>952</v>
      </c>
      <c r="B29" s="54" t="s">
        <v>953</v>
      </c>
      <c r="C29" s="55" t="s">
        <v>678</v>
      </c>
      <c r="D29" s="56" t="s">
        <v>679</v>
      </c>
    </row>
    <row r="30" spans="1:4" ht="42.6" customHeight="1" x14ac:dyDescent="0.25">
      <c r="A30" s="53" t="s">
        <v>711</v>
      </c>
      <c r="B30" s="54" t="s">
        <v>954</v>
      </c>
      <c r="C30" s="55" t="s">
        <v>753</v>
      </c>
      <c r="D30" s="57" t="s">
        <v>690</v>
      </c>
    </row>
    <row r="31" spans="1:4" ht="29.45" customHeight="1" x14ac:dyDescent="0.25">
      <c r="A31" s="53" t="s">
        <v>713</v>
      </c>
      <c r="B31" s="54" t="s">
        <v>955</v>
      </c>
      <c r="C31" s="55" t="s">
        <v>678</v>
      </c>
      <c r="D31" s="56" t="s">
        <v>679</v>
      </c>
    </row>
    <row r="32" spans="1:4" ht="16.149999999999999" customHeight="1" x14ac:dyDescent="0.25">
      <c r="A32" s="53" t="s">
        <v>715</v>
      </c>
      <c r="B32" s="54" t="s">
        <v>956</v>
      </c>
      <c r="C32" s="55" t="s">
        <v>948</v>
      </c>
      <c r="D32" s="58" t="s">
        <v>698</v>
      </c>
    </row>
    <row r="34" spans="1:4" x14ac:dyDescent="0.25">
      <c r="A34" s="4" t="s">
        <v>717</v>
      </c>
      <c r="B34" s="5"/>
      <c r="C34" s="4" t="s">
        <v>674</v>
      </c>
      <c r="D34" s="4" t="s">
        <v>675</v>
      </c>
    </row>
    <row r="35" spans="1:4" ht="16.149999999999999" customHeight="1" x14ac:dyDescent="0.25">
      <c r="A35" s="53" t="s">
        <v>718</v>
      </c>
      <c r="B35" s="54" t="s">
        <v>957</v>
      </c>
      <c r="C35" s="55" t="s">
        <v>684</v>
      </c>
      <c r="D35" s="56" t="s">
        <v>679</v>
      </c>
    </row>
    <row r="36" spans="1:4" ht="16.149999999999999" customHeight="1" x14ac:dyDescent="0.25">
      <c r="A36" s="53" t="s">
        <v>958</v>
      </c>
      <c r="B36" s="54" t="s">
        <v>959</v>
      </c>
      <c r="C36" s="55" t="s">
        <v>841</v>
      </c>
      <c r="D36" s="57" t="s">
        <v>690</v>
      </c>
    </row>
    <row r="37" spans="1:4" ht="29.45" customHeight="1" x14ac:dyDescent="0.25">
      <c r="A37" s="53" t="s">
        <v>722</v>
      </c>
      <c r="B37" s="54" t="s">
        <v>960</v>
      </c>
      <c r="C37" s="55" t="s">
        <v>684</v>
      </c>
      <c r="D37" s="56" t="s">
        <v>679</v>
      </c>
    </row>
    <row r="38" spans="1:4" ht="42.6" customHeight="1" x14ac:dyDescent="0.25">
      <c r="A38" s="53" t="s">
        <v>603</v>
      </c>
      <c r="B38" s="54" t="s">
        <v>961</v>
      </c>
      <c r="C38" s="55" t="s">
        <v>962</v>
      </c>
      <c r="D38" s="57" t="s">
        <v>690</v>
      </c>
    </row>
    <row r="40" spans="1:4" x14ac:dyDescent="0.25">
      <c r="A40" s="4" t="s">
        <v>728</v>
      </c>
      <c r="B40" s="5"/>
      <c r="C40" s="4" t="s">
        <v>674</v>
      </c>
      <c r="D40" s="4" t="s">
        <v>675</v>
      </c>
    </row>
    <row r="41" spans="1:4" ht="29.45" customHeight="1" x14ac:dyDescent="0.25">
      <c r="A41" s="53" t="s">
        <v>729</v>
      </c>
      <c r="B41" s="54" t="s">
        <v>963</v>
      </c>
      <c r="C41" s="55" t="s">
        <v>841</v>
      </c>
      <c r="D41" s="57" t="s">
        <v>690</v>
      </c>
    </row>
    <row r="42" spans="1:4" ht="29.45" customHeight="1" x14ac:dyDescent="0.25">
      <c r="A42" s="53" t="s">
        <v>964</v>
      </c>
      <c r="B42" s="54" t="s">
        <v>965</v>
      </c>
      <c r="C42" s="55" t="s">
        <v>966</v>
      </c>
      <c r="D42" s="56" t="s">
        <v>679</v>
      </c>
    </row>
    <row r="43" spans="1:4" ht="29.45" customHeight="1" x14ac:dyDescent="0.25">
      <c r="A43" s="53" t="s">
        <v>967</v>
      </c>
      <c r="B43" s="54" t="s">
        <v>968</v>
      </c>
      <c r="C43" s="55" t="s">
        <v>737</v>
      </c>
      <c r="D43" s="57" t="s">
        <v>690</v>
      </c>
    </row>
    <row r="45" spans="1:4" x14ac:dyDescent="0.25">
      <c r="A45" s="4" t="s">
        <v>740</v>
      </c>
      <c r="B45" s="5"/>
      <c r="C45" s="4" t="s">
        <v>674</v>
      </c>
      <c r="D45" s="4" t="s">
        <v>675</v>
      </c>
    </row>
    <row r="46" spans="1:4" ht="29.45" customHeight="1" x14ac:dyDescent="0.25">
      <c r="A46" s="53" t="s">
        <v>4</v>
      </c>
      <c r="B46" s="54" t="s">
        <v>969</v>
      </c>
      <c r="C46" s="55" t="s">
        <v>678</v>
      </c>
      <c r="D46" s="56" t="s">
        <v>679</v>
      </c>
    </row>
    <row r="47" spans="1:4" ht="16.149999999999999" customHeight="1" x14ac:dyDescent="0.25">
      <c r="A47" s="53" t="s">
        <v>741</v>
      </c>
      <c r="B47" s="54" t="s">
        <v>970</v>
      </c>
      <c r="C47" s="55" t="s">
        <v>678</v>
      </c>
      <c r="D47" s="56" t="s">
        <v>679</v>
      </c>
    </row>
    <row r="48" spans="1:4" ht="42.6" customHeight="1" x14ac:dyDescent="0.25">
      <c r="A48" s="53" t="s">
        <v>971</v>
      </c>
      <c r="B48" s="54" t="s">
        <v>972</v>
      </c>
      <c r="C48" s="55" t="s">
        <v>731</v>
      </c>
      <c r="D48" s="57" t="s">
        <v>690</v>
      </c>
    </row>
    <row r="49" spans="1:4" ht="42.6" customHeight="1" x14ac:dyDescent="0.25">
      <c r="A49" s="53" t="s">
        <v>973</v>
      </c>
      <c r="B49" s="54" t="s">
        <v>974</v>
      </c>
      <c r="C49" s="55" t="s">
        <v>753</v>
      </c>
      <c r="D49" s="57" t="s">
        <v>690</v>
      </c>
    </row>
    <row r="50" spans="1:4" ht="16.149999999999999" customHeight="1" x14ac:dyDescent="0.25">
      <c r="A50" s="53" t="s">
        <v>975</v>
      </c>
      <c r="B50" s="54" t="s">
        <v>976</v>
      </c>
      <c r="C50" s="55" t="s">
        <v>841</v>
      </c>
      <c r="D50" s="57" t="s">
        <v>690</v>
      </c>
    </row>
    <row r="51" spans="1:4" ht="29.45" customHeight="1" x14ac:dyDescent="0.25">
      <c r="A51" s="53" t="s">
        <v>754</v>
      </c>
      <c r="B51" s="54" t="s">
        <v>977</v>
      </c>
      <c r="C51" s="55" t="s">
        <v>776</v>
      </c>
      <c r="D51" s="57" t="s">
        <v>690</v>
      </c>
    </row>
    <row r="52" spans="1:4" ht="42.6" customHeight="1" x14ac:dyDescent="0.25">
      <c r="A52" s="53" t="s">
        <v>978</v>
      </c>
      <c r="B52" s="54" t="s">
        <v>979</v>
      </c>
      <c r="C52" s="55" t="s">
        <v>678</v>
      </c>
      <c r="D52" s="56" t="s">
        <v>679</v>
      </c>
    </row>
    <row r="53" spans="1:4" ht="29.45" customHeight="1" x14ac:dyDescent="0.25">
      <c r="A53" s="53" t="s">
        <v>980</v>
      </c>
      <c r="B53" s="54" t="s">
        <v>981</v>
      </c>
      <c r="C53" s="55" t="s">
        <v>776</v>
      </c>
      <c r="D53" s="57" t="s">
        <v>690</v>
      </c>
    </row>
    <row r="54" spans="1:4" ht="16.149999999999999" customHeight="1" x14ac:dyDescent="0.25">
      <c r="A54" s="53" t="s">
        <v>982</v>
      </c>
      <c r="B54" s="54" t="s">
        <v>983</v>
      </c>
      <c r="C54" s="55" t="s">
        <v>737</v>
      </c>
      <c r="D54" s="57" t="s">
        <v>690</v>
      </c>
    </row>
    <row r="56" spans="1:4" x14ac:dyDescent="0.25">
      <c r="A56" s="4" t="s">
        <v>762</v>
      </c>
      <c r="B56" s="5"/>
      <c r="C56" s="4" t="s">
        <v>674</v>
      </c>
      <c r="D56" s="4" t="s">
        <v>675</v>
      </c>
    </row>
    <row r="57" spans="1:4" ht="29.45" customHeight="1" x14ac:dyDescent="0.25">
      <c r="A57" s="53" t="s">
        <v>984</v>
      </c>
      <c r="B57" s="54" t="s">
        <v>985</v>
      </c>
      <c r="C57" s="55" t="s">
        <v>731</v>
      </c>
      <c r="D57" s="57" t="s">
        <v>690</v>
      </c>
    </row>
    <row r="58" spans="1:4" ht="29.45" customHeight="1" x14ac:dyDescent="0.25">
      <c r="A58" s="53" t="s">
        <v>986</v>
      </c>
      <c r="B58" s="54" t="s">
        <v>987</v>
      </c>
      <c r="C58" s="55" t="s">
        <v>841</v>
      </c>
      <c r="D58" s="57" t="s">
        <v>690</v>
      </c>
    </row>
    <row r="59" spans="1:4" ht="16.149999999999999" customHeight="1" x14ac:dyDescent="0.25">
      <c r="A59" s="53" t="s">
        <v>988</v>
      </c>
      <c r="B59" s="54" t="s">
        <v>989</v>
      </c>
      <c r="C59" s="55" t="s">
        <v>948</v>
      </c>
      <c r="D59" s="58" t="s">
        <v>698</v>
      </c>
    </row>
    <row r="60" spans="1:4" ht="16.149999999999999" customHeight="1" x14ac:dyDescent="0.25">
      <c r="A60" s="53" t="s">
        <v>990</v>
      </c>
      <c r="B60" s="54" t="s">
        <v>991</v>
      </c>
      <c r="C60" s="55" t="s">
        <v>734</v>
      </c>
      <c r="D60" s="59" t="s">
        <v>748</v>
      </c>
    </row>
    <row r="62" spans="1:4" x14ac:dyDescent="0.25">
      <c r="A62" s="4" t="s">
        <v>773</v>
      </c>
      <c r="B62" s="5"/>
      <c r="C62" s="4" t="s">
        <v>674</v>
      </c>
      <c r="D62" s="4" t="s">
        <v>675</v>
      </c>
    </row>
    <row r="63" spans="1:4" ht="29.45" customHeight="1" x14ac:dyDescent="0.25">
      <c r="A63" s="53" t="s">
        <v>992</v>
      </c>
      <c r="B63" s="54" t="s">
        <v>993</v>
      </c>
      <c r="C63" s="55" t="s">
        <v>731</v>
      </c>
      <c r="D63" s="57" t="s">
        <v>690</v>
      </c>
    </row>
    <row r="64" spans="1:4" ht="29.45" customHeight="1" x14ac:dyDescent="0.25">
      <c r="A64" s="53" t="s">
        <v>994</v>
      </c>
      <c r="B64" s="54" t="s">
        <v>995</v>
      </c>
      <c r="C64" s="55" t="s">
        <v>841</v>
      </c>
      <c r="D64" s="57" t="s">
        <v>690</v>
      </c>
    </row>
    <row r="65" spans="1:4" ht="16.149999999999999" customHeight="1" x14ac:dyDescent="0.25">
      <c r="A65" s="53" t="s">
        <v>996</v>
      </c>
      <c r="B65" s="54" t="s">
        <v>997</v>
      </c>
      <c r="C65" s="55" t="s">
        <v>841</v>
      </c>
      <c r="D65" s="57" t="s">
        <v>690</v>
      </c>
    </row>
    <row r="67" spans="1:4" x14ac:dyDescent="0.25">
      <c r="A67" s="4" t="s">
        <v>781</v>
      </c>
      <c r="B67" s="5"/>
      <c r="C67" s="4" t="s">
        <v>674</v>
      </c>
      <c r="D67" s="4" t="s">
        <v>675</v>
      </c>
    </row>
    <row r="68" spans="1:4" ht="29.45" customHeight="1" x14ac:dyDescent="0.25">
      <c r="A68" s="53" t="s">
        <v>998</v>
      </c>
      <c r="B68" s="54" t="s">
        <v>999</v>
      </c>
      <c r="C68" s="55" t="s">
        <v>678</v>
      </c>
      <c r="D68" s="56" t="s">
        <v>679</v>
      </c>
    </row>
    <row r="69" spans="1:4" ht="16.149999999999999" customHeight="1" x14ac:dyDescent="0.25">
      <c r="A69" s="53" t="s">
        <v>1000</v>
      </c>
      <c r="B69" s="54" t="s">
        <v>1001</v>
      </c>
      <c r="C69" s="55" t="s">
        <v>841</v>
      </c>
      <c r="D69" s="57" t="s">
        <v>690</v>
      </c>
    </row>
    <row r="70" spans="1:4" ht="29.45" customHeight="1" x14ac:dyDescent="0.25">
      <c r="A70" s="53" t="s">
        <v>782</v>
      </c>
      <c r="B70" s="54" t="s">
        <v>1002</v>
      </c>
      <c r="C70" s="55" t="s">
        <v>841</v>
      </c>
      <c r="D70" s="57" t="s">
        <v>690</v>
      </c>
    </row>
    <row r="71" spans="1:4" ht="29.45" customHeight="1" x14ac:dyDescent="0.25">
      <c r="A71" s="53" t="s">
        <v>1003</v>
      </c>
      <c r="B71" s="54" t="s">
        <v>1004</v>
      </c>
      <c r="C71" s="55" t="s">
        <v>678</v>
      </c>
      <c r="D71" s="56" t="s">
        <v>679</v>
      </c>
    </row>
    <row r="72" spans="1:4" ht="16.149999999999999" customHeight="1" x14ac:dyDescent="0.25">
      <c r="A72" s="53" t="s">
        <v>1005</v>
      </c>
      <c r="B72" s="54" t="s">
        <v>1006</v>
      </c>
      <c r="C72" s="55" t="s">
        <v>678</v>
      </c>
      <c r="D72" s="56" t="s">
        <v>679</v>
      </c>
    </row>
    <row r="74" spans="1:4" x14ac:dyDescent="0.25">
      <c r="A74" s="4" t="s">
        <v>792</v>
      </c>
      <c r="B74" s="5"/>
      <c r="C74" s="4" t="s">
        <v>674</v>
      </c>
      <c r="D74" s="4" t="s">
        <v>675</v>
      </c>
    </row>
    <row r="75" spans="1:4" ht="42.6" customHeight="1" x14ac:dyDescent="0.25">
      <c r="A75" s="53" t="s">
        <v>793</v>
      </c>
      <c r="B75" s="54" t="s">
        <v>1007</v>
      </c>
      <c r="C75" s="55" t="s">
        <v>678</v>
      </c>
      <c r="D75" s="56" t="s">
        <v>679</v>
      </c>
    </row>
    <row r="76" spans="1:4" ht="29.45" customHeight="1" x14ac:dyDescent="0.25">
      <c r="A76" s="53" t="s">
        <v>795</v>
      </c>
      <c r="B76" s="54" t="s">
        <v>1008</v>
      </c>
      <c r="C76" s="55" t="s">
        <v>753</v>
      </c>
      <c r="D76" s="57" t="s">
        <v>690</v>
      </c>
    </row>
    <row r="77" spans="1:4" ht="16.149999999999999" customHeight="1" x14ac:dyDescent="0.25">
      <c r="A77" s="53" t="s">
        <v>1009</v>
      </c>
      <c r="B77" s="54" t="s">
        <v>1010</v>
      </c>
      <c r="C77" s="55" t="s">
        <v>747</v>
      </c>
      <c r="D77" s="59" t="s">
        <v>748</v>
      </c>
    </row>
    <row r="78" spans="1:4" ht="29.45" customHeight="1" x14ac:dyDescent="0.25">
      <c r="A78" s="53" t="s">
        <v>801</v>
      </c>
      <c r="B78" s="54" t="s">
        <v>1011</v>
      </c>
      <c r="C78" s="55" t="s">
        <v>753</v>
      </c>
      <c r="D78" s="60" t="s">
        <v>803</v>
      </c>
    </row>
    <row r="80" spans="1:4" x14ac:dyDescent="0.25">
      <c r="A80" s="4" t="s">
        <v>804</v>
      </c>
      <c r="B80" s="5"/>
      <c r="C80" s="4" t="s">
        <v>674</v>
      </c>
      <c r="D80" s="4" t="s">
        <v>675</v>
      </c>
    </row>
    <row r="81" spans="1:4" ht="42.6" customHeight="1" x14ac:dyDescent="0.25">
      <c r="A81" s="53" t="s">
        <v>1012</v>
      </c>
      <c r="B81" s="54" t="s">
        <v>1013</v>
      </c>
      <c r="C81" s="55" t="s">
        <v>689</v>
      </c>
      <c r="D81" s="56" t="s">
        <v>679</v>
      </c>
    </row>
    <row r="82" spans="1:4" ht="55.9" customHeight="1" x14ac:dyDescent="0.25">
      <c r="A82" s="53" t="s">
        <v>1014</v>
      </c>
      <c r="B82" s="54" t="s">
        <v>1015</v>
      </c>
      <c r="C82" s="55" t="s">
        <v>678</v>
      </c>
      <c r="D82" s="56" t="s">
        <v>679</v>
      </c>
    </row>
    <row r="83" spans="1:4" ht="29.45" customHeight="1" x14ac:dyDescent="0.25">
      <c r="A83" s="53" t="s">
        <v>1016</v>
      </c>
      <c r="B83" s="54" t="s">
        <v>1017</v>
      </c>
      <c r="C83" s="55" t="s">
        <v>747</v>
      </c>
      <c r="D83" s="59" t="s">
        <v>748</v>
      </c>
    </row>
    <row r="84" spans="1:4" ht="29.45" customHeight="1" x14ac:dyDescent="0.25">
      <c r="A84" s="53" t="s">
        <v>1018</v>
      </c>
      <c r="B84" s="54" t="s">
        <v>1019</v>
      </c>
      <c r="C84" s="55" t="s">
        <v>731</v>
      </c>
      <c r="D84" s="57" t="s">
        <v>690</v>
      </c>
    </row>
    <row r="85" spans="1:4" ht="42.6" customHeight="1" x14ac:dyDescent="0.25">
      <c r="A85" s="53" t="s">
        <v>1020</v>
      </c>
      <c r="B85" s="54" t="s">
        <v>1021</v>
      </c>
      <c r="C85" s="55" t="s">
        <v>678</v>
      </c>
      <c r="D85" s="56" t="s">
        <v>679</v>
      </c>
    </row>
    <row r="86" spans="1:4" ht="16.149999999999999" customHeight="1" x14ac:dyDescent="0.25">
      <c r="A86" s="53" t="s">
        <v>805</v>
      </c>
      <c r="B86" s="54" t="s">
        <v>1022</v>
      </c>
      <c r="C86" s="55" t="s">
        <v>841</v>
      </c>
      <c r="D86" s="57" t="s">
        <v>690</v>
      </c>
    </row>
    <row r="88" spans="1:4" x14ac:dyDescent="0.25">
      <c r="A88" s="4" t="s">
        <v>813</v>
      </c>
      <c r="B88" s="5"/>
      <c r="C88" s="4" t="s">
        <v>674</v>
      </c>
      <c r="D88" s="4" t="s">
        <v>675</v>
      </c>
    </row>
    <row r="89" spans="1:4" ht="42.6" customHeight="1" x14ac:dyDescent="0.25">
      <c r="A89" s="53" t="s">
        <v>814</v>
      </c>
      <c r="B89" s="54" t="s">
        <v>1023</v>
      </c>
      <c r="C89" s="55" t="s">
        <v>678</v>
      </c>
      <c r="D89" s="56" t="s">
        <v>679</v>
      </c>
    </row>
    <row r="90" spans="1:4" ht="29.45" customHeight="1" x14ac:dyDescent="0.25">
      <c r="A90" s="53" t="s">
        <v>816</v>
      </c>
      <c r="B90" s="54" t="s">
        <v>1024</v>
      </c>
      <c r="C90" s="55" t="s">
        <v>678</v>
      </c>
      <c r="D90" s="56" t="s">
        <v>679</v>
      </c>
    </row>
    <row r="91" spans="1:4" ht="16.149999999999999" customHeight="1" x14ac:dyDescent="0.25">
      <c r="A91" s="53" t="s">
        <v>1025</v>
      </c>
      <c r="B91" s="54" t="s">
        <v>1026</v>
      </c>
      <c r="C91" s="55" t="s">
        <v>678</v>
      </c>
      <c r="D91" s="56" t="s">
        <v>679</v>
      </c>
    </row>
    <row r="92" spans="1:4" ht="29.45" customHeight="1" x14ac:dyDescent="0.25">
      <c r="A92" s="53" t="s">
        <v>820</v>
      </c>
      <c r="B92" s="54" t="s">
        <v>1027</v>
      </c>
      <c r="C92" s="55" t="s">
        <v>678</v>
      </c>
      <c r="D92" s="56" t="s">
        <v>679</v>
      </c>
    </row>
    <row r="93" spans="1:4" ht="29.45" customHeight="1" x14ac:dyDescent="0.25">
      <c r="A93" s="53" t="s">
        <v>709</v>
      </c>
      <c r="B93" s="54" t="s">
        <v>1028</v>
      </c>
      <c r="C93" s="55" t="s">
        <v>678</v>
      </c>
      <c r="D93" s="56" t="s">
        <v>679</v>
      </c>
    </row>
    <row r="95" spans="1:4" x14ac:dyDescent="0.25">
      <c r="A95" s="4" t="s">
        <v>826</v>
      </c>
      <c r="B95" s="5"/>
      <c r="C95" s="4" t="s">
        <v>674</v>
      </c>
      <c r="D95" s="4" t="s">
        <v>675</v>
      </c>
    </row>
    <row r="96" spans="1:4" ht="29.45" customHeight="1" x14ac:dyDescent="0.25">
      <c r="A96" s="53" t="s">
        <v>1029</v>
      </c>
      <c r="B96" s="54" t="s">
        <v>1030</v>
      </c>
      <c r="C96" s="55" t="s">
        <v>844</v>
      </c>
      <c r="D96" s="59" t="s">
        <v>748</v>
      </c>
    </row>
    <row r="97" spans="1:4" ht="16.149999999999999" customHeight="1" x14ac:dyDescent="0.25">
      <c r="A97" s="53" t="s">
        <v>1031</v>
      </c>
      <c r="B97" s="54" t="s">
        <v>1032</v>
      </c>
      <c r="C97" s="55" t="s">
        <v>747</v>
      </c>
      <c r="D97" s="59" t="s">
        <v>748</v>
      </c>
    </row>
    <row r="98" spans="1:4" ht="16.149999999999999" customHeight="1" x14ac:dyDescent="0.25">
      <c r="A98" s="53" t="s">
        <v>827</v>
      </c>
      <c r="B98" s="54" t="s">
        <v>1033</v>
      </c>
      <c r="C98" s="55" t="s">
        <v>948</v>
      </c>
      <c r="D98" s="58" t="s">
        <v>698</v>
      </c>
    </row>
    <row r="99" spans="1:4" ht="29.45" customHeight="1" x14ac:dyDescent="0.25">
      <c r="A99" s="53" t="s">
        <v>1034</v>
      </c>
      <c r="B99" s="54" t="s">
        <v>1035</v>
      </c>
      <c r="C99" s="55" t="s">
        <v>678</v>
      </c>
      <c r="D99" s="56" t="s">
        <v>679</v>
      </c>
    </row>
    <row r="101" spans="1:4" x14ac:dyDescent="0.25">
      <c r="A101" s="4" t="s">
        <v>833</v>
      </c>
      <c r="B101" s="5"/>
      <c r="C101" s="4" t="s">
        <v>674</v>
      </c>
      <c r="D101" s="4" t="s">
        <v>675</v>
      </c>
    </row>
    <row r="102" spans="1:4" ht="29.45" customHeight="1" x14ac:dyDescent="0.25">
      <c r="A102" s="53" t="s">
        <v>834</v>
      </c>
      <c r="B102" s="54" t="s">
        <v>1036</v>
      </c>
      <c r="C102" s="55" t="s">
        <v>684</v>
      </c>
      <c r="D102" s="56" t="s">
        <v>679</v>
      </c>
    </row>
    <row r="104" spans="1:4" x14ac:dyDescent="0.25">
      <c r="A104" s="4" t="s">
        <v>836</v>
      </c>
      <c r="B104" s="5"/>
      <c r="C104" s="4" t="s">
        <v>674</v>
      </c>
      <c r="D104" s="4" t="s">
        <v>675</v>
      </c>
    </row>
    <row r="105" spans="1:4" ht="29.45" customHeight="1" x14ac:dyDescent="0.25">
      <c r="A105" s="53" t="s">
        <v>1037</v>
      </c>
      <c r="B105" s="54" t="s">
        <v>1038</v>
      </c>
      <c r="C105" s="55" t="s">
        <v>689</v>
      </c>
      <c r="D105" s="56" t="s">
        <v>679</v>
      </c>
    </row>
    <row r="106" spans="1:4" ht="29.45" customHeight="1" x14ac:dyDescent="0.25">
      <c r="A106" s="53" t="s">
        <v>1039</v>
      </c>
      <c r="B106" s="54" t="s">
        <v>1040</v>
      </c>
      <c r="C106" s="55" t="s">
        <v>747</v>
      </c>
      <c r="D106" s="59" t="s">
        <v>748</v>
      </c>
    </row>
    <row r="107" spans="1:4" ht="29.45" customHeight="1" x14ac:dyDescent="0.25">
      <c r="A107" s="53" t="s">
        <v>1041</v>
      </c>
      <c r="B107" s="54" t="s">
        <v>1042</v>
      </c>
      <c r="C107" s="55" t="s">
        <v>737</v>
      </c>
      <c r="D107" s="57" t="s">
        <v>690</v>
      </c>
    </row>
    <row r="108" spans="1:4" ht="29.45" customHeight="1" x14ac:dyDescent="0.25">
      <c r="A108" s="53" t="s">
        <v>1043</v>
      </c>
      <c r="B108" s="54" t="s">
        <v>1044</v>
      </c>
      <c r="C108" s="55" t="s">
        <v>962</v>
      </c>
      <c r="D108" s="60" t="s">
        <v>803</v>
      </c>
    </row>
    <row r="109" spans="1:4" ht="16.149999999999999" customHeight="1" x14ac:dyDescent="0.25">
      <c r="A109" s="53" t="s">
        <v>1045</v>
      </c>
      <c r="B109" s="54" t="s">
        <v>1046</v>
      </c>
      <c r="C109" s="55" t="s">
        <v>753</v>
      </c>
      <c r="D109" s="60" t="s">
        <v>803</v>
      </c>
    </row>
    <row r="110" spans="1:4" ht="16.149999999999999" customHeight="1" x14ac:dyDescent="0.25">
      <c r="A110" s="53" t="s">
        <v>1047</v>
      </c>
      <c r="B110" s="54" t="s">
        <v>1048</v>
      </c>
      <c r="C110" s="55" t="s">
        <v>731</v>
      </c>
      <c r="D110" s="57" t="s">
        <v>690</v>
      </c>
    </row>
    <row r="111" spans="1:4" ht="29.45" customHeight="1" x14ac:dyDescent="0.25">
      <c r="A111" s="53" t="s">
        <v>1049</v>
      </c>
      <c r="B111" s="54" t="s">
        <v>1050</v>
      </c>
      <c r="C111" s="55" t="s">
        <v>678</v>
      </c>
      <c r="D111" s="56" t="s">
        <v>679</v>
      </c>
    </row>
    <row r="113" spans="1:4" x14ac:dyDescent="0.25">
      <c r="A113" s="4" t="s">
        <v>855</v>
      </c>
      <c r="B113" s="5"/>
      <c r="C113" s="4" t="s">
        <v>674</v>
      </c>
      <c r="D113" s="4" t="s">
        <v>675</v>
      </c>
    </row>
    <row r="114" spans="1:4" ht="16.149999999999999" customHeight="1" x14ac:dyDescent="0.25">
      <c r="A114" s="53" t="s">
        <v>1051</v>
      </c>
      <c r="B114" s="54" t="s">
        <v>1052</v>
      </c>
      <c r="C114" s="55" t="s">
        <v>841</v>
      </c>
      <c r="D114" s="57" t="s">
        <v>690</v>
      </c>
    </row>
    <row r="115" spans="1:4" ht="16.149999999999999" customHeight="1" x14ac:dyDescent="0.25">
      <c r="A115" s="53" t="s">
        <v>1053</v>
      </c>
      <c r="B115" s="54" t="s">
        <v>1054</v>
      </c>
      <c r="C115" s="55" t="s">
        <v>966</v>
      </c>
      <c r="D115" s="56" t="s">
        <v>679</v>
      </c>
    </row>
    <row r="116" spans="1:4" ht="16.149999999999999" customHeight="1" x14ac:dyDescent="0.25">
      <c r="A116" s="53" t="s">
        <v>1055</v>
      </c>
      <c r="B116" s="54" t="s">
        <v>1056</v>
      </c>
      <c r="C116" s="55" t="s">
        <v>734</v>
      </c>
      <c r="D116" s="59" t="s">
        <v>748</v>
      </c>
    </row>
    <row r="117" spans="1:4" ht="16.149999999999999" customHeight="1" x14ac:dyDescent="0.25">
      <c r="A117" s="53" t="s">
        <v>866</v>
      </c>
      <c r="B117" s="54" t="s">
        <v>1057</v>
      </c>
      <c r="C117" s="55" t="s">
        <v>948</v>
      </c>
      <c r="D117" s="58" t="s">
        <v>698</v>
      </c>
    </row>
    <row r="119" spans="1:4" x14ac:dyDescent="0.25">
      <c r="A119" s="4" t="s">
        <v>868</v>
      </c>
      <c r="B119" s="5"/>
      <c r="C119" s="4" t="s">
        <v>674</v>
      </c>
      <c r="D119" s="5"/>
    </row>
    <row r="120" spans="1:4" ht="16.149999999999999" customHeight="1" x14ac:dyDescent="0.25">
      <c r="A120" s="61" t="s">
        <v>1058</v>
      </c>
      <c r="B120" s="54" t="s">
        <v>1059</v>
      </c>
      <c r="C120" s="55" t="s">
        <v>678</v>
      </c>
      <c r="D120" s="62"/>
    </row>
    <row r="121" spans="1:4" ht="16.149999999999999" customHeight="1" x14ac:dyDescent="0.25">
      <c r="A121" s="61" t="s">
        <v>1060</v>
      </c>
      <c r="B121" s="54" t="s">
        <v>1061</v>
      </c>
      <c r="C121" s="55" t="s">
        <v>776</v>
      </c>
      <c r="D121" s="62"/>
    </row>
    <row r="122" spans="1:4" ht="16.149999999999999" customHeight="1" x14ac:dyDescent="0.25">
      <c r="A122" s="61" t="s">
        <v>1062</v>
      </c>
      <c r="B122" s="54" t="s">
        <v>1063</v>
      </c>
      <c r="C122" s="55" t="s">
        <v>737</v>
      </c>
      <c r="D122" s="62"/>
    </row>
    <row r="123" spans="1:4" ht="29.45" customHeight="1" x14ac:dyDescent="0.25">
      <c r="A123" s="61" t="s">
        <v>1064</v>
      </c>
      <c r="B123" s="54" t="s">
        <v>1065</v>
      </c>
      <c r="C123" s="55" t="s">
        <v>877</v>
      </c>
      <c r="D123" s="62"/>
    </row>
    <row r="124" spans="1:4" ht="16.149999999999999" customHeight="1" x14ac:dyDescent="0.25">
      <c r="A124" s="61" t="s">
        <v>1066</v>
      </c>
      <c r="B124" s="54" t="s">
        <v>1067</v>
      </c>
      <c r="C124" s="55" t="s">
        <v>678</v>
      </c>
      <c r="D124" s="62"/>
    </row>
    <row r="125" spans="1:4" ht="16.149999999999999" customHeight="1" x14ac:dyDescent="0.25">
      <c r="A125" s="61" t="s">
        <v>1068</v>
      </c>
      <c r="B125" s="54" t="s">
        <v>881</v>
      </c>
      <c r="C125" s="55" t="s">
        <v>684</v>
      </c>
      <c r="D125" s="62"/>
    </row>
    <row r="126" spans="1:4" ht="16.149999999999999" customHeight="1" x14ac:dyDescent="0.25">
      <c r="A126" s="61" t="s">
        <v>873</v>
      </c>
      <c r="B126" s="54" t="s">
        <v>1069</v>
      </c>
      <c r="C126" s="55" t="s">
        <v>962</v>
      </c>
      <c r="D126" s="62"/>
    </row>
    <row r="127" spans="1:4" ht="16.149999999999999" customHeight="1" x14ac:dyDescent="0.25">
      <c r="A127" s="61" t="s">
        <v>1070</v>
      </c>
      <c r="B127" s="54" t="s">
        <v>1071</v>
      </c>
      <c r="C127" s="55" t="s">
        <v>731</v>
      </c>
      <c r="D127" s="62"/>
    </row>
    <row r="128" spans="1:4" ht="16.149999999999999" customHeight="1" x14ac:dyDescent="0.25">
      <c r="A128" s="61" t="s">
        <v>886</v>
      </c>
      <c r="B128" s="54" t="s">
        <v>1072</v>
      </c>
      <c r="C128" s="55" t="s">
        <v>841</v>
      </c>
      <c r="D128" s="62"/>
    </row>
    <row r="129" spans="1:4" ht="16.149999999999999" customHeight="1" x14ac:dyDescent="0.25">
      <c r="A129" s="61" t="s">
        <v>892</v>
      </c>
      <c r="B129" s="54" t="s">
        <v>1073</v>
      </c>
      <c r="C129" s="55" t="s">
        <v>966</v>
      </c>
      <c r="D129" s="62"/>
    </row>
    <row r="130" spans="1:4" ht="16.149999999999999" customHeight="1" x14ac:dyDescent="0.25">
      <c r="A130" s="61" t="s">
        <v>1074</v>
      </c>
      <c r="B130" s="54" t="s">
        <v>1075</v>
      </c>
      <c r="C130" s="55" t="s">
        <v>734</v>
      </c>
      <c r="D130" s="62"/>
    </row>
    <row r="132" spans="1:4" x14ac:dyDescent="0.25">
      <c r="A132" s="4" t="s">
        <v>894</v>
      </c>
      <c r="B132" s="5"/>
      <c r="C132" s="5"/>
      <c r="D132" s="5"/>
    </row>
    <row r="133" spans="1:4" ht="29.45" customHeight="1" x14ac:dyDescent="0.25">
      <c r="A133" s="53" t="s">
        <v>1076</v>
      </c>
      <c r="B133" s="54" t="s">
        <v>1077</v>
      </c>
      <c r="C133" s="28" t="s">
        <v>897</v>
      </c>
      <c r="D133" s="62"/>
    </row>
    <row r="134" spans="1:4" ht="29.45" customHeight="1" x14ac:dyDescent="0.25">
      <c r="A134" s="53" t="s">
        <v>1078</v>
      </c>
      <c r="B134" s="54" t="s">
        <v>1079</v>
      </c>
      <c r="C134" s="28" t="s">
        <v>897</v>
      </c>
      <c r="D134" s="62"/>
    </row>
    <row r="135" spans="1:4" ht="29.45" customHeight="1" x14ac:dyDescent="0.25">
      <c r="A135" s="53" t="s">
        <v>1080</v>
      </c>
      <c r="B135" s="54" t="s">
        <v>1081</v>
      </c>
      <c r="C135" s="28" t="s">
        <v>897</v>
      </c>
      <c r="D135" s="62"/>
    </row>
    <row r="136" spans="1:4" ht="16.149999999999999" customHeight="1" x14ac:dyDescent="0.25">
      <c r="A136" s="53" t="s">
        <v>1082</v>
      </c>
      <c r="B136" s="54" t="s">
        <v>1083</v>
      </c>
      <c r="C136" s="28" t="s">
        <v>897</v>
      </c>
      <c r="D136" s="62"/>
    </row>
    <row r="137" spans="1:4" ht="29.45" customHeight="1" x14ac:dyDescent="0.25">
      <c r="A137" s="53" t="s">
        <v>1084</v>
      </c>
      <c r="B137" s="54" t="s">
        <v>1085</v>
      </c>
      <c r="C137" s="28" t="s">
        <v>897</v>
      </c>
      <c r="D137" s="62"/>
    </row>
    <row r="138" spans="1:4" ht="29.45" customHeight="1" x14ac:dyDescent="0.25">
      <c r="A138" s="53" t="s">
        <v>1086</v>
      </c>
      <c r="B138" s="54" t="s">
        <v>1087</v>
      </c>
      <c r="C138" s="28" t="s">
        <v>897</v>
      </c>
      <c r="D138" s="62"/>
    </row>
    <row r="139" spans="1:4" ht="29.45" customHeight="1" x14ac:dyDescent="0.25">
      <c r="A139" s="53" t="s">
        <v>1088</v>
      </c>
      <c r="B139" s="54" t="s">
        <v>1089</v>
      </c>
      <c r="C139" s="28" t="s">
        <v>897</v>
      </c>
      <c r="D139" s="62"/>
    </row>
    <row r="140" spans="1:4" ht="29.45" customHeight="1" x14ac:dyDescent="0.25">
      <c r="A140" s="53" t="s">
        <v>1090</v>
      </c>
      <c r="B140" s="54" t="s">
        <v>1091</v>
      </c>
      <c r="C140" s="28" t="s">
        <v>897</v>
      </c>
      <c r="D140" s="62"/>
    </row>
    <row r="141" spans="1:4" ht="16.149999999999999" customHeight="1" x14ac:dyDescent="0.25">
      <c r="A141" s="53" t="s">
        <v>1092</v>
      </c>
      <c r="B141" s="54" t="s">
        <v>1093</v>
      </c>
      <c r="C141" s="28" t="s">
        <v>897</v>
      </c>
      <c r="D141" s="62"/>
    </row>
    <row r="142" spans="1:4" ht="29.45" customHeight="1" x14ac:dyDescent="0.25">
      <c r="A142" s="53" t="s">
        <v>1094</v>
      </c>
      <c r="B142" s="54" t="s">
        <v>1095</v>
      </c>
      <c r="C142" s="28" t="s">
        <v>897</v>
      </c>
      <c r="D142" s="62"/>
    </row>
    <row r="143" spans="1:4" ht="29.45" customHeight="1" x14ac:dyDescent="0.25">
      <c r="A143" s="53" t="s">
        <v>1096</v>
      </c>
      <c r="B143" s="54" t="s">
        <v>1097</v>
      </c>
      <c r="C143" s="28" t="s">
        <v>897</v>
      </c>
      <c r="D143" s="62"/>
    </row>
    <row r="144" spans="1:4" ht="29.45" customHeight="1" x14ac:dyDescent="0.25">
      <c r="A144" s="53" t="s">
        <v>1098</v>
      </c>
      <c r="B144" s="54" t="s">
        <v>1099</v>
      </c>
      <c r="C144" s="28" t="s">
        <v>897</v>
      </c>
      <c r="D144" s="62"/>
    </row>
    <row r="145" spans="1:4" ht="29.45" customHeight="1" x14ac:dyDescent="0.25">
      <c r="A145" s="53" t="s">
        <v>1100</v>
      </c>
      <c r="B145" s="54" t="s">
        <v>1101</v>
      </c>
      <c r="C145" s="28" t="s">
        <v>897</v>
      </c>
      <c r="D145" s="62"/>
    </row>
    <row r="146" spans="1:4" ht="29.45" customHeight="1" x14ac:dyDescent="0.25">
      <c r="A146" s="53" t="s">
        <v>1102</v>
      </c>
      <c r="B146" s="54" t="s">
        <v>1103</v>
      </c>
      <c r="C146" s="28" t="s">
        <v>897</v>
      </c>
      <c r="D146" s="62"/>
    </row>
    <row r="147" spans="1:4" ht="29.45" customHeight="1" x14ac:dyDescent="0.25">
      <c r="A147" s="53" t="s">
        <v>1104</v>
      </c>
      <c r="B147" s="54" t="s">
        <v>1105</v>
      </c>
      <c r="C147" s="28" t="s">
        <v>897</v>
      </c>
      <c r="D147" s="62"/>
    </row>
    <row r="148" spans="1:4" ht="29.45" customHeight="1" x14ac:dyDescent="0.25">
      <c r="A148" s="53" t="s">
        <v>1106</v>
      </c>
      <c r="B148" s="54" t="s">
        <v>1107</v>
      </c>
      <c r="C148" s="62"/>
      <c r="D148" s="62"/>
    </row>
    <row r="150" spans="1:4" x14ac:dyDescent="0.25">
      <c r="A150" s="4" t="s">
        <v>926</v>
      </c>
      <c r="B150" s="5"/>
      <c r="C150" s="5"/>
      <c r="D150" s="5"/>
    </row>
    <row r="151" spans="1:4" ht="29.45" customHeight="1" x14ac:dyDescent="0.25">
      <c r="B151" s="52" t="s">
        <v>1108</v>
      </c>
    </row>
    <row r="152" spans="1:4" ht="29.45" customHeight="1" x14ac:dyDescent="0.25">
      <c r="B152" s="52" t="s">
        <v>1109</v>
      </c>
    </row>
    <row r="153" spans="1:4" ht="29.45" customHeight="1" x14ac:dyDescent="0.25">
      <c r="B153" s="52" t="s">
        <v>1110</v>
      </c>
    </row>
    <row r="154" spans="1:4" ht="29.45" customHeight="1" x14ac:dyDescent="0.25">
      <c r="B154" s="52" t="s">
        <v>1111</v>
      </c>
    </row>
    <row r="155" spans="1:4" ht="16.149999999999999" customHeight="1" x14ac:dyDescent="0.25">
      <c r="B155" s="52" t="s">
        <v>1112</v>
      </c>
    </row>
    <row r="156" spans="1:4" ht="16.149999999999999" customHeight="1" x14ac:dyDescent="0.25">
      <c r="B156" s="52" t="s">
        <v>1113</v>
      </c>
    </row>
    <row r="157" spans="1:4" ht="29.45" customHeight="1" x14ac:dyDescent="0.25">
      <c r="B157" s="52" t="s">
        <v>1114</v>
      </c>
    </row>
    <row r="158" spans="1:4" ht="29.45" customHeight="1" x14ac:dyDescent="0.25">
      <c r="B158" s="52" t="s">
        <v>1115</v>
      </c>
    </row>
    <row r="159" spans="1:4" ht="16.149999999999999" customHeight="1" x14ac:dyDescent="0.25">
      <c r="B159" s="52" t="s">
        <v>1116</v>
      </c>
    </row>
  </sheetData>
  <hyperlinks>
    <hyperlink ref="D1" location="'Monitor'!A7" display="&lt;&lt; Monitor" xr:uid="{00000000-0004-0000-0A00-000000000000}"/>
    <hyperlink ref="C133" r:id="rId1" xr:uid="{00000000-0004-0000-0A00-000001000000}"/>
    <hyperlink ref="C134" r:id="rId2" xr:uid="{00000000-0004-0000-0A00-000002000000}"/>
    <hyperlink ref="C135" r:id="rId3" xr:uid="{00000000-0004-0000-0A00-000003000000}"/>
    <hyperlink ref="C136" r:id="rId4" xr:uid="{00000000-0004-0000-0A00-000004000000}"/>
    <hyperlink ref="C137" r:id="rId5" xr:uid="{00000000-0004-0000-0A00-000005000000}"/>
    <hyperlink ref="C138" r:id="rId6" xr:uid="{00000000-0004-0000-0A00-000006000000}"/>
    <hyperlink ref="C139" r:id="rId7" xr:uid="{00000000-0004-0000-0A00-000007000000}"/>
    <hyperlink ref="C140" r:id="rId8" xr:uid="{00000000-0004-0000-0A00-000008000000}"/>
    <hyperlink ref="C141" r:id="rId9" xr:uid="{00000000-0004-0000-0A00-000009000000}"/>
    <hyperlink ref="C142" r:id="rId10" xr:uid="{00000000-0004-0000-0A00-00000A000000}"/>
    <hyperlink ref="C143" r:id="rId11" xr:uid="{00000000-0004-0000-0A00-00000B000000}"/>
    <hyperlink ref="C144" r:id="rId12" xr:uid="{00000000-0004-0000-0A00-00000C000000}"/>
    <hyperlink ref="C145" r:id="rId13" xr:uid="{00000000-0004-0000-0A00-00000D000000}"/>
    <hyperlink ref="C146" r:id="rId14" xr:uid="{00000000-0004-0000-0A00-00000E000000}"/>
    <hyperlink ref="C147" r:id="rId15" xr:uid="{00000000-0004-0000-0A00-00000F000000}"/>
  </hyperlink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pageSetUpPr fitToPage="1"/>
  </sheetPr>
  <dimension ref="A1:D143"/>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198</v>
      </c>
      <c r="D1" s="41" t="s">
        <v>667</v>
      </c>
    </row>
    <row r="2" spans="1:4" x14ac:dyDescent="0.25">
      <c r="A2" s="2" t="s">
        <v>1117</v>
      </c>
    </row>
    <row r="4" spans="1:4" x14ac:dyDescent="0.25">
      <c r="A4" s="42" t="s">
        <v>9</v>
      </c>
      <c r="B4" s="43">
        <f>Monitor!H8</f>
        <v>91.908000000000001</v>
      </c>
    </row>
    <row r="5" spans="1:4" x14ac:dyDescent="0.25">
      <c r="A5" s="42" t="s">
        <v>11</v>
      </c>
      <c r="B5" s="44">
        <f>Monitor!J8</f>
        <v>7.4801613526308399</v>
      </c>
    </row>
    <row r="6" spans="1:4" x14ac:dyDescent="0.25">
      <c r="A6" s="42" t="s">
        <v>8</v>
      </c>
      <c r="B6" s="45">
        <f>Monitor!G8</f>
        <v>27293.8</v>
      </c>
    </row>
    <row r="7" spans="1:4" x14ac:dyDescent="0.25">
      <c r="A7" s="42" t="s">
        <v>14</v>
      </c>
      <c r="B7" s="46">
        <f>Monitor!M8</f>
        <v>-2208.6142959999997</v>
      </c>
    </row>
    <row r="8" spans="1:4" x14ac:dyDescent="0.25">
      <c r="A8" s="42" t="s">
        <v>15</v>
      </c>
      <c r="B8" s="47">
        <f>Monitor!N8</f>
        <v>-8.0919999999999992E-2</v>
      </c>
    </row>
    <row r="9" spans="1:4" x14ac:dyDescent="0.25">
      <c r="A9" s="42" t="s">
        <v>669</v>
      </c>
      <c r="B9" s="46">
        <f>Monitor!O8</f>
        <v>-139.19838000000141</v>
      </c>
    </row>
    <row r="10" spans="1:4" x14ac:dyDescent="0.25">
      <c r="A10" s="42" t="s">
        <v>20</v>
      </c>
      <c r="B10" s="48">
        <f>Monitor!S8</f>
        <v>45951</v>
      </c>
    </row>
    <row r="11" spans="1:4" x14ac:dyDescent="0.25">
      <c r="A11" s="42" t="s">
        <v>670</v>
      </c>
      <c r="B11" s="49">
        <f>Monitor!W8</f>
        <v>115.02546165154482</v>
      </c>
    </row>
    <row r="12" spans="1:4" x14ac:dyDescent="0.25">
      <c r="A12" s="42" t="s">
        <v>671</v>
      </c>
      <c r="B12" s="50" t="str">
        <f>Monitor!F8</f>
        <v>NR/A+/NR</v>
      </c>
    </row>
    <row r="13" spans="1:4" x14ac:dyDescent="0.25">
      <c r="A13" s="42" t="s">
        <v>4</v>
      </c>
      <c r="B13" s="50" t="str">
        <f>Monitor!C8</f>
        <v>Meta</v>
      </c>
    </row>
    <row r="15" spans="1:4" x14ac:dyDescent="0.25">
      <c r="A15" s="4" t="s">
        <v>672</v>
      </c>
      <c r="B15" s="5"/>
      <c r="C15" s="5"/>
      <c r="D15" s="5"/>
    </row>
    <row r="16" spans="1:4" ht="69" customHeight="1" x14ac:dyDescent="0.25">
      <c r="A16" s="51" t="s">
        <v>192</v>
      </c>
      <c r="B16" s="52" t="s">
        <v>199</v>
      </c>
    </row>
    <row r="18" spans="1:4" x14ac:dyDescent="0.25">
      <c r="A18" s="4" t="s">
        <v>673</v>
      </c>
      <c r="B18" s="5"/>
      <c r="C18" s="4" t="s">
        <v>674</v>
      </c>
      <c r="D18" s="4" t="s">
        <v>675</v>
      </c>
    </row>
    <row r="19" spans="1:4" ht="16.149999999999999" customHeight="1" x14ac:dyDescent="0.25">
      <c r="A19" s="53" t="s">
        <v>1118</v>
      </c>
      <c r="B19" s="54" t="s">
        <v>1119</v>
      </c>
      <c r="C19" s="55" t="s">
        <v>689</v>
      </c>
      <c r="D19" s="56" t="s">
        <v>679</v>
      </c>
    </row>
    <row r="20" spans="1:4" ht="29.45" customHeight="1" x14ac:dyDescent="0.25">
      <c r="A20" s="53" t="s">
        <v>695</v>
      </c>
      <c r="B20" s="54" t="s">
        <v>1120</v>
      </c>
      <c r="C20" s="55" t="s">
        <v>689</v>
      </c>
      <c r="D20" s="56" t="s">
        <v>679</v>
      </c>
    </row>
    <row r="21" spans="1:4" ht="16.149999999999999" customHeight="1" x14ac:dyDescent="0.25">
      <c r="A21" s="53" t="s">
        <v>1121</v>
      </c>
      <c r="B21" s="54" t="s">
        <v>1122</v>
      </c>
      <c r="C21" s="55" t="s">
        <v>689</v>
      </c>
      <c r="D21" s="56" t="s">
        <v>679</v>
      </c>
    </row>
    <row r="22" spans="1:4" ht="29.45" customHeight="1" x14ac:dyDescent="0.25">
      <c r="A22" s="53" t="s">
        <v>1123</v>
      </c>
      <c r="B22" s="54" t="s">
        <v>1124</v>
      </c>
      <c r="C22" s="55" t="s">
        <v>731</v>
      </c>
      <c r="D22" s="59" t="s">
        <v>748</v>
      </c>
    </row>
    <row r="23" spans="1:4" ht="29.45" customHeight="1" x14ac:dyDescent="0.25">
      <c r="A23" s="53" t="s">
        <v>1125</v>
      </c>
      <c r="B23" s="54" t="s">
        <v>1126</v>
      </c>
      <c r="C23" s="55" t="s">
        <v>731</v>
      </c>
      <c r="D23" s="59" t="s">
        <v>748</v>
      </c>
    </row>
    <row r="24" spans="1:4" ht="29.45" customHeight="1" x14ac:dyDescent="0.25">
      <c r="A24" s="53" t="s">
        <v>1127</v>
      </c>
      <c r="B24" s="54" t="s">
        <v>1128</v>
      </c>
      <c r="C24" s="55" t="s">
        <v>737</v>
      </c>
      <c r="D24" s="59" t="s">
        <v>748</v>
      </c>
    </row>
    <row r="25" spans="1:4" ht="16.149999999999999" customHeight="1" x14ac:dyDescent="0.25">
      <c r="A25" s="53" t="s">
        <v>1129</v>
      </c>
      <c r="B25" s="54" t="s">
        <v>1130</v>
      </c>
      <c r="C25" s="55" t="s">
        <v>1131</v>
      </c>
      <c r="D25" s="58" t="s">
        <v>698</v>
      </c>
    </row>
    <row r="26" spans="1:4" ht="29.45" customHeight="1" x14ac:dyDescent="0.25">
      <c r="A26" s="53" t="s">
        <v>1132</v>
      </c>
      <c r="B26" s="54" t="s">
        <v>1133</v>
      </c>
      <c r="C26" s="55" t="s">
        <v>731</v>
      </c>
      <c r="D26" s="59" t="s">
        <v>748</v>
      </c>
    </row>
    <row r="28" spans="1:4" x14ac:dyDescent="0.25">
      <c r="A28" s="4" t="s">
        <v>717</v>
      </c>
      <c r="B28" s="5"/>
      <c r="C28" s="4" t="s">
        <v>674</v>
      </c>
      <c r="D28" s="4" t="s">
        <v>675</v>
      </c>
    </row>
    <row r="29" spans="1:4" ht="42.6" customHeight="1" x14ac:dyDescent="0.25">
      <c r="A29" s="53" t="s">
        <v>1134</v>
      </c>
      <c r="B29" s="54" t="s">
        <v>1135</v>
      </c>
      <c r="C29" s="55" t="s">
        <v>678</v>
      </c>
      <c r="D29" s="56" t="s">
        <v>679</v>
      </c>
    </row>
    <row r="30" spans="1:4" ht="29.45" customHeight="1" x14ac:dyDescent="0.25">
      <c r="A30" s="53" t="s">
        <v>1136</v>
      </c>
      <c r="B30" s="54" t="s">
        <v>1137</v>
      </c>
      <c r="C30" s="55" t="s">
        <v>776</v>
      </c>
      <c r="D30" s="57" t="s">
        <v>690</v>
      </c>
    </row>
    <row r="31" spans="1:4" ht="29.45" customHeight="1" x14ac:dyDescent="0.25">
      <c r="A31" s="53" t="s">
        <v>1138</v>
      </c>
      <c r="B31" s="54" t="s">
        <v>1139</v>
      </c>
      <c r="C31" s="55" t="s">
        <v>877</v>
      </c>
      <c r="D31" s="56" t="s">
        <v>679</v>
      </c>
    </row>
    <row r="32" spans="1:4" ht="42.6" customHeight="1" x14ac:dyDescent="0.25">
      <c r="A32" s="53" t="s">
        <v>1140</v>
      </c>
      <c r="B32" s="54" t="s">
        <v>1141</v>
      </c>
      <c r="C32" s="55" t="s">
        <v>962</v>
      </c>
      <c r="D32" s="59" t="s">
        <v>748</v>
      </c>
    </row>
    <row r="33" spans="1:4" ht="16.149999999999999" customHeight="1" x14ac:dyDescent="0.25">
      <c r="A33" s="53" t="s">
        <v>1142</v>
      </c>
      <c r="B33" s="54" t="s">
        <v>1143</v>
      </c>
      <c r="C33" s="55" t="s">
        <v>678</v>
      </c>
      <c r="D33" s="56" t="s">
        <v>679</v>
      </c>
    </row>
    <row r="34" spans="1:4" ht="29.45" customHeight="1" x14ac:dyDescent="0.25">
      <c r="A34" s="53" t="s">
        <v>1144</v>
      </c>
      <c r="B34" s="54" t="s">
        <v>1145</v>
      </c>
      <c r="C34" s="55" t="s">
        <v>962</v>
      </c>
      <c r="D34" s="59" t="s">
        <v>748</v>
      </c>
    </row>
    <row r="36" spans="1:4" x14ac:dyDescent="0.25">
      <c r="A36" s="4" t="s">
        <v>728</v>
      </c>
      <c r="B36" s="5"/>
      <c r="C36" s="4" t="s">
        <v>674</v>
      </c>
      <c r="D36" s="4" t="s">
        <v>675</v>
      </c>
    </row>
    <row r="37" spans="1:4" ht="29.45" customHeight="1" x14ac:dyDescent="0.25">
      <c r="A37" s="53" t="s">
        <v>729</v>
      </c>
      <c r="B37" s="54" t="s">
        <v>1146</v>
      </c>
      <c r="C37" s="55" t="s">
        <v>776</v>
      </c>
      <c r="D37" s="57" t="s">
        <v>690</v>
      </c>
    </row>
    <row r="38" spans="1:4" ht="29.45" customHeight="1" x14ac:dyDescent="0.25">
      <c r="A38" s="53" t="s">
        <v>1147</v>
      </c>
      <c r="B38" s="54" t="s">
        <v>1148</v>
      </c>
      <c r="C38" s="55" t="s">
        <v>962</v>
      </c>
      <c r="D38" s="59" t="s">
        <v>748</v>
      </c>
    </row>
    <row r="39" spans="1:4" ht="16.149999999999999" customHeight="1" x14ac:dyDescent="0.25">
      <c r="A39" s="53" t="s">
        <v>1149</v>
      </c>
      <c r="B39" s="54" t="s">
        <v>1150</v>
      </c>
      <c r="C39" s="55" t="s">
        <v>776</v>
      </c>
      <c r="D39" s="57" t="s">
        <v>690</v>
      </c>
    </row>
    <row r="41" spans="1:4" x14ac:dyDescent="0.25">
      <c r="A41" s="4" t="s">
        <v>740</v>
      </c>
      <c r="B41" s="5"/>
      <c r="C41" s="4" t="s">
        <v>674</v>
      </c>
      <c r="D41" s="4" t="s">
        <v>675</v>
      </c>
    </row>
    <row r="42" spans="1:4" ht="29.45" customHeight="1" x14ac:dyDescent="0.25">
      <c r="A42" s="53" t="s">
        <v>4</v>
      </c>
      <c r="B42" s="54" t="s">
        <v>1151</v>
      </c>
      <c r="C42" s="55" t="s">
        <v>877</v>
      </c>
      <c r="D42" s="56" t="s">
        <v>679</v>
      </c>
    </row>
    <row r="43" spans="1:4" ht="16.149999999999999" customHeight="1" x14ac:dyDescent="0.25">
      <c r="A43" s="53" t="s">
        <v>1152</v>
      </c>
      <c r="B43" s="54" t="s">
        <v>1153</v>
      </c>
      <c r="C43" s="55" t="s">
        <v>877</v>
      </c>
      <c r="D43" s="56" t="s">
        <v>679</v>
      </c>
    </row>
    <row r="44" spans="1:4" ht="42.6" customHeight="1" x14ac:dyDescent="0.25">
      <c r="A44" s="53" t="s">
        <v>1154</v>
      </c>
      <c r="B44" s="54" t="s">
        <v>1155</v>
      </c>
      <c r="C44" s="55" t="s">
        <v>877</v>
      </c>
      <c r="D44" s="60" t="s">
        <v>803</v>
      </c>
    </row>
    <row r="45" spans="1:4" ht="29.45" customHeight="1" x14ac:dyDescent="0.25">
      <c r="A45" s="53" t="s">
        <v>259</v>
      </c>
      <c r="B45" s="54" t="s">
        <v>1156</v>
      </c>
      <c r="C45" s="55" t="s">
        <v>962</v>
      </c>
      <c r="D45" s="59" t="s">
        <v>748</v>
      </c>
    </row>
    <row r="46" spans="1:4" ht="16.149999999999999" customHeight="1" x14ac:dyDescent="0.25">
      <c r="A46" s="53" t="s">
        <v>1157</v>
      </c>
      <c r="B46" s="54" t="s">
        <v>1158</v>
      </c>
      <c r="C46" s="55" t="s">
        <v>731</v>
      </c>
      <c r="D46" s="59" t="s">
        <v>748</v>
      </c>
    </row>
    <row r="47" spans="1:4" ht="29.45" customHeight="1" x14ac:dyDescent="0.25">
      <c r="A47" s="53" t="s">
        <v>1159</v>
      </c>
      <c r="B47" s="54" t="s">
        <v>1160</v>
      </c>
      <c r="C47" s="55" t="s">
        <v>962</v>
      </c>
      <c r="D47" s="59" t="s">
        <v>748</v>
      </c>
    </row>
    <row r="49" spans="1:4" x14ac:dyDescent="0.25">
      <c r="A49" s="4" t="s">
        <v>762</v>
      </c>
      <c r="B49" s="5"/>
      <c r="C49" s="4" t="s">
        <v>674</v>
      </c>
      <c r="D49" s="4" t="s">
        <v>675</v>
      </c>
    </row>
    <row r="50" spans="1:4" ht="42.6" customHeight="1" x14ac:dyDescent="0.25">
      <c r="A50" s="53" t="s">
        <v>1161</v>
      </c>
      <c r="B50" s="54" t="s">
        <v>1162</v>
      </c>
      <c r="C50" s="55" t="s">
        <v>962</v>
      </c>
      <c r="D50" s="59" t="s">
        <v>748</v>
      </c>
    </row>
    <row r="51" spans="1:4" ht="29.45" customHeight="1" x14ac:dyDescent="0.25">
      <c r="A51" s="53" t="s">
        <v>988</v>
      </c>
      <c r="B51" s="54" t="s">
        <v>1163</v>
      </c>
      <c r="C51" s="55" t="s">
        <v>877</v>
      </c>
      <c r="D51" s="56" t="s">
        <v>679</v>
      </c>
    </row>
    <row r="52" spans="1:4" ht="29.45" customHeight="1" x14ac:dyDescent="0.25">
      <c r="A52" s="53" t="s">
        <v>1164</v>
      </c>
      <c r="B52" s="54" t="s">
        <v>1165</v>
      </c>
      <c r="C52" s="55" t="s">
        <v>962</v>
      </c>
      <c r="D52" s="59" t="s">
        <v>748</v>
      </c>
    </row>
    <row r="53" spans="1:4" ht="29.45" customHeight="1" x14ac:dyDescent="0.25">
      <c r="A53" s="53" t="s">
        <v>1166</v>
      </c>
      <c r="B53" s="54" t="s">
        <v>1167</v>
      </c>
      <c r="C53" s="55" t="s">
        <v>877</v>
      </c>
      <c r="D53" s="56" t="s">
        <v>679</v>
      </c>
    </row>
    <row r="55" spans="1:4" x14ac:dyDescent="0.25">
      <c r="A55" s="4" t="s">
        <v>773</v>
      </c>
      <c r="B55" s="5"/>
      <c r="C55" s="4" t="s">
        <v>674</v>
      </c>
      <c r="D55" s="4" t="s">
        <v>675</v>
      </c>
    </row>
    <row r="56" spans="1:4" ht="42.6" customHeight="1" x14ac:dyDescent="0.25">
      <c r="A56" s="53" t="s">
        <v>1168</v>
      </c>
      <c r="B56" s="54" t="s">
        <v>1169</v>
      </c>
      <c r="C56" s="55" t="s">
        <v>747</v>
      </c>
      <c r="D56" s="59" t="s">
        <v>748</v>
      </c>
    </row>
    <row r="57" spans="1:4" ht="55.9" customHeight="1" x14ac:dyDescent="0.25">
      <c r="A57" s="53" t="s">
        <v>1170</v>
      </c>
      <c r="B57" s="54" t="s">
        <v>1171</v>
      </c>
      <c r="C57" s="55" t="s">
        <v>841</v>
      </c>
      <c r="D57" s="56" t="s">
        <v>679</v>
      </c>
    </row>
    <row r="58" spans="1:4" ht="42.6" customHeight="1" x14ac:dyDescent="0.25">
      <c r="A58" s="53" t="s">
        <v>1172</v>
      </c>
      <c r="B58" s="54" t="s">
        <v>1173</v>
      </c>
      <c r="C58" s="55" t="s">
        <v>841</v>
      </c>
      <c r="D58" s="56" t="s">
        <v>679</v>
      </c>
    </row>
    <row r="59" spans="1:4" ht="29.45" customHeight="1" x14ac:dyDescent="0.25">
      <c r="A59" s="53" t="s">
        <v>1174</v>
      </c>
      <c r="B59" s="54" t="s">
        <v>1175</v>
      </c>
      <c r="C59" s="55" t="s">
        <v>962</v>
      </c>
      <c r="D59" s="59" t="s">
        <v>748</v>
      </c>
    </row>
    <row r="61" spans="1:4" x14ac:dyDescent="0.25">
      <c r="A61" s="4" t="s">
        <v>781</v>
      </c>
      <c r="B61" s="5"/>
      <c r="C61" s="4" t="s">
        <v>674</v>
      </c>
      <c r="D61" s="4" t="s">
        <v>675</v>
      </c>
    </row>
    <row r="62" spans="1:4" ht="29.45" customHeight="1" x14ac:dyDescent="0.25">
      <c r="A62" s="53" t="s">
        <v>1176</v>
      </c>
      <c r="B62" s="54" t="s">
        <v>1177</v>
      </c>
      <c r="C62" s="55" t="s">
        <v>776</v>
      </c>
      <c r="D62" s="57" t="s">
        <v>690</v>
      </c>
    </row>
    <row r="63" spans="1:4" ht="16.149999999999999" customHeight="1" x14ac:dyDescent="0.25">
      <c r="A63" s="53" t="s">
        <v>1000</v>
      </c>
      <c r="B63" s="54" t="s">
        <v>1178</v>
      </c>
      <c r="C63" s="55" t="s">
        <v>877</v>
      </c>
      <c r="D63" s="56" t="s">
        <v>679</v>
      </c>
    </row>
    <row r="64" spans="1:4" ht="29.45" customHeight="1" x14ac:dyDescent="0.25">
      <c r="A64" s="53" t="s">
        <v>1003</v>
      </c>
      <c r="B64" s="54" t="s">
        <v>1179</v>
      </c>
      <c r="C64" s="55" t="s">
        <v>684</v>
      </c>
      <c r="D64" s="57" t="s">
        <v>690</v>
      </c>
    </row>
    <row r="65" spans="1:4" ht="29.45" customHeight="1" x14ac:dyDescent="0.25">
      <c r="A65" s="53" t="s">
        <v>1180</v>
      </c>
      <c r="B65" s="54" t="s">
        <v>1181</v>
      </c>
      <c r="C65" s="55" t="s">
        <v>776</v>
      </c>
      <c r="D65" s="57" t="s">
        <v>690</v>
      </c>
    </row>
    <row r="67" spans="1:4" x14ac:dyDescent="0.25">
      <c r="A67" s="4" t="s">
        <v>792</v>
      </c>
      <c r="B67" s="5"/>
      <c r="C67" s="4" t="s">
        <v>674</v>
      </c>
      <c r="D67" s="4" t="s">
        <v>675</v>
      </c>
    </row>
    <row r="68" spans="1:4" ht="29.45" customHeight="1" x14ac:dyDescent="0.25">
      <c r="A68" s="53" t="s">
        <v>189</v>
      </c>
      <c r="B68" s="54" t="s">
        <v>1182</v>
      </c>
      <c r="C68" s="55" t="s">
        <v>678</v>
      </c>
      <c r="D68" s="56" t="s">
        <v>679</v>
      </c>
    </row>
    <row r="69" spans="1:4" ht="29.45" customHeight="1" x14ac:dyDescent="0.25">
      <c r="A69" s="53" t="s">
        <v>1183</v>
      </c>
      <c r="B69" s="54" t="s">
        <v>1184</v>
      </c>
      <c r="C69" s="55" t="s">
        <v>731</v>
      </c>
      <c r="D69" s="59" t="s">
        <v>748</v>
      </c>
    </row>
    <row r="70" spans="1:4" ht="29.45" customHeight="1" x14ac:dyDescent="0.25">
      <c r="A70" s="53" t="s">
        <v>1185</v>
      </c>
      <c r="B70" s="54" t="s">
        <v>1186</v>
      </c>
      <c r="C70" s="55" t="s">
        <v>737</v>
      </c>
      <c r="D70" s="59" t="s">
        <v>748</v>
      </c>
    </row>
    <row r="71" spans="1:4" ht="29.45" customHeight="1" x14ac:dyDescent="0.25">
      <c r="A71" s="53" t="s">
        <v>1187</v>
      </c>
      <c r="B71" s="54" t="s">
        <v>1188</v>
      </c>
      <c r="C71" s="55" t="s">
        <v>737</v>
      </c>
      <c r="D71" s="59" t="s">
        <v>748</v>
      </c>
    </row>
    <row r="73" spans="1:4" x14ac:dyDescent="0.25">
      <c r="A73" s="4" t="s">
        <v>804</v>
      </c>
      <c r="B73" s="5"/>
      <c r="C73" s="4" t="s">
        <v>674</v>
      </c>
      <c r="D73" s="4" t="s">
        <v>675</v>
      </c>
    </row>
    <row r="74" spans="1:4" ht="42.6" customHeight="1" x14ac:dyDescent="0.25">
      <c r="A74" s="53" t="s">
        <v>1189</v>
      </c>
      <c r="B74" s="54" t="s">
        <v>1190</v>
      </c>
      <c r="C74" s="55" t="s">
        <v>684</v>
      </c>
      <c r="D74" s="56" t="s">
        <v>679</v>
      </c>
    </row>
    <row r="75" spans="1:4" ht="29.45" customHeight="1" x14ac:dyDescent="0.25">
      <c r="A75" s="53" t="s">
        <v>1191</v>
      </c>
      <c r="B75" s="54" t="s">
        <v>1192</v>
      </c>
      <c r="C75" s="55" t="s">
        <v>737</v>
      </c>
      <c r="D75" s="59" t="s">
        <v>748</v>
      </c>
    </row>
    <row r="76" spans="1:4" ht="16.149999999999999" customHeight="1" x14ac:dyDescent="0.25">
      <c r="A76" s="53" t="s">
        <v>1193</v>
      </c>
      <c r="B76" s="54" t="s">
        <v>1194</v>
      </c>
      <c r="C76" s="55" t="s">
        <v>962</v>
      </c>
      <c r="D76" s="59" t="s">
        <v>748</v>
      </c>
    </row>
    <row r="77" spans="1:4" ht="29.45" customHeight="1" x14ac:dyDescent="0.25">
      <c r="A77" s="53" t="s">
        <v>1195</v>
      </c>
      <c r="B77" s="54" t="s">
        <v>1196</v>
      </c>
      <c r="C77" s="55" t="s">
        <v>877</v>
      </c>
      <c r="D77" s="56" t="s">
        <v>679</v>
      </c>
    </row>
    <row r="79" spans="1:4" x14ac:dyDescent="0.25">
      <c r="A79" s="4" t="s">
        <v>813</v>
      </c>
      <c r="B79" s="5"/>
      <c r="C79" s="4" t="s">
        <v>674</v>
      </c>
      <c r="D79" s="4" t="s">
        <v>675</v>
      </c>
    </row>
    <row r="80" spans="1:4" ht="29.45" customHeight="1" x14ac:dyDescent="0.25">
      <c r="A80" s="53" t="s">
        <v>1197</v>
      </c>
      <c r="B80" s="54" t="s">
        <v>1198</v>
      </c>
      <c r="C80" s="55" t="s">
        <v>737</v>
      </c>
      <c r="D80" s="59" t="s">
        <v>748</v>
      </c>
    </row>
    <row r="81" spans="1:4" ht="16.149999999999999" customHeight="1" x14ac:dyDescent="0.25">
      <c r="A81" s="53" t="s">
        <v>1199</v>
      </c>
      <c r="B81" s="54" t="s">
        <v>1200</v>
      </c>
      <c r="C81" s="55" t="s">
        <v>737</v>
      </c>
      <c r="D81" s="59" t="s">
        <v>748</v>
      </c>
    </row>
    <row r="83" spans="1:4" x14ac:dyDescent="0.25">
      <c r="A83" s="4" t="s">
        <v>826</v>
      </c>
      <c r="B83" s="5"/>
      <c r="C83" s="4" t="s">
        <v>674</v>
      </c>
      <c r="D83" s="4" t="s">
        <v>675</v>
      </c>
    </row>
    <row r="84" spans="1:4" ht="29.45" customHeight="1" x14ac:dyDescent="0.25">
      <c r="A84" s="53" t="s">
        <v>1029</v>
      </c>
      <c r="B84" s="54" t="s">
        <v>1201</v>
      </c>
      <c r="C84" s="55" t="s">
        <v>731</v>
      </c>
      <c r="D84" s="59" t="s">
        <v>748</v>
      </c>
    </row>
    <row r="85" spans="1:4" ht="16.149999999999999" customHeight="1" x14ac:dyDescent="0.25">
      <c r="A85" s="53" t="s">
        <v>1202</v>
      </c>
      <c r="B85" s="54" t="s">
        <v>1203</v>
      </c>
      <c r="C85" s="55" t="s">
        <v>731</v>
      </c>
      <c r="D85" s="58" t="s">
        <v>698</v>
      </c>
    </row>
    <row r="86" spans="1:4" ht="16.149999999999999" customHeight="1" x14ac:dyDescent="0.25">
      <c r="A86" s="53" t="s">
        <v>1034</v>
      </c>
      <c r="B86" s="54" t="s">
        <v>1204</v>
      </c>
      <c r="C86" s="55" t="s">
        <v>731</v>
      </c>
      <c r="D86" s="60" t="s">
        <v>803</v>
      </c>
    </row>
    <row r="88" spans="1:4" x14ac:dyDescent="0.25">
      <c r="A88" s="4" t="s">
        <v>833</v>
      </c>
      <c r="B88" s="5"/>
      <c r="C88" s="4" t="s">
        <v>674</v>
      </c>
      <c r="D88" s="4" t="s">
        <v>675</v>
      </c>
    </row>
    <row r="89" spans="1:4" ht="29.45" customHeight="1" x14ac:dyDescent="0.25">
      <c r="A89" s="53" t="s">
        <v>1205</v>
      </c>
      <c r="B89" s="54" t="s">
        <v>1206</v>
      </c>
      <c r="C89" s="55" t="s">
        <v>877</v>
      </c>
      <c r="D89" s="56" t="s">
        <v>679</v>
      </c>
    </row>
    <row r="91" spans="1:4" x14ac:dyDescent="0.25">
      <c r="A91" s="4" t="s">
        <v>836</v>
      </c>
      <c r="B91" s="5"/>
      <c r="C91" s="4" t="s">
        <v>674</v>
      </c>
      <c r="D91" s="4" t="s">
        <v>675</v>
      </c>
    </row>
    <row r="92" spans="1:4" ht="16.149999999999999" customHeight="1" x14ac:dyDescent="0.25">
      <c r="A92" s="53" t="s">
        <v>1207</v>
      </c>
      <c r="B92" s="54" t="s">
        <v>1208</v>
      </c>
      <c r="C92" s="55" t="s">
        <v>731</v>
      </c>
      <c r="D92" s="59" t="s">
        <v>748</v>
      </c>
    </row>
    <row r="93" spans="1:4" ht="29.45" customHeight="1" x14ac:dyDescent="0.25">
      <c r="A93" s="53" t="s">
        <v>1209</v>
      </c>
      <c r="B93" s="54" t="s">
        <v>1210</v>
      </c>
      <c r="C93" s="55" t="s">
        <v>753</v>
      </c>
      <c r="D93" s="56" t="s">
        <v>679</v>
      </c>
    </row>
    <row r="94" spans="1:4" ht="29.45" customHeight="1" x14ac:dyDescent="0.25">
      <c r="A94" s="53" t="s">
        <v>1211</v>
      </c>
      <c r="B94" s="54" t="s">
        <v>1212</v>
      </c>
      <c r="C94" s="55" t="s">
        <v>841</v>
      </c>
      <c r="D94" s="56" t="s">
        <v>679</v>
      </c>
    </row>
    <row r="95" spans="1:4" ht="29.45" customHeight="1" x14ac:dyDescent="0.25">
      <c r="A95" s="53" t="s">
        <v>1213</v>
      </c>
      <c r="B95" s="54" t="s">
        <v>1214</v>
      </c>
      <c r="C95" s="55" t="s">
        <v>962</v>
      </c>
      <c r="D95" s="59" t="s">
        <v>748</v>
      </c>
    </row>
    <row r="96" spans="1:4" ht="16.149999999999999" customHeight="1" x14ac:dyDescent="0.25">
      <c r="A96" s="53" t="s">
        <v>1215</v>
      </c>
      <c r="B96" s="54" t="s">
        <v>1216</v>
      </c>
      <c r="C96" s="55" t="s">
        <v>877</v>
      </c>
      <c r="D96" s="56" t="s">
        <v>679</v>
      </c>
    </row>
    <row r="97" spans="1:4" ht="16.149999999999999" customHeight="1" x14ac:dyDescent="0.25">
      <c r="A97" s="53" t="s">
        <v>851</v>
      </c>
      <c r="B97" s="54" t="s">
        <v>1217</v>
      </c>
      <c r="C97" s="55" t="s">
        <v>737</v>
      </c>
      <c r="D97" s="60" t="s">
        <v>803</v>
      </c>
    </row>
    <row r="99" spans="1:4" x14ac:dyDescent="0.25">
      <c r="A99" s="4" t="s">
        <v>855</v>
      </c>
      <c r="B99" s="5"/>
      <c r="C99" s="4" t="s">
        <v>674</v>
      </c>
      <c r="D99" s="4" t="s">
        <v>675</v>
      </c>
    </row>
    <row r="100" spans="1:4" ht="29.45" customHeight="1" x14ac:dyDescent="0.25">
      <c r="A100" s="53" t="s">
        <v>1218</v>
      </c>
      <c r="B100" s="54" t="s">
        <v>1219</v>
      </c>
      <c r="C100" s="55" t="s">
        <v>877</v>
      </c>
      <c r="D100" s="56" t="s">
        <v>679</v>
      </c>
    </row>
    <row r="101" spans="1:4" ht="16.149999999999999" customHeight="1" x14ac:dyDescent="0.25">
      <c r="A101" s="53" t="s">
        <v>1220</v>
      </c>
      <c r="B101" s="54" t="s">
        <v>1221</v>
      </c>
      <c r="C101" s="55" t="s">
        <v>962</v>
      </c>
      <c r="D101" s="59" t="s">
        <v>748</v>
      </c>
    </row>
    <row r="102" spans="1:4" ht="16.149999999999999" customHeight="1" x14ac:dyDescent="0.25">
      <c r="A102" s="53" t="s">
        <v>1222</v>
      </c>
      <c r="B102" s="54" t="s">
        <v>1223</v>
      </c>
      <c r="C102" s="55" t="s">
        <v>841</v>
      </c>
      <c r="D102" s="56" t="s">
        <v>679</v>
      </c>
    </row>
    <row r="103" spans="1:4" ht="16.149999999999999" customHeight="1" x14ac:dyDescent="0.25">
      <c r="A103" s="53" t="s">
        <v>1224</v>
      </c>
      <c r="B103" s="54" t="s">
        <v>1225</v>
      </c>
      <c r="C103" s="55" t="s">
        <v>1131</v>
      </c>
      <c r="D103" s="58" t="s">
        <v>698</v>
      </c>
    </row>
    <row r="105" spans="1:4" x14ac:dyDescent="0.25">
      <c r="A105" s="4" t="s">
        <v>868</v>
      </c>
      <c r="B105" s="5"/>
      <c r="C105" s="4" t="s">
        <v>674</v>
      </c>
      <c r="D105" s="5"/>
    </row>
    <row r="106" spans="1:4" ht="16.149999999999999" customHeight="1" x14ac:dyDescent="0.25">
      <c r="A106" s="61" t="s">
        <v>1226</v>
      </c>
      <c r="B106" s="54" t="s">
        <v>1227</v>
      </c>
      <c r="C106" s="55" t="s">
        <v>962</v>
      </c>
      <c r="D106" s="62"/>
    </row>
    <row r="107" spans="1:4" ht="16.149999999999999" customHeight="1" x14ac:dyDescent="0.25">
      <c r="A107" s="61" t="s">
        <v>1228</v>
      </c>
      <c r="B107" s="54" t="s">
        <v>1229</v>
      </c>
      <c r="C107" s="55" t="s">
        <v>747</v>
      </c>
      <c r="D107" s="62"/>
    </row>
    <row r="108" spans="1:4" ht="16.149999999999999" customHeight="1" x14ac:dyDescent="0.25">
      <c r="A108" s="61" t="s">
        <v>1230</v>
      </c>
      <c r="B108" s="54" t="s">
        <v>1231</v>
      </c>
      <c r="C108" s="55" t="s">
        <v>731</v>
      </c>
      <c r="D108" s="62"/>
    </row>
    <row r="109" spans="1:4" ht="29.45" customHeight="1" x14ac:dyDescent="0.25">
      <c r="A109" s="61" t="s">
        <v>1232</v>
      </c>
      <c r="B109" s="54" t="s">
        <v>1233</v>
      </c>
      <c r="C109" s="55" t="s">
        <v>678</v>
      </c>
      <c r="D109" s="62"/>
    </row>
    <row r="110" spans="1:4" ht="16.149999999999999" customHeight="1" x14ac:dyDescent="0.25">
      <c r="A110" s="61" t="s">
        <v>1234</v>
      </c>
      <c r="B110" s="54" t="s">
        <v>1235</v>
      </c>
      <c r="C110" s="55" t="s">
        <v>776</v>
      </c>
      <c r="D110" s="62"/>
    </row>
    <row r="111" spans="1:4" ht="16.149999999999999" customHeight="1" x14ac:dyDescent="0.25">
      <c r="A111" s="61" t="s">
        <v>1236</v>
      </c>
      <c r="B111" s="54" t="s">
        <v>1237</v>
      </c>
      <c r="C111" s="55" t="s">
        <v>678</v>
      </c>
      <c r="D111" s="62"/>
    </row>
    <row r="112" spans="1:4" ht="16.149999999999999" customHeight="1" x14ac:dyDescent="0.25">
      <c r="A112" s="61" t="s">
        <v>1238</v>
      </c>
      <c r="B112" s="54" t="s">
        <v>1239</v>
      </c>
      <c r="C112" s="55" t="s">
        <v>684</v>
      </c>
      <c r="D112" s="62"/>
    </row>
    <row r="113" spans="1:4" ht="16.149999999999999" customHeight="1" x14ac:dyDescent="0.25">
      <c r="A113" s="61" t="s">
        <v>1240</v>
      </c>
      <c r="B113" s="54" t="s">
        <v>1241</v>
      </c>
      <c r="C113" s="55" t="s">
        <v>841</v>
      </c>
      <c r="D113" s="62"/>
    </row>
    <row r="114" spans="1:4" ht="16.149999999999999" customHeight="1" x14ac:dyDescent="0.25">
      <c r="A114" s="61" t="s">
        <v>1066</v>
      </c>
      <c r="B114" s="54" t="s">
        <v>1242</v>
      </c>
      <c r="C114" s="55" t="s">
        <v>753</v>
      </c>
      <c r="D114" s="62"/>
    </row>
    <row r="115" spans="1:4" ht="16.149999999999999" customHeight="1" x14ac:dyDescent="0.25">
      <c r="A115" s="61" t="s">
        <v>1243</v>
      </c>
      <c r="B115" s="54" t="s">
        <v>1244</v>
      </c>
      <c r="C115" s="55" t="s">
        <v>962</v>
      </c>
      <c r="D115" s="62"/>
    </row>
    <row r="116" spans="1:4" ht="16.149999999999999" customHeight="1" x14ac:dyDescent="0.25">
      <c r="A116" s="61" t="s">
        <v>1245</v>
      </c>
      <c r="B116" s="54" t="s">
        <v>1246</v>
      </c>
      <c r="C116" s="55" t="s">
        <v>962</v>
      </c>
      <c r="D116" s="62"/>
    </row>
    <row r="117" spans="1:4" ht="16.149999999999999" customHeight="1" x14ac:dyDescent="0.25">
      <c r="A117" s="61" t="s">
        <v>1247</v>
      </c>
      <c r="B117" s="54" t="s">
        <v>1248</v>
      </c>
      <c r="C117" s="55" t="s">
        <v>877</v>
      </c>
      <c r="D117" s="62"/>
    </row>
    <row r="118" spans="1:4" ht="16.149999999999999" customHeight="1" x14ac:dyDescent="0.25">
      <c r="A118" s="61" t="s">
        <v>888</v>
      </c>
      <c r="B118" s="54" t="s">
        <v>1249</v>
      </c>
      <c r="C118" s="55" t="s">
        <v>689</v>
      </c>
      <c r="D118" s="62"/>
    </row>
    <row r="120" spans="1:4" x14ac:dyDescent="0.25">
      <c r="A120" s="4" t="s">
        <v>894</v>
      </c>
      <c r="B120" s="5"/>
      <c r="C120" s="5"/>
      <c r="D120" s="5"/>
    </row>
    <row r="121" spans="1:4" ht="16.149999999999999" customHeight="1" x14ac:dyDescent="0.25">
      <c r="A121" s="53" t="s">
        <v>1250</v>
      </c>
      <c r="B121" s="54" t="s">
        <v>1251</v>
      </c>
      <c r="C121" s="62"/>
      <c r="D121" s="62"/>
    </row>
    <row r="122" spans="1:4" ht="29.45" customHeight="1" x14ac:dyDescent="0.25">
      <c r="A122" s="53" t="s">
        <v>1252</v>
      </c>
      <c r="B122" s="54" t="s">
        <v>1253</v>
      </c>
      <c r="C122" s="28" t="s">
        <v>897</v>
      </c>
      <c r="D122" s="62"/>
    </row>
    <row r="123" spans="1:4" ht="16.149999999999999" customHeight="1" x14ac:dyDescent="0.25">
      <c r="A123" s="53" t="s">
        <v>1254</v>
      </c>
      <c r="B123" s="54" t="s">
        <v>1255</v>
      </c>
      <c r="C123" s="28" t="s">
        <v>897</v>
      </c>
      <c r="D123" s="62"/>
    </row>
    <row r="124" spans="1:4" ht="29.45" customHeight="1" x14ac:dyDescent="0.25">
      <c r="A124" s="53" t="s">
        <v>1256</v>
      </c>
      <c r="B124" s="54" t="s">
        <v>1257</v>
      </c>
      <c r="C124" s="28" t="s">
        <v>897</v>
      </c>
      <c r="D124" s="62"/>
    </row>
    <row r="125" spans="1:4" ht="29.45" customHeight="1" x14ac:dyDescent="0.25">
      <c r="A125" s="53" t="s">
        <v>1258</v>
      </c>
      <c r="B125" s="54" t="s">
        <v>1259</v>
      </c>
      <c r="C125" s="28" t="s">
        <v>897</v>
      </c>
      <c r="D125" s="62"/>
    </row>
    <row r="126" spans="1:4" ht="29.45" customHeight="1" x14ac:dyDescent="0.25">
      <c r="A126" s="53" t="s">
        <v>1260</v>
      </c>
      <c r="B126" s="54" t="s">
        <v>1261</v>
      </c>
      <c r="C126" s="28" t="s">
        <v>897</v>
      </c>
      <c r="D126" s="62"/>
    </row>
    <row r="127" spans="1:4" ht="29.45" customHeight="1" x14ac:dyDescent="0.25">
      <c r="A127" s="53" t="s">
        <v>1262</v>
      </c>
      <c r="B127" s="54" t="s">
        <v>1263</v>
      </c>
      <c r="C127" s="28" t="s">
        <v>897</v>
      </c>
      <c r="D127" s="62"/>
    </row>
    <row r="128" spans="1:4" ht="16.149999999999999" customHeight="1" x14ac:dyDescent="0.25">
      <c r="A128" s="53" t="s">
        <v>1264</v>
      </c>
      <c r="B128" s="54" t="s">
        <v>1265</v>
      </c>
      <c r="C128" s="28" t="s">
        <v>897</v>
      </c>
      <c r="D128" s="62"/>
    </row>
    <row r="129" spans="1:4" ht="29.45" customHeight="1" x14ac:dyDescent="0.25">
      <c r="A129" s="53" t="s">
        <v>1266</v>
      </c>
      <c r="B129" s="54" t="s">
        <v>1267</v>
      </c>
      <c r="C129" s="28" t="s">
        <v>897</v>
      </c>
      <c r="D129" s="62"/>
    </row>
    <row r="130" spans="1:4" ht="29.45" customHeight="1" x14ac:dyDescent="0.25">
      <c r="A130" s="53" t="s">
        <v>1268</v>
      </c>
      <c r="B130" s="54" t="s">
        <v>1269</v>
      </c>
      <c r="C130" s="28" t="s">
        <v>897</v>
      </c>
      <c r="D130" s="62"/>
    </row>
    <row r="131" spans="1:4" ht="29.45" customHeight="1" x14ac:dyDescent="0.25">
      <c r="A131" s="53" t="s">
        <v>1270</v>
      </c>
      <c r="B131" s="54" t="s">
        <v>1271</v>
      </c>
      <c r="C131" s="28" t="s">
        <v>897</v>
      </c>
      <c r="D131" s="62"/>
    </row>
    <row r="132" spans="1:4" ht="29.45" customHeight="1" x14ac:dyDescent="0.25">
      <c r="A132" s="53" t="s">
        <v>1272</v>
      </c>
      <c r="B132" s="54" t="s">
        <v>1273</v>
      </c>
      <c r="C132" s="28" t="s">
        <v>897</v>
      </c>
      <c r="D132" s="62"/>
    </row>
    <row r="134" spans="1:4" x14ac:dyDescent="0.25">
      <c r="A134" s="4" t="s">
        <v>926</v>
      </c>
      <c r="B134" s="5"/>
      <c r="C134" s="5"/>
      <c r="D134" s="5"/>
    </row>
    <row r="135" spans="1:4" ht="29.45" customHeight="1" x14ac:dyDescent="0.25">
      <c r="B135" s="52" t="s">
        <v>1274</v>
      </c>
    </row>
    <row r="136" spans="1:4" ht="29.45" customHeight="1" x14ac:dyDescent="0.25">
      <c r="B136" s="52" t="s">
        <v>1275</v>
      </c>
    </row>
    <row r="137" spans="1:4" ht="29.45" customHeight="1" x14ac:dyDescent="0.25">
      <c r="B137" s="52" t="s">
        <v>1276</v>
      </c>
    </row>
    <row r="138" spans="1:4" ht="29.45" customHeight="1" x14ac:dyDescent="0.25">
      <c r="B138" s="52" t="s">
        <v>1277</v>
      </c>
    </row>
    <row r="139" spans="1:4" ht="16.149999999999999" customHeight="1" x14ac:dyDescent="0.25">
      <c r="B139" s="52" t="s">
        <v>1278</v>
      </c>
    </row>
    <row r="140" spans="1:4" ht="16.149999999999999" customHeight="1" x14ac:dyDescent="0.25">
      <c r="B140" s="52" t="s">
        <v>1279</v>
      </c>
    </row>
    <row r="141" spans="1:4" ht="29.45" customHeight="1" x14ac:dyDescent="0.25">
      <c r="B141" s="52" t="s">
        <v>1280</v>
      </c>
    </row>
    <row r="142" spans="1:4" ht="29.45" customHeight="1" x14ac:dyDescent="0.25">
      <c r="B142" s="52" t="s">
        <v>1281</v>
      </c>
    </row>
    <row r="143" spans="1:4" ht="16.149999999999999" customHeight="1" x14ac:dyDescent="0.25">
      <c r="B143" s="52" t="s">
        <v>1282</v>
      </c>
    </row>
  </sheetData>
  <hyperlinks>
    <hyperlink ref="D1" location="'Monitor'!A8" display="&lt;&lt; Monitor" xr:uid="{00000000-0004-0000-0B00-000000000000}"/>
    <hyperlink ref="C122" r:id="rId1" xr:uid="{00000000-0004-0000-0B00-000001000000}"/>
    <hyperlink ref="C123" r:id="rId2" xr:uid="{00000000-0004-0000-0B00-000002000000}"/>
    <hyperlink ref="C124" r:id="rId3" xr:uid="{00000000-0004-0000-0B00-000003000000}"/>
    <hyperlink ref="C125" r:id="rId4" xr:uid="{00000000-0004-0000-0B00-000004000000}"/>
    <hyperlink ref="C126" r:id="rId5" xr:uid="{00000000-0004-0000-0B00-000005000000}"/>
    <hyperlink ref="C127" r:id="rId6" xr:uid="{00000000-0004-0000-0B00-000006000000}"/>
    <hyperlink ref="C128" r:id="rId7" xr:uid="{00000000-0004-0000-0B00-000007000000}"/>
    <hyperlink ref="C129" r:id="rId8" xr:uid="{00000000-0004-0000-0B00-000008000000}"/>
    <hyperlink ref="C130" r:id="rId9" xr:uid="{00000000-0004-0000-0B00-000009000000}"/>
    <hyperlink ref="C131" r:id="rId10" xr:uid="{00000000-0004-0000-0B00-00000A000000}"/>
    <hyperlink ref="C132" r:id="rId11" xr:uid="{00000000-0004-0000-0B00-00000B000000}"/>
  </hyperlink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D126"/>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200</v>
      </c>
      <c r="D1" s="41" t="s">
        <v>667</v>
      </c>
    </row>
    <row r="2" spans="1:4" x14ac:dyDescent="0.25">
      <c r="A2" s="2" t="s">
        <v>1283</v>
      </c>
    </row>
    <row r="4" spans="1:4" x14ac:dyDescent="0.25">
      <c r="A4" s="42" t="s">
        <v>9</v>
      </c>
      <c r="B4" s="43">
        <f>Monitor!H9</f>
        <v>98.998999999999995</v>
      </c>
    </row>
    <row r="5" spans="1:4" x14ac:dyDescent="0.25">
      <c r="A5" s="42" t="s">
        <v>11</v>
      </c>
      <c r="B5" s="44">
        <f>Monitor!J9</f>
        <v>7.6225604360279799</v>
      </c>
    </row>
    <row r="6" spans="1:4" x14ac:dyDescent="0.25">
      <c r="A6" s="42" t="s">
        <v>8</v>
      </c>
      <c r="B6" s="45">
        <f>Monitor!G9</f>
        <v>12639.5</v>
      </c>
    </row>
    <row r="7" spans="1:4" x14ac:dyDescent="0.25">
      <c r="A7" s="42" t="s">
        <v>14</v>
      </c>
      <c r="B7" s="46">
        <f>Monitor!M9</f>
        <v>-126.52139500000061</v>
      </c>
    </row>
    <row r="8" spans="1:4" x14ac:dyDescent="0.25">
      <c r="A8" s="42" t="s">
        <v>15</v>
      </c>
      <c r="B8" s="47">
        <f>Monitor!N9</f>
        <v>-1.0010000000000048E-2</v>
      </c>
    </row>
    <row r="9" spans="1:4" x14ac:dyDescent="0.25">
      <c r="A9" s="42" t="s">
        <v>669</v>
      </c>
      <c r="B9" s="46">
        <f>Monitor!O9</f>
        <v>-70.275620000001467</v>
      </c>
    </row>
    <row r="10" spans="1:4" x14ac:dyDescent="0.25">
      <c r="A10" s="42" t="s">
        <v>20</v>
      </c>
      <c r="B10" s="48">
        <f>Monitor!S9</f>
        <v>46233</v>
      </c>
    </row>
    <row r="11" spans="1:4" x14ac:dyDescent="0.25">
      <c r="A11" s="42" t="s">
        <v>670</v>
      </c>
      <c r="B11" s="49">
        <f>Monitor!W9</f>
        <v>130.43094291458971</v>
      </c>
    </row>
    <row r="12" spans="1:4" x14ac:dyDescent="0.25">
      <c r="A12" s="42" t="s">
        <v>671</v>
      </c>
      <c r="B12" s="50" t="str">
        <f>Monitor!F9</f>
        <v>NR/A+/AA-</v>
      </c>
    </row>
    <row r="13" spans="1:4" x14ac:dyDescent="0.25">
      <c r="A13" s="42" t="s">
        <v>4</v>
      </c>
      <c r="B13" s="50" t="str">
        <f>Monitor!C9</f>
        <v>Meta</v>
      </c>
    </row>
    <row r="15" spans="1:4" x14ac:dyDescent="0.25">
      <c r="A15" s="4" t="s">
        <v>672</v>
      </c>
      <c r="B15" s="5"/>
      <c r="C15" s="5"/>
      <c r="D15" s="5"/>
    </row>
    <row r="16" spans="1:4" ht="82.15" customHeight="1" x14ac:dyDescent="0.25">
      <c r="A16" s="51" t="s">
        <v>192</v>
      </c>
      <c r="B16" s="52" t="s">
        <v>201</v>
      </c>
    </row>
    <row r="18" spans="1:4" x14ac:dyDescent="0.25">
      <c r="A18" s="4" t="s">
        <v>673</v>
      </c>
      <c r="B18" s="5"/>
      <c r="C18" s="4" t="s">
        <v>674</v>
      </c>
      <c r="D18" s="4" t="s">
        <v>675</v>
      </c>
    </row>
    <row r="19" spans="1:4" ht="16.149999999999999" customHeight="1" x14ac:dyDescent="0.25">
      <c r="A19" s="53" t="s">
        <v>1118</v>
      </c>
      <c r="B19" s="54" t="s">
        <v>1284</v>
      </c>
      <c r="C19" s="55" t="s">
        <v>684</v>
      </c>
      <c r="D19" s="56" t="s">
        <v>679</v>
      </c>
    </row>
    <row r="20" spans="1:4" ht="29.45" customHeight="1" x14ac:dyDescent="0.25">
      <c r="A20" s="53" t="s">
        <v>695</v>
      </c>
      <c r="B20" s="54" t="s">
        <v>1285</v>
      </c>
      <c r="C20" s="55" t="s">
        <v>684</v>
      </c>
      <c r="D20" s="56" t="s">
        <v>679</v>
      </c>
    </row>
    <row r="21" spans="1:4" ht="16.149999999999999" customHeight="1" x14ac:dyDescent="0.25">
      <c r="A21" s="53" t="s">
        <v>1286</v>
      </c>
      <c r="B21" s="54" t="s">
        <v>1287</v>
      </c>
      <c r="C21" s="55" t="s">
        <v>684</v>
      </c>
      <c r="D21" s="56" t="s">
        <v>679</v>
      </c>
    </row>
    <row r="22" spans="1:4" ht="29.45" customHeight="1" x14ac:dyDescent="0.25">
      <c r="A22" s="53" t="s">
        <v>1123</v>
      </c>
      <c r="B22" s="54" t="s">
        <v>1288</v>
      </c>
      <c r="C22" s="55" t="s">
        <v>753</v>
      </c>
      <c r="D22" s="59" t="s">
        <v>748</v>
      </c>
    </row>
    <row r="23" spans="1:4" ht="16.149999999999999" customHeight="1" x14ac:dyDescent="0.25">
      <c r="A23" s="53" t="s">
        <v>1289</v>
      </c>
      <c r="B23" s="54" t="s">
        <v>1290</v>
      </c>
      <c r="C23" s="55" t="s">
        <v>1131</v>
      </c>
      <c r="D23" s="58" t="s">
        <v>698</v>
      </c>
    </row>
    <row r="24" spans="1:4" ht="29.45" customHeight="1" x14ac:dyDescent="0.25">
      <c r="A24" s="53" t="s">
        <v>1291</v>
      </c>
      <c r="B24" s="54" t="s">
        <v>1292</v>
      </c>
      <c r="C24" s="55" t="s">
        <v>1131</v>
      </c>
      <c r="D24" s="58" t="s">
        <v>698</v>
      </c>
    </row>
    <row r="26" spans="1:4" x14ac:dyDescent="0.25">
      <c r="A26" s="4" t="s">
        <v>717</v>
      </c>
      <c r="B26" s="5"/>
      <c r="C26" s="4" t="s">
        <v>674</v>
      </c>
      <c r="D26" s="4" t="s">
        <v>675</v>
      </c>
    </row>
    <row r="27" spans="1:4" ht="29.45" customHeight="1" x14ac:dyDescent="0.25">
      <c r="A27" s="53" t="s">
        <v>1293</v>
      </c>
      <c r="B27" s="54" t="s">
        <v>1294</v>
      </c>
      <c r="C27" s="55" t="s">
        <v>689</v>
      </c>
      <c r="D27" s="57" t="s">
        <v>690</v>
      </c>
    </row>
    <row r="28" spans="1:4" ht="42.6" customHeight="1" x14ac:dyDescent="0.25">
      <c r="A28" s="53" t="s">
        <v>1295</v>
      </c>
      <c r="B28" s="54" t="s">
        <v>1296</v>
      </c>
      <c r="C28" s="55" t="s">
        <v>678</v>
      </c>
      <c r="D28" s="56" t="s">
        <v>679</v>
      </c>
    </row>
    <row r="29" spans="1:4" ht="29.45" customHeight="1" x14ac:dyDescent="0.25">
      <c r="A29" s="53" t="s">
        <v>1297</v>
      </c>
      <c r="B29" s="54" t="s">
        <v>1298</v>
      </c>
      <c r="C29" s="55" t="s">
        <v>689</v>
      </c>
      <c r="D29" s="59" t="s">
        <v>748</v>
      </c>
    </row>
    <row r="30" spans="1:4" ht="42.6" customHeight="1" x14ac:dyDescent="0.25">
      <c r="A30" s="53" t="s">
        <v>1299</v>
      </c>
      <c r="B30" s="54" t="s">
        <v>1300</v>
      </c>
      <c r="C30" s="55" t="s">
        <v>877</v>
      </c>
      <c r="D30" s="59" t="s">
        <v>748</v>
      </c>
    </row>
    <row r="31" spans="1:4" ht="29.45" customHeight="1" x14ac:dyDescent="0.25">
      <c r="A31" s="53" t="s">
        <v>1301</v>
      </c>
      <c r="B31" s="54" t="s">
        <v>1302</v>
      </c>
      <c r="C31" s="55" t="s">
        <v>678</v>
      </c>
      <c r="D31" s="56" t="s">
        <v>679</v>
      </c>
    </row>
    <row r="33" spans="1:4" x14ac:dyDescent="0.25">
      <c r="A33" s="4" t="s">
        <v>728</v>
      </c>
      <c r="B33" s="5"/>
      <c r="C33" s="4" t="s">
        <v>674</v>
      </c>
      <c r="D33" s="4" t="s">
        <v>675</v>
      </c>
    </row>
    <row r="34" spans="1:4" ht="29.45" customHeight="1" x14ac:dyDescent="0.25">
      <c r="A34" s="53" t="s">
        <v>729</v>
      </c>
      <c r="B34" s="54" t="s">
        <v>1303</v>
      </c>
      <c r="C34" s="55" t="s">
        <v>689</v>
      </c>
      <c r="D34" s="59" t="s">
        <v>748</v>
      </c>
    </row>
    <row r="35" spans="1:4" ht="29.45" customHeight="1" x14ac:dyDescent="0.25">
      <c r="A35" s="53" t="s">
        <v>1304</v>
      </c>
      <c r="B35" s="54" t="s">
        <v>1305</v>
      </c>
      <c r="C35" s="55" t="s">
        <v>753</v>
      </c>
      <c r="D35" s="59" t="s">
        <v>748</v>
      </c>
    </row>
    <row r="37" spans="1:4" x14ac:dyDescent="0.25">
      <c r="A37" s="4" t="s">
        <v>740</v>
      </c>
      <c r="B37" s="5"/>
      <c r="C37" s="4" t="s">
        <v>674</v>
      </c>
      <c r="D37" s="4" t="s">
        <v>675</v>
      </c>
    </row>
    <row r="38" spans="1:4" ht="16.149999999999999" customHeight="1" x14ac:dyDescent="0.25">
      <c r="A38" s="53" t="s">
        <v>4</v>
      </c>
      <c r="B38" s="54" t="s">
        <v>1306</v>
      </c>
      <c r="C38" s="55" t="s">
        <v>877</v>
      </c>
      <c r="D38" s="59" t="s">
        <v>748</v>
      </c>
    </row>
    <row r="39" spans="1:4" ht="29.45" customHeight="1" x14ac:dyDescent="0.25">
      <c r="A39" s="53" t="s">
        <v>1307</v>
      </c>
      <c r="B39" s="54" t="s">
        <v>1308</v>
      </c>
      <c r="C39" s="55" t="s">
        <v>689</v>
      </c>
      <c r="D39" s="59" t="s">
        <v>748</v>
      </c>
    </row>
    <row r="40" spans="1:4" ht="42.6" customHeight="1" x14ac:dyDescent="0.25">
      <c r="A40" s="53" t="s">
        <v>1309</v>
      </c>
      <c r="B40" s="54" t="s">
        <v>1310</v>
      </c>
      <c r="C40" s="55" t="s">
        <v>877</v>
      </c>
      <c r="D40" s="59" t="s">
        <v>748</v>
      </c>
    </row>
    <row r="41" spans="1:4" ht="29.45" customHeight="1" x14ac:dyDescent="0.25">
      <c r="A41" s="53" t="s">
        <v>1311</v>
      </c>
      <c r="B41" s="54" t="s">
        <v>1312</v>
      </c>
      <c r="C41" s="55" t="s">
        <v>877</v>
      </c>
      <c r="D41" s="59" t="s">
        <v>748</v>
      </c>
    </row>
    <row r="42" spans="1:4" ht="16.149999999999999" customHeight="1" x14ac:dyDescent="0.25">
      <c r="A42" s="53" t="s">
        <v>1313</v>
      </c>
      <c r="B42" s="54" t="s">
        <v>1314</v>
      </c>
      <c r="C42" s="55" t="s">
        <v>1131</v>
      </c>
      <c r="D42" s="58" t="s">
        <v>698</v>
      </c>
    </row>
    <row r="44" spans="1:4" x14ac:dyDescent="0.25">
      <c r="A44" s="4" t="s">
        <v>762</v>
      </c>
      <c r="B44" s="5"/>
      <c r="C44" s="4" t="s">
        <v>674</v>
      </c>
      <c r="D44" s="4" t="s">
        <v>675</v>
      </c>
    </row>
    <row r="45" spans="1:4" ht="29.45" customHeight="1" x14ac:dyDescent="0.25">
      <c r="A45" s="53" t="s">
        <v>1315</v>
      </c>
      <c r="B45" s="54" t="s">
        <v>1316</v>
      </c>
      <c r="C45" s="55" t="s">
        <v>753</v>
      </c>
      <c r="D45" s="59" t="s">
        <v>748</v>
      </c>
    </row>
    <row r="46" spans="1:4" ht="29.45" customHeight="1" x14ac:dyDescent="0.25">
      <c r="A46" s="53" t="s">
        <v>1317</v>
      </c>
      <c r="B46" s="54" t="s">
        <v>1318</v>
      </c>
      <c r="C46" s="55" t="s">
        <v>753</v>
      </c>
      <c r="D46" s="59" t="s">
        <v>748</v>
      </c>
    </row>
    <row r="47" spans="1:4" ht="29.45" customHeight="1" x14ac:dyDescent="0.25">
      <c r="A47" s="53" t="s">
        <v>1319</v>
      </c>
      <c r="B47" s="54" t="s">
        <v>1320</v>
      </c>
      <c r="C47" s="55" t="s">
        <v>731</v>
      </c>
      <c r="D47" s="59" t="s">
        <v>748</v>
      </c>
    </row>
    <row r="48" spans="1:4" ht="16.149999999999999" customHeight="1" x14ac:dyDescent="0.25">
      <c r="A48" s="53" t="s">
        <v>1321</v>
      </c>
      <c r="B48" s="54" t="s">
        <v>1322</v>
      </c>
      <c r="C48" s="55" t="s">
        <v>753</v>
      </c>
      <c r="D48" s="57" t="s">
        <v>690</v>
      </c>
    </row>
    <row r="50" spans="1:4" x14ac:dyDescent="0.25">
      <c r="A50" s="4" t="s">
        <v>773</v>
      </c>
      <c r="B50" s="5"/>
      <c r="C50" s="4" t="s">
        <v>674</v>
      </c>
      <c r="D50" s="4" t="s">
        <v>675</v>
      </c>
    </row>
    <row r="51" spans="1:4" ht="42.6" customHeight="1" x14ac:dyDescent="0.25">
      <c r="A51" s="53" t="s">
        <v>1323</v>
      </c>
      <c r="B51" s="54" t="s">
        <v>1324</v>
      </c>
      <c r="C51" s="55" t="s">
        <v>776</v>
      </c>
      <c r="D51" s="59" t="s">
        <v>748</v>
      </c>
    </row>
    <row r="52" spans="1:4" ht="29.45" customHeight="1" x14ac:dyDescent="0.25">
      <c r="A52" s="53" t="s">
        <v>1325</v>
      </c>
      <c r="B52" s="54" t="s">
        <v>1326</v>
      </c>
      <c r="C52" s="55" t="s">
        <v>776</v>
      </c>
      <c r="D52" s="59" t="s">
        <v>748</v>
      </c>
    </row>
    <row r="53" spans="1:4" ht="29.45" customHeight="1" x14ac:dyDescent="0.25">
      <c r="A53" s="53" t="s">
        <v>1327</v>
      </c>
      <c r="B53" s="54" t="s">
        <v>1328</v>
      </c>
      <c r="C53" s="55" t="s">
        <v>753</v>
      </c>
      <c r="D53" s="59" t="s">
        <v>748</v>
      </c>
    </row>
    <row r="54" spans="1:4" ht="29.45" customHeight="1" x14ac:dyDescent="0.25">
      <c r="A54" s="53" t="s">
        <v>1329</v>
      </c>
      <c r="B54" s="54" t="s">
        <v>1330</v>
      </c>
      <c r="C54" s="55" t="s">
        <v>731</v>
      </c>
      <c r="D54" s="59" t="s">
        <v>748</v>
      </c>
    </row>
    <row r="56" spans="1:4" x14ac:dyDescent="0.25">
      <c r="A56" s="4" t="s">
        <v>781</v>
      </c>
      <c r="B56" s="5"/>
      <c r="C56" s="4" t="s">
        <v>674</v>
      </c>
      <c r="D56" s="4" t="s">
        <v>675</v>
      </c>
    </row>
    <row r="57" spans="1:4" ht="16.149999999999999" customHeight="1" x14ac:dyDescent="0.25">
      <c r="A57" s="53" t="s">
        <v>1176</v>
      </c>
      <c r="B57" s="54" t="s">
        <v>1331</v>
      </c>
      <c r="C57" s="55" t="s">
        <v>689</v>
      </c>
      <c r="D57" s="59" t="s">
        <v>748</v>
      </c>
    </row>
    <row r="58" spans="1:4" ht="29.45" customHeight="1" x14ac:dyDescent="0.25">
      <c r="A58" s="53" t="s">
        <v>1000</v>
      </c>
      <c r="B58" s="54" t="s">
        <v>1332</v>
      </c>
      <c r="C58" s="55" t="s">
        <v>753</v>
      </c>
      <c r="D58" s="59" t="s">
        <v>748</v>
      </c>
    </row>
    <row r="59" spans="1:4" ht="16.149999999999999" customHeight="1" x14ac:dyDescent="0.25">
      <c r="A59" s="53" t="s">
        <v>1003</v>
      </c>
      <c r="B59" s="54" t="s">
        <v>1333</v>
      </c>
      <c r="C59" s="55" t="s">
        <v>877</v>
      </c>
      <c r="D59" s="59" t="s">
        <v>748</v>
      </c>
    </row>
    <row r="60" spans="1:4" ht="16.149999999999999" customHeight="1" x14ac:dyDescent="0.25">
      <c r="A60" s="53" t="s">
        <v>784</v>
      </c>
      <c r="B60" s="54" t="s">
        <v>1334</v>
      </c>
      <c r="C60" s="55" t="s">
        <v>877</v>
      </c>
      <c r="D60" s="59" t="s">
        <v>748</v>
      </c>
    </row>
    <row r="62" spans="1:4" x14ac:dyDescent="0.25">
      <c r="A62" s="4" t="s">
        <v>792</v>
      </c>
      <c r="B62" s="5"/>
      <c r="C62" s="4" t="s">
        <v>674</v>
      </c>
      <c r="D62" s="4" t="s">
        <v>675</v>
      </c>
    </row>
    <row r="63" spans="1:4" ht="29.45" customHeight="1" x14ac:dyDescent="0.25">
      <c r="A63" s="53" t="s">
        <v>1335</v>
      </c>
      <c r="B63" s="54" t="s">
        <v>1336</v>
      </c>
      <c r="C63" s="55" t="s">
        <v>689</v>
      </c>
      <c r="D63" s="59" t="s">
        <v>748</v>
      </c>
    </row>
    <row r="64" spans="1:4" ht="16.149999999999999" customHeight="1" x14ac:dyDescent="0.25">
      <c r="A64" s="53" t="s">
        <v>1337</v>
      </c>
      <c r="B64" s="54" t="s">
        <v>1338</v>
      </c>
      <c r="C64" s="55" t="s">
        <v>1131</v>
      </c>
      <c r="D64" s="58" t="s">
        <v>698</v>
      </c>
    </row>
    <row r="65" spans="1:4" ht="16.149999999999999" customHeight="1" x14ac:dyDescent="0.25">
      <c r="A65" s="53" t="s">
        <v>1339</v>
      </c>
      <c r="B65" s="54" t="s">
        <v>1340</v>
      </c>
      <c r="C65" s="55" t="s">
        <v>877</v>
      </c>
      <c r="D65" s="59" t="s">
        <v>748</v>
      </c>
    </row>
    <row r="67" spans="1:4" x14ac:dyDescent="0.25">
      <c r="A67" s="4" t="s">
        <v>804</v>
      </c>
      <c r="B67" s="5"/>
      <c r="C67" s="4" t="s">
        <v>674</v>
      </c>
      <c r="D67" s="4" t="s">
        <v>675</v>
      </c>
    </row>
    <row r="68" spans="1:4" ht="29.45" customHeight="1" x14ac:dyDescent="0.25">
      <c r="A68" s="53" t="s">
        <v>1189</v>
      </c>
      <c r="B68" s="54" t="s">
        <v>1341</v>
      </c>
      <c r="C68" s="55" t="s">
        <v>678</v>
      </c>
      <c r="D68" s="56" t="s">
        <v>679</v>
      </c>
    </row>
    <row r="69" spans="1:4" ht="16.149999999999999" customHeight="1" x14ac:dyDescent="0.25">
      <c r="A69" s="53" t="s">
        <v>1342</v>
      </c>
      <c r="B69" s="54" t="s">
        <v>1343</v>
      </c>
      <c r="C69" s="55" t="s">
        <v>877</v>
      </c>
      <c r="D69" s="59" t="s">
        <v>748</v>
      </c>
    </row>
    <row r="70" spans="1:4" ht="29.45" customHeight="1" x14ac:dyDescent="0.25">
      <c r="A70" s="53" t="s">
        <v>1344</v>
      </c>
      <c r="B70" s="54" t="s">
        <v>1345</v>
      </c>
      <c r="C70" s="55" t="s">
        <v>678</v>
      </c>
      <c r="D70" s="56" t="s">
        <v>679</v>
      </c>
    </row>
    <row r="72" spans="1:4" x14ac:dyDescent="0.25">
      <c r="A72" s="4" t="s">
        <v>813</v>
      </c>
      <c r="B72" s="5"/>
      <c r="C72" s="4" t="s">
        <v>674</v>
      </c>
      <c r="D72" s="4" t="s">
        <v>675</v>
      </c>
    </row>
    <row r="73" spans="1:4" ht="16.149999999999999" customHeight="1" x14ac:dyDescent="0.25">
      <c r="A73" s="53" t="s">
        <v>1197</v>
      </c>
      <c r="B73" s="54" t="s">
        <v>1346</v>
      </c>
      <c r="C73" s="55" t="s">
        <v>877</v>
      </c>
      <c r="D73" s="59" t="s">
        <v>748</v>
      </c>
    </row>
    <row r="75" spans="1:4" x14ac:dyDescent="0.25">
      <c r="A75" s="4" t="s">
        <v>826</v>
      </c>
      <c r="B75" s="5"/>
      <c r="C75" s="4" t="s">
        <v>674</v>
      </c>
      <c r="D75" s="4" t="s">
        <v>675</v>
      </c>
    </row>
    <row r="76" spans="1:4" ht="29.45" customHeight="1" x14ac:dyDescent="0.25">
      <c r="A76" s="53" t="s">
        <v>1029</v>
      </c>
      <c r="B76" s="54" t="s">
        <v>1347</v>
      </c>
      <c r="C76" s="55" t="s">
        <v>877</v>
      </c>
      <c r="D76" s="59" t="s">
        <v>748</v>
      </c>
    </row>
    <row r="77" spans="1:4" ht="29.45" customHeight="1" x14ac:dyDescent="0.25">
      <c r="A77" s="53" t="s">
        <v>1031</v>
      </c>
      <c r="B77" s="54" t="s">
        <v>1348</v>
      </c>
      <c r="C77" s="55" t="s">
        <v>877</v>
      </c>
      <c r="D77" s="59" t="s">
        <v>748</v>
      </c>
    </row>
    <row r="78" spans="1:4" ht="16.149999999999999" customHeight="1" x14ac:dyDescent="0.25">
      <c r="A78" s="53" t="s">
        <v>827</v>
      </c>
      <c r="B78" s="54" t="s">
        <v>1349</v>
      </c>
      <c r="C78" s="55" t="s">
        <v>1131</v>
      </c>
      <c r="D78" s="58" t="s">
        <v>698</v>
      </c>
    </row>
    <row r="79" spans="1:4" ht="16.149999999999999" customHeight="1" x14ac:dyDescent="0.25">
      <c r="A79" s="53" t="s">
        <v>1034</v>
      </c>
      <c r="B79" s="54" t="s">
        <v>1350</v>
      </c>
      <c r="C79" s="55" t="s">
        <v>877</v>
      </c>
      <c r="D79" s="60" t="s">
        <v>803</v>
      </c>
    </row>
    <row r="81" spans="1:4" x14ac:dyDescent="0.25">
      <c r="A81" s="4" t="s">
        <v>833</v>
      </c>
      <c r="B81" s="5"/>
      <c r="C81" s="4" t="s">
        <v>674</v>
      </c>
      <c r="D81" s="4" t="s">
        <v>675</v>
      </c>
    </row>
    <row r="82" spans="1:4" ht="16.149999999999999" customHeight="1" x14ac:dyDescent="0.25">
      <c r="A82" s="53" t="s">
        <v>1205</v>
      </c>
      <c r="B82" s="54" t="s">
        <v>1351</v>
      </c>
      <c r="C82" s="55" t="s">
        <v>689</v>
      </c>
      <c r="D82" s="59" t="s">
        <v>748</v>
      </c>
    </row>
    <row r="84" spans="1:4" x14ac:dyDescent="0.25">
      <c r="A84" s="4" t="s">
        <v>836</v>
      </c>
      <c r="B84" s="5"/>
      <c r="C84" s="4" t="s">
        <v>674</v>
      </c>
      <c r="D84" s="4" t="s">
        <v>675</v>
      </c>
    </row>
    <row r="85" spans="1:4" ht="29.45" customHeight="1" x14ac:dyDescent="0.25">
      <c r="A85" s="53" t="s">
        <v>1047</v>
      </c>
      <c r="B85" s="54" t="s">
        <v>1352</v>
      </c>
      <c r="C85" s="55" t="s">
        <v>776</v>
      </c>
      <c r="D85" s="59" t="s">
        <v>748</v>
      </c>
    </row>
    <row r="86" spans="1:4" ht="16.149999999999999" customHeight="1" x14ac:dyDescent="0.25">
      <c r="A86" s="53" t="s">
        <v>1353</v>
      </c>
      <c r="B86" s="54" t="s">
        <v>1354</v>
      </c>
      <c r="C86" s="55" t="s">
        <v>678</v>
      </c>
      <c r="D86" s="56" t="s">
        <v>679</v>
      </c>
    </row>
    <row r="87" spans="1:4" ht="16.149999999999999" customHeight="1" x14ac:dyDescent="0.25">
      <c r="A87" s="53" t="s">
        <v>1355</v>
      </c>
      <c r="B87" s="54" t="s">
        <v>1356</v>
      </c>
      <c r="C87" s="55" t="s">
        <v>753</v>
      </c>
      <c r="D87" s="59" t="s">
        <v>748</v>
      </c>
    </row>
    <row r="88" spans="1:4" ht="16.149999999999999" customHeight="1" x14ac:dyDescent="0.25">
      <c r="A88" s="53" t="s">
        <v>1357</v>
      </c>
      <c r="B88" s="54" t="s">
        <v>1358</v>
      </c>
      <c r="C88" s="55" t="s">
        <v>753</v>
      </c>
      <c r="D88" s="59" t="s">
        <v>748</v>
      </c>
    </row>
    <row r="89" spans="1:4" ht="16.149999999999999" customHeight="1" x14ac:dyDescent="0.25">
      <c r="A89" s="53" t="s">
        <v>1359</v>
      </c>
      <c r="B89" s="54" t="s">
        <v>1360</v>
      </c>
      <c r="C89" s="55" t="s">
        <v>877</v>
      </c>
      <c r="D89" s="59" t="s">
        <v>748</v>
      </c>
    </row>
    <row r="91" spans="1:4" x14ac:dyDescent="0.25">
      <c r="A91" s="4" t="s">
        <v>855</v>
      </c>
      <c r="B91" s="5"/>
      <c r="C91" s="4" t="s">
        <v>674</v>
      </c>
      <c r="D91" s="4" t="s">
        <v>675</v>
      </c>
    </row>
    <row r="92" spans="1:4" ht="16.149999999999999" customHeight="1" x14ac:dyDescent="0.25">
      <c r="A92" s="53" t="s">
        <v>1361</v>
      </c>
      <c r="B92" s="54" t="s">
        <v>1362</v>
      </c>
      <c r="C92" s="55" t="s">
        <v>678</v>
      </c>
      <c r="D92" s="56" t="s">
        <v>679</v>
      </c>
    </row>
    <row r="93" spans="1:4" ht="16.149999999999999" customHeight="1" x14ac:dyDescent="0.25">
      <c r="A93" s="53" t="s">
        <v>1363</v>
      </c>
      <c r="B93" s="54" t="s">
        <v>1364</v>
      </c>
      <c r="C93" s="55" t="s">
        <v>684</v>
      </c>
      <c r="D93" s="56" t="s">
        <v>679</v>
      </c>
    </row>
    <row r="94" spans="1:4" ht="16.149999999999999" customHeight="1" x14ac:dyDescent="0.25">
      <c r="A94" s="53" t="s">
        <v>1365</v>
      </c>
      <c r="B94" s="54" t="s">
        <v>1366</v>
      </c>
      <c r="C94" s="55" t="s">
        <v>1131</v>
      </c>
      <c r="D94" s="58" t="s">
        <v>698</v>
      </c>
    </row>
    <row r="96" spans="1:4" x14ac:dyDescent="0.25">
      <c r="A96" s="4" t="s">
        <v>868</v>
      </c>
      <c r="B96" s="5"/>
      <c r="C96" s="4" t="s">
        <v>674</v>
      </c>
      <c r="D96" s="5"/>
    </row>
    <row r="97" spans="1:4" ht="16.149999999999999" customHeight="1" x14ac:dyDescent="0.25">
      <c r="A97" s="61" t="s">
        <v>1367</v>
      </c>
      <c r="B97" s="54" t="s">
        <v>1368</v>
      </c>
      <c r="C97" s="55" t="s">
        <v>731</v>
      </c>
      <c r="D97" s="62"/>
    </row>
    <row r="98" spans="1:4" ht="16.149999999999999" customHeight="1" x14ac:dyDescent="0.25">
      <c r="A98" s="61" t="s">
        <v>1369</v>
      </c>
      <c r="B98" s="54" t="s">
        <v>1370</v>
      </c>
      <c r="C98" s="55" t="s">
        <v>753</v>
      </c>
      <c r="D98" s="62"/>
    </row>
    <row r="99" spans="1:4" ht="16.149999999999999" customHeight="1" x14ac:dyDescent="0.25">
      <c r="A99" s="61" t="s">
        <v>1371</v>
      </c>
      <c r="B99" s="54" t="s">
        <v>1372</v>
      </c>
      <c r="C99" s="55" t="s">
        <v>731</v>
      </c>
      <c r="D99" s="62"/>
    </row>
    <row r="100" spans="1:4" ht="16.149999999999999" customHeight="1" x14ac:dyDescent="0.25">
      <c r="A100" s="61" t="s">
        <v>1240</v>
      </c>
      <c r="B100" s="54" t="s">
        <v>1373</v>
      </c>
      <c r="C100" s="55" t="s">
        <v>753</v>
      </c>
      <c r="D100" s="62"/>
    </row>
    <row r="101" spans="1:4" ht="16.149999999999999" customHeight="1" x14ac:dyDescent="0.25">
      <c r="A101" s="61" t="s">
        <v>1374</v>
      </c>
      <c r="B101" s="54" t="s">
        <v>1375</v>
      </c>
      <c r="C101" s="55" t="s">
        <v>776</v>
      </c>
      <c r="D101" s="62"/>
    </row>
    <row r="102" spans="1:4" ht="16.149999999999999" customHeight="1" x14ac:dyDescent="0.25">
      <c r="A102" s="61" t="s">
        <v>1376</v>
      </c>
      <c r="B102" s="54" t="s">
        <v>1377</v>
      </c>
      <c r="C102" s="55" t="s">
        <v>753</v>
      </c>
      <c r="D102" s="62"/>
    </row>
    <row r="103" spans="1:4" ht="16.149999999999999" customHeight="1" x14ac:dyDescent="0.25">
      <c r="A103" s="61" t="s">
        <v>1378</v>
      </c>
      <c r="B103" s="54" t="s">
        <v>1379</v>
      </c>
      <c r="C103" s="55" t="s">
        <v>753</v>
      </c>
      <c r="D103" s="62"/>
    </row>
    <row r="104" spans="1:4" ht="16.149999999999999" customHeight="1" x14ac:dyDescent="0.25">
      <c r="A104" s="61" t="s">
        <v>884</v>
      </c>
      <c r="B104" s="54" t="s">
        <v>1380</v>
      </c>
      <c r="C104" s="55" t="s">
        <v>689</v>
      </c>
      <c r="D104" s="62"/>
    </row>
    <row r="105" spans="1:4" ht="16.149999999999999" customHeight="1" x14ac:dyDescent="0.25">
      <c r="A105" s="61" t="s">
        <v>1247</v>
      </c>
      <c r="B105" s="54" t="s">
        <v>1381</v>
      </c>
      <c r="C105" s="55" t="s">
        <v>678</v>
      </c>
      <c r="D105" s="62"/>
    </row>
    <row r="106" spans="1:4" ht="16.149999999999999" customHeight="1" x14ac:dyDescent="0.25">
      <c r="A106" s="61" t="s">
        <v>1382</v>
      </c>
      <c r="B106" s="54" t="s">
        <v>1383</v>
      </c>
      <c r="C106" s="55" t="s">
        <v>684</v>
      </c>
      <c r="D106" s="62"/>
    </row>
    <row r="108" spans="1:4" x14ac:dyDescent="0.25">
      <c r="A108" s="4" t="s">
        <v>894</v>
      </c>
      <c r="B108" s="5"/>
      <c r="C108" s="5"/>
      <c r="D108" s="5"/>
    </row>
    <row r="109" spans="1:4" ht="16.149999999999999" customHeight="1" x14ac:dyDescent="0.25">
      <c r="A109" s="53" t="s">
        <v>1250</v>
      </c>
      <c r="B109" s="54" t="s">
        <v>1251</v>
      </c>
      <c r="C109" s="62"/>
      <c r="D109" s="62"/>
    </row>
    <row r="110" spans="1:4" ht="29.45" customHeight="1" x14ac:dyDescent="0.25">
      <c r="A110" s="53" t="s">
        <v>1384</v>
      </c>
      <c r="B110" s="54" t="s">
        <v>1385</v>
      </c>
      <c r="C110" s="28" t="s">
        <v>897</v>
      </c>
      <c r="D110" s="62"/>
    </row>
    <row r="111" spans="1:4" ht="16.149999999999999" customHeight="1" x14ac:dyDescent="0.25">
      <c r="A111" s="53" t="s">
        <v>1386</v>
      </c>
      <c r="B111" s="54" t="s">
        <v>1387</v>
      </c>
      <c r="C111" s="28" t="s">
        <v>897</v>
      </c>
      <c r="D111" s="62"/>
    </row>
    <row r="112" spans="1:4" ht="29.45" customHeight="1" x14ac:dyDescent="0.25">
      <c r="A112" s="53" t="s">
        <v>1388</v>
      </c>
      <c r="B112" s="54" t="s">
        <v>1389</v>
      </c>
      <c r="C112" s="28" t="s">
        <v>897</v>
      </c>
      <c r="D112" s="62"/>
    </row>
    <row r="113" spans="1:4" ht="29.45" customHeight="1" x14ac:dyDescent="0.25">
      <c r="A113" s="53" t="s">
        <v>1390</v>
      </c>
      <c r="B113" s="54" t="s">
        <v>1391</v>
      </c>
      <c r="C113" s="28" t="s">
        <v>897</v>
      </c>
      <c r="D113" s="62"/>
    </row>
    <row r="114" spans="1:4" ht="29.45" customHeight="1" x14ac:dyDescent="0.25">
      <c r="A114" s="53" t="s">
        <v>1392</v>
      </c>
      <c r="B114" s="54" t="s">
        <v>1393</v>
      </c>
      <c r="C114" s="28" t="s">
        <v>897</v>
      </c>
      <c r="D114" s="62"/>
    </row>
    <row r="115" spans="1:4" ht="16.149999999999999" customHeight="1" x14ac:dyDescent="0.25">
      <c r="A115" s="53" t="s">
        <v>1394</v>
      </c>
      <c r="B115" s="54" t="s">
        <v>1395</v>
      </c>
      <c r="C115" s="28" t="s">
        <v>897</v>
      </c>
      <c r="D115" s="62"/>
    </row>
    <row r="116" spans="1:4" ht="16.149999999999999" customHeight="1" x14ac:dyDescent="0.25">
      <c r="A116" s="53" t="s">
        <v>1396</v>
      </c>
      <c r="B116" s="54" t="s">
        <v>1397</v>
      </c>
      <c r="C116" s="28" t="s">
        <v>897</v>
      </c>
      <c r="D116" s="62"/>
    </row>
    <row r="118" spans="1:4" x14ac:dyDescent="0.25">
      <c r="A118" s="4" t="s">
        <v>926</v>
      </c>
      <c r="B118" s="5"/>
      <c r="C118" s="5"/>
      <c r="D118" s="5"/>
    </row>
    <row r="119" spans="1:4" ht="29.45" customHeight="1" x14ac:dyDescent="0.25">
      <c r="B119" s="52" t="s">
        <v>1398</v>
      </c>
    </row>
    <row r="120" spans="1:4" ht="29.45" customHeight="1" x14ac:dyDescent="0.25">
      <c r="B120" s="52" t="s">
        <v>1399</v>
      </c>
    </row>
    <row r="121" spans="1:4" ht="29.45" customHeight="1" x14ac:dyDescent="0.25">
      <c r="B121" s="52" t="s">
        <v>1400</v>
      </c>
    </row>
    <row r="122" spans="1:4" ht="16.149999999999999" customHeight="1" x14ac:dyDescent="0.25">
      <c r="B122" s="52" t="s">
        <v>1401</v>
      </c>
    </row>
    <row r="123" spans="1:4" ht="16.149999999999999" customHeight="1" x14ac:dyDescent="0.25">
      <c r="B123" s="52" t="s">
        <v>1402</v>
      </c>
    </row>
    <row r="124" spans="1:4" ht="29.45" customHeight="1" x14ac:dyDescent="0.25">
      <c r="B124" s="52" t="s">
        <v>1403</v>
      </c>
    </row>
    <row r="125" spans="1:4" ht="16.149999999999999" customHeight="1" x14ac:dyDescent="0.25">
      <c r="B125" s="52" t="s">
        <v>1404</v>
      </c>
    </row>
    <row r="126" spans="1:4" ht="29.45" customHeight="1" x14ac:dyDescent="0.25">
      <c r="B126" s="52" t="s">
        <v>1405</v>
      </c>
    </row>
  </sheetData>
  <hyperlinks>
    <hyperlink ref="D1" location="'Monitor'!A9" display="&lt;&lt; Monitor" xr:uid="{00000000-0004-0000-0C00-000000000000}"/>
    <hyperlink ref="C110" r:id="rId1" xr:uid="{00000000-0004-0000-0C00-000001000000}"/>
    <hyperlink ref="C111" r:id="rId2" xr:uid="{00000000-0004-0000-0C00-000002000000}"/>
    <hyperlink ref="C112" r:id="rId3" xr:uid="{00000000-0004-0000-0C00-000003000000}"/>
    <hyperlink ref="C113" r:id="rId4" xr:uid="{00000000-0004-0000-0C00-000004000000}"/>
    <hyperlink ref="C114" r:id="rId5" xr:uid="{00000000-0004-0000-0C00-000005000000}"/>
    <hyperlink ref="C115" r:id="rId6" xr:uid="{00000000-0004-0000-0C00-000006000000}"/>
    <hyperlink ref="C116" r:id="rId7" xr:uid="{00000000-0004-0000-0C00-000007000000}"/>
  </hyperlink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D169"/>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202</v>
      </c>
      <c r="D1" s="41" t="s">
        <v>667</v>
      </c>
    </row>
    <row r="2" spans="1:4" x14ac:dyDescent="0.25">
      <c r="A2" s="2" t="s">
        <v>1406</v>
      </c>
    </row>
    <row r="4" spans="1:4" x14ac:dyDescent="0.25">
      <c r="A4" s="42" t="s">
        <v>9</v>
      </c>
      <c r="B4" s="43">
        <f>Monitor!H10</f>
        <v>87.247</v>
      </c>
    </row>
    <row r="5" spans="1:4" x14ac:dyDescent="0.25">
      <c r="A5" s="42" t="s">
        <v>11</v>
      </c>
      <c r="B5" s="44">
        <f>Monitor!J10</f>
        <v>8.9678815625000947</v>
      </c>
    </row>
    <row r="6" spans="1:4" x14ac:dyDescent="0.25">
      <c r="A6" s="42" t="s">
        <v>8</v>
      </c>
      <c r="B6" s="45">
        <f>Monitor!G10</f>
        <v>14000</v>
      </c>
    </row>
    <row r="7" spans="1:4" x14ac:dyDescent="0.25">
      <c r="A7" s="42" t="s">
        <v>14</v>
      </c>
      <c r="B7" s="46">
        <f>Monitor!M10</f>
        <v>-1785.42</v>
      </c>
    </row>
    <row r="8" spans="1:4" x14ac:dyDescent="0.25">
      <c r="A8" s="42" t="s">
        <v>15</v>
      </c>
      <c r="B8" s="47">
        <f>Monitor!N10</f>
        <v>-0.12753</v>
      </c>
    </row>
    <row r="9" spans="1:4" x14ac:dyDescent="0.25">
      <c r="A9" s="42" t="s">
        <v>669</v>
      </c>
      <c r="B9" s="46">
        <f>Monitor!O10</f>
        <v>-104.57999999999998</v>
      </c>
    </row>
    <row r="10" spans="1:4" x14ac:dyDescent="0.25">
      <c r="A10" s="42" t="s">
        <v>20</v>
      </c>
      <c r="B10" s="48">
        <f>Monitor!S10</f>
        <v>46142</v>
      </c>
    </row>
    <row r="11" spans="1:4" x14ac:dyDescent="0.25">
      <c r="A11" s="42" t="s">
        <v>670</v>
      </c>
      <c r="B11" s="49">
        <f>Monitor!W10</f>
        <v>125.06442063102281</v>
      </c>
    </row>
    <row r="12" spans="1:4" x14ac:dyDescent="0.25">
      <c r="A12" s="42" t="s">
        <v>671</v>
      </c>
      <c r="B12" s="50" t="str">
        <f>Monitor!F10</f>
        <v>Baa3/NR/BBB</v>
      </c>
    </row>
    <row r="13" spans="1:4" x14ac:dyDescent="0.25">
      <c r="A13" s="42" t="s">
        <v>4</v>
      </c>
      <c r="B13" s="50" t="str">
        <f>Monitor!C10</f>
        <v>Oracle</v>
      </c>
    </row>
    <row r="15" spans="1:4" x14ac:dyDescent="0.25">
      <c r="A15" s="4" t="s">
        <v>672</v>
      </c>
      <c r="B15" s="5"/>
      <c r="C15" s="5"/>
      <c r="D15" s="5"/>
    </row>
    <row r="16" spans="1:4" ht="55.9" customHeight="1" x14ac:dyDescent="0.25">
      <c r="A16" s="51" t="s">
        <v>192</v>
      </c>
      <c r="B16" s="52" t="s">
        <v>203</v>
      </c>
    </row>
    <row r="18" spans="1:4" x14ac:dyDescent="0.25">
      <c r="A18" s="4" t="s">
        <v>673</v>
      </c>
      <c r="B18" s="5"/>
      <c r="C18" s="4" t="s">
        <v>674</v>
      </c>
      <c r="D18" s="4" t="s">
        <v>675</v>
      </c>
    </row>
    <row r="19" spans="1:4" ht="29.45" customHeight="1" x14ac:dyDescent="0.25">
      <c r="A19" s="53" t="s">
        <v>676</v>
      </c>
      <c r="B19" s="54" t="s">
        <v>1407</v>
      </c>
      <c r="C19" s="55" t="s">
        <v>678</v>
      </c>
      <c r="D19" s="63" t="s">
        <v>1408</v>
      </c>
    </row>
    <row r="20" spans="1:4" ht="16.149999999999999" customHeight="1" x14ac:dyDescent="0.25">
      <c r="A20" s="53" t="s">
        <v>1409</v>
      </c>
      <c r="B20" s="54" t="s">
        <v>1410</v>
      </c>
      <c r="C20" s="55" t="s">
        <v>877</v>
      </c>
      <c r="D20" s="57" t="s">
        <v>690</v>
      </c>
    </row>
    <row r="21" spans="1:4" ht="16.149999999999999" customHeight="1" x14ac:dyDescent="0.25">
      <c r="A21" s="53" t="s">
        <v>1411</v>
      </c>
      <c r="B21" s="54" t="s">
        <v>1412</v>
      </c>
      <c r="C21" s="55" t="s">
        <v>877</v>
      </c>
      <c r="D21" s="58" t="s">
        <v>698</v>
      </c>
    </row>
    <row r="22" spans="1:4" ht="16.149999999999999" customHeight="1" x14ac:dyDescent="0.25">
      <c r="A22" s="53" t="s">
        <v>1413</v>
      </c>
      <c r="B22" s="54" t="s">
        <v>1414</v>
      </c>
      <c r="C22" s="55" t="s">
        <v>689</v>
      </c>
      <c r="D22" s="59" t="s">
        <v>748</v>
      </c>
    </row>
    <row r="23" spans="1:4" ht="29.45" customHeight="1" x14ac:dyDescent="0.25">
      <c r="A23" s="53" t="s">
        <v>1289</v>
      </c>
      <c r="B23" s="54" t="s">
        <v>1415</v>
      </c>
      <c r="C23" s="55" t="s">
        <v>678</v>
      </c>
      <c r="D23" s="58" t="s">
        <v>698</v>
      </c>
    </row>
    <row r="24" spans="1:4" ht="16.149999999999999" customHeight="1" x14ac:dyDescent="0.25">
      <c r="A24" s="53" t="s">
        <v>695</v>
      </c>
      <c r="B24" s="54" t="s">
        <v>1416</v>
      </c>
      <c r="C24" s="55" t="s">
        <v>877</v>
      </c>
      <c r="D24" s="58" t="s">
        <v>698</v>
      </c>
    </row>
    <row r="25" spans="1:4" ht="16.149999999999999" customHeight="1" x14ac:dyDescent="0.25">
      <c r="A25" s="53" t="s">
        <v>1417</v>
      </c>
      <c r="B25" s="54" t="s">
        <v>1418</v>
      </c>
      <c r="C25" s="55" t="s">
        <v>877</v>
      </c>
      <c r="D25" s="57" t="s">
        <v>690</v>
      </c>
    </row>
    <row r="26" spans="1:4" ht="29.45" customHeight="1" x14ac:dyDescent="0.25">
      <c r="A26" s="53" t="s">
        <v>1419</v>
      </c>
      <c r="B26" s="54" t="s">
        <v>1420</v>
      </c>
      <c r="C26" s="55" t="s">
        <v>877</v>
      </c>
      <c r="D26" s="57" t="s">
        <v>690</v>
      </c>
    </row>
    <row r="27" spans="1:4" ht="16.149999999999999" customHeight="1" x14ac:dyDescent="0.25">
      <c r="A27" s="53" t="s">
        <v>1421</v>
      </c>
      <c r="B27" s="54" t="s">
        <v>1422</v>
      </c>
      <c r="C27" s="55" t="s">
        <v>877</v>
      </c>
      <c r="D27" s="58" t="s">
        <v>698</v>
      </c>
    </row>
    <row r="28" spans="1:4" ht="29.45" customHeight="1" x14ac:dyDescent="0.25">
      <c r="A28" s="53" t="s">
        <v>1423</v>
      </c>
      <c r="B28" s="54" t="s">
        <v>1424</v>
      </c>
      <c r="C28" s="55" t="s">
        <v>678</v>
      </c>
      <c r="D28" s="63" t="s">
        <v>1408</v>
      </c>
    </row>
    <row r="29" spans="1:4" ht="29.45" customHeight="1" x14ac:dyDescent="0.25">
      <c r="A29" s="53" t="s">
        <v>1132</v>
      </c>
      <c r="B29" s="54" t="s">
        <v>1425</v>
      </c>
      <c r="C29" s="55" t="s">
        <v>877</v>
      </c>
      <c r="D29" s="57" t="s">
        <v>690</v>
      </c>
    </row>
    <row r="31" spans="1:4" x14ac:dyDescent="0.25">
      <c r="A31" s="4" t="s">
        <v>717</v>
      </c>
      <c r="B31" s="5"/>
      <c r="C31" s="4" t="s">
        <v>674</v>
      </c>
      <c r="D31" s="4" t="s">
        <v>675</v>
      </c>
    </row>
    <row r="32" spans="1:4" ht="16.149999999999999" customHeight="1" x14ac:dyDescent="0.25">
      <c r="A32" s="53" t="s">
        <v>1426</v>
      </c>
      <c r="B32" s="54" t="s">
        <v>1427</v>
      </c>
      <c r="C32" s="55" t="s">
        <v>678</v>
      </c>
      <c r="D32" s="63" t="s">
        <v>1408</v>
      </c>
    </row>
    <row r="33" spans="1:4" ht="29.45" customHeight="1" x14ac:dyDescent="0.25">
      <c r="A33" s="53" t="s">
        <v>1428</v>
      </c>
      <c r="B33" s="54" t="s">
        <v>1429</v>
      </c>
      <c r="C33" s="55" t="s">
        <v>753</v>
      </c>
      <c r="D33" s="57" t="s">
        <v>690</v>
      </c>
    </row>
    <row r="34" spans="1:4" ht="16.149999999999999" customHeight="1" x14ac:dyDescent="0.25">
      <c r="A34" s="53" t="s">
        <v>1430</v>
      </c>
      <c r="B34" s="54" t="s">
        <v>1431</v>
      </c>
      <c r="C34" s="55" t="s">
        <v>689</v>
      </c>
      <c r="D34" s="59" t="s">
        <v>748</v>
      </c>
    </row>
    <row r="35" spans="1:4" ht="42.6" customHeight="1" x14ac:dyDescent="0.25">
      <c r="A35" s="53" t="s">
        <v>1140</v>
      </c>
      <c r="B35" s="54" t="s">
        <v>1432</v>
      </c>
      <c r="C35" s="55" t="s">
        <v>678</v>
      </c>
      <c r="D35" s="63" t="s">
        <v>1408</v>
      </c>
    </row>
    <row r="36" spans="1:4" ht="16.149999999999999" customHeight="1" x14ac:dyDescent="0.25">
      <c r="A36" s="53" t="s">
        <v>1433</v>
      </c>
      <c r="B36" s="54" t="s">
        <v>1434</v>
      </c>
      <c r="C36" s="55" t="s">
        <v>678</v>
      </c>
      <c r="D36" s="63" t="s">
        <v>1408</v>
      </c>
    </row>
    <row r="38" spans="1:4" x14ac:dyDescent="0.25">
      <c r="A38" s="4" t="s">
        <v>728</v>
      </c>
      <c r="B38" s="5"/>
      <c r="C38" s="4" t="s">
        <v>674</v>
      </c>
      <c r="D38" s="4" t="s">
        <v>675</v>
      </c>
    </row>
    <row r="39" spans="1:4" ht="29.45" customHeight="1" x14ac:dyDescent="0.25">
      <c r="A39" s="53" t="s">
        <v>1435</v>
      </c>
      <c r="B39" s="54" t="s">
        <v>1436</v>
      </c>
      <c r="C39" s="55" t="s">
        <v>753</v>
      </c>
      <c r="D39" s="57" t="s">
        <v>690</v>
      </c>
    </row>
    <row r="40" spans="1:4" ht="16.149999999999999" customHeight="1" x14ac:dyDescent="0.25">
      <c r="A40" s="53" t="s">
        <v>1437</v>
      </c>
      <c r="B40" s="54" t="s">
        <v>1438</v>
      </c>
      <c r="C40" s="55" t="s">
        <v>753</v>
      </c>
      <c r="D40" s="57" t="s">
        <v>690</v>
      </c>
    </row>
    <row r="41" spans="1:4" ht="29.45" customHeight="1" x14ac:dyDescent="0.25">
      <c r="A41" s="53" t="s">
        <v>1439</v>
      </c>
      <c r="B41" s="54" t="s">
        <v>1440</v>
      </c>
      <c r="C41" s="55" t="s">
        <v>844</v>
      </c>
      <c r="D41" s="59" t="s">
        <v>748</v>
      </c>
    </row>
    <row r="42" spans="1:4" ht="16.149999999999999" customHeight="1" x14ac:dyDescent="0.25">
      <c r="A42" s="53" t="s">
        <v>1441</v>
      </c>
      <c r="B42" s="54" t="s">
        <v>1442</v>
      </c>
      <c r="C42" s="55" t="s">
        <v>678</v>
      </c>
      <c r="D42" s="63" t="s">
        <v>1408</v>
      </c>
    </row>
    <row r="44" spans="1:4" x14ac:dyDescent="0.25">
      <c r="A44" s="4" t="s">
        <v>740</v>
      </c>
      <c r="B44" s="5"/>
      <c r="C44" s="4" t="s">
        <v>674</v>
      </c>
      <c r="D44" s="4" t="s">
        <v>675</v>
      </c>
    </row>
    <row r="45" spans="1:4" ht="16.149999999999999" customHeight="1" x14ac:dyDescent="0.25">
      <c r="A45" s="53" t="s">
        <v>4</v>
      </c>
      <c r="B45" s="54" t="s">
        <v>1443</v>
      </c>
      <c r="C45" s="55" t="s">
        <v>678</v>
      </c>
      <c r="D45" s="63" t="s">
        <v>1408</v>
      </c>
    </row>
    <row r="46" spans="1:4" ht="29.45" customHeight="1" x14ac:dyDescent="0.25">
      <c r="A46" s="53" t="s">
        <v>749</v>
      </c>
      <c r="B46" s="54" t="s">
        <v>1444</v>
      </c>
      <c r="C46" s="55" t="s">
        <v>678</v>
      </c>
      <c r="D46" s="63" t="s">
        <v>1408</v>
      </c>
    </row>
    <row r="47" spans="1:4" ht="29.45" customHeight="1" x14ac:dyDescent="0.25">
      <c r="A47" s="53" t="s">
        <v>1445</v>
      </c>
      <c r="B47" s="54" t="s">
        <v>1446</v>
      </c>
      <c r="C47" s="55" t="s">
        <v>678</v>
      </c>
      <c r="D47" s="63" t="s">
        <v>1408</v>
      </c>
    </row>
    <row r="48" spans="1:4" ht="29.45" customHeight="1" x14ac:dyDescent="0.25">
      <c r="A48" s="53" t="s">
        <v>1447</v>
      </c>
      <c r="B48" s="54" t="s">
        <v>1448</v>
      </c>
      <c r="C48" s="55" t="s">
        <v>678</v>
      </c>
      <c r="D48" s="63" t="s">
        <v>1408</v>
      </c>
    </row>
    <row r="49" spans="1:4" ht="29.45" customHeight="1" x14ac:dyDescent="0.25">
      <c r="A49" s="53" t="s">
        <v>1449</v>
      </c>
      <c r="B49" s="54" t="s">
        <v>1450</v>
      </c>
      <c r="C49" s="55" t="s">
        <v>678</v>
      </c>
      <c r="D49" s="63" t="s">
        <v>1408</v>
      </c>
    </row>
    <row r="50" spans="1:4" ht="16.149999999999999" customHeight="1" x14ac:dyDescent="0.25">
      <c r="A50" s="53" t="s">
        <v>1451</v>
      </c>
      <c r="B50" s="54" t="s">
        <v>1452</v>
      </c>
      <c r="C50" s="55" t="s">
        <v>678</v>
      </c>
      <c r="D50" s="58" t="s">
        <v>698</v>
      </c>
    </row>
    <row r="51" spans="1:4" ht="16.149999999999999" customHeight="1" x14ac:dyDescent="0.25">
      <c r="A51" s="53" t="s">
        <v>1453</v>
      </c>
      <c r="B51" s="54" t="s">
        <v>1454</v>
      </c>
      <c r="C51" s="55" t="s">
        <v>678</v>
      </c>
      <c r="D51" s="58" t="s">
        <v>698</v>
      </c>
    </row>
    <row r="52" spans="1:4" ht="29.45" customHeight="1" x14ac:dyDescent="0.25">
      <c r="A52" s="53" t="s">
        <v>1037</v>
      </c>
      <c r="B52" s="54" t="s">
        <v>1455</v>
      </c>
      <c r="C52" s="55" t="s">
        <v>948</v>
      </c>
      <c r="D52" s="56" t="s">
        <v>679</v>
      </c>
    </row>
    <row r="53" spans="1:4" ht="29.45" customHeight="1" x14ac:dyDescent="0.25">
      <c r="A53" s="53" t="s">
        <v>1456</v>
      </c>
      <c r="B53" s="54" t="s">
        <v>1457</v>
      </c>
      <c r="C53" s="55" t="s">
        <v>697</v>
      </c>
      <c r="D53" s="56" t="s">
        <v>679</v>
      </c>
    </row>
    <row r="54" spans="1:4" ht="29.45" customHeight="1" x14ac:dyDescent="0.25">
      <c r="A54" s="53" t="s">
        <v>1458</v>
      </c>
      <c r="B54" s="54" t="s">
        <v>1459</v>
      </c>
      <c r="C54" s="55" t="s">
        <v>747</v>
      </c>
      <c r="D54" s="57" t="s">
        <v>690</v>
      </c>
    </row>
    <row r="56" spans="1:4" x14ac:dyDescent="0.25">
      <c r="A56" s="4" t="s">
        <v>762</v>
      </c>
      <c r="B56" s="5"/>
      <c r="C56" s="4" t="s">
        <v>674</v>
      </c>
      <c r="D56" s="4" t="s">
        <v>675</v>
      </c>
    </row>
    <row r="57" spans="1:4" ht="16.149999999999999" customHeight="1" x14ac:dyDescent="0.25">
      <c r="A57" s="53" t="s">
        <v>984</v>
      </c>
      <c r="B57" s="54" t="s">
        <v>1460</v>
      </c>
      <c r="C57" s="55" t="s">
        <v>753</v>
      </c>
      <c r="D57" s="57" t="s">
        <v>690</v>
      </c>
    </row>
    <row r="58" spans="1:4" ht="16.149999999999999" customHeight="1" x14ac:dyDescent="0.25">
      <c r="A58" s="53" t="s">
        <v>1461</v>
      </c>
      <c r="B58" s="54" t="s">
        <v>1462</v>
      </c>
      <c r="C58" s="55" t="s">
        <v>678</v>
      </c>
      <c r="D58" s="63" t="s">
        <v>1408</v>
      </c>
    </row>
    <row r="59" spans="1:4" ht="29.45" customHeight="1" x14ac:dyDescent="0.25">
      <c r="A59" s="53" t="s">
        <v>1463</v>
      </c>
      <c r="B59" s="54" t="s">
        <v>1464</v>
      </c>
      <c r="C59" s="55" t="s">
        <v>678</v>
      </c>
      <c r="D59" s="63" t="s">
        <v>1408</v>
      </c>
    </row>
    <row r="60" spans="1:4" ht="29.45" customHeight="1" x14ac:dyDescent="0.25">
      <c r="A60" s="53" t="s">
        <v>1465</v>
      </c>
      <c r="B60" s="54" t="s">
        <v>1466</v>
      </c>
      <c r="C60" s="55" t="s">
        <v>776</v>
      </c>
      <c r="D60" s="59" t="s">
        <v>748</v>
      </c>
    </row>
    <row r="61" spans="1:4" ht="29.45" customHeight="1" x14ac:dyDescent="0.25">
      <c r="A61" s="53" t="s">
        <v>1321</v>
      </c>
      <c r="B61" s="54" t="s">
        <v>1467</v>
      </c>
      <c r="C61" s="55" t="s">
        <v>753</v>
      </c>
      <c r="D61" s="57" t="s">
        <v>690</v>
      </c>
    </row>
    <row r="62" spans="1:4" ht="16.149999999999999" customHeight="1" x14ac:dyDescent="0.25">
      <c r="A62" s="53" t="s">
        <v>988</v>
      </c>
      <c r="B62" s="54" t="s">
        <v>1468</v>
      </c>
      <c r="C62" s="55" t="s">
        <v>753</v>
      </c>
      <c r="D62" s="57" t="s">
        <v>690</v>
      </c>
    </row>
    <row r="63" spans="1:4" ht="16.149999999999999" customHeight="1" x14ac:dyDescent="0.25">
      <c r="A63" s="53" t="s">
        <v>1469</v>
      </c>
      <c r="B63" s="54" t="s">
        <v>1470</v>
      </c>
      <c r="C63" s="55" t="s">
        <v>753</v>
      </c>
      <c r="D63" s="60" t="s">
        <v>803</v>
      </c>
    </row>
    <row r="64" spans="1:4" ht="29.45" customHeight="1" x14ac:dyDescent="0.25">
      <c r="A64" s="53" t="s">
        <v>1471</v>
      </c>
      <c r="B64" s="54" t="s">
        <v>1472</v>
      </c>
      <c r="C64" s="55" t="s">
        <v>753</v>
      </c>
      <c r="D64" s="57" t="s">
        <v>690</v>
      </c>
    </row>
    <row r="66" spans="1:4" x14ac:dyDescent="0.25">
      <c r="A66" s="4" t="s">
        <v>773</v>
      </c>
      <c r="B66" s="5"/>
      <c r="C66" s="4" t="s">
        <v>674</v>
      </c>
      <c r="D66" s="4" t="s">
        <v>675</v>
      </c>
    </row>
    <row r="67" spans="1:4" ht="29.45" customHeight="1" x14ac:dyDescent="0.25">
      <c r="A67" s="53" t="s">
        <v>1473</v>
      </c>
      <c r="B67" s="54" t="s">
        <v>1474</v>
      </c>
      <c r="C67" s="55" t="s">
        <v>753</v>
      </c>
      <c r="D67" s="57" t="s">
        <v>690</v>
      </c>
    </row>
    <row r="68" spans="1:4" ht="29.45" customHeight="1" x14ac:dyDescent="0.25">
      <c r="A68" s="53" t="s">
        <v>1475</v>
      </c>
      <c r="B68" s="54" t="s">
        <v>1476</v>
      </c>
      <c r="C68" s="55" t="s">
        <v>734</v>
      </c>
      <c r="D68" s="59" t="s">
        <v>748</v>
      </c>
    </row>
    <row r="69" spans="1:4" ht="29.45" customHeight="1" x14ac:dyDescent="0.25">
      <c r="A69" s="53" t="s">
        <v>1477</v>
      </c>
      <c r="B69" s="54" t="s">
        <v>1478</v>
      </c>
      <c r="C69" s="55" t="s">
        <v>731</v>
      </c>
      <c r="D69" s="59" t="s">
        <v>748</v>
      </c>
    </row>
    <row r="70" spans="1:4" ht="16.149999999999999" customHeight="1" x14ac:dyDescent="0.25">
      <c r="A70" s="53" t="s">
        <v>1479</v>
      </c>
      <c r="B70" s="54" t="s">
        <v>1480</v>
      </c>
      <c r="C70" s="55" t="s">
        <v>734</v>
      </c>
      <c r="D70" s="59" t="s">
        <v>748</v>
      </c>
    </row>
    <row r="71" spans="1:4" ht="29.45" customHeight="1" x14ac:dyDescent="0.25">
      <c r="A71" s="53" t="s">
        <v>1481</v>
      </c>
      <c r="B71" s="54" t="s">
        <v>1482</v>
      </c>
      <c r="C71" s="55" t="s">
        <v>737</v>
      </c>
      <c r="D71" s="57" t="s">
        <v>690</v>
      </c>
    </row>
    <row r="72" spans="1:4" ht="29.45" customHeight="1" x14ac:dyDescent="0.25">
      <c r="A72" s="53" t="s">
        <v>1483</v>
      </c>
      <c r="B72" s="54" t="s">
        <v>1484</v>
      </c>
      <c r="C72" s="55" t="s">
        <v>1485</v>
      </c>
      <c r="D72" s="59" t="s">
        <v>748</v>
      </c>
    </row>
    <row r="74" spans="1:4" x14ac:dyDescent="0.25">
      <c r="A74" s="4" t="s">
        <v>781</v>
      </c>
      <c r="B74" s="5"/>
      <c r="C74" s="4" t="s">
        <v>674</v>
      </c>
      <c r="D74" s="4" t="s">
        <v>675</v>
      </c>
    </row>
    <row r="75" spans="1:4" ht="16.149999999999999" customHeight="1" x14ac:dyDescent="0.25">
      <c r="A75" s="53" t="s">
        <v>1486</v>
      </c>
      <c r="B75" s="54" t="s">
        <v>1487</v>
      </c>
      <c r="C75" s="55" t="s">
        <v>678</v>
      </c>
      <c r="D75" s="63" t="s">
        <v>1408</v>
      </c>
    </row>
    <row r="76" spans="1:4" ht="16.149999999999999" customHeight="1" x14ac:dyDescent="0.25">
      <c r="A76" s="53" t="s">
        <v>1488</v>
      </c>
      <c r="B76" s="54" t="s">
        <v>1489</v>
      </c>
      <c r="C76" s="55" t="s">
        <v>678</v>
      </c>
      <c r="D76" s="63" t="s">
        <v>1408</v>
      </c>
    </row>
    <row r="77" spans="1:4" ht="29.45" customHeight="1" x14ac:dyDescent="0.25">
      <c r="A77" s="53" t="s">
        <v>1000</v>
      </c>
      <c r="B77" s="54" t="s">
        <v>1490</v>
      </c>
      <c r="C77" s="55" t="s">
        <v>678</v>
      </c>
      <c r="D77" s="63" t="s">
        <v>1408</v>
      </c>
    </row>
    <row r="78" spans="1:4" ht="29.45" customHeight="1" x14ac:dyDescent="0.25">
      <c r="A78" s="53" t="s">
        <v>1491</v>
      </c>
      <c r="B78" s="54" t="s">
        <v>1492</v>
      </c>
      <c r="C78" s="55" t="s">
        <v>678</v>
      </c>
      <c r="D78" s="63" t="s">
        <v>1408</v>
      </c>
    </row>
    <row r="79" spans="1:4" ht="29.45" customHeight="1" x14ac:dyDescent="0.25">
      <c r="A79" s="53" t="s">
        <v>1493</v>
      </c>
      <c r="B79" s="54" t="s">
        <v>1494</v>
      </c>
      <c r="C79" s="55" t="s">
        <v>678</v>
      </c>
      <c r="D79" s="63" t="s">
        <v>1408</v>
      </c>
    </row>
    <row r="80" spans="1:4" ht="29.45" customHeight="1" x14ac:dyDescent="0.25">
      <c r="A80" s="53" t="s">
        <v>1495</v>
      </c>
      <c r="B80" s="54" t="s">
        <v>1496</v>
      </c>
      <c r="C80" s="55" t="s">
        <v>678</v>
      </c>
      <c r="D80" s="63" t="s">
        <v>1408</v>
      </c>
    </row>
    <row r="81" spans="1:4" ht="16.149999999999999" customHeight="1" x14ac:dyDescent="0.25">
      <c r="A81" s="53" t="s">
        <v>1497</v>
      </c>
      <c r="B81" s="54" t="s">
        <v>1498</v>
      </c>
      <c r="C81" s="55" t="s">
        <v>747</v>
      </c>
      <c r="D81" s="57" t="s">
        <v>690</v>
      </c>
    </row>
    <row r="83" spans="1:4" x14ac:dyDescent="0.25">
      <c r="A83" s="4" t="s">
        <v>792</v>
      </c>
      <c r="B83" s="5"/>
      <c r="C83" s="4" t="s">
        <v>674</v>
      </c>
      <c r="D83" s="4" t="s">
        <v>675</v>
      </c>
    </row>
    <row r="84" spans="1:4" ht="16.149999999999999" customHeight="1" x14ac:dyDescent="0.25">
      <c r="A84" s="53" t="s">
        <v>1499</v>
      </c>
      <c r="B84" s="54" t="s">
        <v>1500</v>
      </c>
      <c r="C84" s="55" t="s">
        <v>753</v>
      </c>
      <c r="D84" s="57" t="s">
        <v>690</v>
      </c>
    </row>
    <row r="85" spans="1:4" ht="16.149999999999999" customHeight="1" x14ac:dyDescent="0.25">
      <c r="A85" s="53" t="s">
        <v>1501</v>
      </c>
      <c r="B85" s="54" t="s">
        <v>1502</v>
      </c>
      <c r="C85" s="55" t="s">
        <v>753</v>
      </c>
      <c r="D85" s="60" t="s">
        <v>803</v>
      </c>
    </row>
    <row r="86" spans="1:4" ht="16.149999999999999" customHeight="1" x14ac:dyDescent="0.25">
      <c r="A86" s="53" t="s">
        <v>1503</v>
      </c>
      <c r="B86" s="54" t="s">
        <v>1504</v>
      </c>
      <c r="C86" s="55" t="s">
        <v>689</v>
      </c>
      <c r="D86" s="59" t="s">
        <v>748</v>
      </c>
    </row>
    <row r="87" spans="1:4" ht="16.149999999999999" customHeight="1" x14ac:dyDescent="0.25">
      <c r="A87" s="53" t="s">
        <v>1505</v>
      </c>
      <c r="B87" s="54" t="s">
        <v>1506</v>
      </c>
      <c r="C87" s="55" t="s">
        <v>678</v>
      </c>
      <c r="D87" s="63" t="s">
        <v>1408</v>
      </c>
    </row>
    <row r="88" spans="1:4" ht="16.149999999999999" customHeight="1" x14ac:dyDescent="0.25">
      <c r="A88" s="53" t="s">
        <v>799</v>
      </c>
      <c r="B88" s="54" t="s">
        <v>1507</v>
      </c>
      <c r="C88" s="55" t="s">
        <v>678</v>
      </c>
      <c r="D88" s="57" t="s">
        <v>690</v>
      </c>
    </row>
    <row r="89" spans="1:4" ht="16.149999999999999" customHeight="1" x14ac:dyDescent="0.25">
      <c r="A89" s="53" t="s">
        <v>1187</v>
      </c>
      <c r="B89" s="54" t="s">
        <v>1508</v>
      </c>
      <c r="C89" s="55" t="s">
        <v>678</v>
      </c>
      <c r="D89" s="63" t="s">
        <v>1408</v>
      </c>
    </row>
    <row r="91" spans="1:4" x14ac:dyDescent="0.25">
      <c r="A91" s="4" t="s">
        <v>804</v>
      </c>
      <c r="B91" s="5"/>
      <c r="C91" s="4" t="s">
        <v>674</v>
      </c>
      <c r="D91" s="4" t="s">
        <v>675</v>
      </c>
    </row>
    <row r="92" spans="1:4" ht="16.149999999999999" customHeight="1" x14ac:dyDescent="0.25">
      <c r="A92" s="53" t="s">
        <v>1509</v>
      </c>
      <c r="B92" s="54" t="s">
        <v>1510</v>
      </c>
      <c r="C92" s="55" t="s">
        <v>678</v>
      </c>
      <c r="D92" s="63" t="s">
        <v>1408</v>
      </c>
    </row>
    <row r="93" spans="1:4" ht="16.149999999999999" customHeight="1" x14ac:dyDescent="0.25">
      <c r="A93" s="53" t="s">
        <v>1511</v>
      </c>
      <c r="B93" s="54" t="s">
        <v>1512</v>
      </c>
      <c r="C93" s="55" t="s">
        <v>678</v>
      </c>
      <c r="D93" s="63" t="s">
        <v>1408</v>
      </c>
    </row>
    <row r="94" spans="1:4" ht="16.149999999999999" customHeight="1" x14ac:dyDescent="0.25">
      <c r="A94" s="53" t="s">
        <v>1513</v>
      </c>
      <c r="B94" s="54" t="s">
        <v>1514</v>
      </c>
      <c r="C94" s="55" t="s">
        <v>678</v>
      </c>
      <c r="D94" s="63" t="s">
        <v>1408</v>
      </c>
    </row>
    <row r="95" spans="1:4" ht="29.45" customHeight="1" x14ac:dyDescent="0.25">
      <c r="A95" s="53" t="s">
        <v>1515</v>
      </c>
      <c r="B95" s="54" t="s">
        <v>1516</v>
      </c>
      <c r="C95" s="55" t="s">
        <v>678</v>
      </c>
      <c r="D95" s="57" t="s">
        <v>690</v>
      </c>
    </row>
    <row r="97" spans="1:4" x14ac:dyDescent="0.25">
      <c r="A97" s="4" t="s">
        <v>813</v>
      </c>
      <c r="B97" s="5"/>
      <c r="C97" s="4" t="s">
        <v>674</v>
      </c>
      <c r="D97" s="4" t="s">
        <v>675</v>
      </c>
    </row>
    <row r="98" spans="1:4" ht="29.45" customHeight="1" x14ac:dyDescent="0.25">
      <c r="A98" s="53" t="s">
        <v>1517</v>
      </c>
      <c r="B98" s="54" t="s">
        <v>1518</v>
      </c>
      <c r="C98" s="55" t="s">
        <v>678</v>
      </c>
      <c r="D98" s="63" t="s">
        <v>1408</v>
      </c>
    </row>
    <row r="100" spans="1:4" x14ac:dyDescent="0.25">
      <c r="A100" s="4" t="s">
        <v>826</v>
      </c>
      <c r="B100" s="5"/>
      <c r="C100" s="4" t="s">
        <v>674</v>
      </c>
      <c r="D100" s="4" t="s">
        <v>675</v>
      </c>
    </row>
    <row r="101" spans="1:4" ht="42.6" customHeight="1" x14ac:dyDescent="0.25">
      <c r="A101" s="53" t="s">
        <v>1519</v>
      </c>
      <c r="B101" s="54" t="s">
        <v>1520</v>
      </c>
      <c r="C101" s="55" t="s">
        <v>678</v>
      </c>
      <c r="D101" s="63" t="s">
        <v>1408</v>
      </c>
    </row>
    <row r="102" spans="1:4" ht="16.149999999999999" customHeight="1" x14ac:dyDescent="0.25">
      <c r="A102" s="53" t="s">
        <v>1202</v>
      </c>
      <c r="B102" s="54" t="s">
        <v>1521</v>
      </c>
      <c r="C102" s="55" t="s">
        <v>678</v>
      </c>
      <c r="D102" s="58" t="s">
        <v>698</v>
      </c>
    </row>
    <row r="103" spans="1:4" ht="29.45" customHeight="1" x14ac:dyDescent="0.25">
      <c r="A103" s="53" t="s">
        <v>1522</v>
      </c>
      <c r="B103" s="54" t="s">
        <v>1523</v>
      </c>
      <c r="C103" s="55" t="s">
        <v>1524</v>
      </c>
      <c r="D103" s="59" t="s">
        <v>748</v>
      </c>
    </row>
    <row r="105" spans="1:4" x14ac:dyDescent="0.25">
      <c r="A105" s="4" t="s">
        <v>833</v>
      </c>
      <c r="B105" s="5"/>
      <c r="C105" s="4" t="s">
        <v>674</v>
      </c>
      <c r="D105" s="4" t="s">
        <v>675</v>
      </c>
    </row>
    <row r="106" spans="1:4" ht="16.149999999999999" customHeight="1" x14ac:dyDescent="0.25">
      <c r="A106" s="53" t="s">
        <v>1205</v>
      </c>
      <c r="B106" s="54" t="s">
        <v>1525</v>
      </c>
      <c r="C106" s="55" t="s">
        <v>877</v>
      </c>
      <c r="D106" s="57" t="s">
        <v>690</v>
      </c>
    </row>
    <row r="108" spans="1:4" x14ac:dyDescent="0.25">
      <c r="A108" s="4" t="s">
        <v>836</v>
      </c>
      <c r="B108" s="5"/>
      <c r="C108" s="4" t="s">
        <v>674</v>
      </c>
      <c r="D108" s="4" t="s">
        <v>675</v>
      </c>
    </row>
    <row r="109" spans="1:4" ht="29.45" customHeight="1" x14ac:dyDescent="0.25">
      <c r="A109" s="53" t="s">
        <v>1526</v>
      </c>
      <c r="B109" s="54" t="s">
        <v>1527</v>
      </c>
      <c r="C109" s="55" t="s">
        <v>697</v>
      </c>
      <c r="D109" s="56" t="s">
        <v>679</v>
      </c>
    </row>
    <row r="110" spans="1:4" ht="16.149999999999999" customHeight="1" x14ac:dyDescent="0.25">
      <c r="A110" s="53" t="s">
        <v>1528</v>
      </c>
      <c r="B110" s="54" t="s">
        <v>1529</v>
      </c>
      <c r="C110" s="55" t="s">
        <v>737</v>
      </c>
      <c r="D110" s="57" t="s">
        <v>690</v>
      </c>
    </row>
    <row r="111" spans="1:4" ht="16.149999999999999" customHeight="1" x14ac:dyDescent="0.25">
      <c r="A111" s="53" t="s">
        <v>1043</v>
      </c>
      <c r="B111" s="54" t="s">
        <v>1530</v>
      </c>
      <c r="C111" s="55" t="s">
        <v>678</v>
      </c>
      <c r="D111" s="63" t="s">
        <v>1408</v>
      </c>
    </row>
    <row r="112" spans="1:4" ht="29.45" customHeight="1" x14ac:dyDescent="0.25">
      <c r="A112" s="53" t="s">
        <v>1531</v>
      </c>
      <c r="B112" s="54" t="s">
        <v>1532</v>
      </c>
      <c r="C112" s="55" t="s">
        <v>776</v>
      </c>
      <c r="D112" s="59" t="s">
        <v>748</v>
      </c>
    </row>
    <row r="113" spans="1:4" ht="16.149999999999999" customHeight="1" x14ac:dyDescent="0.25">
      <c r="A113" s="53" t="s">
        <v>1533</v>
      </c>
      <c r="B113" s="54" t="s">
        <v>1534</v>
      </c>
      <c r="C113" s="55" t="s">
        <v>844</v>
      </c>
      <c r="D113" s="59" t="s">
        <v>748</v>
      </c>
    </row>
    <row r="114" spans="1:4" ht="29.45" customHeight="1" x14ac:dyDescent="0.25">
      <c r="A114" s="53" t="s">
        <v>1535</v>
      </c>
      <c r="B114" s="54" t="s">
        <v>1536</v>
      </c>
      <c r="C114" s="55" t="s">
        <v>678</v>
      </c>
      <c r="D114" s="63" t="s">
        <v>1408</v>
      </c>
    </row>
    <row r="116" spans="1:4" x14ac:dyDescent="0.25">
      <c r="A116" s="4" t="s">
        <v>855</v>
      </c>
      <c r="B116" s="5"/>
      <c r="C116" s="4" t="s">
        <v>674</v>
      </c>
      <c r="D116" s="4" t="s">
        <v>675</v>
      </c>
    </row>
    <row r="117" spans="1:4" ht="16.149999999999999" customHeight="1" x14ac:dyDescent="0.25">
      <c r="A117" s="53" t="s">
        <v>1537</v>
      </c>
      <c r="B117" s="54" t="s">
        <v>1538</v>
      </c>
      <c r="C117" s="55" t="s">
        <v>737</v>
      </c>
      <c r="D117" s="57" t="s">
        <v>690</v>
      </c>
    </row>
    <row r="118" spans="1:4" ht="16.149999999999999" customHeight="1" x14ac:dyDescent="0.25">
      <c r="A118" s="53" t="s">
        <v>1539</v>
      </c>
      <c r="B118" s="54" t="s">
        <v>1540</v>
      </c>
      <c r="C118" s="55" t="s">
        <v>697</v>
      </c>
      <c r="D118" s="56" t="s">
        <v>679</v>
      </c>
    </row>
    <row r="119" spans="1:4" ht="16.149999999999999" customHeight="1" x14ac:dyDescent="0.25">
      <c r="A119" s="53" t="s">
        <v>1043</v>
      </c>
      <c r="B119" s="54" t="s">
        <v>1541</v>
      </c>
      <c r="C119" s="55" t="s">
        <v>747</v>
      </c>
      <c r="D119" s="57" t="s">
        <v>690</v>
      </c>
    </row>
    <row r="120" spans="1:4" ht="16.149999999999999" customHeight="1" x14ac:dyDescent="0.25">
      <c r="A120" s="53" t="s">
        <v>1542</v>
      </c>
      <c r="B120" s="54" t="s">
        <v>1543</v>
      </c>
      <c r="C120" s="55" t="s">
        <v>1485</v>
      </c>
      <c r="D120" s="59" t="s">
        <v>748</v>
      </c>
    </row>
    <row r="122" spans="1:4" x14ac:dyDescent="0.25">
      <c r="A122" s="4" t="s">
        <v>868</v>
      </c>
      <c r="B122" s="5"/>
      <c r="C122" s="4" t="s">
        <v>674</v>
      </c>
      <c r="D122" s="5"/>
    </row>
    <row r="123" spans="1:4" ht="16.149999999999999" customHeight="1" x14ac:dyDescent="0.25">
      <c r="A123" s="61" t="s">
        <v>1544</v>
      </c>
      <c r="B123" s="54" t="s">
        <v>1545</v>
      </c>
      <c r="C123" s="55" t="s">
        <v>776</v>
      </c>
      <c r="D123" s="62"/>
    </row>
    <row r="124" spans="1:4" ht="16.149999999999999" customHeight="1" x14ac:dyDescent="0.25">
      <c r="A124" s="61" t="s">
        <v>1546</v>
      </c>
      <c r="B124" s="54" t="s">
        <v>1547</v>
      </c>
      <c r="C124" s="55" t="s">
        <v>776</v>
      </c>
      <c r="D124" s="62"/>
    </row>
    <row r="125" spans="1:4" ht="29.45" customHeight="1" x14ac:dyDescent="0.25">
      <c r="A125" s="61" t="s">
        <v>1548</v>
      </c>
      <c r="B125" s="54" t="s">
        <v>1549</v>
      </c>
      <c r="C125" s="55" t="s">
        <v>776</v>
      </c>
      <c r="D125" s="62"/>
    </row>
    <row r="126" spans="1:4" ht="16.149999999999999" customHeight="1" x14ac:dyDescent="0.25">
      <c r="A126" s="61" t="s">
        <v>1550</v>
      </c>
      <c r="B126" s="54" t="s">
        <v>1551</v>
      </c>
      <c r="C126" s="55" t="s">
        <v>678</v>
      </c>
      <c r="D126" s="62"/>
    </row>
    <row r="127" spans="1:4" ht="16.149999999999999" customHeight="1" x14ac:dyDescent="0.25">
      <c r="A127" s="61" t="s">
        <v>1060</v>
      </c>
      <c r="B127" s="54" t="s">
        <v>1552</v>
      </c>
      <c r="C127" s="55" t="s">
        <v>844</v>
      </c>
      <c r="D127" s="62"/>
    </row>
    <row r="128" spans="1:4" ht="16.149999999999999" customHeight="1" x14ac:dyDescent="0.25">
      <c r="A128" s="61" t="s">
        <v>1553</v>
      </c>
      <c r="B128" s="54" t="s">
        <v>1554</v>
      </c>
      <c r="C128" s="55" t="s">
        <v>734</v>
      </c>
      <c r="D128" s="62"/>
    </row>
    <row r="129" spans="1:4" ht="16.149999999999999" customHeight="1" x14ac:dyDescent="0.25">
      <c r="A129" s="61" t="s">
        <v>1555</v>
      </c>
      <c r="B129" s="54" t="s">
        <v>1556</v>
      </c>
      <c r="C129" s="55" t="s">
        <v>841</v>
      </c>
      <c r="D129" s="62"/>
    </row>
    <row r="130" spans="1:4" ht="16.149999999999999" customHeight="1" x14ac:dyDescent="0.25">
      <c r="A130" s="61" t="s">
        <v>1557</v>
      </c>
      <c r="B130" s="54" t="s">
        <v>1558</v>
      </c>
      <c r="C130" s="55" t="s">
        <v>962</v>
      </c>
      <c r="D130" s="62"/>
    </row>
    <row r="131" spans="1:4" ht="16.149999999999999" customHeight="1" x14ac:dyDescent="0.25">
      <c r="A131" s="61" t="s">
        <v>1559</v>
      </c>
      <c r="B131" s="54" t="s">
        <v>1560</v>
      </c>
      <c r="C131" s="55" t="s">
        <v>753</v>
      </c>
      <c r="D131" s="62"/>
    </row>
    <row r="132" spans="1:4" ht="16.149999999999999" customHeight="1" x14ac:dyDescent="0.25">
      <c r="A132" s="61" t="s">
        <v>1066</v>
      </c>
      <c r="B132" s="54" t="s">
        <v>1561</v>
      </c>
      <c r="C132" s="55" t="s">
        <v>877</v>
      </c>
      <c r="D132" s="62"/>
    </row>
    <row r="133" spans="1:4" ht="16.149999999999999" customHeight="1" x14ac:dyDescent="0.25">
      <c r="A133" s="61" t="s">
        <v>1068</v>
      </c>
      <c r="B133" s="54" t="s">
        <v>1562</v>
      </c>
      <c r="C133" s="55" t="s">
        <v>678</v>
      </c>
      <c r="D133" s="62"/>
    </row>
    <row r="134" spans="1:4" ht="16.149999999999999" customHeight="1" x14ac:dyDescent="0.25">
      <c r="A134" s="61" t="s">
        <v>1563</v>
      </c>
      <c r="B134" s="54" t="s">
        <v>1564</v>
      </c>
      <c r="C134" s="55" t="s">
        <v>877</v>
      </c>
      <c r="D134" s="62"/>
    </row>
    <row r="135" spans="1:4" ht="16.149999999999999" customHeight="1" x14ac:dyDescent="0.25">
      <c r="A135" s="61" t="s">
        <v>1565</v>
      </c>
      <c r="B135" s="54" t="s">
        <v>1566</v>
      </c>
      <c r="C135" s="55" t="s">
        <v>747</v>
      </c>
      <c r="D135" s="62"/>
    </row>
    <row r="136" spans="1:4" ht="16.149999999999999" customHeight="1" x14ac:dyDescent="0.25">
      <c r="A136" s="61" t="s">
        <v>1567</v>
      </c>
      <c r="B136" s="54" t="s">
        <v>1568</v>
      </c>
      <c r="C136" s="55" t="s">
        <v>1524</v>
      </c>
      <c r="D136" s="62"/>
    </row>
    <row r="137" spans="1:4" ht="16.149999999999999" customHeight="1" x14ac:dyDescent="0.25">
      <c r="A137" s="61" t="s">
        <v>1569</v>
      </c>
      <c r="B137" s="54" t="s">
        <v>1570</v>
      </c>
      <c r="C137" s="55" t="s">
        <v>737</v>
      </c>
      <c r="D137" s="62"/>
    </row>
    <row r="138" spans="1:4" ht="16.149999999999999" customHeight="1" x14ac:dyDescent="0.25">
      <c r="A138" s="61" t="s">
        <v>1571</v>
      </c>
      <c r="B138" s="54" t="s">
        <v>1572</v>
      </c>
      <c r="C138" s="55" t="s">
        <v>697</v>
      </c>
      <c r="D138" s="62"/>
    </row>
    <row r="140" spans="1:4" x14ac:dyDescent="0.25">
      <c r="A140" s="4" t="s">
        <v>894</v>
      </c>
      <c r="B140" s="5"/>
      <c r="C140" s="5"/>
      <c r="D140" s="5"/>
    </row>
    <row r="141" spans="1:4" ht="29.45" customHeight="1" x14ac:dyDescent="0.25">
      <c r="A141" s="53" t="s">
        <v>1573</v>
      </c>
      <c r="B141" s="54" t="s">
        <v>1574</v>
      </c>
      <c r="C141" s="28" t="s">
        <v>897</v>
      </c>
      <c r="D141" s="62"/>
    </row>
    <row r="142" spans="1:4" ht="29.45" customHeight="1" x14ac:dyDescent="0.25">
      <c r="A142" s="53" t="s">
        <v>1575</v>
      </c>
      <c r="B142" s="54" t="s">
        <v>1576</v>
      </c>
      <c r="C142" s="28" t="s">
        <v>897</v>
      </c>
      <c r="D142" s="62"/>
    </row>
    <row r="143" spans="1:4" ht="42.6" customHeight="1" x14ac:dyDescent="0.25">
      <c r="A143" s="53" t="s">
        <v>1577</v>
      </c>
      <c r="B143" s="54" t="s">
        <v>1578</v>
      </c>
      <c r="C143" s="28" t="s">
        <v>897</v>
      </c>
      <c r="D143" s="62"/>
    </row>
    <row r="144" spans="1:4" ht="29.45" customHeight="1" x14ac:dyDescent="0.25">
      <c r="A144" s="53" t="s">
        <v>1579</v>
      </c>
      <c r="B144" s="54" t="s">
        <v>1580</v>
      </c>
      <c r="C144" s="28" t="s">
        <v>897</v>
      </c>
      <c r="D144" s="62"/>
    </row>
    <row r="145" spans="1:4" ht="29.45" customHeight="1" x14ac:dyDescent="0.25">
      <c r="A145" s="53" t="s">
        <v>1581</v>
      </c>
      <c r="B145" s="54" t="s">
        <v>1582</v>
      </c>
      <c r="C145" s="28" t="s">
        <v>897</v>
      </c>
      <c r="D145" s="62"/>
    </row>
    <row r="146" spans="1:4" ht="29.45" customHeight="1" x14ac:dyDescent="0.25">
      <c r="A146" s="53" t="s">
        <v>1583</v>
      </c>
      <c r="B146" s="54" t="s">
        <v>1584</v>
      </c>
      <c r="C146" s="28" t="s">
        <v>897</v>
      </c>
      <c r="D146" s="62"/>
    </row>
    <row r="147" spans="1:4" ht="29.45" customHeight="1" x14ac:dyDescent="0.25">
      <c r="A147" s="53" t="s">
        <v>1585</v>
      </c>
      <c r="B147" s="54" t="s">
        <v>1586</v>
      </c>
      <c r="C147" s="28" t="s">
        <v>897</v>
      </c>
      <c r="D147" s="62"/>
    </row>
    <row r="148" spans="1:4" ht="29.45" customHeight="1" x14ac:dyDescent="0.25">
      <c r="A148" s="53" t="s">
        <v>1587</v>
      </c>
      <c r="B148" s="54" t="s">
        <v>1588</v>
      </c>
      <c r="C148" s="28" t="s">
        <v>897</v>
      </c>
      <c r="D148" s="62"/>
    </row>
    <row r="149" spans="1:4" ht="29.45" customHeight="1" x14ac:dyDescent="0.25">
      <c r="A149" s="53" t="s">
        <v>1589</v>
      </c>
      <c r="B149" s="54" t="s">
        <v>1590</v>
      </c>
      <c r="C149" s="28" t="s">
        <v>897</v>
      </c>
      <c r="D149" s="62"/>
    </row>
    <row r="150" spans="1:4" ht="29.45" customHeight="1" x14ac:dyDescent="0.25">
      <c r="A150" s="53" t="s">
        <v>1591</v>
      </c>
      <c r="B150" s="54" t="s">
        <v>1592</v>
      </c>
      <c r="C150" s="28" t="s">
        <v>897</v>
      </c>
      <c r="D150" s="62"/>
    </row>
    <row r="151" spans="1:4" ht="29.45" customHeight="1" x14ac:dyDescent="0.25">
      <c r="A151" s="53" t="s">
        <v>1593</v>
      </c>
      <c r="B151" s="54" t="s">
        <v>1594</v>
      </c>
      <c r="C151" s="28" t="s">
        <v>897</v>
      </c>
      <c r="D151" s="62"/>
    </row>
    <row r="152" spans="1:4" ht="29.45" customHeight="1" x14ac:dyDescent="0.25">
      <c r="A152" s="53" t="s">
        <v>1595</v>
      </c>
      <c r="B152" s="54" t="s">
        <v>1596</v>
      </c>
      <c r="C152" s="28" t="s">
        <v>897</v>
      </c>
      <c r="D152" s="62"/>
    </row>
    <row r="153" spans="1:4" ht="29.45" customHeight="1" x14ac:dyDescent="0.25">
      <c r="A153" s="53" t="s">
        <v>1597</v>
      </c>
      <c r="B153" s="54" t="s">
        <v>1598</v>
      </c>
      <c r="C153" s="28" t="s">
        <v>897</v>
      </c>
      <c r="D153" s="62"/>
    </row>
    <row r="154" spans="1:4" ht="29.45" customHeight="1" x14ac:dyDescent="0.25">
      <c r="A154" s="53" t="s">
        <v>1599</v>
      </c>
      <c r="B154" s="54" t="s">
        <v>1600</v>
      </c>
      <c r="C154" s="28" t="s">
        <v>897</v>
      </c>
      <c r="D154" s="62"/>
    </row>
    <row r="155" spans="1:4" ht="29.45" customHeight="1" x14ac:dyDescent="0.25">
      <c r="A155" s="53" t="s">
        <v>1601</v>
      </c>
      <c r="B155" s="54" t="s">
        <v>1602</v>
      </c>
      <c r="C155" s="28" t="s">
        <v>897</v>
      </c>
      <c r="D155" s="62"/>
    </row>
    <row r="156" spans="1:4" ht="29.45" customHeight="1" x14ac:dyDescent="0.25">
      <c r="A156" s="53" t="s">
        <v>1603</v>
      </c>
      <c r="B156" s="54" t="s">
        <v>1604</v>
      </c>
      <c r="C156" s="28" t="s">
        <v>897</v>
      </c>
      <c r="D156" s="62"/>
    </row>
    <row r="157" spans="1:4" ht="29.45" customHeight="1" x14ac:dyDescent="0.25">
      <c r="A157" s="53" t="s">
        <v>1605</v>
      </c>
      <c r="B157" s="54" t="s">
        <v>1606</v>
      </c>
      <c r="C157" s="28" t="s">
        <v>897</v>
      </c>
      <c r="D157" s="62"/>
    </row>
    <row r="158" spans="1:4" ht="29.45" customHeight="1" x14ac:dyDescent="0.25">
      <c r="A158" s="53" t="s">
        <v>1607</v>
      </c>
      <c r="B158" s="54" t="s">
        <v>1608</v>
      </c>
      <c r="C158" s="28" t="s">
        <v>897</v>
      </c>
      <c r="D158" s="62"/>
    </row>
    <row r="160" spans="1:4" x14ac:dyDescent="0.25">
      <c r="A160" s="4" t="s">
        <v>926</v>
      </c>
      <c r="B160" s="5"/>
      <c r="C160" s="5"/>
      <c r="D160" s="5"/>
    </row>
    <row r="161" spans="2:2" ht="29.45" customHeight="1" x14ac:dyDescent="0.25">
      <c r="B161" s="52" t="s">
        <v>1609</v>
      </c>
    </row>
    <row r="162" spans="2:2" ht="16.149999999999999" customHeight="1" x14ac:dyDescent="0.25">
      <c r="B162" s="52" t="s">
        <v>1610</v>
      </c>
    </row>
    <row r="163" spans="2:2" ht="16.149999999999999" customHeight="1" x14ac:dyDescent="0.25">
      <c r="B163" s="52" t="s">
        <v>1611</v>
      </c>
    </row>
    <row r="164" spans="2:2" ht="16.149999999999999" customHeight="1" x14ac:dyDescent="0.25">
      <c r="B164" s="52" t="s">
        <v>1612</v>
      </c>
    </row>
    <row r="165" spans="2:2" ht="16.149999999999999" customHeight="1" x14ac:dyDescent="0.25">
      <c r="B165" s="52" t="s">
        <v>1613</v>
      </c>
    </row>
    <row r="166" spans="2:2" ht="29.45" customHeight="1" x14ac:dyDescent="0.25">
      <c r="B166" s="52" t="s">
        <v>1614</v>
      </c>
    </row>
    <row r="167" spans="2:2" ht="42.6" customHeight="1" x14ac:dyDescent="0.25">
      <c r="B167" s="52" t="s">
        <v>1615</v>
      </c>
    </row>
    <row r="168" spans="2:2" ht="16.149999999999999" customHeight="1" x14ac:dyDescent="0.25">
      <c r="B168" s="52" t="s">
        <v>1616</v>
      </c>
    </row>
    <row r="169" spans="2:2" ht="16.149999999999999" customHeight="1" x14ac:dyDescent="0.25">
      <c r="B169" s="52" t="s">
        <v>1617</v>
      </c>
    </row>
  </sheetData>
  <hyperlinks>
    <hyperlink ref="D1" location="'Monitor'!A10" display="&lt;&lt; Monitor" xr:uid="{00000000-0004-0000-0D00-000000000000}"/>
    <hyperlink ref="C141" r:id="rId1" xr:uid="{00000000-0004-0000-0D00-000001000000}"/>
    <hyperlink ref="C142" r:id="rId2" xr:uid="{00000000-0004-0000-0D00-000002000000}"/>
    <hyperlink ref="C143" r:id="rId3" xr:uid="{00000000-0004-0000-0D00-000003000000}"/>
    <hyperlink ref="C144" r:id="rId4" xr:uid="{00000000-0004-0000-0D00-000004000000}"/>
    <hyperlink ref="C145" r:id="rId5" xr:uid="{00000000-0004-0000-0D00-000005000000}"/>
    <hyperlink ref="C146" r:id="rId6" xr:uid="{00000000-0004-0000-0D00-000006000000}"/>
    <hyperlink ref="C147" r:id="rId7" xr:uid="{00000000-0004-0000-0D00-000007000000}"/>
    <hyperlink ref="C148" r:id="rId8" xr:uid="{00000000-0004-0000-0D00-000008000000}"/>
    <hyperlink ref="C149" r:id="rId9" xr:uid="{00000000-0004-0000-0D00-000009000000}"/>
    <hyperlink ref="C150" r:id="rId10" xr:uid="{00000000-0004-0000-0D00-00000A000000}"/>
    <hyperlink ref="C151" r:id="rId11" xr:uid="{00000000-0004-0000-0D00-00000B000000}"/>
    <hyperlink ref="C152" r:id="rId12" xr:uid="{00000000-0004-0000-0D00-00000C000000}"/>
    <hyperlink ref="C153" r:id="rId13" xr:uid="{00000000-0004-0000-0D00-00000D000000}"/>
    <hyperlink ref="C154" r:id="rId14" xr:uid="{00000000-0004-0000-0D00-00000E000000}"/>
    <hyperlink ref="C155" r:id="rId15" xr:uid="{00000000-0004-0000-0D00-00000F000000}"/>
    <hyperlink ref="C156" r:id="rId16" xr:uid="{00000000-0004-0000-0D00-000010000000}"/>
    <hyperlink ref="C157" r:id="rId17" xr:uid="{00000000-0004-0000-0D00-000011000000}"/>
    <hyperlink ref="C158" r:id="rId18" xr:uid="{00000000-0004-0000-0D00-000012000000}"/>
  </hyperlink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D141"/>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204</v>
      </c>
      <c r="D1" s="41" t="s">
        <v>667</v>
      </c>
    </row>
    <row r="2" spans="1:4" x14ac:dyDescent="0.25">
      <c r="A2" s="2" t="s">
        <v>1618</v>
      </c>
    </row>
    <row r="4" spans="1:4" x14ac:dyDescent="0.25">
      <c r="A4" s="42" t="s">
        <v>9</v>
      </c>
      <c r="B4" s="43">
        <f>Monitor!H11</f>
        <v>97.165999999999997</v>
      </c>
    </row>
    <row r="5" spans="1:4" x14ac:dyDescent="0.25">
      <c r="A5" s="42" t="s">
        <v>11</v>
      </c>
      <c r="B5" s="44">
        <f>Monitor!J11</f>
        <v>7.3295727076693167</v>
      </c>
    </row>
    <row r="6" spans="1:4" x14ac:dyDescent="0.25">
      <c r="A6" s="42" t="s">
        <v>8</v>
      </c>
      <c r="B6" s="45">
        <f>Monitor!G11</f>
        <v>3900</v>
      </c>
    </row>
    <row r="7" spans="1:4" x14ac:dyDescent="0.25">
      <c r="A7" s="42" t="s">
        <v>14</v>
      </c>
      <c r="B7" s="46">
        <f>Monitor!M11</f>
        <v>-110.52600000000012</v>
      </c>
    </row>
    <row r="8" spans="1:4" x14ac:dyDescent="0.25">
      <c r="A8" s="42" t="s">
        <v>15</v>
      </c>
      <c r="B8" s="47">
        <f>Monitor!N11</f>
        <v>-2.8340000000000032E-2</v>
      </c>
    </row>
    <row r="9" spans="1:4" x14ac:dyDescent="0.25">
      <c r="A9" s="42" t="s">
        <v>669</v>
      </c>
      <c r="B9" s="46">
        <f>Monitor!O11</f>
        <v>6.6300000000000665</v>
      </c>
    </row>
    <row r="10" spans="1:4" x14ac:dyDescent="0.25">
      <c r="A10" s="42" t="s">
        <v>20</v>
      </c>
      <c r="B10" s="48">
        <f>Monitor!S11</f>
        <v>46261</v>
      </c>
    </row>
    <row r="11" spans="1:4" x14ac:dyDescent="0.25">
      <c r="A11" s="42" t="s">
        <v>670</v>
      </c>
      <c r="B11" s="49">
        <f>Monitor!W11</f>
        <v>192.3706525465831</v>
      </c>
    </row>
    <row r="12" spans="1:4" x14ac:dyDescent="0.25">
      <c r="A12" s="42" t="s">
        <v>671</v>
      </c>
      <c r="B12" s="50" t="str">
        <f>Monitor!F11</f>
        <v>Baa3/NR/NR</v>
      </c>
    </row>
    <row r="13" spans="1:4" x14ac:dyDescent="0.25">
      <c r="A13" s="42" t="s">
        <v>4</v>
      </c>
      <c r="B13" s="50" t="str">
        <f>Monitor!C11</f>
        <v>Microsoft</v>
      </c>
    </row>
    <row r="15" spans="1:4" x14ac:dyDescent="0.25">
      <c r="A15" s="4" t="s">
        <v>672</v>
      </c>
      <c r="B15" s="5"/>
      <c r="C15" s="5"/>
      <c r="D15" s="5"/>
    </row>
    <row r="16" spans="1:4" ht="55.9" customHeight="1" x14ac:dyDescent="0.25">
      <c r="A16" s="51" t="s">
        <v>192</v>
      </c>
      <c r="B16" s="52" t="s">
        <v>205</v>
      </c>
    </row>
    <row r="18" spans="1:4" x14ac:dyDescent="0.25">
      <c r="A18" s="4" t="s">
        <v>673</v>
      </c>
      <c r="B18" s="5"/>
      <c r="C18" s="4" t="s">
        <v>674</v>
      </c>
      <c r="D18" s="4" t="s">
        <v>675</v>
      </c>
    </row>
    <row r="19" spans="1:4" ht="29.45" customHeight="1" x14ac:dyDescent="0.25">
      <c r="A19" s="53" t="s">
        <v>676</v>
      </c>
      <c r="B19" s="54" t="s">
        <v>1619</v>
      </c>
      <c r="C19" s="55" t="s">
        <v>1620</v>
      </c>
      <c r="D19" s="58" t="s">
        <v>698</v>
      </c>
    </row>
    <row r="20" spans="1:4" ht="16.149999999999999" customHeight="1" x14ac:dyDescent="0.25">
      <c r="A20" s="53" t="s">
        <v>680</v>
      </c>
      <c r="B20" s="54" t="s">
        <v>1621</v>
      </c>
      <c r="C20" s="55" t="s">
        <v>678</v>
      </c>
      <c r="D20" s="56" t="s">
        <v>679</v>
      </c>
    </row>
    <row r="21" spans="1:4" ht="16.149999999999999" customHeight="1" x14ac:dyDescent="0.25">
      <c r="A21" s="53" t="s">
        <v>1622</v>
      </c>
      <c r="B21" s="54" t="s">
        <v>1623</v>
      </c>
      <c r="C21" s="55" t="s">
        <v>1624</v>
      </c>
      <c r="D21" s="58" t="s">
        <v>698</v>
      </c>
    </row>
    <row r="22" spans="1:4" ht="29.45" customHeight="1" x14ac:dyDescent="0.25">
      <c r="A22" s="53" t="s">
        <v>1625</v>
      </c>
      <c r="B22" s="54" t="s">
        <v>1626</v>
      </c>
      <c r="C22" s="55" t="s">
        <v>1627</v>
      </c>
      <c r="D22" s="59" t="s">
        <v>748</v>
      </c>
    </row>
    <row r="23" spans="1:4" ht="16.149999999999999" customHeight="1" x14ac:dyDescent="0.25">
      <c r="A23" s="53" t="s">
        <v>1628</v>
      </c>
      <c r="B23" s="54" t="s">
        <v>1629</v>
      </c>
      <c r="C23" s="55" t="s">
        <v>678</v>
      </c>
      <c r="D23" s="56" t="s">
        <v>679</v>
      </c>
    </row>
    <row r="24" spans="1:4" ht="16.149999999999999" customHeight="1" x14ac:dyDescent="0.25">
      <c r="A24" s="53" t="s">
        <v>691</v>
      </c>
      <c r="B24" s="54" t="s">
        <v>1630</v>
      </c>
      <c r="C24" s="55" t="s">
        <v>1631</v>
      </c>
      <c r="D24" s="58" t="s">
        <v>698</v>
      </c>
    </row>
    <row r="25" spans="1:4" ht="29.45" customHeight="1" x14ac:dyDescent="0.25">
      <c r="A25" s="53" t="s">
        <v>1632</v>
      </c>
      <c r="B25" s="54" t="s">
        <v>1633</v>
      </c>
      <c r="C25" s="55" t="s">
        <v>1485</v>
      </c>
      <c r="D25" s="58" t="s">
        <v>698</v>
      </c>
    </row>
    <row r="26" spans="1:4" ht="16.149999999999999" customHeight="1" x14ac:dyDescent="0.25">
      <c r="A26" s="53" t="s">
        <v>695</v>
      </c>
      <c r="B26" s="54" t="s">
        <v>1634</v>
      </c>
      <c r="C26" s="55" t="s">
        <v>1485</v>
      </c>
      <c r="D26" s="58" t="s">
        <v>698</v>
      </c>
    </row>
    <row r="27" spans="1:4" ht="16.149999999999999" customHeight="1" x14ac:dyDescent="0.25">
      <c r="A27" s="53" t="s">
        <v>682</v>
      </c>
      <c r="B27" s="54" t="s">
        <v>1635</v>
      </c>
      <c r="C27" s="55" t="s">
        <v>1631</v>
      </c>
      <c r="D27" s="58" t="s">
        <v>698</v>
      </c>
    </row>
    <row r="28" spans="1:4" ht="16.149999999999999" customHeight="1" x14ac:dyDescent="0.25">
      <c r="A28" s="53" t="s">
        <v>1636</v>
      </c>
      <c r="B28" s="54" t="s">
        <v>1637</v>
      </c>
      <c r="C28" s="55" t="s">
        <v>1485</v>
      </c>
      <c r="D28" s="60" t="s">
        <v>803</v>
      </c>
    </row>
    <row r="29" spans="1:4" ht="29.45" customHeight="1" x14ac:dyDescent="0.25">
      <c r="A29" s="53" t="s">
        <v>1417</v>
      </c>
      <c r="B29" s="54" t="s">
        <v>1638</v>
      </c>
      <c r="C29" s="55" t="s">
        <v>1639</v>
      </c>
      <c r="D29" s="59" t="s">
        <v>748</v>
      </c>
    </row>
    <row r="30" spans="1:4" ht="29.45" customHeight="1" x14ac:dyDescent="0.25">
      <c r="A30" s="53" t="s">
        <v>1640</v>
      </c>
      <c r="B30" s="54" t="s">
        <v>1641</v>
      </c>
      <c r="C30" s="55" t="s">
        <v>966</v>
      </c>
      <c r="D30" s="58" t="s">
        <v>698</v>
      </c>
    </row>
    <row r="32" spans="1:4" x14ac:dyDescent="0.25">
      <c r="A32" s="4" t="s">
        <v>717</v>
      </c>
      <c r="B32" s="5"/>
      <c r="C32" s="4" t="s">
        <v>674</v>
      </c>
      <c r="D32" s="4" t="s">
        <v>675</v>
      </c>
    </row>
    <row r="33" spans="1:4" ht="29.45" customHeight="1" x14ac:dyDescent="0.25">
      <c r="A33" s="53" t="s">
        <v>1642</v>
      </c>
      <c r="B33" s="54" t="s">
        <v>1643</v>
      </c>
      <c r="C33" s="55" t="s">
        <v>1644</v>
      </c>
      <c r="D33" s="59" t="s">
        <v>748</v>
      </c>
    </row>
    <row r="34" spans="1:4" ht="16.149999999999999" customHeight="1" x14ac:dyDescent="0.25">
      <c r="A34" s="53" t="s">
        <v>1645</v>
      </c>
      <c r="B34" s="54" t="s">
        <v>1646</v>
      </c>
      <c r="C34" s="55" t="s">
        <v>841</v>
      </c>
      <c r="D34" s="59" t="s">
        <v>748</v>
      </c>
    </row>
    <row r="35" spans="1:4" ht="42.6" customHeight="1" x14ac:dyDescent="0.25">
      <c r="A35" s="53" t="s">
        <v>1647</v>
      </c>
      <c r="B35" s="54" t="s">
        <v>1648</v>
      </c>
      <c r="C35" s="55" t="s">
        <v>1649</v>
      </c>
      <c r="D35" s="59" t="s">
        <v>748</v>
      </c>
    </row>
    <row r="36" spans="1:4" ht="16.149999999999999" customHeight="1" x14ac:dyDescent="0.25">
      <c r="A36" s="53" t="s">
        <v>1650</v>
      </c>
      <c r="B36" s="54" t="s">
        <v>1651</v>
      </c>
      <c r="C36" s="55" t="s">
        <v>776</v>
      </c>
      <c r="D36" s="59" t="s">
        <v>748</v>
      </c>
    </row>
    <row r="37" spans="1:4" ht="16.149999999999999" customHeight="1" x14ac:dyDescent="0.25">
      <c r="A37" s="53" t="s">
        <v>1652</v>
      </c>
      <c r="B37" s="54" t="s">
        <v>1653</v>
      </c>
      <c r="C37" s="55" t="s">
        <v>1654</v>
      </c>
      <c r="D37" s="59" t="s">
        <v>748</v>
      </c>
    </row>
    <row r="39" spans="1:4" x14ac:dyDescent="0.25">
      <c r="A39" s="4" t="s">
        <v>728</v>
      </c>
      <c r="B39" s="5"/>
      <c r="C39" s="4" t="s">
        <v>674</v>
      </c>
      <c r="D39" s="4" t="s">
        <v>675</v>
      </c>
    </row>
    <row r="40" spans="1:4" ht="29.45" customHeight="1" x14ac:dyDescent="0.25">
      <c r="A40" s="53" t="s">
        <v>246</v>
      </c>
      <c r="B40" s="54" t="s">
        <v>1655</v>
      </c>
      <c r="C40" s="55" t="s">
        <v>678</v>
      </c>
      <c r="D40" s="57" t="s">
        <v>690</v>
      </c>
    </row>
    <row r="41" spans="1:4" ht="29.45" customHeight="1" x14ac:dyDescent="0.25">
      <c r="A41" s="53" t="s">
        <v>1656</v>
      </c>
      <c r="B41" s="54" t="s">
        <v>1657</v>
      </c>
      <c r="C41" s="55" t="s">
        <v>966</v>
      </c>
      <c r="D41" s="56" t="s">
        <v>679</v>
      </c>
    </row>
    <row r="42" spans="1:4" ht="29.45" customHeight="1" x14ac:dyDescent="0.25">
      <c r="A42" s="53" t="s">
        <v>1658</v>
      </c>
      <c r="B42" s="54" t="s">
        <v>1659</v>
      </c>
      <c r="C42" s="55" t="s">
        <v>1660</v>
      </c>
      <c r="D42" s="59" t="s">
        <v>748</v>
      </c>
    </row>
    <row r="44" spans="1:4" x14ac:dyDescent="0.25">
      <c r="A44" s="4" t="s">
        <v>740</v>
      </c>
      <c r="B44" s="5"/>
      <c r="C44" s="4" t="s">
        <v>674</v>
      </c>
      <c r="D44" s="4" t="s">
        <v>675</v>
      </c>
    </row>
    <row r="45" spans="1:4" ht="16.149999999999999" customHeight="1" x14ac:dyDescent="0.25">
      <c r="A45" s="53" t="s">
        <v>4</v>
      </c>
      <c r="B45" s="54" t="s">
        <v>1661</v>
      </c>
      <c r="C45" s="55" t="s">
        <v>1662</v>
      </c>
      <c r="D45" s="59" t="s">
        <v>748</v>
      </c>
    </row>
    <row r="46" spans="1:4" ht="16.149999999999999" customHeight="1" x14ac:dyDescent="0.25">
      <c r="A46" s="53" t="s">
        <v>1663</v>
      </c>
      <c r="B46" s="54" t="s">
        <v>1664</v>
      </c>
      <c r="C46" s="55" t="s">
        <v>1485</v>
      </c>
      <c r="D46" s="58" t="s">
        <v>698</v>
      </c>
    </row>
    <row r="47" spans="1:4" ht="16.149999999999999" customHeight="1" x14ac:dyDescent="0.25">
      <c r="A47" s="53" t="s">
        <v>1665</v>
      </c>
      <c r="B47" s="54" t="s">
        <v>1666</v>
      </c>
      <c r="C47" s="55" t="s">
        <v>1485</v>
      </c>
      <c r="D47" s="58" t="s">
        <v>698</v>
      </c>
    </row>
    <row r="48" spans="1:4" ht="16.149999999999999" customHeight="1" x14ac:dyDescent="0.25">
      <c r="A48" s="53" t="s">
        <v>754</v>
      </c>
      <c r="B48" s="54" t="s">
        <v>1667</v>
      </c>
      <c r="C48" s="55" t="s">
        <v>1485</v>
      </c>
      <c r="D48" s="58" t="s">
        <v>698</v>
      </c>
    </row>
    <row r="49" spans="1:4" ht="42.6" customHeight="1" x14ac:dyDescent="0.25">
      <c r="A49" s="53" t="s">
        <v>1668</v>
      </c>
      <c r="B49" s="54" t="s">
        <v>1669</v>
      </c>
      <c r="C49" s="55" t="s">
        <v>1670</v>
      </c>
      <c r="D49" s="59" t="s">
        <v>748</v>
      </c>
    </row>
    <row r="50" spans="1:4" ht="16.149999999999999" customHeight="1" x14ac:dyDescent="0.25">
      <c r="A50" s="53" t="s">
        <v>1671</v>
      </c>
      <c r="B50" s="54" t="s">
        <v>1672</v>
      </c>
      <c r="C50" s="55" t="s">
        <v>966</v>
      </c>
      <c r="D50" s="58" t="s">
        <v>698</v>
      </c>
    </row>
    <row r="52" spans="1:4" x14ac:dyDescent="0.25">
      <c r="A52" s="4" t="s">
        <v>762</v>
      </c>
      <c r="B52" s="5"/>
      <c r="C52" s="4" t="s">
        <v>674</v>
      </c>
      <c r="D52" s="4" t="s">
        <v>675</v>
      </c>
    </row>
    <row r="53" spans="1:4" ht="29.45" customHeight="1" x14ac:dyDescent="0.25">
      <c r="A53" s="53" t="s">
        <v>984</v>
      </c>
      <c r="B53" s="54" t="s">
        <v>1673</v>
      </c>
      <c r="C53" s="55" t="s">
        <v>1674</v>
      </c>
      <c r="D53" s="59" t="s">
        <v>748</v>
      </c>
    </row>
    <row r="54" spans="1:4" ht="16.149999999999999" customHeight="1" x14ac:dyDescent="0.25">
      <c r="A54" s="53" t="s">
        <v>1675</v>
      </c>
      <c r="B54" s="54" t="s">
        <v>1676</v>
      </c>
      <c r="C54" s="55" t="s">
        <v>1485</v>
      </c>
      <c r="D54" s="58" t="s">
        <v>698</v>
      </c>
    </row>
    <row r="55" spans="1:4" ht="29.45" customHeight="1" x14ac:dyDescent="0.25">
      <c r="A55" s="53" t="s">
        <v>1677</v>
      </c>
      <c r="B55" s="54" t="s">
        <v>1678</v>
      </c>
      <c r="C55" s="55" t="s">
        <v>747</v>
      </c>
      <c r="D55" s="60" t="s">
        <v>803</v>
      </c>
    </row>
    <row r="56" spans="1:4" ht="16.149999999999999" customHeight="1" x14ac:dyDescent="0.25">
      <c r="A56" s="53" t="s">
        <v>1679</v>
      </c>
      <c r="B56" s="54" t="s">
        <v>1680</v>
      </c>
      <c r="C56" s="55" t="s">
        <v>844</v>
      </c>
      <c r="D56" s="57" t="s">
        <v>690</v>
      </c>
    </row>
    <row r="57" spans="1:4" ht="16.149999999999999" customHeight="1" x14ac:dyDescent="0.25">
      <c r="A57" s="53" t="s">
        <v>1681</v>
      </c>
      <c r="B57" s="54" t="s">
        <v>1682</v>
      </c>
      <c r="C57" s="55" t="s">
        <v>1485</v>
      </c>
      <c r="D57" s="58" t="s">
        <v>698</v>
      </c>
    </row>
    <row r="59" spans="1:4" x14ac:dyDescent="0.25">
      <c r="A59" s="4" t="s">
        <v>773</v>
      </c>
      <c r="B59" s="5"/>
      <c r="C59" s="4" t="s">
        <v>674</v>
      </c>
      <c r="D59" s="4" t="s">
        <v>675</v>
      </c>
    </row>
    <row r="60" spans="1:4" ht="29.45" customHeight="1" x14ac:dyDescent="0.25">
      <c r="A60" s="53" t="s">
        <v>1683</v>
      </c>
      <c r="B60" s="54" t="s">
        <v>1684</v>
      </c>
      <c r="C60" s="55" t="s">
        <v>1685</v>
      </c>
      <c r="D60" s="57" t="s">
        <v>690</v>
      </c>
    </row>
    <row r="61" spans="1:4" ht="29.45" customHeight="1" x14ac:dyDescent="0.25">
      <c r="A61" s="53" t="s">
        <v>1686</v>
      </c>
      <c r="B61" s="54" t="s">
        <v>1687</v>
      </c>
      <c r="C61" s="55" t="s">
        <v>734</v>
      </c>
      <c r="D61" s="59" t="s">
        <v>748</v>
      </c>
    </row>
    <row r="62" spans="1:4" ht="29.45" customHeight="1" x14ac:dyDescent="0.25">
      <c r="A62" s="53" t="s">
        <v>1688</v>
      </c>
      <c r="B62" s="54" t="s">
        <v>1689</v>
      </c>
      <c r="C62" s="55" t="s">
        <v>734</v>
      </c>
      <c r="D62" s="59" t="s">
        <v>748</v>
      </c>
    </row>
    <row r="64" spans="1:4" x14ac:dyDescent="0.25">
      <c r="A64" s="4" t="s">
        <v>781</v>
      </c>
      <c r="B64" s="5"/>
      <c r="C64" s="4" t="s">
        <v>674</v>
      </c>
      <c r="D64" s="4" t="s">
        <v>675</v>
      </c>
    </row>
    <row r="65" spans="1:4" ht="16.149999999999999" customHeight="1" x14ac:dyDescent="0.25">
      <c r="A65" s="53" t="s">
        <v>261</v>
      </c>
      <c r="B65" s="54" t="s">
        <v>1690</v>
      </c>
      <c r="C65" s="55" t="s">
        <v>1691</v>
      </c>
      <c r="D65" s="58" t="s">
        <v>698</v>
      </c>
    </row>
    <row r="66" spans="1:4" ht="16.149999999999999" customHeight="1" x14ac:dyDescent="0.25">
      <c r="A66" s="53" t="s">
        <v>1692</v>
      </c>
      <c r="B66" s="54" t="s">
        <v>1693</v>
      </c>
      <c r="C66" s="55" t="s">
        <v>1485</v>
      </c>
      <c r="D66" s="58" t="s">
        <v>698</v>
      </c>
    </row>
    <row r="67" spans="1:4" ht="29.45" customHeight="1" x14ac:dyDescent="0.25">
      <c r="A67" s="53" t="s">
        <v>1694</v>
      </c>
      <c r="B67" s="54" t="s">
        <v>1334</v>
      </c>
      <c r="C67" s="55" t="s">
        <v>966</v>
      </c>
      <c r="D67" s="58" t="s">
        <v>698</v>
      </c>
    </row>
    <row r="69" spans="1:4" x14ac:dyDescent="0.25">
      <c r="A69" s="4" t="s">
        <v>792</v>
      </c>
      <c r="B69" s="5"/>
      <c r="C69" s="4" t="s">
        <v>674</v>
      </c>
      <c r="D69" s="4" t="s">
        <v>675</v>
      </c>
    </row>
    <row r="70" spans="1:4" ht="29.45" customHeight="1" x14ac:dyDescent="0.25">
      <c r="A70" s="53" t="s">
        <v>793</v>
      </c>
      <c r="B70" s="54" t="s">
        <v>1695</v>
      </c>
      <c r="C70" s="55" t="s">
        <v>1696</v>
      </c>
      <c r="D70" s="59" t="s">
        <v>748</v>
      </c>
    </row>
    <row r="71" spans="1:4" ht="29.45" customHeight="1" x14ac:dyDescent="0.25">
      <c r="A71" s="53" t="s">
        <v>1697</v>
      </c>
      <c r="B71" s="54" t="s">
        <v>1698</v>
      </c>
      <c r="C71" s="55" t="s">
        <v>1699</v>
      </c>
      <c r="D71" s="57" t="s">
        <v>690</v>
      </c>
    </row>
    <row r="72" spans="1:4" ht="16.149999999999999" customHeight="1" x14ac:dyDescent="0.25">
      <c r="A72" s="53" t="s">
        <v>1337</v>
      </c>
      <c r="B72" s="54" t="s">
        <v>1700</v>
      </c>
      <c r="C72" s="55" t="s">
        <v>1485</v>
      </c>
      <c r="D72" s="60" t="s">
        <v>803</v>
      </c>
    </row>
    <row r="73" spans="1:4" ht="16.149999999999999" customHeight="1" x14ac:dyDescent="0.25">
      <c r="A73" s="53" t="s">
        <v>801</v>
      </c>
      <c r="B73" s="54" t="s">
        <v>1701</v>
      </c>
      <c r="C73" s="55" t="s">
        <v>1485</v>
      </c>
      <c r="D73" s="60" t="s">
        <v>803</v>
      </c>
    </row>
    <row r="75" spans="1:4" x14ac:dyDescent="0.25">
      <c r="A75" s="4" t="s">
        <v>804</v>
      </c>
      <c r="B75" s="5"/>
      <c r="C75" s="4" t="s">
        <v>674</v>
      </c>
      <c r="D75" s="4" t="s">
        <v>675</v>
      </c>
    </row>
    <row r="76" spans="1:4" ht="16.149999999999999" customHeight="1" x14ac:dyDescent="0.25">
      <c r="A76" s="53" t="s">
        <v>1702</v>
      </c>
      <c r="B76" s="54" t="s">
        <v>1703</v>
      </c>
      <c r="C76" s="55" t="s">
        <v>1704</v>
      </c>
      <c r="D76" s="59" t="s">
        <v>748</v>
      </c>
    </row>
    <row r="78" spans="1:4" x14ac:dyDescent="0.25">
      <c r="A78" s="4" t="s">
        <v>813</v>
      </c>
      <c r="B78" s="5"/>
      <c r="C78" s="4" t="s">
        <v>674</v>
      </c>
      <c r="D78" s="4" t="s">
        <v>675</v>
      </c>
    </row>
    <row r="79" spans="1:4" ht="16.149999999999999" customHeight="1" x14ac:dyDescent="0.25">
      <c r="A79" s="53" t="s">
        <v>1705</v>
      </c>
      <c r="B79" s="54" t="s">
        <v>1706</v>
      </c>
      <c r="C79" s="55" t="s">
        <v>966</v>
      </c>
      <c r="D79" s="58" t="s">
        <v>698</v>
      </c>
    </row>
    <row r="81" spans="1:4" x14ac:dyDescent="0.25">
      <c r="A81" s="4" t="s">
        <v>826</v>
      </c>
      <c r="B81" s="5"/>
      <c r="C81" s="4" t="s">
        <v>674</v>
      </c>
      <c r="D81" s="4" t="s">
        <v>675</v>
      </c>
    </row>
    <row r="82" spans="1:4" ht="16.149999999999999" customHeight="1" x14ac:dyDescent="0.25">
      <c r="A82" s="53" t="s">
        <v>827</v>
      </c>
      <c r="B82" s="54" t="s">
        <v>1707</v>
      </c>
      <c r="C82" s="55" t="s">
        <v>1708</v>
      </c>
      <c r="D82" s="59" t="s">
        <v>748</v>
      </c>
    </row>
    <row r="83" spans="1:4" ht="16.149999999999999" customHeight="1" x14ac:dyDescent="0.25">
      <c r="A83" s="53" t="s">
        <v>1031</v>
      </c>
      <c r="B83" s="54" t="s">
        <v>1709</v>
      </c>
      <c r="C83" s="55" t="s">
        <v>1708</v>
      </c>
      <c r="D83" s="59" t="s">
        <v>748</v>
      </c>
    </row>
    <row r="84" spans="1:4" ht="16.149999999999999" customHeight="1" x14ac:dyDescent="0.25">
      <c r="A84" s="53" t="s">
        <v>1710</v>
      </c>
      <c r="B84" s="54" t="s">
        <v>1711</v>
      </c>
      <c r="C84" s="55" t="s">
        <v>841</v>
      </c>
      <c r="D84" s="59" t="s">
        <v>748</v>
      </c>
    </row>
    <row r="86" spans="1:4" x14ac:dyDescent="0.25">
      <c r="A86" s="4" t="s">
        <v>833</v>
      </c>
      <c r="B86" s="5"/>
      <c r="C86" s="4" t="s">
        <v>674</v>
      </c>
      <c r="D86" s="4" t="s">
        <v>675</v>
      </c>
    </row>
    <row r="87" spans="1:4" ht="29.45" customHeight="1" x14ac:dyDescent="0.25">
      <c r="A87" s="53" t="s">
        <v>1205</v>
      </c>
      <c r="B87" s="54" t="s">
        <v>1712</v>
      </c>
      <c r="C87" s="55" t="s">
        <v>678</v>
      </c>
      <c r="D87" s="56" t="s">
        <v>679</v>
      </c>
    </row>
    <row r="89" spans="1:4" x14ac:dyDescent="0.25">
      <c r="A89" s="4" t="s">
        <v>836</v>
      </c>
      <c r="B89" s="5"/>
      <c r="C89" s="4" t="s">
        <v>674</v>
      </c>
      <c r="D89" s="4" t="s">
        <v>675</v>
      </c>
    </row>
    <row r="90" spans="1:4" ht="16.149999999999999" customHeight="1" x14ac:dyDescent="0.25">
      <c r="A90" s="53" t="s">
        <v>781</v>
      </c>
      <c r="B90" s="54" t="s">
        <v>1713</v>
      </c>
      <c r="C90" s="55" t="s">
        <v>1485</v>
      </c>
      <c r="D90" s="58" t="s">
        <v>698</v>
      </c>
    </row>
    <row r="91" spans="1:4" ht="29.45" customHeight="1" x14ac:dyDescent="0.25">
      <c r="A91" s="53" t="s">
        <v>1714</v>
      </c>
      <c r="B91" s="54" t="s">
        <v>1715</v>
      </c>
      <c r="C91" s="55" t="s">
        <v>1716</v>
      </c>
      <c r="D91" s="59" t="s">
        <v>748</v>
      </c>
    </row>
    <row r="92" spans="1:4" ht="16.149999999999999" customHeight="1" x14ac:dyDescent="0.25">
      <c r="A92" s="53" t="s">
        <v>1187</v>
      </c>
      <c r="B92" s="54" t="s">
        <v>1717</v>
      </c>
      <c r="C92" s="55" t="s">
        <v>1485</v>
      </c>
      <c r="D92" s="60" t="s">
        <v>803</v>
      </c>
    </row>
    <row r="93" spans="1:4" ht="16.149999999999999" customHeight="1" x14ac:dyDescent="0.25">
      <c r="A93" s="53" t="s">
        <v>1718</v>
      </c>
      <c r="B93" s="54" t="s">
        <v>1719</v>
      </c>
      <c r="C93" s="55" t="s">
        <v>734</v>
      </c>
      <c r="D93" s="59" t="s">
        <v>748</v>
      </c>
    </row>
    <row r="94" spans="1:4" ht="16.149999999999999" customHeight="1" x14ac:dyDescent="0.25">
      <c r="A94" s="53" t="s">
        <v>1720</v>
      </c>
      <c r="B94" s="54" t="s">
        <v>1721</v>
      </c>
      <c r="C94" s="55" t="s">
        <v>697</v>
      </c>
      <c r="D94" s="59" t="s">
        <v>748</v>
      </c>
    </row>
    <row r="96" spans="1:4" x14ac:dyDescent="0.25">
      <c r="A96" s="4" t="s">
        <v>855</v>
      </c>
      <c r="B96" s="5"/>
      <c r="C96" s="4" t="s">
        <v>674</v>
      </c>
      <c r="D96" s="4" t="s">
        <v>675</v>
      </c>
    </row>
    <row r="97" spans="1:4" ht="29.45" customHeight="1" x14ac:dyDescent="0.25">
      <c r="A97" s="53" t="s">
        <v>1722</v>
      </c>
      <c r="B97" s="54" t="s">
        <v>1723</v>
      </c>
      <c r="C97" s="55" t="s">
        <v>1724</v>
      </c>
      <c r="D97" s="59" t="s">
        <v>748</v>
      </c>
    </row>
    <row r="99" spans="1:4" x14ac:dyDescent="0.25">
      <c r="A99" s="4" t="s">
        <v>868</v>
      </c>
      <c r="B99" s="5"/>
      <c r="C99" s="4" t="s">
        <v>674</v>
      </c>
      <c r="D99" s="5"/>
    </row>
    <row r="100" spans="1:4" ht="16.149999999999999" customHeight="1" x14ac:dyDescent="0.25">
      <c r="A100" s="61" t="s">
        <v>1725</v>
      </c>
      <c r="B100" s="54" t="s">
        <v>1726</v>
      </c>
      <c r="C100" s="55" t="s">
        <v>747</v>
      </c>
      <c r="D100" s="62"/>
    </row>
    <row r="101" spans="1:4" ht="16.149999999999999" customHeight="1" x14ac:dyDescent="0.25">
      <c r="A101" s="61" t="s">
        <v>1369</v>
      </c>
      <c r="B101" s="54" t="s">
        <v>1727</v>
      </c>
      <c r="C101" s="55" t="s">
        <v>948</v>
      </c>
      <c r="D101" s="62"/>
    </row>
    <row r="102" spans="1:4" ht="16.149999999999999" customHeight="1" x14ac:dyDescent="0.25">
      <c r="A102" s="61" t="s">
        <v>1728</v>
      </c>
      <c r="B102" s="54" t="s">
        <v>1729</v>
      </c>
      <c r="C102" s="55" t="s">
        <v>844</v>
      </c>
      <c r="D102" s="62"/>
    </row>
    <row r="103" spans="1:4" ht="16.149999999999999" customHeight="1" x14ac:dyDescent="0.25">
      <c r="A103" s="61" t="s">
        <v>1730</v>
      </c>
      <c r="B103" s="54" t="s">
        <v>1731</v>
      </c>
      <c r="C103" s="55" t="s">
        <v>684</v>
      </c>
      <c r="D103" s="62"/>
    </row>
    <row r="104" spans="1:4" ht="16.149999999999999" customHeight="1" x14ac:dyDescent="0.25">
      <c r="A104" s="61" t="s">
        <v>1732</v>
      </c>
      <c r="B104" s="54" t="s">
        <v>1733</v>
      </c>
      <c r="C104" s="55" t="s">
        <v>678</v>
      </c>
      <c r="D104" s="62"/>
    </row>
    <row r="105" spans="1:4" ht="16.149999999999999" customHeight="1" x14ac:dyDescent="0.25">
      <c r="A105" s="61" t="s">
        <v>1734</v>
      </c>
      <c r="B105" s="54" t="s">
        <v>1735</v>
      </c>
      <c r="C105" s="55" t="s">
        <v>1524</v>
      </c>
      <c r="D105" s="62"/>
    </row>
    <row r="106" spans="1:4" ht="16.149999999999999" customHeight="1" x14ac:dyDescent="0.25">
      <c r="A106" s="61" t="s">
        <v>1736</v>
      </c>
      <c r="B106" s="54" t="s">
        <v>1737</v>
      </c>
      <c r="C106" s="55" t="s">
        <v>731</v>
      </c>
      <c r="D106" s="62"/>
    </row>
    <row r="107" spans="1:4" ht="16.149999999999999" customHeight="1" x14ac:dyDescent="0.25">
      <c r="A107" s="61" t="s">
        <v>1738</v>
      </c>
      <c r="B107" s="54" t="s">
        <v>1739</v>
      </c>
      <c r="C107" s="55" t="s">
        <v>962</v>
      </c>
      <c r="D107" s="62"/>
    </row>
    <row r="108" spans="1:4" ht="16.149999999999999" customHeight="1" x14ac:dyDescent="0.25">
      <c r="A108" s="61" t="s">
        <v>1740</v>
      </c>
      <c r="B108" s="54" t="s">
        <v>1741</v>
      </c>
      <c r="C108" s="55" t="s">
        <v>678</v>
      </c>
      <c r="D108" s="62"/>
    </row>
    <row r="109" spans="1:4" ht="16.149999999999999" customHeight="1" x14ac:dyDescent="0.25">
      <c r="A109" s="61" t="s">
        <v>1742</v>
      </c>
      <c r="B109" s="54" t="s">
        <v>1743</v>
      </c>
      <c r="C109" s="55" t="s">
        <v>1485</v>
      </c>
      <c r="D109" s="62"/>
    </row>
    <row r="110" spans="1:4" ht="16.149999999999999" customHeight="1" x14ac:dyDescent="0.25">
      <c r="A110" s="61" t="s">
        <v>1744</v>
      </c>
      <c r="B110" s="54" t="s">
        <v>1745</v>
      </c>
      <c r="C110" s="55" t="s">
        <v>697</v>
      </c>
      <c r="D110" s="62"/>
    </row>
    <row r="112" spans="1:4" x14ac:dyDescent="0.25">
      <c r="A112" s="4" t="s">
        <v>894</v>
      </c>
      <c r="B112" s="5"/>
      <c r="C112" s="5"/>
      <c r="D112" s="5"/>
    </row>
    <row r="113" spans="1:4" ht="29.45" customHeight="1" x14ac:dyDescent="0.25">
      <c r="A113" s="53" t="s">
        <v>1746</v>
      </c>
      <c r="B113" s="54" t="s">
        <v>1747</v>
      </c>
      <c r="C113" s="28" t="s">
        <v>897</v>
      </c>
      <c r="D113" s="62"/>
    </row>
    <row r="114" spans="1:4" ht="29.45" customHeight="1" x14ac:dyDescent="0.25">
      <c r="A114" s="53" t="s">
        <v>1748</v>
      </c>
      <c r="B114" s="54" t="s">
        <v>1749</v>
      </c>
      <c r="C114" s="28" t="s">
        <v>897</v>
      </c>
      <c r="D114" s="62"/>
    </row>
    <row r="115" spans="1:4" ht="29.45" customHeight="1" x14ac:dyDescent="0.25">
      <c r="A115" s="53" t="s">
        <v>1750</v>
      </c>
      <c r="B115" s="54" t="s">
        <v>1751</v>
      </c>
      <c r="C115" s="28" t="s">
        <v>897</v>
      </c>
      <c r="D115" s="62"/>
    </row>
    <row r="116" spans="1:4" ht="42.6" customHeight="1" x14ac:dyDescent="0.25">
      <c r="A116" s="53" t="s">
        <v>1752</v>
      </c>
      <c r="B116" s="54" t="s">
        <v>1753</v>
      </c>
      <c r="C116" s="28" t="s">
        <v>897</v>
      </c>
      <c r="D116" s="62"/>
    </row>
    <row r="117" spans="1:4" ht="29.45" customHeight="1" x14ac:dyDescent="0.25">
      <c r="A117" s="53" t="s">
        <v>1754</v>
      </c>
      <c r="B117" s="54" t="s">
        <v>1755</v>
      </c>
      <c r="C117" s="28" t="s">
        <v>897</v>
      </c>
      <c r="D117" s="62"/>
    </row>
    <row r="118" spans="1:4" ht="29.45" customHeight="1" x14ac:dyDescent="0.25">
      <c r="A118" s="53" t="s">
        <v>1756</v>
      </c>
      <c r="B118" s="54" t="s">
        <v>1757</v>
      </c>
      <c r="C118" s="28" t="s">
        <v>897</v>
      </c>
      <c r="D118" s="62"/>
    </row>
    <row r="119" spans="1:4" ht="29.45" customHeight="1" x14ac:dyDescent="0.25">
      <c r="A119" s="53" t="s">
        <v>1758</v>
      </c>
      <c r="B119" s="54" t="s">
        <v>1759</v>
      </c>
      <c r="C119" s="28" t="s">
        <v>897</v>
      </c>
      <c r="D119" s="62"/>
    </row>
    <row r="120" spans="1:4" ht="29.45" customHeight="1" x14ac:dyDescent="0.25">
      <c r="A120" s="53" t="s">
        <v>1760</v>
      </c>
      <c r="B120" s="54" t="s">
        <v>1761</v>
      </c>
      <c r="C120" s="28" t="s">
        <v>897</v>
      </c>
      <c r="D120" s="62"/>
    </row>
    <row r="121" spans="1:4" ht="29.45" customHeight="1" x14ac:dyDescent="0.25">
      <c r="A121" s="53" t="s">
        <v>1762</v>
      </c>
      <c r="B121" s="54" t="s">
        <v>1763</v>
      </c>
      <c r="C121" s="28" t="s">
        <v>897</v>
      </c>
      <c r="D121" s="62"/>
    </row>
    <row r="122" spans="1:4" ht="29.45" customHeight="1" x14ac:dyDescent="0.25">
      <c r="A122" s="53" t="s">
        <v>1764</v>
      </c>
      <c r="B122" s="54" t="s">
        <v>1765</v>
      </c>
      <c r="C122" s="28" t="s">
        <v>897</v>
      </c>
      <c r="D122" s="62"/>
    </row>
    <row r="123" spans="1:4" ht="16.149999999999999" customHeight="1" x14ac:dyDescent="0.25">
      <c r="A123" s="53" t="s">
        <v>1766</v>
      </c>
      <c r="B123" s="54" t="s">
        <v>1767</v>
      </c>
      <c r="C123" s="28" t="s">
        <v>897</v>
      </c>
      <c r="D123" s="62"/>
    </row>
    <row r="124" spans="1:4" ht="29.45" customHeight="1" x14ac:dyDescent="0.25">
      <c r="A124" s="53" t="s">
        <v>1768</v>
      </c>
      <c r="B124" s="54" t="s">
        <v>1769</v>
      </c>
      <c r="C124" s="28" t="s">
        <v>897</v>
      </c>
      <c r="D124" s="62"/>
    </row>
    <row r="125" spans="1:4" ht="16.149999999999999" customHeight="1" x14ac:dyDescent="0.25">
      <c r="A125" s="53" t="s">
        <v>1770</v>
      </c>
      <c r="B125" s="54" t="s">
        <v>1771</v>
      </c>
      <c r="C125" s="28" t="s">
        <v>897</v>
      </c>
      <c r="D125" s="62"/>
    </row>
    <row r="126" spans="1:4" ht="29.45" customHeight="1" x14ac:dyDescent="0.25">
      <c r="A126" s="53" t="s">
        <v>1772</v>
      </c>
      <c r="B126" s="54" t="s">
        <v>1773</v>
      </c>
      <c r="C126" s="28" t="s">
        <v>897</v>
      </c>
      <c r="D126" s="62"/>
    </row>
    <row r="127" spans="1:4" ht="29.45" customHeight="1" x14ac:dyDescent="0.25">
      <c r="A127" s="53" t="s">
        <v>1774</v>
      </c>
      <c r="B127" s="54" t="s">
        <v>1775</v>
      </c>
      <c r="C127" s="28" t="s">
        <v>897</v>
      </c>
      <c r="D127" s="62"/>
    </row>
    <row r="128" spans="1:4" ht="29.45" customHeight="1" x14ac:dyDescent="0.25">
      <c r="A128" s="53" t="s">
        <v>1776</v>
      </c>
      <c r="B128" s="54" t="s">
        <v>1777</v>
      </c>
      <c r="C128" s="28" t="s">
        <v>897</v>
      </c>
      <c r="D128" s="62"/>
    </row>
    <row r="129" spans="1:4" ht="29.45" customHeight="1" x14ac:dyDescent="0.25">
      <c r="A129" s="53" t="s">
        <v>1778</v>
      </c>
      <c r="B129" s="54" t="s">
        <v>1779</v>
      </c>
      <c r="C129" s="28" t="s">
        <v>897</v>
      </c>
      <c r="D129" s="62"/>
    </row>
    <row r="130" spans="1:4" ht="29.45" customHeight="1" x14ac:dyDescent="0.25">
      <c r="A130" s="53" t="s">
        <v>1780</v>
      </c>
      <c r="B130" s="54" t="s">
        <v>1781</v>
      </c>
      <c r="C130" s="62"/>
      <c r="D130" s="62"/>
    </row>
    <row r="132" spans="1:4" x14ac:dyDescent="0.25">
      <c r="A132" s="4" t="s">
        <v>926</v>
      </c>
      <c r="B132" s="5"/>
      <c r="C132" s="5"/>
      <c r="D132" s="5"/>
    </row>
    <row r="133" spans="1:4" ht="42.6" customHeight="1" x14ac:dyDescent="0.25">
      <c r="B133" s="52" t="s">
        <v>1782</v>
      </c>
    </row>
    <row r="134" spans="1:4" ht="16.149999999999999" customHeight="1" x14ac:dyDescent="0.25">
      <c r="B134" s="52" t="s">
        <v>1783</v>
      </c>
    </row>
    <row r="135" spans="1:4" ht="16.149999999999999" customHeight="1" x14ac:dyDescent="0.25">
      <c r="B135" s="52" t="s">
        <v>1784</v>
      </c>
    </row>
    <row r="136" spans="1:4" ht="29.45" customHeight="1" x14ac:dyDescent="0.25">
      <c r="B136" s="52" t="s">
        <v>1785</v>
      </c>
    </row>
    <row r="137" spans="1:4" ht="16.149999999999999" customHeight="1" x14ac:dyDescent="0.25">
      <c r="B137" s="52" t="s">
        <v>1786</v>
      </c>
    </row>
    <row r="138" spans="1:4" ht="16.149999999999999" customHeight="1" x14ac:dyDescent="0.25">
      <c r="B138" s="52" t="s">
        <v>1787</v>
      </c>
    </row>
    <row r="139" spans="1:4" ht="29.45" customHeight="1" x14ac:dyDescent="0.25">
      <c r="B139" s="52" t="s">
        <v>1788</v>
      </c>
    </row>
    <row r="140" spans="1:4" ht="29.45" customHeight="1" x14ac:dyDescent="0.25">
      <c r="B140" s="52" t="s">
        <v>1789</v>
      </c>
    </row>
    <row r="141" spans="1:4" ht="16.149999999999999" customHeight="1" x14ac:dyDescent="0.25">
      <c r="B141" s="52" t="s">
        <v>1790</v>
      </c>
    </row>
  </sheetData>
  <hyperlinks>
    <hyperlink ref="D1" location="'Monitor'!A11" display="&lt;&lt; Monitor" xr:uid="{00000000-0004-0000-0E00-000000000000}"/>
    <hyperlink ref="C113" r:id="rId1" xr:uid="{00000000-0004-0000-0E00-000001000000}"/>
    <hyperlink ref="C114" r:id="rId2" xr:uid="{00000000-0004-0000-0E00-000002000000}"/>
    <hyperlink ref="C115" r:id="rId3" xr:uid="{00000000-0004-0000-0E00-000003000000}"/>
    <hyperlink ref="C116" r:id="rId4" xr:uid="{00000000-0004-0000-0E00-000004000000}"/>
    <hyperlink ref="C117" r:id="rId5" xr:uid="{00000000-0004-0000-0E00-000005000000}"/>
    <hyperlink ref="C118" r:id="rId6" xr:uid="{00000000-0004-0000-0E00-000006000000}"/>
    <hyperlink ref="C119" r:id="rId7" xr:uid="{00000000-0004-0000-0E00-000007000000}"/>
    <hyperlink ref="C120" r:id="rId8" xr:uid="{00000000-0004-0000-0E00-000008000000}"/>
    <hyperlink ref="C121" r:id="rId9" xr:uid="{00000000-0004-0000-0E00-000009000000}"/>
    <hyperlink ref="C122" r:id="rId10" xr:uid="{00000000-0004-0000-0E00-00000A000000}"/>
    <hyperlink ref="C123" r:id="rId11" xr:uid="{00000000-0004-0000-0E00-00000B000000}"/>
    <hyperlink ref="C124" r:id="rId12" xr:uid="{00000000-0004-0000-0E00-00000C000000}"/>
    <hyperlink ref="C125" r:id="rId13" xr:uid="{00000000-0004-0000-0E00-00000D000000}"/>
    <hyperlink ref="C126" r:id="rId14" xr:uid="{00000000-0004-0000-0E00-00000E000000}"/>
    <hyperlink ref="C127" r:id="rId15" xr:uid="{00000000-0004-0000-0E00-00000F000000}"/>
    <hyperlink ref="C128" r:id="rId16" xr:uid="{00000000-0004-0000-0E00-000010000000}"/>
    <hyperlink ref="C129" r:id="rId17" xr:uid="{00000000-0004-0000-0E00-000011000000}"/>
  </hyperlink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D133"/>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206</v>
      </c>
      <c r="D1" s="41" t="s">
        <v>667</v>
      </c>
    </row>
    <row r="2" spans="1:4" x14ac:dyDescent="0.25">
      <c r="A2" s="2" t="s">
        <v>1791</v>
      </c>
    </row>
    <row r="4" spans="1:4" x14ac:dyDescent="0.25">
      <c r="A4" s="42" t="s">
        <v>9</v>
      </c>
      <c r="B4" s="43">
        <f>Monitor!H12</f>
        <v>87.991</v>
      </c>
    </row>
    <row r="5" spans="1:4" x14ac:dyDescent="0.25">
      <c r="A5" s="42" t="s">
        <v>11</v>
      </c>
      <c r="B5" s="44">
        <f>Monitor!J12</f>
        <v>7.5219323476729567</v>
      </c>
    </row>
    <row r="6" spans="1:4" x14ac:dyDescent="0.25">
      <c r="A6" s="42" t="s">
        <v>8</v>
      </c>
      <c r="B6" s="45">
        <f>Monitor!G12</f>
        <v>4600</v>
      </c>
    </row>
    <row r="7" spans="1:4" x14ac:dyDescent="0.25">
      <c r="A7" s="42" t="s">
        <v>14</v>
      </c>
      <c r="B7" s="46">
        <f>Monitor!M12</f>
        <v>-552.41399999999999</v>
      </c>
    </row>
    <row r="8" spans="1:4" x14ac:dyDescent="0.25">
      <c r="A8" s="42" t="s">
        <v>15</v>
      </c>
      <c r="B8" s="47">
        <f>Monitor!N12</f>
        <v>-0.12009</v>
      </c>
    </row>
    <row r="9" spans="1:4" x14ac:dyDescent="0.25">
      <c r="A9" s="42" t="s">
        <v>669</v>
      </c>
      <c r="B9" s="46">
        <f>Monitor!O12</f>
        <v>7.544000000000068</v>
      </c>
    </row>
    <row r="10" spans="1:4" x14ac:dyDescent="0.25">
      <c r="A10" s="42" t="s">
        <v>20</v>
      </c>
      <c r="B10" s="48">
        <f>Monitor!S12</f>
        <v>46127</v>
      </c>
    </row>
    <row r="11" spans="1:4" x14ac:dyDescent="0.25">
      <c r="A11" s="42" t="s">
        <v>670</v>
      </c>
      <c r="B11" s="49">
        <f>Monitor!W12</f>
        <v>215.16861874946792</v>
      </c>
    </row>
    <row r="12" spans="1:4" x14ac:dyDescent="0.25">
      <c r="A12" s="42" t="s">
        <v>671</v>
      </c>
      <c r="B12" s="50" t="str">
        <f>Monitor!F12</f>
        <v>Baa2/NR/NR</v>
      </c>
    </row>
    <row r="13" spans="1:4" x14ac:dyDescent="0.25">
      <c r="A13" s="42" t="s">
        <v>4</v>
      </c>
      <c r="B13" s="50" t="str">
        <f>Monitor!C12</f>
        <v>Microsoft</v>
      </c>
    </row>
    <row r="15" spans="1:4" x14ac:dyDescent="0.25">
      <c r="A15" s="4" t="s">
        <v>672</v>
      </c>
      <c r="B15" s="5"/>
      <c r="C15" s="5"/>
      <c r="D15" s="5"/>
    </row>
    <row r="16" spans="1:4" ht="42.6" customHeight="1" x14ac:dyDescent="0.25">
      <c r="A16" s="51" t="s">
        <v>192</v>
      </c>
      <c r="B16" s="52" t="s">
        <v>207</v>
      </c>
    </row>
    <row r="18" spans="1:4" x14ac:dyDescent="0.25">
      <c r="A18" s="4" t="s">
        <v>673</v>
      </c>
      <c r="B18" s="5"/>
      <c r="C18" s="4" t="s">
        <v>674</v>
      </c>
      <c r="D18" s="4" t="s">
        <v>675</v>
      </c>
    </row>
    <row r="19" spans="1:4" ht="29.45" customHeight="1" x14ac:dyDescent="0.25">
      <c r="A19" s="53" t="s">
        <v>1792</v>
      </c>
      <c r="B19" s="54" t="s">
        <v>1793</v>
      </c>
      <c r="C19" s="55" t="s">
        <v>1794</v>
      </c>
      <c r="D19" s="56" t="s">
        <v>679</v>
      </c>
    </row>
    <row r="20" spans="1:4" ht="16.149999999999999" customHeight="1" x14ac:dyDescent="0.25">
      <c r="A20" s="53" t="s">
        <v>680</v>
      </c>
      <c r="B20" s="54" t="s">
        <v>1795</v>
      </c>
      <c r="C20" s="55" t="s">
        <v>1796</v>
      </c>
      <c r="D20" s="56" t="s">
        <v>679</v>
      </c>
    </row>
    <row r="21" spans="1:4" ht="16.149999999999999" customHeight="1" x14ac:dyDescent="0.25">
      <c r="A21" s="53" t="s">
        <v>1797</v>
      </c>
      <c r="B21" s="54" t="s">
        <v>1798</v>
      </c>
      <c r="C21" s="55" t="s">
        <v>1799</v>
      </c>
      <c r="D21" s="59" t="s">
        <v>748</v>
      </c>
    </row>
    <row r="22" spans="1:4" ht="16.149999999999999" customHeight="1" x14ac:dyDescent="0.25">
      <c r="A22" s="53" t="s">
        <v>1800</v>
      </c>
      <c r="B22" s="54" t="s">
        <v>1801</v>
      </c>
      <c r="C22" s="55" t="s">
        <v>684</v>
      </c>
      <c r="D22" s="56" t="s">
        <v>679</v>
      </c>
    </row>
    <row r="23" spans="1:4" ht="16.149999999999999" customHeight="1" x14ac:dyDescent="0.25">
      <c r="A23" s="53" t="s">
        <v>1802</v>
      </c>
      <c r="B23" s="54" t="s">
        <v>1803</v>
      </c>
      <c r="C23" s="55" t="s">
        <v>1804</v>
      </c>
      <c r="D23" s="59" t="s">
        <v>748</v>
      </c>
    </row>
    <row r="24" spans="1:4" ht="16.149999999999999" customHeight="1" x14ac:dyDescent="0.25">
      <c r="A24" s="53" t="s">
        <v>695</v>
      </c>
      <c r="B24" s="54" t="s">
        <v>1805</v>
      </c>
      <c r="C24" s="55" t="s">
        <v>1485</v>
      </c>
      <c r="D24" s="58" t="s">
        <v>698</v>
      </c>
    </row>
    <row r="25" spans="1:4" ht="16.149999999999999" customHeight="1" x14ac:dyDescent="0.25">
      <c r="A25" s="53" t="s">
        <v>1806</v>
      </c>
      <c r="B25" s="54" t="s">
        <v>1807</v>
      </c>
      <c r="C25" s="55" t="s">
        <v>753</v>
      </c>
      <c r="D25" s="56" t="s">
        <v>679</v>
      </c>
    </row>
    <row r="26" spans="1:4" ht="16.149999999999999" customHeight="1" x14ac:dyDescent="0.25">
      <c r="A26" s="53" t="s">
        <v>1808</v>
      </c>
      <c r="B26" s="54" t="s">
        <v>1809</v>
      </c>
      <c r="C26" s="55" t="s">
        <v>1485</v>
      </c>
      <c r="D26" s="58" t="s">
        <v>698</v>
      </c>
    </row>
    <row r="27" spans="1:4" ht="29.45" customHeight="1" x14ac:dyDescent="0.25">
      <c r="A27" s="53" t="s">
        <v>1640</v>
      </c>
      <c r="B27" s="54" t="s">
        <v>1810</v>
      </c>
      <c r="C27" s="55" t="s">
        <v>966</v>
      </c>
      <c r="D27" s="58" t="s">
        <v>698</v>
      </c>
    </row>
    <row r="28" spans="1:4" ht="16.149999999999999" customHeight="1" x14ac:dyDescent="0.25">
      <c r="A28" s="53" t="s">
        <v>1419</v>
      </c>
      <c r="B28" s="54" t="s">
        <v>1811</v>
      </c>
      <c r="C28" s="55" t="s">
        <v>753</v>
      </c>
      <c r="D28" s="56" t="s">
        <v>679</v>
      </c>
    </row>
    <row r="30" spans="1:4" x14ac:dyDescent="0.25">
      <c r="A30" s="4" t="s">
        <v>717</v>
      </c>
      <c r="B30" s="5"/>
      <c r="C30" s="4" t="s">
        <v>674</v>
      </c>
      <c r="D30" s="4" t="s">
        <v>675</v>
      </c>
    </row>
    <row r="31" spans="1:4" ht="29.45" customHeight="1" x14ac:dyDescent="0.25">
      <c r="A31" s="53" t="s">
        <v>1812</v>
      </c>
      <c r="B31" s="54" t="s">
        <v>1813</v>
      </c>
      <c r="C31" s="55" t="s">
        <v>1814</v>
      </c>
      <c r="D31" s="59" t="s">
        <v>748</v>
      </c>
    </row>
    <row r="32" spans="1:4" ht="16.149999999999999" customHeight="1" x14ac:dyDescent="0.25">
      <c r="A32" s="53" t="s">
        <v>958</v>
      </c>
      <c r="B32" s="54" t="s">
        <v>1815</v>
      </c>
      <c r="C32" s="55" t="s">
        <v>753</v>
      </c>
      <c r="D32" s="56" t="s">
        <v>679</v>
      </c>
    </row>
    <row r="33" spans="1:4" ht="16.149999999999999" customHeight="1" x14ac:dyDescent="0.25">
      <c r="A33" s="53" t="s">
        <v>1816</v>
      </c>
      <c r="B33" s="54" t="s">
        <v>1817</v>
      </c>
      <c r="C33" s="55" t="s">
        <v>1818</v>
      </c>
      <c r="D33" s="59" t="s">
        <v>748</v>
      </c>
    </row>
    <row r="35" spans="1:4" x14ac:dyDescent="0.25">
      <c r="A35" s="4" t="s">
        <v>728</v>
      </c>
      <c r="B35" s="5"/>
      <c r="C35" s="4" t="s">
        <v>674</v>
      </c>
      <c r="D35" s="4" t="s">
        <v>675</v>
      </c>
    </row>
    <row r="36" spans="1:4" ht="29.45" customHeight="1" x14ac:dyDescent="0.25">
      <c r="A36" s="53" t="s">
        <v>246</v>
      </c>
      <c r="B36" s="54" t="s">
        <v>1655</v>
      </c>
      <c r="C36" s="55" t="s">
        <v>678</v>
      </c>
      <c r="D36" s="57" t="s">
        <v>690</v>
      </c>
    </row>
    <row r="37" spans="1:4" ht="29.45" customHeight="1" x14ac:dyDescent="0.25">
      <c r="A37" s="53" t="s">
        <v>1656</v>
      </c>
      <c r="B37" s="54" t="s">
        <v>1657</v>
      </c>
      <c r="C37" s="55" t="s">
        <v>966</v>
      </c>
      <c r="D37" s="56" t="s">
        <v>679</v>
      </c>
    </row>
    <row r="38" spans="1:4" ht="29.45" customHeight="1" x14ac:dyDescent="0.25">
      <c r="A38" s="53" t="s">
        <v>1658</v>
      </c>
      <c r="B38" s="54" t="s">
        <v>1659</v>
      </c>
      <c r="C38" s="55" t="s">
        <v>1660</v>
      </c>
      <c r="D38" s="59" t="s">
        <v>748</v>
      </c>
    </row>
    <row r="40" spans="1:4" x14ac:dyDescent="0.25">
      <c r="A40" s="4" t="s">
        <v>740</v>
      </c>
      <c r="B40" s="5"/>
      <c r="C40" s="4" t="s">
        <v>674</v>
      </c>
      <c r="D40" s="4" t="s">
        <v>675</v>
      </c>
    </row>
    <row r="41" spans="1:4" ht="16.149999999999999" customHeight="1" x14ac:dyDescent="0.25">
      <c r="A41" s="53" t="s">
        <v>4</v>
      </c>
      <c r="B41" s="54" t="s">
        <v>1819</v>
      </c>
      <c r="C41" s="55" t="s">
        <v>1820</v>
      </c>
      <c r="D41" s="59" t="s">
        <v>748</v>
      </c>
    </row>
    <row r="42" spans="1:4" ht="16.149999999999999" customHeight="1" x14ac:dyDescent="0.25">
      <c r="A42" s="53" t="s">
        <v>971</v>
      </c>
      <c r="B42" s="54" t="s">
        <v>1821</v>
      </c>
      <c r="C42" s="55" t="s">
        <v>1485</v>
      </c>
      <c r="D42" s="58" t="s">
        <v>698</v>
      </c>
    </row>
    <row r="43" spans="1:4" ht="29.45" customHeight="1" x14ac:dyDescent="0.25">
      <c r="A43" s="53" t="s">
        <v>1665</v>
      </c>
      <c r="B43" s="54" t="s">
        <v>1822</v>
      </c>
      <c r="C43" s="55" t="s">
        <v>1485</v>
      </c>
      <c r="D43" s="58" t="s">
        <v>698</v>
      </c>
    </row>
    <row r="44" spans="1:4" ht="16.149999999999999" customHeight="1" x14ac:dyDescent="0.25">
      <c r="A44" s="53" t="s">
        <v>754</v>
      </c>
      <c r="B44" s="54" t="s">
        <v>1823</v>
      </c>
      <c r="C44" s="55" t="s">
        <v>1691</v>
      </c>
      <c r="D44" s="58" t="s">
        <v>698</v>
      </c>
    </row>
    <row r="45" spans="1:4" ht="16.149999999999999" customHeight="1" x14ac:dyDescent="0.25">
      <c r="A45" s="53" t="s">
        <v>1037</v>
      </c>
      <c r="B45" s="54" t="s">
        <v>1824</v>
      </c>
      <c r="C45" s="55" t="s">
        <v>697</v>
      </c>
      <c r="D45" s="59" t="s">
        <v>748</v>
      </c>
    </row>
    <row r="46" spans="1:4" ht="16.149999999999999" customHeight="1" x14ac:dyDescent="0.25">
      <c r="A46" s="53" t="s">
        <v>1825</v>
      </c>
      <c r="B46" s="54" t="s">
        <v>1334</v>
      </c>
      <c r="C46" s="55" t="s">
        <v>966</v>
      </c>
      <c r="D46" s="58" t="s">
        <v>698</v>
      </c>
    </row>
    <row r="48" spans="1:4" x14ac:dyDescent="0.25">
      <c r="A48" s="4" t="s">
        <v>762</v>
      </c>
      <c r="B48" s="5"/>
      <c r="C48" s="4" t="s">
        <v>674</v>
      </c>
      <c r="D48" s="4" t="s">
        <v>675</v>
      </c>
    </row>
    <row r="49" spans="1:4" ht="16.149999999999999" customHeight="1" x14ac:dyDescent="0.25">
      <c r="A49" s="53" t="s">
        <v>984</v>
      </c>
      <c r="B49" s="54" t="s">
        <v>1826</v>
      </c>
      <c r="C49" s="55" t="s">
        <v>1827</v>
      </c>
      <c r="D49" s="59" t="s">
        <v>748</v>
      </c>
    </row>
    <row r="50" spans="1:4" ht="29.45" customHeight="1" x14ac:dyDescent="0.25">
      <c r="A50" s="53" t="s">
        <v>1828</v>
      </c>
      <c r="B50" s="54" t="s">
        <v>1829</v>
      </c>
      <c r="C50" s="55" t="s">
        <v>1830</v>
      </c>
      <c r="D50" s="60" t="s">
        <v>803</v>
      </c>
    </row>
    <row r="51" spans="1:4" ht="16.149999999999999" customHeight="1" x14ac:dyDescent="0.25">
      <c r="A51" s="53" t="s">
        <v>1675</v>
      </c>
      <c r="B51" s="54" t="s">
        <v>1831</v>
      </c>
      <c r="C51" s="55" t="s">
        <v>1691</v>
      </c>
      <c r="D51" s="58" t="s">
        <v>698</v>
      </c>
    </row>
    <row r="52" spans="1:4" ht="16.149999999999999" customHeight="1" x14ac:dyDescent="0.25">
      <c r="A52" s="53" t="s">
        <v>1679</v>
      </c>
      <c r="B52" s="54" t="s">
        <v>1832</v>
      </c>
      <c r="C52" s="55" t="s">
        <v>844</v>
      </c>
      <c r="D52" s="57" t="s">
        <v>690</v>
      </c>
    </row>
    <row r="53" spans="1:4" ht="16.149999999999999" customHeight="1" x14ac:dyDescent="0.25">
      <c r="A53" s="53" t="s">
        <v>1681</v>
      </c>
      <c r="B53" s="54" t="s">
        <v>1516</v>
      </c>
      <c r="C53" s="55" t="s">
        <v>1485</v>
      </c>
      <c r="D53" s="58" t="s">
        <v>698</v>
      </c>
    </row>
    <row r="54" spans="1:4" ht="16.149999999999999" customHeight="1" x14ac:dyDescent="0.25">
      <c r="A54" s="53" t="s">
        <v>1833</v>
      </c>
      <c r="B54" s="54" t="s">
        <v>1834</v>
      </c>
      <c r="C54" s="55" t="s">
        <v>948</v>
      </c>
      <c r="D54" s="59" t="s">
        <v>748</v>
      </c>
    </row>
    <row r="56" spans="1:4" x14ac:dyDescent="0.25">
      <c r="A56" s="4" t="s">
        <v>773</v>
      </c>
      <c r="B56" s="5"/>
      <c r="C56" s="4" t="s">
        <v>674</v>
      </c>
      <c r="D56" s="4" t="s">
        <v>675</v>
      </c>
    </row>
    <row r="57" spans="1:4" ht="16.149999999999999" customHeight="1" x14ac:dyDescent="0.25">
      <c r="A57" s="53" t="s">
        <v>1683</v>
      </c>
      <c r="B57" s="54" t="s">
        <v>1835</v>
      </c>
      <c r="C57" s="55" t="s">
        <v>1685</v>
      </c>
      <c r="D57" s="57" t="s">
        <v>690</v>
      </c>
    </row>
    <row r="58" spans="1:4" ht="16.149999999999999" customHeight="1" x14ac:dyDescent="0.25">
      <c r="A58" s="53" t="s">
        <v>1836</v>
      </c>
      <c r="B58" s="54" t="s">
        <v>1837</v>
      </c>
      <c r="C58" s="55" t="s">
        <v>734</v>
      </c>
      <c r="D58" s="59" t="s">
        <v>748</v>
      </c>
    </row>
    <row r="59" spans="1:4" ht="29.45" customHeight="1" x14ac:dyDescent="0.25">
      <c r="A59" s="53" t="s">
        <v>1838</v>
      </c>
      <c r="B59" s="54" t="s">
        <v>1839</v>
      </c>
      <c r="C59" s="55" t="s">
        <v>734</v>
      </c>
      <c r="D59" s="59" t="s">
        <v>748</v>
      </c>
    </row>
    <row r="61" spans="1:4" x14ac:dyDescent="0.25">
      <c r="A61" s="4" t="s">
        <v>781</v>
      </c>
      <c r="B61" s="5"/>
      <c r="C61" s="4" t="s">
        <v>674</v>
      </c>
      <c r="D61" s="4" t="s">
        <v>675</v>
      </c>
    </row>
    <row r="62" spans="1:4" ht="16.149999999999999" customHeight="1" x14ac:dyDescent="0.25">
      <c r="A62" s="53" t="s">
        <v>1488</v>
      </c>
      <c r="B62" s="54" t="s">
        <v>1840</v>
      </c>
      <c r="C62" s="55" t="s">
        <v>747</v>
      </c>
      <c r="D62" s="60" t="s">
        <v>803</v>
      </c>
    </row>
    <row r="63" spans="1:4" ht="16.149999999999999" customHeight="1" x14ac:dyDescent="0.25">
      <c r="A63" s="53" t="s">
        <v>675</v>
      </c>
      <c r="B63" s="54" t="s">
        <v>1841</v>
      </c>
      <c r="C63" s="55" t="s">
        <v>1842</v>
      </c>
      <c r="D63" s="60" t="s">
        <v>803</v>
      </c>
    </row>
    <row r="64" spans="1:4" ht="16.149999999999999" customHeight="1" x14ac:dyDescent="0.25">
      <c r="A64" s="53" t="s">
        <v>1843</v>
      </c>
      <c r="B64" s="54" t="s">
        <v>1334</v>
      </c>
      <c r="C64" s="55" t="s">
        <v>966</v>
      </c>
      <c r="D64" s="58" t="s">
        <v>698</v>
      </c>
    </row>
    <row r="66" spans="1:4" x14ac:dyDescent="0.25">
      <c r="A66" s="4" t="s">
        <v>792</v>
      </c>
      <c r="B66" s="5"/>
      <c r="C66" s="4" t="s">
        <v>674</v>
      </c>
      <c r="D66" s="4" t="s">
        <v>675</v>
      </c>
    </row>
    <row r="67" spans="1:4" ht="29.45" customHeight="1" x14ac:dyDescent="0.25">
      <c r="A67" s="53" t="s">
        <v>793</v>
      </c>
      <c r="B67" s="54" t="s">
        <v>1844</v>
      </c>
      <c r="C67" s="55" t="s">
        <v>1845</v>
      </c>
      <c r="D67" s="57" t="s">
        <v>690</v>
      </c>
    </row>
    <row r="68" spans="1:4" ht="16.149999999999999" customHeight="1" x14ac:dyDescent="0.25">
      <c r="A68" s="53" t="s">
        <v>1337</v>
      </c>
      <c r="B68" s="54" t="s">
        <v>1846</v>
      </c>
      <c r="C68" s="55" t="s">
        <v>1485</v>
      </c>
      <c r="D68" s="60" t="s">
        <v>803</v>
      </c>
    </row>
    <row r="69" spans="1:4" ht="16.149999999999999" customHeight="1" x14ac:dyDescent="0.25">
      <c r="A69" s="53" t="s">
        <v>1636</v>
      </c>
      <c r="B69" s="54" t="s">
        <v>1847</v>
      </c>
      <c r="C69" s="55" t="s">
        <v>877</v>
      </c>
      <c r="D69" s="59" t="s">
        <v>748</v>
      </c>
    </row>
    <row r="70" spans="1:4" ht="16.149999999999999" customHeight="1" x14ac:dyDescent="0.25">
      <c r="A70" s="53" t="s">
        <v>1848</v>
      </c>
      <c r="B70" s="54" t="s">
        <v>1516</v>
      </c>
      <c r="C70" s="55" t="s">
        <v>966</v>
      </c>
      <c r="D70" s="58" t="s">
        <v>698</v>
      </c>
    </row>
    <row r="72" spans="1:4" x14ac:dyDescent="0.25">
      <c r="A72" s="4" t="s">
        <v>804</v>
      </c>
      <c r="B72" s="5"/>
      <c r="C72" s="4" t="s">
        <v>674</v>
      </c>
      <c r="D72" s="4" t="s">
        <v>675</v>
      </c>
    </row>
    <row r="73" spans="1:4" ht="16.149999999999999" customHeight="1" x14ac:dyDescent="0.25">
      <c r="A73" s="53" t="s">
        <v>1702</v>
      </c>
      <c r="B73" s="54" t="s">
        <v>1849</v>
      </c>
      <c r="C73" s="55" t="s">
        <v>753</v>
      </c>
      <c r="D73" s="56" t="s">
        <v>679</v>
      </c>
    </row>
    <row r="75" spans="1:4" x14ac:dyDescent="0.25">
      <c r="A75" s="4" t="s">
        <v>813</v>
      </c>
      <c r="B75" s="5"/>
      <c r="C75" s="4" t="s">
        <v>674</v>
      </c>
      <c r="D75" s="4" t="s">
        <v>675</v>
      </c>
    </row>
    <row r="76" spans="1:4" ht="16.149999999999999" customHeight="1" x14ac:dyDescent="0.25">
      <c r="A76" s="53" t="s">
        <v>1705</v>
      </c>
      <c r="B76" s="54" t="s">
        <v>1706</v>
      </c>
      <c r="C76" s="55" t="s">
        <v>966</v>
      </c>
      <c r="D76" s="58" t="s">
        <v>698</v>
      </c>
    </row>
    <row r="78" spans="1:4" x14ac:dyDescent="0.25">
      <c r="A78" s="4" t="s">
        <v>826</v>
      </c>
      <c r="B78" s="5"/>
      <c r="C78" s="4" t="s">
        <v>674</v>
      </c>
      <c r="D78" s="4" t="s">
        <v>675</v>
      </c>
    </row>
    <row r="79" spans="1:4" ht="16.149999999999999" customHeight="1" x14ac:dyDescent="0.25">
      <c r="A79" s="53" t="s">
        <v>827</v>
      </c>
      <c r="B79" s="54" t="s">
        <v>1850</v>
      </c>
      <c r="C79" s="55" t="s">
        <v>1804</v>
      </c>
      <c r="D79" s="59" t="s">
        <v>748</v>
      </c>
    </row>
    <row r="80" spans="1:4" ht="16.149999999999999" customHeight="1" x14ac:dyDescent="0.25">
      <c r="A80" s="53" t="s">
        <v>1851</v>
      </c>
      <c r="B80" s="54" t="s">
        <v>1852</v>
      </c>
      <c r="C80" s="55" t="s">
        <v>1485</v>
      </c>
      <c r="D80" s="58" t="s">
        <v>698</v>
      </c>
    </row>
    <row r="82" spans="1:4" x14ac:dyDescent="0.25">
      <c r="A82" s="4" t="s">
        <v>833</v>
      </c>
      <c r="B82" s="5"/>
      <c r="C82" s="4" t="s">
        <v>674</v>
      </c>
      <c r="D82" s="4" t="s">
        <v>675</v>
      </c>
    </row>
    <row r="83" spans="1:4" ht="29.45" customHeight="1" x14ac:dyDescent="0.25">
      <c r="A83" s="53" t="s">
        <v>1205</v>
      </c>
      <c r="B83" s="54" t="s">
        <v>1853</v>
      </c>
      <c r="C83" s="55" t="s">
        <v>684</v>
      </c>
      <c r="D83" s="56" t="s">
        <v>679</v>
      </c>
    </row>
    <row r="85" spans="1:4" x14ac:dyDescent="0.25">
      <c r="A85" s="4" t="s">
        <v>836</v>
      </c>
      <c r="B85" s="5"/>
      <c r="C85" s="4" t="s">
        <v>674</v>
      </c>
      <c r="D85" s="4" t="s">
        <v>675</v>
      </c>
    </row>
    <row r="86" spans="1:4" ht="16.149999999999999" customHeight="1" x14ac:dyDescent="0.25">
      <c r="A86" s="53" t="s">
        <v>1854</v>
      </c>
      <c r="B86" s="54" t="s">
        <v>1855</v>
      </c>
      <c r="C86" s="55" t="s">
        <v>1485</v>
      </c>
      <c r="D86" s="58" t="s">
        <v>698</v>
      </c>
    </row>
    <row r="87" spans="1:4" ht="16.149999999999999" customHeight="1" x14ac:dyDescent="0.25">
      <c r="A87" s="53" t="s">
        <v>1856</v>
      </c>
      <c r="B87" s="54" t="s">
        <v>1857</v>
      </c>
      <c r="C87" s="55" t="s">
        <v>1708</v>
      </c>
      <c r="D87" s="59" t="s">
        <v>748</v>
      </c>
    </row>
    <row r="88" spans="1:4" ht="16.149999999999999" customHeight="1" x14ac:dyDescent="0.25">
      <c r="A88" s="53" t="s">
        <v>1718</v>
      </c>
      <c r="B88" s="54" t="s">
        <v>1858</v>
      </c>
      <c r="C88" s="55" t="s">
        <v>1859</v>
      </c>
      <c r="D88" s="59" t="s">
        <v>748</v>
      </c>
    </row>
    <row r="89" spans="1:4" ht="16.149999999999999" customHeight="1" x14ac:dyDescent="0.25">
      <c r="A89" s="53" t="s">
        <v>1860</v>
      </c>
      <c r="B89" s="54" t="s">
        <v>1861</v>
      </c>
      <c r="C89" s="55" t="s">
        <v>684</v>
      </c>
      <c r="D89" s="57" t="s">
        <v>690</v>
      </c>
    </row>
    <row r="91" spans="1:4" x14ac:dyDescent="0.25">
      <c r="A91" s="4" t="s">
        <v>855</v>
      </c>
      <c r="B91" s="5"/>
      <c r="C91" s="4" t="s">
        <v>674</v>
      </c>
      <c r="D91" s="4" t="s">
        <v>675</v>
      </c>
    </row>
    <row r="92" spans="1:4" ht="16.149999999999999" customHeight="1" x14ac:dyDescent="0.25">
      <c r="A92" s="53" t="s">
        <v>1722</v>
      </c>
      <c r="B92" s="54" t="s">
        <v>1862</v>
      </c>
      <c r="C92" s="55" t="s">
        <v>1863</v>
      </c>
      <c r="D92" s="59" t="s">
        <v>748</v>
      </c>
    </row>
    <row r="94" spans="1:4" x14ac:dyDescent="0.25">
      <c r="A94" s="4" t="s">
        <v>868</v>
      </c>
      <c r="B94" s="5"/>
      <c r="C94" s="4" t="s">
        <v>674</v>
      </c>
      <c r="D94" s="5"/>
    </row>
    <row r="95" spans="1:4" ht="16.149999999999999" customHeight="1" x14ac:dyDescent="0.25">
      <c r="A95" s="61" t="s">
        <v>1725</v>
      </c>
      <c r="B95" s="54" t="s">
        <v>1864</v>
      </c>
      <c r="C95" s="55" t="s">
        <v>747</v>
      </c>
      <c r="D95" s="62"/>
    </row>
    <row r="96" spans="1:4" ht="16.149999999999999" customHeight="1" x14ac:dyDescent="0.25">
      <c r="A96" s="61" t="s">
        <v>1369</v>
      </c>
      <c r="B96" s="54" t="s">
        <v>1865</v>
      </c>
      <c r="C96" s="55" t="s">
        <v>948</v>
      </c>
      <c r="D96" s="62"/>
    </row>
    <row r="97" spans="1:4" ht="16.149999999999999" customHeight="1" x14ac:dyDescent="0.25">
      <c r="A97" s="61" t="s">
        <v>1728</v>
      </c>
      <c r="B97" s="54" t="s">
        <v>1866</v>
      </c>
      <c r="C97" s="55" t="s">
        <v>844</v>
      </c>
      <c r="D97" s="62"/>
    </row>
    <row r="98" spans="1:4" ht="16.149999999999999" customHeight="1" x14ac:dyDescent="0.25">
      <c r="A98" s="61" t="s">
        <v>1374</v>
      </c>
      <c r="B98" s="54" t="s">
        <v>1867</v>
      </c>
      <c r="C98" s="55" t="s">
        <v>877</v>
      </c>
      <c r="D98" s="62"/>
    </row>
    <row r="99" spans="1:4" ht="16.149999999999999" customHeight="1" x14ac:dyDescent="0.25">
      <c r="A99" s="61" t="s">
        <v>1868</v>
      </c>
      <c r="B99" s="54" t="s">
        <v>1869</v>
      </c>
      <c r="C99" s="55" t="s">
        <v>689</v>
      </c>
      <c r="D99" s="62"/>
    </row>
    <row r="100" spans="1:4" ht="16.149999999999999" customHeight="1" x14ac:dyDescent="0.25">
      <c r="A100" s="61" t="s">
        <v>1730</v>
      </c>
      <c r="B100" s="54" t="s">
        <v>1870</v>
      </c>
      <c r="C100" s="55" t="s">
        <v>684</v>
      </c>
      <c r="D100" s="62"/>
    </row>
    <row r="101" spans="1:4" ht="16.149999999999999" customHeight="1" x14ac:dyDescent="0.25">
      <c r="A101" s="61" t="s">
        <v>1871</v>
      </c>
      <c r="B101" s="54" t="s">
        <v>1872</v>
      </c>
      <c r="C101" s="55" t="s">
        <v>753</v>
      </c>
      <c r="D101" s="62"/>
    </row>
    <row r="102" spans="1:4" ht="16.149999999999999" customHeight="1" x14ac:dyDescent="0.25">
      <c r="A102" s="61" t="s">
        <v>1873</v>
      </c>
      <c r="B102" s="54" t="s">
        <v>1874</v>
      </c>
      <c r="C102" s="55" t="s">
        <v>747</v>
      </c>
      <c r="D102" s="62"/>
    </row>
    <row r="103" spans="1:4" ht="16.149999999999999" customHeight="1" x14ac:dyDescent="0.25">
      <c r="A103" s="61" t="s">
        <v>1738</v>
      </c>
      <c r="B103" s="54" t="s">
        <v>1875</v>
      </c>
      <c r="C103" s="55" t="s">
        <v>841</v>
      </c>
      <c r="D103" s="62"/>
    </row>
    <row r="104" spans="1:4" ht="16.149999999999999" customHeight="1" x14ac:dyDescent="0.25">
      <c r="A104" s="61" t="s">
        <v>1742</v>
      </c>
      <c r="B104" s="54" t="s">
        <v>1876</v>
      </c>
      <c r="C104" s="55" t="s">
        <v>1485</v>
      </c>
      <c r="D104" s="62"/>
    </row>
    <row r="106" spans="1:4" x14ac:dyDescent="0.25">
      <c r="A106" s="4" t="s">
        <v>894</v>
      </c>
      <c r="B106" s="5"/>
      <c r="C106" s="5"/>
      <c r="D106" s="5"/>
    </row>
    <row r="107" spans="1:4" ht="29.45" customHeight="1" x14ac:dyDescent="0.25">
      <c r="A107" s="53" t="s">
        <v>1746</v>
      </c>
      <c r="B107" s="54" t="s">
        <v>1747</v>
      </c>
      <c r="C107" s="28" t="s">
        <v>897</v>
      </c>
      <c r="D107" s="62"/>
    </row>
    <row r="108" spans="1:4" ht="29.45" customHeight="1" x14ac:dyDescent="0.25">
      <c r="A108" s="53" t="s">
        <v>1748</v>
      </c>
      <c r="B108" s="54" t="s">
        <v>1749</v>
      </c>
      <c r="C108" s="28" t="s">
        <v>897</v>
      </c>
      <c r="D108" s="62"/>
    </row>
    <row r="109" spans="1:4" ht="29.45" customHeight="1" x14ac:dyDescent="0.25">
      <c r="A109" s="53" t="s">
        <v>1750</v>
      </c>
      <c r="B109" s="54" t="s">
        <v>1751</v>
      </c>
      <c r="C109" s="28" t="s">
        <v>897</v>
      </c>
      <c r="D109" s="62"/>
    </row>
    <row r="110" spans="1:4" ht="42.6" customHeight="1" x14ac:dyDescent="0.25">
      <c r="A110" s="53" t="s">
        <v>1752</v>
      </c>
      <c r="B110" s="54" t="s">
        <v>1753</v>
      </c>
      <c r="C110" s="28" t="s">
        <v>897</v>
      </c>
      <c r="D110" s="62"/>
    </row>
    <row r="111" spans="1:4" ht="29.45" customHeight="1" x14ac:dyDescent="0.25">
      <c r="A111" s="53" t="s">
        <v>1754</v>
      </c>
      <c r="B111" s="54" t="s">
        <v>1755</v>
      </c>
      <c r="C111" s="28" t="s">
        <v>897</v>
      </c>
      <c r="D111" s="62"/>
    </row>
    <row r="112" spans="1:4" ht="29.45" customHeight="1" x14ac:dyDescent="0.25">
      <c r="A112" s="53" t="s">
        <v>1756</v>
      </c>
      <c r="B112" s="54" t="s">
        <v>1757</v>
      </c>
      <c r="C112" s="28" t="s">
        <v>897</v>
      </c>
      <c r="D112" s="62"/>
    </row>
    <row r="113" spans="1:4" ht="29.45" customHeight="1" x14ac:dyDescent="0.25">
      <c r="A113" s="53" t="s">
        <v>1758</v>
      </c>
      <c r="B113" s="54" t="s">
        <v>1759</v>
      </c>
      <c r="C113" s="28" t="s">
        <v>897</v>
      </c>
      <c r="D113" s="62"/>
    </row>
    <row r="114" spans="1:4" ht="29.45" customHeight="1" x14ac:dyDescent="0.25">
      <c r="A114" s="53" t="s">
        <v>1760</v>
      </c>
      <c r="B114" s="54" t="s">
        <v>1761</v>
      </c>
      <c r="C114" s="28" t="s">
        <v>897</v>
      </c>
      <c r="D114" s="62"/>
    </row>
    <row r="115" spans="1:4" ht="29.45" customHeight="1" x14ac:dyDescent="0.25">
      <c r="A115" s="53" t="s">
        <v>1762</v>
      </c>
      <c r="B115" s="54" t="s">
        <v>1763</v>
      </c>
      <c r="C115" s="28" t="s">
        <v>897</v>
      </c>
      <c r="D115" s="62"/>
    </row>
    <row r="116" spans="1:4" ht="29.45" customHeight="1" x14ac:dyDescent="0.25">
      <c r="A116" s="53" t="s">
        <v>1764</v>
      </c>
      <c r="B116" s="54" t="s">
        <v>1765</v>
      </c>
      <c r="C116" s="28" t="s">
        <v>897</v>
      </c>
      <c r="D116" s="62"/>
    </row>
    <row r="117" spans="1:4" ht="16.149999999999999" customHeight="1" x14ac:dyDescent="0.25">
      <c r="A117" s="53" t="s">
        <v>1766</v>
      </c>
      <c r="B117" s="54" t="s">
        <v>1767</v>
      </c>
      <c r="C117" s="28" t="s">
        <v>897</v>
      </c>
      <c r="D117" s="62"/>
    </row>
    <row r="118" spans="1:4" ht="29.45" customHeight="1" x14ac:dyDescent="0.25">
      <c r="A118" s="53" t="s">
        <v>1768</v>
      </c>
      <c r="B118" s="54" t="s">
        <v>1769</v>
      </c>
      <c r="C118" s="28" t="s">
        <v>897</v>
      </c>
      <c r="D118" s="62"/>
    </row>
    <row r="119" spans="1:4" ht="16.149999999999999" customHeight="1" x14ac:dyDescent="0.25">
      <c r="A119" s="53" t="s">
        <v>1770</v>
      </c>
      <c r="B119" s="54" t="s">
        <v>1771</v>
      </c>
      <c r="C119" s="28" t="s">
        <v>897</v>
      </c>
      <c r="D119" s="62"/>
    </row>
    <row r="120" spans="1:4" ht="29.45" customHeight="1" x14ac:dyDescent="0.25">
      <c r="A120" s="53" t="s">
        <v>1772</v>
      </c>
      <c r="B120" s="54" t="s">
        <v>1773</v>
      </c>
      <c r="C120" s="28" t="s">
        <v>897</v>
      </c>
      <c r="D120" s="62"/>
    </row>
    <row r="121" spans="1:4" ht="29.45" customHeight="1" x14ac:dyDescent="0.25">
      <c r="A121" s="53" t="s">
        <v>1774</v>
      </c>
      <c r="B121" s="54" t="s">
        <v>1775</v>
      </c>
      <c r="C121" s="28" t="s">
        <v>897</v>
      </c>
      <c r="D121" s="62"/>
    </row>
    <row r="122" spans="1:4" ht="29.45" customHeight="1" x14ac:dyDescent="0.25">
      <c r="A122" s="53" t="s">
        <v>1776</v>
      </c>
      <c r="B122" s="54" t="s">
        <v>1777</v>
      </c>
      <c r="C122" s="28" t="s">
        <v>897</v>
      </c>
      <c r="D122" s="62"/>
    </row>
    <row r="123" spans="1:4" ht="29.45" customHeight="1" x14ac:dyDescent="0.25">
      <c r="A123" s="53" t="s">
        <v>1778</v>
      </c>
      <c r="B123" s="54" t="s">
        <v>1779</v>
      </c>
      <c r="C123" s="28" t="s">
        <v>897</v>
      </c>
      <c r="D123" s="62"/>
    </row>
    <row r="124" spans="1:4" ht="29.45" customHeight="1" x14ac:dyDescent="0.25">
      <c r="A124" s="53" t="s">
        <v>1780</v>
      </c>
      <c r="B124" s="54" t="s">
        <v>1781</v>
      </c>
      <c r="C124" s="62"/>
      <c r="D124" s="62"/>
    </row>
    <row r="126" spans="1:4" x14ac:dyDescent="0.25">
      <c r="A126" s="4" t="s">
        <v>926</v>
      </c>
      <c r="B126" s="5"/>
      <c r="C126" s="5"/>
      <c r="D126" s="5"/>
    </row>
    <row r="127" spans="1:4" ht="29.45" customHeight="1" x14ac:dyDescent="0.25">
      <c r="B127" s="52" t="s">
        <v>1877</v>
      </c>
    </row>
    <row r="128" spans="1:4" ht="16.149999999999999" customHeight="1" x14ac:dyDescent="0.25">
      <c r="B128" s="52" t="s">
        <v>1878</v>
      </c>
    </row>
    <row r="129" spans="2:2" ht="16.149999999999999" customHeight="1" x14ac:dyDescent="0.25">
      <c r="B129" s="52" t="s">
        <v>1879</v>
      </c>
    </row>
    <row r="130" spans="2:2" ht="16.149999999999999" customHeight="1" x14ac:dyDescent="0.25">
      <c r="B130" s="52" t="s">
        <v>1880</v>
      </c>
    </row>
    <row r="131" spans="2:2" ht="16.149999999999999" customHeight="1" x14ac:dyDescent="0.25">
      <c r="B131" s="52" t="s">
        <v>1881</v>
      </c>
    </row>
    <row r="132" spans="2:2" ht="16.149999999999999" customHeight="1" x14ac:dyDescent="0.25">
      <c r="B132" s="52" t="s">
        <v>1882</v>
      </c>
    </row>
    <row r="133" spans="2:2" ht="16.149999999999999" customHeight="1" x14ac:dyDescent="0.25">
      <c r="B133" s="52" t="s">
        <v>1883</v>
      </c>
    </row>
  </sheetData>
  <hyperlinks>
    <hyperlink ref="D1" location="'Monitor'!A12" display="&lt;&lt; Monitor" xr:uid="{00000000-0004-0000-0F00-000000000000}"/>
    <hyperlink ref="C107" r:id="rId1" xr:uid="{00000000-0004-0000-0F00-000001000000}"/>
    <hyperlink ref="C108" r:id="rId2" xr:uid="{00000000-0004-0000-0F00-000002000000}"/>
    <hyperlink ref="C109" r:id="rId3" xr:uid="{00000000-0004-0000-0F00-000003000000}"/>
    <hyperlink ref="C110" r:id="rId4" xr:uid="{00000000-0004-0000-0F00-000004000000}"/>
    <hyperlink ref="C111" r:id="rId5" xr:uid="{00000000-0004-0000-0F00-000005000000}"/>
    <hyperlink ref="C112" r:id="rId6" xr:uid="{00000000-0004-0000-0F00-000006000000}"/>
    <hyperlink ref="C113" r:id="rId7" xr:uid="{00000000-0004-0000-0F00-000007000000}"/>
    <hyperlink ref="C114" r:id="rId8" xr:uid="{00000000-0004-0000-0F00-000008000000}"/>
    <hyperlink ref="C115" r:id="rId9" xr:uid="{00000000-0004-0000-0F00-000009000000}"/>
    <hyperlink ref="C116" r:id="rId10" xr:uid="{00000000-0004-0000-0F00-00000A000000}"/>
    <hyperlink ref="C117" r:id="rId11" xr:uid="{00000000-0004-0000-0F00-00000B000000}"/>
    <hyperlink ref="C118" r:id="rId12" xr:uid="{00000000-0004-0000-0F00-00000C000000}"/>
    <hyperlink ref="C119" r:id="rId13" xr:uid="{00000000-0004-0000-0F00-00000D000000}"/>
    <hyperlink ref="C120" r:id="rId14" xr:uid="{00000000-0004-0000-0F00-00000E000000}"/>
    <hyperlink ref="C121" r:id="rId15" xr:uid="{00000000-0004-0000-0F00-00000F000000}"/>
    <hyperlink ref="C122" r:id="rId16" xr:uid="{00000000-0004-0000-0F00-000010000000}"/>
    <hyperlink ref="C123" r:id="rId17" xr:uid="{00000000-0004-0000-0F00-000011000000}"/>
  </hyperlink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5A11"/>
    <pageSetUpPr fitToPage="1"/>
  </sheetPr>
  <dimension ref="A1:D166"/>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208</v>
      </c>
      <c r="D1" s="41" t="s">
        <v>667</v>
      </c>
    </row>
    <row r="2" spans="1:4" x14ac:dyDescent="0.25">
      <c r="A2" s="2" t="s">
        <v>1884</v>
      </c>
    </row>
    <row r="4" spans="1:4" x14ac:dyDescent="0.25">
      <c r="A4" s="42" t="s">
        <v>9</v>
      </c>
      <c r="B4" s="43">
        <f>Monitor!H15</f>
        <v>102.776</v>
      </c>
    </row>
    <row r="5" spans="1:4" x14ac:dyDescent="0.25">
      <c r="A5" s="42" t="s">
        <v>11</v>
      </c>
      <c r="B5" s="44">
        <f>Monitor!J15</f>
        <v>8.4534708307236794</v>
      </c>
    </row>
    <row r="6" spans="1:4" x14ac:dyDescent="0.25">
      <c r="A6" s="42" t="s">
        <v>8</v>
      </c>
      <c r="B6" s="45">
        <f>Monitor!G15</f>
        <v>2350</v>
      </c>
    </row>
    <row r="7" spans="1:4" x14ac:dyDescent="0.25">
      <c r="A7" s="42" t="s">
        <v>14</v>
      </c>
      <c r="B7" s="46">
        <f>Monitor!M15</f>
        <v>65.235999999999905</v>
      </c>
    </row>
    <row r="8" spans="1:4" x14ac:dyDescent="0.25">
      <c r="A8" s="42" t="s">
        <v>15</v>
      </c>
      <c r="B8" s="47">
        <f>Monitor!N15</f>
        <v>2.7759999999999962E-2</v>
      </c>
    </row>
    <row r="9" spans="1:4" x14ac:dyDescent="0.25">
      <c r="A9" s="42" t="s">
        <v>669</v>
      </c>
      <c r="B9" s="46">
        <f>Monitor!O15</f>
        <v>-15.627500000000145</v>
      </c>
    </row>
    <row r="10" spans="1:4" x14ac:dyDescent="0.25">
      <c r="A10" s="42" t="s">
        <v>20</v>
      </c>
      <c r="B10" s="48">
        <f>Monitor!S15</f>
        <v>45981</v>
      </c>
    </row>
    <row r="11" spans="1:4" x14ac:dyDescent="0.25">
      <c r="A11" s="42" t="s">
        <v>670</v>
      </c>
      <c r="B11" s="49">
        <f>Monitor!W15</f>
        <v>-725.50259392492762</v>
      </c>
    </row>
    <row r="12" spans="1:4" x14ac:dyDescent="0.25">
      <c r="A12" s="42" t="s">
        <v>671</v>
      </c>
      <c r="B12" s="50" t="str">
        <f>Monitor!F15</f>
        <v>NR/BB-/BB-</v>
      </c>
    </row>
    <row r="13" spans="1:4" x14ac:dyDescent="0.25">
      <c r="A13" s="42" t="s">
        <v>4</v>
      </c>
      <c r="B13" s="50" t="str">
        <f>Monitor!C15</f>
        <v>CoreWeave</v>
      </c>
    </row>
    <row r="15" spans="1:4" x14ac:dyDescent="0.25">
      <c r="A15" s="4" t="s">
        <v>672</v>
      </c>
      <c r="B15" s="5"/>
      <c r="C15" s="5"/>
      <c r="D15" s="5"/>
    </row>
    <row r="16" spans="1:4" ht="69" customHeight="1" x14ac:dyDescent="0.25">
      <c r="A16" s="51" t="s">
        <v>192</v>
      </c>
      <c r="B16" s="52" t="s">
        <v>210</v>
      </c>
    </row>
    <row r="18" spans="1:4" x14ac:dyDescent="0.25">
      <c r="A18" s="4" t="s">
        <v>673</v>
      </c>
      <c r="B18" s="5"/>
      <c r="C18" s="4" t="s">
        <v>674</v>
      </c>
      <c r="D18" s="4" t="s">
        <v>675</v>
      </c>
    </row>
    <row r="19" spans="1:4" ht="29.45" customHeight="1" x14ac:dyDescent="0.25">
      <c r="A19" s="53" t="s">
        <v>1118</v>
      </c>
      <c r="B19" s="54" t="s">
        <v>1885</v>
      </c>
      <c r="C19" s="55" t="s">
        <v>678</v>
      </c>
      <c r="D19" s="56" t="s">
        <v>679</v>
      </c>
    </row>
    <row r="20" spans="1:4" ht="29.45" customHeight="1" x14ac:dyDescent="0.25">
      <c r="A20" s="53" t="s">
        <v>1886</v>
      </c>
      <c r="B20" s="54" t="s">
        <v>1887</v>
      </c>
      <c r="C20" s="55" t="s">
        <v>1888</v>
      </c>
      <c r="D20" s="56" t="s">
        <v>679</v>
      </c>
    </row>
    <row r="21" spans="1:4" ht="29.45" customHeight="1" x14ac:dyDescent="0.25">
      <c r="A21" s="53" t="s">
        <v>1889</v>
      </c>
      <c r="B21" s="54" t="s">
        <v>1890</v>
      </c>
      <c r="C21" s="55" t="s">
        <v>678</v>
      </c>
      <c r="D21" s="56" t="s">
        <v>679</v>
      </c>
    </row>
    <row r="22" spans="1:4" ht="16.149999999999999" customHeight="1" x14ac:dyDescent="0.25">
      <c r="A22" s="53" t="s">
        <v>1891</v>
      </c>
      <c r="B22" s="54" t="s">
        <v>1892</v>
      </c>
      <c r="C22" s="55" t="s">
        <v>678</v>
      </c>
      <c r="D22" s="56" t="s">
        <v>679</v>
      </c>
    </row>
    <row r="23" spans="1:4" ht="42.6" customHeight="1" x14ac:dyDescent="0.25">
      <c r="A23" s="53" t="s">
        <v>1417</v>
      </c>
      <c r="B23" s="54" t="s">
        <v>1893</v>
      </c>
      <c r="C23" s="55" t="s">
        <v>1894</v>
      </c>
      <c r="D23" s="56" t="s">
        <v>679</v>
      </c>
    </row>
    <row r="24" spans="1:4" ht="42.6" customHeight="1" x14ac:dyDescent="0.25">
      <c r="A24" s="53" t="s">
        <v>711</v>
      </c>
      <c r="B24" s="54" t="s">
        <v>1895</v>
      </c>
      <c r="C24" s="55" t="s">
        <v>1896</v>
      </c>
      <c r="D24" s="56" t="s">
        <v>679</v>
      </c>
    </row>
    <row r="25" spans="1:4" ht="42.6" customHeight="1" x14ac:dyDescent="0.25">
      <c r="A25" s="53" t="s">
        <v>1897</v>
      </c>
      <c r="B25" s="54" t="s">
        <v>1898</v>
      </c>
      <c r="C25" s="55" t="s">
        <v>1899</v>
      </c>
      <c r="D25" s="60" t="s">
        <v>803</v>
      </c>
    </row>
    <row r="26" spans="1:4" ht="42.6" customHeight="1" x14ac:dyDescent="0.25">
      <c r="A26" s="53" t="s">
        <v>705</v>
      </c>
      <c r="B26" s="54" t="s">
        <v>1900</v>
      </c>
      <c r="C26" s="55" t="s">
        <v>678</v>
      </c>
      <c r="D26" s="56" t="s">
        <v>679</v>
      </c>
    </row>
    <row r="27" spans="1:4" ht="16.149999999999999" customHeight="1" x14ac:dyDescent="0.25">
      <c r="A27" s="53" t="s">
        <v>709</v>
      </c>
      <c r="B27" s="54" t="s">
        <v>1901</v>
      </c>
      <c r="C27" s="55" t="s">
        <v>678</v>
      </c>
      <c r="D27" s="56" t="s">
        <v>679</v>
      </c>
    </row>
    <row r="28" spans="1:4" ht="16.149999999999999" customHeight="1" x14ac:dyDescent="0.25">
      <c r="A28" s="53" t="s">
        <v>1902</v>
      </c>
      <c r="B28" s="54" t="s">
        <v>1903</v>
      </c>
      <c r="C28" s="55" t="s">
        <v>678</v>
      </c>
      <c r="D28" s="56" t="s">
        <v>679</v>
      </c>
    </row>
    <row r="29" spans="1:4" ht="16.149999999999999" customHeight="1" x14ac:dyDescent="0.25">
      <c r="A29" s="53" t="s">
        <v>695</v>
      </c>
      <c r="B29" s="54" t="s">
        <v>1904</v>
      </c>
      <c r="C29" s="55" t="s">
        <v>678</v>
      </c>
      <c r="D29" s="58" t="s">
        <v>698</v>
      </c>
    </row>
    <row r="30" spans="1:4" ht="29.45" customHeight="1" x14ac:dyDescent="0.25">
      <c r="A30" s="53" t="s">
        <v>1905</v>
      </c>
      <c r="B30" s="54" t="s">
        <v>1906</v>
      </c>
      <c r="C30" s="55" t="s">
        <v>678</v>
      </c>
      <c r="D30" s="58" t="s">
        <v>698</v>
      </c>
    </row>
    <row r="32" spans="1:4" x14ac:dyDescent="0.25">
      <c r="A32" s="4" t="s">
        <v>717</v>
      </c>
      <c r="B32" s="5"/>
      <c r="C32" s="4" t="s">
        <v>674</v>
      </c>
      <c r="D32" s="4" t="s">
        <v>675</v>
      </c>
    </row>
    <row r="33" spans="1:4" ht="55.9" customHeight="1" x14ac:dyDescent="0.25">
      <c r="A33" s="53" t="s">
        <v>718</v>
      </c>
      <c r="B33" s="54" t="s">
        <v>1907</v>
      </c>
      <c r="C33" s="55" t="s">
        <v>1908</v>
      </c>
      <c r="D33" s="60" t="s">
        <v>803</v>
      </c>
    </row>
    <row r="34" spans="1:4" ht="29.45" customHeight="1" x14ac:dyDescent="0.25">
      <c r="A34" s="53" t="s">
        <v>1909</v>
      </c>
      <c r="B34" s="54" t="s">
        <v>1910</v>
      </c>
      <c r="C34" s="55" t="s">
        <v>1911</v>
      </c>
      <c r="D34" s="56" t="s">
        <v>679</v>
      </c>
    </row>
    <row r="35" spans="1:4" ht="42.6" customHeight="1" x14ac:dyDescent="0.25">
      <c r="A35" s="53" t="s">
        <v>722</v>
      </c>
      <c r="B35" s="54" t="s">
        <v>1912</v>
      </c>
      <c r="C35" s="55" t="s">
        <v>678</v>
      </c>
      <c r="D35" s="56" t="s">
        <v>679</v>
      </c>
    </row>
    <row r="36" spans="1:4" ht="29.45" customHeight="1" x14ac:dyDescent="0.25">
      <c r="A36" s="53" t="s">
        <v>1913</v>
      </c>
      <c r="B36" s="54" t="s">
        <v>1914</v>
      </c>
      <c r="C36" s="55" t="s">
        <v>1915</v>
      </c>
      <c r="D36" s="56" t="s">
        <v>679</v>
      </c>
    </row>
    <row r="37" spans="1:4" ht="29.45" customHeight="1" x14ac:dyDescent="0.25">
      <c r="A37" s="53" t="s">
        <v>726</v>
      </c>
      <c r="B37" s="54" t="s">
        <v>1916</v>
      </c>
      <c r="C37" s="55" t="s">
        <v>1917</v>
      </c>
      <c r="D37" s="57" t="s">
        <v>690</v>
      </c>
    </row>
    <row r="39" spans="1:4" x14ac:dyDescent="0.25">
      <c r="A39" s="4" t="s">
        <v>728</v>
      </c>
      <c r="B39" s="5"/>
      <c r="C39" s="4" t="s">
        <v>674</v>
      </c>
      <c r="D39" s="4" t="s">
        <v>675</v>
      </c>
    </row>
    <row r="40" spans="1:4" ht="29.45" customHeight="1" x14ac:dyDescent="0.25">
      <c r="A40" s="53" t="s">
        <v>729</v>
      </c>
      <c r="B40" s="54" t="s">
        <v>1918</v>
      </c>
      <c r="C40" s="55" t="s">
        <v>1919</v>
      </c>
      <c r="D40" s="56" t="s">
        <v>679</v>
      </c>
    </row>
    <row r="41" spans="1:4" ht="29.45" customHeight="1" x14ac:dyDescent="0.25">
      <c r="A41" s="53" t="s">
        <v>1920</v>
      </c>
      <c r="B41" s="54" t="s">
        <v>1921</v>
      </c>
      <c r="C41" s="55" t="s">
        <v>1919</v>
      </c>
      <c r="D41" s="56" t="s">
        <v>679</v>
      </c>
    </row>
    <row r="42" spans="1:4" ht="42.6" customHeight="1" x14ac:dyDescent="0.25">
      <c r="A42" s="53" t="s">
        <v>1922</v>
      </c>
      <c r="B42" s="54" t="s">
        <v>1923</v>
      </c>
      <c r="C42" s="55" t="s">
        <v>1924</v>
      </c>
      <c r="D42" s="56" t="s">
        <v>679</v>
      </c>
    </row>
    <row r="43" spans="1:4" ht="42.6" customHeight="1" x14ac:dyDescent="0.25">
      <c r="A43" s="53" t="s">
        <v>1925</v>
      </c>
      <c r="B43" s="54" t="s">
        <v>1926</v>
      </c>
      <c r="C43" s="55" t="s">
        <v>1927</v>
      </c>
      <c r="D43" s="56" t="s">
        <v>679</v>
      </c>
    </row>
    <row r="44" spans="1:4" ht="42.6" customHeight="1" x14ac:dyDescent="0.25">
      <c r="A44" s="53" t="s">
        <v>1928</v>
      </c>
      <c r="B44" s="54" t="s">
        <v>1929</v>
      </c>
      <c r="C44" s="55" t="s">
        <v>1930</v>
      </c>
      <c r="D44" s="56" t="s">
        <v>679</v>
      </c>
    </row>
    <row r="45" spans="1:4" ht="42.6" customHeight="1" x14ac:dyDescent="0.25">
      <c r="A45" s="53" t="s">
        <v>1931</v>
      </c>
      <c r="B45" s="54" t="s">
        <v>1932</v>
      </c>
      <c r="C45" s="55" t="s">
        <v>1485</v>
      </c>
      <c r="D45" s="57" t="s">
        <v>690</v>
      </c>
    </row>
    <row r="47" spans="1:4" x14ac:dyDescent="0.25">
      <c r="A47" s="4" t="s">
        <v>740</v>
      </c>
      <c r="B47" s="5"/>
      <c r="C47" s="4" t="s">
        <v>674</v>
      </c>
      <c r="D47" s="4" t="s">
        <v>675</v>
      </c>
    </row>
    <row r="48" spans="1:4" ht="42.6" customHeight="1" x14ac:dyDescent="0.25">
      <c r="A48" s="53" t="s">
        <v>4</v>
      </c>
      <c r="B48" s="54" t="s">
        <v>1933</v>
      </c>
      <c r="C48" s="55" t="s">
        <v>844</v>
      </c>
      <c r="D48" s="56" t="s">
        <v>679</v>
      </c>
    </row>
    <row r="49" spans="1:4" ht="55.9" customHeight="1" x14ac:dyDescent="0.25">
      <c r="A49" s="53" t="s">
        <v>1934</v>
      </c>
      <c r="B49" s="54" t="s">
        <v>1935</v>
      </c>
      <c r="C49" s="55" t="s">
        <v>844</v>
      </c>
      <c r="D49" s="56" t="s">
        <v>679</v>
      </c>
    </row>
    <row r="50" spans="1:4" ht="29.45" customHeight="1" x14ac:dyDescent="0.25">
      <c r="A50" s="53" t="s">
        <v>1936</v>
      </c>
      <c r="B50" s="54" t="s">
        <v>1937</v>
      </c>
      <c r="C50" s="55" t="s">
        <v>844</v>
      </c>
      <c r="D50" s="60" t="s">
        <v>803</v>
      </c>
    </row>
    <row r="51" spans="1:4" ht="42.6" customHeight="1" x14ac:dyDescent="0.25">
      <c r="A51" s="53" t="s">
        <v>1938</v>
      </c>
      <c r="B51" s="54" t="s">
        <v>1939</v>
      </c>
      <c r="C51" s="55" t="s">
        <v>1940</v>
      </c>
      <c r="D51" s="57" t="s">
        <v>690</v>
      </c>
    </row>
    <row r="52" spans="1:4" ht="29.45" customHeight="1" x14ac:dyDescent="0.25">
      <c r="A52" s="53" t="s">
        <v>1941</v>
      </c>
      <c r="B52" s="54" t="s">
        <v>1942</v>
      </c>
      <c r="C52" s="55" t="s">
        <v>1943</v>
      </c>
      <c r="D52" s="57" t="s">
        <v>690</v>
      </c>
    </row>
    <row r="53" spans="1:4" ht="42.6" customHeight="1" x14ac:dyDescent="0.25">
      <c r="A53" s="53" t="s">
        <v>1665</v>
      </c>
      <c r="B53" s="54" t="s">
        <v>1944</v>
      </c>
      <c r="C53" s="55" t="s">
        <v>1945</v>
      </c>
      <c r="D53" s="60" t="s">
        <v>803</v>
      </c>
    </row>
    <row r="54" spans="1:4" ht="29.45" customHeight="1" x14ac:dyDescent="0.25">
      <c r="A54" s="53" t="s">
        <v>754</v>
      </c>
      <c r="B54" s="54" t="s">
        <v>1946</v>
      </c>
      <c r="C54" s="55" t="s">
        <v>1947</v>
      </c>
      <c r="D54" s="56" t="s">
        <v>679</v>
      </c>
    </row>
    <row r="55" spans="1:4" ht="29.45" customHeight="1" x14ac:dyDescent="0.25">
      <c r="A55" s="53" t="s">
        <v>1948</v>
      </c>
      <c r="B55" s="54" t="s">
        <v>1949</v>
      </c>
      <c r="C55" s="55" t="s">
        <v>844</v>
      </c>
      <c r="D55" s="56" t="s">
        <v>679</v>
      </c>
    </row>
    <row r="56" spans="1:4" ht="16.149999999999999" customHeight="1" x14ac:dyDescent="0.25">
      <c r="A56" s="53" t="s">
        <v>1950</v>
      </c>
      <c r="B56" s="54" t="s">
        <v>1951</v>
      </c>
      <c r="C56" s="55" t="s">
        <v>689</v>
      </c>
      <c r="D56" s="57" t="s">
        <v>690</v>
      </c>
    </row>
    <row r="57" spans="1:4" ht="16.149999999999999" customHeight="1" x14ac:dyDescent="0.25">
      <c r="A57" s="53" t="s">
        <v>1952</v>
      </c>
      <c r="B57" s="54" t="s">
        <v>1953</v>
      </c>
      <c r="C57" s="55" t="s">
        <v>1954</v>
      </c>
      <c r="D57" s="56" t="s">
        <v>679</v>
      </c>
    </row>
    <row r="59" spans="1:4" x14ac:dyDescent="0.25">
      <c r="A59" s="4" t="s">
        <v>762</v>
      </c>
      <c r="B59" s="5"/>
      <c r="C59" s="4" t="s">
        <v>674</v>
      </c>
      <c r="D59" s="4" t="s">
        <v>675</v>
      </c>
    </row>
    <row r="60" spans="1:4" ht="29.45" customHeight="1" x14ac:dyDescent="0.25">
      <c r="A60" s="53" t="s">
        <v>1955</v>
      </c>
      <c r="B60" s="54" t="s">
        <v>1956</v>
      </c>
      <c r="C60" s="55" t="s">
        <v>1915</v>
      </c>
      <c r="D60" s="56" t="s">
        <v>679</v>
      </c>
    </row>
    <row r="61" spans="1:4" ht="42.6" customHeight="1" x14ac:dyDescent="0.25">
      <c r="A61" s="53" t="s">
        <v>1679</v>
      </c>
      <c r="B61" s="54" t="s">
        <v>1957</v>
      </c>
      <c r="C61" s="55" t="s">
        <v>1485</v>
      </c>
      <c r="D61" s="57" t="s">
        <v>690</v>
      </c>
    </row>
    <row r="62" spans="1:4" ht="29.45" customHeight="1" x14ac:dyDescent="0.25">
      <c r="A62" s="53" t="s">
        <v>1958</v>
      </c>
      <c r="B62" s="54" t="s">
        <v>1959</v>
      </c>
      <c r="C62" s="55" t="s">
        <v>1485</v>
      </c>
      <c r="D62" s="57" t="s">
        <v>690</v>
      </c>
    </row>
    <row r="63" spans="1:4" ht="29.45" customHeight="1" x14ac:dyDescent="0.25">
      <c r="A63" s="53" t="s">
        <v>1166</v>
      </c>
      <c r="B63" s="54" t="s">
        <v>1960</v>
      </c>
      <c r="C63" s="55" t="s">
        <v>678</v>
      </c>
      <c r="D63" s="56" t="s">
        <v>679</v>
      </c>
    </row>
    <row r="65" spans="1:4" x14ac:dyDescent="0.25">
      <c r="A65" s="4" t="s">
        <v>773</v>
      </c>
      <c r="B65" s="5"/>
      <c r="C65" s="4" t="s">
        <v>674</v>
      </c>
      <c r="D65" s="4" t="s">
        <v>675</v>
      </c>
    </row>
    <row r="66" spans="1:4" ht="29.45" customHeight="1" x14ac:dyDescent="0.25">
      <c r="A66" s="53" t="s">
        <v>1961</v>
      </c>
      <c r="B66" s="54" t="s">
        <v>1962</v>
      </c>
      <c r="C66" s="55" t="s">
        <v>966</v>
      </c>
      <c r="D66" s="57" t="s">
        <v>690</v>
      </c>
    </row>
    <row r="67" spans="1:4" ht="29.45" customHeight="1" x14ac:dyDescent="0.25">
      <c r="A67" s="53" t="s">
        <v>1963</v>
      </c>
      <c r="B67" s="54" t="s">
        <v>1964</v>
      </c>
      <c r="C67" s="55" t="s">
        <v>1965</v>
      </c>
      <c r="D67" s="57" t="s">
        <v>690</v>
      </c>
    </row>
    <row r="68" spans="1:4" ht="29.45" customHeight="1" x14ac:dyDescent="0.25">
      <c r="A68" s="53" t="s">
        <v>1966</v>
      </c>
      <c r="B68" s="54" t="s">
        <v>1967</v>
      </c>
      <c r="C68" s="55" t="s">
        <v>1927</v>
      </c>
      <c r="D68" s="57" t="s">
        <v>690</v>
      </c>
    </row>
    <row r="70" spans="1:4" x14ac:dyDescent="0.25">
      <c r="A70" s="4" t="s">
        <v>781</v>
      </c>
      <c r="B70" s="5"/>
      <c r="C70" s="4" t="s">
        <v>674</v>
      </c>
      <c r="D70" s="4" t="s">
        <v>675</v>
      </c>
    </row>
    <row r="71" spans="1:4" ht="29.45" customHeight="1" x14ac:dyDescent="0.25">
      <c r="A71" s="53" t="s">
        <v>1968</v>
      </c>
      <c r="B71" s="54" t="s">
        <v>1969</v>
      </c>
      <c r="C71" s="55" t="s">
        <v>1970</v>
      </c>
      <c r="D71" s="56" t="s">
        <v>679</v>
      </c>
    </row>
    <row r="72" spans="1:4" ht="29.45" customHeight="1" x14ac:dyDescent="0.25">
      <c r="A72" s="53" t="s">
        <v>1971</v>
      </c>
      <c r="B72" s="54" t="s">
        <v>1972</v>
      </c>
      <c r="C72" s="55" t="s">
        <v>1973</v>
      </c>
      <c r="D72" s="60" t="s">
        <v>803</v>
      </c>
    </row>
    <row r="73" spans="1:4" ht="29.45" customHeight="1" x14ac:dyDescent="0.25">
      <c r="A73" s="53" t="s">
        <v>1974</v>
      </c>
      <c r="B73" s="54" t="s">
        <v>1975</v>
      </c>
      <c r="C73" s="55" t="s">
        <v>966</v>
      </c>
      <c r="D73" s="56" t="s">
        <v>679</v>
      </c>
    </row>
    <row r="74" spans="1:4" ht="16.149999999999999" customHeight="1" x14ac:dyDescent="0.25">
      <c r="A74" s="53" t="s">
        <v>784</v>
      </c>
      <c r="B74" s="54" t="s">
        <v>1976</v>
      </c>
      <c r="C74" s="55" t="s">
        <v>844</v>
      </c>
      <c r="D74" s="58" t="s">
        <v>698</v>
      </c>
    </row>
    <row r="75" spans="1:4" ht="42.6" customHeight="1" x14ac:dyDescent="0.25">
      <c r="A75" s="53" t="s">
        <v>1977</v>
      </c>
      <c r="B75" s="54" t="s">
        <v>1978</v>
      </c>
      <c r="C75" s="55" t="s">
        <v>678</v>
      </c>
      <c r="D75" s="56" t="s">
        <v>679</v>
      </c>
    </row>
    <row r="77" spans="1:4" x14ac:dyDescent="0.25">
      <c r="A77" s="4" t="s">
        <v>792</v>
      </c>
      <c r="B77" s="5"/>
      <c r="C77" s="4" t="s">
        <v>674</v>
      </c>
      <c r="D77" s="4" t="s">
        <v>675</v>
      </c>
    </row>
    <row r="78" spans="1:4" ht="29.45" customHeight="1" x14ac:dyDescent="0.25">
      <c r="A78" s="53" t="s">
        <v>797</v>
      </c>
      <c r="B78" s="54" t="s">
        <v>1979</v>
      </c>
      <c r="C78" s="55" t="s">
        <v>1896</v>
      </c>
      <c r="D78" s="60" t="s">
        <v>803</v>
      </c>
    </row>
    <row r="79" spans="1:4" ht="29.45" customHeight="1" x14ac:dyDescent="0.25">
      <c r="A79" s="53" t="s">
        <v>1980</v>
      </c>
      <c r="B79" s="54" t="s">
        <v>1981</v>
      </c>
      <c r="C79" s="55" t="s">
        <v>689</v>
      </c>
      <c r="D79" s="60" t="s">
        <v>803</v>
      </c>
    </row>
    <row r="80" spans="1:4" ht="42.6" customHeight="1" x14ac:dyDescent="0.25">
      <c r="A80" s="53" t="s">
        <v>1982</v>
      </c>
      <c r="B80" s="54" t="s">
        <v>1983</v>
      </c>
      <c r="C80" s="55" t="s">
        <v>689</v>
      </c>
      <c r="D80" s="60" t="s">
        <v>803</v>
      </c>
    </row>
    <row r="81" spans="1:4" ht="29.45" customHeight="1" x14ac:dyDescent="0.25">
      <c r="A81" s="53" t="s">
        <v>1984</v>
      </c>
      <c r="B81" s="54" t="s">
        <v>1985</v>
      </c>
      <c r="C81" s="55" t="s">
        <v>689</v>
      </c>
      <c r="D81" s="60" t="s">
        <v>803</v>
      </c>
    </row>
    <row r="82" spans="1:4" ht="29.45" customHeight="1" x14ac:dyDescent="0.25">
      <c r="A82" s="53" t="s">
        <v>1986</v>
      </c>
      <c r="B82" s="54" t="s">
        <v>1987</v>
      </c>
      <c r="C82" s="55" t="s">
        <v>734</v>
      </c>
      <c r="D82" s="56" t="s">
        <v>679</v>
      </c>
    </row>
    <row r="84" spans="1:4" x14ac:dyDescent="0.25">
      <c r="A84" s="4" t="s">
        <v>804</v>
      </c>
      <c r="B84" s="5"/>
      <c r="C84" s="4" t="s">
        <v>674</v>
      </c>
      <c r="D84" s="4" t="s">
        <v>675</v>
      </c>
    </row>
    <row r="85" spans="1:4" ht="29.45" customHeight="1" x14ac:dyDescent="0.25">
      <c r="A85" s="53" t="s">
        <v>1988</v>
      </c>
      <c r="B85" s="54" t="s">
        <v>1989</v>
      </c>
      <c r="C85" s="55" t="s">
        <v>678</v>
      </c>
      <c r="D85" s="56" t="s">
        <v>679</v>
      </c>
    </row>
    <row r="86" spans="1:4" ht="16.149999999999999" customHeight="1" x14ac:dyDescent="0.25">
      <c r="A86" s="53" t="s">
        <v>1990</v>
      </c>
      <c r="B86" s="54" t="s">
        <v>1991</v>
      </c>
      <c r="C86" s="55" t="s">
        <v>1896</v>
      </c>
      <c r="D86" s="60" t="s">
        <v>803</v>
      </c>
    </row>
    <row r="87" spans="1:4" ht="29.45" customHeight="1" x14ac:dyDescent="0.25">
      <c r="A87" s="53" t="s">
        <v>1992</v>
      </c>
      <c r="B87" s="54" t="s">
        <v>1993</v>
      </c>
      <c r="C87" s="55" t="s">
        <v>844</v>
      </c>
      <c r="D87" s="57" t="s">
        <v>690</v>
      </c>
    </row>
    <row r="88" spans="1:4" ht="16.149999999999999" customHeight="1" x14ac:dyDescent="0.25">
      <c r="A88" s="53" t="s">
        <v>1994</v>
      </c>
      <c r="B88" s="54" t="s">
        <v>1995</v>
      </c>
      <c r="C88" s="55" t="s">
        <v>966</v>
      </c>
      <c r="D88" s="57" t="s">
        <v>690</v>
      </c>
    </row>
    <row r="90" spans="1:4" x14ac:dyDescent="0.25">
      <c r="A90" s="4" t="s">
        <v>813</v>
      </c>
      <c r="B90" s="5"/>
      <c r="C90" s="4" t="s">
        <v>674</v>
      </c>
      <c r="D90" s="4" t="s">
        <v>675</v>
      </c>
    </row>
    <row r="91" spans="1:4" ht="29.45" customHeight="1" x14ac:dyDescent="0.25">
      <c r="A91" s="53" t="s">
        <v>1996</v>
      </c>
      <c r="B91" s="54" t="s">
        <v>1997</v>
      </c>
      <c r="C91" s="55" t="s">
        <v>678</v>
      </c>
      <c r="D91" s="56" t="s">
        <v>679</v>
      </c>
    </row>
    <row r="92" spans="1:4" ht="29.45" customHeight="1" x14ac:dyDescent="0.25">
      <c r="A92" s="53" t="s">
        <v>820</v>
      </c>
      <c r="B92" s="54" t="s">
        <v>1998</v>
      </c>
      <c r="C92" s="55" t="s">
        <v>678</v>
      </c>
      <c r="D92" s="56" t="s">
        <v>679</v>
      </c>
    </row>
    <row r="93" spans="1:4" ht="29.45" customHeight="1" x14ac:dyDescent="0.25">
      <c r="A93" s="53" t="s">
        <v>1999</v>
      </c>
      <c r="B93" s="54" t="s">
        <v>2000</v>
      </c>
      <c r="C93" s="55" t="s">
        <v>689</v>
      </c>
      <c r="D93" s="60" t="s">
        <v>803</v>
      </c>
    </row>
    <row r="94" spans="1:4" ht="16.149999999999999" customHeight="1" x14ac:dyDescent="0.25">
      <c r="A94" s="53" t="s">
        <v>2001</v>
      </c>
      <c r="B94" s="54" t="s">
        <v>2002</v>
      </c>
      <c r="C94" s="55" t="s">
        <v>678</v>
      </c>
      <c r="D94" s="58" t="s">
        <v>698</v>
      </c>
    </row>
    <row r="96" spans="1:4" x14ac:dyDescent="0.25">
      <c r="A96" s="4" t="s">
        <v>826</v>
      </c>
      <c r="B96" s="5"/>
      <c r="C96" s="4" t="s">
        <v>674</v>
      </c>
      <c r="D96" s="4" t="s">
        <v>675</v>
      </c>
    </row>
    <row r="97" spans="1:4" ht="29.45" customHeight="1" x14ac:dyDescent="0.25">
      <c r="A97" s="53" t="s">
        <v>2003</v>
      </c>
      <c r="B97" s="54" t="s">
        <v>2004</v>
      </c>
      <c r="C97" s="55" t="s">
        <v>678</v>
      </c>
      <c r="D97" s="58" t="s">
        <v>698</v>
      </c>
    </row>
    <row r="98" spans="1:4" ht="29.45" customHeight="1" x14ac:dyDescent="0.25">
      <c r="A98" s="53" t="s">
        <v>1034</v>
      </c>
      <c r="B98" s="54" t="s">
        <v>2005</v>
      </c>
      <c r="C98" s="55" t="s">
        <v>678</v>
      </c>
      <c r="D98" s="58" t="s">
        <v>698</v>
      </c>
    </row>
    <row r="100" spans="1:4" x14ac:dyDescent="0.25">
      <c r="A100" s="4" t="s">
        <v>833</v>
      </c>
      <c r="B100" s="5"/>
      <c r="C100" s="4" t="s">
        <v>674</v>
      </c>
      <c r="D100" s="4" t="s">
        <v>675</v>
      </c>
    </row>
    <row r="101" spans="1:4" ht="29.45" customHeight="1" x14ac:dyDescent="0.25">
      <c r="A101" s="53" t="s">
        <v>2006</v>
      </c>
      <c r="B101" s="54" t="s">
        <v>2007</v>
      </c>
      <c r="C101" s="55" t="s">
        <v>678</v>
      </c>
      <c r="D101" s="56" t="s">
        <v>679</v>
      </c>
    </row>
    <row r="102" spans="1:4" ht="16.149999999999999" customHeight="1" x14ac:dyDescent="0.25">
      <c r="A102" s="53" t="s">
        <v>2008</v>
      </c>
      <c r="B102" s="54" t="s">
        <v>2009</v>
      </c>
      <c r="C102" s="55" t="s">
        <v>844</v>
      </c>
      <c r="D102" s="56" t="s">
        <v>679</v>
      </c>
    </row>
    <row r="104" spans="1:4" x14ac:dyDescent="0.25">
      <c r="A104" s="4" t="s">
        <v>836</v>
      </c>
      <c r="B104" s="5"/>
      <c r="C104" s="4" t="s">
        <v>674</v>
      </c>
      <c r="D104" s="4" t="s">
        <v>675</v>
      </c>
    </row>
    <row r="105" spans="1:4" ht="29.45" customHeight="1" x14ac:dyDescent="0.25">
      <c r="A105" s="53" t="s">
        <v>2010</v>
      </c>
      <c r="B105" s="54" t="s">
        <v>2011</v>
      </c>
      <c r="C105" s="55" t="s">
        <v>2012</v>
      </c>
      <c r="D105" s="57" t="s">
        <v>690</v>
      </c>
    </row>
    <row r="106" spans="1:4" ht="29.45" customHeight="1" x14ac:dyDescent="0.25">
      <c r="A106" s="53" t="s">
        <v>2013</v>
      </c>
      <c r="B106" s="54" t="s">
        <v>2014</v>
      </c>
      <c r="C106" s="55" t="s">
        <v>689</v>
      </c>
      <c r="D106" s="60" t="s">
        <v>803</v>
      </c>
    </row>
    <row r="107" spans="1:4" ht="16.149999999999999" customHeight="1" x14ac:dyDescent="0.25">
      <c r="A107" s="53" t="s">
        <v>2015</v>
      </c>
      <c r="B107" s="54" t="s">
        <v>2016</v>
      </c>
      <c r="C107" s="55" t="s">
        <v>689</v>
      </c>
      <c r="D107" s="60" t="s">
        <v>803</v>
      </c>
    </row>
    <row r="108" spans="1:4" ht="29.45" customHeight="1" x14ac:dyDescent="0.25">
      <c r="A108" s="53" t="s">
        <v>2017</v>
      </c>
      <c r="B108" s="54" t="s">
        <v>2018</v>
      </c>
      <c r="C108" s="55" t="s">
        <v>2019</v>
      </c>
      <c r="D108" s="59" t="s">
        <v>748</v>
      </c>
    </row>
    <row r="109" spans="1:4" ht="16.149999999999999" customHeight="1" x14ac:dyDescent="0.25">
      <c r="A109" s="53" t="s">
        <v>2020</v>
      </c>
      <c r="B109" s="54" t="s">
        <v>2021</v>
      </c>
      <c r="C109" s="55" t="s">
        <v>678</v>
      </c>
      <c r="D109" s="58" t="s">
        <v>698</v>
      </c>
    </row>
    <row r="111" spans="1:4" x14ac:dyDescent="0.25">
      <c r="A111" s="4" t="s">
        <v>855</v>
      </c>
      <c r="B111" s="5"/>
      <c r="C111" s="4" t="s">
        <v>674</v>
      </c>
      <c r="D111" s="4" t="s">
        <v>675</v>
      </c>
    </row>
    <row r="112" spans="1:4" ht="16.149999999999999" customHeight="1" x14ac:dyDescent="0.25">
      <c r="A112" s="53" t="s">
        <v>2022</v>
      </c>
      <c r="B112" s="54" t="s">
        <v>2023</v>
      </c>
      <c r="C112" s="55" t="s">
        <v>844</v>
      </c>
      <c r="D112" s="56" t="s">
        <v>679</v>
      </c>
    </row>
    <row r="113" spans="1:4" ht="16.149999999999999" customHeight="1" x14ac:dyDescent="0.25">
      <c r="A113" s="53" t="s">
        <v>2024</v>
      </c>
      <c r="B113" s="54" t="s">
        <v>2025</v>
      </c>
      <c r="C113" s="55" t="s">
        <v>844</v>
      </c>
      <c r="D113" s="56" t="s">
        <v>679</v>
      </c>
    </row>
    <row r="114" spans="1:4" ht="16.149999999999999" customHeight="1" x14ac:dyDescent="0.25">
      <c r="A114" s="53" t="s">
        <v>2026</v>
      </c>
      <c r="B114" s="54" t="s">
        <v>2027</v>
      </c>
      <c r="C114" s="55" t="s">
        <v>1919</v>
      </c>
      <c r="D114" s="56" t="s">
        <v>679</v>
      </c>
    </row>
    <row r="115" spans="1:4" ht="29.45" customHeight="1" x14ac:dyDescent="0.25">
      <c r="A115" s="53" t="s">
        <v>2028</v>
      </c>
      <c r="B115" s="54" t="s">
        <v>2029</v>
      </c>
      <c r="C115" s="55" t="s">
        <v>2030</v>
      </c>
      <c r="D115" s="56" t="s">
        <v>679</v>
      </c>
    </row>
    <row r="116" spans="1:4" ht="29.45" customHeight="1" x14ac:dyDescent="0.25">
      <c r="A116" s="53" t="s">
        <v>2031</v>
      </c>
      <c r="B116" s="54" t="s">
        <v>2032</v>
      </c>
      <c r="C116" s="55" t="s">
        <v>2033</v>
      </c>
      <c r="D116" s="59" t="s">
        <v>748</v>
      </c>
    </row>
    <row r="117" spans="1:4" ht="42.6" customHeight="1" x14ac:dyDescent="0.25">
      <c r="A117" s="53" t="s">
        <v>2034</v>
      </c>
      <c r="B117" s="54" t="s">
        <v>2035</v>
      </c>
      <c r="C117" s="55" t="s">
        <v>2036</v>
      </c>
      <c r="D117" s="59" t="s">
        <v>748</v>
      </c>
    </row>
    <row r="119" spans="1:4" x14ac:dyDescent="0.25">
      <c r="A119" s="4" t="s">
        <v>868</v>
      </c>
      <c r="B119" s="5"/>
      <c r="C119" s="4" t="s">
        <v>674</v>
      </c>
      <c r="D119" s="5"/>
    </row>
    <row r="120" spans="1:4" ht="16.149999999999999" customHeight="1" x14ac:dyDescent="0.25">
      <c r="A120" s="61" t="s">
        <v>2037</v>
      </c>
      <c r="B120" s="54" t="s">
        <v>2038</v>
      </c>
      <c r="C120" s="55" t="s">
        <v>844</v>
      </c>
      <c r="D120" s="62"/>
    </row>
    <row r="121" spans="1:4" ht="16.149999999999999" customHeight="1" x14ac:dyDescent="0.25">
      <c r="A121" s="61" t="s">
        <v>2039</v>
      </c>
      <c r="B121" s="54" t="s">
        <v>2040</v>
      </c>
      <c r="C121" s="55" t="s">
        <v>844</v>
      </c>
      <c r="D121" s="62"/>
    </row>
    <row r="122" spans="1:4" ht="16.149999999999999" customHeight="1" x14ac:dyDescent="0.25">
      <c r="A122" s="61" t="s">
        <v>1369</v>
      </c>
      <c r="B122" s="54" t="s">
        <v>2041</v>
      </c>
      <c r="C122" s="55" t="s">
        <v>844</v>
      </c>
      <c r="D122" s="62"/>
    </row>
    <row r="123" spans="1:4" ht="16.149999999999999" customHeight="1" x14ac:dyDescent="0.25">
      <c r="A123" s="61" t="s">
        <v>2042</v>
      </c>
      <c r="B123" s="54" t="s">
        <v>2043</v>
      </c>
      <c r="C123" s="55" t="s">
        <v>844</v>
      </c>
      <c r="D123" s="62"/>
    </row>
    <row r="124" spans="1:4" ht="16.149999999999999" customHeight="1" x14ac:dyDescent="0.25">
      <c r="A124" s="61" t="s">
        <v>2044</v>
      </c>
      <c r="B124" s="54" t="s">
        <v>2045</v>
      </c>
      <c r="C124" s="55" t="s">
        <v>684</v>
      </c>
      <c r="D124" s="62"/>
    </row>
    <row r="125" spans="1:4" ht="16.149999999999999" customHeight="1" x14ac:dyDescent="0.25">
      <c r="A125" s="61" t="s">
        <v>2046</v>
      </c>
      <c r="B125" s="54" t="s">
        <v>2047</v>
      </c>
      <c r="C125" s="55" t="s">
        <v>753</v>
      </c>
      <c r="D125" s="62"/>
    </row>
    <row r="126" spans="1:4" ht="16.149999999999999" customHeight="1" x14ac:dyDescent="0.25">
      <c r="A126" s="61" t="s">
        <v>2048</v>
      </c>
      <c r="B126" s="54" t="s">
        <v>2049</v>
      </c>
      <c r="C126" s="55" t="s">
        <v>678</v>
      </c>
      <c r="D126" s="62"/>
    </row>
    <row r="127" spans="1:4" ht="16.149999999999999" customHeight="1" x14ac:dyDescent="0.25">
      <c r="A127" s="61" t="s">
        <v>2050</v>
      </c>
      <c r="B127" s="54" t="s">
        <v>2051</v>
      </c>
      <c r="C127" s="55" t="s">
        <v>844</v>
      </c>
      <c r="D127" s="62"/>
    </row>
    <row r="128" spans="1:4" ht="16.149999999999999" customHeight="1" x14ac:dyDescent="0.25">
      <c r="A128" s="61" t="s">
        <v>2052</v>
      </c>
      <c r="B128" s="54" t="s">
        <v>2053</v>
      </c>
      <c r="C128" s="55" t="s">
        <v>844</v>
      </c>
      <c r="D128" s="62"/>
    </row>
    <row r="129" spans="1:4" ht="16.149999999999999" customHeight="1" x14ac:dyDescent="0.25">
      <c r="A129" s="61" t="s">
        <v>2054</v>
      </c>
      <c r="B129" s="54" t="s">
        <v>2055</v>
      </c>
      <c r="C129" s="55" t="s">
        <v>844</v>
      </c>
      <c r="D129" s="62"/>
    </row>
    <row r="130" spans="1:4" ht="29.45" customHeight="1" x14ac:dyDescent="0.25">
      <c r="A130" s="61" t="s">
        <v>2056</v>
      </c>
      <c r="B130" s="54" t="s">
        <v>2057</v>
      </c>
      <c r="C130" s="55" t="s">
        <v>2058</v>
      </c>
      <c r="D130" s="62"/>
    </row>
    <row r="131" spans="1:4" ht="16.149999999999999" customHeight="1" x14ac:dyDescent="0.25">
      <c r="A131" s="61" t="s">
        <v>1070</v>
      </c>
      <c r="B131" s="54" t="s">
        <v>2059</v>
      </c>
      <c r="C131" s="55" t="s">
        <v>966</v>
      </c>
      <c r="D131" s="62"/>
    </row>
    <row r="132" spans="1:4" ht="16.149999999999999" customHeight="1" x14ac:dyDescent="0.25">
      <c r="A132" s="61" t="s">
        <v>2060</v>
      </c>
      <c r="B132" s="54" t="s">
        <v>2061</v>
      </c>
      <c r="C132" s="55" t="s">
        <v>966</v>
      </c>
      <c r="D132" s="62"/>
    </row>
    <row r="133" spans="1:4" ht="16.149999999999999" customHeight="1" x14ac:dyDescent="0.25">
      <c r="A133" s="61" t="s">
        <v>2062</v>
      </c>
      <c r="B133" s="54" t="s">
        <v>2063</v>
      </c>
      <c r="C133" s="55" t="s">
        <v>734</v>
      </c>
      <c r="D133" s="62"/>
    </row>
    <row r="134" spans="1:4" ht="16.149999999999999" customHeight="1" x14ac:dyDescent="0.25">
      <c r="A134" s="61" t="s">
        <v>2064</v>
      </c>
      <c r="B134" s="54" t="s">
        <v>2065</v>
      </c>
      <c r="C134" s="55" t="s">
        <v>2066</v>
      </c>
      <c r="D134" s="62"/>
    </row>
    <row r="136" spans="1:4" x14ac:dyDescent="0.25">
      <c r="A136" s="4" t="s">
        <v>894</v>
      </c>
      <c r="B136" s="5"/>
      <c r="C136" s="5"/>
      <c r="D136" s="5"/>
    </row>
    <row r="137" spans="1:4" ht="29.45" customHeight="1" x14ac:dyDescent="0.25">
      <c r="A137" s="53" t="s">
        <v>2067</v>
      </c>
      <c r="B137" s="54" t="s">
        <v>2068</v>
      </c>
      <c r="C137" s="28" t="s">
        <v>897</v>
      </c>
      <c r="D137" s="62"/>
    </row>
    <row r="138" spans="1:4" ht="29.45" customHeight="1" x14ac:dyDescent="0.25">
      <c r="A138" s="53" t="s">
        <v>2069</v>
      </c>
      <c r="B138" s="54" t="s">
        <v>2070</v>
      </c>
      <c r="C138" s="28" t="s">
        <v>897</v>
      </c>
      <c r="D138" s="62"/>
    </row>
    <row r="139" spans="1:4" ht="29.45" customHeight="1" x14ac:dyDescent="0.25">
      <c r="A139" s="53" t="s">
        <v>2071</v>
      </c>
      <c r="B139" s="54" t="s">
        <v>2072</v>
      </c>
      <c r="C139" s="28" t="s">
        <v>897</v>
      </c>
      <c r="D139" s="62"/>
    </row>
    <row r="140" spans="1:4" ht="29.45" customHeight="1" x14ac:dyDescent="0.25">
      <c r="A140" s="53" t="s">
        <v>2073</v>
      </c>
      <c r="B140" s="54" t="s">
        <v>2074</v>
      </c>
      <c r="C140" s="28" t="s">
        <v>897</v>
      </c>
      <c r="D140" s="62"/>
    </row>
    <row r="141" spans="1:4" ht="42.6" customHeight="1" x14ac:dyDescent="0.25">
      <c r="A141" s="53" t="s">
        <v>2075</v>
      </c>
      <c r="B141" s="54" t="s">
        <v>2076</v>
      </c>
      <c r="C141" s="28" t="s">
        <v>897</v>
      </c>
      <c r="D141" s="62"/>
    </row>
    <row r="142" spans="1:4" ht="29.45" customHeight="1" x14ac:dyDescent="0.25">
      <c r="A142" s="53" t="s">
        <v>2077</v>
      </c>
      <c r="B142" s="54" t="s">
        <v>2078</v>
      </c>
      <c r="C142" s="28" t="s">
        <v>897</v>
      </c>
      <c r="D142" s="62"/>
    </row>
    <row r="143" spans="1:4" ht="29.45" customHeight="1" x14ac:dyDescent="0.25">
      <c r="A143" s="53" t="s">
        <v>2079</v>
      </c>
      <c r="B143" s="54" t="s">
        <v>2080</v>
      </c>
      <c r="C143" s="28" t="s">
        <v>897</v>
      </c>
      <c r="D143" s="62"/>
    </row>
    <row r="144" spans="1:4" ht="29.45" customHeight="1" x14ac:dyDescent="0.25">
      <c r="A144" s="53" t="s">
        <v>2081</v>
      </c>
      <c r="B144" s="54" t="s">
        <v>2082</v>
      </c>
      <c r="C144" s="28" t="s">
        <v>897</v>
      </c>
      <c r="D144" s="62"/>
    </row>
    <row r="145" spans="1:4" ht="29.45" customHeight="1" x14ac:dyDescent="0.25">
      <c r="A145" s="53" t="s">
        <v>2083</v>
      </c>
      <c r="B145" s="54" t="s">
        <v>2084</v>
      </c>
      <c r="C145" s="28" t="s">
        <v>897</v>
      </c>
      <c r="D145" s="62"/>
    </row>
    <row r="146" spans="1:4" ht="29.45" customHeight="1" x14ac:dyDescent="0.25">
      <c r="A146" s="53" t="s">
        <v>2085</v>
      </c>
      <c r="B146" s="54" t="s">
        <v>2086</v>
      </c>
      <c r="C146" s="28" t="s">
        <v>897</v>
      </c>
      <c r="D146" s="62"/>
    </row>
    <row r="147" spans="1:4" ht="29.45" customHeight="1" x14ac:dyDescent="0.25">
      <c r="A147" s="53" t="s">
        <v>2087</v>
      </c>
      <c r="B147" s="54" t="s">
        <v>2088</v>
      </c>
      <c r="C147" s="28" t="s">
        <v>897</v>
      </c>
      <c r="D147" s="62"/>
    </row>
    <row r="148" spans="1:4" ht="29.45" customHeight="1" x14ac:dyDescent="0.25">
      <c r="A148" s="53" t="s">
        <v>2089</v>
      </c>
      <c r="B148" s="54" t="s">
        <v>2090</v>
      </c>
      <c r="C148" s="28" t="s">
        <v>897</v>
      </c>
      <c r="D148" s="62"/>
    </row>
    <row r="149" spans="1:4" ht="29.45" customHeight="1" x14ac:dyDescent="0.25">
      <c r="A149" s="53" t="s">
        <v>2091</v>
      </c>
      <c r="B149" s="54" t="s">
        <v>2092</v>
      </c>
      <c r="C149" s="28" t="s">
        <v>897</v>
      </c>
      <c r="D149" s="62"/>
    </row>
    <row r="150" spans="1:4" ht="29.45" customHeight="1" x14ac:dyDescent="0.25">
      <c r="A150" s="53" t="s">
        <v>2093</v>
      </c>
      <c r="B150" s="54" t="s">
        <v>2094</v>
      </c>
      <c r="C150" s="28" t="s">
        <v>897</v>
      </c>
      <c r="D150" s="62"/>
    </row>
    <row r="151" spans="1:4" ht="29.45" customHeight="1" x14ac:dyDescent="0.25">
      <c r="A151" s="53" t="s">
        <v>2095</v>
      </c>
      <c r="B151" s="54" t="s">
        <v>2096</v>
      </c>
      <c r="C151" s="28" t="s">
        <v>897</v>
      </c>
      <c r="D151" s="62"/>
    </row>
    <row r="152" spans="1:4" ht="29.45" customHeight="1" x14ac:dyDescent="0.25">
      <c r="A152" s="53" t="s">
        <v>2097</v>
      </c>
      <c r="B152" s="54" t="s">
        <v>2098</v>
      </c>
      <c r="C152" s="28" t="s">
        <v>897</v>
      </c>
      <c r="D152" s="62"/>
    </row>
    <row r="153" spans="1:4" ht="29.45" customHeight="1" x14ac:dyDescent="0.25">
      <c r="A153" s="53" t="s">
        <v>2099</v>
      </c>
      <c r="B153" s="54" t="s">
        <v>2100</v>
      </c>
      <c r="C153" s="28" t="s">
        <v>897</v>
      </c>
      <c r="D153" s="62"/>
    </row>
    <row r="155" spans="1:4" x14ac:dyDescent="0.25">
      <c r="A155" s="4" t="s">
        <v>926</v>
      </c>
      <c r="B155" s="5"/>
      <c r="C155" s="5"/>
      <c r="D155" s="5"/>
    </row>
    <row r="156" spans="1:4" ht="29.45" customHeight="1" x14ac:dyDescent="0.25">
      <c r="B156" s="52" t="s">
        <v>2101</v>
      </c>
    </row>
    <row r="157" spans="1:4" ht="16.149999999999999" customHeight="1" x14ac:dyDescent="0.25">
      <c r="B157" s="52" t="s">
        <v>2102</v>
      </c>
    </row>
    <row r="158" spans="1:4" ht="29.45" customHeight="1" x14ac:dyDescent="0.25">
      <c r="B158" s="52" t="s">
        <v>2103</v>
      </c>
    </row>
    <row r="159" spans="1:4" ht="29.45" customHeight="1" x14ac:dyDescent="0.25">
      <c r="B159" s="52" t="s">
        <v>2104</v>
      </c>
    </row>
    <row r="160" spans="1:4" ht="16.149999999999999" customHeight="1" x14ac:dyDescent="0.25">
      <c r="B160" s="52" t="s">
        <v>2105</v>
      </c>
    </row>
    <row r="161" spans="2:2" ht="29.45" customHeight="1" x14ac:dyDescent="0.25">
      <c r="B161" s="52" t="s">
        <v>2106</v>
      </c>
    </row>
    <row r="162" spans="2:2" ht="29.45" customHeight="1" x14ac:dyDescent="0.25">
      <c r="B162" s="52" t="s">
        <v>2107</v>
      </c>
    </row>
    <row r="163" spans="2:2" ht="29.45" customHeight="1" x14ac:dyDescent="0.25">
      <c r="B163" s="52" t="s">
        <v>2108</v>
      </c>
    </row>
    <row r="164" spans="2:2" ht="42.6" customHeight="1" x14ac:dyDescent="0.25">
      <c r="B164" s="52" t="s">
        <v>2109</v>
      </c>
    </row>
    <row r="165" spans="2:2" ht="29.45" customHeight="1" x14ac:dyDescent="0.25">
      <c r="B165" s="52" t="s">
        <v>2110</v>
      </c>
    </row>
    <row r="166" spans="2:2" ht="29.45" customHeight="1" x14ac:dyDescent="0.25">
      <c r="B166" s="52" t="s">
        <v>2111</v>
      </c>
    </row>
  </sheetData>
  <hyperlinks>
    <hyperlink ref="D1" location="'Monitor'!A15" display="&lt;&lt; Monitor" xr:uid="{00000000-0004-0000-1000-000000000000}"/>
    <hyperlink ref="C137" r:id="rId1" xr:uid="{00000000-0004-0000-1000-000001000000}"/>
    <hyperlink ref="C138" r:id="rId2" xr:uid="{00000000-0004-0000-1000-000002000000}"/>
    <hyperlink ref="C139" r:id="rId3" xr:uid="{00000000-0004-0000-1000-000003000000}"/>
    <hyperlink ref="C140" r:id="rId4" xr:uid="{00000000-0004-0000-1000-000004000000}"/>
    <hyperlink ref="C141" r:id="rId5" xr:uid="{00000000-0004-0000-1000-000005000000}"/>
    <hyperlink ref="C142" r:id="rId6" xr:uid="{00000000-0004-0000-1000-000006000000}"/>
    <hyperlink ref="C143" r:id="rId7" xr:uid="{00000000-0004-0000-1000-000007000000}"/>
    <hyperlink ref="C144" r:id="rId8" xr:uid="{00000000-0004-0000-1000-000008000000}"/>
    <hyperlink ref="C145" r:id="rId9" xr:uid="{00000000-0004-0000-1000-000009000000}"/>
    <hyperlink ref="C146" r:id="rId10" xr:uid="{00000000-0004-0000-1000-00000A000000}"/>
    <hyperlink ref="C147" r:id="rId11" xr:uid="{00000000-0004-0000-1000-00000B000000}"/>
    <hyperlink ref="C148" r:id="rId12" xr:uid="{00000000-0004-0000-1000-00000C000000}"/>
    <hyperlink ref="C149" r:id="rId13" xr:uid="{00000000-0004-0000-1000-00000D000000}"/>
    <hyperlink ref="C150" r:id="rId14" xr:uid="{00000000-0004-0000-1000-00000E000000}"/>
    <hyperlink ref="C151" r:id="rId15" xr:uid="{00000000-0004-0000-1000-00000F000000}"/>
    <hyperlink ref="C152" r:id="rId16" xr:uid="{00000000-0004-0000-1000-000010000000}"/>
    <hyperlink ref="C153" r:id="rId17" xr:uid="{00000000-0004-0000-1000-000011000000}"/>
  </hyperlinks>
  <pageMargins left="0.75" right="0.75" top="1" bottom="1" header="0.5" footer="0.5"/>
  <pageSetup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5A11"/>
    <pageSetUpPr fitToPage="1"/>
  </sheetPr>
  <dimension ref="A1:D148"/>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211</v>
      </c>
      <c r="D1" s="41" t="s">
        <v>667</v>
      </c>
    </row>
    <row r="2" spans="1:4" x14ac:dyDescent="0.25">
      <c r="A2" s="2" t="s">
        <v>2112</v>
      </c>
    </row>
    <row r="4" spans="1:4" x14ac:dyDescent="0.25">
      <c r="A4" s="42" t="s">
        <v>9</v>
      </c>
      <c r="B4" s="43">
        <f>Monitor!H16</f>
        <v>95.153000000000006</v>
      </c>
    </row>
    <row r="5" spans="1:4" x14ac:dyDescent="0.25">
      <c r="A5" s="42" t="s">
        <v>11</v>
      </c>
      <c r="B5" s="44">
        <f>Monitor!J16</f>
        <v>8.1104983405269078</v>
      </c>
    </row>
    <row r="6" spans="1:4" x14ac:dyDescent="0.25">
      <c r="A6" s="42" t="s">
        <v>8</v>
      </c>
      <c r="B6" s="45">
        <f>Monitor!G16</f>
        <v>2150</v>
      </c>
    </row>
    <row r="7" spans="1:4" x14ac:dyDescent="0.25">
      <c r="A7" s="42" t="s">
        <v>14</v>
      </c>
      <c r="B7" s="46">
        <f>Monitor!M16</f>
        <v>-104.21049999999988</v>
      </c>
    </row>
    <row r="8" spans="1:4" x14ac:dyDescent="0.25">
      <c r="A8" s="42" t="s">
        <v>15</v>
      </c>
      <c r="B8" s="47">
        <f>Monitor!N16</f>
        <v>-4.8469999999999944E-2</v>
      </c>
    </row>
    <row r="9" spans="1:4" x14ac:dyDescent="0.25">
      <c r="A9" s="42" t="s">
        <v>669</v>
      </c>
      <c r="B9" s="46">
        <f>Monitor!O16</f>
        <v>-8.1270000000000024</v>
      </c>
    </row>
    <row r="10" spans="1:4" x14ac:dyDescent="0.25">
      <c r="A10" s="42" t="s">
        <v>20</v>
      </c>
      <c r="B10" s="48">
        <f>Monitor!S16</f>
        <v>46091</v>
      </c>
    </row>
    <row r="11" spans="1:4" x14ac:dyDescent="0.25">
      <c r="A11" s="42" t="s">
        <v>670</v>
      </c>
      <c r="B11" s="49">
        <f>Monitor!W16</f>
        <v>113.11846391299215</v>
      </c>
    </row>
    <row r="12" spans="1:4" x14ac:dyDescent="0.25">
      <c r="A12" s="42" t="s">
        <v>671</v>
      </c>
      <c r="B12" s="50" t="str">
        <f>Monitor!F16</f>
        <v>Ba3/NR/BB-</v>
      </c>
    </row>
    <row r="13" spans="1:4" x14ac:dyDescent="0.25">
      <c r="A13" s="42" t="s">
        <v>4</v>
      </c>
      <c r="B13" s="50" t="str">
        <f>Monitor!C16</f>
        <v>Oracle</v>
      </c>
    </row>
    <row r="15" spans="1:4" x14ac:dyDescent="0.25">
      <c r="A15" s="4" t="s">
        <v>672</v>
      </c>
      <c r="B15" s="5"/>
      <c r="C15" s="5"/>
      <c r="D15" s="5"/>
    </row>
    <row r="16" spans="1:4" ht="69" customHeight="1" x14ac:dyDescent="0.25">
      <c r="A16" s="51" t="s">
        <v>192</v>
      </c>
      <c r="B16" s="52" t="s">
        <v>212</v>
      </c>
    </row>
    <row r="18" spans="1:4" x14ac:dyDescent="0.25">
      <c r="A18" s="4" t="s">
        <v>673</v>
      </c>
      <c r="B18" s="5"/>
      <c r="C18" s="4" t="s">
        <v>674</v>
      </c>
      <c r="D18" s="4" t="s">
        <v>675</v>
      </c>
    </row>
    <row r="19" spans="1:4" ht="29.45" customHeight="1" x14ac:dyDescent="0.25">
      <c r="A19" s="53" t="s">
        <v>1118</v>
      </c>
      <c r="B19" s="54" t="s">
        <v>2113</v>
      </c>
      <c r="C19" s="55" t="s">
        <v>776</v>
      </c>
      <c r="D19" s="56" t="s">
        <v>679</v>
      </c>
    </row>
    <row r="20" spans="1:4" ht="29.45" customHeight="1" x14ac:dyDescent="0.25">
      <c r="A20" s="53" t="s">
        <v>1886</v>
      </c>
      <c r="B20" s="54" t="s">
        <v>2114</v>
      </c>
      <c r="C20" s="55" t="s">
        <v>2115</v>
      </c>
      <c r="D20" s="56" t="s">
        <v>679</v>
      </c>
    </row>
    <row r="21" spans="1:4" ht="16.149999999999999" customHeight="1" x14ac:dyDescent="0.25">
      <c r="A21" s="53" t="s">
        <v>1889</v>
      </c>
      <c r="B21" s="54" t="s">
        <v>2116</v>
      </c>
      <c r="C21" s="55" t="s">
        <v>776</v>
      </c>
      <c r="D21" s="56" t="s">
        <v>679</v>
      </c>
    </row>
    <row r="22" spans="1:4" ht="16.149999999999999" customHeight="1" x14ac:dyDescent="0.25">
      <c r="A22" s="53" t="s">
        <v>1891</v>
      </c>
      <c r="B22" s="54" t="s">
        <v>2117</v>
      </c>
      <c r="C22" s="55" t="s">
        <v>776</v>
      </c>
      <c r="D22" s="56" t="s">
        <v>679</v>
      </c>
    </row>
    <row r="23" spans="1:4" ht="42.6" customHeight="1" x14ac:dyDescent="0.25">
      <c r="A23" s="53" t="s">
        <v>1417</v>
      </c>
      <c r="B23" s="54" t="s">
        <v>2118</v>
      </c>
      <c r="C23" s="55" t="s">
        <v>2119</v>
      </c>
      <c r="D23" s="56" t="s">
        <v>679</v>
      </c>
    </row>
    <row r="24" spans="1:4" ht="55.9" customHeight="1" x14ac:dyDescent="0.25">
      <c r="A24" s="53" t="s">
        <v>711</v>
      </c>
      <c r="B24" s="54" t="s">
        <v>2120</v>
      </c>
      <c r="C24" s="55" t="s">
        <v>2121</v>
      </c>
      <c r="D24" s="60" t="s">
        <v>803</v>
      </c>
    </row>
    <row r="25" spans="1:4" ht="29.45" customHeight="1" x14ac:dyDescent="0.25">
      <c r="A25" s="53" t="s">
        <v>705</v>
      </c>
      <c r="B25" s="54" t="s">
        <v>2122</v>
      </c>
      <c r="C25" s="55" t="s">
        <v>776</v>
      </c>
      <c r="D25" s="56" t="s">
        <v>679</v>
      </c>
    </row>
    <row r="26" spans="1:4" ht="42.6" customHeight="1" x14ac:dyDescent="0.25">
      <c r="A26" s="53" t="s">
        <v>2123</v>
      </c>
      <c r="B26" s="54" t="s">
        <v>2124</v>
      </c>
      <c r="C26" s="55" t="s">
        <v>2125</v>
      </c>
      <c r="D26" s="56" t="s">
        <v>679</v>
      </c>
    </row>
    <row r="27" spans="1:4" ht="16.149999999999999" customHeight="1" x14ac:dyDescent="0.25">
      <c r="A27" s="53" t="s">
        <v>1902</v>
      </c>
      <c r="B27" s="54" t="s">
        <v>2126</v>
      </c>
      <c r="C27" s="55" t="s">
        <v>776</v>
      </c>
      <c r="D27" s="56" t="s">
        <v>679</v>
      </c>
    </row>
    <row r="28" spans="1:4" ht="16.149999999999999" customHeight="1" x14ac:dyDescent="0.25">
      <c r="A28" s="53" t="s">
        <v>695</v>
      </c>
      <c r="B28" s="54" t="s">
        <v>2127</v>
      </c>
      <c r="C28" s="55" t="s">
        <v>776</v>
      </c>
      <c r="D28" s="58" t="s">
        <v>698</v>
      </c>
    </row>
    <row r="29" spans="1:4" ht="29.45" customHeight="1" x14ac:dyDescent="0.25">
      <c r="A29" s="53" t="s">
        <v>1905</v>
      </c>
      <c r="B29" s="54" t="s">
        <v>2128</v>
      </c>
      <c r="C29" s="55" t="s">
        <v>776</v>
      </c>
      <c r="D29" s="58" t="s">
        <v>698</v>
      </c>
    </row>
    <row r="31" spans="1:4" x14ac:dyDescent="0.25">
      <c r="A31" s="4" t="s">
        <v>717</v>
      </c>
      <c r="B31" s="5"/>
      <c r="C31" s="4" t="s">
        <v>674</v>
      </c>
      <c r="D31" s="4" t="s">
        <v>675</v>
      </c>
    </row>
    <row r="32" spans="1:4" ht="42.6" customHeight="1" x14ac:dyDescent="0.25">
      <c r="A32" s="53" t="s">
        <v>718</v>
      </c>
      <c r="B32" s="54" t="s">
        <v>2129</v>
      </c>
      <c r="C32" s="55" t="s">
        <v>2130</v>
      </c>
      <c r="D32" s="60" t="s">
        <v>803</v>
      </c>
    </row>
    <row r="33" spans="1:4" ht="29.45" customHeight="1" x14ac:dyDescent="0.25">
      <c r="A33" s="53" t="s">
        <v>1909</v>
      </c>
      <c r="B33" s="54" t="s">
        <v>2131</v>
      </c>
      <c r="C33" s="55" t="s">
        <v>2132</v>
      </c>
      <c r="D33" s="56" t="s">
        <v>679</v>
      </c>
    </row>
    <row r="34" spans="1:4" ht="29.45" customHeight="1" x14ac:dyDescent="0.25">
      <c r="A34" s="53" t="s">
        <v>722</v>
      </c>
      <c r="B34" s="54" t="s">
        <v>2133</v>
      </c>
      <c r="C34" s="55" t="s">
        <v>776</v>
      </c>
      <c r="D34" s="56" t="s">
        <v>679</v>
      </c>
    </row>
    <row r="35" spans="1:4" ht="29.45" customHeight="1" x14ac:dyDescent="0.25">
      <c r="A35" s="53" t="s">
        <v>1140</v>
      </c>
      <c r="B35" s="54" t="s">
        <v>2134</v>
      </c>
      <c r="C35" s="55" t="s">
        <v>2135</v>
      </c>
      <c r="D35" s="60" t="s">
        <v>803</v>
      </c>
    </row>
    <row r="37" spans="1:4" x14ac:dyDescent="0.25">
      <c r="A37" s="4" t="s">
        <v>728</v>
      </c>
      <c r="B37" s="5"/>
      <c r="C37" s="4" t="s">
        <v>674</v>
      </c>
      <c r="D37" s="4" t="s">
        <v>675</v>
      </c>
    </row>
    <row r="38" spans="1:4" ht="29.45" customHeight="1" x14ac:dyDescent="0.25">
      <c r="A38" s="53" t="s">
        <v>729</v>
      </c>
      <c r="B38" s="54" t="s">
        <v>2136</v>
      </c>
      <c r="C38" s="55" t="s">
        <v>1919</v>
      </c>
      <c r="D38" s="56" t="s">
        <v>679</v>
      </c>
    </row>
    <row r="39" spans="1:4" ht="29.45" customHeight="1" x14ac:dyDescent="0.25">
      <c r="A39" s="53" t="s">
        <v>2137</v>
      </c>
      <c r="B39" s="54" t="s">
        <v>2138</v>
      </c>
      <c r="C39" s="55" t="s">
        <v>1917</v>
      </c>
      <c r="D39" s="56" t="s">
        <v>679</v>
      </c>
    </row>
    <row r="40" spans="1:4" ht="29.45" customHeight="1" x14ac:dyDescent="0.25">
      <c r="A40" s="53" t="s">
        <v>2139</v>
      </c>
      <c r="B40" s="54" t="s">
        <v>2140</v>
      </c>
      <c r="C40" s="55" t="s">
        <v>2141</v>
      </c>
      <c r="D40" s="56" t="s">
        <v>679</v>
      </c>
    </row>
    <row r="41" spans="1:4" ht="29.45" customHeight="1" x14ac:dyDescent="0.25">
      <c r="A41" s="53" t="s">
        <v>2142</v>
      </c>
      <c r="B41" s="54" t="s">
        <v>2143</v>
      </c>
      <c r="C41" s="55" t="s">
        <v>2144</v>
      </c>
      <c r="D41" s="56" t="s">
        <v>679</v>
      </c>
    </row>
    <row r="43" spans="1:4" x14ac:dyDescent="0.25">
      <c r="A43" s="4" t="s">
        <v>740</v>
      </c>
      <c r="B43" s="5"/>
      <c r="C43" s="4" t="s">
        <v>674</v>
      </c>
      <c r="D43" s="4" t="s">
        <v>675</v>
      </c>
    </row>
    <row r="44" spans="1:4" ht="29.45" customHeight="1" x14ac:dyDescent="0.25">
      <c r="A44" s="53" t="s">
        <v>4</v>
      </c>
      <c r="B44" s="54" t="s">
        <v>2145</v>
      </c>
      <c r="C44" s="55" t="s">
        <v>2146</v>
      </c>
      <c r="D44" s="57" t="s">
        <v>690</v>
      </c>
    </row>
    <row r="45" spans="1:4" ht="29.45" customHeight="1" x14ac:dyDescent="0.25">
      <c r="A45" s="53" t="s">
        <v>2147</v>
      </c>
      <c r="B45" s="54" t="s">
        <v>2148</v>
      </c>
      <c r="C45" s="55" t="s">
        <v>844</v>
      </c>
      <c r="D45" s="56" t="s">
        <v>679</v>
      </c>
    </row>
    <row r="46" spans="1:4" ht="16.149999999999999" customHeight="1" x14ac:dyDescent="0.25">
      <c r="A46" s="53" t="s">
        <v>1941</v>
      </c>
      <c r="B46" s="54" t="s">
        <v>2149</v>
      </c>
      <c r="C46" s="55" t="s">
        <v>1943</v>
      </c>
      <c r="D46" s="56" t="s">
        <v>679</v>
      </c>
    </row>
    <row r="47" spans="1:4" ht="29.45" customHeight="1" x14ac:dyDescent="0.25">
      <c r="A47" s="53" t="s">
        <v>2150</v>
      </c>
      <c r="B47" s="54" t="s">
        <v>2151</v>
      </c>
      <c r="C47" s="55" t="s">
        <v>1945</v>
      </c>
      <c r="D47" s="57" t="s">
        <v>690</v>
      </c>
    </row>
    <row r="48" spans="1:4" ht="29.45" customHeight="1" x14ac:dyDescent="0.25">
      <c r="A48" s="53" t="s">
        <v>2152</v>
      </c>
      <c r="B48" s="54" t="s">
        <v>2153</v>
      </c>
      <c r="C48" s="55" t="s">
        <v>737</v>
      </c>
      <c r="D48" s="60" t="s">
        <v>803</v>
      </c>
    </row>
    <row r="49" spans="1:4" ht="29.45" customHeight="1" x14ac:dyDescent="0.25">
      <c r="A49" s="53" t="s">
        <v>1938</v>
      </c>
      <c r="B49" s="54" t="s">
        <v>2154</v>
      </c>
      <c r="C49" s="55" t="s">
        <v>1943</v>
      </c>
      <c r="D49" s="57" t="s">
        <v>690</v>
      </c>
    </row>
    <row r="50" spans="1:4" ht="29.45" customHeight="1" x14ac:dyDescent="0.25">
      <c r="A50" s="53" t="s">
        <v>754</v>
      </c>
      <c r="B50" s="54" t="s">
        <v>2155</v>
      </c>
      <c r="C50" s="55" t="s">
        <v>2132</v>
      </c>
      <c r="D50" s="60" t="s">
        <v>803</v>
      </c>
    </row>
    <row r="51" spans="1:4" ht="16.149999999999999" customHeight="1" x14ac:dyDescent="0.25">
      <c r="A51" s="53" t="s">
        <v>2156</v>
      </c>
      <c r="B51" s="54" t="s">
        <v>2157</v>
      </c>
      <c r="C51" s="55" t="s">
        <v>877</v>
      </c>
      <c r="D51" s="57" t="s">
        <v>690</v>
      </c>
    </row>
    <row r="52" spans="1:4" ht="29.45" customHeight="1" x14ac:dyDescent="0.25">
      <c r="A52" s="53" t="s">
        <v>2158</v>
      </c>
      <c r="B52" s="54" t="s">
        <v>2159</v>
      </c>
      <c r="C52" s="55" t="s">
        <v>2125</v>
      </c>
      <c r="D52" s="56" t="s">
        <v>679</v>
      </c>
    </row>
    <row r="54" spans="1:4" x14ac:dyDescent="0.25">
      <c r="A54" s="4" t="s">
        <v>762</v>
      </c>
      <c r="B54" s="5"/>
      <c r="C54" s="4" t="s">
        <v>674</v>
      </c>
      <c r="D54" s="4" t="s">
        <v>675</v>
      </c>
    </row>
    <row r="55" spans="1:4" ht="16.149999999999999" customHeight="1" x14ac:dyDescent="0.25">
      <c r="A55" s="53" t="s">
        <v>984</v>
      </c>
      <c r="B55" s="54" t="s">
        <v>2160</v>
      </c>
      <c r="C55" s="55" t="s">
        <v>2161</v>
      </c>
      <c r="D55" s="56" t="s">
        <v>679</v>
      </c>
    </row>
    <row r="56" spans="1:4" ht="29.45" customHeight="1" x14ac:dyDescent="0.25">
      <c r="A56" s="53" t="s">
        <v>2162</v>
      </c>
      <c r="B56" s="54" t="s">
        <v>2163</v>
      </c>
      <c r="C56" s="55" t="s">
        <v>1485</v>
      </c>
      <c r="D56" s="57" t="s">
        <v>690</v>
      </c>
    </row>
    <row r="57" spans="1:4" ht="16.149999999999999" customHeight="1" x14ac:dyDescent="0.25">
      <c r="A57" s="53" t="s">
        <v>1958</v>
      </c>
      <c r="B57" s="54" t="s">
        <v>2164</v>
      </c>
      <c r="C57" s="55" t="s">
        <v>1485</v>
      </c>
      <c r="D57" s="57" t="s">
        <v>690</v>
      </c>
    </row>
    <row r="58" spans="1:4" ht="16.149999999999999" customHeight="1" x14ac:dyDescent="0.25">
      <c r="A58" s="53" t="s">
        <v>2165</v>
      </c>
      <c r="B58" s="54" t="s">
        <v>2166</v>
      </c>
      <c r="C58" s="55" t="s">
        <v>844</v>
      </c>
      <c r="D58" s="56" t="s">
        <v>679</v>
      </c>
    </row>
    <row r="60" spans="1:4" x14ac:dyDescent="0.25">
      <c r="A60" s="4" t="s">
        <v>773</v>
      </c>
      <c r="B60" s="5"/>
      <c r="C60" s="4" t="s">
        <v>674</v>
      </c>
      <c r="D60" s="4" t="s">
        <v>675</v>
      </c>
    </row>
    <row r="61" spans="1:4" ht="42.6" customHeight="1" x14ac:dyDescent="0.25">
      <c r="A61" s="53" t="s">
        <v>2167</v>
      </c>
      <c r="B61" s="54" t="s">
        <v>2168</v>
      </c>
      <c r="C61" s="55" t="s">
        <v>1965</v>
      </c>
      <c r="D61" s="57" t="s">
        <v>690</v>
      </c>
    </row>
    <row r="62" spans="1:4" ht="29.45" customHeight="1" x14ac:dyDescent="0.25">
      <c r="A62" s="53" t="s">
        <v>2169</v>
      </c>
      <c r="B62" s="54" t="s">
        <v>2170</v>
      </c>
      <c r="C62" s="55" t="s">
        <v>1927</v>
      </c>
      <c r="D62" s="57" t="s">
        <v>690</v>
      </c>
    </row>
    <row r="64" spans="1:4" x14ac:dyDescent="0.25">
      <c r="A64" s="4" t="s">
        <v>781</v>
      </c>
      <c r="B64" s="5"/>
      <c r="C64" s="4" t="s">
        <v>674</v>
      </c>
      <c r="D64" s="4" t="s">
        <v>675</v>
      </c>
    </row>
    <row r="65" spans="1:4" ht="42.6" customHeight="1" x14ac:dyDescent="0.25">
      <c r="A65" s="53" t="s">
        <v>1968</v>
      </c>
      <c r="B65" s="54" t="s">
        <v>2171</v>
      </c>
      <c r="C65" s="55" t="s">
        <v>1919</v>
      </c>
      <c r="D65" s="56" t="s">
        <v>679</v>
      </c>
    </row>
    <row r="66" spans="1:4" ht="29.45" customHeight="1" x14ac:dyDescent="0.25">
      <c r="A66" s="53" t="s">
        <v>2172</v>
      </c>
      <c r="B66" s="54" t="s">
        <v>2173</v>
      </c>
      <c r="C66" s="55" t="s">
        <v>2174</v>
      </c>
      <c r="D66" s="60" t="s">
        <v>803</v>
      </c>
    </row>
    <row r="67" spans="1:4" ht="16.149999999999999" customHeight="1" x14ac:dyDescent="0.25">
      <c r="A67" s="53" t="s">
        <v>784</v>
      </c>
      <c r="B67" s="54" t="s">
        <v>2175</v>
      </c>
      <c r="C67" s="55" t="s">
        <v>844</v>
      </c>
      <c r="D67" s="58" t="s">
        <v>698</v>
      </c>
    </row>
    <row r="68" spans="1:4" ht="29.45" customHeight="1" x14ac:dyDescent="0.25">
      <c r="A68" s="53" t="s">
        <v>2176</v>
      </c>
      <c r="B68" s="54" t="s">
        <v>2177</v>
      </c>
      <c r="C68" s="55" t="s">
        <v>776</v>
      </c>
      <c r="D68" s="56" t="s">
        <v>679</v>
      </c>
    </row>
    <row r="69" spans="1:4" ht="29.45" customHeight="1" x14ac:dyDescent="0.25">
      <c r="A69" s="53" t="s">
        <v>2178</v>
      </c>
      <c r="B69" s="54" t="s">
        <v>2179</v>
      </c>
      <c r="C69" s="55" t="s">
        <v>1917</v>
      </c>
      <c r="D69" s="57" t="s">
        <v>690</v>
      </c>
    </row>
    <row r="71" spans="1:4" x14ac:dyDescent="0.25">
      <c r="A71" s="4" t="s">
        <v>792</v>
      </c>
      <c r="B71" s="5"/>
      <c r="C71" s="4" t="s">
        <v>674</v>
      </c>
      <c r="D71" s="4" t="s">
        <v>675</v>
      </c>
    </row>
    <row r="72" spans="1:4" ht="29.45" customHeight="1" x14ac:dyDescent="0.25">
      <c r="A72" s="53" t="s">
        <v>797</v>
      </c>
      <c r="B72" s="54" t="s">
        <v>2180</v>
      </c>
      <c r="C72" s="55" t="s">
        <v>776</v>
      </c>
      <c r="D72" s="56" t="s">
        <v>679</v>
      </c>
    </row>
    <row r="73" spans="1:4" ht="29.45" customHeight="1" x14ac:dyDescent="0.25">
      <c r="A73" s="53" t="s">
        <v>2181</v>
      </c>
      <c r="B73" s="54" t="s">
        <v>2182</v>
      </c>
      <c r="C73" s="55" t="s">
        <v>737</v>
      </c>
      <c r="D73" s="60" t="s">
        <v>803</v>
      </c>
    </row>
    <row r="74" spans="1:4" ht="29.45" customHeight="1" x14ac:dyDescent="0.25">
      <c r="A74" s="53" t="s">
        <v>2183</v>
      </c>
      <c r="B74" s="54" t="s">
        <v>2184</v>
      </c>
      <c r="C74" s="55" t="s">
        <v>737</v>
      </c>
      <c r="D74" s="60" t="s">
        <v>803</v>
      </c>
    </row>
    <row r="75" spans="1:4" ht="16.149999999999999" customHeight="1" x14ac:dyDescent="0.25">
      <c r="A75" s="53" t="s">
        <v>1984</v>
      </c>
      <c r="B75" s="54" t="s">
        <v>2185</v>
      </c>
      <c r="C75" s="55" t="s">
        <v>737</v>
      </c>
      <c r="D75" s="60" t="s">
        <v>803</v>
      </c>
    </row>
    <row r="76" spans="1:4" ht="29.45" customHeight="1" x14ac:dyDescent="0.25">
      <c r="A76" s="53" t="s">
        <v>1986</v>
      </c>
      <c r="B76" s="54" t="s">
        <v>2186</v>
      </c>
      <c r="C76" s="55" t="s">
        <v>734</v>
      </c>
      <c r="D76" s="56" t="s">
        <v>679</v>
      </c>
    </row>
    <row r="78" spans="1:4" x14ac:dyDescent="0.25">
      <c r="A78" s="4" t="s">
        <v>804</v>
      </c>
      <c r="B78" s="5"/>
      <c r="C78" s="4" t="s">
        <v>674</v>
      </c>
      <c r="D78" s="4" t="s">
        <v>675</v>
      </c>
    </row>
    <row r="79" spans="1:4" ht="29.45" customHeight="1" x14ac:dyDescent="0.25">
      <c r="A79" s="53" t="s">
        <v>2187</v>
      </c>
      <c r="B79" s="54" t="s">
        <v>2188</v>
      </c>
      <c r="C79" s="55" t="s">
        <v>2125</v>
      </c>
      <c r="D79" s="56" t="s">
        <v>679</v>
      </c>
    </row>
    <row r="80" spans="1:4" ht="16.149999999999999" customHeight="1" x14ac:dyDescent="0.25">
      <c r="A80" s="53" t="s">
        <v>2189</v>
      </c>
      <c r="B80" s="54" t="s">
        <v>2190</v>
      </c>
      <c r="C80" s="55" t="s">
        <v>844</v>
      </c>
      <c r="D80" s="57" t="s">
        <v>690</v>
      </c>
    </row>
    <row r="81" spans="1:4" ht="16.149999999999999" customHeight="1" x14ac:dyDescent="0.25">
      <c r="A81" s="53" t="s">
        <v>799</v>
      </c>
      <c r="B81" s="54" t="s">
        <v>2191</v>
      </c>
      <c r="C81" s="55" t="s">
        <v>2121</v>
      </c>
      <c r="D81" s="60" t="s">
        <v>803</v>
      </c>
    </row>
    <row r="82" spans="1:4" ht="16.149999999999999" customHeight="1" x14ac:dyDescent="0.25">
      <c r="A82" s="53" t="s">
        <v>2192</v>
      </c>
      <c r="B82" s="54" t="s">
        <v>1516</v>
      </c>
      <c r="C82" s="55" t="s">
        <v>844</v>
      </c>
      <c r="D82" s="58" t="s">
        <v>698</v>
      </c>
    </row>
    <row r="84" spans="1:4" x14ac:dyDescent="0.25">
      <c r="A84" s="4" t="s">
        <v>813</v>
      </c>
      <c r="B84" s="5"/>
      <c r="C84" s="4" t="s">
        <v>674</v>
      </c>
      <c r="D84" s="4" t="s">
        <v>675</v>
      </c>
    </row>
    <row r="85" spans="1:4" ht="29.45" customHeight="1" x14ac:dyDescent="0.25">
      <c r="A85" s="53" t="s">
        <v>1705</v>
      </c>
      <c r="B85" s="54" t="s">
        <v>2193</v>
      </c>
      <c r="C85" s="55" t="s">
        <v>776</v>
      </c>
      <c r="D85" s="56" t="s">
        <v>679</v>
      </c>
    </row>
    <row r="86" spans="1:4" ht="29.45" customHeight="1" x14ac:dyDescent="0.25">
      <c r="A86" s="53" t="s">
        <v>2194</v>
      </c>
      <c r="B86" s="54" t="s">
        <v>2195</v>
      </c>
      <c r="C86" s="55" t="s">
        <v>737</v>
      </c>
      <c r="D86" s="60" t="s">
        <v>803</v>
      </c>
    </row>
    <row r="88" spans="1:4" x14ac:dyDescent="0.25">
      <c r="A88" s="4" t="s">
        <v>826</v>
      </c>
      <c r="B88" s="5"/>
      <c r="C88" s="4" t="s">
        <v>674</v>
      </c>
      <c r="D88" s="4" t="s">
        <v>675</v>
      </c>
    </row>
    <row r="89" spans="1:4" ht="16.149999999999999" customHeight="1" x14ac:dyDescent="0.25">
      <c r="A89" s="53" t="s">
        <v>2196</v>
      </c>
      <c r="B89" s="54" t="s">
        <v>2197</v>
      </c>
      <c r="C89" s="55" t="s">
        <v>776</v>
      </c>
      <c r="D89" s="58" t="s">
        <v>698</v>
      </c>
    </row>
    <row r="91" spans="1:4" x14ac:dyDescent="0.25">
      <c r="A91" s="4" t="s">
        <v>833</v>
      </c>
      <c r="B91" s="5"/>
      <c r="C91" s="4" t="s">
        <v>674</v>
      </c>
      <c r="D91" s="4" t="s">
        <v>675</v>
      </c>
    </row>
    <row r="92" spans="1:4" ht="29.45" customHeight="1" x14ac:dyDescent="0.25">
      <c r="A92" s="53" t="s">
        <v>2006</v>
      </c>
      <c r="B92" s="54" t="s">
        <v>2198</v>
      </c>
      <c r="C92" s="55" t="s">
        <v>2146</v>
      </c>
      <c r="D92" s="56" t="s">
        <v>679</v>
      </c>
    </row>
    <row r="94" spans="1:4" x14ac:dyDescent="0.25">
      <c r="A94" s="4" t="s">
        <v>836</v>
      </c>
      <c r="B94" s="5"/>
      <c r="C94" s="4" t="s">
        <v>674</v>
      </c>
      <c r="D94" s="4" t="s">
        <v>675</v>
      </c>
    </row>
    <row r="95" spans="1:4" ht="16.149999999999999" customHeight="1" x14ac:dyDescent="0.25">
      <c r="A95" s="53" t="s">
        <v>2199</v>
      </c>
      <c r="B95" s="54" t="s">
        <v>2200</v>
      </c>
      <c r="C95" s="55" t="s">
        <v>2174</v>
      </c>
      <c r="D95" s="60" t="s">
        <v>803</v>
      </c>
    </row>
    <row r="96" spans="1:4" ht="16.149999999999999" customHeight="1" x14ac:dyDescent="0.25">
      <c r="A96" s="53" t="s">
        <v>2201</v>
      </c>
      <c r="B96" s="54" t="s">
        <v>2202</v>
      </c>
      <c r="C96" s="55" t="s">
        <v>2146</v>
      </c>
      <c r="D96" s="57" t="s">
        <v>690</v>
      </c>
    </row>
    <row r="97" spans="1:4" ht="16.149999999999999" customHeight="1" x14ac:dyDescent="0.25">
      <c r="A97" s="53" t="s">
        <v>2203</v>
      </c>
      <c r="B97" s="54" t="s">
        <v>2204</v>
      </c>
      <c r="C97" s="55" t="s">
        <v>737</v>
      </c>
      <c r="D97" s="60" t="s">
        <v>803</v>
      </c>
    </row>
    <row r="98" spans="1:4" ht="16.149999999999999" customHeight="1" x14ac:dyDescent="0.25">
      <c r="A98" s="53" t="s">
        <v>1224</v>
      </c>
      <c r="B98" s="54" t="s">
        <v>2205</v>
      </c>
      <c r="C98" s="55" t="s">
        <v>2019</v>
      </c>
      <c r="D98" s="59" t="s">
        <v>748</v>
      </c>
    </row>
    <row r="99" spans="1:4" ht="16.149999999999999" customHeight="1" x14ac:dyDescent="0.25">
      <c r="A99" s="53" t="s">
        <v>2206</v>
      </c>
      <c r="B99" s="54" t="s">
        <v>2207</v>
      </c>
      <c r="C99" s="55" t="s">
        <v>2125</v>
      </c>
      <c r="D99" s="56" t="s">
        <v>679</v>
      </c>
    </row>
    <row r="101" spans="1:4" x14ac:dyDescent="0.25">
      <c r="A101" s="4" t="s">
        <v>855</v>
      </c>
      <c r="B101" s="5"/>
      <c r="C101" s="4" t="s">
        <v>674</v>
      </c>
      <c r="D101" s="4" t="s">
        <v>675</v>
      </c>
    </row>
    <row r="102" spans="1:4" ht="16.149999999999999" customHeight="1" x14ac:dyDescent="0.25">
      <c r="A102" s="53" t="s">
        <v>2208</v>
      </c>
      <c r="B102" s="54" t="s">
        <v>2209</v>
      </c>
      <c r="C102" s="55" t="s">
        <v>844</v>
      </c>
      <c r="D102" s="56" t="s">
        <v>679</v>
      </c>
    </row>
    <row r="103" spans="1:4" ht="16.149999999999999" customHeight="1" x14ac:dyDescent="0.25">
      <c r="A103" s="53" t="s">
        <v>2210</v>
      </c>
      <c r="B103" s="54" t="s">
        <v>2211</v>
      </c>
      <c r="C103" s="55" t="s">
        <v>844</v>
      </c>
      <c r="D103" s="56" t="s">
        <v>679</v>
      </c>
    </row>
    <row r="104" spans="1:4" ht="16.149999999999999" customHeight="1" x14ac:dyDescent="0.25">
      <c r="A104" s="53" t="s">
        <v>1043</v>
      </c>
      <c r="B104" s="54" t="s">
        <v>2212</v>
      </c>
      <c r="C104" s="55" t="s">
        <v>1919</v>
      </c>
      <c r="D104" s="56" t="s">
        <v>679</v>
      </c>
    </row>
    <row r="105" spans="1:4" ht="29.45" customHeight="1" x14ac:dyDescent="0.25">
      <c r="A105" s="53" t="s">
        <v>2213</v>
      </c>
      <c r="B105" s="54" t="s">
        <v>2214</v>
      </c>
      <c r="C105" s="55" t="s">
        <v>2033</v>
      </c>
      <c r="D105" s="59" t="s">
        <v>748</v>
      </c>
    </row>
    <row r="107" spans="1:4" x14ac:dyDescent="0.25">
      <c r="A107" s="4" t="s">
        <v>868</v>
      </c>
      <c r="B107" s="5"/>
      <c r="C107" s="4" t="s">
        <v>674</v>
      </c>
      <c r="D107" s="5"/>
    </row>
    <row r="108" spans="1:4" ht="16.149999999999999" customHeight="1" x14ac:dyDescent="0.25">
      <c r="A108" s="61" t="s">
        <v>2215</v>
      </c>
      <c r="B108" s="54" t="s">
        <v>2216</v>
      </c>
      <c r="C108" s="55" t="s">
        <v>844</v>
      </c>
      <c r="D108" s="62"/>
    </row>
    <row r="109" spans="1:4" ht="16.149999999999999" customHeight="1" x14ac:dyDescent="0.25">
      <c r="A109" s="61" t="s">
        <v>2217</v>
      </c>
      <c r="B109" s="54" t="s">
        <v>2218</v>
      </c>
      <c r="C109" s="55" t="s">
        <v>844</v>
      </c>
      <c r="D109" s="62"/>
    </row>
    <row r="110" spans="1:4" ht="16.149999999999999" customHeight="1" x14ac:dyDescent="0.25">
      <c r="A110" s="61" t="s">
        <v>2219</v>
      </c>
      <c r="B110" s="54" t="s">
        <v>2220</v>
      </c>
      <c r="C110" s="55" t="s">
        <v>844</v>
      </c>
      <c r="D110" s="62"/>
    </row>
    <row r="111" spans="1:4" ht="16.149999999999999" customHeight="1" x14ac:dyDescent="0.25">
      <c r="A111" s="61" t="s">
        <v>1728</v>
      </c>
      <c r="B111" s="54" t="s">
        <v>2221</v>
      </c>
      <c r="C111" s="55" t="s">
        <v>877</v>
      </c>
      <c r="D111" s="62"/>
    </row>
    <row r="112" spans="1:4" ht="16.149999999999999" customHeight="1" x14ac:dyDescent="0.25">
      <c r="A112" s="61" t="s">
        <v>2222</v>
      </c>
      <c r="B112" s="54" t="s">
        <v>2223</v>
      </c>
      <c r="C112" s="55" t="s">
        <v>844</v>
      </c>
      <c r="D112" s="62"/>
    </row>
    <row r="113" spans="1:4" ht="16.149999999999999" customHeight="1" x14ac:dyDescent="0.25">
      <c r="A113" s="61" t="s">
        <v>2224</v>
      </c>
      <c r="B113" s="54" t="s">
        <v>2225</v>
      </c>
      <c r="C113" s="55" t="s">
        <v>737</v>
      </c>
      <c r="D113" s="62"/>
    </row>
    <row r="114" spans="1:4" ht="16.149999999999999" customHeight="1" x14ac:dyDescent="0.25">
      <c r="A114" s="61" t="s">
        <v>2226</v>
      </c>
      <c r="B114" s="54" t="s">
        <v>2227</v>
      </c>
      <c r="C114" s="55" t="s">
        <v>731</v>
      </c>
      <c r="D114" s="62"/>
    </row>
    <row r="115" spans="1:4" ht="16.149999999999999" customHeight="1" x14ac:dyDescent="0.25">
      <c r="A115" s="61" t="s">
        <v>2228</v>
      </c>
      <c r="B115" s="54" t="s">
        <v>2229</v>
      </c>
      <c r="C115" s="55" t="s">
        <v>776</v>
      </c>
      <c r="D115" s="62"/>
    </row>
    <row r="116" spans="1:4" ht="16.149999999999999" customHeight="1" x14ac:dyDescent="0.25">
      <c r="A116" s="61" t="s">
        <v>2054</v>
      </c>
      <c r="B116" s="54" t="s">
        <v>2230</v>
      </c>
      <c r="C116" s="55" t="s">
        <v>844</v>
      </c>
      <c r="D116" s="62"/>
    </row>
    <row r="117" spans="1:4" ht="16.149999999999999" customHeight="1" x14ac:dyDescent="0.25">
      <c r="A117" s="61" t="s">
        <v>2231</v>
      </c>
      <c r="B117" s="54" t="s">
        <v>2232</v>
      </c>
      <c r="C117" s="55" t="s">
        <v>844</v>
      </c>
      <c r="D117" s="62"/>
    </row>
    <row r="118" spans="1:4" ht="16.149999999999999" customHeight="1" x14ac:dyDescent="0.25">
      <c r="A118" s="61" t="s">
        <v>2233</v>
      </c>
      <c r="B118" s="54" t="s">
        <v>2234</v>
      </c>
      <c r="C118" s="55" t="s">
        <v>776</v>
      </c>
      <c r="D118" s="62"/>
    </row>
    <row r="119" spans="1:4" ht="16.149999999999999" customHeight="1" x14ac:dyDescent="0.25">
      <c r="A119" s="61" t="s">
        <v>2060</v>
      </c>
      <c r="B119" s="54" t="s">
        <v>2235</v>
      </c>
      <c r="C119" s="55" t="s">
        <v>737</v>
      </c>
      <c r="D119" s="62"/>
    </row>
    <row r="120" spans="1:4" ht="16.149999999999999" customHeight="1" x14ac:dyDescent="0.25">
      <c r="A120" s="61" t="s">
        <v>2062</v>
      </c>
      <c r="B120" s="54" t="s">
        <v>2236</v>
      </c>
      <c r="C120" s="55" t="s">
        <v>734</v>
      </c>
      <c r="D120" s="62"/>
    </row>
    <row r="121" spans="1:4" ht="16.149999999999999" customHeight="1" x14ac:dyDescent="0.25">
      <c r="A121" s="61" t="s">
        <v>2064</v>
      </c>
      <c r="B121" s="54" t="s">
        <v>2237</v>
      </c>
      <c r="C121" s="55" t="s">
        <v>2066</v>
      </c>
      <c r="D121" s="62"/>
    </row>
    <row r="123" spans="1:4" x14ac:dyDescent="0.25">
      <c r="A123" s="4" t="s">
        <v>894</v>
      </c>
      <c r="B123" s="5"/>
      <c r="C123" s="5"/>
      <c r="D123" s="5"/>
    </row>
    <row r="124" spans="1:4" ht="29.45" customHeight="1" x14ac:dyDescent="0.25">
      <c r="A124" s="53" t="s">
        <v>2073</v>
      </c>
      <c r="B124" s="54" t="s">
        <v>2074</v>
      </c>
      <c r="C124" s="28" t="s">
        <v>897</v>
      </c>
      <c r="D124" s="62"/>
    </row>
    <row r="125" spans="1:4" ht="42.6" customHeight="1" x14ac:dyDescent="0.25">
      <c r="A125" s="53" t="s">
        <v>2075</v>
      </c>
      <c r="B125" s="54" t="s">
        <v>2076</v>
      </c>
      <c r="C125" s="28" t="s">
        <v>897</v>
      </c>
      <c r="D125" s="62"/>
    </row>
    <row r="126" spans="1:4" ht="29.45" customHeight="1" x14ac:dyDescent="0.25">
      <c r="A126" s="53" t="s">
        <v>2238</v>
      </c>
      <c r="B126" s="54" t="s">
        <v>2239</v>
      </c>
      <c r="C126" s="28" t="s">
        <v>897</v>
      </c>
      <c r="D126" s="62"/>
    </row>
    <row r="127" spans="1:4" ht="29.45" customHeight="1" x14ac:dyDescent="0.25">
      <c r="A127" s="53" t="s">
        <v>2240</v>
      </c>
      <c r="B127" s="54" t="s">
        <v>2241</v>
      </c>
      <c r="C127" s="28" t="s">
        <v>897</v>
      </c>
      <c r="D127" s="62"/>
    </row>
    <row r="128" spans="1:4" ht="29.45" customHeight="1" x14ac:dyDescent="0.25">
      <c r="A128" s="53" t="s">
        <v>2242</v>
      </c>
      <c r="B128" s="54" t="s">
        <v>2243</v>
      </c>
      <c r="C128" s="28" t="s">
        <v>897</v>
      </c>
      <c r="D128" s="62"/>
    </row>
    <row r="129" spans="1:4" ht="29.45" customHeight="1" x14ac:dyDescent="0.25">
      <c r="A129" s="53" t="s">
        <v>2077</v>
      </c>
      <c r="B129" s="54" t="s">
        <v>2078</v>
      </c>
      <c r="C129" s="28" t="s">
        <v>897</v>
      </c>
      <c r="D129" s="62"/>
    </row>
    <row r="130" spans="1:4" ht="29.45" customHeight="1" x14ac:dyDescent="0.25">
      <c r="A130" s="53" t="s">
        <v>2079</v>
      </c>
      <c r="B130" s="54" t="s">
        <v>2080</v>
      </c>
      <c r="C130" s="28" t="s">
        <v>897</v>
      </c>
      <c r="D130" s="62"/>
    </row>
    <row r="131" spans="1:4" ht="29.45" customHeight="1" x14ac:dyDescent="0.25">
      <c r="A131" s="53" t="s">
        <v>2081</v>
      </c>
      <c r="B131" s="54" t="s">
        <v>2082</v>
      </c>
      <c r="C131" s="28" t="s">
        <v>897</v>
      </c>
      <c r="D131" s="62"/>
    </row>
    <row r="132" spans="1:4" ht="29.45" customHeight="1" x14ac:dyDescent="0.25">
      <c r="A132" s="53" t="s">
        <v>2083</v>
      </c>
      <c r="B132" s="54" t="s">
        <v>2084</v>
      </c>
      <c r="C132" s="28" t="s">
        <v>897</v>
      </c>
      <c r="D132" s="62"/>
    </row>
    <row r="133" spans="1:4" ht="29.45" customHeight="1" x14ac:dyDescent="0.25">
      <c r="A133" s="53" t="s">
        <v>2085</v>
      </c>
      <c r="B133" s="54" t="s">
        <v>2086</v>
      </c>
      <c r="C133" s="28" t="s">
        <v>897</v>
      </c>
      <c r="D133" s="62"/>
    </row>
    <row r="134" spans="1:4" ht="29.45" customHeight="1" x14ac:dyDescent="0.25">
      <c r="A134" s="53" t="s">
        <v>2087</v>
      </c>
      <c r="B134" s="54" t="s">
        <v>2088</v>
      </c>
      <c r="C134" s="28" t="s">
        <v>897</v>
      </c>
      <c r="D134" s="62"/>
    </row>
    <row r="135" spans="1:4" ht="29.45" customHeight="1" x14ac:dyDescent="0.25">
      <c r="A135" s="53" t="s">
        <v>2089</v>
      </c>
      <c r="B135" s="54" t="s">
        <v>2090</v>
      </c>
      <c r="C135" s="28" t="s">
        <v>897</v>
      </c>
      <c r="D135" s="62"/>
    </row>
    <row r="136" spans="1:4" ht="29.45" customHeight="1" x14ac:dyDescent="0.25">
      <c r="A136" s="53" t="s">
        <v>2093</v>
      </c>
      <c r="B136" s="54" t="s">
        <v>2094</v>
      </c>
      <c r="C136" s="28" t="s">
        <v>897</v>
      </c>
      <c r="D136" s="62"/>
    </row>
    <row r="137" spans="1:4" ht="29.45" customHeight="1" x14ac:dyDescent="0.25">
      <c r="A137" s="53" t="s">
        <v>2095</v>
      </c>
      <c r="B137" s="54" t="s">
        <v>2096</v>
      </c>
      <c r="C137" s="28" t="s">
        <v>897</v>
      </c>
      <c r="D137" s="62"/>
    </row>
    <row r="139" spans="1:4" x14ac:dyDescent="0.25">
      <c r="A139" s="4" t="s">
        <v>926</v>
      </c>
      <c r="B139" s="5"/>
      <c r="C139" s="5"/>
      <c r="D139" s="5"/>
    </row>
    <row r="140" spans="1:4" ht="29.45" customHeight="1" x14ac:dyDescent="0.25">
      <c r="B140" s="52" t="s">
        <v>2244</v>
      </c>
    </row>
    <row r="141" spans="1:4" ht="16.149999999999999" customHeight="1" x14ac:dyDescent="0.25">
      <c r="B141" s="52" t="s">
        <v>2245</v>
      </c>
    </row>
    <row r="142" spans="1:4" ht="42.6" customHeight="1" x14ac:dyDescent="0.25">
      <c r="B142" s="52" t="s">
        <v>2246</v>
      </c>
    </row>
    <row r="143" spans="1:4" ht="29.45" customHeight="1" x14ac:dyDescent="0.25">
      <c r="B143" s="52" t="s">
        <v>2247</v>
      </c>
    </row>
    <row r="144" spans="1:4" ht="29.45" customHeight="1" x14ac:dyDescent="0.25">
      <c r="B144" s="52" t="s">
        <v>2248</v>
      </c>
    </row>
    <row r="145" spans="2:2" ht="29.45" customHeight="1" x14ac:dyDescent="0.25">
      <c r="B145" s="52" t="s">
        <v>2249</v>
      </c>
    </row>
    <row r="146" spans="2:2" ht="16.149999999999999" customHeight="1" x14ac:dyDescent="0.25">
      <c r="B146" s="52" t="s">
        <v>2250</v>
      </c>
    </row>
    <row r="147" spans="2:2" ht="29.45" customHeight="1" x14ac:dyDescent="0.25">
      <c r="B147" s="52" t="s">
        <v>2251</v>
      </c>
    </row>
    <row r="148" spans="2:2" ht="16.149999999999999" customHeight="1" x14ac:dyDescent="0.25">
      <c r="B148" s="52" t="s">
        <v>2252</v>
      </c>
    </row>
  </sheetData>
  <hyperlinks>
    <hyperlink ref="D1" location="'Monitor'!A16" display="&lt;&lt; Monitor" xr:uid="{00000000-0004-0000-1100-000000000000}"/>
    <hyperlink ref="C124" r:id="rId1" xr:uid="{00000000-0004-0000-1100-000001000000}"/>
    <hyperlink ref="C125" r:id="rId2" xr:uid="{00000000-0004-0000-1100-000002000000}"/>
    <hyperlink ref="C126" r:id="rId3" xr:uid="{00000000-0004-0000-1100-000003000000}"/>
    <hyperlink ref="C127" r:id="rId4" xr:uid="{00000000-0004-0000-1100-000004000000}"/>
    <hyperlink ref="C128" r:id="rId5" xr:uid="{00000000-0004-0000-1100-000005000000}"/>
    <hyperlink ref="C129" r:id="rId6" xr:uid="{00000000-0004-0000-1100-000006000000}"/>
    <hyperlink ref="C130" r:id="rId7" xr:uid="{00000000-0004-0000-1100-000007000000}"/>
    <hyperlink ref="C131" r:id="rId8" xr:uid="{00000000-0004-0000-1100-000008000000}"/>
    <hyperlink ref="C132" r:id="rId9" xr:uid="{00000000-0004-0000-1100-000009000000}"/>
    <hyperlink ref="C133" r:id="rId10" xr:uid="{00000000-0004-0000-1100-00000A000000}"/>
    <hyperlink ref="C134" r:id="rId11" xr:uid="{00000000-0004-0000-1100-00000B000000}"/>
    <hyperlink ref="C135" r:id="rId12" xr:uid="{00000000-0004-0000-1100-00000C000000}"/>
    <hyperlink ref="C136" r:id="rId13" xr:uid="{00000000-0004-0000-1100-00000D000000}"/>
    <hyperlink ref="C137" r:id="rId14" xr:uid="{00000000-0004-0000-1100-00000E000000}"/>
  </hyperlinks>
  <pageMargins left="0.75" right="0.75" top="1" bottom="1" header="0.5" footer="0.5"/>
  <pageSetup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5A11"/>
    <pageSetUpPr fitToPage="1"/>
  </sheetPr>
  <dimension ref="A1:D148"/>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213</v>
      </c>
      <c r="D1" s="41" t="s">
        <v>667</v>
      </c>
    </row>
    <row r="2" spans="1:4" x14ac:dyDescent="0.25">
      <c r="A2" s="2" t="s">
        <v>2253</v>
      </c>
    </row>
    <row r="4" spans="1:4" x14ac:dyDescent="0.25">
      <c r="A4" s="42" t="s">
        <v>9</v>
      </c>
      <c r="B4" s="43">
        <f>Monitor!H17</f>
        <v>92.835999999999999</v>
      </c>
    </row>
    <row r="5" spans="1:4" x14ac:dyDescent="0.25">
      <c r="A5" s="42" t="s">
        <v>11</v>
      </c>
      <c r="B5" s="44">
        <f>Monitor!J17</f>
        <v>8.8313829651650551</v>
      </c>
    </row>
    <row r="6" spans="1:4" x14ac:dyDescent="0.25">
      <c r="A6" s="42" t="s">
        <v>8</v>
      </c>
      <c r="B6" s="45">
        <f>Monitor!G17</f>
        <v>1590</v>
      </c>
    </row>
    <row r="7" spans="1:4" x14ac:dyDescent="0.25">
      <c r="A7" s="42" t="s">
        <v>14</v>
      </c>
      <c r="B7" s="46">
        <f>Monitor!M17</f>
        <v>-113.90760000000002</v>
      </c>
    </row>
    <row r="8" spans="1:4" x14ac:dyDescent="0.25">
      <c r="A8" s="42" t="s">
        <v>15</v>
      </c>
      <c r="B8" s="47">
        <f>Monitor!N17</f>
        <v>-7.1640000000000009E-2</v>
      </c>
    </row>
    <row r="9" spans="1:4" x14ac:dyDescent="0.25">
      <c r="A9" s="42" t="s">
        <v>669</v>
      </c>
      <c r="B9" s="46">
        <f>Monitor!O17</f>
        <v>-14.055600000000007</v>
      </c>
    </row>
    <row r="10" spans="1:4" x14ac:dyDescent="0.25">
      <c r="A10" s="42" t="s">
        <v>20</v>
      </c>
      <c r="B10" s="48">
        <f>Monitor!S17</f>
        <v>46189</v>
      </c>
    </row>
    <row r="11" spans="1:4" x14ac:dyDescent="0.25">
      <c r="A11" s="42" t="s">
        <v>670</v>
      </c>
      <c r="B11" s="49">
        <f>Monitor!W17</f>
        <v>-641.35667204829883</v>
      </c>
    </row>
    <row r="12" spans="1:4" x14ac:dyDescent="0.25">
      <c r="A12" s="42" t="s">
        <v>671</v>
      </c>
      <c r="B12" s="50" t="str">
        <f>Monitor!F17</f>
        <v>NR/BB-/BB-</v>
      </c>
    </row>
    <row r="13" spans="1:4" x14ac:dyDescent="0.25">
      <c r="A13" s="42" t="s">
        <v>4</v>
      </c>
      <c r="B13" s="50" t="str">
        <f>Monitor!C17</f>
        <v>CoreWeave</v>
      </c>
    </row>
    <row r="15" spans="1:4" x14ac:dyDescent="0.25">
      <c r="A15" s="4" t="s">
        <v>672</v>
      </c>
      <c r="B15" s="5"/>
      <c r="C15" s="5"/>
      <c r="D15" s="5"/>
    </row>
    <row r="16" spans="1:4" ht="69" customHeight="1" x14ac:dyDescent="0.25">
      <c r="A16" s="51" t="s">
        <v>192</v>
      </c>
      <c r="B16" s="52" t="s">
        <v>214</v>
      </c>
    </row>
    <row r="18" spans="1:4" x14ac:dyDescent="0.25">
      <c r="A18" s="4" t="s">
        <v>673</v>
      </c>
      <c r="B18" s="5"/>
      <c r="C18" s="4" t="s">
        <v>674</v>
      </c>
      <c r="D18" s="4" t="s">
        <v>675</v>
      </c>
    </row>
    <row r="19" spans="1:4" ht="29.45" customHeight="1" x14ac:dyDescent="0.25">
      <c r="A19" s="53" t="s">
        <v>1118</v>
      </c>
      <c r="B19" s="54" t="s">
        <v>2254</v>
      </c>
      <c r="C19" s="55" t="s">
        <v>962</v>
      </c>
      <c r="D19" s="56" t="s">
        <v>679</v>
      </c>
    </row>
    <row r="20" spans="1:4" ht="16.149999999999999" customHeight="1" x14ac:dyDescent="0.25">
      <c r="A20" s="53" t="s">
        <v>1886</v>
      </c>
      <c r="B20" s="54" t="s">
        <v>2255</v>
      </c>
      <c r="C20" s="55" t="s">
        <v>2256</v>
      </c>
      <c r="D20" s="56" t="s">
        <v>679</v>
      </c>
    </row>
    <row r="21" spans="1:4" ht="16.149999999999999" customHeight="1" x14ac:dyDescent="0.25">
      <c r="A21" s="53" t="s">
        <v>1889</v>
      </c>
      <c r="B21" s="54" t="s">
        <v>2257</v>
      </c>
      <c r="C21" s="55" t="s">
        <v>962</v>
      </c>
      <c r="D21" s="56" t="s">
        <v>679</v>
      </c>
    </row>
    <row r="22" spans="1:4" ht="16.149999999999999" customHeight="1" x14ac:dyDescent="0.25">
      <c r="A22" s="53" t="s">
        <v>1891</v>
      </c>
      <c r="B22" s="54" t="s">
        <v>2258</v>
      </c>
      <c r="C22" s="55" t="s">
        <v>2259</v>
      </c>
      <c r="D22" s="56" t="s">
        <v>679</v>
      </c>
    </row>
    <row r="23" spans="1:4" ht="29.45" customHeight="1" x14ac:dyDescent="0.25">
      <c r="A23" s="53" t="s">
        <v>1417</v>
      </c>
      <c r="B23" s="54" t="s">
        <v>2260</v>
      </c>
      <c r="C23" s="55" t="s">
        <v>2259</v>
      </c>
      <c r="D23" s="56" t="s">
        <v>679</v>
      </c>
    </row>
    <row r="24" spans="1:4" ht="55.9" customHeight="1" x14ac:dyDescent="0.25">
      <c r="A24" s="53" t="s">
        <v>711</v>
      </c>
      <c r="B24" s="54" t="s">
        <v>2261</v>
      </c>
      <c r="C24" s="55" t="s">
        <v>2262</v>
      </c>
      <c r="D24" s="60" t="s">
        <v>803</v>
      </c>
    </row>
    <row r="25" spans="1:4" ht="29.45" customHeight="1" x14ac:dyDescent="0.25">
      <c r="A25" s="53" t="s">
        <v>705</v>
      </c>
      <c r="B25" s="54" t="s">
        <v>2263</v>
      </c>
      <c r="C25" s="55" t="s">
        <v>962</v>
      </c>
      <c r="D25" s="56" t="s">
        <v>679</v>
      </c>
    </row>
    <row r="26" spans="1:4" ht="16.149999999999999" customHeight="1" x14ac:dyDescent="0.25">
      <c r="A26" s="53" t="s">
        <v>1902</v>
      </c>
      <c r="B26" s="54" t="s">
        <v>2126</v>
      </c>
      <c r="C26" s="55" t="s">
        <v>962</v>
      </c>
      <c r="D26" s="56" t="s">
        <v>679</v>
      </c>
    </row>
    <row r="27" spans="1:4" ht="16.149999999999999" customHeight="1" x14ac:dyDescent="0.25">
      <c r="A27" s="53" t="s">
        <v>695</v>
      </c>
      <c r="B27" s="54" t="s">
        <v>2264</v>
      </c>
      <c r="C27" s="55" t="s">
        <v>962</v>
      </c>
      <c r="D27" s="58" t="s">
        <v>698</v>
      </c>
    </row>
    <row r="28" spans="1:4" ht="29.45" customHeight="1" x14ac:dyDescent="0.25">
      <c r="A28" s="53" t="s">
        <v>1905</v>
      </c>
      <c r="B28" s="54" t="s">
        <v>2128</v>
      </c>
      <c r="C28" s="55" t="s">
        <v>962</v>
      </c>
      <c r="D28" s="58" t="s">
        <v>698</v>
      </c>
    </row>
    <row r="30" spans="1:4" x14ac:dyDescent="0.25">
      <c r="A30" s="4" t="s">
        <v>717</v>
      </c>
      <c r="B30" s="5"/>
      <c r="C30" s="4" t="s">
        <v>674</v>
      </c>
      <c r="D30" s="4" t="s">
        <v>675</v>
      </c>
    </row>
    <row r="31" spans="1:4" ht="29.45" customHeight="1" x14ac:dyDescent="0.25">
      <c r="A31" s="53" t="s">
        <v>718</v>
      </c>
      <c r="B31" s="54" t="s">
        <v>2265</v>
      </c>
      <c r="C31" s="55" t="s">
        <v>962</v>
      </c>
      <c r="D31" s="56" t="s">
        <v>679</v>
      </c>
    </row>
    <row r="32" spans="1:4" ht="42.6" customHeight="1" x14ac:dyDescent="0.25">
      <c r="A32" s="53" t="s">
        <v>1909</v>
      </c>
      <c r="B32" s="54" t="s">
        <v>2266</v>
      </c>
      <c r="C32" s="55" t="s">
        <v>2267</v>
      </c>
      <c r="D32" s="56" t="s">
        <v>679</v>
      </c>
    </row>
    <row r="33" spans="1:4" ht="29.45" customHeight="1" x14ac:dyDescent="0.25">
      <c r="A33" s="53" t="s">
        <v>722</v>
      </c>
      <c r="B33" s="54" t="s">
        <v>2268</v>
      </c>
      <c r="C33" s="55" t="s">
        <v>962</v>
      </c>
      <c r="D33" s="56" t="s">
        <v>679</v>
      </c>
    </row>
    <row r="34" spans="1:4" ht="29.45" customHeight="1" x14ac:dyDescent="0.25">
      <c r="A34" s="53" t="s">
        <v>2269</v>
      </c>
      <c r="B34" s="54" t="s">
        <v>2270</v>
      </c>
      <c r="C34" s="55" t="s">
        <v>2271</v>
      </c>
      <c r="D34" s="56" t="s">
        <v>679</v>
      </c>
    </row>
    <row r="36" spans="1:4" x14ac:dyDescent="0.25">
      <c r="A36" s="4" t="s">
        <v>728</v>
      </c>
      <c r="B36" s="5"/>
      <c r="C36" s="4" t="s">
        <v>674</v>
      </c>
      <c r="D36" s="4" t="s">
        <v>675</v>
      </c>
    </row>
    <row r="37" spans="1:4" ht="29.45" customHeight="1" x14ac:dyDescent="0.25">
      <c r="A37" s="53" t="s">
        <v>729</v>
      </c>
      <c r="B37" s="54" t="s">
        <v>2272</v>
      </c>
      <c r="C37" s="55" t="s">
        <v>1919</v>
      </c>
      <c r="D37" s="56" t="s">
        <v>679</v>
      </c>
    </row>
    <row r="38" spans="1:4" ht="42.6" customHeight="1" x14ac:dyDescent="0.25">
      <c r="A38" s="53" t="s">
        <v>2273</v>
      </c>
      <c r="B38" s="54" t="s">
        <v>2274</v>
      </c>
      <c r="C38" s="55" t="s">
        <v>2275</v>
      </c>
      <c r="D38" s="56" t="s">
        <v>679</v>
      </c>
    </row>
    <row r="39" spans="1:4" ht="42.6" customHeight="1" x14ac:dyDescent="0.25">
      <c r="A39" s="53" t="s">
        <v>2276</v>
      </c>
      <c r="B39" s="54" t="s">
        <v>2277</v>
      </c>
      <c r="C39" s="55" t="s">
        <v>2141</v>
      </c>
      <c r="D39" s="56" t="s">
        <v>679</v>
      </c>
    </row>
    <row r="40" spans="1:4" ht="29.45" customHeight="1" x14ac:dyDescent="0.25">
      <c r="A40" s="53" t="s">
        <v>2278</v>
      </c>
      <c r="B40" s="54" t="s">
        <v>2279</v>
      </c>
      <c r="C40" s="55" t="s">
        <v>844</v>
      </c>
      <c r="D40" s="57" t="s">
        <v>690</v>
      </c>
    </row>
    <row r="42" spans="1:4" x14ac:dyDescent="0.25">
      <c r="A42" s="4" t="s">
        <v>740</v>
      </c>
      <c r="B42" s="5"/>
      <c r="C42" s="4" t="s">
        <v>674</v>
      </c>
      <c r="D42" s="4" t="s">
        <v>675</v>
      </c>
    </row>
    <row r="43" spans="1:4" ht="42.6" customHeight="1" x14ac:dyDescent="0.25">
      <c r="A43" s="53" t="s">
        <v>4</v>
      </c>
      <c r="B43" s="54" t="s">
        <v>2280</v>
      </c>
      <c r="C43" s="55" t="s">
        <v>844</v>
      </c>
      <c r="D43" s="56" t="s">
        <v>679</v>
      </c>
    </row>
    <row r="44" spans="1:4" ht="42.6" customHeight="1" x14ac:dyDescent="0.25">
      <c r="A44" s="53" t="s">
        <v>2281</v>
      </c>
      <c r="B44" s="54" t="s">
        <v>2282</v>
      </c>
      <c r="C44" s="55" t="s">
        <v>2283</v>
      </c>
      <c r="D44" s="60" t="s">
        <v>803</v>
      </c>
    </row>
    <row r="45" spans="1:4" ht="29.45" customHeight="1" x14ac:dyDescent="0.25">
      <c r="A45" s="53" t="s">
        <v>1938</v>
      </c>
      <c r="B45" s="54" t="s">
        <v>2284</v>
      </c>
      <c r="C45" s="55" t="s">
        <v>2283</v>
      </c>
      <c r="D45" s="57" t="s">
        <v>690</v>
      </c>
    </row>
    <row r="46" spans="1:4" ht="29.45" customHeight="1" x14ac:dyDescent="0.25">
      <c r="A46" s="53" t="s">
        <v>754</v>
      </c>
      <c r="B46" s="54" t="s">
        <v>2285</v>
      </c>
      <c r="C46" s="55" t="s">
        <v>2286</v>
      </c>
      <c r="D46" s="60" t="s">
        <v>803</v>
      </c>
    </row>
    <row r="47" spans="1:4" ht="42.6" customHeight="1" x14ac:dyDescent="0.25">
      <c r="A47" s="53" t="s">
        <v>2287</v>
      </c>
      <c r="B47" s="54" t="s">
        <v>2288</v>
      </c>
      <c r="C47" s="55" t="s">
        <v>2289</v>
      </c>
      <c r="D47" s="57" t="s">
        <v>690</v>
      </c>
    </row>
    <row r="48" spans="1:4" ht="42.6" customHeight="1" x14ac:dyDescent="0.25">
      <c r="A48" s="53" t="s">
        <v>2290</v>
      </c>
      <c r="B48" s="54" t="s">
        <v>2291</v>
      </c>
      <c r="C48" s="55" t="s">
        <v>844</v>
      </c>
      <c r="D48" s="56" t="s">
        <v>679</v>
      </c>
    </row>
    <row r="49" spans="1:4" ht="29.45" customHeight="1" x14ac:dyDescent="0.25">
      <c r="A49" s="53" t="s">
        <v>2158</v>
      </c>
      <c r="B49" s="54" t="s">
        <v>2292</v>
      </c>
      <c r="C49" s="55" t="s">
        <v>2293</v>
      </c>
      <c r="D49" s="56" t="s">
        <v>679</v>
      </c>
    </row>
    <row r="50" spans="1:4" ht="16.149999999999999" customHeight="1" x14ac:dyDescent="0.25">
      <c r="A50" s="53" t="s">
        <v>1952</v>
      </c>
      <c r="B50" s="54" t="s">
        <v>2294</v>
      </c>
      <c r="C50" s="55" t="s">
        <v>1954</v>
      </c>
      <c r="D50" s="56" t="s">
        <v>679</v>
      </c>
    </row>
    <row r="52" spans="1:4" x14ac:dyDescent="0.25">
      <c r="A52" s="4" t="s">
        <v>762</v>
      </c>
      <c r="B52" s="5"/>
      <c r="C52" s="4" t="s">
        <v>674</v>
      </c>
      <c r="D52" s="4" t="s">
        <v>675</v>
      </c>
    </row>
    <row r="53" spans="1:4" ht="29.45" customHeight="1" x14ac:dyDescent="0.25">
      <c r="A53" s="53" t="s">
        <v>1955</v>
      </c>
      <c r="B53" s="54" t="s">
        <v>2295</v>
      </c>
      <c r="C53" s="55" t="s">
        <v>2271</v>
      </c>
      <c r="D53" s="56" t="s">
        <v>679</v>
      </c>
    </row>
    <row r="54" spans="1:4" ht="29.45" customHeight="1" x14ac:dyDescent="0.25">
      <c r="A54" s="53" t="s">
        <v>1679</v>
      </c>
      <c r="B54" s="54" t="s">
        <v>2296</v>
      </c>
      <c r="C54" s="55" t="s">
        <v>1485</v>
      </c>
      <c r="D54" s="57" t="s">
        <v>690</v>
      </c>
    </row>
    <row r="55" spans="1:4" ht="16.149999999999999" customHeight="1" x14ac:dyDescent="0.25">
      <c r="A55" s="53" t="s">
        <v>1958</v>
      </c>
      <c r="B55" s="54" t="s">
        <v>2297</v>
      </c>
      <c r="C55" s="55" t="s">
        <v>1485</v>
      </c>
      <c r="D55" s="57" t="s">
        <v>690</v>
      </c>
    </row>
    <row r="56" spans="1:4" ht="29.45" customHeight="1" x14ac:dyDescent="0.25">
      <c r="A56" s="53" t="s">
        <v>1166</v>
      </c>
      <c r="B56" s="54" t="s">
        <v>2298</v>
      </c>
      <c r="C56" s="55" t="s">
        <v>841</v>
      </c>
      <c r="D56" s="56" t="s">
        <v>679</v>
      </c>
    </row>
    <row r="58" spans="1:4" x14ac:dyDescent="0.25">
      <c r="A58" s="4" t="s">
        <v>773</v>
      </c>
      <c r="B58" s="5"/>
      <c r="C58" s="4" t="s">
        <v>674</v>
      </c>
      <c r="D58" s="4" t="s">
        <v>675</v>
      </c>
    </row>
    <row r="59" spans="1:4" ht="42.6" customHeight="1" x14ac:dyDescent="0.25">
      <c r="A59" s="53" t="s">
        <v>2167</v>
      </c>
      <c r="B59" s="54" t="s">
        <v>2299</v>
      </c>
      <c r="C59" s="55" t="s">
        <v>2300</v>
      </c>
      <c r="D59" s="57" t="s">
        <v>690</v>
      </c>
    </row>
    <row r="60" spans="1:4" ht="29.45" customHeight="1" x14ac:dyDescent="0.25">
      <c r="A60" s="53" t="s">
        <v>2301</v>
      </c>
      <c r="B60" s="54" t="s">
        <v>2302</v>
      </c>
      <c r="C60" s="55" t="s">
        <v>1970</v>
      </c>
      <c r="D60" s="60" t="s">
        <v>803</v>
      </c>
    </row>
    <row r="62" spans="1:4" x14ac:dyDescent="0.25">
      <c r="A62" s="4" t="s">
        <v>781</v>
      </c>
      <c r="B62" s="5"/>
      <c r="C62" s="4" t="s">
        <v>674</v>
      </c>
      <c r="D62" s="4" t="s">
        <v>675</v>
      </c>
    </row>
    <row r="63" spans="1:4" ht="29.45" customHeight="1" x14ac:dyDescent="0.25">
      <c r="A63" s="53" t="s">
        <v>1968</v>
      </c>
      <c r="B63" s="54" t="s">
        <v>2303</v>
      </c>
      <c r="C63" s="55" t="s">
        <v>2141</v>
      </c>
      <c r="D63" s="56" t="s">
        <v>679</v>
      </c>
    </row>
    <row r="64" spans="1:4" ht="29.45" customHeight="1" x14ac:dyDescent="0.25">
      <c r="A64" s="53" t="s">
        <v>2304</v>
      </c>
      <c r="B64" s="54" t="s">
        <v>2305</v>
      </c>
      <c r="C64" s="55" t="s">
        <v>1973</v>
      </c>
      <c r="D64" s="60" t="s">
        <v>803</v>
      </c>
    </row>
    <row r="65" spans="1:4" ht="42.6" customHeight="1" x14ac:dyDescent="0.25">
      <c r="A65" s="53" t="s">
        <v>2176</v>
      </c>
      <c r="B65" s="54" t="s">
        <v>2306</v>
      </c>
      <c r="C65" s="55" t="s">
        <v>962</v>
      </c>
      <c r="D65" s="56" t="s">
        <v>679</v>
      </c>
    </row>
    <row r="66" spans="1:4" ht="16.149999999999999" customHeight="1" x14ac:dyDescent="0.25">
      <c r="A66" s="53" t="s">
        <v>784</v>
      </c>
      <c r="B66" s="54" t="s">
        <v>2307</v>
      </c>
      <c r="C66" s="55" t="s">
        <v>844</v>
      </c>
      <c r="D66" s="58" t="s">
        <v>698</v>
      </c>
    </row>
    <row r="67" spans="1:4" ht="29.45" customHeight="1" x14ac:dyDescent="0.25">
      <c r="A67" s="53" t="s">
        <v>2308</v>
      </c>
      <c r="B67" s="54" t="s">
        <v>2309</v>
      </c>
      <c r="C67" s="55" t="s">
        <v>1930</v>
      </c>
      <c r="D67" s="56" t="s">
        <v>679</v>
      </c>
    </row>
    <row r="69" spans="1:4" x14ac:dyDescent="0.25">
      <c r="A69" s="4" t="s">
        <v>792</v>
      </c>
      <c r="B69" s="5"/>
      <c r="C69" s="4" t="s">
        <v>674</v>
      </c>
      <c r="D69" s="4" t="s">
        <v>675</v>
      </c>
    </row>
    <row r="70" spans="1:4" ht="29.45" customHeight="1" x14ac:dyDescent="0.25">
      <c r="A70" s="53" t="s">
        <v>797</v>
      </c>
      <c r="B70" s="54" t="s">
        <v>2310</v>
      </c>
      <c r="C70" s="55" t="s">
        <v>747</v>
      </c>
      <c r="D70" s="60" t="s">
        <v>803</v>
      </c>
    </row>
    <row r="71" spans="1:4" ht="42.6" customHeight="1" x14ac:dyDescent="0.25">
      <c r="A71" s="53" t="s">
        <v>2183</v>
      </c>
      <c r="B71" s="54" t="s">
        <v>2311</v>
      </c>
      <c r="C71" s="55" t="s">
        <v>747</v>
      </c>
      <c r="D71" s="60" t="s">
        <v>803</v>
      </c>
    </row>
    <row r="72" spans="1:4" ht="29.45" customHeight="1" x14ac:dyDescent="0.25">
      <c r="A72" s="53" t="s">
        <v>1984</v>
      </c>
      <c r="B72" s="54" t="s">
        <v>2312</v>
      </c>
      <c r="C72" s="55" t="s">
        <v>747</v>
      </c>
      <c r="D72" s="60" t="s">
        <v>803</v>
      </c>
    </row>
    <row r="73" spans="1:4" ht="42.6" customHeight="1" x14ac:dyDescent="0.25">
      <c r="A73" s="53" t="s">
        <v>1986</v>
      </c>
      <c r="B73" s="54" t="s">
        <v>2313</v>
      </c>
      <c r="C73" s="55" t="s">
        <v>2314</v>
      </c>
      <c r="D73" s="59" t="s">
        <v>748</v>
      </c>
    </row>
    <row r="75" spans="1:4" x14ac:dyDescent="0.25">
      <c r="A75" s="4" t="s">
        <v>804</v>
      </c>
      <c r="B75" s="5"/>
      <c r="C75" s="4" t="s">
        <v>674</v>
      </c>
      <c r="D75" s="4" t="s">
        <v>675</v>
      </c>
    </row>
    <row r="76" spans="1:4" ht="16.149999999999999" customHeight="1" x14ac:dyDescent="0.25">
      <c r="A76" s="53" t="s">
        <v>246</v>
      </c>
      <c r="B76" s="54" t="s">
        <v>2315</v>
      </c>
      <c r="C76" s="55" t="s">
        <v>962</v>
      </c>
      <c r="D76" s="56" t="s">
        <v>679</v>
      </c>
    </row>
    <row r="77" spans="1:4" ht="16.149999999999999" customHeight="1" x14ac:dyDescent="0.25">
      <c r="A77" s="53" t="s">
        <v>799</v>
      </c>
      <c r="B77" s="54" t="s">
        <v>2316</v>
      </c>
      <c r="C77" s="55" t="s">
        <v>2262</v>
      </c>
      <c r="D77" s="60" t="s">
        <v>803</v>
      </c>
    </row>
    <row r="78" spans="1:4" ht="29.45" customHeight="1" x14ac:dyDescent="0.25">
      <c r="A78" s="53" t="s">
        <v>4</v>
      </c>
      <c r="B78" s="54" t="s">
        <v>2317</v>
      </c>
      <c r="C78" s="55" t="s">
        <v>2318</v>
      </c>
      <c r="D78" s="57" t="s">
        <v>690</v>
      </c>
    </row>
    <row r="79" spans="1:4" ht="16.149999999999999" customHeight="1" x14ac:dyDescent="0.25">
      <c r="A79" s="53" t="s">
        <v>2319</v>
      </c>
      <c r="B79" s="54" t="s">
        <v>2320</v>
      </c>
      <c r="C79" s="55" t="s">
        <v>844</v>
      </c>
      <c r="D79" s="57" t="s">
        <v>690</v>
      </c>
    </row>
    <row r="81" spans="1:4" x14ac:dyDescent="0.25">
      <c r="A81" s="4" t="s">
        <v>813</v>
      </c>
      <c r="B81" s="5"/>
      <c r="C81" s="4" t="s">
        <v>674</v>
      </c>
      <c r="D81" s="4" t="s">
        <v>675</v>
      </c>
    </row>
    <row r="82" spans="1:4" ht="29.45" customHeight="1" x14ac:dyDescent="0.25">
      <c r="A82" s="53" t="s">
        <v>1705</v>
      </c>
      <c r="B82" s="54" t="s">
        <v>2321</v>
      </c>
      <c r="C82" s="55" t="s">
        <v>962</v>
      </c>
      <c r="D82" s="56" t="s">
        <v>679</v>
      </c>
    </row>
    <row r="83" spans="1:4" ht="16.149999999999999" customHeight="1" x14ac:dyDescent="0.25">
      <c r="A83" s="53" t="s">
        <v>2322</v>
      </c>
      <c r="B83" s="54" t="s">
        <v>2323</v>
      </c>
      <c r="C83" s="55" t="s">
        <v>962</v>
      </c>
      <c r="D83" s="58" t="s">
        <v>698</v>
      </c>
    </row>
    <row r="85" spans="1:4" x14ac:dyDescent="0.25">
      <c r="A85" s="4" t="s">
        <v>826</v>
      </c>
      <c r="B85" s="5"/>
      <c r="C85" s="4" t="s">
        <v>674</v>
      </c>
      <c r="D85" s="4" t="s">
        <v>675</v>
      </c>
    </row>
    <row r="86" spans="1:4" ht="16.149999999999999" customHeight="1" x14ac:dyDescent="0.25">
      <c r="A86" s="53" t="s">
        <v>2003</v>
      </c>
      <c r="B86" s="54" t="s">
        <v>2324</v>
      </c>
      <c r="C86" s="55" t="s">
        <v>962</v>
      </c>
      <c r="D86" s="58" t="s">
        <v>698</v>
      </c>
    </row>
    <row r="88" spans="1:4" x14ac:dyDescent="0.25">
      <c r="A88" s="4" t="s">
        <v>833</v>
      </c>
      <c r="B88" s="5"/>
      <c r="C88" s="4" t="s">
        <v>674</v>
      </c>
      <c r="D88" s="4" t="s">
        <v>675</v>
      </c>
    </row>
    <row r="89" spans="1:4" ht="29.45" customHeight="1" x14ac:dyDescent="0.25">
      <c r="A89" s="53" t="s">
        <v>2006</v>
      </c>
      <c r="B89" s="54" t="s">
        <v>2325</v>
      </c>
      <c r="C89" s="55" t="s">
        <v>2259</v>
      </c>
      <c r="D89" s="56" t="s">
        <v>679</v>
      </c>
    </row>
    <row r="91" spans="1:4" x14ac:dyDescent="0.25">
      <c r="A91" s="4" t="s">
        <v>836</v>
      </c>
      <c r="B91" s="5"/>
      <c r="C91" s="4" t="s">
        <v>674</v>
      </c>
      <c r="D91" s="4" t="s">
        <v>675</v>
      </c>
    </row>
    <row r="92" spans="1:4" ht="29.45" customHeight="1" x14ac:dyDescent="0.25">
      <c r="A92" s="53" t="s">
        <v>2326</v>
      </c>
      <c r="B92" s="54" t="s">
        <v>2327</v>
      </c>
      <c r="C92" s="55" t="s">
        <v>2328</v>
      </c>
      <c r="D92" s="60" t="s">
        <v>803</v>
      </c>
    </row>
    <row r="93" spans="1:4" ht="16.149999999999999" customHeight="1" x14ac:dyDescent="0.25">
      <c r="A93" s="53" t="s">
        <v>1037</v>
      </c>
      <c r="B93" s="54" t="s">
        <v>2329</v>
      </c>
      <c r="C93" s="55" t="s">
        <v>2330</v>
      </c>
      <c r="D93" s="57" t="s">
        <v>690</v>
      </c>
    </row>
    <row r="94" spans="1:4" ht="16.149999999999999" customHeight="1" x14ac:dyDescent="0.25">
      <c r="A94" s="53" t="s">
        <v>2331</v>
      </c>
      <c r="B94" s="54" t="s">
        <v>2332</v>
      </c>
      <c r="C94" s="55" t="s">
        <v>747</v>
      </c>
      <c r="D94" s="60" t="s">
        <v>803</v>
      </c>
    </row>
    <row r="95" spans="1:4" ht="16.149999999999999" customHeight="1" x14ac:dyDescent="0.25">
      <c r="A95" s="53" t="s">
        <v>2333</v>
      </c>
      <c r="B95" s="54" t="s">
        <v>2334</v>
      </c>
      <c r="C95" s="55" t="s">
        <v>2033</v>
      </c>
      <c r="D95" s="59" t="s">
        <v>748</v>
      </c>
    </row>
    <row r="96" spans="1:4" ht="16.149999999999999" customHeight="1" x14ac:dyDescent="0.25">
      <c r="A96" s="53" t="s">
        <v>2335</v>
      </c>
      <c r="B96" s="54" t="s">
        <v>2336</v>
      </c>
      <c r="C96" s="55" t="s">
        <v>2314</v>
      </c>
      <c r="D96" s="59" t="s">
        <v>748</v>
      </c>
    </row>
    <row r="98" spans="1:4" x14ac:dyDescent="0.25">
      <c r="A98" s="4" t="s">
        <v>855</v>
      </c>
      <c r="B98" s="5"/>
      <c r="C98" s="4" t="s">
        <v>674</v>
      </c>
      <c r="D98" s="4" t="s">
        <v>675</v>
      </c>
    </row>
    <row r="99" spans="1:4" ht="16.149999999999999" customHeight="1" x14ac:dyDescent="0.25">
      <c r="A99" s="53" t="s">
        <v>2337</v>
      </c>
      <c r="B99" s="54" t="s">
        <v>2338</v>
      </c>
      <c r="C99" s="55" t="s">
        <v>2293</v>
      </c>
      <c r="D99" s="56" t="s">
        <v>679</v>
      </c>
    </row>
    <row r="100" spans="1:4" ht="16.149999999999999" customHeight="1" x14ac:dyDescent="0.25">
      <c r="A100" s="53" t="s">
        <v>1043</v>
      </c>
      <c r="B100" s="54" t="s">
        <v>2339</v>
      </c>
      <c r="C100" s="55" t="s">
        <v>1919</v>
      </c>
      <c r="D100" s="56" t="s">
        <v>679</v>
      </c>
    </row>
    <row r="101" spans="1:4" ht="29.45" customHeight="1" x14ac:dyDescent="0.25">
      <c r="A101" s="53" t="s">
        <v>1365</v>
      </c>
      <c r="B101" s="54" t="s">
        <v>2340</v>
      </c>
      <c r="C101" s="55" t="s">
        <v>2341</v>
      </c>
      <c r="D101" s="59" t="s">
        <v>748</v>
      </c>
    </row>
    <row r="102" spans="1:4" ht="42.6" customHeight="1" x14ac:dyDescent="0.25">
      <c r="A102" s="53" t="s">
        <v>2034</v>
      </c>
      <c r="B102" s="54" t="s">
        <v>2342</v>
      </c>
      <c r="C102" s="55" t="s">
        <v>2343</v>
      </c>
      <c r="D102" s="59" t="s">
        <v>748</v>
      </c>
    </row>
    <row r="104" spans="1:4" x14ac:dyDescent="0.25">
      <c r="A104" s="4" t="s">
        <v>868</v>
      </c>
      <c r="B104" s="5"/>
      <c r="C104" s="4" t="s">
        <v>674</v>
      </c>
      <c r="D104" s="5"/>
    </row>
    <row r="105" spans="1:4" ht="16.149999999999999" customHeight="1" x14ac:dyDescent="0.25">
      <c r="A105" s="61" t="s">
        <v>2039</v>
      </c>
      <c r="B105" s="54" t="s">
        <v>2344</v>
      </c>
      <c r="C105" s="55" t="s">
        <v>844</v>
      </c>
      <c r="D105" s="62"/>
    </row>
    <row r="106" spans="1:4" ht="16.149999999999999" customHeight="1" x14ac:dyDescent="0.25">
      <c r="A106" s="61" t="s">
        <v>2052</v>
      </c>
      <c r="B106" s="54" t="s">
        <v>2345</v>
      </c>
      <c r="C106" s="55" t="s">
        <v>844</v>
      </c>
      <c r="D106" s="62"/>
    </row>
    <row r="107" spans="1:4" ht="16.149999999999999" customHeight="1" x14ac:dyDescent="0.25">
      <c r="A107" s="61" t="s">
        <v>1068</v>
      </c>
      <c r="B107" s="54" t="s">
        <v>2346</v>
      </c>
      <c r="C107" s="55" t="s">
        <v>844</v>
      </c>
      <c r="D107" s="62"/>
    </row>
    <row r="108" spans="1:4" ht="16.149999999999999" customHeight="1" x14ac:dyDescent="0.25">
      <c r="A108" s="61" t="s">
        <v>2054</v>
      </c>
      <c r="B108" s="54" t="s">
        <v>2347</v>
      </c>
      <c r="C108" s="55" t="s">
        <v>844</v>
      </c>
      <c r="D108" s="62"/>
    </row>
    <row r="109" spans="1:4" ht="16.149999999999999" customHeight="1" x14ac:dyDescent="0.25">
      <c r="A109" s="61" t="s">
        <v>2056</v>
      </c>
      <c r="B109" s="54" t="s">
        <v>2348</v>
      </c>
      <c r="C109" s="55" t="s">
        <v>2058</v>
      </c>
      <c r="D109" s="62"/>
    </row>
    <row r="110" spans="1:4" ht="16.149999999999999" customHeight="1" x14ac:dyDescent="0.25">
      <c r="A110" s="61" t="s">
        <v>2349</v>
      </c>
      <c r="B110" s="54" t="s">
        <v>2350</v>
      </c>
      <c r="C110" s="55" t="s">
        <v>2351</v>
      </c>
      <c r="D110" s="62"/>
    </row>
    <row r="111" spans="1:4" ht="16.149999999999999" customHeight="1" x14ac:dyDescent="0.25">
      <c r="A111" s="61" t="s">
        <v>878</v>
      </c>
      <c r="B111" s="54" t="s">
        <v>2352</v>
      </c>
      <c r="C111" s="55" t="s">
        <v>841</v>
      </c>
      <c r="D111" s="62"/>
    </row>
    <row r="112" spans="1:4" ht="16.149999999999999" customHeight="1" x14ac:dyDescent="0.25">
      <c r="A112" s="61" t="s">
        <v>2353</v>
      </c>
      <c r="B112" s="54" t="s">
        <v>2354</v>
      </c>
      <c r="C112" s="55" t="s">
        <v>962</v>
      </c>
      <c r="D112" s="62"/>
    </row>
    <row r="113" spans="1:4" ht="16.149999999999999" customHeight="1" x14ac:dyDescent="0.25">
      <c r="A113" s="61" t="s">
        <v>2355</v>
      </c>
      <c r="B113" s="54" t="s">
        <v>2356</v>
      </c>
      <c r="C113" s="55" t="s">
        <v>697</v>
      </c>
      <c r="D113" s="62"/>
    </row>
    <row r="114" spans="1:4" ht="16.149999999999999" customHeight="1" x14ac:dyDescent="0.25">
      <c r="A114" s="61" t="s">
        <v>1070</v>
      </c>
      <c r="B114" s="54" t="s">
        <v>2357</v>
      </c>
      <c r="C114" s="55" t="s">
        <v>966</v>
      </c>
      <c r="D114" s="62"/>
    </row>
    <row r="115" spans="1:4" ht="16.149999999999999" customHeight="1" x14ac:dyDescent="0.25">
      <c r="A115" s="61" t="s">
        <v>2060</v>
      </c>
      <c r="B115" s="54" t="s">
        <v>2358</v>
      </c>
      <c r="C115" s="55" t="s">
        <v>2359</v>
      </c>
      <c r="D115" s="62"/>
    </row>
    <row r="116" spans="1:4" ht="16.149999999999999" customHeight="1" x14ac:dyDescent="0.25">
      <c r="A116" s="61" t="s">
        <v>2062</v>
      </c>
      <c r="B116" s="54" t="s">
        <v>2360</v>
      </c>
      <c r="C116" s="55" t="s">
        <v>734</v>
      </c>
      <c r="D116" s="62"/>
    </row>
    <row r="117" spans="1:4" ht="16.149999999999999" customHeight="1" x14ac:dyDescent="0.25">
      <c r="A117" s="61" t="s">
        <v>2064</v>
      </c>
      <c r="B117" s="54" t="s">
        <v>2361</v>
      </c>
      <c r="C117" s="55" t="s">
        <v>2066</v>
      </c>
      <c r="D117" s="62"/>
    </row>
    <row r="118" spans="1:4" ht="16.149999999999999" customHeight="1" x14ac:dyDescent="0.25">
      <c r="A118" s="61" t="s">
        <v>2362</v>
      </c>
      <c r="B118" s="54" t="s">
        <v>2363</v>
      </c>
      <c r="C118" s="55" t="s">
        <v>2364</v>
      </c>
      <c r="D118" s="62"/>
    </row>
    <row r="120" spans="1:4" x14ac:dyDescent="0.25">
      <c r="A120" s="4" t="s">
        <v>894</v>
      </c>
      <c r="B120" s="5"/>
      <c r="C120" s="5"/>
      <c r="D120" s="5"/>
    </row>
    <row r="121" spans="1:4" ht="42.6" customHeight="1" x14ac:dyDescent="0.25">
      <c r="A121" s="53" t="s">
        <v>2075</v>
      </c>
      <c r="B121" s="54" t="s">
        <v>2076</v>
      </c>
      <c r="C121" s="28" t="s">
        <v>897</v>
      </c>
      <c r="D121" s="62"/>
    </row>
    <row r="122" spans="1:4" ht="29.45" customHeight="1" x14ac:dyDescent="0.25">
      <c r="A122" s="53" t="s">
        <v>2365</v>
      </c>
      <c r="B122" s="54" t="s">
        <v>2366</v>
      </c>
      <c r="C122" s="28" t="s">
        <v>897</v>
      </c>
      <c r="D122" s="62"/>
    </row>
    <row r="123" spans="1:4" ht="29.45" customHeight="1" x14ac:dyDescent="0.25">
      <c r="A123" s="53" t="s">
        <v>2367</v>
      </c>
      <c r="B123" s="54" t="s">
        <v>2368</v>
      </c>
      <c r="C123" s="28" t="s">
        <v>897</v>
      </c>
      <c r="D123" s="62"/>
    </row>
    <row r="124" spans="1:4" ht="29.45" customHeight="1" x14ac:dyDescent="0.25">
      <c r="A124" s="53" t="s">
        <v>2369</v>
      </c>
      <c r="B124" s="54" t="s">
        <v>2370</v>
      </c>
      <c r="C124" s="28" t="s">
        <v>897</v>
      </c>
      <c r="D124" s="62"/>
    </row>
    <row r="125" spans="1:4" ht="29.45" customHeight="1" x14ac:dyDescent="0.25">
      <c r="A125" s="53" t="s">
        <v>2077</v>
      </c>
      <c r="B125" s="54" t="s">
        <v>2078</v>
      </c>
      <c r="C125" s="28" t="s">
        <v>897</v>
      </c>
      <c r="D125" s="62"/>
    </row>
    <row r="126" spans="1:4" ht="29.45" customHeight="1" x14ac:dyDescent="0.25">
      <c r="A126" s="53" t="s">
        <v>2079</v>
      </c>
      <c r="B126" s="54" t="s">
        <v>2080</v>
      </c>
      <c r="C126" s="28" t="s">
        <v>897</v>
      </c>
      <c r="D126" s="62"/>
    </row>
    <row r="127" spans="1:4" ht="29.45" customHeight="1" x14ac:dyDescent="0.25">
      <c r="A127" s="53" t="s">
        <v>2081</v>
      </c>
      <c r="B127" s="54" t="s">
        <v>2082</v>
      </c>
      <c r="C127" s="28" t="s">
        <v>897</v>
      </c>
      <c r="D127" s="62"/>
    </row>
    <row r="128" spans="1:4" ht="29.45" customHeight="1" x14ac:dyDescent="0.25">
      <c r="A128" s="53" t="s">
        <v>2083</v>
      </c>
      <c r="B128" s="54" t="s">
        <v>2084</v>
      </c>
      <c r="C128" s="28" t="s">
        <v>897</v>
      </c>
      <c r="D128" s="62"/>
    </row>
    <row r="129" spans="1:4" ht="29.45" customHeight="1" x14ac:dyDescent="0.25">
      <c r="A129" s="53" t="s">
        <v>2085</v>
      </c>
      <c r="B129" s="54" t="s">
        <v>2086</v>
      </c>
      <c r="C129" s="28" t="s">
        <v>897</v>
      </c>
      <c r="D129" s="62"/>
    </row>
    <row r="130" spans="1:4" ht="29.45" customHeight="1" x14ac:dyDescent="0.25">
      <c r="A130" s="53" t="s">
        <v>2087</v>
      </c>
      <c r="B130" s="54" t="s">
        <v>2088</v>
      </c>
      <c r="C130" s="28" t="s">
        <v>897</v>
      </c>
      <c r="D130" s="62"/>
    </row>
    <row r="131" spans="1:4" ht="29.45" customHeight="1" x14ac:dyDescent="0.25">
      <c r="A131" s="53" t="s">
        <v>2089</v>
      </c>
      <c r="B131" s="54" t="s">
        <v>2090</v>
      </c>
      <c r="C131" s="28" t="s">
        <v>897</v>
      </c>
      <c r="D131" s="62"/>
    </row>
    <row r="132" spans="1:4" ht="29.45" customHeight="1" x14ac:dyDescent="0.25">
      <c r="A132" s="53" t="s">
        <v>2091</v>
      </c>
      <c r="B132" s="54" t="s">
        <v>2092</v>
      </c>
      <c r="C132" s="28" t="s">
        <v>897</v>
      </c>
      <c r="D132" s="62"/>
    </row>
    <row r="133" spans="1:4" ht="29.45" customHeight="1" x14ac:dyDescent="0.25">
      <c r="A133" s="53" t="s">
        <v>2093</v>
      </c>
      <c r="B133" s="54" t="s">
        <v>2094</v>
      </c>
      <c r="C133" s="28" t="s">
        <v>897</v>
      </c>
      <c r="D133" s="62"/>
    </row>
    <row r="134" spans="1:4" ht="29.45" customHeight="1" x14ac:dyDescent="0.25">
      <c r="A134" s="53" t="s">
        <v>2095</v>
      </c>
      <c r="B134" s="54" t="s">
        <v>2096</v>
      </c>
      <c r="C134" s="28" t="s">
        <v>897</v>
      </c>
      <c r="D134" s="62"/>
    </row>
    <row r="135" spans="1:4" ht="29.45" customHeight="1" x14ac:dyDescent="0.25">
      <c r="A135" s="53" t="s">
        <v>2371</v>
      </c>
      <c r="B135" s="54" t="s">
        <v>2372</v>
      </c>
      <c r="C135" s="28" t="s">
        <v>897</v>
      </c>
      <c r="D135" s="62"/>
    </row>
    <row r="136" spans="1:4" ht="29.45" customHeight="1" x14ac:dyDescent="0.25">
      <c r="A136" s="53" t="s">
        <v>2097</v>
      </c>
      <c r="B136" s="54" t="s">
        <v>2098</v>
      </c>
      <c r="C136" s="28" t="s">
        <v>897</v>
      </c>
      <c r="D136" s="62"/>
    </row>
    <row r="137" spans="1:4" ht="29.45" customHeight="1" x14ac:dyDescent="0.25">
      <c r="A137" s="53" t="s">
        <v>2099</v>
      </c>
      <c r="B137" s="54" t="s">
        <v>2100</v>
      </c>
      <c r="C137" s="28" t="s">
        <v>897</v>
      </c>
      <c r="D137" s="62"/>
    </row>
    <row r="139" spans="1:4" x14ac:dyDescent="0.25">
      <c r="A139" s="4" t="s">
        <v>926</v>
      </c>
      <c r="B139" s="5"/>
      <c r="C139" s="5"/>
      <c r="D139" s="5"/>
    </row>
    <row r="140" spans="1:4" ht="29.45" customHeight="1" x14ac:dyDescent="0.25">
      <c r="B140" s="52" t="s">
        <v>2373</v>
      </c>
    </row>
    <row r="141" spans="1:4" ht="16.149999999999999" customHeight="1" x14ac:dyDescent="0.25">
      <c r="B141" s="52" t="s">
        <v>2374</v>
      </c>
    </row>
    <row r="142" spans="1:4" ht="42.6" customHeight="1" x14ac:dyDescent="0.25">
      <c r="B142" s="52" t="s">
        <v>2375</v>
      </c>
    </row>
    <row r="143" spans="1:4" ht="29.45" customHeight="1" x14ac:dyDescent="0.25">
      <c r="B143" s="52" t="s">
        <v>2376</v>
      </c>
    </row>
    <row r="144" spans="1:4" ht="29.45" customHeight="1" x14ac:dyDescent="0.25">
      <c r="B144" s="52" t="s">
        <v>2377</v>
      </c>
    </row>
    <row r="145" spans="2:2" ht="16.149999999999999" customHeight="1" x14ac:dyDescent="0.25">
      <c r="B145" s="52" t="s">
        <v>2378</v>
      </c>
    </row>
    <row r="146" spans="2:2" ht="29.45" customHeight="1" x14ac:dyDescent="0.25">
      <c r="B146" s="52" t="s">
        <v>2379</v>
      </c>
    </row>
    <row r="147" spans="2:2" ht="16.149999999999999" customHeight="1" x14ac:dyDescent="0.25">
      <c r="B147" s="52" t="s">
        <v>2380</v>
      </c>
    </row>
    <row r="148" spans="2:2" ht="29.45" customHeight="1" x14ac:dyDescent="0.25">
      <c r="B148" s="52" t="s">
        <v>2381</v>
      </c>
    </row>
  </sheetData>
  <hyperlinks>
    <hyperlink ref="D1" location="'Monitor'!A17" display="&lt;&lt; Monitor" xr:uid="{00000000-0004-0000-1200-000000000000}"/>
    <hyperlink ref="C121" r:id="rId1" xr:uid="{00000000-0004-0000-1200-000001000000}"/>
    <hyperlink ref="C122" r:id="rId2" xr:uid="{00000000-0004-0000-1200-000002000000}"/>
    <hyperlink ref="C123" r:id="rId3" xr:uid="{00000000-0004-0000-1200-000003000000}"/>
    <hyperlink ref="C124" r:id="rId4" xr:uid="{00000000-0004-0000-1200-000004000000}"/>
    <hyperlink ref="C125" r:id="rId5" xr:uid="{00000000-0004-0000-1200-000005000000}"/>
    <hyperlink ref="C126" r:id="rId6" xr:uid="{00000000-0004-0000-1200-000006000000}"/>
    <hyperlink ref="C127" r:id="rId7" xr:uid="{00000000-0004-0000-1200-000007000000}"/>
    <hyperlink ref="C128" r:id="rId8" xr:uid="{00000000-0004-0000-1200-000008000000}"/>
    <hyperlink ref="C129" r:id="rId9" xr:uid="{00000000-0004-0000-1200-000009000000}"/>
    <hyperlink ref="C130" r:id="rId10" xr:uid="{00000000-0004-0000-1200-00000A000000}"/>
    <hyperlink ref="C131" r:id="rId11" xr:uid="{00000000-0004-0000-1200-00000B000000}"/>
    <hyperlink ref="C132" r:id="rId12" xr:uid="{00000000-0004-0000-1200-00000C000000}"/>
    <hyperlink ref="C133" r:id="rId13" xr:uid="{00000000-0004-0000-1200-00000D000000}"/>
    <hyperlink ref="C134" r:id="rId14" xr:uid="{00000000-0004-0000-1200-00000E000000}"/>
    <hyperlink ref="C135" r:id="rId15" xr:uid="{00000000-0004-0000-1200-00000F000000}"/>
    <hyperlink ref="C136" r:id="rId16" xr:uid="{00000000-0004-0000-1200-000010000000}"/>
    <hyperlink ref="C137" r:id="rId17" xr:uid="{00000000-0004-0000-1200-000011000000}"/>
  </hyperlinks>
  <pageMargins left="0.75" right="0.75" top="1" bottom="1" header="0.5" footer="0.5"/>
  <pageSetup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5A11"/>
    <pageSetUpPr fitToPage="1"/>
  </sheetPr>
  <dimension ref="A1:D160"/>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215</v>
      </c>
      <c r="D1" s="41" t="s">
        <v>667</v>
      </c>
    </row>
    <row r="2" spans="1:4" x14ac:dyDescent="0.25">
      <c r="A2" s="2" t="s">
        <v>2382</v>
      </c>
    </row>
    <row r="4" spans="1:4" x14ac:dyDescent="0.25">
      <c r="A4" s="42" t="s">
        <v>9</v>
      </c>
      <c r="B4" s="43">
        <f>Monitor!H18</f>
        <v>99.087999999999994</v>
      </c>
    </row>
    <row r="5" spans="1:4" x14ac:dyDescent="0.25">
      <c r="A5" s="42" t="s">
        <v>11</v>
      </c>
      <c r="B5" s="44">
        <f>Monitor!J18</f>
        <v>7.3958153800908946</v>
      </c>
    </row>
    <row r="6" spans="1:4" x14ac:dyDescent="0.25">
      <c r="A6" s="42" t="s">
        <v>8</v>
      </c>
      <c r="B6" s="45">
        <f>Monitor!G18</f>
        <v>1733</v>
      </c>
    </row>
    <row r="7" spans="1:4" x14ac:dyDescent="0.25">
      <c r="A7" s="42" t="s">
        <v>14</v>
      </c>
      <c r="B7" s="46">
        <f>Monitor!M18</f>
        <v>-15.804960000000108</v>
      </c>
    </row>
    <row r="8" spans="1:4" x14ac:dyDescent="0.25">
      <c r="A8" s="42" t="s">
        <v>15</v>
      </c>
      <c r="B8" s="47">
        <f>Monitor!N18</f>
        <v>-9.1200000000000621E-3</v>
      </c>
    </row>
    <row r="9" spans="1:4" x14ac:dyDescent="0.25">
      <c r="A9" s="42" t="s">
        <v>669</v>
      </c>
      <c r="B9" s="46">
        <f>Monitor!O18</f>
        <v>-4.2458500000000789</v>
      </c>
    </row>
    <row r="10" spans="1:4" x14ac:dyDescent="0.25">
      <c r="A10" s="42" t="s">
        <v>20</v>
      </c>
      <c r="B10" s="48">
        <f>Monitor!S18</f>
        <v>45974</v>
      </c>
    </row>
    <row r="11" spans="1:4" x14ac:dyDescent="0.25">
      <c r="A11" s="42" t="s">
        <v>670</v>
      </c>
      <c r="B11" s="49">
        <f>Monitor!W18</f>
        <v>197.57389019835509</v>
      </c>
    </row>
    <row r="12" spans="1:4" x14ac:dyDescent="0.25">
      <c r="A12" s="42" t="s">
        <v>671</v>
      </c>
      <c r="B12" s="50" t="str">
        <f>Monitor!F18</f>
        <v>Ba3/NR/BB-</v>
      </c>
    </row>
    <row r="13" spans="1:4" x14ac:dyDescent="0.25">
      <c r="A13" s="42" t="s">
        <v>4</v>
      </c>
      <c r="B13" s="50" t="str">
        <f>Monitor!C18</f>
        <v>Fluidstack (Google backstop)</v>
      </c>
    </row>
    <row r="15" spans="1:4" x14ac:dyDescent="0.25">
      <c r="A15" s="4" t="s">
        <v>672</v>
      </c>
      <c r="B15" s="5"/>
      <c r="C15" s="5"/>
      <c r="D15" s="5"/>
    </row>
    <row r="16" spans="1:4" ht="55.9" customHeight="1" x14ac:dyDescent="0.25">
      <c r="A16" s="51" t="s">
        <v>192</v>
      </c>
      <c r="B16" s="52" t="s">
        <v>216</v>
      </c>
    </row>
    <row r="18" spans="1:4" x14ac:dyDescent="0.25">
      <c r="A18" s="4" t="s">
        <v>673</v>
      </c>
      <c r="B18" s="5"/>
      <c r="C18" s="4" t="s">
        <v>674</v>
      </c>
      <c r="D18" s="4" t="s">
        <v>675</v>
      </c>
    </row>
    <row r="19" spans="1:4" ht="29.45" customHeight="1" x14ac:dyDescent="0.25">
      <c r="A19" s="53" t="s">
        <v>676</v>
      </c>
      <c r="B19" s="54" t="s">
        <v>2383</v>
      </c>
      <c r="C19" s="55" t="s">
        <v>678</v>
      </c>
      <c r="D19" s="56" t="s">
        <v>679</v>
      </c>
    </row>
    <row r="20" spans="1:4" ht="16.149999999999999" customHeight="1" x14ac:dyDescent="0.25">
      <c r="A20" s="53" t="s">
        <v>2384</v>
      </c>
      <c r="B20" s="54" t="s">
        <v>2385</v>
      </c>
      <c r="C20" s="55" t="s">
        <v>678</v>
      </c>
      <c r="D20" s="56" t="s">
        <v>679</v>
      </c>
    </row>
    <row r="21" spans="1:4" ht="16.149999999999999" customHeight="1" x14ac:dyDescent="0.25">
      <c r="A21" s="53" t="s">
        <v>1622</v>
      </c>
      <c r="B21" s="54" t="s">
        <v>2386</v>
      </c>
      <c r="C21" s="55" t="s">
        <v>678</v>
      </c>
      <c r="D21" s="56" t="s">
        <v>679</v>
      </c>
    </row>
    <row r="22" spans="1:4" ht="29.45" customHeight="1" x14ac:dyDescent="0.25">
      <c r="A22" s="53" t="s">
        <v>2387</v>
      </c>
      <c r="B22" s="54" t="s">
        <v>2388</v>
      </c>
      <c r="C22" s="55" t="s">
        <v>2389</v>
      </c>
      <c r="D22" s="56" t="s">
        <v>679</v>
      </c>
    </row>
    <row r="23" spans="1:4" ht="16.149999999999999" customHeight="1" x14ac:dyDescent="0.25">
      <c r="A23" s="53" t="s">
        <v>691</v>
      </c>
      <c r="B23" s="54" t="s">
        <v>2390</v>
      </c>
      <c r="C23" s="55" t="s">
        <v>678</v>
      </c>
      <c r="D23" s="56" t="s">
        <v>679</v>
      </c>
    </row>
    <row r="24" spans="1:4" ht="29.45" customHeight="1" x14ac:dyDescent="0.25">
      <c r="A24" s="53" t="s">
        <v>682</v>
      </c>
      <c r="B24" s="54" t="s">
        <v>2391</v>
      </c>
      <c r="C24" s="55" t="s">
        <v>2392</v>
      </c>
      <c r="D24" s="56" t="s">
        <v>679</v>
      </c>
    </row>
    <row r="25" spans="1:4" ht="42.6" customHeight="1" x14ac:dyDescent="0.25">
      <c r="A25" s="53" t="s">
        <v>1417</v>
      </c>
      <c r="B25" s="54" t="s">
        <v>2393</v>
      </c>
      <c r="C25" s="55" t="s">
        <v>753</v>
      </c>
      <c r="D25" s="56" t="s">
        <v>679</v>
      </c>
    </row>
    <row r="26" spans="1:4" ht="29.45" customHeight="1" x14ac:dyDescent="0.25">
      <c r="A26" s="53" t="s">
        <v>705</v>
      </c>
      <c r="B26" s="54" t="s">
        <v>2394</v>
      </c>
      <c r="C26" s="55" t="s">
        <v>684</v>
      </c>
      <c r="D26" s="56" t="s">
        <v>679</v>
      </c>
    </row>
    <row r="27" spans="1:4" ht="42.6" customHeight="1" x14ac:dyDescent="0.25">
      <c r="A27" s="53" t="s">
        <v>711</v>
      </c>
      <c r="B27" s="54" t="s">
        <v>2395</v>
      </c>
      <c r="C27" s="55" t="s">
        <v>2396</v>
      </c>
      <c r="D27" s="56" t="s">
        <v>679</v>
      </c>
    </row>
    <row r="28" spans="1:4" ht="16.149999999999999" customHeight="1" x14ac:dyDescent="0.25">
      <c r="A28" s="53" t="s">
        <v>1999</v>
      </c>
      <c r="B28" s="54" t="s">
        <v>2397</v>
      </c>
      <c r="C28" s="55" t="s">
        <v>678</v>
      </c>
      <c r="D28" s="56" t="s">
        <v>679</v>
      </c>
    </row>
    <row r="29" spans="1:4" ht="29.45" customHeight="1" x14ac:dyDescent="0.25">
      <c r="A29" s="53" t="s">
        <v>2398</v>
      </c>
      <c r="B29" s="54" t="s">
        <v>2399</v>
      </c>
      <c r="C29" s="55" t="s">
        <v>684</v>
      </c>
      <c r="D29" s="56" t="s">
        <v>679</v>
      </c>
    </row>
    <row r="30" spans="1:4" ht="16.149999999999999" customHeight="1" x14ac:dyDescent="0.25">
      <c r="A30" s="53" t="s">
        <v>709</v>
      </c>
      <c r="B30" s="54" t="s">
        <v>2400</v>
      </c>
      <c r="C30" s="55" t="s">
        <v>678</v>
      </c>
      <c r="D30" s="56" t="s">
        <v>679</v>
      </c>
    </row>
    <row r="31" spans="1:4" ht="29.45" customHeight="1" x14ac:dyDescent="0.25">
      <c r="A31" s="53" t="s">
        <v>2401</v>
      </c>
      <c r="B31" s="54" t="s">
        <v>2402</v>
      </c>
      <c r="C31" s="55" t="s">
        <v>2403</v>
      </c>
      <c r="D31" s="56" t="s">
        <v>679</v>
      </c>
    </row>
    <row r="32" spans="1:4" ht="29.45" customHeight="1" x14ac:dyDescent="0.25">
      <c r="A32" s="53" t="s">
        <v>695</v>
      </c>
      <c r="B32" s="54" t="s">
        <v>2404</v>
      </c>
      <c r="C32" s="55" t="s">
        <v>684</v>
      </c>
      <c r="D32" s="58" t="s">
        <v>698</v>
      </c>
    </row>
    <row r="34" spans="1:4" x14ac:dyDescent="0.25">
      <c r="A34" s="4" t="s">
        <v>717</v>
      </c>
      <c r="B34" s="5"/>
      <c r="C34" s="4" t="s">
        <v>674</v>
      </c>
      <c r="D34" s="4" t="s">
        <v>675</v>
      </c>
    </row>
    <row r="35" spans="1:4" ht="29.45" customHeight="1" x14ac:dyDescent="0.25">
      <c r="A35" s="53" t="s">
        <v>2405</v>
      </c>
      <c r="B35" s="54" t="s">
        <v>2406</v>
      </c>
      <c r="C35" s="55" t="s">
        <v>2407</v>
      </c>
      <c r="D35" s="56" t="s">
        <v>679</v>
      </c>
    </row>
    <row r="36" spans="1:4" ht="29.45" customHeight="1" x14ac:dyDescent="0.25">
      <c r="A36" s="53" t="s">
        <v>722</v>
      </c>
      <c r="B36" s="54" t="s">
        <v>2408</v>
      </c>
      <c r="C36" s="55" t="s">
        <v>678</v>
      </c>
      <c r="D36" s="56" t="s">
        <v>679</v>
      </c>
    </row>
    <row r="37" spans="1:4" ht="29.45" customHeight="1" x14ac:dyDescent="0.25">
      <c r="A37" s="53" t="s">
        <v>2409</v>
      </c>
      <c r="B37" s="54" t="s">
        <v>2410</v>
      </c>
      <c r="C37" s="55" t="s">
        <v>2389</v>
      </c>
      <c r="D37" s="56" t="s">
        <v>679</v>
      </c>
    </row>
    <row r="38" spans="1:4" ht="29.45" customHeight="1" x14ac:dyDescent="0.25">
      <c r="A38" s="53" t="s">
        <v>726</v>
      </c>
      <c r="B38" s="54" t="s">
        <v>2411</v>
      </c>
      <c r="C38" s="55" t="s">
        <v>734</v>
      </c>
      <c r="D38" s="57" t="s">
        <v>690</v>
      </c>
    </row>
    <row r="40" spans="1:4" x14ac:dyDescent="0.25">
      <c r="A40" s="4" t="s">
        <v>728</v>
      </c>
      <c r="B40" s="5"/>
      <c r="C40" s="4" t="s">
        <v>674</v>
      </c>
      <c r="D40" s="4" t="s">
        <v>675</v>
      </c>
    </row>
    <row r="41" spans="1:4" ht="42.6" customHeight="1" x14ac:dyDescent="0.25">
      <c r="A41" s="53" t="s">
        <v>246</v>
      </c>
      <c r="B41" s="54" t="s">
        <v>2412</v>
      </c>
      <c r="C41" s="55" t="s">
        <v>747</v>
      </c>
      <c r="D41" s="56" t="s">
        <v>679</v>
      </c>
    </row>
    <row r="42" spans="1:4" ht="42.6" customHeight="1" x14ac:dyDescent="0.25">
      <c r="A42" s="53" t="s">
        <v>2413</v>
      </c>
      <c r="B42" s="54" t="s">
        <v>2414</v>
      </c>
      <c r="C42" s="55" t="s">
        <v>844</v>
      </c>
      <c r="D42" s="56" t="s">
        <v>679</v>
      </c>
    </row>
    <row r="43" spans="1:4" ht="55.9" customHeight="1" x14ac:dyDescent="0.25">
      <c r="A43" s="53" t="s">
        <v>1053</v>
      </c>
      <c r="B43" s="54" t="s">
        <v>2415</v>
      </c>
      <c r="C43" s="55" t="s">
        <v>697</v>
      </c>
      <c r="D43" s="56" t="s">
        <v>679</v>
      </c>
    </row>
    <row r="44" spans="1:4" ht="55.9" customHeight="1" x14ac:dyDescent="0.25">
      <c r="A44" s="53" t="s">
        <v>2416</v>
      </c>
      <c r="B44" s="54" t="s">
        <v>2417</v>
      </c>
      <c r="C44" s="55" t="s">
        <v>966</v>
      </c>
      <c r="D44" s="56" t="s">
        <v>679</v>
      </c>
    </row>
    <row r="46" spans="1:4" x14ac:dyDescent="0.25">
      <c r="A46" s="4" t="s">
        <v>740</v>
      </c>
      <c r="B46" s="5"/>
      <c r="C46" s="4" t="s">
        <v>674</v>
      </c>
      <c r="D46" s="4" t="s">
        <v>675</v>
      </c>
    </row>
    <row r="47" spans="1:4" ht="29.45" customHeight="1" x14ac:dyDescent="0.25">
      <c r="A47" s="53" t="s">
        <v>4</v>
      </c>
      <c r="B47" s="54" t="s">
        <v>2418</v>
      </c>
      <c r="C47" s="55" t="s">
        <v>2419</v>
      </c>
      <c r="D47" s="56" t="s">
        <v>679</v>
      </c>
    </row>
    <row r="48" spans="1:4" ht="29.45" customHeight="1" x14ac:dyDescent="0.25">
      <c r="A48" s="53" t="s">
        <v>986</v>
      </c>
      <c r="B48" s="54" t="s">
        <v>2420</v>
      </c>
      <c r="C48" s="55" t="s">
        <v>2421</v>
      </c>
      <c r="D48" s="56" t="s">
        <v>679</v>
      </c>
    </row>
    <row r="49" spans="1:4" ht="29.45" customHeight="1" x14ac:dyDescent="0.25">
      <c r="A49" s="53" t="s">
        <v>2422</v>
      </c>
      <c r="B49" s="54" t="s">
        <v>2423</v>
      </c>
      <c r="C49" s="55" t="s">
        <v>2421</v>
      </c>
      <c r="D49" s="57" t="s">
        <v>690</v>
      </c>
    </row>
    <row r="50" spans="1:4" ht="29.45" customHeight="1" x14ac:dyDescent="0.25">
      <c r="A50" s="53" t="s">
        <v>2424</v>
      </c>
      <c r="B50" s="54" t="s">
        <v>2425</v>
      </c>
      <c r="C50" s="55" t="s">
        <v>2426</v>
      </c>
      <c r="D50" s="60" t="s">
        <v>803</v>
      </c>
    </row>
    <row r="51" spans="1:4" ht="42.6" customHeight="1" x14ac:dyDescent="0.25">
      <c r="A51" s="53" t="s">
        <v>2427</v>
      </c>
      <c r="B51" s="54" t="s">
        <v>2428</v>
      </c>
      <c r="C51" s="55" t="s">
        <v>2256</v>
      </c>
      <c r="D51" s="57" t="s">
        <v>690</v>
      </c>
    </row>
    <row r="52" spans="1:4" ht="29.45" customHeight="1" x14ac:dyDescent="0.25">
      <c r="A52" s="53" t="s">
        <v>2429</v>
      </c>
      <c r="B52" s="54" t="s">
        <v>2430</v>
      </c>
      <c r="C52" s="55" t="s">
        <v>734</v>
      </c>
      <c r="D52" s="57" t="s">
        <v>690</v>
      </c>
    </row>
    <row r="53" spans="1:4" ht="29.45" customHeight="1" x14ac:dyDescent="0.25">
      <c r="A53" s="53" t="s">
        <v>2431</v>
      </c>
      <c r="B53" s="54" t="s">
        <v>2432</v>
      </c>
      <c r="C53" s="55" t="s">
        <v>2433</v>
      </c>
      <c r="D53" s="56" t="s">
        <v>679</v>
      </c>
    </row>
    <row r="54" spans="1:4" ht="29.45" customHeight="1" x14ac:dyDescent="0.25">
      <c r="A54" s="53" t="s">
        <v>2434</v>
      </c>
      <c r="B54" s="54" t="s">
        <v>2435</v>
      </c>
      <c r="C54" s="55" t="s">
        <v>734</v>
      </c>
      <c r="D54" s="57" t="s">
        <v>690</v>
      </c>
    </row>
    <row r="55" spans="1:4" ht="29.45" customHeight="1" x14ac:dyDescent="0.25">
      <c r="A55" s="53" t="s">
        <v>2436</v>
      </c>
      <c r="B55" s="54" t="s">
        <v>2437</v>
      </c>
      <c r="C55" s="55" t="s">
        <v>962</v>
      </c>
      <c r="D55" s="56" t="s">
        <v>679</v>
      </c>
    </row>
    <row r="57" spans="1:4" x14ac:dyDescent="0.25">
      <c r="A57" s="4" t="s">
        <v>762</v>
      </c>
      <c r="B57" s="5"/>
      <c r="C57" s="4" t="s">
        <v>674</v>
      </c>
      <c r="D57" s="4" t="s">
        <v>675</v>
      </c>
    </row>
    <row r="58" spans="1:4" ht="16.149999999999999" customHeight="1" x14ac:dyDescent="0.25">
      <c r="A58" s="53" t="s">
        <v>984</v>
      </c>
      <c r="B58" s="54" t="s">
        <v>2438</v>
      </c>
      <c r="C58" s="55" t="s">
        <v>737</v>
      </c>
      <c r="D58" s="56" t="s">
        <v>679</v>
      </c>
    </row>
    <row r="59" spans="1:4" ht="16.149999999999999" customHeight="1" x14ac:dyDescent="0.25">
      <c r="A59" s="53" t="s">
        <v>986</v>
      </c>
      <c r="B59" s="54" t="s">
        <v>2439</v>
      </c>
      <c r="C59" s="55" t="s">
        <v>2440</v>
      </c>
      <c r="D59" s="56" t="s">
        <v>679</v>
      </c>
    </row>
    <row r="60" spans="1:4" ht="29.45" customHeight="1" x14ac:dyDescent="0.25">
      <c r="A60" s="53" t="s">
        <v>2441</v>
      </c>
      <c r="B60" s="54" t="s">
        <v>2442</v>
      </c>
      <c r="C60" s="55" t="s">
        <v>734</v>
      </c>
      <c r="D60" s="60" t="s">
        <v>803</v>
      </c>
    </row>
    <row r="61" spans="1:4" ht="16.149999999999999" customHeight="1" x14ac:dyDescent="0.25">
      <c r="A61" s="53" t="s">
        <v>1166</v>
      </c>
      <c r="B61" s="54" t="s">
        <v>2443</v>
      </c>
      <c r="C61" s="55" t="s">
        <v>2444</v>
      </c>
      <c r="D61" s="56" t="s">
        <v>679</v>
      </c>
    </row>
    <row r="63" spans="1:4" x14ac:dyDescent="0.25">
      <c r="A63" s="4" t="s">
        <v>773</v>
      </c>
      <c r="B63" s="5"/>
      <c r="C63" s="4" t="s">
        <v>674</v>
      </c>
      <c r="D63" s="4" t="s">
        <v>675</v>
      </c>
    </row>
    <row r="64" spans="1:4" ht="29.45" customHeight="1" x14ac:dyDescent="0.25">
      <c r="A64" s="53" t="s">
        <v>1961</v>
      </c>
      <c r="B64" s="54" t="s">
        <v>2445</v>
      </c>
      <c r="C64" s="55" t="s">
        <v>737</v>
      </c>
      <c r="D64" s="56" t="s">
        <v>679</v>
      </c>
    </row>
    <row r="65" spans="1:4" ht="55.9" customHeight="1" x14ac:dyDescent="0.25">
      <c r="A65" s="53" t="s">
        <v>2446</v>
      </c>
      <c r="B65" s="54" t="s">
        <v>2447</v>
      </c>
      <c r="C65" s="55" t="s">
        <v>948</v>
      </c>
      <c r="D65" s="59" t="s">
        <v>748</v>
      </c>
    </row>
    <row r="66" spans="1:4" ht="29.45" customHeight="1" x14ac:dyDescent="0.25">
      <c r="A66" s="53" t="s">
        <v>2448</v>
      </c>
      <c r="B66" s="54" t="s">
        <v>2449</v>
      </c>
      <c r="C66" s="55" t="s">
        <v>734</v>
      </c>
      <c r="D66" s="57" t="s">
        <v>690</v>
      </c>
    </row>
    <row r="68" spans="1:4" x14ac:dyDescent="0.25">
      <c r="A68" s="4" t="s">
        <v>781</v>
      </c>
      <c r="B68" s="5"/>
      <c r="C68" s="4" t="s">
        <v>674</v>
      </c>
      <c r="D68" s="4" t="s">
        <v>675</v>
      </c>
    </row>
    <row r="69" spans="1:4" ht="42.6" customHeight="1" x14ac:dyDescent="0.25">
      <c r="A69" s="53" t="s">
        <v>675</v>
      </c>
      <c r="B69" s="54" t="s">
        <v>2450</v>
      </c>
      <c r="C69" s="55" t="s">
        <v>1930</v>
      </c>
      <c r="D69" s="57" t="s">
        <v>690</v>
      </c>
    </row>
    <row r="70" spans="1:4" ht="29.45" customHeight="1" x14ac:dyDescent="0.25">
      <c r="A70" s="53" t="s">
        <v>2451</v>
      </c>
      <c r="B70" s="54" t="s">
        <v>2452</v>
      </c>
      <c r="C70" s="55" t="s">
        <v>2453</v>
      </c>
      <c r="D70" s="56" t="s">
        <v>679</v>
      </c>
    </row>
    <row r="71" spans="1:4" ht="16.149999999999999" customHeight="1" x14ac:dyDescent="0.25">
      <c r="A71" s="53" t="s">
        <v>998</v>
      </c>
      <c r="B71" s="54" t="s">
        <v>2454</v>
      </c>
      <c r="C71" s="55" t="s">
        <v>734</v>
      </c>
      <c r="D71" s="60" t="s">
        <v>803</v>
      </c>
    </row>
    <row r="72" spans="1:4" ht="29.45" customHeight="1" x14ac:dyDescent="0.25">
      <c r="A72" s="53" t="s">
        <v>1003</v>
      </c>
      <c r="B72" s="54" t="s">
        <v>2455</v>
      </c>
      <c r="C72" s="55" t="s">
        <v>2456</v>
      </c>
      <c r="D72" s="56" t="s">
        <v>679</v>
      </c>
    </row>
    <row r="74" spans="1:4" x14ac:dyDescent="0.25">
      <c r="A74" s="4" t="s">
        <v>792</v>
      </c>
      <c r="B74" s="5"/>
      <c r="C74" s="4" t="s">
        <v>674</v>
      </c>
      <c r="D74" s="4" t="s">
        <v>675</v>
      </c>
    </row>
    <row r="75" spans="1:4" ht="16.149999999999999" customHeight="1" x14ac:dyDescent="0.25">
      <c r="A75" s="53" t="s">
        <v>793</v>
      </c>
      <c r="B75" s="54" t="s">
        <v>2457</v>
      </c>
      <c r="C75" s="55" t="s">
        <v>2458</v>
      </c>
      <c r="D75" s="60" t="s">
        <v>803</v>
      </c>
    </row>
    <row r="76" spans="1:4" ht="29.45" customHeight="1" x14ac:dyDescent="0.25">
      <c r="A76" s="53" t="s">
        <v>799</v>
      </c>
      <c r="B76" s="54" t="s">
        <v>2459</v>
      </c>
      <c r="C76" s="55" t="s">
        <v>684</v>
      </c>
      <c r="D76" s="56" t="s">
        <v>679</v>
      </c>
    </row>
    <row r="77" spans="1:4" ht="42.6" customHeight="1" x14ac:dyDescent="0.25">
      <c r="A77" s="53" t="s">
        <v>2460</v>
      </c>
      <c r="B77" s="54" t="s">
        <v>2461</v>
      </c>
      <c r="C77" s="55" t="s">
        <v>1919</v>
      </c>
      <c r="D77" s="57" t="s">
        <v>690</v>
      </c>
    </row>
    <row r="78" spans="1:4" ht="42.6" customHeight="1" x14ac:dyDescent="0.25">
      <c r="A78" s="53" t="s">
        <v>2462</v>
      </c>
      <c r="B78" s="54" t="s">
        <v>2463</v>
      </c>
      <c r="C78" s="55" t="s">
        <v>2464</v>
      </c>
      <c r="D78" s="60" t="s">
        <v>803</v>
      </c>
    </row>
    <row r="79" spans="1:4" ht="16.149999999999999" customHeight="1" x14ac:dyDescent="0.25">
      <c r="A79" s="53" t="s">
        <v>1337</v>
      </c>
      <c r="B79" s="54" t="s">
        <v>2465</v>
      </c>
      <c r="C79" s="55" t="s">
        <v>689</v>
      </c>
      <c r="D79" s="58" t="s">
        <v>698</v>
      </c>
    </row>
    <row r="81" spans="1:4" x14ac:dyDescent="0.25">
      <c r="A81" s="4" t="s">
        <v>804</v>
      </c>
      <c r="B81" s="5"/>
      <c r="C81" s="4" t="s">
        <v>674</v>
      </c>
      <c r="D81" s="4" t="s">
        <v>675</v>
      </c>
    </row>
    <row r="82" spans="1:4" ht="55.9" customHeight="1" x14ac:dyDescent="0.25">
      <c r="A82" s="53" t="s">
        <v>2466</v>
      </c>
      <c r="B82" s="54" t="s">
        <v>2467</v>
      </c>
      <c r="C82" s="55" t="s">
        <v>2468</v>
      </c>
      <c r="D82" s="56" t="s">
        <v>679</v>
      </c>
    </row>
    <row r="83" spans="1:4" ht="29.45" customHeight="1" x14ac:dyDescent="0.25">
      <c r="A83" s="53" t="s">
        <v>2469</v>
      </c>
      <c r="B83" s="54" t="s">
        <v>2470</v>
      </c>
      <c r="C83" s="55" t="s">
        <v>689</v>
      </c>
      <c r="D83" s="60" t="s">
        <v>803</v>
      </c>
    </row>
    <row r="84" spans="1:4" ht="42.6" customHeight="1" x14ac:dyDescent="0.25">
      <c r="A84" s="53" t="s">
        <v>2471</v>
      </c>
      <c r="B84" s="54" t="s">
        <v>2472</v>
      </c>
      <c r="C84" s="55" t="s">
        <v>2473</v>
      </c>
      <c r="D84" s="56" t="s">
        <v>679</v>
      </c>
    </row>
    <row r="85" spans="1:4" ht="42.6" customHeight="1" x14ac:dyDescent="0.25">
      <c r="A85" s="53" t="s">
        <v>2474</v>
      </c>
      <c r="B85" s="54" t="s">
        <v>2475</v>
      </c>
      <c r="C85" s="55" t="s">
        <v>2300</v>
      </c>
      <c r="D85" s="60" t="s">
        <v>803</v>
      </c>
    </row>
    <row r="86" spans="1:4" ht="29.45" customHeight="1" x14ac:dyDescent="0.25">
      <c r="A86" s="53" t="s">
        <v>1988</v>
      </c>
      <c r="B86" s="54" t="s">
        <v>2476</v>
      </c>
      <c r="C86" s="55" t="s">
        <v>776</v>
      </c>
      <c r="D86" s="56" t="s">
        <v>679</v>
      </c>
    </row>
    <row r="87" spans="1:4" ht="29.45" customHeight="1" x14ac:dyDescent="0.25">
      <c r="A87" s="53" t="s">
        <v>2477</v>
      </c>
      <c r="B87" s="54" t="s">
        <v>2478</v>
      </c>
      <c r="C87" s="55" t="s">
        <v>684</v>
      </c>
      <c r="D87" s="56" t="s">
        <v>679</v>
      </c>
    </row>
    <row r="89" spans="1:4" x14ac:dyDescent="0.25">
      <c r="A89" s="4" t="s">
        <v>813</v>
      </c>
      <c r="B89" s="5"/>
      <c r="C89" s="4" t="s">
        <v>674</v>
      </c>
      <c r="D89" s="4" t="s">
        <v>675</v>
      </c>
    </row>
    <row r="90" spans="1:4" ht="29.45" customHeight="1" x14ac:dyDescent="0.25">
      <c r="A90" s="53" t="s">
        <v>2479</v>
      </c>
      <c r="B90" s="54" t="s">
        <v>2480</v>
      </c>
      <c r="C90" s="55" t="s">
        <v>684</v>
      </c>
      <c r="D90" s="56" t="s">
        <v>679</v>
      </c>
    </row>
    <row r="91" spans="1:4" ht="16.149999999999999" customHeight="1" x14ac:dyDescent="0.25">
      <c r="A91" s="53" t="s">
        <v>2194</v>
      </c>
      <c r="B91" s="54" t="s">
        <v>2481</v>
      </c>
      <c r="C91" s="55" t="s">
        <v>2482</v>
      </c>
      <c r="D91" s="56" t="s">
        <v>679</v>
      </c>
    </row>
    <row r="92" spans="1:4" ht="29.45" customHeight="1" x14ac:dyDescent="0.25">
      <c r="A92" s="53" t="s">
        <v>2483</v>
      </c>
      <c r="B92" s="54" t="s">
        <v>2484</v>
      </c>
      <c r="C92" s="55" t="s">
        <v>678</v>
      </c>
      <c r="D92" s="56" t="s">
        <v>679</v>
      </c>
    </row>
    <row r="93" spans="1:4" ht="29.45" customHeight="1" x14ac:dyDescent="0.25">
      <c r="A93" s="53" t="s">
        <v>820</v>
      </c>
      <c r="B93" s="54" t="s">
        <v>2485</v>
      </c>
      <c r="C93" s="55" t="s">
        <v>678</v>
      </c>
      <c r="D93" s="56" t="s">
        <v>679</v>
      </c>
    </row>
    <row r="95" spans="1:4" x14ac:dyDescent="0.25">
      <c r="A95" s="4" t="s">
        <v>826</v>
      </c>
      <c r="B95" s="5"/>
      <c r="C95" s="4" t="s">
        <v>674</v>
      </c>
      <c r="D95" s="4" t="s">
        <v>675</v>
      </c>
    </row>
    <row r="96" spans="1:4" ht="29.45" customHeight="1" x14ac:dyDescent="0.25">
      <c r="A96" s="53" t="s">
        <v>1202</v>
      </c>
      <c r="B96" s="54" t="s">
        <v>2486</v>
      </c>
      <c r="C96" s="55" t="s">
        <v>844</v>
      </c>
      <c r="D96" s="57" t="s">
        <v>690</v>
      </c>
    </row>
    <row r="98" spans="1:4" x14ac:dyDescent="0.25">
      <c r="A98" s="4" t="s">
        <v>833</v>
      </c>
      <c r="B98" s="5"/>
      <c r="C98" s="4" t="s">
        <v>674</v>
      </c>
      <c r="D98" s="4" t="s">
        <v>675</v>
      </c>
    </row>
    <row r="99" spans="1:4" ht="16.149999999999999" customHeight="1" x14ac:dyDescent="0.25">
      <c r="A99" s="53" t="s">
        <v>2487</v>
      </c>
      <c r="B99" s="54" t="s">
        <v>2488</v>
      </c>
      <c r="C99" s="55" t="s">
        <v>678</v>
      </c>
      <c r="D99" s="56" t="s">
        <v>679</v>
      </c>
    </row>
    <row r="100" spans="1:4" ht="16.149999999999999" customHeight="1" x14ac:dyDescent="0.25">
      <c r="A100" s="53" t="s">
        <v>2489</v>
      </c>
      <c r="B100" s="54" t="s">
        <v>2490</v>
      </c>
      <c r="C100" s="55" t="s">
        <v>2491</v>
      </c>
      <c r="D100" s="56" t="s">
        <v>679</v>
      </c>
    </row>
    <row r="102" spans="1:4" x14ac:dyDescent="0.25">
      <c r="A102" s="4" t="s">
        <v>836</v>
      </c>
      <c r="B102" s="5"/>
      <c r="C102" s="4" t="s">
        <v>674</v>
      </c>
      <c r="D102" s="4" t="s">
        <v>675</v>
      </c>
    </row>
    <row r="103" spans="1:4" ht="29.45" customHeight="1" x14ac:dyDescent="0.25">
      <c r="A103" s="53" t="s">
        <v>2492</v>
      </c>
      <c r="B103" s="54" t="s">
        <v>2493</v>
      </c>
      <c r="C103" s="55" t="s">
        <v>1919</v>
      </c>
      <c r="D103" s="60" t="s">
        <v>803</v>
      </c>
    </row>
    <row r="104" spans="1:4" ht="16.149999999999999" customHeight="1" x14ac:dyDescent="0.25">
      <c r="A104" s="53" t="s">
        <v>2494</v>
      </c>
      <c r="B104" s="54" t="s">
        <v>2495</v>
      </c>
      <c r="C104" s="55" t="s">
        <v>2293</v>
      </c>
      <c r="D104" s="56" t="s">
        <v>679</v>
      </c>
    </row>
    <row r="105" spans="1:4" ht="29.45" customHeight="1" x14ac:dyDescent="0.25">
      <c r="A105" s="53" t="s">
        <v>2496</v>
      </c>
      <c r="B105" s="54" t="s">
        <v>2497</v>
      </c>
      <c r="C105" s="55" t="s">
        <v>689</v>
      </c>
      <c r="D105" s="60" t="s">
        <v>803</v>
      </c>
    </row>
    <row r="106" spans="1:4" ht="29.45" customHeight="1" x14ac:dyDescent="0.25">
      <c r="A106" s="53" t="s">
        <v>2498</v>
      </c>
      <c r="B106" s="54" t="s">
        <v>2499</v>
      </c>
      <c r="C106" s="55" t="s">
        <v>731</v>
      </c>
      <c r="D106" s="56" t="s">
        <v>679</v>
      </c>
    </row>
    <row r="107" spans="1:4" ht="16.149999999999999" customHeight="1" x14ac:dyDescent="0.25">
      <c r="A107" s="53" t="s">
        <v>2500</v>
      </c>
      <c r="B107" s="54" t="s">
        <v>2501</v>
      </c>
      <c r="C107" s="55" t="s">
        <v>2502</v>
      </c>
      <c r="D107" s="60" t="s">
        <v>803</v>
      </c>
    </row>
    <row r="108" spans="1:4" ht="16.149999999999999" customHeight="1" x14ac:dyDescent="0.25">
      <c r="A108" s="53" t="s">
        <v>2503</v>
      </c>
      <c r="B108" s="54" t="s">
        <v>2504</v>
      </c>
      <c r="C108" s="55" t="s">
        <v>962</v>
      </c>
      <c r="D108" s="56" t="s">
        <v>679</v>
      </c>
    </row>
    <row r="110" spans="1:4" x14ac:dyDescent="0.25">
      <c r="A110" s="4" t="s">
        <v>855</v>
      </c>
      <c r="B110" s="5"/>
      <c r="C110" s="4" t="s">
        <v>674</v>
      </c>
      <c r="D110" s="4" t="s">
        <v>675</v>
      </c>
    </row>
    <row r="111" spans="1:4" ht="16.149999999999999" customHeight="1" x14ac:dyDescent="0.25">
      <c r="A111" s="53" t="s">
        <v>2505</v>
      </c>
      <c r="B111" s="54" t="s">
        <v>2506</v>
      </c>
      <c r="C111" s="55" t="s">
        <v>2259</v>
      </c>
      <c r="D111" s="56" t="s">
        <v>679</v>
      </c>
    </row>
    <row r="112" spans="1:4" ht="42.6" customHeight="1" x14ac:dyDescent="0.25">
      <c r="A112" s="53" t="s">
        <v>2507</v>
      </c>
      <c r="B112" s="54" t="s">
        <v>2508</v>
      </c>
      <c r="C112" s="55" t="s">
        <v>966</v>
      </c>
      <c r="D112" s="56" t="s">
        <v>679</v>
      </c>
    </row>
    <row r="113" spans="1:4" ht="29.45" customHeight="1" x14ac:dyDescent="0.25">
      <c r="A113" s="53" t="s">
        <v>2509</v>
      </c>
      <c r="B113" s="54" t="s">
        <v>2510</v>
      </c>
      <c r="C113" s="55" t="s">
        <v>2511</v>
      </c>
      <c r="D113" s="59" t="s">
        <v>748</v>
      </c>
    </row>
    <row r="114" spans="1:4" ht="16.149999999999999" customHeight="1" x14ac:dyDescent="0.25">
      <c r="A114" s="53" t="s">
        <v>2512</v>
      </c>
      <c r="B114" s="54" t="s">
        <v>2513</v>
      </c>
      <c r="C114" s="55" t="s">
        <v>948</v>
      </c>
      <c r="D114" s="59" t="s">
        <v>748</v>
      </c>
    </row>
    <row r="116" spans="1:4" x14ac:dyDescent="0.25">
      <c r="A116" s="4" t="s">
        <v>868</v>
      </c>
      <c r="B116" s="5"/>
      <c r="C116" s="4" t="s">
        <v>674</v>
      </c>
      <c r="D116" s="5"/>
    </row>
    <row r="117" spans="1:4" ht="16.149999999999999" customHeight="1" x14ac:dyDescent="0.25">
      <c r="A117" s="61" t="s">
        <v>2514</v>
      </c>
      <c r="B117" s="54" t="s">
        <v>2515</v>
      </c>
      <c r="C117" s="55" t="s">
        <v>731</v>
      </c>
      <c r="D117" s="62"/>
    </row>
    <row r="118" spans="1:4" ht="16.149999999999999" customHeight="1" x14ac:dyDescent="0.25">
      <c r="A118" s="61" t="s">
        <v>2046</v>
      </c>
      <c r="B118" s="54" t="s">
        <v>2516</v>
      </c>
      <c r="C118" s="55" t="s">
        <v>678</v>
      </c>
      <c r="D118" s="62"/>
    </row>
    <row r="119" spans="1:4" ht="16.149999999999999" customHeight="1" x14ac:dyDescent="0.25">
      <c r="A119" s="61" t="s">
        <v>2048</v>
      </c>
      <c r="B119" s="54" t="s">
        <v>2517</v>
      </c>
      <c r="C119" s="55" t="s">
        <v>753</v>
      </c>
      <c r="D119" s="62"/>
    </row>
    <row r="120" spans="1:4" ht="16.149999999999999" customHeight="1" x14ac:dyDescent="0.25">
      <c r="A120" s="61" t="s">
        <v>2518</v>
      </c>
      <c r="B120" s="54" t="s">
        <v>2519</v>
      </c>
      <c r="C120" s="55" t="s">
        <v>776</v>
      </c>
      <c r="D120" s="62"/>
    </row>
    <row r="121" spans="1:4" ht="16.149999999999999" customHeight="1" x14ac:dyDescent="0.25">
      <c r="A121" s="61" t="s">
        <v>2520</v>
      </c>
      <c r="B121" s="54" t="s">
        <v>2521</v>
      </c>
      <c r="C121" s="55" t="s">
        <v>697</v>
      </c>
      <c r="D121" s="62"/>
    </row>
    <row r="122" spans="1:4" ht="16.149999999999999" customHeight="1" x14ac:dyDescent="0.25">
      <c r="A122" s="61" t="s">
        <v>886</v>
      </c>
      <c r="B122" s="54" t="s">
        <v>2522</v>
      </c>
      <c r="C122" s="55" t="s">
        <v>844</v>
      </c>
      <c r="D122" s="62"/>
    </row>
    <row r="123" spans="1:4" ht="16.149999999999999" customHeight="1" x14ac:dyDescent="0.25">
      <c r="A123" s="61" t="s">
        <v>2233</v>
      </c>
      <c r="B123" s="54" t="s">
        <v>2523</v>
      </c>
      <c r="C123" s="55" t="s">
        <v>948</v>
      </c>
      <c r="D123" s="62"/>
    </row>
    <row r="124" spans="1:4" ht="16.149999999999999" customHeight="1" x14ac:dyDescent="0.25">
      <c r="A124" s="61" t="s">
        <v>892</v>
      </c>
      <c r="B124" s="54" t="s">
        <v>2524</v>
      </c>
      <c r="C124" s="55" t="s">
        <v>962</v>
      </c>
      <c r="D124" s="62"/>
    </row>
    <row r="125" spans="1:4" ht="16.149999999999999" customHeight="1" x14ac:dyDescent="0.25">
      <c r="A125" s="61" t="s">
        <v>2525</v>
      </c>
      <c r="B125" s="54" t="s">
        <v>2526</v>
      </c>
      <c r="C125" s="55" t="s">
        <v>734</v>
      </c>
      <c r="D125" s="62"/>
    </row>
    <row r="126" spans="1:4" ht="16.149999999999999" customHeight="1" x14ac:dyDescent="0.25">
      <c r="A126" s="61" t="s">
        <v>2527</v>
      </c>
      <c r="B126" s="54" t="s">
        <v>2528</v>
      </c>
      <c r="C126" s="55" t="s">
        <v>2529</v>
      </c>
      <c r="D126" s="62"/>
    </row>
    <row r="127" spans="1:4" ht="16.149999999999999" customHeight="1" x14ac:dyDescent="0.25">
      <c r="A127" s="61" t="s">
        <v>2530</v>
      </c>
      <c r="B127" s="54" t="s">
        <v>2531</v>
      </c>
      <c r="C127" s="55" t="s">
        <v>2532</v>
      </c>
      <c r="D127" s="62"/>
    </row>
    <row r="128" spans="1:4" ht="16.149999999999999" customHeight="1" x14ac:dyDescent="0.25">
      <c r="A128" s="61" t="s">
        <v>2533</v>
      </c>
      <c r="B128" s="54" t="s">
        <v>2534</v>
      </c>
      <c r="C128" s="55" t="s">
        <v>966</v>
      </c>
      <c r="D128" s="62"/>
    </row>
    <row r="130" spans="1:4" x14ac:dyDescent="0.25">
      <c r="A130" s="4" t="s">
        <v>894</v>
      </c>
      <c r="B130" s="5"/>
      <c r="C130" s="5"/>
      <c r="D130" s="5"/>
    </row>
    <row r="131" spans="1:4" ht="29.45" customHeight="1" x14ac:dyDescent="0.25">
      <c r="A131" s="53" t="s">
        <v>2535</v>
      </c>
      <c r="B131" s="54" t="s">
        <v>2536</v>
      </c>
      <c r="C131" s="28" t="s">
        <v>897</v>
      </c>
      <c r="D131" s="62"/>
    </row>
    <row r="132" spans="1:4" ht="29.45" customHeight="1" x14ac:dyDescent="0.25">
      <c r="A132" s="53" t="s">
        <v>2537</v>
      </c>
      <c r="B132" s="54" t="s">
        <v>2538</v>
      </c>
      <c r="C132" s="28" t="s">
        <v>897</v>
      </c>
      <c r="D132" s="62"/>
    </row>
    <row r="133" spans="1:4" ht="29.45" customHeight="1" x14ac:dyDescent="0.25">
      <c r="A133" s="53" t="s">
        <v>2539</v>
      </c>
      <c r="B133" s="54" t="s">
        <v>2540</v>
      </c>
      <c r="C133" s="28" t="s">
        <v>897</v>
      </c>
      <c r="D133" s="62"/>
    </row>
    <row r="134" spans="1:4" ht="29.45" customHeight="1" x14ac:dyDescent="0.25">
      <c r="A134" s="53" t="s">
        <v>2541</v>
      </c>
      <c r="B134" s="54" t="s">
        <v>2542</v>
      </c>
      <c r="C134" s="28" t="s">
        <v>897</v>
      </c>
      <c r="D134" s="62"/>
    </row>
    <row r="135" spans="1:4" ht="29.45" customHeight="1" x14ac:dyDescent="0.25">
      <c r="A135" s="53" t="s">
        <v>2543</v>
      </c>
      <c r="B135" s="54" t="s">
        <v>2544</v>
      </c>
      <c r="C135" s="28" t="s">
        <v>897</v>
      </c>
      <c r="D135" s="62"/>
    </row>
    <row r="136" spans="1:4" ht="29.45" customHeight="1" x14ac:dyDescent="0.25">
      <c r="A136" s="53" t="s">
        <v>2545</v>
      </c>
      <c r="B136" s="54" t="s">
        <v>2546</v>
      </c>
      <c r="C136" s="28" t="s">
        <v>897</v>
      </c>
      <c r="D136" s="62"/>
    </row>
    <row r="137" spans="1:4" ht="29.45" customHeight="1" x14ac:dyDescent="0.25">
      <c r="A137" s="53" t="s">
        <v>2547</v>
      </c>
      <c r="B137" s="54" t="s">
        <v>2548</v>
      </c>
      <c r="C137" s="28" t="s">
        <v>897</v>
      </c>
      <c r="D137" s="62"/>
    </row>
    <row r="138" spans="1:4" ht="29.45" customHeight="1" x14ac:dyDescent="0.25">
      <c r="A138" s="53" t="s">
        <v>2549</v>
      </c>
      <c r="B138" s="54" t="s">
        <v>2550</v>
      </c>
      <c r="C138" s="28" t="s">
        <v>897</v>
      </c>
      <c r="D138" s="62"/>
    </row>
    <row r="139" spans="1:4" ht="29.45" customHeight="1" x14ac:dyDescent="0.25">
      <c r="A139" s="53" t="s">
        <v>2551</v>
      </c>
      <c r="B139" s="54" t="s">
        <v>2552</v>
      </c>
      <c r="C139" s="28" t="s">
        <v>897</v>
      </c>
      <c r="D139" s="62"/>
    </row>
    <row r="140" spans="1:4" ht="29.45" customHeight="1" x14ac:dyDescent="0.25">
      <c r="A140" s="53" t="s">
        <v>2553</v>
      </c>
      <c r="B140" s="54" t="s">
        <v>2554</v>
      </c>
      <c r="C140" s="28" t="s">
        <v>897</v>
      </c>
      <c r="D140" s="62"/>
    </row>
    <row r="141" spans="1:4" ht="29.45" customHeight="1" x14ac:dyDescent="0.25">
      <c r="A141" s="53" t="s">
        <v>2555</v>
      </c>
      <c r="B141" s="54" t="s">
        <v>2556</v>
      </c>
      <c r="C141" s="28" t="s">
        <v>897</v>
      </c>
      <c r="D141" s="62"/>
    </row>
    <row r="142" spans="1:4" ht="29.45" customHeight="1" x14ac:dyDescent="0.25">
      <c r="A142" s="53" t="s">
        <v>2557</v>
      </c>
      <c r="B142" s="54" t="s">
        <v>2558</v>
      </c>
      <c r="C142" s="28" t="s">
        <v>897</v>
      </c>
      <c r="D142" s="62"/>
    </row>
    <row r="143" spans="1:4" ht="29.45" customHeight="1" x14ac:dyDescent="0.25">
      <c r="A143" s="53" t="s">
        <v>2559</v>
      </c>
      <c r="B143" s="54" t="s">
        <v>2560</v>
      </c>
      <c r="C143" s="28" t="s">
        <v>897</v>
      </c>
      <c r="D143" s="62"/>
    </row>
    <row r="144" spans="1:4" ht="29.45" customHeight="1" x14ac:dyDescent="0.25">
      <c r="A144" s="53" t="s">
        <v>2561</v>
      </c>
      <c r="B144" s="54" t="s">
        <v>2562</v>
      </c>
      <c r="C144" s="28" t="s">
        <v>897</v>
      </c>
      <c r="D144" s="62"/>
    </row>
    <row r="145" spans="1:4" ht="29.45" customHeight="1" x14ac:dyDescent="0.25">
      <c r="A145" s="53" t="s">
        <v>2563</v>
      </c>
      <c r="B145" s="54" t="s">
        <v>2564</v>
      </c>
      <c r="C145" s="28" t="s">
        <v>897</v>
      </c>
      <c r="D145" s="62"/>
    </row>
    <row r="146" spans="1:4" ht="29.45" customHeight="1" x14ac:dyDescent="0.25">
      <c r="A146" s="53" t="s">
        <v>1106</v>
      </c>
      <c r="B146" s="54" t="s">
        <v>2565</v>
      </c>
      <c r="C146" s="28" t="s">
        <v>897</v>
      </c>
      <c r="D146" s="62"/>
    </row>
    <row r="147" spans="1:4" ht="29.45" customHeight="1" x14ac:dyDescent="0.25">
      <c r="A147" s="53" t="s">
        <v>2566</v>
      </c>
      <c r="B147" s="54" t="s">
        <v>2567</v>
      </c>
      <c r="C147" s="28" t="s">
        <v>897</v>
      </c>
      <c r="D147" s="62"/>
    </row>
    <row r="148" spans="1:4" ht="29.45" customHeight="1" x14ac:dyDescent="0.25">
      <c r="A148" s="53" t="s">
        <v>2568</v>
      </c>
      <c r="B148" s="54" t="s">
        <v>2569</v>
      </c>
      <c r="C148" s="28" t="s">
        <v>897</v>
      </c>
      <c r="D148" s="62"/>
    </row>
    <row r="149" spans="1:4" ht="29.45" customHeight="1" x14ac:dyDescent="0.25">
      <c r="A149" s="53" t="s">
        <v>2570</v>
      </c>
      <c r="B149" s="54" t="s">
        <v>2571</v>
      </c>
      <c r="C149" s="28" t="s">
        <v>897</v>
      </c>
      <c r="D149" s="62"/>
    </row>
    <row r="151" spans="1:4" x14ac:dyDescent="0.25">
      <c r="A151" s="4" t="s">
        <v>926</v>
      </c>
      <c r="B151" s="5"/>
      <c r="C151" s="5"/>
      <c r="D151" s="5"/>
    </row>
    <row r="152" spans="1:4" ht="29.45" customHeight="1" x14ac:dyDescent="0.25">
      <c r="B152" s="52" t="s">
        <v>2572</v>
      </c>
    </row>
    <row r="153" spans="1:4" ht="16.149999999999999" customHeight="1" x14ac:dyDescent="0.25">
      <c r="B153" s="52" t="s">
        <v>2573</v>
      </c>
    </row>
    <row r="154" spans="1:4" ht="29.45" customHeight="1" x14ac:dyDescent="0.25">
      <c r="B154" s="52" t="s">
        <v>2574</v>
      </c>
    </row>
    <row r="155" spans="1:4" ht="29.45" customHeight="1" x14ac:dyDescent="0.25">
      <c r="B155" s="52" t="s">
        <v>2575</v>
      </c>
    </row>
    <row r="156" spans="1:4" ht="16.149999999999999" customHeight="1" x14ac:dyDescent="0.25">
      <c r="B156" s="52" t="s">
        <v>2576</v>
      </c>
    </row>
    <row r="157" spans="1:4" ht="16.149999999999999" customHeight="1" x14ac:dyDescent="0.25">
      <c r="B157" s="52" t="s">
        <v>2577</v>
      </c>
    </row>
    <row r="158" spans="1:4" ht="29.45" customHeight="1" x14ac:dyDescent="0.25">
      <c r="B158" s="52" t="s">
        <v>2578</v>
      </c>
    </row>
    <row r="159" spans="1:4" ht="42.6" customHeight="1" x14ac:dyDescent="0.25">
      <c r="B159" s="52" t="s">
        <v>2579</v>
      </c>
    </row>
    <row r="160" spans="1:4" ht="42.6" customHeight="1" x14ac:dyDescent="0.25">
      <c r="B160" s="52" t="s">
        <v>2580</v>
      </c>
    </row>
  </sheetData>
  <hyperlinks>
    <hyperlink ref="D1" location="'Monitor'!A18" display="&lt;&lt; Monitor" xr:uid="{00000000-0004-0000-1300-000000000000}"/>
    <hyperlink ref="C131" r:id="rId1" xr:uid="{00000000-0004-0000-1300-000001000000}"/>
    <hyperlink ref="C132" r:id="rId2" xr:uid="{00000000-0004-0000-1300-000002000000}"/>
    <hyperlink ref="C133" r:id="rId3" xr:uid="{00000000-0004-0000-1300-000003000000}"/>
    <hyperlink ref="C134" r:id="rId4" xr:uid="{00000000-0004-0000-1300-000004000000}"/>
    <hyperlink ref="C135" r:id="rId5" xr:uid="{00000000-0004-0000-1300-000005000000}"/>
    <hyperlink ref="C136" r:id="rId6" xr:uid="{00000000-0004-0000-1300-000006000000}"/>
    <hyperlink ref="C137" r:id="rId7" xr:uid="{00000000-0004-0000-1300-000007000000}"/>
    <hyperlink ref="C138" r:id="rId8" xr:uid="{00000000-0004-0000-1300-000008000000}"/>
    <hyperlink ref="C139" r:id="rId9" xr:uid="{00000000-0004-0000-1300-000009000000}"/>
    <hyperlink ref="C140" r:id="rId10" xr:uid="{00000000-0004-0000-1300-00000A000000}"/>
    <hyperlink ref="C141" r:id="rId11" xr:uid="{00000000-0004-0000-1300-00000B000000}"/>
    <hyperlink ref="C142" r:id="rId12" xr:uid="{00000000-0004-0000-1300-00000C000000}"/>
    <hyperlink ref="C143" r:id="rId13" xr:uid="{00000000-0004-0000-1300-00000D000000}"/>
    <hyperlink ref="C144" r:id="rId14" xr:uid="{00000000-0004-0000-1300-00000E000000}"/>
    <hyperlink ref="C145" r:id="rId15" xr:uid="{00000000-0004-0000-1300-00000F000000}"/>
    <hyperlink ref="C146" r:id="rId16" xr:uid="{00000000-0004-0000-1300-000010000000}"/>
    <hyperlink ref="C147" r:id="rId17" xr:uid="{00000000-0004-0000-1300-000011000000}"/>
    <hyperlink ref="C148" r:id="rId18" xr:uid="{00000000-0004-0000-1300-000012000000}"/>
    <hyperlink ref="C149" r:id="rId19" xr:uid="{00000000-0004-0000-1300-000013000000}"/>
  </hyperlinks>
  <pageMargins left="0.75" right="0.75" top="1" bottom="1" header="0.5" footer="0.5"/>
  <pageSetup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5A11"/>
    <pageSetUpPr fitToPage="1"/>
  </sheetPr>
  <dimension ref="A1:D148"/>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217</v>
      </c>
      <c r="D1" s="41" t="s">
        <v>667</v>
      </c>
    </row>
    <row r="2" spans="1:4" x14ac:dyDescent="0.25">
      <c r="A2" s="2" t="s">
        <v>2581</v>
      </c>
    </row>
    <row r="4" spans="1:4" x14ac:dyDescent="0.25">
      <c r="A4" s="42" t="s">
        <v>9</v>
      </c>
      <c r="B4" s="43">
        <f>Monitor!H19</f>
        <v>98.352000000000004</v>
      </c>
    </row>
    <row r="5" spans="1:4" x14ac:dyDescent="0.25">
      <c r="A5" s="42" t="s">
        <v>11</v>
      </c>
      <c r="B5" s="44">
        <f>Monitor!J19</f>
        <v>6.5859492563343176</v>
      </c>
    </row>
    <row r="6" spans="1:4" x14ac:dyDescent="0.25">
      <c r="A6" s="42" t="s">
        <v>8</v>
      </c>
      <c r="B6" s="45">
        <f>Monitor!G19</f>
        <v>2000</v>
      </c>
    </row>
    <row r="7" spans="1:4" x14ac:dyDescent="0.25">
      <c r="A7" s="42" t="s">
        <v>14</v>
      </c>
      <c r="B7" s="46">
        <f>Monitor!M19</f>
        <v>-32.959999999999923</v>
      </c>
    </row>
    <row r="8" spans="1:4" x14ac:dyDescent="0.25">
      <c r="A8" s="42" t="s">
        <v>15</v>
      </c>
      <c r="B8" s="47">
        <f>Monitor!N19</f>
        <v>-1.647999999999996E-2</v>
      </c>
    </row>
    <row r="9" spans="1:4" x14ac:dyDescent="0.25">
      <c r="A9" s="42" t="s">
        <v>669</v>
      </c>
      <c r="B9" s="46">
        <f>Monitor!O19</f>
        <v>-4.3799999999998818</v>
      </c>
    </row>
    <row r="10" spans="1:4" x14ac:dyDescent="0.25">
      <c r="A10" s="42" t="s">
        <v>20</v>
      </c>
      <c r="B10" s="48">
        <f>Monitor!S19</f>
        <v>46064</v>
      </c>
    </row>
    <row r="11" spans="1:4" x14ac:dyDescent="0.25">
      <c r="A11" s="42" t="s">
        <v>670</v>
      </c>
      <c r="B11" s="49">
        <f>Monitor!W19</f>
        <v>106.13757406501006</v>
      </c>
    </row>
    <row r="12" spans="1:4" x14ac:dyDescent="0.25">
      <c r="A12" s="42" t="s">
        <v>671</v>
      </c>
      <c r="B12" s="50" t="str">
        <f>Monitor!F19</f>
        <v>Ba2/NR/BB-</v>
      </c>
    </row>
    <row r="13" spans="1:4" x14ac:dyDescent="0.25">
      <c r="A13" s="42" t="s">
        <v>4</v>
      </c>
      <c r="B13" s="50" t="str">
        <f>Monitor!C19</f>
        <v>Amazon</v>
      </c>
    </row>
    <row r="15" spans="1:4" x14ac:dyDescent="0.25">
      <c r="A15" s="4" t="s">
        <v>672</v>
      </c>
      <c r="B15" s="5"/>
      <c r="C15" s="5"/>
      <c r="D15" s="5"/>
    </row>
    <row r="16" spans="1:4" ht="69" customHeight="1" x14ac:dyDescent="0.25">
      <c r="A16" s="51" t="s">
        <v>192</v>
      </c>
      <c r="B16" s="52" t="s">
        <v>218</v>
      </c>
    </row>
    <row r="18" spans="1:4" x14ac:dyDescent="0.25">
      <c r="A18" s="4" t="s">
        <v>673</v>
      </c>
      <c r="B18" s="5"/>
      <c r="C18" s="4" t="s">
        <v>674</v>
      </c>
      <c r="D18" s="4" t="s">
        <v>675</v>
      </c>
    </row>
    <row r="19" spans="1:4" ht="29.45" customHeight="1" x14ac:dyDescent="0.25">
      <c r="A19" s="53" t="s">
        <v>676</v>
      </c>
      <c r="B19" s="54" t="s">
        <v>2582</v>
      </c>
      <c r="C19" s="55" t="s">
        <v>2482</v>
      </c>
      <c r="D19" s="56" t="s">
        <v>679</v>
      </c>
    </row>
    <row r="20" spans="1:4" ht="16.149999999999999" customHeight="1" x14ac:dyDescent="0.25">
      <c r="A20" s="53" t="s">
        <v>2384</v>
      </c>
      <c r="B20" s="54" t="s">
        <v>2583</v>
      </c>
      <c r="C20" s="55" t="s">
        <v>678</v>
      </c>
      <c r="D20" s="56" t="s">
        <v>679</v>
      </c>
    </row>
    <row r="21" spans="1:4" ht="16.149999999999999" customHeight="1" x14ac:dyDescent="0.25">
      <c r="A21" s="53" t="s">
        <v>1622</v>
      </c>
      <c r="B21" s="54" t="s">
        <v>2584</v>
      </c>
      <c r="C21" s="55" t="s">
        <v>678</v>
      </c>
      <c r="D21" s="56" t="s">
        <v>679</v>
      </c>
    </row>
    <row r="22" spans="1:4" ht="16.149999999999999" customHeight="1" x14ac:dyDescent="0.25">
      <c r="A22" s="53" t="s">
        <v>2585</v>
      </c>
      <c r="B22" s="54" t="s">
        <v>2586</v>
      </c>
      <c r="C22" s="55" t="s">
        <v>2587</v>
      </c>
      <c r="D22" s="56" t="s">
        <v>679</v>
      </c>
    </row>
    <row r="23" spans="1:4" ht="16.149999999999999" customHeight="1" x14ac:dyDescent="0.25">
      <c r="A23" s="53" t="s">
        <v>691</v>
      </c>
      <c r="B23" s="54" t="s">
        <v>2588</v>
      </c>
      <c r="C23" s="55" t="s">
        <v>2589</v>
      </c>
      <c r="D23" s="56" t="s">
        <v>679</v>
      </c>
    </row>
    <row r="24" spans="1:4" ht="16.149999999999999" customHeight="1" x14ac:dyDescent="0.25">
      <c r="A24" s="53" t="s">
        <v>682</v>
      </c>
      <c r="B24" s="54" t="s">
        <v>2590</v>
      </c>
      <c r="C24" s="55" t="s">
        <v>776</v>
      </c>
      <c r="D24" s="56" t="s">
        <v>679</v>
      </c>
    </row>
    <row r="25" spans="1:4" ht="29.45" customHeight="1" x14ac:dyDescent="0.25">
      <c r="A25" s="53" t="s">
        <v>1417</v>
      </c>
      <c r="B25" s="54" t="s">
        <v>2591</v>
      </c>
      <c r="C25" s="55" t="s">
        <v>877</v>
      </c>
      <c r="D25" s="56" t="s">
        <v>679</v>
      </c>
    </row>
    <row r="26" spans="1:4" ht="29.45" customHeight="1" x14ac:dyDescent="0.25">
      <c r="A26" s="53" t="s">
        <v>705</v>
      </c>
      <c r="B26" s="54" t="s">
        <v>2592</v>
      </c>
      <c r="C26" s="55" t="s">
        <v>684</v>
      </c>
      <c r="D26" s="56" t="s">
        <v>679</v>
      </c>
    </row>
    <row r="27" spans="1:4" ht="29.45" customHeight="1" x14ac:dyDescent="0.25">
      <c r="A27" s="53" t="s">
        <v>711</v>
      </c>
      <c r="B27" s="54" t="s">
        <v>2593</v>
      </c>
      <c r="C27" s="55" t="s">
        <v>678</v>
      </c>
      <c r="D27" s="56" t="s">
        <v>679</v>
      </c>
    </row>
    <row r="28" spans="1:4" ht="16.149999999999999" customHeight="1" x14ac:dyDescent="0.25">
      <c r="A28" s="53" t="s">
        <v>709</v>
      </c>
      <c r="B28" s="54" t="s">
        <v>2594</v>
      </c>
      <c r="C28" s="55" t="s">
        <v>678</v>
      </c>
      <c r="D28" s="56" t="s">
        <v>679</v>
      </c>
    </row>
    <row r="29" spans="1:4" ht="16.149999999999999" customHeight="1" x14ac:dyDescent="0.25">
      <c r="A29" s="53" t="s">
        <v>2595</v>
      </c>
      <c r="B29" s="54" t="s">
        <v>2596</v>
      </c>
      <c r="C29" s="55" t="s">
        <v>684</v>
      </c>
      <c r="D29" s="56" t="s">
        <v>679</v>
      </c>
    </row>
    <row r="30" spans="1:4" ht="16.149999999999999" customHeight="1" x14ac:dyDescent="0.25">
      <c r="A30" s="53" t="s">
        <v>695</v>
      </c>
      <c r="B30" s="54" t="s">
        <v>2597</v>
      </c>
      <c r="C30" s="55" t="s">
        <v>684</v>
      </c>
      <c r="D30" s="58" t="s">
        <v>698</v>
      </c>
    </row>
    <row r="32" spans="1:4" x14ac:dyDescent="0.25">
      <c r="A32" s="4" t="s">
        <v>717</v>
      </c>
      <c r="B32" s="5"/>
      <c r="C32" s="4" t="s">
        <v>674</v>
      </c>
      <c r="D32" s="4" t="s">
        <v>675</v>
      </c>
    </row>
    <row r="33" spans="1:4" ht="42.6" customHeight="1" x14ac:dyDescent="0.25">
      <c r="A33" s="53" t="s">
        <v>2405</v>
      </c>
      <c r="B33" s="54" t="s">
        <v>2598</v>
      </c>
      <c r="C33" s="55" t="s">
        <v>2407</v>
      </c>
      <c r="D33" s="56" t="s">
        <v>679</v>
      </c>
    </row>
    <row r="34" spans="1:4" ht="29.45" customHeight="1" x14ac:dyDescent="0.25">
      <c r="A34" s="53" t="s">
        <v>2409</v>
      </c>
      <c r="B34" s="54" t="s">
        <v>2599</v>
      </c>
      <c r="C34" s="55" t="s">
        <v>2407</v>
      </c>
      <c r="D34" s="56" t="s">
        <v>679</v>
      </c>
    </row>
    <row r="35" spans="1:4" ht="29.45" customHeight="1" x14ac:dyDescent="0.25">
      <c r="A35" s="53" t="s">
        <v>722</v>
      </c>
      <c r="B35" s="54" t="s">
        <v>2600</v>
      </c>
      <c r="C35" s="55" t="s">
        <v>2482</v>
      </c>
      <c r="D35" s="56" t="s">
        <v>679</v>
      </c>
    </row>
    <row r="36" spans="1:4" ht="16.149999999999999" customHeight="1" x14ac:dyDescent="0.25">
      <c r="A36" s="53" t="s">
        <v>2601</v>
      </c>
      <c r="B36" s="54" t="s">
        <v>2602</v>
      </c>
      <c r="C36" s="55" t="s">
        <v>678</v>
      </c>
      <c r="D36" s="56" t="s">
        <v>679</v>
      </c>
    </row>
    <row r="38" spans="1:4" x14ac:dyDescent="0.25">
      <c r="A38" s="4" t="s">
        <v>728</v>
      </c>
      <c r="B38" s="5"/>
      <c r="C38" s="4" t="s">
        <v>674</v>
      </c>
      <c r="D38" s="4" t="s">
        <v>675</v>
      </c>
    </row>
    <row r="39" spans="1:4" ht="42.6" customHeight="1" x14ac:dyDescent="0.25">
      <c r="A39" s="53" t="s">
        <v>246</v>
      </c>
      <c r="B39" s="54" t="s">
        <v>2412</v>
      </c>
      <c r="C39" s="55" t="s">
        <v>776</v>
      </c>
      <c r="D39" s="56" t="s">
        <v>679</v>
      </c>
    </row>
    <row r="40" spans="1:4" ht="42.6" customHeight="1" x14ac:dyDescent="0.25">
      <c r="A40" s="53" t="s">
        <v>2413</v>
      </c>
      <c r="B40" s="54" t="s">
        <v>2414</v>
      </c>
      <c r="C40" s="55" t="s">
        <v>731</v>
      </c>
      <c r="D40" s="56" t="s">
        <v>679</v>
      </c>
    </row>
    <row r="41" spans="1:4" ht="55.9" customHeight="1" x14ac:dyDescent="0.25">
      <c r="A41" s="53" t="s">
        <v>1053</v>
      </c>
      <c r="B41" s="54" t="s">
        <v>2415</v>
      </c>
      <c r="C41" s="55" t="s">
        <v>841</v>
      </c>
      <c r="D41" s="56" t="s">
        <v>679</v>
      </c>
    </row>
    <row r="42" spans="1:4" ht="55.9" customHeight="1" x14ac:dyDescent="0.25">
      <c r="A42" s="53" t="s">
        <v>2416</v>
      </c>
      <c r="B42" s="54" t="s">
        <v>2417</v>
      </c>
      <c r="C42" s="55" t="s">
        <v>747</v>
      </c>
      <c r="D42" s="56" t="s">
        <v>679</v>
      </c>
    </row>
    <row r="44" spans="1:4" x14ac:dyDescent="0.25">
      <c r="A44" s="4" t="s">
        <v>740</v>
      </c>
      <c r="B44" s="5"/>
      <c r="C44" s="4" t="s">
        <v>674</v>
      </c>
      <c r="D44" s="4" t="s">
        <v>675</v>
      </c>
    </row>
    <row r="45" spans="1:4" ht="42.6" customHeight="1" x14ac:dyDescent="0.25">
      <c r="A45" s="53" t="s">
        <v>2603</v>
      </c>
      <c r="B45" s="54" t="s">
        <v>2604</v>
      </c>
      <c r="C45" s="55" t="s">
        <v>2605</v>
      </c>
      <c r="D45" s="56" t="s">
        <v>679</v>
      </c>
    </row>
    <row r="46" spans="1:4" ht="29.45" customHeight="1" x14ac:dyDescent="0.25">
      <c r="A46" s="53" t="s">
        <v>741</v>
      </c>
      <c r="B46" s="54" t="s">
        <v>2606</v>
      </c>
      <c r="C46" s="55" t="s">
        <v>2607</v>
      </c>
      <c r="D46" s="56" t="s">
        <v>679</v>
      </c>
    </row>
    <row r="47" spans="1:4" ht="29.45" customHeight="1" x14ac:dyDescent="0.25">
      <c r="A47" s="53" t="s">
        <v>2608</v>
      </c>
      <c r="B47" s="54" t="s">
        <v>2609</v>
      </c>
      <c r="C47" s="55" t="s">
        <v>2491</v>
      </c>
      <c r="D47" s="56" t="s">
        <v>679</v>
      </c>
    </row>
    <row r="48" spans="1:4" ht="16.149999999999999" customHeight="1" x14ac:dyDescent="0.25">
      <c r="A48" s="53" t="s">
        <v>986</v>
      </c>
      <c r="B48" s="54" t="s">
        <v>2610</v>
      </c>
      <c r="C48" s="55" t="s">
        <v>753</v>
      </c>
      <c r="D48" s="56" t="s">
        <v>679</v>
      </c>
    </row>
    <row r="49" spans="1:4" ht="29.45" customHeight="1" x14ac:dyDescent="0.25">
      <c r="A49" s="53" t="s">
        <v>2152</v>
      </c>
      <c r="B49" s="54" t="s">
        <v>2611</v>
      </c>
      <c r="C49" s="55" t="s">
        <v>2612</v>
      </c>
      <c r="D49" s="60" t="s">
        <v>803</v>
      </c>
    </row>
    <row r="50" spans="1:4" ht="42.6" customHeight="1" x14ac:dyDescent="0.25">
      <c r="A50" s="53" t="s">
        <v>1309</v>
      </c>
      <c r="B50" s="54" t="s">
        <v>2613</v>
      </c>
      <c r="C50" s="55" t="s">
        <v>2614</v>
      </c>
      <c r="D50" s="57" t="s">
        <v>690</v>
      </c>
    </row>
    <row r="51" spans="1:4" ht="42.6" customHeight="1" x14ac:dyDescent="0.25">
      <c r="A51" s="53" t="s">
        <v>2615</v>
      </c>
      <c r="B51" s="54" t="s">
        <v>2616</v>
      </c>
      <c r="C51" s="55" t="s">
        <v>753</v>
      </c>
      <c r="D51" s="57" t="s">
        <v>690</v>
      </c>
    </row>
    <row r="52" spans="1:4" ht="55.9" customHeight="1" x14ac:dyDescent="0.25">
      <c r="A52" s="53" t="s">
        <v>2617</v>
      </c>
      <c r="B52" s="54" t="s">
        <v>2618</v>
      </c>
      <c r="C52" s="55" t="s">
        <v>753</v>
      </c>
      <c r="D52" s="57" t="s">
        <v>690</v>
      </c>
    </row>
    <row r="53" spans="1:4" ht="16.149999999999999" customHeight="1" x14ac:dyDescent="0.25">
      <c r="A53" s="53" t="s">
        <v>2619</v>
      </c>
      <c r="B53" s="54" t="s">
        <v>2620</v>
      </c>
      <c r="C53" s="55" t="s">
        <v>753</v>
      </c>
      <c r="D53" s="57" t="s">
        <v>690</v>
      </c>
    </row>
    <row r="55" spans="1:4" x14ac:dyDescent="0.25">
      <c r="A55" s="4" t="s">
        <v>762</v>
      </c>
      <c r="B55" s="5"/>
      <c r="C55" s="4" t="s">
        <v>674</v>
      </c>
      <c r="D55" s="4" t="s">
        <v>675</v>
      </c>
    </row>
    <row r="56" spans="1:4" ht="16.149999999999999" customHeight="1" x14ac:dyDescent="0.25">
      <c r="A56" s="53" t="s">
        <v>984</v>
      </c>
      <c r="B56" s="54" t="s">
        <v>2621</v>
      </c>
      <c r="C56" s="55" t="s">
        <v>2605</v>
      </c>
      <c r="D56" s="56" t="s">
        <v>679</v>
      </c>
    </row>
    <row r="57" spans="1:4" ht="42.6" customHeight="1" x14ac:dyDescent="0.25">
      <c r="A57" s="53" t="s">
        <v>2622</v>
      </c>
      <c r="B57" s="54" t="s">
        <v>2623</v>
      </c>
      <c r="C57" s="55" t="s">
        <v>2624</v>
      </c>
      <c r="D57" s="56" t="s">
        <v>679</v>
      </c>
    </row>
    <row r="58" spans="1:4" ht="16.149999999999999" customHeight="1" x14ac:dyDescent="0.25">
      <c r="A58" s="53" t="s">
        <v>988</v>
      </c>
      <c r="B58" s="54" t="s">
        <v>2625</v>
      </c>
      <c r="C58" s="55" t="s">
        <v>753</v>
      </c>
      <c r="D58" s="60" t="s">
        <v>803</v>
      </c>
    </row>
    <row r="59" spans="1:4" ht="16.149999999999999" customHeight="1" x14ac:dyDescent="0.25">
      <c r="A59" s="53" t="s">
        <v>1166</v>
      </c>
      <c r="B59" s="54" t="s">
        <v>2626</v>
      </c>
      <c r="C59" s="55" t="s">
        <v>2587</v>
      </c>
      <c r="D59" s="56" t="s">
        <v>679</v>
      </c>
    </row>
    <row r="61" spans="1:4" x14ac:dyDescent="0.25">
      <c r="A61" s="4" t="s">
        <v>773</v>
      </c>
      <c r="B61" s="5"/>
      <c r="C61" s="4" t="s">
        <v>674</v>
      </c>
      <c r="D61" s="4" t="s">
        <v>675</v>
      </c>
    </row>
    <row r="62" spans="1:4" ht="29.45" customHeight="1" x14ac:dyDescent="0.25">
      <c r="A62" s="53" t="s">
        <v>1961</v>
      </c>
      <c r="B62" s="54" t="s">
        <v>2627</v>
      </c>
      <c r="C62" s="55" t="s">
        <v>753</v>
      </c>
      <c r="D62" s="57" t="s">
        <v>690</v>
      </c>
    </row>
    <row r="63" spans="1:4" ht="29.45" customHeight="1" x14ac:dyDescent="0.25">
      <c r="A63" s="53" t="s">
        <v>2512</v>
      </c>
      <c r="B63" s="54" t="s">
        <v>2628</v>
      </c>
      <c r="C63" s="55" t="s">
        <v>734</v>
      </c>
      <c r="D63" s="59" t="s">
        <v>748</v>
      </c>
    </row>
    <row r="64" spans="1:4" ht="16.149999999999999" customHeight="1" x14ac:dyDescent="0.25">
      <c r="A64" s="53" t="s">
        <v>2629</v>
      </c>
      <c r="B64" s="54" t="s">
        <v>2630</v>
      </c>
      <c r="C64" s="55" t="s">
        <v>962</v>
      </c>
      <c r="D64" s="57" t="s">
        <v>690</v>
      </c>
    </row>
    <row r="66" spans="1:4" x14ac:dyDescent="0.25">
      <c r="A66" s="4" t="s">
        <v>781</v>
      </c>
      <c r="B66" s="5"/>
      <c r="C66" s="4" t="s">
        <v>674</v>
      </c>
      <c r="D66" s="4" t="s">
        <v>675</v>
      </c>
    </row>
    <row r="67" spans="1:4" ht="16.149999999999999" customHeight="1" x14ac:dyDescent="0.25">
      <c r="A67" s="53" t="s">
        <v>998</v>
      </c>
      <c r="B67" s="54" t="s">
        <v>2631</v>
      </c>
      <c r="C67" s="55" t="s">
        <v>753</v>
      </c>
      <c r="D67" s="57" t="s">
        <v>690</v>
      </c>
    </row>
    <row r="68" spans="1:4" ht="42.6" customHeight="1" x14ac:dyDescent="0.25">
      <c r="A68" s="53" t="s">
        <v>2632</v>
      </c>
      <c r="B68" s="54" t="s">
        <v>2633</v>
      </c>
      <c r="C68" s="55" t="s">
        <v>2634</v>
      </c>
      <c r="D68" s="57" t="s">
        <v>690</v>
      </c>
    </row>
    <row r="69" spans="1:4" ht="16.149999999999999" customHeight="1" x14ac:dyDescent="0.25">
      <c r="A69" s="53" t="s">
        <v>1003</v>
      </c>
      <c r="B69" s="54" t="s">
        <v>2635</v>
      </c>
      <c r="C69" s="55" t="s">
        <v>2407</v>
      </c>
      <c r="D69" s="56" t="s">
        <v>679</v>
      </c>
    </row>
    <row r="71" spans="1:4" x14ac:dyDescent="0.25">
      <c r="A71" s="4" t="s">
        <v>792</v>
      </c>
      <c r="B71" s="5"/>
      <c r="C71" s="4" t="s">
        <v>674</v>
      </c>
      <c r="D71" s="4" t="s">
        <v>675</v>
      </c>
    </row>
    <row r="72" spans="1:4" ht="16.149999999999999" customHeight="1" x14ac:dyDescent="0.25">
      <c r="A72" s="53" t="s">
        <v>793</v>
      </c>
      <c r="B72" s="54" t="s">
        <v>2636</v>
      </c>
      <c r="C72" s="55" t="s">
        <v>776</v>
      </c>
      <c r="D72" s="56" t="s">
        <v>679</v>
      </c>
    </row>
    <row r="73" spans="1:4" ht="29.45" customHeight="1" x14ac:dyDescent="0.25">
      <c r="A73" s="53" t="s">
        <v>799</v>
      </c>
      <c r="B73" s="54" t="s">
        <v>2637</v>
      </c>
      <c r="C73" s="55" t="s">
        <v>684</v>
      </c>
      <c r="D73" s="56" t="s">
        <v>679</v>
      </c>
    </row>
    <row r="74" spans="1:4" ht="42.6" customHeight="1" x14ac:dyDescent="0.25">
      <c r="A74" s="53" t="s">
        <v>2462</v>
      </c>
      <c r="B74" s="54" t="s">
        <v>2638</v>
      </c>
      <c r="C74" s="55" t="s">
        <v>2639</v>
      </c>
      <c r="D74" s="60" t="s">
        <v>803</v>
      </c>
    </row>
    <row r="75" spans="1:4" ht="16.149999999999999" customHeight="1" x14ac:dyDescent="0.25">
      <c r="A75" s="53" t="s">
        <v>1337</v>
      </c>
      <c r="B75" s="54" t="s">
        <v>2640</v>
      </c>
      <c r="C75" s="55" t="s">
        <v>753</v>
      </c>
      <c r="D75" s="58" t="s">
        <v>698</v>
      </c>
    </row>
    <row r="76" spans="1:4" ht="16.149999999999999" customHeight="1" x14ac:dyDescent="0.25">
      <c r="A76" s="53" t="s">
        <v>801</v>
      </c>
      <c r="B76" s="54" t="s">
        <v>2641</v>
      </c>
      <c r="C76" s="55" t="s">
        <v>2642</v>
      </c>
      <c r="D76" s="60" t="s">
        <v>803</v>
      </c>
    </row>
    <row r="78" spans="1:4" x14ac:dyDescent="0.25">
      <c r="A78" s="4" t="s">
        <v>804</v>
      </c>
      <c r="B78" s="5"/>
      <c r="C78" s="4" t="s">
        <v>674</v>
      </c>
      <c r="D78" s="4" t="s">
        <v>675</v>
      </c>
    </row>
    <row r="79" spans="1:4" ht="16.149999999999999" customHeight="1" x14ac:dyDescent="0.25">
      <c r="A79" s="53" t="s">
        <v>2643</v>
      </c>
      <c r="B79" s="54" t="s">
        <v>2644</v>
      </c>
      <c r="C79" s="55" t="s">
        <v>2605</v>
      </c>
      <c r="D79" s="56" t="s">
        <v>679</v>
      </c>
    </row>
    <row r="80" spans="1:4" ht="16.149999999999999" customHeight="1" x14ac:dyDescent="0.25">
      <c r="A80" s="53" t="s">
        <v>1988</v>
      </c>
      <c r="B80" s="54" t="s">
        <v>2645</v>
      </c>
      <c r="C80" s="55" t="s">
        <v>678</v>
      </c>
      <c r="D80" s="56" t="s">
        <v>679</v>
      </c>
    </row>
    <row r="81" spans="1:4" ht="29.45" customHeight="1" x14ac:dyDescent="0.25">
      <c r="A81" s="53" t="s">
        <v>2646</v>
      </c>
      <c r="B81" s="54" t="s">
        <v>2647</v>
      </c>
      <c r="C81" s="55" t="s">
        <v>684</v>
      </c>
      <c r="D81" s="56" t="s">
        <v>679</v>
      </c>
    </row>
    <row r="82" spans="1:4" ht="16.149999999999999" customHeight="1" x14ac:dyDescent="0.25">
      <c r="A82" s="53" t="s">
        <v>2648</v>
      </c>
      <c r="B82" s="54" t="s">
        <v>2649</v>
      </c>
      <c r="C82" s="55" t="s">
        <v>753</v>
      </c>
      <c r="D82" s="56" t="s">
        <v>679</v>
      </c>
    </row>
    <row r="84" spans="1:4" x14ac:dyDescent="0.25">
      <c r="A84" s="4" t="s">
        <v>813</v>
      </c>
      <c r="B84" s="5"/>
      <c r="C84" s="4" t="s">
        <v>674</v>
      </c>
      <c r="D84" s="4" t="s">
        <v>675</v>
      </c>
    </row>
    <row r="85" spans="1:4" ht="29.45" customHeight="1" x14ac:dyDescent="0.25">
      <c r="A85" s="53" t="s">
        <v>2650</v>
      </c>
      <c r="B85" s="54" t="s">
        <v>2651</v>
      </c>
      <c r="C85" s="55" t="s">
        <v>684</v>
      </c>
      <c r="D85" s="56" t="s">
        <v>679</v>
      </c>
    </row>
    <row r="86" spans="1:4" ht="29.45" customHeight="1" x14ac:dyDescent="0.25">
      <c r="A86" s="53" t="s">
        <v>2652</v>
      </c>
      <c r="B86" s="54" t="s">
        <v>2653</v>
      </c>
      <c r="C86" s="55" t="s">
        <v>684</v>
      </c>
      <c r="D86" s="56" t="s">
        <v>679</v>
      </c>
    </row>
    <row r="87" spans="1:4" ht="29.45" customHeight="1" x14ac:dyDescent="0.25">
      <c r="A87" s="53" t="s">
        <v>2654</v>
      </c>
      <c r="B87" s="54" t="s">
        <v>2655</v>
      </c>
      <c r="C87" s="55" t="s">
        <v>2482</v>
      </c>
      <c r="D87" s="56" t="s">
        <v>679</v>
      </c>
    </row>
    <row r="88" spans="1:4" ht="16.149999999999999" customHeight="1" x14ac:dyDescent="0.25">
      <c r="A88" s="53" t="s">
        <v>820</v>
      </c>
      <c r="B88" s="54" t="s">
        <v>2656</v>
      </c>
      <c r="C88" s="55" t="s">
        <v>684</v>
      </c>
      <c r="D88" s="56" t="s">
        <v>679</v>
      </c>
    </row>
    <row r="89" spans="1:4" ht="29.45" customHeight="1" x14ac:dyDescent="0.25">
      <c r="A89" s="53" t="s">
        <v>2657</v>
      </c>
      <c r="B89" s="54" t="s">
        <v>2658</v>
      </c>
      <c r="C89" s="55" t="s">
        <v>841</v>
      </c>
      <c r="D89" s="56" t="s">
        <v>679</v>
      </c>
    </row>
    <row r="91" spans="1:4" x14ac:dyDescent="0.25">
      <c r="A91" s="4" t="s">
        <v>826</v>
      </c>
      <c r="B91" s="5"/>
      <c r="C91" s="4" t="s">
        <v>674</v>
      </c>
      <c r="D91" s="4" t="s">
        <v>675</v>
      </c>
    </row>
    <row r="92" spans="1:4" ht="29.45" customHeight="1" x14ac:dyDescent="0.25">
      <c r="A92" s="53" t="s">
        <v>1202</v>
      </c>
      <c r="B92" s="54" t="s">
        <v>2659</v>
      </c>
      <c r="C92" s="55" t="s">
        <v>731</v>
      </c>
      <c r="D92" s="57" t="s">
        <v>690</v>
      </c>
    </row>
    <row r="94" spans="1:4" x14ac:dyDescent="0.25">
      <c r="A94" s="4" t="s">
        <v>833</v>
      </c>
      <c r="B94" s="5"/>
      <c r="C94" s="4" t="s">
        <v>674</v>
      </c>
      <c r="D94" s="4" t="s">
        <v>675</v>
      </c>
    </row>
    <row r="95" spans="1:4" ht="29.45" customHeight="1" x14ac:dyDescent="0.25">
      <c r="A95" s="53" t="s">
        <v>834</v>
      </c>
      <c r="B95" s="54" t="s">
        <v>2660</v>
      </c>
      <c r="C95" s="55" t="s">
        <v>678</v>
      </c>
      <c r="D95" s="56" t="s">
        <v>679</v>
      </c>
    </row>
    <row r="97" spans="1:4" x14ac:dyDescent="0.25">
      <c r="A97" s="4" t="s">
        <v>836</v>
      </c>
      <c r="B97" s="5"/>
      <c r="C97" s="4" t="s">
        <v>674</v>
      </c>
      <c r="D97" s="4" t="s">
        <v>675</v>
      </c>
    </row>
    <row r="98" spans="1:4" ht="29.45" customHeight="1" x14ac:dyDescent="0.25">
      <c r="A98" s="53" t="s">
        <v>2661</v>
      </c>
      <c r="B98" s="54" t="s">
        <v>2662</v>
      </c>
      <c r="C98" s="55" t="s">
        <v>2642</v>
      </c>
      <c r="D98" s="56" t="s">
        <v>679</v>
      </c>
    </row>
    <row r="99" spans="1:4" ht="29.45" customHeight="1" x14ac:dyDescent="0.25">
      <c r="A99" s="53" t="s">
        <v>2663</v>
      </c>
      <c r="B99" s="54" t="s">
        <v>2664</v>
      </c>
      <c r="C99" s="55" t="s">
        <v>684</v>
      </c>
      <c r="D99" s="56" t="s">
        <v>679</v>
      </c>
    </row>
    <row r="100" spans="1:4" ht="16.149999999999999" customHeight="1" x14ac:dyDescent="0.25">
      <c r="A100" s="53" t="s">
        <v>2665</v>
      </c>
      <c r="B100" s="54" t="s">
        <v>2666</v>
      </c>
      <c r="C100" s="55" t="s">
        <v>684</v>
      </c>
      <c r="D100" s="56" t="s">
        <v>679</v>
      </c>
    </row>
    <row r="101" spans="1:4" ht="16.149999999999999" customHeight="1" x14ac:dyDescent="0.25">
      <c r="A101" s="53" t="s">
        <v>2331</v>
      </c>
      <c r="B101" s="54" t="s">
        <v>2667</v>
      </c>
      <c r="C101" s="55" t="s">
        <v>2668</v>
      </c>
      <c r="D101" s="60" t="s">
        <v>803</v>
      </c>
    </row>
    <row r="102" spans="1:4" ht="29.45" customHeight="1" x14ac:dyDescent="0.25">
      <c r="A102" s="53" t="s">
        <v>2669</v>
      </c>
      <c r="B102" s="54" t="s">
        <v>2670</v>
      </c>
      <c r="C102" s="55" t="s">
        <v>2671</v>
      </c>
      <c r="D102" s="59" t="s">
        <v>748</v>
      </c>
    </row>
    <row r="103" spans="1:4" ht="16.149999999999999" customHeight="1" x14ac:dyDescent="0.25">
      <c r="A103" s="53" t="s">
        <v>2672</v>
      </c>
      <c r="B103" s="54" t="s">
        <v>2673</v>
      </c>
      <c r="C103" s="55" t="s">
        <v>753</v>
      </c>
      <c r="D103" s="56" t="s">
        <v>679</v>
      </c>
    </row>
    <row r="105" spans="1:4" x14ac:dyDescent="0.25">
      <c r="A105" s="4" t="s">
        <v>855</v>
      </c>
      <c r="B105" s="5"/>
      <c r="C105" s="4" t="s">
        <v>674</v>
      </c>
      <c r="D105" s="4" t="s">
        <v>675</v>
      </c>
    </row>
    <row r="106" spans="1:4" ht="16.149999999999999" customHeight="1" x14ac:dyDescent="0.25">
      <c r="A106" s="53" t="s">
        <v>2674</v>
      </c>
      <c r="B106" s="54" t="s">
        <v>2675</v>
      </c>
      <c r="C106" s="55" t="s">
        <v>841</v>
      </c>
      <c r="D106" s="56" t="s">
        <v>679</v>
      </c>
    </row>
    <row r="107" spans="1:4" ht="16.149999999999999" customHeight="1" x14ac:dyDescent="0.25">
      <c r="A107" s="53" t="s">
        <v>2676</v>
      </c>
      <c r="B107" s="54" t="s">
        <v>2677</v>
      </c>
      <c r="C107" s="55" t="s">
        <v>737</v>
      </c>
      <c r="D107" s="56" t="s">
        <v>679</v>
      </c>
    </row>
    <row r="108" spans="1:4" ht="29.45" customHeight="1" x14ac:dyDescent="0.25">
      <c r="A108" s="53" t="s">
        <v>2678</v>
      </c>
      <c r="B108" s="54" t="s">
        <v>2679</v>
      </c>
      <c r="C108" s="55" t="s">
        <v>2680</v>
      </c>
      <c r="D108" s="56" t="s">
        <v>679</v>
      </c>
    </row>
    <row r="110" spans="1:4" x14ac:dyDescent="0.25">
      <c r="A110" s="4" t="s">
        <v>868</v>
      </c>
      <c r="B110" s="5"/>
      <c r="C110" s="4" t="s">
        <v>674</v>
      </c>
      <c r="D110" s="5"/>
    </row>
    <row r="111" spans="1:4" ht="16.149999999999999" customHeight="1" x14ac:dyDescent="0.25">
      <c r="A111" s="61" t="s">
        <v>2681</v>
      </c>
      <c r="B111" s="54" t="s">
        <v>2682</v>
      </c>
      <c r="C111" s="55" t="s">
        <v>684</v>
      </c>
      <c r="D111" s="62"/>
    </row>
    <row r="112" spans="1:4" ht="16.149999999999999" customHeight="1" x14ac:dyDescent="0.25">
      <c r="A112" s="61" t="s">
        <v>2683</v>
      </c>
      <c r="B112" s="54" t="s">
        <v>2684</v>
      </c>
      <c r="C112" s="55" t="s">
        <v>689</v>
      </c>
      <c r="D112" s="62"/>
    </row>
    <row r="113" spans="1:4" ht="16.149999999999999" customHeight="1" x14ac:dyDescent="0.25">
      <c r="A113" s="61" t="s">
        <v>2685</v>
      </c>
      <c r="B113" s="54" t="s">
        <v>2686</v>
      </c>
      <c r="C113" s="55" t="s">
        <v>684</v>
      </c>
      <c r="D113" s="62"/>
    </row>
    <row r="114" spans="1:4" ht="16.149999999999999" customHeight="1" x14ac:dyDescent="0.25">
      <c r="A114" s="61" t="s">
        <v>2687</v>
      </c>
      <c r="B114" s="54" t="s">
        <v>2688</v>
      </c>
      <c r="C114" s="55" t="s">
        <v>753</v>
      </c>
      <c r="D114" s="62"/>
    </row>
    <row r="115" spans="1:4" ht="16.149999999999999" customHeight="1" x14ac:dyDescent="0.25">
      <c r="A115" s="61" t="s">
        <v>2689</v>
      </c>
      <c r="B115" s="54" t="s">
        <v>2690</v>
      </c>
      <c r="C115" s="55" t="s">
        <v>877</v>
      </c>
      <c r="D115" s="62"/>
    </row>
    <row r="116" spans="1:4" ht="16.149999999999999" customHeight="1" x14ac:dyDescent="0.25">
      <c r="A116" s="61" t="s">
        <v>2691</v>
      </c>
      <c r="B116" s="54" t="s">
        <v>2692</v>
      </c>
      <c r="C116" s="55" t="s">
        <v>678</v>
      </c>
      <c r="D116" s="62"/>
    </row>
    <row r="117" spans="1:4" ht="16.149999999999999" customHeight="1" x14ac:dyDescent="0.25">
      <c r="A117" s="61" t="s">
        <v>2520</v>
      </c>
      <c r="B117" s="54" t="s">
        <v>2693</v>
      </c>
      <c r="C117" s="55" t="s">
        <v>841</v>
      </c>
      <c r="D117" s="62"/>
    </row>
    <row r="118" spans="1:4" ht="16.149999999999999" customHeight="1" x14ac:dyDescent="0.25">
      <c r="A118" s="61" t="s">
        <v>886</v>
      </c>
      <c r="B118" s="54" t="s">
        <v>2694</v>
      </c>
      <c r="C118" s="55" t="s">
        <v>737</v>
      </c>
      <c r="D118" s="62"/>
    </row>
    <row r="119" spans="1:4" ht="16.149999999999999" customHeight="1" x14ac:dyDescent="0.25">
      <c r="A119" s="61" t="s">
        <v>2695</v>
      </c>
      <c r="B119" s="54" t="s">
        <v>2696</v>
      </c>
      <c r="C119" s="55" t="s">
        <v>678</v>
      </c>
      <c r="D119" s="62"/>
    </row>
    <row r="120" spans="1:4" ht="16.149999999999999" customHeight="1" x14ac:dyDescent="0.25">
      <c r="A120" s="61" t="s">
        <v>2697</v>
      </c>
      <c r="B120" s="54" t="s">
        <v>2698</v>
      </c>
      <c r="C120" s="55" t="s">
        <v>962</v>
      </c>
      <c r="D120" s="62"/>
    </row>
    <row r="121" spans="1:4" ht="16.149999999999999" customHeight="1" x14ac:dyDescent="0.25">
      <c r="A121" s="61" t="s">
        <v>2527</v>
      </c>
      <c r="B121" s="54" t="s">
        <v>2699</v>
      </c>
      <c r="C121" s="55" t="s">
        <v>2293</v>
      </c>
      <c r="D121" s="62"/>
    </row>
    <row r="122" spans="1:4" ht="16.149999999999999" customHeight="1" x14ac:dyDescent="0.25">
      <c r="A122" s="61" t="s">
        <v>2530</v>
      </c>
      <c r="B122" s="54" t="s">
        <v>2700</v>
      </c>
      <c r="C122" s="55" t="s">
        <v>747</v>
      </c>
      <c r="D122" s="62"/>
    </row>
    <row r="124" spans="1:4" x14ac:dyDescent="0.25">
      <c r="A124" s="4" t="s">
        <v>894</v>
      </c>
      <c r="B124" s="5"/>
      <c r="C124" s="5"/>
      <c r="D124" s="5"/>
    </row>
    <row r="125" spans="1:4" ht="29.45" customHeight="1" x14ac:dyDescent="0.25">
      <c r="A125" s="53" t="s">
        <v>2701</v>
      </c>
      <c r="B125" s="54" t="s">
        <v>2702</v>
      </c>
      <c r="C125" s="28" t="s">
        <v>897</v>
      </c>
      <c r="D125" s="62"/>
    </row>
    <row r="126" spans="1:4" ht="42.6" customHeight="1" x14ac:dyDescent="0.25">
      <c r="A126" s="53" t="s">
        <v>2703</v>
      </c>
      <c r="B126" s="54" t="s">
        <v>2704</v>
      </c>
      <c r="C126" s="28" t="s">
        <v>897</v>
      </c>
      <c r="D126" s="62"/>
    </row>
    <row r="127" spans="1:4" ht="29.45" customHeight="1" x14ac:dyDescent="0.25">
      <c r="A127" s="53" t="s">
        <v>2705</v>
      </c>
      <c r="B127" s="54" t="s">
        <v>2706</v>
      </c>
      <c r="C127" s="28" t="s">
        <v>897</v>
      </c>
      <c r="D127" s="62"/>
    </row>
    <row r="128" spans="1:4" ht="29.45" customHeight="1" x14ac:dyDescent="0.25">
      <c r="A128" s="53" t="s">
        <v>2707</v>
      </c>
      <c r="B128" s="54" t="s">
        <v>2708</v>
      </c>
      <c r="C128" s="28" t="s">
        <v>897</v>
      </c>
      <c r="D128" s="62"/>
    </row>
    <row r="129" spans="1:4" ht="29.45" customHeight="1" x14ac:dyDescent="0.25">
      <c r="A129" s="53" t="s">
        <v>2709</v>
      </c>
      <c r="B129" s="54" t="s">
        <v>2710</v>
      </c>
      <c r="C129" s="28" t="s">
        <v>897</v>
      </c>
      <c r="D129" s="62"/>
    </row>
    <row r="130" spans="1:4" ht="29.45" customHeight="1" x14ac:dyDescent="0.25">
      <c r="A130" s="53" t="s">
        <v>2711</v>
      </c>
      <c r="B130" s="54" t="s">
        <v>2712</v>
      </c>
      <c r="C130" s="28" t="s">
        <v>897</v>
      </c>
      <c r="D130" s="62"/>
    </row>
    <row r="131" spans="1:4" ht="29.45" customHeight="1" x14ac:dyDescent="0.25">
      <c r="A131" s="53" t="s">
        <v>2713</v>
      </c>
      <c r="B131" s="54" t="s">
        <v>2714</v>
      </c>
      <c r="C131" s="28" t="s">
        <v>897</v>
      </c>
      <c r="D131" s="62"/>
    </row>
    <row r="132" spans="1:4" ht="29.45" customHeight="1" x14ac:dyDescent="0.25">
      <c r="A132" s="53" t="s">
        <v>910</v>
      </c>
      <c r="B132" s="54" t="s">
        <v>2715</v>
      </c>
      <c r="C132" s="28" t="s">
        <v>897</v>
      </c>
      <c r="D132" s="62"/>
    </row>
    <row r="133" spans="1:4" ht="29.45" customHeight="1" x14ac:dyDescent="0.25">
      <c r="A133" s="53" t="s">
        <v>2716</v>
      </c>
      <c r="B133" s="54" t="s">
        <v>2717</v>
      </c>
      <c r="C133" s="28" t="s">
        <v>897</v>
      </c>
      <c r="D133" s="62"/>
    </row>
    <row r="134" spans="1:4" ht="29.45" customHeight="1" x14ac:dyDescent="0.25">
      <c r="A134" s="53" t="s">
        <v>2718</v>
      </c>
      <c r="B134" s="54" t="s">
        <v>2719</v>
      </c>
      <c r="C134" s="28" t="s">
        <v>897</v>
      </c>
      <c r="D134" s="62"/>
    </row>
    <row r="135" spans="1:4" ht="29.45" customHeight="1" x14ac:dyDescent="0.25">
      <c r="A135" s="53" t="s">
        <v>2720</v>
      </c>
      <c r="B135" s="54" t="s">
        <v>2721</v>
      </c>
      <c r="C135" s="28" t="s">
        <v>897</v>
      </c>
      <c r="D135" s="62"/>
    </row>
    <row r="136" spans="1:4" ht="29.45" customHeight="1" x14ac:dyDescent="0.25">
      <c r="A136" s="53" t="s">
        <v>2722</v>
      </c>
      <c r="B136" s="54" t="s">
        <v>2723</v>
      </c>
      <c r="C136" s="28" t="s">
        <v>897</v>
      </c>
      <c r="D136" s="62"/>
    </row>
    <row r="137" spans="1:4" ht="29.45" customHeight="1" x14ac:dyDescent="0.25">
      <c r="A137" s="53" t="s">
        <v>2724</v>
      </c>
      <c r="B137" s="54" t="s">
        <v>2725</v>
      </c>
      <c r="C137" s="28" t="s">
        <v>897</v>
      </c>
      <c r="D137" s="62"/>
    </row>
    <row r="139" spans="1:4" x14ac:dyDescent="0.25">
      <c r="A139" s="4" t="s">
        <v>926</v>
      </c>
      <c r="B139" s="5"/>
      <c r="C139" s="5"/>
      <c r="D139" s="5"/>
    </row>
    <row r="140" spans="1:4" ht="16.149999999999999" customHeight="1" x14ac:dyDescent="0.25">
      <c r="B140" s="52" t="s">
        <v>2726</v>
      </c>
    </row>
    <row r="141" spans="1:4" ht="16.149999999999999" customHeight="1" x14ac:dyDescent="0.25">
      <c r="B141" s="52" t="s">
        <v>2727</v>
      </c>
    </row>
    <row r="142" spans="1:4" ht="16.149999999999999" customHeight="1" x14ac:dyDescent="0.25">
      <c r="B142" s="52" t="s">
        <v>2728</v>
      </c>
    </row>
    <row r="143" spans="1:4" ht="29.45" customHeight="1" x14ac:dyDescent="0.25">
      <c r="B143" s="52" t="s">
        <v>2729</v>
      </c>
    </row>
    <row r="144" spans="1:4" ht="29.45" customHeight="1" x14ac:dyDescent="0.25">
      <c r="B144" s="52" t="s">
        <v>2730</v>
      </c>
    </row>
    <row r="145" spans="2:2" ht="16.149999999999999" customHeight="1" x14ac:dyDescent="0.25">
      <c r="B145" s="52" t="s">
        <v>2731</v>
      </c>
    </row>
    <row r="146" spans="2:2" ht="29.45" customHeight="1" x14ac:dyDescent="0.25">
      <c r="B146" s="52" t="s">
        <v>2732</v>
      </c>
    </row>
    <row r="147" spans="2:2" ht="29.45" customHeight="1" x14ac:dyDescent="0.25">
      <c r="B147" s="52" t="s">
        <v>2733</v>
      </c>
    </row>
    <row r="148" spans="2:2" ht="29.45" customHeight="1" x14ac:dyDescent="0.25">
      <c r="B148" s="52" t="s">
        <v>2734</v>
      </c>
    </row>
  </sheetData>
  <hyperlinks>
    <hyperlink ref="D1" location="'Monitor'!A19" display="&lt;&lt; Monitor" xr:uid="{00000000-0004-0000-1400-000000000000}"/>
    <hyperlink ref="C125" r:id="rId1" xr:uid="{00000000-0004-0000-1400-000001000000}"/>
    <hyperlink ref="C126" r:id="rId2" xr:uid="{00000000-0004-0000-1400-000002000000}"/>
    <hyperlink ref="C127" r:id="rId3" xr:uid="{00000000-0004-0000-1400-000003000000}"/>
    <hyperlink ref="C128" r:id="rId4" xr:uid="{00000000-0004-0000-1400-000004000000}"/>
    <hyperlink ref="C129" r:id="rId5" xr:uid="{00000000-0004-0000-1400-000005000000}"/>
    <hyperlink ref="C130" r:id="rId6" xr:uid="{00000000-0004-0000-1400-000006000000}"/>
    <hyperlink ref="C131" r:id="rId7" xr:uid="{00000000-0004-0000-1400-000007000000}"/>
    <hyperlink ref="C132" r:id="rId8" xr:uid="{00000000-0004-0000-1400-000008000000}"/>
    <hyperlink ref="C133" r:id="rId9" xr:uid="{00000000-0004-0000-1400-000009000000}"/>
    <hyperlink ref="C134" r:id="rId10" xr:uid="{00000000-0004-0000-1400-00000A000000}"/>
    <hyperlink ref="C135" r:id="rId11" xr:uid="{00000000-0004-0000-1400-00000B000000}"/>
    <hyperlink ref="C136" r:id="rId12" xr:uid="{00000000-0004-0000-1400-00000C000000}"/>
    <hyperlink ref="C137" r:id="rId13" xr:uid="{00000000-0004-0000-1400-00000D000000}"/>
  </hyperlink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5A11"/>
    <pageSetUpPr fitToPage="1"/>
  </sheetPr>
  <dimension ref="A1:D142"/>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219</v>
      </c>
      <c r="D1" s="41" t="s">
        <v>667</v>
      </c>
    </row>
    <row r="2" spans="1:4" x14ac:dyDescent="0.25">
      <c r="A2" s="2" t="s">
        <v>2735</v>
      </c>
    </row>
    <row r="4" spans="1:4" x14ac:dyDescent="0.25">
      <c r="A4" s="42" t="s">
        <v>9</v>
      </c>
      <c r="B4" s="43">
        <f>Monitor!H20</f>
        <v>95.265000000000001</v>
      </c>
    </row>
    <row r="5" spans="1:4" x14ac:dyDescent="0.25">
      <c r="A5" s="42" t="s">
        <v>11</v>
      </c>
      <c r="B5" s="44">
        <f>Monitor!J20</f>
        <v>7.217247171455174</v>
      </c>
    </row>
    <row r="6" spans="1:4" x14ac:dyDescent="0.25">
      <c r="A6" s="42" t="s">
        <v>8</v>
      </c>
      <c r="B6" s="45">
        <f>Monitor!G20</f>
        <v>810</v>
      </c>
    </row>
    <row r="7" spans="1:4" x14ac:dyDescent="0.25">
      <c r="A7" s="42" t="s">
        <v>14</v>
      </c>
      <c r="B7" s="46">
        <f>Monitor!M20</f>
        <v>-38.353499999999997</v>
      </c>
    </row>
    <row r="8" spans="1:4" x14ac:dyDescent="0.25">
      <c r="A8" s="42" t="s">
        <v>15</v>
      </c>
      <c r="B8" s="47">
        <f>Monitor!N20</f>
        <v>-4.7349999999999996E-2</v>
      </c>
    </row>
    <row r="9" spans="1:4" x14ac:dyDescent="0.25">
      <c r="A9" s="42" t="s">
        <v>669</v>
      </c>
      <c r="B9" s="46">
        <f>Monitor!O20</f>
        <v>-1.8873000000000331</v>
      </c>
    </row>
    <row r="10" spans="1:4" x14ac:dyDescent="0.25">
      <c r="A10" s="42" t="s">
        <v>20</v>
      </c>
      <c r="B10" s="48">
        <f>Monitor!S20</f>
        <v>46188</v>
      </c>
    </row>
    <row r="11" spans="1:4" x14ac:dyDescent="0.25">
      <c r="A11" s="42" t="s">
        <v>670</v>
      </c>
      <c r="B11" s="49">
        <f>Monitor!W20</f>
        <v>176.8435427788059</v>
      </c>
    </row>
    <row r="12" spans="1:4" x14ac:dyDescent="0.25">
      <c r="A12" s="42" t="s">
        <v>671</v>
      </c>
      <c r="B12" s="50" t="str">
        <f>Monitor!F20</f>
        <v>Ba2/NR/BB-</v>
      </c>
    </row>
    <row r="13" spans="1:4" x14ac:dyDescent="0.25">
      <c r="A13" s="42" t="s">
        <v>4</v>
      </c>
      <c r="B13" s="50" t="str">
        <f>Monitor!C20</f>
        <v>Amazon</v>
      </c>
    </row>
    <row r="15" spans="1:4" x14ac:dyDescent="0.25">
      <c r="A15" s="4" t="s">
        <v>672</v>
      </c>
      <c r="B15" s="5"/>
      <c r="C15" s="5"/>
      <c r="D15" s="5"/>
    </row>
    <row r="16" spans="1:4" ht="55.9" customHeight="1" x14ac:dyDescent="0.25">
      <c r="A16" s="51" t="s">
        <v>192</v>
      </c>
      <c r="B16" s="52" t="s">
        <v>220</v>
      </c>
    </row>
    <row r="18" spans="1:4" x14ac:dyDescent="0.25">
      <c r="A18" s="4" t="s">
        <v>673</v>
      </c>
      <c r="B18" s="5"/>
      <c r="C18" s="4" t="s">
        <v>674</v>
      </c>
      <c r="D18" s="4" t="s">
        <v>675</v>
      </c>
    </row>
    <row r="19" spans="1:4" ht="29.45" customHeight="1" x14ac:dyDescent="0.25">
      <c r="A19" s="53" t="s">
        <v>676</v>
      </c>
      <c r="B19" s="54" t="s">
        <v>2736</v>
      </c>
      <c r="C19" s="55" t="s">
        <v>2587</v>
      </c>
      <c r="D19" s="56" t="s">
        <v>679</v>
      </c>
    </row>
    <row r="20" spans="1:4" ht="16.149999999999999" customHeight="1" x14ac:dyDescent="0.25">
      <c r="A20" s="53" t="s">
        <v>2384</v>
      </c>
      <c r="B20" s="54" t="s">
        <v>2737</v>
      </c>
      <c r="C20" s="55" t="s">
        <v>678</v>
      </c>
      <c r="D20" s="56" t="s">
        <v>679</v>
      </c>
    </row>
    <row r="21" spans="1:4" ht="16.149999999999999" customHeight="1" x14ac:dyDescent="0.25">
      <c r="A21" s="53" t="s">
        <v>1622</v>
      </c>
      <c r="B21" s="54" t="s">
        <v>2738</v>
      </c>
      <c r="C21" s="55" t="s">
        <v>678</v>
      </c>
      <c r="D21" s="56" t="s">
        <v>679</v>
      </c>
    </row>
    <row r="22" spans="1:4" ht="16.149999999999999" customHeight="1" x14ac:dyDescent="0.25">
      <c r="A22" s="53" t="s">
        <v>2585</v>
      </c>
      <c r="B22" s="54" t="s">
        <v>2739</v>
      </c>
      <c r="C22" s="55" t="s">
        <v>2740</v>
      </c>
      <c r="D22" s="56" t="s">
        <v>679</v>
      </c>
    </row>
    <row r="23" spans="1:4" ht="16.149999999999999" customHeight="1" x14ac:dyDescent="0.25">
      <c r="A23" s="53" t="s">
        <v>691</v>
      </c>
      <c r="B23" s="54" t="s">
        <v>2741</v>
      </c>
      <c r="C23" s="55" t="s">
        <v>678</v>
      </c>
      <c r="D23" s="56" t="s">
        <v>679</v>
      </c>
    </row>
    <row r="24" spans="1:4" ht="16.149999999999999" customHeight="1" x14ac:dyDescent="0.25">
      <c r="A24" s="53" t="s">
        <v>682</v>
      </c>
      <c r="B24" s="54" t="s">
        <v>2742</v>
      </c>
      <c r="C24" s="55" t="s">
        <v>776</v>
      </c>
      <c r="D24" s="56" t="s">
        <v>679</v>
      </c>
    </row>
    <row r="25" spans="1:4" ht="29.45" customHeight="1" x14ac:dyDescent="0.25">
      <c r="A25" s="53" t="s">
        <v>1417</v>
      </c>
      <c r="B25" s="54" t="s">
        <v>2743</v>
      </c>
      <c r="C25" s="55" t="s">
        <v>877</v>
      </c>
      <c r="D25" s="56" t="s">
        <v>679</v>
      </c>
    </row>
    <row r="26" spans="1:4" ht="42.6" customHeight="1" x14ac:dyDescent="0.25">
      <c r="A26" s="53" t="s">
        <v>705</v>
      </c>
      <c r="B26" s="54" t="s">
        <v>2744</v>
      </c>
      <c r="C26" s="55" t="s">
        <v>684</v>
      </c>
      <c r="D26" s="56" t="s">
        <v>679</v>
      </c>
    </row>
    <row r="27" spans="1:4" ht="29.45" customHeight="1" x14ac:dyDescent="0.25">
      <c r="A27" s="53" t="s">
        <v>711</v>
      </c>
      <c r="B27" s="54" t="s">
        <v>2745</v>
      </c>
      <c r="C27" s="55" t="s">
        <v>2482</v>
      </c>
      <c r="D27" s="56" t="s">
        <v>679</v>
      </c>
    </row>
    <row r="28" spans="1:4" ht="29.45" customHeight="1" x14ac:dyDescent="0.25">
      <c r="A28" s="53" t="s">
        <v>2746</v>
      </c>
      <c r="B28" s="54" t="s">
        <v>2747</v>
      </c>
      <c r="C28" s="55" t="s">
        <v>2482</v>
      </c>
      <c r="D28" s="56" t="s">
        <v>679</v>
      </c>
    </row>
    <row r="29" spans="1:4" ht="16.149999999999999" customHeight="1" x14ac:dyDescent="0.25">
      <c r="A29" s="53" t="s">
        <v>2595</v>
      </c>
      <c r="B29" s="54" t="s">
        <v>2748</v>
      </c>
      <c r="C29" s="55" t="s">
        <v>684</v>
      </c>
      <c r="D29" s="56" t="s">
        <v>679</v>
      </c>
    </row>
    <row r="30" spans="1:4" ht="16.149999999999999" customHeight="1" x14ac:dyDescent="0.25">
      <c r="A30" s="53" t="s">
        <v>695</v>
      </c>
      <c r="B30" s="54" t="s">
        <v>2749</v>
      </c>
      <c r="C30" s="55" t="s">
        <v>684</v>
      </c>
      <c r="D30" s="58" t="s">
        <v>698</v>
      </c>
    </row>
    <row r="32" spans="1:4" x14ac:dyDescent="0.25">
      <c r="A32" s="4" t="s">
        <v>717</v>
      </c>
      <c r="B32" s="5"/>
      <c r="C32" s="4" t="s">
        <v>674</v>
      </c>
      <c r="D32" s="4" t="s">
        <v>675</v>
      </c>
    </row>
    <row r="33" spans="1:4" ht="29.45" customHeight="1" x14ac:dyDescent="0.25">
      <c r="A33" s="53" t="s">
        <v>2405</v>
      </c>
      <c r="B33" s="54" t="s">
        <v>2750</v>
      </c>
      <c r="C33" s="55" t="s">
        <v>2407</v>
      </c>
      <c r="D33" s="56" t="s">
        <v>679</v>
      </c>
    </row>
    <row r="34" spans="1:4" ht="16.149999999999999" customHeight="1" x14ac:dyDescent="0.25">
      <c r="A34" s="53" t="s">
        <v>2409</v>
      </c>
      <c r="B34" s="54" t="s">
        <v>2751</v>
      </c>
      <c r="C34" s="55" t="s">
        <v>678</v>
      </c>
      <c r="D34" s="56" t="s">
        <v>679</v>
      </c>
    </row>
    <row r="35" spans="1:4" ht="29.45" customHeight="1" x14ac:dyDescent="0.25">
      <c r="A35" s="53" t="s">
        <v>722</v>
      </c>
      <c r="B35" s="54" t="s">
        <v>2752</v>
      </c>
      <c r="C35" s="55" t="s">
        <v>678</v>
      </c>
      <c r="D35" s="56" t="s">
        <v>679</v>
      </c>
    </row>
    <row r="36" spans="1:4" ht="29.45" customHeight="1" x14ac:dyDescent="0.25">
      <c r="A36" s="53" t="s">
        <v>2753</v>
      </c>
      <c r="B36" s="54" t="s">
        <v>2754</v>
      </c>
      <c r="C36" s="55" t="s">
        <v>2755</v>
      </c>
      <c r="D36" s="56" t="s">
        <v>679</v>
      </c>
    </row>
    <row r="38" spans="1:4" x14ac:dyDescent="0.25">
      <c r="A38" s="4" t="s">
        <v>728</v>
      </c>
      <c r="B38" s="5"/>
      <c r="C38" s="4" t="s">
        <v>674</v>
      </c>
      <c r="D38" s="4" t="s">
        <v>675</v>
      </c>
    </row>
    <row r="39" spans="1:4" ht="42.6" customHeight="1" x14ac:dyDescent="0.25">
      <c r="A39" s="53" t="s">
        <v>246</v>
      </c>
      <c r="B39" s="54" t="s">
        <v>2412</v>
      </c>
      <c r="C39" s="55" t="s">
        <v>776</v>
      </c>
      <c r="D39" s="56" t="s">
        <v>679</v>
      </c>
    </row>
    <row r="40" spans="1:4" ht="42.6" customHeight="1" x14ac:dyDescent="0.25">
      <c r="A40" s="53" t="s">
        <v>2413</v>
      </c>
      <c r="B40" s="54" t="s">
        <v>2414</v>
      </c>
      <c r="C40" s="55" t="s">
        <v>731</v>
      </c>
      <c r="D40" s="56" t="s">
        <v>679</v>
      </c>
    </row>
    <row r="41" spans="1:4" ht="55.9" customHeight="1" x14ac:dyDescent="0.25">
      <c r="A41" s="53" t="s">
        <v>1053</v>
      </c>
      <c r="B41" s="54" t="s">
        <v>2415</v>
      </c>
      <c r="C41" s="55" t="s">
        <v>747</v>
      </c>
      <c r="D41" s="56" t="s">
        <v>679</v>
      </c>
    </row>
    <row r="42" spans="1:4" ht="55.9" customHeight="1" x14ac:dyDescent="0.25">
      <c r="A42" s="53" t="s">
        <v>2416</v>
      </c>
      <c r="B42" s="54" t="s">
        <v>2417</v>
      </c>
      <c r="C42" s="55" t="s">
        <v>844</v>
      </c>
      <c r="D42" s="56" t="s">
        <v>679</v>
      </c>
    </row>
    <row r="44" spans="1:4" x14ac:dyDescent="0.25">
      <c r="A44" s="4" t="s">
        <v>740</v>
      </c>
      <c r="B44" s="5"/>
      <c r="C44" s="4" t="s">
        <v>674</v>
      </c>
      <c r="D44" s="4" t="s">
        <v>675</v>
      </c>
    </row>
    <row r="45" spans="1:4" ht="29.45" customHeight="1" x14ac:dyDescent="0.25">
      <c r="A45" s="53" t="s">
        <v>2756</v>
      </c>
      <c r="B45" s="54" t="s">
        <v>2757</v>
      </c>
      <c r="C45" s="55" t="s">
        <v>2605</v>
      </c>
      <c r="D45" s="56" t="s">
        <v>679</v>
      </c>
    </row>
    <row r="46" spans="1:4" ht="42.6" customHeight="1" x14ac:dyDescent="0.25">
      <c r="A46" s="53" t="s">
        <v>2758</v>
      </c>
      <c r="B46" s="54" t="s">
        <v>2759</v>
      </c>
      <c r="C46" s="55" t="s">
        <v>2760</v>
      </c>
      <c r="D46" s="56" t="s">
        <v>679</v>
      </c>
    </row>
    <row r="47" spans="1:4" ht="16.149999999999999" customHeight="1" x14ac:dyDescent="0.25">
      <c r="A47" s="53" t="s">
        <v>986</v>
      </c>
      <c r="B47" s="54" t="s">
        <v>2761</v>
      </c>
      <c r="C47" s="55" t="s">
        <v>753</v>
      </c>
      <c r="D47" s="56" t="s">
        <v>679</v>
      </c>
    </row>
    <row r="48" spans="1:4" ht="29.45" customHeight="1" x14ac:dyDescent="0.25">
      <c r="A48" s="53" t="s">
        <v>2762</v>
      </c>
      <c r="B48" s="54" t="s">
        <v>2763</v>
      </c>
      <c r="C48" s="55" t="s">
        <v>753</v>
      </c>
      <c r="D48" s="57" t="s">
        <v>690</v>
      </c>
    </row>
    <row r="49" spans="1:4" ht="16.149999999999999" customHeight="1" x14ac:dyDescent="0.25">
      <c r="A49" s="53" t="s">
        <v>1309</v>
      </c>
      <c r="B49" s="54" t="s">
        <v>2764</v>
      </c>
      <c r="C49" s="55" t="s">
        <v>753</v>
      </c>
      <c r="D49" s="57" t="s">
        <v>690</v>
      </c>
    </row>
    <row r="50" spans="1:4" ht="29.45" customHeight="1" x14ac:dyDescent="0.25">
      <c r="A50" s="53" t="s">
        <v>2765</v>
      </c>
      <c r="B50" s="54" t="s">
        <v>2766</v>
      </c>
      <c r="C50" s="55" t="s">
        <v>2612</v>
      </c>
      <c r="D50" s="56" t="s">
        <v>679</v>
      </c>
    </row>
    <row r="51" spans="1:4" ht="16.149999999999999" customHeight="1" x14ac:dyDescent="0.25">
      <c r="A51" s="53" t="s">
        <v>2767</v>
      </c>
      <c r="B51" s="54" t="s">
        <v>2768</v>
      </c>
      <c r="C51" s="55" t="s">
        <v>753</v>
      </c>
      <c r="D51" s="57" t="s">
        <v>690</v>
      </c>
    </row>
    <row r="53" spans="1:4" x14ac:dyDescent="0.25">
      <c r="A53" s="4" t="s">
        <v>762</v>
      </c>
      <c r="B53" s="5"/>
      <c r="C53" s="4" t="s">
        <v>674</v>
      </c>
      <c r="D53" s="4" t="s">
        <v>675</v>
      </c>
    </row>
    <row r="54" spans="1:4" ht="16.149999999999999" customHeight="1" x14ac:dyDescent="0.25">
      <c r="A54" s="53" t="s">
        <v>984</v>
      </c>
      <c r="B54" s="54" t="s">
        <v>2769</v>
      </c>
      <c r="C54" s="55" t="s">
        <v>2407</v>
      </c>
      <c r="D54" s="56" t="s">
        <v>679</v>
      </c>
    </row>
    <row r="55" spans="1:4" ht="16.149999999999999" customHeight="1" x14ac:dyDescent="0.25">
      <c r="A55" s="53" t="s">
        <v>986</v>
      </c>
      <c r="B55" s="54" t="s">
        <v>2770</v>
      </c>
      <c r="C55" s="55" t="s">
        <v>2771</v>
      </c>
      <c r="D55" s="56" t="s">
        <v>679</v>
      </c>
    </row>
    <row r="56" spans="1:4" ht="29.45" customHeight="1" x14ac:dyDescent="0.25">
      <c r="A56" s="53" t="s">
        <v>988</v>
      </c>
      <c r="B56" s="54" t="s">
        <v>2772</v>
      </c>
      <c r="C56" s="55" t="s">
        <v>753</v>
      </c>
      <c r="D56" s="60" t="s">
        <v>803</v>
      </c>
    </row>
    <row r="57" spans="1:4" ht="29.45" customHeight="1" x14ac:dyDescent="0.25">
      <c r="A57" s="53" t="s">
        <v>1166</v>
      </c>
      <c r="B57" s="54" t="s">
        <v>2773</v>
      </c>
      <c r="C57" s="55" t="s">
        <v>2774</v>
      </c>
      <c r="D57" s="56" t="s">
        <v>679</v>
      </c>
    </row>
    <row r="59" spans="1:4" x14ac:dyDescent="0.25">
      <c r="A59" s="4" t="s">
        <v>773</v>
      </c>
      <c r="B59" s="5"/>
      <c r="C59" s="4" t="s">
        <v>674</v>
      </c>
      <c r="D59" s="4" t="s">
        <v>675</v>
      </c>
    </row>
    <row r="60" spans="1:4" ht="29.45" customHeight="1" x14ac:dyDescent="0.25">
      <c r="A60" s="53" t="s">
        <v>2775</v>
      </c>
      <c r="B60" s="54" t="s">
        <v>2776</v>
      </c>
      <c r="C60" s="55" t="s">
        <v>962</v>
      </c>
      <c r="D60" s="57" t="s">
        <v>690</v>
      </c>
    </row>
    <row r="61" spans="1:4" ht="42.6" customHeight="1" x14ac:dyDescent="0.25">
      <c r="A61" s="53" t="s">
        <v>2512</v>
      </c>
      <c r="B61" s="54" t="s">
        <v>2777</v>
      </c>
      <c r="C61" s="55" t="s">
        <v>734</v>
      </c>
      <c r="D61" s="59" t="s">
        <v>748</v>
      </c>
    </row>
    <row r="62" spans="1:4" ht="16.149999999999999" customHeight="1" x14ac:dyDescent="0.25">
      <c r="A62" s="53" t="s">
        <v>2629</v>
      </c>
      <c r="B62" s="54" t="s">
        <v>2778</v>
      </c>
      <c r="C62" s="55" t="s">
        <v>841</v>
      </c>
      <c r="D62" s="57" t="s">
        <v>690</v>
      </c>
    </row>
    <row r="64" spans="1:4" x14ac:dyDescent="0.25">
      <c r="A64" s="4" t="s">
        <v>781</v>
      </c>
      <c r="B64" s="5"/>
      <c r="C64" s="4" t="s">
        <v>674</v>
      </c>
      <c r="D64" s="4" t="s">
        <v>675</v>
      </c>
    </row>
    <row r="65" spans="1:4" ht="29.45" customHeight="1" x14ac:dyDescent="0.25">
      <c r="A65" s="53" t="s">
        <v>675</v>
      </c>
      <c r="B65" s="54" t="s">
        <v>2779</v>
      </c>
      <c r="C65" s="55" t="s">
        <v>2780</v>
      </c>
      <c r="D65" s="57" t="s">
        <v>690</v>
      </c>
    </row>
    <row r="66" spans="1:4" ht="16.149999999999999" customHeight="1" x14ac:dyDescent="0.25">
      <c r="A66" s="53" t="s">
        <v>998</v>
      </c>
      <c r="B66" s="54" t="s">
        <v>2781</v>
      </c>
      <c r="C66" s="55" t="s">
        <v>841</v>
      </c>
      <c r="D66" s="60" t="s">
        <v>803</v>
      </c>
    </row>
    <row r="67" spans="1:4" ht="16.149999999999999" customHeight="1" x14ac:dyDescent="0.25">
      <c r="A67" s="53" t="s">
        <v>1003</v>
      </c>
      <c r="B67" s="54" t="s">
        <v>2782</v>
      </c>
      <c r="C67" s="55" t="s">
        <v>2407</v>
      </c>
      <c r="D67" s="56" t="s">
        <v>679</v>
      </c>
    </row>
    <row r="68" spans="1:4" ht="16.149999999999999" customHeight="1" x14ac:dyDescent="0.25">
      <c r="A68" s="53" t="s">
        <v>2783</v>
      </c>
      <c r="B68" s="54" t="s">
        <v>2784</v>
      </c>
      <c r="C68" s="55" t="s">
        <v>962</v>
      </c>
      <c r="D68" s="58" t="s">
        <v>698</v>
      </c>
    </row>
    <row r="70" spans="1:4" x14ac:dyDescent="0.25">
      <c r="A70" s="4" t="s">
        <v>792</v>
      </c>
      <c r="B70" s="5"/>
      <c r="C70" s="4" t="s">
        <v>674</v>
      </c>
      <c r="D70" s="4" t="s">
        <v>675</v>
      </c>
    </row>
    <row r="71" spans="1:4" ht="16.149999999999999" customHeight="1" x14ac:dyDescent="0.25">
      <c r="A71" s="53" t="s">
        <v>793</v>
      </c>
      <c r="B71" s="54" t="s">
        <v>2785</v>
      </c>
      <c r="C71" s="55" t="s">
        <v>776</v>
      </c>
      <c r="D71" s="56" t="s">
        <v>679</v>
      </c>
    </row>
    <row r="72" spans="1:4" ht="16.149999999999999" customHeight="1" x14ac:dyDescent="0.25">
      <c r="A72" s="53" t="s">
        <v>799</v>
      </c>
      <c r="B72" s="54" t="s">
        <v>2786</v>
      </c>
      <c r="C72" s="55" t="s">
        <v>684</v>
      </c>
      <c r="D72" s="56" t="s">
        <v>679</v>
      </c>
    </row>
    <row r="73" spans="1:4" ht="29.45" customHeight="1" x14ac:dyDescent="0.25">
      <c r="A73" s="53" t="s">
        <v>2462</v>
      </c>
      <c r="B73" s="54" t="s">
        <v>2787</v>
      </c>
      <c r="C73" s="55" t="s">
        <v>753</v>
      </c>
      <c r="D73" s="60" t="s">
        <v>803</v>
      </c>
    </row>
    <row r="74" spans="1:4" ht="16.149999999999999" customHeight="1" x14ac:dyDescent="0.25">
      <c r="A74" s="53" t="s">
        <v>1337</v>
      </c>
      <c r="B74" s="54" t="s">
        <v>2788</v>
      </c>
      <c r="C74" s="55" t="s">
        <v>753</v>
      </c>
      <c r="D74" s="58" t="s">
        <v>698</v>
      </c>
    </row>
    <row r="76" spans="1:4" x14ac:dyDescent="0.25">
      <c r="A76" s="4" t="s">
        <v>804</v>
      </c>
      <c r="B76" s="5"/>
      <c r="C76" s="4" t="s">
        <v>674</v>
      </c>
      <c r="D76" s="4" t="s">
        <v>675</v>
      </c>
    </row>
    <row r="77" spans="1:4" ht="16.149999999999999" customHeight="1" x14ac:dyDescent="0.25">
      <c r="A77" s="53" t="s">
        <v>2789</v>
      </c>
      <c r="B77" s="54" t="s">
        <v>2790</v>
      </c>
      <c r="C77" s="55" t="s">
        <v>2605</v>
      </c>
      <c r="D77" s="56" t="s">
        <v>679</v>
      </c>
    </row>
    <row r="78" spans="1:4" ht="16.149999999999999" customHeight="1" x14ac:dyDescent="0.25">
      <c r="A78" s="53" t="s">
        <v>1988</v>
      </c>
      <c r="B78" s="54" t="s">
        <v>2791</v>
      </c>
      <c r="C78" s="55" t="s">
        <v>678</v>
      </c>
      <c r="D78" s="56" t="s">
        <v>679</v>
      </c>
    </row>
    <row r="79" spans="1:4" ht="42.6" customHeight="1" x14ac:dyDescent="0.25">
      <c r="A79" s="53" t="s">
        <v>2792</v>
      </c>
      <c r="B79" s="54" t="s">
        <v>2793</v>
      </c>
      <c r="C79" s="55" t="s">
        <v>684</v>
      </c>
      <c r="D79" s="56" t="s">
        <v>679</v>
      </c>
    </row>
    <row r="80" spans="1:4" ht="29.45" customHeight="1" x14ac:dyDescent="0.25">
      <c r="A80" s="53" t="s">
        <v>2794</v>
      </c>
      <c r="B80" s="54" t="s">
        <v>2795</v>
      </c>
      <c r="C80" s="55" t="s">
        <v>684</v>
      </c>
      <c r="D80" s="56" t="s">
        <v>679</v>
      </c>
    </row>
    <row r="82" spans="1:4" x14ac:dyDescent="0.25">
      <c r="A82" s="4" t="s">
        <v>813</v>
      </c>
      <c r="B82" s="5"/>
      <c r="C82" s="4" t="s">
        <v>674</v>
      </c>
      <c r="D82" s="4" t="s">
        <v>675</v>
      </c>
    </row>
    <row r="83" spans="1:4" ht="29.45" customHeight="1" x14ac:dyDescent="0.25">
      <c r="A83" s="53" t="s">
        <v>2796</v>
      </c>
      <c r="B83" s="54" t="s">
        <v>2797</v>
      </c>
      <c r="C83" s="55" t="s">
        <v>684</v>
      </c>
      <c r="D83" s="56" t="s">
        <v>679</v>
      </c>
    </row>
    <row r="84" spans="1:4" ht="16.149999999999999" customHeight="1" x14ac:dyDescent="0.25">
      <c r="A84" s="53" t="s">
        <v>2798</v>
      </c>
      <c r="B84" s="54" t="s">
        <v>2799</v>
      </c>
      <c r="C84" s="55" t="s">
        <v>684</v>
      </c>
      <c r="D84" s="56" t="s">
        <v>679</v>
      </c>
    </row>
    <row r="85" spans="1:4" ht="29.45" customHeight="1" x14ac:dyDescent="0.25">
      <c r="A85" s="53" t="s">
        <v>820</v>
      </c>
      <c r="B85" s="54" t="s">
        <v>2800</v>
      </c>
      <c r="C85" s="55" t="s">
        <v>684</v>
      </c>
      <c r="D85" s="56" t="s">
        <v>679</v>
      </c>
    </row>
    <row r="86" spans="1:4" ht="16.149999999999999" customHeight="1" x14ac:dyDescent="0.25">
      <c r="A86" s="53" t="s">
        <v>822</v>
      </c>
      <c r="B86" s="54" t="s">
        <v>2801</v>
      </c>
      <c r="C86" s="55" t="s">
        <v>684</v>
      </c>
      <c r="D86" s="56" t="s">
        <v>679</v>
      </c>
    </row>
    <row r="88" spans="1:4" x14ac:dyDescent="0.25">
      <c r="A88" s="4" t="s">
        <v>826</v>
      </c>
      <c r="B88" s="5"/>
      <c r="C88" s="4" t="s">
        <v>674</v>
      </c>
      <c r="D88" s="4" t="s">
        <v>675</v>
      </c>
    </row>
    <row r="89" spans="1:4" ht="16.149999999999999" customHeight="1" x14ac:dyDescent="0.25">
      <c r="A89" s="53" t="s">
        <v>1202</v>
      </c>
      <c r="B89" s="54" t="s">
        <v>2802</v>
      </c>
      <c r="C89" s="55" t="s">
        <v>731</v>
      </c>
      <c r="D89" s="57" t="s">
        <v>690</v>
      </c>
    </row>
    <row r="91" spans="1:4" x14ac:dyDescent="0.25">
      <c r="A91" s="4" t="s">
        <v>833</v>
      </c>
      <c r="B91" s="5"/>
      <c r="C91" s="4" t="s">
        <v>674</v>
      </c>
      <c r="D91" s="4" t="s">
        <v>675</v>
      </c>
    </row>
    <row r="92" spans="1:4" ht="16.149999999999999" customHeight="1" x14ac:dyDescent="0.25">
      <c r="A92" s="53" t="s">
        <v>834</v>
      </c>
      <c r="B92" s="54" t="s">
        <v>2803</v>
      </c>
      <c r="C92" s="55" t="s">
        <v>678</v>
      </c>
      <c r="D92" s="56" t="s">
        <v>679</v>
      </c>
    </row>
    <row r="94" spans="1:4" x14ac:dyDescent="0.25">
      <c r="A94" s="4" t="s">
        <v>836</v>
      </c>
      <c r="B94" s="5"/>
      <c r="C94" s="4" t="s">
        <v>674</v>
      </c>
      <c r="D94" s="4" t="s">
        <v>675</v>
      </c>
    </row>
    <row r="95" spans="1:4" ht="29.45" customHeight="1" x14ac:dyDescent="0.25">
      <c r="A95" s="53" t="s">
        <v>777</v>
      </c>
      <c r="B95" s="54" t="s">
        <v>2804</v>
      </c>
      <c r="C95" s="55" t="s">
        <v>2453</v>
      </c>
      <c r="D95" s="59" t="s">
        <v>748</v>
      </c>
    </row>
    <row r="96" spans="1:4" ht="16.149999999999999" customHeight="1" x14ac:dyDescent="0.25">
      <c r="A96" s="53" t="s">
        <v>1000</v>
      </c>
      <c r="B96" s="54" t="s">
        <v>2805</v>
      </c>
      <c r="C96" s="55" t="s">
        <v>2806</v>
      </c>
      <c r="D96" s="56" t="s">
        <v>679</v>
      </c>
    </row>
    <row r="97" spans="1:4" ht="16.149999999999999" customHeight="1" x14ac:dyDescent="0.25">
      <c r="A97" s="53" t="s">
        <v>2331</v>
      </c>
      <c r="B97" s="54" t="s">
        <v>2807</v>
      </c>
      <c r="C97" s="55" t="s">
        <v>753</v>
      </c>
      <c r="D97" s="60" t="s">
        <v>803</v>
      </c>
    </row>
    <row r="98" spans="1:4" ht="16.149999999999999" customHeight="1" x14ac:dyDescent="0.25">
      <c r="A98" s="53" t="s">
        <v>2665</v>
      </c>
      <c r="B98" s="54" t="s">
        <v>2808</v>
      </c>
      <c r="C98" s="55" t="s">
        <v>684</v>
      </c>
      <c r="D98" s="56" t="s">
        <v>679</v>
      </c>
    </row>
    <row r="99" spans="1:4" ht="29.45" customHeight="1" x14ac:dyDescent="0.25">
      <c r="A99" s="53" t="s">
        <v>2809</v>
      </c>
      <c r="B99" s="54" t="s">
        <v>2810</v>
      </c>
      <c r="C99" s="55" t="s">
        <v>2300</v>
      </c>
      <c r="D99" s="59" t="s">
        <v>748</v>
      </c>
    </row>
    <row r="101" spans="1:4" x14ac:dyDescent="0.25">
      <c r="A101" s="4" t="s">
        <v>855</v>
      </c>
      <c r="B101" s="5"/>
      <c r="C101" s="4" t="s">
        <v>674</v>
      </c>
      <c r="D101" s="4" t="s">
        <v>675</v>
      </c>
    </row>
    <row r="102" spans="1:4" ht="16.149999999999999" customHeight="1" x14ac:dyDescent="0.25">
      <c r="A102" s="53" t="s">
        <v>1043</v>
      </c>
      <c r="B102" s="54" t="s">
        <v>2811</v>
      </c>
      <c r="C102" s="55" t="s">
        <v>841</v>
      </c>
      <c r="D102" s="56" t="s">
        <v>679</v>
      </c>
    </row>
    <row r="103" spans="1:4" ht="16.149999999999999" customHeight="1" x14ac:dyDescent="0.25">
      <c r="A103" s="53" t="s">
        <v>2812</v>
      </c>
      <c r="B103" s="54" t="s">
        <v>2813</v>
      </c>
      <c r="C103" s="55" t="s">
        <v>734</v>
      </c>
      <c r="D103" s="59" t="s">
        <v>748</v>
      </c>
    </row>
    <row r="104" spans="1:4" ht="16.149999999999999" customHeight="1" x14ac:dyDescent="0.25">
      <c r="A104" s="53" t="s">
        <v>2028</v>
      </c>
      <c r="B104" s="54" t="s">
        <v>2814</v>
      </c>
      <c r="C104" s="55" t="s">
        <v>2300</v>
      </c>
      <c r="D104" s="56" t="s">
        <v>679</v>
      </c>
    </row>
    <row r="106" spans="1:4" x14ac:dyDescent="0.25">
      <c r="A106" s="4" t="s">
        <v>868</v>
      </c>
      <c r="B106" s="5"/>
      <c r="C106" s="4" t="s">
        <v>674</v>
      </c>
      <c r="D106" s="5"/>
    </row>
    <row r="107" spans="1:4" ht="16.149999999999999" customHeight="1" x14ac:dyDescent="0.25">
      <c r="A107" s="61" t="s">
        <v>2815</v>
      </c>
      <c r="B107" s="54" t="s">
        <v>2816</v>
      </c>
      <c r="C107" s="55" t="s">
        <v>684</v>
      </c>
      <c r="D107" s="62"/>
    </row>
    <row r="108" spans="1:4" ht="16.149999999999999" customHeight="1" x14ac:dyDescent="0.25">
      <c r="A108" s="61" t="s">
        <v>2520</v>
      </c>
      <c r="B108" s="54" t="s">
        <v>2693</v>
      </c>
      <c r="C108" s="55" t="s">
        <v>747</v>
      </c>
      <c r="D108" s="62"/>
    </row>
    <row r="109" spans="1:4" ht="16.149999999999999" customHeight="1" x14ac:dyDescent="0.25">
      <c r="A109" s="61" t="s">
        <v>1563</v>
      </c>
      <c r="B109" s="54" t="s">
        <v>2817</v>
      </c>
      <c r="C109" s="55" t="s">
        <v>962</v>
      </c>
      <c r="D109" s="62"/>
    </row>
    <row r="110" spans="1:4" ht="16.149999999999999" customHeight="1" x14ac:dyDescent="0.25">
      <c r="A110" s="61" t="s">
        <v>2349</v>
      </c>
      <c r="B110" s="54" t="s">
        <v>2818</v>
      </c>
      <c r="C110" s="55" t="s">
        <v>2624</v>
      </c>
      <c r="D110" s="62"/>
    </row>
    <row r="111" spans="1:4" ht="16.149999999999999" customHeight="1" x14ac:dyDescent="0.25">
      <c r="A111" s="61" t="s">
        <v>2819</v>
      </c>
      <c r="B111" s="54" t="s">
        <v>2820</v>
      </c>
      <c r="C111" s="55" t="s">
        <v>678</v>
      </c>
      <c r="D111" s="62"/>
    </row>
    <row r="112" spans="1:4" ht="16.149999999999999" customHeight="1" x14ac:dyDescent="0.25">
      <c r="A112" s="61" t="s">
        <v>886</v>
      </c>
      <c r="B112" s="54" t="s">
        <v>2821</v>
      </c>
      <c r="C112" s="55" t="s">
        <v>731</v>
      </c>
      <c r="D112" s="62"/>
    </row>
    <row r="113" spans="1:4" ht="16.149999999999999" customHeight="1" x14ac:dyDescent="0.25">
      <c r="A113" s="61" t="s">
        <v>2233</v>
      </c>
      <c r="B113" s="54" t="s">
        <v>2822</v>
      </c>
      <c r="C113" s="55" t="s">
        <v>734</v>
      </c>
      <c r="D113" s="62"/>
    </row>
    <row r="114" spans="1:4" ht="16.149999999999999" customHeight="1" x14ac:dyDescent="0.25">
      <c r="A114" s="61" t="s">
        <v>2697</v>
      </c>
      <c r="B114" s="54" t="s">
        <v>2823</v>
      </c>
      <c r="C114" s="55" t="s">
        <v>841</v>
      </c>
      <c r="D114" s="62"/>
    </row>
    <row r="115" spans="1:4" ht="16.149999999999999" customHeight="1" x14ac:dyDescent="0.25">
      <c r="A115" s="61" t="s">
        <v>2527</v>
      </c>
      <c r="B115" s="54" t="s">
        <v>2824</v>
      </c>
      <c r="C115" s="55" t="s">
        <v>2825</v>
      </c>
      <c r="D115" s="62"/>
    </row>
    <row r="116" spans="1:4" ht="16.149999999999999" customHeight="1" x14ac:dyDescent="0.25">
      <c r="A116" s="61" t="s">
        <v>2530</v>
      </c>
      <c r="B116" s="54" t="s">
        <v>2826</v>
      </c>
      <c r="C116" s="55" t="s">
        <v>844</v>
      </c>
      <c r="D116" s="62"/>
    </row>
    <row r="118" spans="1:4" x14ac:dyDescent="0.25">
      <c r="A118" s="4" t="s">
        <v>894</v>
      </c>
      <c r="B118" s="5"/>
      <c r="C118" s="5"/>
      <c r="D118" s="5"/>
    </row>
    <row r="119" spans="1:4" ht="29.45" customHeight="1" x14ac:dyDescent="0.25">
      <c r="A119" s="53" t="s">
        <v>2827</v>
      </c>
      <c r="B119" s="54" t="s">
        <v>2828</v>
      </c>
      <c r="C119" s="28" t="s">
        <v>897</v>
      </c>
      <c r="D119" s="62"/>
    </row>
    <row r="120" spans="1:4" ht="42.6" customHeight="1" x14ac:dyDescent="0.25">
      <c r="A120" s="53" t="s">
        <v>2829</v>
      </c>
      <c r="B120" s="54" t="s">
        <v>2830</v>
      </c>
      <c r="C120" s="28" t="s">
        <v>897</v>
      </c>
      <c r="D120" s="62"/>
    </row>
    <row r="121" spans="1:4" ht="29.45" customHeight="1" x14ac:dyDescent="0.25">
      <c r="A121" s="53" t="s">
        <v>2831</v>
      </c>
      <c r="B121" s="54" t="s">
        <v>2832</v>
      </c>
      <c r="C121" s="28" t="s">
        <v>897</v>
      </c>
      <c r="D121" s="62"/>
    </row>
    <row r="122" spans="1:4" ht="29.45" customHeight="1" x14ac:dyDescent="0.25">
      <c r="A122" s="53" t="s">
        <v>2833</v>
      </c>
      <c r="B122" s="54" t="s">
        <v>2834</v>
      </c>
      <c r="C122" s="28" t="s">
        <v>897</v>
      </c>
      <c r="D122" s="62"/>
    </row>
    <row r="123" spans="1:4" ht="16.149999999999999" customHeight="1" x14ac:dyDescent="0.25">
      <c r="A123" s="53" t="s">
        <v>2835</v>
      </c>
      <c r="B123" s="54" t="s">
        <v>2836</v>
      </c>
      <c r="C123" s="28" t="s">
        <v>897</v>
      </c>
      <c r="D123" s="62"/>
    </row>
    <row r="124" spans="1:4" ht="16.149999999999999" customHeight="1" x14ac:dyDescent="0.25">
      <c r="A124" s="53" t="s">
        <v>2711</v>
      </c>
      <c r="B124" s="54" t="s">
        <v>2837</v>
      </c>
      <c r="C124" s="28" t="s">
        <v>897</v>
      </c>
      <c r="D124" s="62"/>
    </row>
    <row r="125" spans="1:4" ht="29.45" customHeight="1" x14ac:dyDescent="0.25">
      <c r="A125" s="53" t="s">
        <v>2713</v>
      </c>
      <c r="B125" s="54" t="s">
        <v>2838</v>
      </c>
      <c r="C125" s="28" t="s">
        <v>897</v>
      </c>
      <c r="D125" s="62"/>
    </row>
    <row r="126" spans="1:4" ht="29.45" customHeight="1" x14ac:dyDescent="0.25">
      <c r="A126" s="53" t="s">
        <v>910</v>
      </c>
      <c r="B126" s="54" t="s">
        <v>2839</v>
      </c>
      <c r="C126" s="28" t="s">
        <v>897</v>
      </c>
      <c r="D126" s="62"/>
    </row>
    <row r="127" spans="1:4" ht="29.45" customHeight="1" x14ac:dyDescent="0.25">
      <c r="A127" s="53" t="s">
        <v>2840</v>
      </c>
      <c r="B127" s="54" t="s">
        <v>2841</v>
      </c>
      <c r="C127" s="28" t="s">
        <v>897</v>
      </c>
      <c r="D127" s="62"/>
    </row>
    <row r="128" spans="1:4" ht="29.45" customHeight="1" x14ac:dyDescent="0.25">
      <c r="A128" s="53" t="s">
        <v>2842</v>
      </c>
      <c r="B128" s="54" t="s">
        <v>2843</v>
      </c>
      <c r="C128" s="28" t="s">
        <v>897</v>
      </c>
      <c r="D128" s="62"/>
    </row>
    <row r="129" spans="1:4" ht="16.149999999999999" customHeight="1" x14ac:dyDescent="0.25">
      <c r="A129" s="53" t="s">
        <v>2844</v>
      </c>
      <c r="B129" s="54" t="s">
        <v>2845</v>
      </c>
      <c r="C129" s="28" t="s">
        <v>897</v>
      </c>
      <c r="D129" s="62"/>
    </row>
    <row r="130" spans="1:4" ht="29.45" customHeight="1" x14ac:dyDescent="0.25">
      <c r="A130" s="53" t="s">
        <v>2846</v>
      </c>
      <c r="B130" s="54" t="s">
        <v>2847</v>
      </c>
      <c r="C130" s="28" t="s">
        <v>897</v>
      </c>
      <c r="D130" s="62"/>
    </row>
    <row r="131" spans="1:4" ht="29.45" customHeight="1" x14ac:dyDescent="0.25">
      <c r="A131" s="53" t="s">
        <v>2724</v>
      </c>
      <c r="B131" s="54" t="s">
        <v>2848</v>
      </c>
      <c r="C131" s="28" t="s">
        <v>897</v>
      </c>
      <c r="D131" s="62"/>
    </row>
    <row r="132" spans="1:4" ht="29.45" customHeight="1" x14ac:dyDescent="0.25">
      <c r="A132" s="53" t="s">
        <v>2849</v>
      </c>
      <c r="B132" s="54" t="s">
        <v>2850</v>
      </c>
      <c r="C132" s="28" t="s">
        <v>897</v>
      </c>
      <c r="D132" s="62"/>
    </row>
    <row r="134" spans="1:4" x14ac:dyDescent="0.25">
      <c r="A134" s="4" t="s">
        <v>926</v>
      </c>
      <c r="B134" s="5"/>
      <c r="C134" s="5"/>
      <c r="D134" s="5"/>
    </row>
    <row r="135" spans="1:4" ht="16.149999999999999" customHeight="1" x14ac:dyDescent="0.25">
      <c r="B135" s="52" t="s">
        <v>2851</v>
      </c>
    </row>
    <row r="136" spans="1:4" ht="16.149999999999999" customHeight="1" x14ac:dyDescent="0.25">
      <c r="B136" s="52" t="s">
        <v>2852</v>
      </c>
    </row>
    <row r="137" spans="1:4" ht="16.149999999999999" customHeight="1" x14ac:dyDescent="0.25">
      <c r="B137" s="52" t="s">
        <v>2728</v>
      </c>
    </row>
    <row r="138" spans="1:4" ht="29.45" customHeight="1" x14ac:dyDescent="0.25">
      <c r="B138" s="52" t="s">
        <v>2853</v>
      </c>
    </row>
    <row r="139" spans="1:4" ht="29.45" customHeight="1" x14ac:dyDescent="0.25">
      <c r="B139" s="52" t="s">
        <v>2854</v>
      </c>
    </row>
    <row r="140" spans="1:4" ht="16.149999999999999" customHeight="1" x14ac:dyDescent="0.25">
      <c r="B140" s="52" t="s">
        <v>2855</v>
      </c>
    </row>
    <row r="141" spans="1:4" ht="29.45" customHeight="1" x14ac:dyDescent="0.25">
      <c r="B141" s="52" t="s">
        <v>2856</v>
      </c>
    </row>
    <row r="142" spans="1:4" ht="29.45" customHeight="1" x14ac:dyDescent="0.25">
      <c r="B142" s="52" t="s">
        <v>2857</v>
      </c>
    </row>
  </sheetData>
  <hyperlinks>
    <hyperlink ref="D1" location="'Monitor'!A20" display="&lt;&lt; Monitor" xr:uid="{00000000-0004-0000-1500-000000000000}"/>
    <hyperlink ref="C119" r:id="rId1" xr:uid="{00000000-0004-0000-1500-000001000000}"/>
    <hyperlink ref="C120" r:id="rId2" xr:uid="{00000000-0004-0000-1500-000002000000}"/>
    <hyperlink ref="C121" r:id="rId3" xr:uid="{00000000-0004-0000-1500-000003000000}"/>
    <hyperlink ref="C122" r:id="rId4" xr:uid="{00000000-0004-0000-1500-000004000000}"/>
    <hyperlink ref="C123" r:id="rId5" xr:uid="{00000000-0004-0000-1500-000005000000}"/>
    <hyperlink ref="C124" r:id="rId6" xr:uid="{00000000-0004-0000-1500-000006000000}"/>
    <hyperlink ref="C125" r:id="rId7" xr:uid="{00000000-0004-0000-1500-000007000000}"/>
    <hyperlink ref="C126" r:id="rId8" xr:uid="{00000000-0004-0000-1500-000008000000}"/>
    <hyperlink ref="C127" r:id="rId9" xr:uid="{00000000-0004-0000-1500-000009000000}"/>
    <hyperlink ref="C128" r:id="rId10" xr:uid="{00000000-0004-0000-1500-00000A000000}"/>
    <hyperlink ref="C129" r:id="rId11" xr:uid="{00000000-0004-0000-1500-00000B000000}"/>
    <hyperlink ref="C130" r:id="rId12" xr:uid="{00000000-0004-0000-1500-00000C000000}"/>
    <hyperlink ref="C131" r:id="rId13" xr:uid="{00000000-0004-0000-1500-00000D000000}"/>
    <hyperlink ref="C132" r:id="rId14" xr:uid="{00000000-0004-0000-1500-00000E000000}"/>
  </hyperlinks>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5A11"/>
    <pageSetUpPr fitToPage="1"/>
  </sheetPr>
  <dimension ref="A1:D171"/>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221</v>
      </c>
      <c r="D1" s="41" t="s">
        <v>667</v>
      </c>
    </row>
    <row r="2" spans="1:4" x14ac:dyDescent="0.25">
      <c r="A2" s="2" t="s">
        <v>2858</v>
      </c>
    </row>
    <row r="4" spans="1:4" x14ac:dyDescent="0.25">
      <c r="A4" s="42" t="s">
        <v>9</v>
      </c>
      <c r="B4" s="43">
        <f>Monitor!H21</f>
        <v>93.155000000000001</v>
      </c>
    </row>
    <row r="5" spans="1:4" x14ac:dyDescent="0.25">
      <c r="A5" s="42" t="s">
        <v>11</v>
      </c>
      <c r="B5" s="44">
        <f>Monitor!J21</f>
        <v>9.6475756359011946</v>
      </c>
    </row>
    <row r="6" spans="1:4" x14ac:dyDescent="0.25">
      <c r="A6" s="42" t="s">
        <v>8</v>
      </c>
      <c r="B6" s="45">
        <f>Monitor!G21</f>
        <v>3300</v>
      </c>
    </row>
    <row r="7" spans="1:4" x14ac:dyDescent="0.25">
      <c r="A7" s="42" t="s">
        <v>14</v>
      </c>
      <c r="B7" s="46">
        <f>Monitor!M21</f>
        <v>-225.88499999999993</v>
      </c>
    </row>
    <row r="8" spans="1:4" x14ac:dyDescent="0.25">
      <c r="A8" s="42" t="s">
        <v>15</v>
      </c>
      <c r="B8" s="47">
        <f>Monitor!N21</f>
        <v>-6.8449999999999983E-2</v>
      </c>
    </row>
    <row r="9" spans="1:4" x14ac:dyDescent="0.25">
      <c r="A9" s="42" t="s">
        <v>669</v>
      </c>
      <c r="B9" s="46">
        <f>Monitor!O21</f>
        <v>-21.549000000000191</v>
      </c>
    </row>
    <row r="10" spans="1:4" x14ac:dyDescent="0.25">
      <c r="A10" s="42" t="s">
        <v>20</v>
      </c>
      <c r="B10" s="48">
        <f>Monitor!S21</f>
        <v>46148</v>
      </c>
    </row>
    <row r="11" spans="1:4" x14ac:dyDescent="0.25">
      <c r="A11" s="42" t="s">
        <v>670</v>
      </c>
      <c r="B11" s="49">
        <f>Monitor!W21</f>
        <v>-560.51221433150499</v>
      </c>
    </row>
    <row r="12" spans="1:4" x14ac:dyDescent="0.25">
      <c r="A12" s="42" t="s">
        <v>671</v>
      </c>
      <c r="B12" s="50" t="str">
        <f>Monitor!F21</f>
        <v>NR/BB/BB-</v>
      </c>
    </row>
    <row r="13" spans="1:4" x14ac:dyDescent="0.25">
      <c r="A13" s="42" t="s">
        <v>4</v>
      </c>
      <c r="B13" s="50" t="str">
        <f>Monitor!C21</f>
        <v>CoreWeave</v>
      </c>
    </row>
    <row r="15" spans="1:4" x14ac:dyDescent="0.25">
      <c r="A15" s="4" t="s">
        <v>672</v>
      </c>
      <c r="B15" s="5"/>
      <c r="C15" s="5"/>
      <c r="D15" s="5"/>
    </row>
    <row r="16" spans="1:4" ht="69" customHeight="1" x14ac:dyDescent="0.25">
      <c r="A16" s="51" t="s">
        <v>192</v>
      </c>
      <c r="B16" s="52" t="s">
        <v>222</v>
      </c>
    </row>
    <row r="18" spans="1:4" x14ac:dyDescent="0.25">
      <c r="A18" s="4" t="s">
        <v>673</v>
      </c>
      <c r="B18" s="5"/>
      <c r="C18" s="4" t="s">
        <v>674</v>
      </c>
      <c r="D18" s="4" t="s">
        <v>675</v>
      </c>
    </row>
    <row r="19" spans="1:4" ht="16.149999999999999" customHeight="1" x14ac:dyDescent="0.25">
      <c r="A19" s="53" t="s">
        <v>676</v>
      </c>
      <c r="B19" s="54" t="s">
        <v>2859</v>
      </c>
      <c r="C19" s="55" t="s">
        <v>678</v>
      </c>
      <c r="D19" s="56" t="s">
        <v>679</v>
      </c>
    </row>
    <row r="20" spans="1:4" ht="29.45" customHeight="1" x14ac:dyDescent="0.25">
      <c r="A20" s="53" t="s">
        <v>2860</v>
      </c>
      <c r="B20" s="54" t="s">
        <v>2861</v>
      </c>
      <c r="C20" s="55" t="s">
        <v>678</v>
      </c>
      <c r="D20" s="56" t="s">
        <v>679</v>
      </c>
    </row>
    <row r="21" spans="1:4" ht="29.45" customHeight="1" x14ac:dyDescent="0.25">
      <c r="A21" s="53" t="s">
        <v>1889</v>
      </c>
      <c r="B21" s="54" t="s">
        <v>2862</v>
      </c>
      <c r="C21" s="55" t="s">
        <v>678</v>
      </c>
      <c r="D21" s="56" t="s">
        <v>679</v>
      </c>
    </row>
    <row r="22" spans="1:4" ht="16.149999999999999" customHeight="1" x14ac:dyDescent="0.25">
      <c r="A22" s="53" t="s">
        <v>695</v>
      </c>
      <c r="B22" s="54" t="s">
        <v>2863</v>
      </c>
      <c r="C22" s="55" t="s">
        <v>841</v>
      </c>
      <c r="D22" s="58" t="s">
        <v>698</v>
      </c>
    </row>
    <row r="23" spans="1:4" ht="42.6" customHeight="1" x14ac:dyDescent="0.25">
      <c r="A23" s="53" t="s">
        <v>1417</v>
      </c>
      <c r="B23" s="54" t="s">
        <v>2864</v>
      </c>
      <c r="C23" s="55" t="s">
        <v>678</v>
      </c>
      <c r="D23" s="56" t="s">
        <v>679</v>
      </c>
    </row>
    <row r="24" spans="1:4" ht="29.45" customHeight="1" x14ac:dyDescent="0.25">
      <c r="A24" s="53" t="s">
        <v>2865</v>
      </c>
      <c r="B24" s="54" t="s">
        <v>2866</v>
      </c>
      <c r="C24" s="55" t="s">
        <v>678</v>
      </c>
      <c r="D24" s="56" t="s">
        <v>679</v>
      </c>
    </row>
    <row r="25" spans="1:4" ht="42.6" customHeight="1" x14ac:dyDescent="0.25">
      <c r="A25" s="53" t="s">
        <v>1423</v>
      </c>
      <c r="B25" s="54" t="s">
        <v>2867</v>
      </c>
      <c r="C25" s="55" t="s">
        <v>678</v>
      </c>
      <c r="D25" s="56" t="s">
        <v>679</v>
      </c>
    </row>
    <row r="26" spans="1:4" ht="42.6" customHeight="1" x14ac:dyDescent="0.25">
      <c r="A26" s="53" t="s">
        <v>2868</v>
      </c>
      <c r="B26" s="54" t="s">
        <v>2869</v>
      </c>
      <c r="C26" s="55" t="s">
        <v>684</v>
      </c>
      <c r="D26" s="56" t="s">
        <v>679</v>
      </c>
    </row>
    <row r="27" spans="1:4" ht="29.45" customHeight="1" x14ac:dyDescent="0.25">
      <c r="A27" s="53" t="s">
        <v>2870</v>
      </c>
      <c r="B27" s="54" t="s">
        <v>2871</v>
      </c>
      <c r="C27" s="55" t="s">
        <v>877</v>
      </c>
      <c r="D27" s="60" t="s">
        <v>803</v>
      </c>
    </row>
    <row r="28" spans="1:4" ht="29.45" customHeight="1" x14ac:dyDescent="0.25">
      <c r="A28" s="53" t="s">
        <v>705</v>
      </c>
      <c r="B28" s="54" t="s">
        <v>2872</v>
      </c>
      <c r="C28" s="55" t="s">
        <v>684</v>
      </c>
      <c r="D28" s="56" t="s">
        <v>679</v>
      </c>
    </row>
    <row r="29" spans="1:4" ht="29.45" customHeight="1" x14ac:dyDescent="0.25">
      <c r="A29" s="53" t="s">
        <v>2873</v>
      </c>
      <c r="B29" s="54" t="s">
        <v>2874</v>
      </c>
      <c r="C29" s="55" t="s">
        <v>678</v>
      </c>
      <c r="D29" s="56" t="s">
        <v>679</v>
      </c>
    </row>
    <row r="30" spans="1:4" ht="16.149999999999999" customHeight="1" x14ac:dyDescent="0.25">
      <c r="A30" s="53" t="s">
        <v>699</v>
      </c>
      <c r="B30" s="54" t="s">
        <v>2875</v>
      </c>
      <c r="C30" s="55" t="s">
        <v>684</v>
      </c>
      <c r="D30" s="56" t="s">
        <v>679</v>
      </c>
    </row>
    <row r="31" spans="1:4" ht="16.149999999999999" customHeight="1" x14ac:dyDescent="0.25">
      <c r="A31" s="53" t="s">
        <v>1902</v>
      </c>
      <c r="B31" s="54" t="s">
        <v>2876</v>
      </c>
      <c r="C31" s="55" t="s">
        <v>678</v>
      </c>
      <c r="D31" s="56" t="s">
        <v>679</v>
      </c>
    </row>
    <row r="32" spans="1:4" ht="16.149999999999999" customHeight="1" x14ac:dyDescent="0.25">
      <c r="A32" s="53" t="s">
        <v>693</v>
      </c>
      <c r="B32" s="54" t="s">
        <v>2877</v>
      </c>
      <c r="C32" s="55" t="s">
        <v>678</v>
      </c>
      <c r="D32" s="56" t="s">
        <v>679</v>
      </c>
    </row>
    <row r="34" spans="1:4" x14ac:dyDescent="0.25">
      <c r="A34" s="4" t="s">
        <v>717</v>
      </c>
      <c r="B34" s="5"/>
      <c r="C34" s="4" t="s">
        <v>674</v>
      </c>
      <c r="D34" s="4" t="s">
        <v>675</v>
      </c>
    </row>
    <row r="35" spans="1:4" ht="29.45" customHeight="1" x14ac:dyDescent="0.25">
      <c r="A35" s="53" t="s">
        <v>2878</v>
      </c>
      <c r="B35" s="54" t="s">
        <v>2879</v>
      </c>
      <c r="C35" s="55" t="s">
        <v>678</v>
      </c>
      <c r="D35" s="56" t="s">
        <v>679</v>
      </c>
    </row>
    <row r="36" spans="1:4" ht="42.6" customHeight="1" x14ac:dyDescent="0.25">
      <c r="A36" s="53" t="s">
        <v>722</v>
      </c>
      <c r="B36" s="54" t="s">
        <v>2880</v>
      </c>
      <c r="C36" s="55" t="s">
        <v>678</v>
      </c>
      <c r="D36" s="56" t="s">
        <v>679</v>
      </c>
    </row>
    <row r="37" spans="1:4" ht="16.149999999999999" customHeight="1" x14ac:dyDescent="0.25">
      <c r="A37" s="53" t="s">
        <v>2881</v>
      </c>
      <c r="B37" s="54" t="s">
        <v>2882</v>
      </c>
      <c r="C37" s="55" t="s">
        <v>684</v>
      </c>
      <c r="D37" s="56" t="s">
        <v>679</v>
      </c>
    </row>
    <row r="38" spans="1:4" ht="42.6" customHeight="1" x14ac:dyDescent="0.25">
      <c r="A38" s="53" t="s">
        <v>2883</v>
      </c>
      <c r="B38" s="54" t="s">
        <v>2884</v>
      </c>
      <c r="C38" s="55" t="s">
        <v>684</v>
      </c>
      <c r="D38" s="56" t="s">
        <v>679</v>
      </c>
    </row>
    <row r="39" spans="1:4" ht="29.45" customHeight="1" x14ac:dyDescent="0.25">
      <c r="A39" s="53" t="s">
        <v>2885</v>
      </c>
      <c r="B39" s="54" t="s">
        <v>2886</v>
      </c>
      <c r="C39" s="55" t="s">
        <v>877</v>
      </c>
      <c r="D39" s="57" t="s">
        <v>690</v>
      </c>
    </row>
    <row r="40" spans="1:4" ht="29.45" customHeight="1" x14ac:dyDescent="0.25">
      <c r="A40" s="53" t="s">
        <v>1140</v>
      </c>
      <c r="B40" s="54" t="s">
        <v>2887</v>
      </c>
      <c r="C40" s="55" t="s">
        <v>678</v>
      </c>
      <c r="D40" s="56" t="s">
        <v>679</v>
      </c>
    </row>
    <row r="42" spans="1:4" x14ac:dyDescent="0.25">
      <c r="A42" s="4" t="s">
        <v>728</v>
      </c>
      <c r="B42" s="5"/>
      <c r="C42" s="4" t="s">
        <v>674</v>
      </c>
      <c r="D42" s="4" t="s">
        <v>675</v>
      </c>
    </row>
    <row r="43" spans="1:4" ht="29.45" customHeight="1" x14ac:dyDescent="0.25">
      <c r="A43" s="53" t="s">
        <v>729</v>
      </c>
      <c r="B43" s="54" t="s">
        <v>2888</v>
      </c>
      <c r="C43" s="55" t="s">
        <v>877</v>
      </c>
      <c r="D43" s="57" t="s">
        <v>690</v>
      </c>
    </row>
    <row r="44" spans="1:4" ht="16.149999999999999" customHeight="1" x14ac:dyDescent="0.25">
      <c r="A44" s="53" t="s">
        <v>2889</v>
      </c>
      <c r="B44" s="54" t="s">
        <v>2890</v>
      </c>
      <c r="C44" s="55" t="s">
        <v>877</v>
      </c>
      <c r="D44" s="57" t="s">
        <v>690</v>
      </c>
    </row>
    <row r="45" spans="1:4" ht="16.149999999999999" customHeight="1" x14ac:dyDescent="0.25">
      <c r="A45" s="53" t="s">
        <v>735</v>
      </c>
      <c r="B45" s="54" t="s">
        <v>2891</v>
      </c>
      <c r="C45" s="55" t="s">
        <v>877</v>
      </c>
      <c r="D45" s="56" t="s">
        <v>679</v>
      </c>
    </row>
    <row r="46" spans="1:4" ht="42.6" customHeight="1" x14ac:dyDescent="0.25">
      <c r="A46" s="53" t="s">
        <v>2892</v>
      </c>
      <c r="B46" s="54" t="s">
        <v>2893</v>
      </c>
      <c r="C46" s="55" t="s">
        <v>776</v>
      </c>
      <c r="D46" s="56" t="s">
        <v>679</v>
      </c>
    </row>
    <row r="47" spans="1:4" ht="29.45" customHeight="1" x14ac:dyDescent="0.25">
      <c r="A47" s="53" t="s">
        <v>2894</v>
      </c>
      <c r="B47" s="54" t="s">
        <v>2895</v>
      </c>
      <c r="C47" s="55" t="s">
        <v>877</v>
      </c>
      <c r="D47" s="56" t="s">
        <v>679</v>
      </c>
    </row>
    <row r="48" spans="1:4" ht="29.45" customHeight="1" x14ac:dyDescent="0.25">
      <c r="A48" s="53" t="s">
        <v>2896</v>
      </c>
      <c r="B48" s="54" t="s">
        <v>2897</v>
      </c>
      <c r="C48" s="55" t="s">
        <v>731</v>
      </c>
      <c r="D48" s="56" t="s">
        <v>679</v>
      </c>
    </row>
    <row r="49" spans="1:4" ht="42.6" customHeight="1" x14ac:dyDescent="0.25">
      <c r="A49" s="53" t="s">
        <v>2898</v>
      </c>
      <c r="B49" s="54" t="s">
        <v>2899</v>
      </c>
      <c r="C49" s="55" t="s">
        <v>689</v>
      </c>
      <c r="D49" s="56" t="s">
        <v>679</v>
      </c>
    </row>
    <row r="51" spans="1:4" x14ac:dyDescent="0.25">
      <c r="A51" s="4" t="s">
        <v>740</v>
      </c>
      <c r="B51" s="5"/>
      <c r="C51" s="4" t="s">
        <v>674</v>
      </c>
      <c r="D51" s="4" t="s">
        <v>675</v>
      </c>
    </row>
    <row r="52" spans="1:4" ht="29.45" customHeight="1" x14ac:dyDescent="0.25">
      <c r="A52" s="53" t="s">
        <v>4</v>
      </c>
      <c r="B52" s="54" t="s">
        <v>2900</v>
      </c>
      <c r="C52" s="55" t="s">
        <v>877</v>
      </c>
      <c r="D52" s="56" t="s">
        <v>679</v>
      </c>
    </row>
    <row r="53" spans="1:4" ht="29.45" customHeight="1" x14ac:dyDescent="0.25">
      <c r="A53" s="53" t="s">
        <v>2901</v>
      </c>
      <c r="B53" s="54" t="s">
        <v>2902</v>
      </c>
      <c r="C53" s="55" t="s">
        <v>684</v>
      </c>
      <c r="D53" s="56" t="s">
        <v>679</v>
      </c>
    </row>
    <row r="54" spans="1:4" ht="29.45" customHeight="1" x14ac:dyDescent="0.25">
      <c r="A54" s="53" t="s">
        <v>2903</v>
      </c>
      <c r="B54" s="54" t="s">
        <v>2904</v>
      </c>
      <c r="C54" s="55" t="s">
        <v>877</v>
      </c>
      <c r="D54" s="56" t="s">
        <v>679</v>
      </c>
    </row>
    <row r="55" spans="1:4" ht="16.149999999999999" customHeight="1" x14ac:dyDescent="0.25">
      <c r="A55" s="53" t="s">
        <v>1307</v>
      </c>
      <c r="B55" s="54" t="s">
        <v>2905</v>
      </c>
      <c r="C55" s="55" t="s">
        <v>877</v>
      </c>
      <c r="D55" s="57" t="s">
        <v>690</v>
      </c>
    </row>
    <row r="56" spans="1:4" ht="29.45" customHeight="1" x14ac:dyDescent="0.25">
      <c r="A56" s="53" t="s">
        <v>2906</v>
      </c>
      <c r="B56" s="54" t="s">
        <v>2907</v>
      </c>
      <c r="C56" s="55" t="s">
        <v>841</v>
      </c>
      <c r="D56" s="58" t="s">
        <v>698</v>
      </c>
    </row>
    <row r="57" spans="1:4" ht="29.45" customHeight="1" x14ac:dyDescent="0.25">
      <c r="A57" s="53" t="s">
        <v>1309</v>
      </c>
      <c r="B57" s="54" t="s">
        <v>2908</v>
      </c>
      <c r="C57" s="55" t="s">
        <v>877</v>
      </c>
      <c r="D57" s="56" t="s">
        <v>679</v>
      </c>
    </row>
    <row r="58" spans="1:4" ht="42.6" customHeight="1" x14ac:dyDescent="0.25">
      <c r="A58" s="53" t="s">
        <v>2909</v>
      </c>
      <c r="B58" s="54" t="s">
        <v>2910</v>
      </c>
      <c r="C58" s="55" t="s">
        <v>684</v>
      </c>
      <c r="D58" s="56" t="s">
        <v>679</v>
      </c>
    </row>
    <row r="59" spans="1:4" ht="42.6" customHeight="1" x14ac:dyDescent="0.25">
      <c r="A59" s="53" t="s">
        <v>2911</v>
      </c>
      <c r="B59" s="54" t="s">
        <v>2912</v>
      </c>
      <c r="C59" s="55" t="s">
        <v>684</v>
      </c>
      <c r="D59" s="56" t="s">
        <v>679</v>
      </c>
    </row>
    <row r="60" spans="1:4" ht="16.149999999999999" customHeight="1" x14ac:dyDescent="0.25">
      <c r="A60" s="53" t="s">
        <v>807</v>
      </c>
      <c r="B60" s="54" t="s">
        <v>2913</v>
      </c>
      <c r="C60" s="55" t="s">
        <v>684</v>
      </c>
      <c r="D60" s="56" t="s">
        <v>679</v>
      </c>
    </row>
    <row r="61" spans="1:4" ht="16.149999999999999" customHeight="1" x14ac:dyDescent="0.25">
      <c r="A61" s="53" t="s">
        <v>2914</v>
      </c>
      <c r="B61" s="54" t="s">
        <v>2915</v>
      </c>
      <c r="C61" s="55" t="s">
        <v>877</v>
      </c>
      <c r="D61" s="57" t="s">
        <v>690</v>
      </c>
    </row>
    <row r="63" spans="1:4" x14ac:dyDescent="0.25">
      <c r="A63" s="4" t="s">
        <v>762</v>
      </c>
      <c r="B63" s="5"/>
      <c r="C63" s="4" t="s">
        <v>674</v>
      </c>
      <c r="D63" s="4" t="s">
        <v>675</v>
      </c>
    </row>
    <row r="64" spans="1:4" ht="29.45" customHeight="1" x14ac:dyDescent="0.25">
      <c r="A64" s="53" t="s">
        <v>2916</v>
      </c>
      <c r="B64" s="54" t="s">
        <v>2917</v>
      </c>
      <c r="C64" s="55" t="s">
        <v>753</v>
      </c>
      <c r="D64" s="56" t="s">
        <v>679</v>
      </c>
    </row>
    <row r="65" spans="1:4" ht="16.149999999999999" customHeight="1" x14ac:dyDescent="0.25">
      <c r="A65" s="53" t="s">
        <v>1675</v>
      </c>
      <c r="B65" s="54" t="s">
        <v>2918</v>
      </c>
      <c r="C65" s="55" t="s">
        <v>877</v>
      </c>
      <c r="D65" s="56" t="s">
        <v>679</v>
      </c>
    </row>
    <row r="66" spans="1:4" ht="29.45" customHeight="1" x14ac:dyDescent="0.25">
      <c r="A66" s="53" t="s">
        <v>2919</v>
      </c>
      <c r="B66" s="54" t="s">
        <v>2920</v>
      </c>
      <c r="C66" s="55" t="s">
        <v>737</v>
      </c>
      <c r="D66" s="57" t="s">
        <v>690</v>
      </c>
    </row>
    <row r="67" spans="1:4" ht="29.45" customHeight="1" x14ac:dyDescent="0.25">
      <c r="A67" s="53" t="s">
        <v>2921</v>
      </c>
      <c r="B67" s="54" t="s">
        <v>2922</v>
      </c>
      <c r="C67" s="55" t="s">
        <v>841</v>
      </c>
      <c r="D67" s="58" t="s">
        <v>698</v>
      </c>
    </row>
    <row r="68" spans="1:4" ht="29.45" customHeight="1" x14ac:dyDescent="0.25">
      <c r="A68" s="53" t="s">
        <v>1166</v>
      </c>
      <c r="B68" s="54" t="s">
        <v>2923</v>
      </c>
      <c r="C68" s="55" t="s">
        <v>678</v>
      </c>
      <c r="D68" s="56" t="s">
        <v>679</v>
      </c>
    </row>
    <row r="69" spans="1:4" ht="29.45" customHeight="1" x14ac:dyDescent="0.25">
      <c r="A69" s="53" t="s">
        <v>2924</v>
      </c>
      <c r="B69" s="54" t="s">
        <v>2925</v>
      </c>
      <c r="C69" s="55" t="s">
        <v>737</v>
      </c>
      <c r="D69" s="57" t="s">
        <v>690</v>
      </c>
    </row>
    <row r="71" spans="1:4" x14ac:dyDescent="0.25">
      <c r="A71" s="4" t="s">
        <v>773</v>
      </c>
      <c r="B71" s="5"/>
      <c r="C71" s="4" t="s">
        <v>674</v>
      </c>
      <c r="D71" s="4" t="s">
        <v>675</v>
      </c>
    </row>
    <row r="72" spans="1:4" ht="29.45" customHeight="1" x14ac:dyDescent="0.25">
      <c r="A72" s="53" t="s">
        <v>2926</v>
      </c>
      <c r="B72" s="54" t="s">
        <v>2927</v>
      </c>
      <c r="C72" s="55" t="s">
        <v>737</v>
      </c>
      <c r="D72" s="57" t="s">
        <v>690</v>
      </c>
    </row>
    <row r="73" spans="1:4" ht="29.45" customHeight="1" x14ac:dyDescent="0.25">
      <c r="A73" s="53" t="s">
        <v>2512</v>
      </c>
      <c r="B73" s="54" t="s">
        <v>2928</v>
      </c>
      <c r="C73" s="55" t="s">
        <v>737</v>
      </c>
      <c r="D73" s="57" t="s">
        <v>690</v>
      </c>
    </row>
    <row r="74" spans="1:4" ht="16.149999999999999" customHeight="1" x14ac:dyDescent="0.25">
      <c r="A74" s="53" t="s">
        <v>2929</v>
      </c>
      <c r="B74" s="54" t="s">
        <v>2930</v>
      </c>
      <c r="C74" s="55" t="s">
        <v>776</v>
      </c>
      <c r="D74" s="56" t="s">
        <v>679</v>
      </c>
    </row>
    <row r="76" spans="1:4" x14ac:dyDescent="0.25">
      <c r="A76" s="4" t="s">
        <v>781</v>
      </c>
      <c r="B76" s="5"/>
      <c r="C76" s="4" t="s">
        <v>674</v>
      </c>
      <c r="D76" s="4" t="s">
        <v>675</v>
      </c>
    </row>
    <row r="77" spans="1:4" ht="29.45" customHeight="1" x14ac:dyDescent="0.25">
      <c r="A77" s="53" t="s">
        <v>2931</v>
      </c>
      <c r="B77" s="54" t="s">
        <v>2932</v>
      </c>
      <c r="C77" s="55" t="s">
        <v>877</v>
      </c>
      <c r="D77" s="57" t="s">
        <v>690</v>
      </c>
    </row>
    <row r="78" spans="1:4" ht="29.45" customHeight="1" x14ac:dyDescent="0.25">
      <c r="A78" s="53" t="s">
        <v>2176</v>
      </c>
      <c r="B78" s="54" t="s">
        <v>2933</v>
      </c>
      <c r="C78" s="55" t="s">
        <v>678</v>
      </c>
      <c r="D78" s="56" t="s">
        <v>679</v>
      </c>
    </row>
    <row r="79" spans="1:4" ht="29.45" customHeight="1" x14ac:dyDescent="0.25">
      <c r="A79" s="53" t="s">
        <v>1000</v>
      </c>
      <c r="B79" s="54" t="s">
        <v>2934</v>
      </c>
      <c r="C79" s="55" t="s">
        <v>877</v>
      </c>
      <c r="D79" s="60" t="s">
        <v>803</v>
      </c>
    </row>
    <row r="80" spans="1:4" ht="16.149999999999999" customHeight="1" x14ac:dyDescent="0.25">
      <c r="A80" s="53" t="s">
        <v>784</v>
      </c>
      <c r="B80" s="54" t="s">
        <v>2935</v>
      </c>
      <c r="C80" s="55" t="s">
        <v>877</v>
      </c>
      <c r="D80" s="57" t="s">
        <v>690</v>
      </c>
    </row>
    <row r="81" spans="1:4" ht="29.45" customHeight="1" x14ac:dyDescent="0.25">
      <c r="A81" s="53" t="s">
        <v>2936</v>
      </c>
      <c r="B81" s="54" t="s">
        <v>2937</v>
      </c>
      <c r="C81" s="55" t="s">
        <v>684</v>
      </c>
      <c r="D81" s="56" t="s">
        <v>679</v>
      </c>
    </row>
    <row r="83" spans="1:4" x14ac:dyDescent="0.25">
      <c r="A83" s="4" t="s">
        <v>792</v>
      </c>
      <c r="B83" s="5"/>
      <c r="C83" s="4" t="s">
        <v>674</v>
      </c>
      <c r="D83" s="4" t="s">
        <v>675</v>
      </c>
    </row>
    <row r="84" spans="1:4" ht="16.149999999999999" customHeight="1" x14ac:dyDescent="0.25">
      <c r="A84" s="53" t="s">
        <v>680</v>
      </c>
      <c r="B84" s="54" t="s">
        <v>2938</v>
      </c>
      <c r="C84" s="55" t="s">
        <v>877</v>
      </c>
      <c r="D84" s="56" t="s">
        <v>679</v>
      </c>
    </row>
    <row r="85" spans="1:4" ht="29.45" customHeight="1" x14ac:dyDescent="0.25">
      <c r="A85" s="53" t="s">
        <v>1990</v>
      </c>
      <c r="B85" s="54" t="s">
        <v>2939</v>
      </c>
      <c r="C85" s="55" t="s">
        <v>877</v>
      </c>
      <c r="D85" s="56" t="s">
        <v>679</v>
      </c>
    </row>
    <row r="86" spans="1:4" ht="29.45" customHeight="1" x14ac:dyDescent="0.25">
      <c r="A86" s="53" t="s">
        <v>2940</v>
      </c>
      <c r="B86" s="54" t="s">
        <v>2941</v>
      </c>
      <c r="C86" s="55" t="s">
        <v>678</v>
      </c>
      <c r="D86" s="56" t="s">
        <v>679</v>
      </c>
    </row>
    <row r="87" spans="1:4" ht="16.149999999999999" customHeight="1" x14ac:dyDescent="0.25">
      <c r="A87" s="53" t="s">
        <v>1980</v>
      </c>
      <c r="B87" s="54" t="s">
        <v>2942</v>
      </c>
      <c r="C87" s="55" t="s">
        <v>841</v>
      </c>
      <c r="D87" s="58" t="s">
        <v>698</v>
      </c>
    </row>
    <row r="88" spans="1:4" ht="29.45" customHeight="1" x14ac:dyDescent="0.25">
      <c r="A88" s="53" t="s">
        <v>2943</v>
      </c>
      <c r="B88" s="54" t="s">
        <v>2944</v>
      </c>
      <c r="C88" s="55" t="s">
        <v>877</v>
      </c>
      <c r="D88" s="60" t="s">
        <v>803</v>
      </c>
    </row>
    <row r="89" spans="1:4" ht="29.45" customHeight="1" x14ac:dyDescent="0.25">
      <c r="A89" s="53" t="s">
        <v>2945</v>
      </c>
      <c r="B89" s="54" t="s">
        <v>2946</v>
      </c>
      <c r="C89" s="55" t="s">
        <v>877</v>
      </c>
      <c r="D89" s="56" t="s">
        <v>679</v>
      </c>
    </row>
    <row r="91" spans="1:4" x14ac:dyDescent="0.25">
      <c r="A91" s="4" t="s">
        <v>804</v>
      </c>
      <c r="B91" s="5"/>
      <c r="C91" s="4" t="s">
        <v>674</v>
      </c>
      <c r="D91" s="4" t="s">
        <v>675</v>
      </c>
    </row>
    <row r="92" spans="1:4" ht="16.149999999999999" customHeight="1" x14ac:dyDescent="0.25">
      <c r="A92" s="53" t="s">
        <v>2176</v>
      </c>
      <c r="B92" s="54" t="s">
        <v>2947</v>
      </c>
      <c r="C92" s="55" t="s">
        <v>678</v>
      </c>
      <c r="D92" s="56" t="s">
        <v>679</v>
      </c>
    </row>
    <row r="93" spans="1:4" ht="16.149999999999999" customHeight="1" x14ac:dyDescent="0.25">
      <c r="A93" s="53" t="s">
        <v>1990</v>
      </c>
      <c r="B93" s="54" t="s">
        <v>2948</v>
      </c>
      <c r="C93" s="55" t="s">
        <v>684</v>
      </c>
      <c r="D93" s="56" t="s">
        <v>679</v>
      </c>
    </row>
    <row r="94" spans="1:4" ht="29.45" customHeight="1" x14ac:dyDescent="0.25">
      <c r="A94" s="53" t="s">
        <v>2949</v>
      </c>
      <c r="B94" s="54" t="s">
        <v>2950</v>
      </c>
      <c r="C94" s="55" t="s">
        <v>684</v>
      </c>
      <c r="D94" s="56" t="s">
        <v>679</v>
      </c>
    </row>
    <row r="95" spans="1:4" ht="16.149999999999999" customHeight="1" x14ac:dyDescent="0.25">
      <c r="A95" s="53" t="s">
        <v>2951</v>
      </c>
      <c r="B95" s="54" t="s">
        <v>2952</v>
      </c>
      <c r="C95" s="55" t="s">
        <v>877</v>
      </c>
      <c r="D95" s="57" t="s">
        <v>690</v>
      </c>
    </row>
    <row r="96" spans="1:4" ht="16.149999999999999" customHeight="1" x14ac:dyDescent="0.25">
      <c r="A96" s="53" t="s">
        <v>2953</v>
      </c>
      <c r="B96" s="54" t="s">
        <v>2954</v>
      </c>
      <c r="C96" s="55" t="s">
        <v>684</v>
      </c>
      <c r="D96" s="56" t="s">
        <v>679</v>
      </c>
    </row>
    <row r="98" spans="1:4" x14ac:dyDescent="0.25">
      <c r="A98" s="4" t="s">
        <v>813</v>
      </c>
      <c r="B98" s="5"/>
      <c r="C98" s="4" t="s">
        <v>674</v>
      </c>
      <c r="D98" s="4" t="s">
        <v>675</v>
      </c>
    </row>
    <row r="99" spans="1:4" ht="29.45" customHeight="1" x14ac:dyDescent="0.25">
      <c r="A99" s="53" t="s">
        <v>1996</v>
      </c>
      <c r="B99" s="54" t="s">
        <v>2955</v>
      </c>
      <c r="C99" s="55" t="s">
        <v>678</v>
      </c>
      <c r="D99" s="56" t="s">
        <v>679</v>
      </c>
    </row>
    <row r="100" spans="1:4" ht="29.45" customHeight="1" x14ac:dyDescent="0.25">
      <c r="A100" s="53" t="s">
        <v>2652</v>
      </c>
      <c r="B100" s="54" t="s">
        <v>2956</v>
      </c>
      <c r="C100" s="55" t="s">
        <v>684</v>
      </c>
      <c r="D100" s="56" t="s">
        <v>679</v>
      </c>
    </row>
    <row r="101" spans="1:4" ht="29.45" customHeight="1" x14ac:dyDescent="0.25">
      <c r="A101" s="53" t="s">
        <v>2957</v>
      </c>
      <c r="B101" s="54" t="s">
        <v>2958</v>
      </c>
      <c r="C101" s="55" t="s">
        <v>684</v>
      </c>
      <c r="D101" s="56" t="s">
        <v>679</v>
      </c>
    </row>
    <row r="102" spans="1:4" ht="29.45" customHeight="1" x14ac:dyDescent="0.25">
      <c r="A102" s="53" t="s">
        <v>2959</v>
      </c>
      <c r="B102" s="54" t="s">
        <v>2960</v>
      </c>
      <c r="C102" s="55" t="s">
        <v>684</v>
      </c>
      <c r="D102" s="56" t="s">
        <v>679</v>
      </c>
    </row>
    <row r="103" spans="1:4" ht="29.45" customHeight="1" x14ac:dyDescent="0.25">
      <c r="A103" s="53" t="s">
        <v>822</v>
      </c>
      <c r="B103" s="54" t="s">
        <v>2961</v>
      </c>
      <c r="C103" s="55" t="s">
        <v>684</v>
      </c>
      <c r="D103" s="56" t="s">
        <v>679</v>
      </c>
    </row>
    <row r="104" spans="1:4" ht="16.149999999999999" customHeight="1" x14ac:dyDescent="0.25">
      <c r="A104" s="53" t="s">
        <v>709</v>
      </c>
      <c r="B104" s="54" t="s">
        <v>2962</v>
      </c>
      <c r="C104" s="55" t="s">
        <v>678</v>
      </c>
      <c r="D104" s="56" t="s">
        <v>679</v>
      </c>
    </row>
    <row r="106" spans="1:4" x14ac:dyDescent="0.25">
      <c r="A106" s="4" t="s">
        <v>826</v>
      </c>
      <c r="B106" s="5"/>
      <c r="C106" s="4" t="s">
        <v>674</v>
      </c>
      <c r="D106" s="4" t="s">
        <v>675</v>
      </c>
    </row>
    <row r="107" spans="1:4" ht="16.149999999999999" customHeight="1" x14ac:dyDescent="0.25">
      <c r="A107" s="53" t="s">
        <v>2963</v>
      </c>
      <c r="B107" s="54" t="s">
        <v>2964</v>
      </c>
      <c r="C107" s="55" t="s">
        <v>841</v>
      </c>
      <c r="D107" s="58" t="s">
        <v>698</v>
      </c>
    </row>
    <row r="108" spans="1:4" ht="16.149999999999999" customHeight="1" x14ac:dyDescent="0.25">
      <c r="A108" s="53" t="s">
        <v>2965</v>
      </c>
      <c r="B108" s="54" t="s">
        <v>2966</v>
      </c>
      <c r="C108" s="55" t="s">
        <v>962</v>
      </c>
      <c r="D108" s="59" t="s">
        <v>748</v>
      </c>
    </row>
    <row r="109" spans="1:4" ht="29.45" customHeight="1" x14ac:dyDescent="0.25">
      <c r="A109" s="53" t="s">
        <v>2967</v>
      </c>
      <c r="B109" s="54" t="s">
        <v>2968</v>
      </c>
      <c r="C109" s="55" t="s">
        <v>684</v>
      </c>
      <c r="D109" s="56" t="s">
        <v>679</v>
      </c>
    </row>
    <row r="111" spans="1:4" x14ac:dyDescent="0.25">
      <c r="A111" s="4" t="s">
        <v>833</v>
      </c>
      <c r="B111" s="5"/>
      <c r="C111" s="4" t="s">
        <v>674</v>
      </c>
      <c r="D111" s="4" t="s">
        <v>675</v>
      </c>
    </row>
    <row r="112" spans="1:4" ht="29.45" customHeight="1" x14ac:dyDescent="0.25">
      <c r="A112" s="53" t="s">
        <v>2969</v>
      </c>
      <c r="B112" s="54" t="s">
        <v>2970</v>
      </c>
      <c r="C112" s="55" t="s">
        <v>678</v>
      </c>
      <c r="D112" s="56" t="s">
        <v>679</v>
      </c>
    </row>
    <row r="113" spans="1:4" ht="29.45" customHeight="1" x14ac:dyDescent="0.25">
      <c r="A113" s="53" t="s">
        <v>2971</v>
      </c>
      <c r="B113" s="54" t="s">
        <v>2972</v>
      </c>
      <c r="C113" s="55" t="s">
        <v>877</v>
      </c>
      <c r="D113" s="56" t="s">
        <v>679</v>
      </c>
    </row>
    <row r="115" spans="1:4" x14ac:dyDescent="0.25">
      <c r="A115" s="4" t="s">
        <v>836</v>
      </c>
      <c r="B115" s="5"/>
      <c r="C115" s="4" t="s">
        <v>674</v>
      </c>
      <c r="D115" s="4" t="s">
        <v>675</v>
      </c>
    </row>
    <row r="116" spans="1:4" ht="29.45" customHeight="1" x14ac:dyDescent="0.25">
      <c r="A116" s="53" t="s">
        <v>2973</v>
      </c>
      <c r="B116" s="54" t="s">
        <v>2974</v>
      </c>
      <c r="C116" s="55" t="s">
        <v>877</v>
      </c>
      <c r="D116" s="57" t="s">
        <v>690</v>
      </c>
    </row>
    <row r="117" spans="1:4" ht="16.149999999999999" customHeight="1" x14ac:dyDescent="0.25">
      <c r="A117" s="53" t="s">
        <v>2975</v>
      </c>
      <c r="B117" s="54" t="s">
        <v>2976</v>
      </c>
      <c r="C117" s="55" t="s">
        <v>877</v>
      </c>
      <c r="D117" s="57" t="s">
        <v>690</v>
      </c>
    </row>
    <row r="118" spans="1:4" ht="16.149999999999999" customHeight="1" x14ac:dyDescent="0.25">
      <c r="A118" s="53" t="s">
        <v>2977</v>
      </c>
      <c r="B118" s="54" t="s">
        <v>2978</v>
      </c>
      <c r="C118" s="55" t="s">
        <v>877</v>
      </c>
      <c r="D118" s="60" t="s">
        <v>803</v>
      </c>
    </row>
    <row r="119" spans="1:4" ht="16.149999999999999" customHeight="1" x14ac:dyDescent="0.25">
      <c r="A119" s="53" t="s">
        <v>2979</v>
      </c>
      <c r="B119" s="54" t="s">
        <v>2980</v>
      </c>
      <c r="C119" s="55" t="s">
        <v>877</v>
      </c>
      <c r="D119" s="57" t="s">
        <v>690</v>
      </c>
    </row>
    <row r="120" spans="1:4" ht="29.45" customHeight="1" x14ac:dyDescent="0.25">
      <c r="A120" s="53" t="s">
        <v>2981</v>
      </c>
      <c r="B120" s="54" t="s">
        <v>2982</v>
      </c>
      <c r="C120" s="55" t="s">
        <v>684</v>
      </c>
      <c r="D120" s="56" t="s">
        <v>679</v>
      </c>
    </row>
    <row r="121" spans="1:4" ht="42.6" customHeight="1" x14ac:dyDescent="0.25">
      <c r="A121" s="53" t="s">
        <v>2983</v>
      </c>
      <c r="B121" s="54" t="s">
        <v>2984</v>
      </c>
      <c r="C121" s="55" t="s">
        <v>877</v>
      </c>
      <c r="D121" s="57" t="s">
        <v>690</v>
      </c>
    </row>
    <row r="122" spans="1:4" ht="29.45" customHeight="1" x14ac:dyDescent="0.25">
      <c r="A122" s="53" t="s">
        <v>2985</v>
      </c>
      <c r="B122" s="54" t="s">
        <v>2986</v>
      </c>
      <c r="C122" s="55" t="s">
        <v>877</v>
      </c>
      <c r="D122" s="57" t="s">
        <v>690</v>
      </c>
    </row>
    <row r="123" spans="1:4" ht="16.149999999999999" customHeight="1" x14ac:dyDescent="0.25">
      <c r="A123" s="53" t="s">
        <v>2987</v>
      </c>
      <c r="B123" s="54" t="s">
        <v>2988</v>
      </c>
      <c r="C123" s="55" t="s">
        <v>877</v>
      </c>
      <c r="D123" s="56" t="s">
        <v>679</v>
      </c>
    </row>
    <row r="125" spans="1:4" x14ac:dyDescent="0.25">
      <c r="A125" s="4" t="s">
        <v>855</v>
      </c>
      <c r="B125" s="5"/>
      <c r="C125" s="4" t="s">
        <v>674</v>
      </c>
      <c r="D125" s="4" t="s">
        <v>675</v>
      </c>
    </row>
    <row r="126" spans="1:4" ht="42.6" customHeight="1" x14ac:dyDescent="0.25">
      <c r="A126" s="53" t="s">
        <v>2989</v>
      </c>
      <c r="B126" s="54" t="s">
        <v>2990</v>
      </c>
      <c r="C126" s="55" t="s">
        <v>877</v>
      </c>
      <c r="D126" s="57" t="s">
        <v>690</v>
      </c>
    </row>
    <row r="127" spans="1:4" ht="16.149999999999999" customHeight="1" x14ac:dyDescent="0.25">
      <c r="A127" s="53" t="s">
        <v>2991</v>
      </c>
      <c r="B127" s="54" t="s">
        <v>2992</v>
      </c>
      <c r="C127" s="55" t="s">
        <v>877</v>
      </c>
      <c r="D127" s="56" t="s">
        <v>679</v>
      </c>
    </row>
    <row r="128" spans="1:4" ht="16.149999999999999" customHeight="1" x14ac:dyDescent="0.25">
      <c r="A128" s="53" t="s">
        <v>2993</v>
      </c>
      <c r="B128" s="54" t="s">
        <v>2994</v>
      </c>
      <c r="C128" s="55" t="s">
        <v>731</v>
      </c>
      <c r="D128" s="56" t="s">
        <v>679</v>
      </c>
    </row>
    <row r="129" spans="1:4" ht="16.149999999999999" customHeight="1" x14ac:dyDescent="0.25">
      <c r="A129" s="53" t="s">
        <v>2995</v>
      </c>
      <c r="B129" s="54" t="s">
        <v>2996</v>
      </c>
      <c r="C129" s="55" t="s">
        <v>776</v>
      </c>
      <c r="D129" s="56" t="s">
        <v>679</v>
      </c>
    </row>
    <row r="130" spans="1:4" ht="16.149999999999999" customHeight="1" x14ac:dyDescent="0.25">
      <c r="A130" s="53" t="s">
        <v>2997</v>
      </c>
      <c r="B130" s="54" t="s">
        <v>2998</v>
      </c>
      <c r="C130" s="55" t="s">
        <v>737</v>
      </c>
      <c r="D130" s="57" t="s">
        <v>690</v>
      </c>
    </row>
    <row r="131" spans="1:4" ht="16.149999999999999" customHeight="1" x14ac:dyDescent="0.25">
      <c r="A131" s="53" t="s">
        <v>2999</v>
      </c>
      <c r="B131" s="54" t="s">
        <v>3000</v>
      </c>
      <c r="C131" s="55" t="s">
        <v>877</v>
      </c>
      <c r="D131" s="57" t="s">
        <v>690</v>
      </c>
    </row>
    <row r="133" spans="1:4" x14ac:dyDescent="0.25">
      <c r="A133" s="4" t="s">
        <v>868</v>
      </c>
      <c r="B133" s="5"/>
      <c r="C133" s="4" t="s">
        <v>674</v>
      </c>
      <c r="D133" s="5"/>
    </row>
    <row r="134" spans="1:4" ht="16.149999999999999" customHeight="1" x14ac:dyDescent="0.25">
      <c r="A134" s="61" t="s">
        <v>3001</v>
      </c>
      <c r="B134" s="54" t="s">
        <v>3002</v>
      </c>
      <c r="C134" s="55" t="s">
        <v>684</v>
      </c>
      <c r="D134" s="62"/>
    </row>
    <row r="135" spans="1:4" ht="16.149999999999999" customHeight="1" x14ac:dyDescent="0.25">
      <c r="A135" s="61" t="s">
        <v>3003</v>
      </c>
      <c r="B135" s="54" t="s">
        <v>3004</v>
      </c>
      <c r="C135" s="55" t="s">
        <v>684</v>
      </c>
      <c r="D135" s="62"/>
    </row>
    <row r="136" spans="1:4" ht="16.149999999999999" customHeight="1" x14ac:dyDescent="0.25">
      <c r="A136" s="61" t="s">
        <v>3005</v>
      </c>
      <c r="B136" s="54" t="s">
        <v>3006</v>
      </c>
      <c r="C136" s="55" t="s">
        <v>689</v>
      </c>
      <c r="D136" s="62"/>
    </row>
    <row r="137" spans="1:4" ht="16.149999999999999" customHeight="1" x14ac:dyDescent="0.25">
      <c r="A137" s="61" t="s">
        <v>1236</v>
      </c>
      <c r="B137" s="54" t="s">
        <v>3007</v>
      </c>
      <c r="C137" s="55" t="s">
        <v>689</v>
      </c>
      <c r="D137" s="62"/>
    </row>
    <row r="138" spans="1:4" ht="16.149999999999999" customHeight="1" x14ac:dyDescent="0.25">
      <c r="A138" s="61" t="s">
        <v>2226</v>
      </c>
      <c r="B138" s="54" t="s">
        <v>3008</v>
      </c>
      <c r="C138" s="55" t="s">
        <v>678</v>
      </c>
      <c r="D138" s="62"/>
    </row>
    <row r="139" spans="1:4" ht="16.149999999999999" customHeight="1" x14ac:dyDescent="0.25">
      <c r="A139" s="61" t="s">
        <v>3009</v>
      </c>
      <c r="B139" s="54" t="s">
        <v>3010</v>
      </c>
      <c r="C139" s="55" t="s">
        <v>753</v>
      </c>
      <c r="D139" s="62"/>
    </row>
    <row r="140" spans="1:4" ht="16.149999999999999" customHeight="1" x14ac:dyDescent="0.25">
      <c r="A140" s="61" t="s">
        <v>1563</v>
      </c>
      <c r="B140" s="54" t="s">
        <v>3011</v>
      </c>
      <c r="C140" s="55" t="s">
        <v>877</v>
      </c>
      <c r="D140" s="62"/>
    </row>
    <row r="141" spans="1:4" ht="16.149999999999999" customHeight="1" x14ac:dyDescent="0.25">
      <c r="A141" s="61" t="s">
        <v>873</v>
      </c>
      <c r="B141" s="54" t="s">
        <v>3012</v>
      </c>
      <c r="C141" s="55" t="s">
        <v>678</v>
      </c>
      <c r="D141" s="62"/>
    </row>
    <row r="142" spans="1:4" ht="16.149999999999999" customHeight="1" x14ac:dyDescent="0.25">
      <c r="A142" s="61" t="s">
        <v>3013</v>
      </c>
      <c r="B142" s="54" t="s">
        <v>3014</v>
      </c>
      <c r="C142" s="55" t="s">
        <v>877</v>
      </c>
      <c r="D142" s="62"/>
    </row>
    <row r="143" spans="1:4" ht="16.149999999999999" customHeight="1" x14ac:dyDescent="0.25">
      <c r="A143" s="61" t="s">
        <v>884</v>
      </c>
      <c r="B143" s="54" t="s">
        <v>3015</v>
      </c>
      <c r="C143" s="55" t="s">
        <v>877</v>
      </c>
      <c r="D143" s="62"/>
    </row>
    <row r="144" spans="1:4" ht="16.149999999999999" customHeight="1" x14ac:dyDescent="0.25">
      <c r="A144" s="61" t="s">
        <v>3016</v>
      </c>
      <c r="B144" s="54" t="s">
        <v>3017</v>
      </c>
      <c r="C144" s="55" t="s">
        <v>731</v>
      </c>
      <c r="D144" s="62"/>
    </row>
    <row r="145" spans="1:4" ht="16.149999999999999" customHeight="1" x14ac:dyDescent="0.25">
      <c r="A145" s="61" t="s">
        <v>3018</v>
      </c>
      <c r="B145" s="54" t="s">
        <v>3019</v>
      </c>
      <c r="C145" s="55" t="s">
        <v>776</v>
      </c>
      <c r="D145" s="62"/>
    </row>
    <row r="146" spans="1:4" ht="16.149999999999999" customHeight="1" x14ac:dyDescent="0.25">
      <c r="A146" s="61" t="s">
        <v>3020</v>
      </c>
      <c r="B146" s="54" t="s">
        <v>3021</v>
      </c>
      <c r="C146" s="55" t="s">
        <v>737</v>
      </c>
      <c r="D146" s="62"/>
    </row>
    <row r="147" spans="1:4" ht="16.149999999999999" customHeight="1" x14ac:dyDescent="0.25">
      <c r="A147" s="61" t="s">
        <v>2530</v>
      </c>
      <c r="B147" s="54" t="s">
        <v>3022</v>
      </c>
      <c r="C147" s="55" t="s">
        <v>877</v>
      </c>
      <c r="D147" s="62"/>
    </row>
    <row r="148" spans="1:4" ht="16.149999999999999" customHeight="1" x14ac:dyDescent="0.25">
      <c r="A148" s="61" t="s">
        <v>3023</v>
      </c>
      <c r="B148" s="54" t="s">
        <v>3024</v>
      </c>
      <c r="C148" s="55" t="s">
        <v>678</v>
      </c>
      <c r="D148" s="62"/>
    </row>
    <row r="150" spans="1:4" x14ac:dyDescent="0.25">
      <c r="A150" s="4" t="s">
        <v>894</v>
      </c>
      <c r="B150" s="5"/>
      <c r="C150" s="5"/>
      <c r="D150" s="5"/>
    </row>
    <row r="151" spans="1:4" ht="29.45" customHeight="1" x14ac:dyDescent="0.25">
      <c r="A151" s="53" t="s">
        <v>3025</v>
      </c>
      <c r="B151" s="54" t="s">
        <v>3026</v>
      </c>
      <c r="C151" s="28" t="s">
        <v>897</v>
      </c>
      <c r="D151" s="62"/>
    </row>
    <row r="152" spans="1:4" ht="42.6" customHeight="1" x14ac:dyDescent="0.25">
      <c r="A152" s="53" t="s">
        <v>3027</v>
      </c>
      <c r="B152" s="54" t="s">
        <v>3028</v>
      </c>
      <c r="C152" s="28" t="s">
        <v>897</v>
      </c>
      <c r="D152" s="62"/>
    </row>
    <row r="153" spans="1:4" ht="29.45" customHeight="1" x14ac:dyDescent="0.25">
      <c r="A153" s="53" t="s">
        <v>3029</v>
      </c>
      <c r="B153" s="54" t="s">
        <v>3030</v>
      </c>
      <c r="C153" s="28" t="s">
        <v>897</v>
      </c>
      <c r="D153" s="62"/>
    </row>
    <row r="154" spans="1:4" ht="29.45" customHeight="1" x14ac:dyDescent="0.25">
      <c r="A154" s="53" t="s">
        <v>3031</v>
      </c>
      <c r="B154" s="54" t="s">
        <v>3032</v>
      </c>
      <c r="C154" s="28" t="s">
        <v>897</v>
      </c>
      <c r="D154" s="62"/>
    </row>
    <row r="155" spans="1:4" ht="29.45" customHeight="1" x14ac:dyDescent="0.25">
      <c r="A155" s="53" t="s">
        <v>3033</v>
      </c>
      <c r="B155" s="54" t="s">
        <v>3034</v>
      </c>
      <c r="C155" s="28" t="s">
        <v>897</v>
      </c>
      <c r="D155" s="62"/>
    </row>
    <row r="156" spans="1:4" ht="29.45" customHeight="1" x14ac:dyDescent="0.25">
      <c r="A156" s="53" t="s">
        <v>3035</v>
      </c>
      <c r="B156" s="54" t="s">
        <v>3036</v>
      </c>
      <c r="C156" s="28" t="s">
        <v>897</v>
      </c>
      <c r="D156" s="62"/>
    </row>
    <row r="157" spans="1:4" ht="29.45" customHeight="1" x14ac:dyDescent="0.25">
      <c r="A157" s="53" t="s">
        <v>3037</v>
      </c>
      <c r="B157" s="54" t="s">
        <v>3038</v>
      </c>
      <c r="C157" s="28" t="s">
        <v>897</v>
      </c>
      <c r="D157" s="62"/>
    </row>
    <row r="158" spans="1:4" ht="29.45" customHeight="1" x14ac:dyDescent="0.25">
      <c r="A158" s="53" t="s">
        <v>3039</v>
      </c>
      <c r="B158" s="54" t="s">
        <v>3040</v>
      </c>
      <c r="C158" s="28" t="s">
        <v>897</v>
      </c>
      <c r="D158" s="62"/>
    </row>
    <row r="159" spans="1:4" ht="29.45" customHeight="1" x14ac:dyDescent="0.25">
      <c r="A159" s="53" t="s">
        <v>3041</v>
      </c>
      <c r="B159" s="54" t="s">
        <v>3042</v>
      </c>
      <c r="C159" s="28" t="s">
        <v>897</v>
      </c>
      <c r="D159" s="62"/>
    </row>
    <row r="160" spans="1:4" ht="29.45" customHeight="1" x14ac:dyDescent="0.25">
      <c r="A160" s="53" t="s">
        <v>3043</v>
      </c>
      <c r="B160" s="54" t="s">
        <v>3044</v>
      </c>
      <c r="C160" s="62"/>
      <c r="D160" s="62"/>
    </row>
    <row r="162" spans="1:4" x14ac:dyDescent="0.25">
      <c r="A162" s="4" t="s">
        <v>926</v>
      </c>
      <c r="B162" s="5"/>
      <c r="C162" s="5"/>
      <c r="D162" s="5"/>
    </row>
    <row r="163" spans="1:4" ht="29.45" customHeight="1" x14ac:dyDescent="0.25">
      <c r="B163" s="52" t="s">
        <v>3045</v>
      </c>
    </row>
    <row r="164" spans="1:4" ht="29.45" customHeight="1" x14ac:dyDescent="0.25">
      <c r="B164" s="52" t="s">
        <v>3046</v>
      </c>
    </row>
    <row r="165" spans="1:4" ht="16.149999999999999" customHeight="1" x14ac:dyDescent="0.25">
      <c r="B165" s="52" t="s">
        <v>3047</v>
      </c>
    </row>
    <row r="166" spans="1:4" ht="42.6" customHeight="1" x14ac:dyDescent="0.25">
      <c r="B166" s="52" t="s">
        <v>3048</v>
      </c>
    </row>
    <row r="167" spans="1:4" ht="29.45" customHeight="1" x14ac:dyDescent="0.25">
      <c r="B167" s="52" t="s">
        <v>3049</v>
      </c>
    </row>
    <row r="168" spans="1:4" ht="16.149999999999999" customHeight="1" x14ac:dyDescent="0.25">
      <c r="B168" s="52" t="s">
        <v>3050</v>
      </c>
    </row>
    <row r="169" spans="1:4" ht="16.149999999999999" customHeight="1" x14ac:dyDescent="0.25">
      <c r="B169" s="52" t="s">
        <v>3051</v>
      </c>
    </row>
    <row r="170" spans="1:4" ht="16.149999999999999" customHeight="1" x14ac:dyDescent="0.25">
      <c r="B170" s="52" t="s">
        <v>3052</v>
      </c>
    </row>
    <row r="171" spans="1:4" ht="16.149999999999999" customHeight="1" x14ac:dyDescent="0.25">
      <c r="B171" s="52" t="s">
        <v>3053</v>
      </c>
    </row>
  </sheetData>
  <hyperlinks>
    <hyperlink ref="D1" location="'Monitor'!A21" display="&lt;&lt; Monitor" xr:uid="{00000000-0004-0000-1600-000000000000}"/>
    <hyperlink ref="C151" r:id="rId1" xr:uid="{00000000-0004-0000-1600-000001000000}"/>
    <hyperlink ref="C152" r:id="rId2" xr:uid="{00000000-0004-0000-1600-000002000000}"/>
    <hyperlink ref="C153" r:id="rId3" xr:uid="{00000000-0004-0000-1600-000003000000}"/>
    <hyperlink ref="C154" r:id="rId4" xr:uid="{00000000-0004-0000-1600-000004000000}"/>
    <hyperlink ref="C155" r:id="rId5" xr:uid="{00000000-0004-0000-1600-000005000000}"/>
    <hyperlink ref="C156" r:id="rId6" xr:uid="{00000000-0004-0000-1600-000006000000}"/>
    <hyperlink ref="C157" r:id="rId7" xr:uid="{00000000-0004-0000-1600-000007000000}"/>
    <hyperlink ref="C158" r:id="rId8" xr:uid="{00000000-0004-0000-1600-000008000000}"/>
    <hyperlink ref="C159" r:id="rId9" xr:uid="{00000000-0004-0000-1600-000009000000}"/>
  </hyperlink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55A11"/>
    <pageSetUpPr fitToPage="1"/>
  </sheetPr>
  <dimension ref="A1:D136"/>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223</v>
      </c>
      <c r="D1" s="41" t="s">
        <v>667</v>
      </c>
    </row>
    <row r="2" spans="1:4" x14ac:dyDescent="0.25">
      <c r="A2" s="2" t="s">
        <v>3054</v>
      </c>
    </row>
    <row r="4" spans="1:4" x14ac:dyDescent="0.25">
      <c r="A4" s="42" t="s">
        <v>9</v>
      </c>
      <c r="B4" s="43">
        <f>Monitor!H22</f>
        <v>87.945999999999998</v>
      </c>
    </row>
    <row r="5" spans="1:4" x14ac:dyDescent="0.25">
      <c r="A5" s="42" t="s">
        <v>11</v>
      </c>
      <c r="B5" s="44">
        <f>Monitor!J22</f>
        <v>10.899612829896141</v>
      </c>
    </row>
    <row r="6" spans="1:4" x14ac:dyDescent="0.25">
      <c r="A6" s="42" t="s">
        <v>8</v>
      </c>
      <c r="B6" s="45">
        <f>Monitor!G22</f>
        <v>1300</v>
      </c>
    </row>
    <row r="7" spans="1:4" x14ac:dyDescent="0.25">
      <c r="A7" s="42" t="s">
        <v>14</v>
      </c>
      <c r="B7" s="46">
        <f>Monitor!M22</f>
        <v>-156.70200000000003</v>
      </c>
    </row>
    <row r="8" spans="1:4" x14ac:dyDescent="0.25">
      <c r="A8" s="42" t="s">
        <v>15</v>
      </c>
      <c r="B8" s="47">
        <f>Monitor!N22</f>
        <v>-0.12054000000000002</v>
      </c>
    </row>
    <row r="9" spans="1:4" x14ac:dyDescent="0.25">
      <c r="A9" s="42" t="s">
        <v>669</v>
      </c>
      <c r="B9" s="46">
        <f>Monitor!O22</f>
        <v>-13.663000000000025</v>
      </c>
    </row>
    <row r="10" spans="1:4" x14ac:dyDescent="0.25">
      <c r="A10" s="42" t="s">
        <v>20</v>
      </c>
      <c r="B10" s="48">
        <f>Monitor!S22</f>
        <v>46141</v>
      </c>
    </row>
    <row r="11" spans="1:4" x14ac:dyDescent="0.25">
      <c r="A11" s="42" t="s">
        <v>670</v>
      </c>
      <c r="B11" s="49">
        <f>Monitor!W22</f>
        <v>-396.13418083974545</v>
      </c>
    </row>
    <row r="12" spans="1:4" x14ac:dyDescent="0.25">
      <c r="A12" s="42" t="s">
        <v>671</v>
      </c>
      <c r="B12" s="50" t="str">
        <f>Monitor!F22</f>
        <v>NR/BB+/BB-</v>
      </c>
    </row>
    <row r="13" spans="1:4" x14ac:dyDescent="0.25">
      <c r="A13" s="42" t="s">
        <v>4</v>
      </c>
      <c r="B13" s="50" t="str">
        <f>Monitor!C22</f>
        <v>CoreWeave (Chicago) / Alibaba (Atlanta)</v>
      </c>
    </row>
    <row r="15" spans="1:4" x14ac:dyDescent="0.25">
      <c r="A15" s="4" t="s">
        <v>672</v>
      </c>
      <c r="B15" s="5"/>
      <c r="C15" s="5"/>
      <c r="D15" s="5"/>
    </row>
    <row r="16" spans="1:4" ht="55.9" customHeight="1" x14ac:dyDescent="0.25">
      <c r="A16" s="51" t="s">
        <v>192</v>
      </c>
      <c r="B16" s="52" t="s">
        <v>224</v>
      </c>
    </row>
    <row r="18" spans="1:4" x14ac:dyDescent="0.25">
      <c r="A18" s="4" t="s">
        <v>673</v>
      </c>
      <c r="B18" s="5"/>
      <c r="C18" s="4" t="s">
        <v>674</v>
      </c>
      <c r="D18" s="4" t="s">
        <v>675</v>
      </c>
    </row>
    <row r="19" spans="1:4" ht="16.149999999999999" customHeight="1" x14ac:dyDescent="0.25">
      <c r="A19" s="53" t="s">
        <v>676</v>
      </c>
      <c r="B19" s="54" t="s">
        <v>3055</v>
      </c>
      <c r="C19" s="55" t="s">
        <v>684</v>
      </c>
      <c r="D19" s="56" t="s">
        <v>679</v>
      </c>
    </row>
    <row r="20" spans="1:4" ht="29.45" customHeight="1" x14ac:dyDescent="0.25">
      <c r="A20" s="53" t="s">
        <v>680</v>
      </c>
      <c r="B20" s="54" t="s">
        <v>3056</v>
      </c>
      <c r="C20" s="55" t="s">
        <v>684</v>
      </c>
      <c r="D20" s="57" t="s">
        <v>690</v>
      </c>
    </row>
    <row r="21" spans="1:4" ht="16.149999999999999" customHeight="1" x14ac:dyDescent="0.25">
      <c r="A21" s="53" t="s">
        <v>3057</v>
      </c>
      <c r="B21" s="54" t="s">
        <v>3058</v>
      </c>
      <c r="C21" s="55" t="s">
        <v>3059</v>
      </c>
      <c r="D21" s="63" t="s">
        <v>1408</v>
      </c>
    </row>
    <row r="22" spans="1:4" ht="16.149999999999999" customHeight="1" x14ac:dyDescent="0.25">
      <c r="A22" s="53" t="s">
        <v>3060</v>
      </c>
      <c r="B22" s="54" t="s">
        <v>3061</v>
      </c>
      <c r="C22" s="55" t="s">
        <v>678</v>
      </c>
      <c r="D22" s="63" t="s">
        <v>1408</v>
      </c>
    </row>
    <row r="23" spans="1:4" ht="16.149999999999999" customHeight="1" x14ac:dyDescent="0.25">
      <c r="A23" s="53" t="s">
        <v>3062</v>
      </c>
      <c r="B23" s="54" t="s">
        <v>3063</v>
      </c>
      <c r="C23" s="55" t="s">
        <v>1131</v>
      </c>
      <c r="D23" s="58" t="s">
        <v>698</v>
      </c>
    </row>
    <row r="24" spans="1:4" ht="16.149999999999999" customHeight="1" x14ac:dyDescent="0.25">
      <c r="A24" s="53" t="s">
        <v>695</v>
      </c>
      <c r="B24" s="54" t="s">
        <v>3064</v>
      </c>
      <c r="C24" s="55" t="s">
        <v>1131</v>
      </c>
      <c r="D24" s="58" t="s">
        <v>698</v>
      </c>
    </row>
    <row r="25" spans="1:4" ht="29.45" customHeight="1" x14ac:dyDescent="0.25">
      <c r="A25" s="53" t="s">
        <v>1423</v>
      </c>
      <c r="B25" s="54" t="s">
        <v>3065</v>
      </c>
      <c r="C25" s="55" t="s">
        <v>3059</v>
      </c>
      <c r="D25" s="63" t="s">
        <v>1408</v>
      </c>
    </row>
    <row r="26" spans="1:4" ht="16.149999999999999" customHeight="1" x14ac:dyDescent="0.25">
      <c r="A26" s="53" t="s">
        <v>2595</v>
      </c>
      <c r="B26" s="54" t="s">
        <v>1810</v>
      </c>
      <c r="C26" s="55" t="s">
        <v>684</v>
      </c>
      <c r="D26" s="57" t="s">
        <v>690</v>
      </c>
    </row>
    <row r="28" spans="1:4" x14ac:dyDescent="0.25">
      <c r="A28" s="4" t="s">
        <v>717</v>
      </c>
      <c r="B28" s="5"/>
      <c r="C28" s="4" t="s">
        <v>674</v>
      </c>
      <c r="D28" s="4" t="s">
        <v>675</v>
      </c>
    </row>
    <row r="29" spans="1:4" ht="29.45" customHeight="1" x14ac:dyDescent="0.25">
      <c r="A29" s="53" t="s">
        <v>3066</v>
      </c>
      <c r="B29" s="54" t="s">
        <v>3067</v>
      </c>
      <c r="C29" s="55" t="s">
        <v>3068</v>
      </c>
      <c r="D29" s="57" t="s">
        <v>690</v>
      </c>
    </row>
    <row r="30" spans="1:4" ht="16.149999999999999" customHeight="1" x14ac:dyDescent="0.25">
      <c r="A30" s="53" t="s">
        <v>722</v>
      </c>
      <c r="B30" s="54" t="s">
        <v>3069</v>
      </c>
      <c r="C30" s="55" t="s">
        <v>678</v>
      </c>
      <c r="D30" s="63" t="s">
        <v>1408</v>
      </c>
    </row>
    <row r="31" spans="1:4" ht="29.45" customHeight="1" x14ac:dyDescent="0.25">
      <c r="A31" s="53" t="s">
        <v>246</v>
      </c>
      <c r="B31" s="54" t="s">
        <v>3070</v>
      </c>
      <c r="C31" s="55" t="s">
        <v>3068</v>
      </c>
      <c r="D31" s="57" t="s">
        <v>690</v>
      </c>
    </row>
    <row r="33" spans="1:4" x14ac:dyDescent="0.25">
      <c r="A33" s="4" t="s">
        <v>728</v>
      </c>
      <c r="B33" s="5"/>
      <c r="C33" s="4" t="s">
        <v>674</v>
      </c>
      <c r="D33" s="4" t="s">
        <v>675</v>
      </c>
    </row>
    <row r="34" spans="1:4" ht="29.45" customHeight="1" x14ac:dyDescent="0.25">
      <c r="A34" s="53" t="s">
        <v>3071</v>
      </c>
      <c r="B34" s="54" t="s">
        <v>3072</v>
      </c>
      <c r="C34" s="55" t="s">
        <v>3073</v>
      </c>
      <c r="D34" s="59" t="s">
        <v>748</v>
      </c>
    </row>
    <row r="35" spans="1:4" ht="16.149999999999999" customHeight="1" x14ac:dyDescent="0.25">
      <c r="A35" s="53" t="s">
        <v>3074</v>
      </c>
      <c r="B35" s="54" t="s">
        <v>3075</v>
      </c>
      <c r="C35" s="55" t="s">
        <v>776</v>
      </c>
      <c r="D35" s="57" t="s">
        <v>690</v>
      </c>
    </row>
    <row r="36" spans="1:4" ht="16.149999999999999" customHeight="1" x14ac:dyDescent="0.25">
      <c r="A36" s="53" t="s">
        <v>3076</v>
      </c>
      <c r="B36" s="54" t="s">
        <v>3077</v>
      </c>
      <c r="C36" s="55" t="s">
        <v>737</v>
      </c>
      <c r="D36" s="59" t="s">
        <v>748</v>
      </c>
    </row>
    <row r="37" spans="1:4" ht="16.149999999999999" customHeight="1" x14ac:dyDescent="0.25">
      <c r="A37" s="53" t="s">
        <v>3078</v>
      </c>
      <c r="B37" s="54" t="s">
        <v>3079</v>
      </c>
      <c r="C37" s="55" t="s">
        <v>678</v>
      </c>
      <c r="D37" s="63" t="s">
        <v>1408</v>
      </c>
    </row>
    <row r="39" spans="1:4" x14ac:dyDescent="0.25">
      <c r="A39" s="4" t="s">
        <v>740</v>
      </c>
      <c r="B39" s="5"/>
      <c r="C39" s="4" t="s">
        <v>674</v>
      </c>
      <c r="D39" s="4" t="s">
        <v>675</v>
      </c>
    </row>
    <row r="40" spans="1:4" ht="29.45" customHeight="1" x14ac:dyDescent="0.25">
      <c r="A40" s="53" t="s">
        <v>3080</v>
      </c>
      <c r="B40" s="54" t="s">
        <v>3081</v>
      </c>
      <c r="C40" s="55" t="s">
        <v>678</v>
      </c>
      <c r="D40" s="63" t="s">
        <v>1408</v>
      </c>
    </row>
    <row r="41" spans="1:4" ht="29.45" customHeight="1" x14ac:dyDescent="0.25">
      <c r="A41" s="53" t="s">
        <v>3082</v>
      </c>
      <c r="B41" s="54" t="s">
        <v>3083</v>
      </c>
      <c r="C41" s="55" t="s">
        <v>678</v>
      </c>
      <c r="D41" s="63" t="s">
        <v>1408</v>
      </c>
    </row>
    <row r="42" spans="1:4" ht="29.45" customHeight="1" x14ac:dyDescent="0.25">
      <c r="A42" s="53" t="s">
        <v>3084</v>
      </c>
      <c r="B42" s="54" t="s">
        <v>3085</v>
      </c>
      <c r="C42" s="55" t="s">
        <v>3059</v>
      </c>
      <c r="D42" s="63" t="s">
        <v>1408</v>
      </c>
    </row>
    <row r="43" spans="1:4" ht="29.45" customHeight="1" x14ac:dyDescent="0.25">
      <c r="A43" s="53" t="s">
        <v>1665</v>
      </c>
      <c r="B43" s="54" t="s">
        <v>3086</v>
      </c>
      <c r="C43" s="55" t="s">
        <v>3059</v>
      </c>
      <c r="D43" s="58" t="s">
        <v>698</v>
      </c>
    </row>
    <row r="44" spans="1:4" ht="29.45" customHeight="1" x14ac:dyDescent="0.25">
      <c r="A44" s="53" t="s">
        <v>3087</v>
      </c>
      <c r="B44" s="54" t="s">
        <v>3088</v>
      </c>
      <c r="C44" s="55" t="s">
        <v>678</v>
      </c>
      <c r="D44" s="63" t="s">
        <v>1408</v>
      </c>
    </row>
    <row r="45" spans="1:4" ht="29.45" customHeight="1" x14ac:dyDescent="0.25">
      <c r="A45" s="53" t="s">
        <v>3089</v>
      </c>
      <c r="B45" s="54" t="s">
        <v>3090</v>
      </c>
      <c r="C45" s="55" t="s">
        <v>678</v>
      </c>
      <c r="D45" s="63" t="s">
        <v>1408</v>
      </c>
    </row>
    <row r="46" spans="1:4" ht="16.149999999999999" customHeight="1" x14ac:dyDescent="0.25">
      <c r="A46" s="53" t="s">
        <v>3091</v>
      </c>
      <c r="B46" s="54" t="s">
        <v>3092</v>
      </c>
      <c r="C46" s="55" t="s">
        <v>678</v>
      </c>
      <c r="D46" s="63" t="s">
        <v>1408</v>
      </c>
    </row>
    <row r="47" spans="1:4" ht="29.45" customHeight="1" x14ac:dyDescent="0.25">
      <c r="A47" s="53" t="s">
        <v>3093</v>
      </c>
      <c r="B47" s="54" t="s">
        <v>3094</v>
      </c>
      <c r="C47" s="55" t="s">
        <v>3095</v>
      </c>
      <c r="D47" s="59" t="s">
        <v>748</v>
      </c>
    </row>
    <row r="49" spans="1:4" x14ac:dyDescent="0.25">
      <c r="A49" s="4" t="s">
        <v>762</v>
      </c>
      <c r="B49" s="5"/>
      <c r="C49" s="4" t="s">
        <v>674</v>
      </c>
      <c r="D49" s="4" t="s">
        <v>675</v>
      </c>
    </row>
    <row r="50" spans="1:4" ht="29.45" customHeight="1" x14ac:dyDescent="0.25">
      <c r="A50" s="53" t="s">
        <v>3096</v>
      </c>
      <c r="B50" s="54" t="s">
        <v>3097</v>
      </c>
      <c r="C50" s="55" t="s">
        <v>3098</v>
      </c>
      <c r="D50" s="57" t="s">
        <v>690</v>
      </c>
    </row>
    <row r="51" spans="1:4" ht="16.149999999999999" customHeight="1" x14ac:dyDescent="0.25">
      <c r="A51" s="53" t="s">
        <v>3099</v>
      </c>
      <c r="B51" s="54" t="s">
        <v>3100</v>
      </c>
      <c r="C51" s="55" t="s">
        <v>3101</v>
      </c>
      <c r="D51" s="59" t="s">
        <v>748</v>
      </c>
    </row>
    <row r="52" spans="1:4" ht="29.45" customHeight="1" x14ac:dyDescent="0.25">
      <c r="A52" s="53" t="s">
        <v>988</v>
      </c>
      <c r="B52" s="54" t="s">
        <v>3102</v>
      </c>
      <c r="C52" s="55" t="s">
        <v>3059</v>
      </c>
      <c r="D52" s="63" t="s">
        <v>1408</v>
      </c>
    </row>
    <row r="53" spans="1:4" ht="16.149999999999999" customHeight="1" x14ac:dyDescent="0.25">
      <c r="A53" s="53" t="s">
        <v>1166</v>
      </c>
      <c r="B53" s="54" t="s">
        <v>3103</v>
      </c>
      <c r="C53" s="55" t="s">
        <v>3104</v>
      </c>
      <c r="D53" s="57" t="s">
        <v>690</v>
      </c>
    </row>
    <row r="55" spans="1:4" x14ac:dyDescent="0.25">
      <c r="A55" s="4" t="s">
        <v>773</v>
      </c>
      <c r="B55" s="5"/>
      <c r="C55" s="4" t="s">
        <v>674</v>
      </c>
      <c r="D55" s="4" t="s">
        <v>675</v>
      </c>
    </row>
    <row r="56" spans="1:4" ht="29.45" customHeight="1" x14ac:dyDescent="0.25">
      <c r="A56" s="53" t="s">
        <v>3105</v>
      </c>
      <c r="B56" s="54" t="s">
        <v>3106</v>
      </c>
      <c r="C56" s="55" t="s">
        <v>678</v>
      </c>
      <c r="D56" s="63" t="s">
        <v>1408</v>
      </c>
    </row>
    <row r="57" spans="1:4" ht="29.45" customHeight="1" x14ac:dyDescent="0.25">
      <c r="A57" s="53" t="s">
        <v>3107</v>
      </c>
      <c r="B57" s="54" t="s">
        <v>3108</v>
      </c>
      <c r="C57" s="55" t="s">
        <v>678</v>
      </c>
      <c r="D57" s="63" t="s">
        <v>1408</v>
      </c>
    </row>
    <row r="59" spans="1:4" x14ac:dyDescent="0.25">
      <c r="A59" s="4" t="s">
        <v>781</v>
      </c>
      <c r="B59" s="5"/>
      <c r="C59" s="4" t="s">
        <v>674</v>
      </c>
      <c r="D59" s="4" t="s">
        <v>675</v>
      </c>
    </row>
    <row r="60" spans="1:4" ht="29.45" customHeight="1" x14ac:dyDescent="0.25">
      <c r="A60" s="53" t="s">
        <v>3109</v>
      </c>
      <c r="B60" s="54" t="s">
        <v>3110</v>
      </c>
      <c r="C60" s="55" t="s">
        <v>678</v>
      </c>
      <c r="D60" s="63" t="s">
        <v>1408</v>
      </c>
    </row>
    <row r="61" spans="1:4" ht="29.45" customHeight="1" x14ac:dyDescent="0.25">
      <c r="A61" s="53" t="s">
        <v>1000</v>
      </c>
      <c r="B61" s="54" t="s">
        <v>3111</v>
      </c>
      <c r="C61" s="55" t="s">
        <v>3112</v>
      </c>
      <c r="D61" s="63" t="s">
        <v>1408</v>
      </c>
    </row>
    <row r="62" spans="1:4" ht="29.45" customHeight="1" x14ac:dyDescent="0.25">
      <c r="A62" s="53" t="s">
        <v>3113</v>
      </c>
      <c r="B62" s="54" t="s">
        <v>3114</v>
      </c>
      <c r="C62" s="55" t="s">
        <v>678</v>
      </c>
      <c r="D62" s="63" t="s">
        <v>1408</v>
      </c>
    </row>
    <row r="64" spans="1:4" x14ac:dyDescent="0.25">
      <c r="A64" s="4" t="s">
        <v>792</v>
      </c>
      <c r="B64" s="5"/>
      <c r="C64" s="4" t="s">
        <v>674</v>
      </c>
      <c r="D64" s="4" t="s">
        <v>675</v>
      </c>
    </row>
    <row r="65" spans="1:4" ht="29.45" customHeight="1" x14ac:dyDescent="0.25">
      <c r="A65" s="53" t="s">
        <v>797</v>
      </c>
      <c r="B65" s="54" t="s">
        <v>3115</v>
      </c>
      <c r="C65" s="55" t="s">
        <v>3059</v>
      </c>
      <c r="D65" s="63" t="s">
        <v>1408</v>
      </c>
    </row>
    <row r="66" spans="1:4" ht="29.45" customHeight="1" x14ac:dyDescent="0.25">
      <c r="A66" s="53" t="s">
        <v>1187</v>
      </c>
      <c r="B66" s="54" t="s">
        <v>3116</v>
      </c>
      <c r="C66" s="55" t="s">
        <v>678</v>
      </c>
      <c r="D66" s="63" t="s">
        <v>1408</v>
      </c>
    </row>
    <row r="67" spans="1:4" ht="16.149999999999999" customHeight="1" x14ac:dyDescent="0.25">
      <c r="A67" s="53" t="s">
        <v>3117</v>
      </c>
      <c r="B67" s="54" t="s">
        <v>3118</v>
      </c>
      <c r="C67" s="55" t="s">
        <v>678</v>
      </c>
      <c r="D67" s="63" t="s">
        <v>1408</v>
      </c>
    </row>
    <row r="68" spans="1:4" ht="29.45" customHeight="1" x14ac:dyDescent="0.25">
      <c r="A68" s="53" t="s">
        <v>3119</v>
      </c>
      <c r="B68" s="54" t="s">
        <v>3120</v>
      </c>
      <c r="C68" s="55" t="s">
        <v>678</v>
      </c>
      <c r="D68" s="63" t="s">
        <v>1408</v>
      </c>
    </row>
    <row r="70" spans="1:4" x14ac:dyDescent="0.25">
      <c r="A70" s="4" t="s">
        <v>804</v>
      </c>
      <c r="B70" s="5"/>
      <c r="C70" s="4" t="s">
        <v>674</v>
      </c>
      <c r="D70" s="4" t="s">
        <v>675</v>
      </c>
    </row>
    <row r="71" spans="1:4" ht="29.45" customHeight="1" x14ac:dyDescent="0.25">
      <c r="A71" s="53" t="s">
        <v>3121</v>
      </c>
      <c r="B71" s="54" t="s">
        <v>3122</v>
      </c>
      <c r="C71" s="55" t="s">
        <v>678</v>
      </c>
      <c r="D71" s="63" t="s">
        <v>1408</v>
      </c>
    </row>
    <row r="72" spans="1:4" ht="29.45" customHeight="1" x14ac:dyDescent="0.25">
      <c r="A72" s="53" t="s">
        <v>3107</v>
      </c>
      <c r="B72" s="54" t="s">
        <v>3123</v>
      </c>
      <c r="C72" s="55" t="s">
        <v>678</v>
      </c>
      <c r="D72" s="63" t="s">
        <v>1408</v>
      </c>
    </row>
    <row r="73" spans="1:4" ht="29.45" customHeight="1" x14ac:dyDescent="0.25">
      <c r="A73" s="53" t="s">
        <v>2792</v>
      </c>
      <c r="B73" s="54" t="s">
        <v>3124</v>
      </c>
      <c r="C73" s="55" t="s">
        <v>678</v>
      </c>
      <c r="D73" s="63" t="s">
        <v>1408</v>
      </c>
    </row>
    <row r="75" spans="1:4" x14ac:dyDescent="0.25">
      <c r="A75" s="4" t="s">
        <v>813</v>
      </c>
      <c r="B75" s="5"/>
      <c r="C75" s="4" t="s">
        <v>674</v>
      </c>
      <c r="D75" s="4" t="s">
        <v>675</v>
      </c>
    </row>
    <row r="76" spans="1:4" ht="29.45" customHeight="1" x14ac:dyDescent="0.25">
      <c r="A76" s="53" t="s">
        <v>3125</v>
      </c>
      <c r="B76" s="54" t="s">
        <v>3126</v>
      </c>
      <c r="C76" s="55" t="s">
        <v>678</v>
      </c>
      <c r="D76" s="63" t="s">
        <v>1408</v>
      </c>
    </row>
    <row r="77" spans="1:4" ht="29.45" customHeight="1" x14ac:dyDescent="0.25">
      <c r="A77" s="53" t="s">
        <v>3127</v>
      </c>
      <c r="B77" s="54" t="s">
        <v>3128</v>
      </c>
      <c r="C77" s="55" t="s">
        <v>678</v>
      </c>
      <c r="D77" s="63" t="s">
        <v>1408</v>
      </c>
    </row>
    <row r="79" spans="1:4" x14ac:dyDescent="0.25">
      <c r="A79" s="4" t="s">
        <v>826</v>
      </c>
      <c r="B79" s="5"/>
      <c r="C79" s="4" t="s">
        <v>674</v>
      </c>
      <c r="D79" s="4" t="s">
        <v>675</v>
      </c>
    </row>
    <row r="80" spans="1:4" ht="42.6" customHeight="1" x14ac:dyDescent="0.25">
      <c r="A80" s="53" t="s">
        <v>1031</v>
      </c>
      <c r="B80" s="54" t="s">
        <v>3129</v>
      </c>
      <c r="C80" s="55" t="s">
        <v>678</v>
      </c>
      <c r="D80" s="63" t="s">
        <v>1408</v>
      </c>
    </row>
    <row r="81" spans="1:4" ht="29.45" customHeight="1" x14ac:dyDescent="0.25">
      <c r="A81" s="53" t="s">
        <v>1029</v>
      </c>
      <c r="B81" s="54" t="s">
        <v>3130</v>
      </c>
      <c r="C81" s="55" t="s">
        <v>1131</v>
      </c>
      <c r="D81" s="58" t="s">
        <v>698</v>
      </c>
    </row>
    <row r="82" spans="1:4" ht="16.149999999999999" customHeight="1" x14ac:dyDescent="0.25">
      <c r="A82" s="53" t="s">
        <v>827</v>
      </c>
      <c r="B82" s="54" t="s">
        <v>3131</v>
      </c>
      <c r="C82" s="55" t="s">
        <v>1131</v>
      </c>
      <c r="D82" s="58" t="s">
        <v>698</v>
      </c>
    </row>
    <row r="84" spans="1:4" x14ac:dyDescent="0.25">
      <c r="A84" s="4" t="s">
        <v>833</v>
      </c>
      <c r="B84" s="5"/>
      <c r="C84" s="4" t="s">
        <v>674</v>
      </c>
      <c r="D84" s="4" t="s">
        <v>675</v>
      </c>
    </row>
    <row r="85" spans="1:4" ht="16.149999999999999" customHeight="1" x14ac:dyDescent="0.25">
      <c r="A85" s="53" t="s">
        <v>834</v>
      </c>
      <c r="B85" s="54" t="s">
        <v>3132</v>
      </c>
      <c r="C85" s="55" t="s">
        <v>3133</v>
      </c>
      <c r="D85" s="57" t="s">
        <v>690</v>
      </c>
    </row>
    <row r="87" spans="1:4" x14ac:dyDescent="0.25">
      <c r="A87" s="4" t="s">
        <v>836</v>
      </c>
      <c r="B87" s="5"/>
      <c r="C87" s="4" t="s">
        <v>674</v>
      </c>
      <c r="D87" s="4" t="s">
        <v>675</v>
      </c>
    </row>
    <row r="88" spans="1:4" ht="16.149999999999999" customHeight="1" x14ac:dyDescent="0.25">
      <c r="A88" s="53" t="s">
        <v>3134</v>
      </c>
      <c r="B88" s="54" t="s">
        <v>3135</v>
      </c>
      <c r="C88" s="55" t="s">
        <v>678</v>
      </c>
      <c r="D88" s="63" t="s">
        <v>1408</v>
      </c>
    </row>
    <row r="89" spans="1:4" ht="29.45" customHeight="1" x14ac:dyDescent="0.25">
      <c r="A89" s="53" t="s">
        <v>3136</v>
      </c>
      <c r="B89" s="54" t="s">
        <v>3137</v>
      </c>
      <c r="C89" s="55" t="s">
        <v>678</v>
      </c>
      <c r="D89" s="63" t="s">
        <v>1408</v>
      </c>
    </row>
    <row r="90" spans="1:4" ht="16.149999999999999" customHeight="1" x14ac:dyDescent="0.25">
      <c r="A90" s="53" t="s">
        <v>3138</v>
      </c>
      <c r="B90" s="54" t="s">
        <v>3139</v>
      </c>
      <c r="C90" s="55" t="s">
        <v>678</v>
      </c>
      <c r="D90" s="63" t="s">
        <v>1408</v>
      </c>
    </row>
    <row r="91" spans="1:4" ht="16.149999999999999" customHeight="1" x14ac:dyDescent="0.25">
      <c r="A91" s="53" t="s">
        <v>1047</v>
      </c>
      <c r="B91" s="54" t="s">
        <v>3140</v>
      </c>
      <c r="C91" s="55" t="s">
        <v>678</v>
      </c>
      <c r="D91" s="63" t="s">
        <v>1408</v>
      </c>
    </row>
    <row r="92" spans="1:4" ht="16.149999999999999" customHeight="1" x14ac:dyDescent="0.25">
      <c r="A92" s="53" t="s">
        <v>3141</v>
      </c>
      <c r="B92" s="54" t="s">
        <v>3142</v>
      </c>
      <c r="C92" s="55" t="s">
        <v>678</v>
      </c>
      <c r="D92" s="63" t="s">
        <v>1408</v>
      </c>
    </row>
    <row r="93" spans="1:4" ht="16.149999999999999" customHeight="1" x14ac:dyDescent="0.25">
      <c r="A93" s="53" t="s">
        <v>3143</v>
      </c>
      <c r="B93" s="54" t="s">
        <v>3144</v>
      </c>
      <c r="C93" s="55" t="s">
        <v>737</v>
      </c>
      <c r="D93" s="59" t="s">
        <v>748</v>
      </c>
    </row>
    <row r="95" spans="1:4" x14ac:dyDescent="0.25">
      <c r="A95" s="4" t="s">
        <v>855</v>
      </c>
      <c r="B95" s="5"/>
      <c r="C95" s="4" t="s">
        <v>674</v>
      </c>
      <c r="D95" s="4" t="s">
        <v>675</v>
      </c>
    </row>
    <row r="96" spans="1:4" ht="16.149999999999999" customHeight="1" x14ac:dyDescent="0.25">
      <c r="A96" s="53" t="s">
        <v>3145</v>
      </c>
      <c r="B96" s="54" t="s">
        <v>3146</v>
      </c>
      <c r="C96" s="55" t="s">
        <v>689</v>
      </c>
      <c r="D96" s="59" t="s">
        <v>748</v>
      </c>
    </row>
    <row r="97" spans="1:4" ht="16.149999999999999" customHeight="1" x14ac:dyDescent="0.25">
      <c r="A97" s="53" t="s">
        <v>3147</v>
      </c>
      <c r="B97" s="54" t="s">
        <v>3148</v>
      </c>
      <c r="C97" s="55" t="s">
        <v>776</v>
      </c>
      <c r="D97" s="57" t="s">
        <v>690</v>
      </c>
    </row>
    <row r="98" spans="1:4" ht="16.149999999999999" customHeight="1" x14ac:dyDescent="0.25">
      <c r="A98" s="53" t="s">
        <v>3149</v>
      </c>
      <c r="B98" s="54" t="s">
        <v>3150</v>
      </c>
      <c r="C98" s="55" t="s">
        <v>737</v>
      </c>
      <c r="D98" s="59" t="s">
        <v>748</v>
      </c>
    </row>
    <row r="99" spans="1:4" ht="16.149999999999999" customHeight="1" x14ac:dyDescent="0.25">
      <c r="A99" s="53" t="s">
        <v>3151</v>
      </c>
      <c r="B99" s="54" t="s">
        <v>3152</v>
      </c>
      <c r="C99" s="55" t="s">
        <v>1131</v>
      </c>
      <c r="D99" s="58" t="s">
        <v>698</v>
      </c>
    </row>
    <row r="101" spans="1:4" x14ac:dyDescent="0.25">
      <c r="A101" s="4" t="s">
        <v>868</v>
      </c>
      <c r="B101" s="5"/>
      <c r="C101" s="4" t="s">
        <v>674</v>
      </c>
      <c r="D101" s="5"/>
    </row>
    <row r="102" spans="1:4" ht="16.149999999999999" customHeight="1" x14ac:dyDescent="0.25">
      <c r="A102" s="61" t="s">
        <v>3153</v>
      </c>
      <c r="B102" s="54" t="s">
        <v>3154</v>
      </c>
      <c r="C102" s="55" t="s">
        <v>877</v>
      </c>
      <c r="D102" s="62"/>
    </row>
    <row r="103" spans="1:4" ht="16.149999999999999" customHeight="1" x14ac:dyDescent="0.25">
      <c r="A103" s="61" t="s">
        <v>2046</v>
      </c>
      <c r="B103" s="54" t="s">
        <v>3155</v>
      </c>
      <c r="C103" s="55" t="s">
        <v>877</v>
      </c>
      <c r="D103" s="62"/>
    </row>
    <row r="104" spans="1:4" ht="16.149999999999999" customHeight="1" x14ac:dyDescent="0.25">
      <c r="A104" s="61" t="s">
        <v>3156</v>
      </c>
      <c r="B104" s="54" t="s">
        <v>3157</v>
      </c>
      <c r="C104" s="55" t="s">
        <v>678</v>
      </c>
      <c r="D104" s="62"/>
    </row>
    <row r="105" spans="1:4" ht="16.149999999999999" customHeight="1" x14ac:dyDescent="0.25">
      <c r="A105" s="61" t="s">
        <v>1557</v>
      </c>
      <c r="B105" s="54" t="s">
        <v>3158</v>
      </c>
      <c r="C105" s="55" t="s">
        <v>962</v>
      </c>
      <c r="D105" s="62"/>
    </row>
    <row r="106" spans="1:4" ht="16.149999999999999" customHeight="1" x14ac:dyDescent="0.25">
      <c r="A106" s="61" t="s">
        <v>1871</v>
      </c>
      <c r="B106" s="54" t="s">
        <v>3159</v>
      </c>
      <c r="C106" s="55" t="s">
        <v>3133</v>
      </c>
      <c r="D106" s="62"/>
    </row>
    <row r="107" spans="1:4" ht="16.149999999999999" customHeight="1" x14ac:dyDescent="0.25">
      <c r="A107" s="61" t="s">
        <v>871</v>
      </c>
      <c r="B107" s="54" t="s">
        <v>3160</v>
      </c>
      <c r="C107" s="55" t="s">
        <v>3104</v>
      </c>
      <c r="D107" s="62"/>
    </row>
    <row r="108" spans="1:4" ht="16.149999999999999" customHeight="1" x14ac:dyDescent="0.25">
      <c r="A108" s="61" t="s">
        <v>1068</v>
      </c>
      <c r="B108" s="54" t="s">
        <v>3161</v>
      </c>
      <c r="C108" s="55" t="s">
        <v>678</v>
      </c>
      <c r="D108" s="62"/>
    </row>
    <row r="109" spans="1:4" ht="16.149999999999999" customHeight="1" x14ac:dyDescent="0.25">
      <c r="A109" s="61" t="s">
        <v>3162</v>
      </c>
      <c r="B109" s="54" t="s">
        <v>3163</v>
      </c>
      <c r="C109" s="55" t="s">
        <v>776</v>
      </c>
      <c r="D109" s="62"/>
    </row>
    <row r="110" spans="1:4" ht="16.149999999999999" customHeight="1" x14ac:dyDescent="0.25">
      <c r="A110" s="61" t="s">
        <v>878</v>
      </c>
      <c r="B110" s="54" t="s">
        <v>3164</v>
      </c>
      <c r="C110" s="55" t="s">
        <v>689</v>
      </c>
      <c r="D110" s="62"/>
    </row>
    <row r="111" spans="1:4" ht="16.149999999999999" customHeight="1" x14ac:dyDescent="0.25">
      <c r="A111" s="61" t="s">
        <v>884</v>
      </c>
      <c r="B111" s="54" t="s">
        <v>3165</v>
      </c>
      <c r="C111" s="55" t="s">
        <v>737</v>
      </c>
      <c r="D111" s="62"/>
    </row>
    <row r="112" spans="1:4" ht="16.149999999999999" customHeight="1" x14ac:dyDescent="0.25">
      <c r="A112" s="61" t="s">
        <v>3166</v>
      </c>
      <c r="B112" s="54" t="s">
        <v>3167</v>
      </c>
      <c r="C112" s="55" t="s">
        <v>841</v>
      </c>
      <c r="D112" s="62"/>
    </row>
    <row r="113" spans="1:4" ht="16.149999999999999" customHeight="1" x14ac:dyDescent="0.25">
      <c r="A113" s="61" t="s">
        <v>2233</v>
      </c>
      <c r="B113" s="54" t="s">
        <v>3168</v>
      </c>
      <c r="C113" s="55" t="s">
        <v>1131</v>
      </c>
      <c r="D113" s="62"/>
    </row>
    <row r="115" spans="1:4" x14ac:dyDescent="0.25">
      <c r="A115" s="4" t="s">
        <v>894</v>
      </c>
      <c r="B115" s="5"/>
      <c r="C115" s="5"/>
      <c r="D115" s="5"/>
    </row>
    <row r="116" spans="1:4" ht="29.45" customHeight="1" x14ac:dyDescent="0.25">
      <c r="A116" s="53" t="s">
        <v>1250</v>
      </c>
      <c r="B116" s="54" t="s">
        <v>3169</v>
      </c>
      <c r="C116" s="62"/>
      <c r="D116" s="62"/>
    </row>
    <row r="117" spans="1:4" ht="42.6" customHeight="1" x14ac:dyDescent="0.25">
      <c r="A117" s="53" t="s">
        <v>3170</v>
      </c>
      <c r="B117" s="54" t="s">
        <v>3171</v>
      </c>
      <c r="C117" s="28" t="s">
        <v>897</v>
      </c>
      <c r="D117" s="62"/>
    </row>
    <row r="118" spans="1:4" ht="29.45" customHeight="1" x14ac:dyDescent="0.25">
      <c r="A118" s="53" t="s">
        <v>3172</v>
      </c>
      <c r="B118" s="54" t="s">
        <v>3173</v>
      </c>
      <c r="C118" s="28" t="s">
        <v>897</v>
      </c>
      <c r="D118" s="62"/>
    </row>
    <row r="119" spans="1:4" ht="29.45" customHeight="1" x14ac:dyDescent="0.25">
      <c r="A119" s="53" t="s">
        <v>3174</v>
      </c>
      <c r="B119" s="54" t="s">
        <v>3175</v>
      </c>
      <c r="C119" s="28" t="s">
        <v>897</v>
      </c>
      <c r="D119" s="62"/>
    </row>
    <row r="120" spans="1:4" ht="29.45" customHeight="1" x14ac:dyDescent="0.25">
      <c r="A120" s="53" t="s">
        <v>3176</v>
      </c>
      <c r="B120" s="54" t="s">
        <v>3177</v>
      </c>
      <c r="C120" s="28" t="s">
        <v>897</v>
      </c>
      <c r="D120" s="62"/>
    </row>
    <row r="121" spans="1:4" ht="29.45" customHeight="1" x14ac:dyDescent="0.25">
      <c r="A121" s="53" t="s">
        <v>3178</v>
      </c>
      <c r="B121" s="54" t="s">
        <v>3179</v>
      </c>
      <c r="C121" s="28" t="s">
        <v>897</v>
      </c>
      <c r="D121" s="62"/>
    </row>
    <row r="122" spans="1:4" ht="29.45" customHeight="1" x14ac:dyDescent="0.25">
      <c r="A122" s="53" t="s">
        <v>3180</v>
      </c>
      <c r="B122" s="54" t="s">
        <v>3181</v>
      </c>
      <c r="C122" s="28" t="s">
        <v>897</v>
      </c>
      <c r="D122" s="62"/>
    </row>
    <row r="123" spans="1:4" ht="29.45" customHeight="1" x14ac:dyDescent="0.25">
      <c r="A123" s="53" t="s">
        <v>3182</v>
      </c>
      <c r="B123" s="54" t="s">
        <v>3183</v>
      </c>
      <c r="C123" s="28" t="s">
        <v>897</v>
      </c>
      <c r="D123" s="62"/>
    </row>
    <row r="124" spans="1:4" ht="29.45" customHeight="1" x14ac:dyDescent="0.25">
      <c r="A124" s="53" t="s">
        <v>3184</v>
      </c>
      <c r="B124" s="54" t="s">
        <v>3185</v>
      </c>
      <c r="C124" s="28" t="s">
        <v>897</v>
      </c>
      <c r="D124" s="62"/>
    </row>
    <row r="125" spans="1:4" ht="29.45" customHeight="1" x14ac:dyDescent="0.25">
      <c r="A125" s="53" t="s">
        <v>1589</v>
      </c>
      <c r="B125" s="54" t="s">
        <v>3186</v>
      </c>
      <c r="C125" s="28" t="s">
        <v>897</v>
      </c>
      <c r="D125" s="62"/>
    </row>
    <row r="126" spans="1:4" ht="29.45" customHeight="1" x14ac:dyDescent="0.25">
      <c r="A126" s="53" t="s">
        <v>3187</v>
      </c>
      <c r="B126" s="54" t="s">
        <v>3188</v>
      </c>
      <c r="C126" s="28" t="s">
        <v>897</v>
      </c>
      <c r="D126" s="62"/>
    </row>
    <row r="128" spans="1:4" x14ac:dyDescent="0.25">
      <c r="A128" s="4" t="s">
        <v>926</v>
      </c>
      <c r="B128" s="5"/>
      <c r="C128" s="5"/>
      <c r="D128" s="5"/>
    </row>
    <row r="129" spans="2:2" ht="29.45" customHeight="1" x14ac:dyDescent="0.25">
      <c r="B129" s="52" t="s">
        <v>3189</v>
      </c>
    </row>
    <row r="130" spans="2:2" ht="29.45" customHeight="1" x14ac:dyDescent="0.25">
      <c r="B130" s="52" t="s">
        <v>3190</v>
      </c>
    </row>
    <row r="131" spans="2:2" ht="29.45" customHeight="1" x14ac:dyDescent="0.25">
      <c r="B131" s="52" t="s">
        <v>3191</v>
      </c>
    </row>
    <row r="132" spans="2:2" ht="29.45" customHeight="1" x14ac:dyDescent="0.25">
      <c r="B132" s="52" t="s">
        <v>3192</v>
      </c>
    </row>
    <row r="133" spans="2:2" ht="29.45" customHeight="1" x14ac:dyDescent="0.25">
      <c r="B133" s="52" t="s">
        <v>3193</v>
      </c>
    </row>
    <row r="134" spans="2:2" ht="16.149999999999999" customHeight="1" x14ac:dyDescent="0.25">
      <c r="B134" s="52" t="s">
        <v>3194</v>
      </c>
    </row>
    <row r="135" spans="2:2" ht="16.149999999999999" customHeight="1" x14ac:dyDescent="0.25">
      <c r="B135" s="52" t="s">
        <v>3195</v>
      </c>
    </row>
    <row r="136" spans="2:2" ht="16.149999999999999" customHeight="1" x14ac:dyDescent="0.25">
      <c r="B136" s="52" t="s">
        <v>3196</v>
      </c>
    </row>
  </sheetData>
  <hyperlinks>
    <hyperlink ref="D1" location="'Monitor'!A22" display="&lt;&lt; Monitor" xr:uid="{00000000-0004-0000-1700-000000000000}"/>
    <hyperlink ref="C117" r:id="rId1" xr:uid="{00000000-0004-0000-1700-000001000000}"/>
    <hyperlink ref="C118" r:id="rId2" xr:uid="{00000000-0004-0000-1700-000002000000}"/>
    <hyperlink ref="C119" r:id="rId3" xr:uid="{00000000-0004-0000-1700-000003000000}"/>
    <hyperlink ref="C120" r:id="rId4" xr:uid="{00000000-0004-0000-1700-000004000000}"/>
    <hyperlink ref="C121" r:id="rId5" xr:uid="{00000000-0004-0000-1700-000005000000}"/>
    <hyperlink ref="C122" r:id="rId6" xr:uid="{00000000-0004-0000-1700-000006000000}"/>
    <hyperlink ref="C123" r:id="rId7" xr:uid="{00000000-0004-0000-1700-000007000000}"/>
    <hyperlink ref="C124" r:id="rId8" xr:uid="{00000000-0004-0000-1700-000008000000}"/>
    <hyperlink ref="C125" r:id="rId9" xr:uid="{00000000-0004-0000-1700-000009000000}"/>
    <hyperlink ref="C126" r:id="rId10" xr:uid="{00000000-0004-0000-1700-00000A000000}"/>
  </hyperlinks>
  <pageMargins left="0.75" right="0.75" top="1" bottom="1" header="0.5" footer="0.5"/>
  <pageSetup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5A11"/>
    <pageSetUpPr fitToPage="1"/>
  </sheetPr>
  <dimension ref="A1:D155"/>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225</v>
      </c>
      <c r="D1" s="41" t="s">
        <v>667</v>
      </c>
    </row>
    <row r="2" spans="1:4" x14ac:dyDescent="0.25">
      <c r="A2" s="2" t="s">
        <v>3197</v>
      </c>
    </row>
    <row r="4" spans="1:4" x14ac:dyDescent="0.25">
      <c r="A4" s="42" t="s">
        <v>9</v>
      </c>
      <c r="B4" s="43">
        <f>Monitor!H23</f>
        <v>89.108999999999995</v>
      </c>
    </row>
    <row r="5" spans="1:4" x14ac:dyDescent="0.25">
      <c r="A5" s="42" t="s">
        <v>11</v>
      </c>
      <c r="B5" s="44">
        <f>Monitor!J23</f>
        <v>8.81757170183654</v>
      </c>
    </row>
    <row r="6" spans="1:4" x14ac:dyDescent="0.25">
      <c r="A6" s="42" t="s">
        <v>8</v>
      </c>
      <c r="B6" s="45">
        <f>Monitor!G23</f>
        <v>3800</v>
      </c>
    </row>
    <row r="7" spans="1:4" x14ac:dyDescent="0.25">
      <c r="A7" s="42" t="s">
        <v>14</v>
      </c>
      <c r="B7" s="46">
        <f>Monitor!M23</f>
        <v>-413.85800000000017</v>
      </c>
    </row>
    <row r="8" spans="1:4" x14ac:dyDescent="0.25">
      <c r="A8" s="42" t="s">
        <v>15</v>
      </c>
      <c r="B8" s="47">
        <f>Monitor!N23</f>
        <v>-0.10891000000000005</v>
      </c>
    </row>
    <row r="9" spans="1:4" x14ac:dyDescent="0.25">
      <c r="A9" s="42" t="s">
        <v>669</v>
      </c>
      <c r="B9" s="46">
        <f>Monitor!O23</f>
        <v>-34.84600000000006</v>
      </c>
    </row>
    <row r="10" spans="1:4" x14ac:dyDescent="0.25">
      <c r="A10" s="42" t="s">
        <v>20</v>
      </c>
      <c r="B10" s="48">
        <f>Monitor!S23</f>
        <v>46077</v>
      </c>
    </row>
    <row r="11" spans="1:4" x14ac:dyDescent="0.25">
      <c r="A11" s="42" t="s">
        <v>670</v>
      </c>
      <c r="B11" s="49">
        <f>Monitor!W23</f>
        <v>360.74325515137889</v>
      </c>
    </row>
    <row r="12" spans="1:4" x14ac:dyDescent="0.25">
      <c r="A12" s="42" t="s">
        <v>671</v>
      </c>
      <c r="B12" s="50" t="str">
        <f>Monitor!F23</f>
        <v>Ba1/(P)BB+/BB</v>
      </c>
    </row>
    <row r="13" spans="1:4" x14ac:dyDescent="0.25">
      <c r="A13" s="42" t="s">
        <v>4</v>
      </c>
      <c r="B13" s="50" t="str">
        <f>Monitor!C23</f>
        <v>NVIDIA</v>
      </c>
    </row>
    <row r="15" spans="1:4" x14ac:dyDescent="0.25">
      <c r="A15" s="4" t="s">
        <v>672</v>
      </c>
      <c r="B15" s="5"/>
      <c r="C15" s="5"/>
      <c r="D15" s="5"/>
    </row>
    <row r="16" spans="1:4" ht="55.9" customHeight="1" x14ac:dyDescent="0.25">
      <c r="A16" s="51" t="s">
        <v>192</v>
      </c>
      <c r="B16" s="52" t="s">
        <v>226</v>
      </c>
    </row>
    <row r="18" spans="1:4" x14ac:dyDescent="0.25">
      <c r="A18" s="4" t="s">
        <v>673</v>
      </c>
      <c r="B18" s="5"/>
      <c r="C18" s="4" t="s">
        <v>674</v>
      </c>
      <c r="D18" s="4" t="s">
        <v>675</v>
      </c>
    </row>
    <row r="19" spans="1:4" ht="29.45" customHeight="1" x14ac:dyDescent="0.25">
      <c r="A19" s="53" t="s">
        <v>676</v>
      </c>
      <c r="B19" s="54" t="s">
        <v>3198</v>
      </c>
      <c r="C19" s="55" t="s">
        <v>678</v>
      </c>
      <c r="D19" s="56" t="s">
        <v>679</v>
      </c>
    </row>
    <row r="20" spans="1:4" ht="16.149999999999999" customHeight="1" x14ac:dyDescent="0.25">
      <c r="A20" s="53" t="s">
        <v>680</v>
      </c>
      <c r="B20" s="54" t="s">
        <v>3199</v>
      </c>
      <c r="C20" s="55" t="s">
        <v>678</v>
      </c>
      <c r="D20" s="56" t="s">
        <v>679</v>
      </c>
    </row>
    <row r="21" spans="1:4" ht="16.149999999999999" customHeight="1" x14ac:dyDescent="0.25">
      <c r="A21" s="53" t="s">
        <v>682</v>
      </c>
      <c r="B21" s="54" t="s">
        <v>3200</v>
      </c>
      <c r="C21" s="55" t="s">
        <v>684</v>
      </c>
      <c r="D21" s="56" t="s">
        <v>679</v>
      </c>
    </row>
    <row r="22" spans="1:4" ht="16.149999999999999" customHeight="1" x14ac:dyDescent="0.25">
      <c r="A22" s="53" t="s">
        <v>3201</v>
      </c>
      <c r="B22" s="54" t="s">
        <v>3202</v>
      </c>
      <c r="C22" s="55" t="s">
        <v>844</v>
      </c>
      <c r="D22" s="58" t="s">
        <v>698</v>
      </c>
    </row>
    <row r="23" spans="1:4" ht="16.149999999999999" customHeight="1" x14ac:dyDescent="0.25">
      <c r="A23" s="53" t="s">
        <v>1622</v>
      </c>
      <c r="B23" s="54" t="s">
        <v>3203</v>
      </c>
      <c r="C23" s="55" t="s">
        <v>678</v>
      </c>
      <c r="D23" s="56" t="s">
        <v>679</v>
      </c>
    </row>
    <row r="24" spans="1:4" ht="16.149999999999999" customHeight="1" x14ac:dyDescent="0.25">
      <c r="A24" s="53" t="s">
        <v>1628</v>
      </c>
      <c r="B24" s="54" t="s">
        <v>3204</v>
      </c>
      <c r="C24" s="55" t="s">
        <v>684</v>
      </c>
      <c r="D24" s="56" t="s">
        <v>679</v>
      </c>
    </row>
    <row r="25" spans="1:4" ht="16.149999999999999" customHeight="1" x14ac:dyDescent="0.25">
      <c r="A25" s="53" t="s">
        <v>691</v>
      </c>
      <c r="B25" s="54" t="s">
        <v>3205</v>
      </c>
      <c r="C25" s="55" t="s">
        <v>678</v>
      </c>
      <c r="D25" s="56" t="s">
        <v>679</v>
      </c>
    </row>
    <row r="26" spans="1:4" ht="29.45" customHeight="1" x14ac:dyDescent="0.25">
      <c r="A26" s="53" t="s">
        <v>1423</v>
      </c>
      <c r="B26" s="54" t="s">
        <v>3206</v>
      </c>
      <c r="C26" s="55" t="s">
        <v>678</v>
      </c>
      <c r="D26" s="56" t="s">
        <v>679</v>
      </c>
    </row>
    <row r="27" spans="1:4" ht="16.149999999999999" customHeight="1" x14ac:dyDescent="0.25">
      <c r="A27" s="53" t="s">
        <v>1417</v>
      </c>
      <c r="B27" s="54" t="s">
        <v>3207</v>
      </c>
      <c r="C27" s="55" t="s">
        <v>678</v>
      </c>
      <c r="D27" s="56" t="s">
        <v>679</v>
      </c>
    </row>
    <row r="28" spans="1:4" ht="16.149999999999999" customHeight="1" x14ac:dyDescent="0.25">
      <c r="A28" s="53" t="s">
        <v>1129</v>
      </c>
      <c r="B28" s="54" t="s">
        <v>3208</v>
      </c>
      <c r="C28" s="55" t="s">
        <v>844</v>
      </c>
      <c r="D28" s="58" t="s">
        <v>698</v>
      </c>
    </row>
    <row r="29" spans="1:4" ht="16.149999999999999" customHeight="1" x14ac:dyDescent="0.25">
      <c r="A29" s="53" t="s">
        <v>693</v>
      </c>
      <c r="B29" s="54" t="s">
        <v>3209</v>
      </c>
      <c r="C29" s="55" t="s">
        <v>678</v>
      </c>
      <c r="D29" s="56" t="s">
        <v>679</v>
      </c>
    </row>
    <row r="30" spans="1:4" ht="29.45" customHeight="1" x14ac:dyDescent="0.25">
      <c r="A30" s="53" t="s">
        <v>3210</v>
      </c>
      <c r="B30" s="54" t="s">
        <v>3211</v>
      </c>
      <c r="C30" s="55" t="s">
        <v>844</v>
      </c>
      <c r="D30" s="58" t="s">
        <v>698</v>
      </c>
    </row>
    <row r="32" spans="1:4" x14ac:dyDescent="0.25">
      <c r="A32" s="4" t="s">
        <v>717</v>
      </c>
      <c r="B32" s="5"/>
      <c r="C32" s="4" t="s">
        <v>674</v>
      </c>
      <c r="D32" s="4" t="s">
        <v>675</v>
      </c>
    </row>
    <row r="33" spans="1:4" ht="16.149999999999999" customHeight="1" x14ac:dyDescent="0.25">
      <c r="A33" s="53" t="s">
        <v>2405</v>
      </c>
      <c r="B33" s="54" t="s">
        <v>3212</v>
      </c>
      <c r="C33" s="55" t="s">
        <v>684</v>
      </c>
      <c r="D33" s="56" t="s">
        <v>679</v>
      </c>
    </row>
    <row r="34" spans="1:4" ht="29.45" customHeight="1" x14ac:dyDescent="0.25">
      <c r="A34" s="53" t="s">
        <v>3213</v>
      </c>
      <c r="B34" s="54" t="s">
        <v>3214</v>
      </c>
      <c r="C34" s="55" t="s">
        <v>678</v>
      </c>
      <c r="D34" s="56" t="s">
        <v>679</v>
      </c>
    </row>
    <row r="35" spans="1:4" ht="16.149999999999999" customHeight="1" x14ac:dyDescent="0.25">
      <c r="A35" s="53" t="s">
        <v>3215</v>
      </c>
      <c r="B35" s="54" t="s">
        <v>3216</v>
      </c>
      <c r="C35" s="55" t="s">
        <v>678</v>
      </c>
      <c r="D35" s="59" t="s">
        <v>748</v>
      </c>
    </row>
    <row r="37" spans="1:4" x14ac:dyDescent="0.25">
      <c r="A37" s="4" t="s">
        <v>728</v>
      </c>
      <c r="B37" s="5"/>
      <c r="C37" s="4" t="s">
        <v>674</v>
      </c>
      <c r="D37" s="4" t="s">
        <v>675</v>
      </c>
    </row>
    <row r="38" spans="1:4" ht="29.45" customHeight="1" x14ac:dyDescent="0.25">
      <c r="A38" s="53" t="s">
        <v>729</v>
      </c>
      <c r="B38" s="54" t="s">
        <v>3217</v>
      </c>
      <c r="C38" s="55" t="s">
        <v>684</v>
      </c>
      <c r="D38" s="57" t="s">
        <v>690</v>
      </c>
    </row>
    <row r="39" spans="1:4" ht="29.45" customHeight="1" x14ac:dyDescent="0.25">
      <c r="A39" s="53" t="s">
        <v>3218</v>
      </c>
      <c r="B39" s="54" t="s">
        <v>3219</v>
      </c>
      <c r="C39" s="55" t="s">
        <v>962</v>
      </c>
      <c r="D39" s="59" t="s">
        <v>748</v>
      </c>
    </row>
    <row r="40" spans="1:4" ht="29.45" customHeight="1" x14ac:dyDescent="0.25">
      <c r="A40" s="53" t="s">
        <v>3220</v>
      </c>
      <c r="B40" s="54" t="s">
        <v>3221</v>
      </c>
      <c r="C40" s="55" t="s">
        <v>753</v>
      </c>
      <c r="D40" s="59" t="s">
        <v>748</v>
      </c>
    </row>
    <row r="41" spans="1:4" ht="16.149999999999999" customHeight="1" x14ac:dyDescent="0.25">
      <c r="A41" s="53" t="s">
        <v>3222</v>
      </c>
      <c r="B41" s="54" t="s">
        <v>3223</v>
      </c>
      <c r="C41" s="55" t="s">
        <v>844</v>
      </c>
      <c r="D41" s="58" t="s">
        <v>698</v>
      </c>
    </row>
    <row r="43" spans="1:4" x14ac:dyDescent="0.25">
      <c r="A43" s="4" t="s">
        <v>740</v>
      </c>
      <c r="B43" s="5"/>
      <c r="C43" s="4" t="s">
        <v>674</v>
      </c>
      <c r="D43" s="4" t="s">
        <v>675</v>
      </c>
    </row>
    <row r="44" spans="1:4" ht="29.45" customHeight="1" x14ac:dyDescent="0.25">
      <c r="A44" s="53" t="s">
        <v>743</v>
      </c>
      <c r="B44" s="54" t="s">
        <v>3224</v>
      </c>
      <c r="C44" s="55" t="s">
        <v>684</v>
      </c>
      <c r="D44" s="57" t="s">
        <v>690</v>
      </c>
    </row>
    <row r="45" spans="1:4" ht="29.45" customHeight="1" x14ac:dyDescent="0.25">
      <c r="A45" s="53" t="s">
        <v>745</v>
      </c>
      <c r="B45" s="54" t="s">
        <v>3225</v>
      </c>
      <c r="C45" s="55" t="s">
        <v>841</v>
      </c>
      <c r="D45" s="59" t="s">
        <v>748</v>
      </c>
    </row>
    <row r="46" spans="1:4" ht="16.149999999999999" customHeight="1" x14ac:dyDescent="0.25">
      <c r="A46" s="53" t="s">
        <v>2422</v>
      </c>
      <c r="B46" s="54" t="s">
        <v>3226</v>
      </c>
      <c r="C46" s="55" t="s">
        <v>678</v>
      </c>
      <c r="D46" s="57" t="s">
        <v>690</v>
      </c>
    </row>
    <row r="47" spans="1:4" ht="16.149999999999999" customHeight="1" x14ac:dyDescent="0.25">
      <c r="A47" s="53" t="s">
        <v>3227</v>
      </c>
      <c r="B47" s="54" t="s">
        <v>3228</v>
      </c>
      <c r="C47" s="55" t="s">
        <v>841</v>
      </c>
      <c r="D47" s="59" t="s">
        <v>748</v>
      </c>
    </row>
    <row r="48" spans="1:4" ht="16.149999999999999" customHeight="1" x14ac:dyDescent="0.25">
      <c r="A48" s="53" t="s">
        <v>2152</v>
      </c>
      <c r="B48" s="54" t="s">
        <v>3229</v>
      </c>
      <c r="C48" s="55" t="s">
        <v>844</v>
      </c>
      <c r="D48" s="58" t="s">
        <v>698</v>
      </c>
    </row>
    <row r="49" spans="1:4" ht="16.149999999999999" customHeight="1" x14ac:dyDescent="0.25">
      <c r="A49" s="53" t="s">
        <v>754</v>
      </c>
      <c r="B49" s="54" t="s">
        <v>3230</v>
      </c>
      <c r="C49" s="55" t="s">
        <v>844</v>
      </c>
      <c r="D49" s="58" t="s">
        <v>698</v>
      </c>
    </row>
    <row r="50" spans="1:4" ht="29.45" customHeight="1" x14ac:dyDescent="0.25">
      <c r="A50" s="53" t="s">
        <v>3231</v>
      </c>
      <c r="B50" s="54" t="s">
        <v>3232</v>
      </c>
      <c r="C50" s="55" t="s">
        <v>844</v>
      </c>
      <c r="D50" s="58" t="s">
        <v>698</v>
      </c>
    </row>
    <row r="52" spans="1:4" x14ac:dyDescent="0.25">
      <c r="A52" s="4" t="s">
        <v>3233</v>
      </c>
      <c r="B52" s="5"/>
      <c r="C52" s="4" t="s">
        <v>674</v>
      </c>
      <c r="D52" s="4" t="s">
        <v>675</v>
      </c>
    </row>
    <row r="53" spans="1:4" ht="42.6" customHeight="1" x14ac:dyDescent="0.25">
      <c r="A53" s="53" t="s">
        <v>3234</v>
      </c>
      <c r="B53" s="54" t="s">
        <v>3235</v>
      </c>
      <c r="C53" s="55" t="s">
        <v>776</v>
      </c>
      <c r="D53" s="56" t="s">
        <v>679</v>
      </c>
    </row>
    <row r="54" spans="1:4" ht="29.45" customHeight="1" x14ac:dyDescent="0.25">
      <c r="A54" s="53" t="s">
        <v>3236</v>
      </c>
      <c r="B54" s="54" t="s">
        <v>3237</v>
      </c>
      <c r="C54" s="55" t="s">
        <v>776</v>
      </c>
      <c r="D54" s="56" t="s">
        <v>679</v>
      </c>
    </row>
    <row r="55" spans="1:4" ht="42.6" customHeight="1" x14ac:dyDescent="0.25">
      <c r="A55" s="53" t="s">
        <v>3238</v>
      </c>
      <c r="B55" s="54" t="s">
        <v>3239</v>
      </c>
      <c r="C55" s="55" t="s">
        <v>776</v>
      </c>
      <c r="D55" s="56" t="s">
        <v>679</v>
      </c>
    </row>
    <row r="56" spans="1:4" ht="29.45" customHeight="1" x14ac:dyDescent="0.25">
      <c r="A56" s="53" t="s">
        <v>3240</v>
      </c>
      <c r="B56" s="54" t="s">
        <v>3241</v>
      </c>
      <c r="C56" s="55" t="s">
        <v>844</v>
      </c>
      <c r="D56" s="58" t="s">
        <v>698</v>
      </c>
    </row>
    <row r="58" spans="1:4" x14ac:dyDescent="0.25">
      <c r="A58" s="4" t="s">
        <v>762</v>
      </c>
      <c r="B58" s="5"/>
      <c r="C58" s="4" t="s">
        <v>674</v>
      </c>
      <c r="D58" s="4" t="s">
        <v>675</v>
      </c>
    </row>
    <row r="59" spans="1:4" ht="29.45" customHeight="1" x14ac:dyDescent="0.25">
      <c r="A59" s="53" t="s">
        <v>2269</v>
      </c>
      <c r="B59" s="54" t="s">
        <v>3242</v>
      </c>
      <c r="C59" s="55" t="s">
        <v>684</v>
      </c>
      <c r="D59" s="56" t="s">
        <v>679</v>
      </c>
    </row>
    <row r="60" spans="1:4" ht="29.45" customHeight="1" x14ac:dyDescent="0.25">
      <c r="A60" s="53" t="s">
        <v>3243</v>
      </c>
      <c r="B60" s="54" t="s">
        <v>3244</v>
      </c>
      <c r="C60" s="55" t="s">
        <v>684</v>
      </c>
      <c r="D60" s="56" t="s">
        <v>679</v>
      </c>
    </row>
    <row r="61" spans="1:4" ht="16.149999999999999" customHeight="1" x14ac:dyDescent="0.25">
      <c r="A61" s="53" t="s">
        <v>1681</v>
      </c>
      <c r="B61" s="54" t="s">
        <v>3245</v>
      </c>
      <c r="C61" s="55" t="s">
        <v>844</v>
      </c>
      <c r="D61" s="58" t="s">
        <v>698</v>
      </c>
    </row>
    <row r="62" spans="1:4" ht="29.45" customHeight="1" x14ac:dyDescent="0.25">
      <c r="A62" s="53" t="s">
        <v>3246</v>
      </c>
      <c r="B62" s="54" t="s">
        <v>3247</v>
      </c>
      <c r="C62" s="55" t="s">
        <v>962</v>
      </c>
      <c r="D62" s="59" t="s">
        <v>748</v>
      </c>
    </row>
    <row r="64" spans="1:4" x14ac:dyDescent="0.25">
      <c r="A64" s="4" t="s">
        <v>773</v>
      </c>
      <c r="B64" s="5"/>
      <c r="C64" s="4" t="s">
        <v>674</v>
      </c>
      <c r="D64" s="4" t="s">
        <v>675</v>
      </c>
    </row>
    <row r="65" spans="1:4" ht="42.6" customHeight="1" x14ac:dyDescent="0.25">
      <c r="A65" s="53" t="s">
        <v>3248</v>
      </c>
      <c r="B65" s="54" t="s">
        <v>3249</v>
      </c>
      <c r="C65" s="55" t="s">
        <v>731</v>
      </c>
      <c r="D65" s="59" t="s">
        <v>748</v>
      </c>
    </row>
    <row r="66" spans="1:4" ht="42.6" customHeight="1" x14ac:dyDescent="0.25">
      <c r="A66" s="53" t="s">
        <v>3250</v>
      </c>
      <c r="B66" s="54" t="s">
        <v>3251</v>
      </c>
      <c r="C66" s="55" t="s">
        <v>962</v>
      </c>
      <c r="D66" s="59" t="s">
        <v>748</v>
      </c>
    </row>
    <row r="67" spans="1:4" ht="29.45" customHeight="1" x14ac:dyDescent="0.25">
      <c r="A67" s="53" t="s">
        <v>3252</v>
      </c>
      <c r="B67" s="54" t="s">
        <v>3253</v>
      </c>
      <c r="C67" s="55" t="s">
        <v>962</v>
      </c>
      <c r="D67" s="59" t="s">
        <v>748</v>
      </c>
    </row>
    <row r="68" spans="1:4" ht="16.149999999999999" customHeight="1" x14ac:dyDescent="0.25">
      <c r="A68" s="53" t="s">
        <v>3254</v>
      </c>
      <c r="B68" s="54" t="s">
        <v>3255</v>
      </c>
      <c r="C68" s="55" t="s">
        <v>737</v>
      </c>
      <c r="D68" s="59" t="s">
        <v>748</v>
      </c>
    </row>
    <row r="70" spans="1:4" x14ac:dyDescent="0.25">
      <c r="A70" s="4" t="s">
        <v>781</v>
      </c>
      <c r="B70" s="5"/>
      <c r="C70" s="4" t="s">
        <v>674</v>
      </c>
      <c r="D70" s="4" t="s">
        <v>675</v>
      </c>
    </row>
    <row r="71" spans="1:4" ht="16.149999999999999" customHeight="1" x14ac:dyDescent="0.25">
      <c r="A71" s="53" t="s">
        <v>1488</v>
      </c>
      <c r="B71" s="54" t="s">
        <v>3256</v>
      </c>
      <c r="C71" s="55" t="s">
        <v>877</v>
      </c>
      <c r="D71" s="59" t="s">
        <v>748</v>
      </c>
    </row>
    <row r="72" spans="1:4" ht="16.149999999999999" customHeight="1" x14ac:dyDescent="0.25">
      <c r="A72" s="53" t="s">
        <v>1309</v>
      </c>
      <c r="B72" s="54" t="s">
        <v>3230</v>
      </c>
      <c r="C72" s="55" t="s">
        <v>844</v>
      </c>
      <c r="D72" s="58" t="s">
        <v>698</v>
      </c>
    </row>
    <row r="73" spans="1:4" ht="29.45" customHeight="1" x14ac:dyDescent="0.25">
      <c r="A73" s="53" t="s">
        <v>3257</v>
      </c>
      <c r="B73" s="54" t="s">
        <v>3258</v>
      </c>
      <c r="C73" s="55" t="s">
        <v>844</v>
      </c>
      <c r="D73" s="58" t="s">
        <v>698</v>
      </c>
    </row>
    <row r="74" spans="1:4" ht="16.149999999999999" customHeight="1" x14ac:dyDescent="0.25">
      <c r="A74" s="53" t="s">
        <v>3259</v>
      </c>
      <c r="B74" s="54" t="s">
        <v>3260</v>
      </c>
      <c r="C74" s="55" t="s">
        <v>844</v>
      </c>
      <c r="D74" s="58" t="s">
        <v>698</v>
      </c>
    </row>
    <row r="75" spans="1:4" ht="16.149999999999999" customHeight="1" x14ac:dyDescent="0.25">
      <c r="A75" s="53" t="s">
        <v>1968</v>
      </c>
      <c r="B75" s="54" t="s">
        <v>3261</v>
      </c>
      <c r="C75" s="55" t="s">
        <v>962</v>
      </c>
      <c r="D75" s="59" t="s">
        <v>748</v>
      </c>
    </row>
    <row r="77" spans="1:4" x14ac:dyDescent="0.25">
      <c r="A77" s="4" t="s">
        <v>792</v>
      </c>
      <c r="B77" s="5"/>
      <c r="C77" s="4" t="s">
        <v>674</v>
      </c>
      <c r="D77" s="4" t="s">
        <v>675</v>
      </c>
    </row>
    <row r="78" spans="1:4" ht="16.149999999999999" customHeight="1" x14ac:dyDescent="0.25">
      <c r="A78" s="53" t="s">
        <v>793</v>
      </c>
      <c r="B78" s="54" t="s">
        <v>3200</v>
      </c>
      <c r="C78" s="55" t="s">
        <v>684</v>
      </c>
      <c r="D78" s="56" t="s">
        <v>679</v>
      </c>
    </row>
    <row r="79" spans="1:4" ht="16.149999999999999" customHeight="1" x14ac:dyDescent="0.25">
      <c r="A79" s="53" t="s">
        <v>797</v>
      </c>
      <c r="B79" s="54" t="s">
        <v>3262</v>
      </c>
      <c r="C79" s="55" t="s">
        <v>684</v>
      </c>
      <c r="D79" s="56" t="s">
        <v>679</v>
      </c>
    </row>
    <row r="80" spans="1:4" ht="16.149999999999999" customHeight="1" x14ac:dyDescent="0.25">
      <c r="A80" s="53" t="s">
        <v>3263</v>
      </c>
      <c r="B80" s="54" t="s">
        <v>3264</v>
      </c>
      <c r="C80" s="55" t="s">
        <v>844</v>
      </c>
      <c r="D80" s="58" t="s">
        <v>698</v>
      </c>
    </row>
    <row r="81" spans="1:4" ht="16.149999999999999" customHeight="1" x14ac:dyDescent="0.25">
      <c r="A81" s="53" t="s">
        <v>799</v>
      </c>
      <c r="B81" s="54" t="s">
        <v>3265</v>
      </c>
      <c r="C81" s="55" t="s">
        <v>684</v>
      </c>
      <c r="D81" s="56" t="s">
        <v>679</v>
      </c>
    </row>
    <row r="82" spans="1:4" ht="16.149999999999999" customHeight="1" x14ac:dyDescent="0.25">
      <c r="A82" s="53" t="s">
        <v>801</v>
      </c>
      <c r="B82" s="54" t="s">
        <v>3266</v>
      </c>
      <c r="C82" s="55" t="s">
        <v>678</v>
      </c>
      <c r="D82" s="60" t="s">
        <v>803</v>
      </c>
    </row>
    <row r="84" spans="1:4" x14ac:dyDescent="0.25">
      <c r="A84" s="4" t="s">
        <v>804</v>
      </c>
      <c r="B84" s="5"/>
      <c r="C84" s="4" t="s">
        <v>674</v>
      </c>
      <c r="D84" s="4" t="s">
        <v>675</v>
      </c>
    </row>
    <row r="85" spans="1:4" ht="16.149999999999999" customHeight="1" x14ac:dyDescent="0.25">
      <c r="A85" s="53" t="s">
        <v>1037</v>
      </c>
      <c r="B85" s="54" t="s">
        <v>3267</v>
      </c>
      <c r="C85" s="55" t="s">
        <v>684</v>
      </c>
      <c r="D85" s="57" t="s">
        <v>690</v>
      </c>
    </row>
    <row r="86" spans="1:4" ht="29.45" customHeight="1" x14ac:dyDescent="0.25">
      <c r="A86" s="53" t="s">
        <v>3268</v>
      </c>
      <c r="B86" s="54" t="s">
        <v>3269</v>
      </c>
      <c r="C86" s="55" t="s">
        <v>844</v>
      </c>
      <c r="D86" s="58" t="s">
        <v>698</v>
      </c>
    </row>
    <row r="88" spans="1:4" x14ac:dyDescent="0.25">
      <c r="A88" s="4" t="s">
        <v>813</v>
      </c>
      <c r="B88" s="5"/>
      <c r="C88" s="4" t="s">
        <v>674</v>
      </c>
      <c r="D88" s="4" t="s">
        <v>675</v>
      </c>
    </row>
    <row r="89" spans="1:4" ht="16.149999999999999" customHeight="1" x14ac:dyDescent="0.25">
      <c r="A89" s="53" t="s">
        <v>3270</v>
      </c>
      <c r="B89" s="54" t="s">
        <v>3271</v>
      </c>
      <c r="C89" s="55" t="s">
        <v>844</v>
      </c>
      <c r="D89" s="58" t="s">
        <v>698</v>
      </c>
    </row>
    <row r="91" spans="1:4" x14ac:dyDescent="0.25">
      <c r="A91" s="4" t="s">
        <v>826</v>
      </c>
      <c r="B91" s="5"/>
      <c r="C91" s="4" t="s">
        <v>674</v>
      </c>
      <c r="D91" s="4" t="s">
        <v>675</v>
      </c>
    </row>
    <row r="92" spans="1:4" ht="16.149999999999999" customHeight="1" x14ac:dyDescent="0.25">
      <c r="A92" s="53" t="s">
        <v>2963</v>
      </c>
      <c r="B92" s="54" t="s">
        <v>3272</v>
      </c>
      <c r="C92" s="55" t="s">
        <v>844</v>
      </c>
      <c r="D92" s="58" t="s">
        <v>698</v>
      </c>
    </row>
    <row r="93" spans="1:4" ht="29.45" customHeight="1" x14ac:dyDescent="0.25">
      <c r="A93" s="53" t="s">
        <v>3273</v>
      </c>
      <c r="B93" s="54" t="s">
        <v>3274</v>
      </c>
      <c r="C93" s="55" t="s">
        <v>844</v>
      </c>
      <c r="D93" s="60" t="s">
        <v>803</v>
      </c>
    </row>
    <row r="94" spans="1:4" ht="16.149999999999999" customHeight="1" x14ac:dyDescent="0.25">
      <c r="A94" s="53" t="s">
        <v>3275</v>
      </c>
      <c r="B94" s="54" t="s">
        <v>3276</v>
      </c>
      <c r="C94" s="55" t="s">
        <v>844</v>
      </c>
      <c r="D94" s="58" t="s">
        <v>698</v>
      </c>
    </row>
    <row r="96" spans="1:4" x14ac:dyDescent="0.25">
      <c r="A96" s="4" t="s">
        <v>833</v>
      </c>
      <c r="B96" s="5"/>
      <c r="C96" s="4" t="s">
        <v>674</v>
      </c>
      <c r="D96" s="4" t="s">
        <v>675</v>
      </c>
    </row>
    <row r="97" spans="1:4" ht="16.149999999999999" customHeight="1" x14ac:dyDescent="0.25">
      <c r="A97" s="53" t="s">
        <v>834</v>
      </c>
      <c r="B97" s="54" t="s">
        <v>3277</v>
      </c>
      <c r="C97" s="55" t="s">
        <v>684</v>
      </c>
      <c r="D97" s="56" t="s">
        <v>679</v>
      </c>
    </row>
    <row r="99" spans="1:4" x14ac:dyDescent="0.25">
      <c r="A99" s="4" t="s">
        <v>836</v>
      </c>
      <c r="B99" s="5"/>
      <c r="C99" s="4" t="s">
        <v>674</v>
      </c>
      <c r="D99" s="4" t="s">
        <v>675</v>
      </c>
    </row>
    <row r="100" spans="1:4" ht="69" customHeight="1" x14ac:dyDescent="0.25">
      <c r="A100" s="53" t="s">
        <v>3278</v>
      </c>
      <c r="B100" s="54" t="s">
        <v>3279</v>
      </c>
      <c r="C100" s="55" t="s">
        <v>731</v>
      </c>
      <c r="D100" s="59" t="s">
        <v>748</v>
      </c>
    </row>
    <row r="101" spans="1:4" ht="29.45" customHeight="1" x14ac:dyDescent="0.25">
      <c r="A101" s="53" t="s">
        <v>3280</v>
      </c>
      <c r="B101" s="54" t="s">
        <v>3281</v>
      </c>
      <c r="C101" s="55" t="s">
        <v>747</v>
      </c>
      <c r="D101" s="59" t="s">
        <v>748</v>
      </c>
    </row>
    <row r="102" spans="1:4" ht="16.149999999999999" customHeight="1" x14ac:dyDescent="0.25">
      <c r="A102" s="53" t="s">
        <v>3282</v>
      </c>
      <c r="B102" s="54" t="s">
        <v>3283</v>
      </c>
      <c r="C102" s="55" t="s">
        <v>962</v>
      </c>
      <c r="D102" s="59" t="s">
        <v>748</v>
      </c>
    </row>
    <row r="103" spans="1:4" ht="16.149999999999999" customHeight="1" x14ac:dyDescent="0.25">
      <c r="A103" s="53" t="s">
        <v>3284</v>
      </c>
      <c r="B103" s="54" t="s">
        <v>3285</v>
      </c>
      <c r="C103" s="55" t="s">
        <v>776</v>
      </c>
      <c r="D103" s="56" t="s">
        <v>679</v>
      </c>
    </row>
    <row r="104" spans="1:4" ht="16.149999999999999" customHeight="1" x14ac:dyDescent="0.25">
      <c r="A104" s="53" t="s">
        <v>3286</v>
      </c>
      <c r="B104" s="54" t="s">
        <v>3287</v>
      </c>
      <c r="C104" s="55" t="s">
        <v>844</v>
      </c>
      <c r="D104" s="60" t="s">
        <v>803</v>
      </c>
    </row>
    <row r="105" spans="1:4" ht="16.149999999999999" customHeight="1" x14ac:dyDescent="0.25">
      <c r="A105" s="53" t="s">
        <v>3288</v>
      </c>
      <c r="B105" s="54" t="s">
        <v>3289</v>
      </c>
      <c r="C105" s="55" t="s">
        <v>844</v>
      </c>
      <c r="D105" s="60" t="s">
        <v>803</v>
      </c>
    </row>
    <row r="107" spans="1:4" x14ac:dyDescent="0.25">
      <c r="A107" s="4" t="s">
        <v>855</v>
      </c>
      <c r="B107" s="5"/>
      <c r="C107" s="4" t="s">
        <v>674</v>
      </c>
      <c r="D107" s="4" t="s">
        <v>675</v>
      </c>
    </row>
    <row r="108" spans="1:4" ht="16.149999999999999" customHeight="1" x14ac:dyDescent="0.25">
      <c r="A108" s="53" t="s">
        <v>3290</v>
      </c>
      <c r="B108" s="54" t="s">
        <v>3291</v>
      </c>
      <c r="C108" s="55" t="s">
        <v>737</v>
      </c>
      <c r="D108" s="59" t="s">
        <v>748</v>
      </c>
    </row>
    <row r="109" spans="1:4" ht="16.149999999999999" customHeight="1" x14ac:dyDescent="0.25">
      <c r="A109" s="53" t="s">
        <v>3292</v>
      </c>
      <c r="B109" s="54" t="s">
        <v>3293</v>
      </c>
      <c r="C109" s="55" t="s">
        <v>731</v>
      </c>
      <c r="D109" s="59" t="s">
        <v>748</v>
      </c>
    </row>
    <row r="110" spans="1:4" ht="16.149999999999999" customHeight="1" x14ac:dyDescent="0.25">
      <c r="A110" s="53" t="s">
        <v>3294</v>
      </c>
      <c r="B110" s="54" t="s">
        <v>3295</v>
      </c>
      <c r="C110" s="55" t="s">
        <v>776</v>
      </c>
      <c r="D110" s="56" t="s">
        <v>679</v>
      </c>
    </row>
    <row r="111" spans="1:4" ht="16.149999999999999" customHeight="1" x14ac:dyDescent="0.25">
      <c r="A111" s="53" t="s">
        <v>3296</v>
      </c>
      <c r="B111" s="54" t="s">
        <v>3297</v>
      </c>
      <c r="C111" s="55" t="s">
        <v>844</v>
      </c>
      <c r="D111" s="58" t="s">
        <v>698</v>
      </c>
    </row>
    <row r="112" spans="1:4" ht="16.149999999999999" customHeight="1" x14ac:dyDescent="0.25">
      <c r="A112" s="53" t="s">
        <v>3298</v>
      </c>
      <c r="B112" s="54" t="s">
        <v>3299</v>
      </c>
      <c r="C112" s="55" t="s">
        <v>844</v>
      </c>
      <c r="D112" s="58" t="s">
        <v>698</v>
      </c>
    </row>
    <row r="113" spans="1:4" ht="16.149999999999999" customHeight="1" x14ac:dyDescent="0.25">
      <c r="A113" s="53" t="s">
        <v>3300</v>
      </c>
      <c r="B113" s="54" t="s">
        <v>3301</v>
      </c>
      <c r="C113" s="55" t="s">
        <v>962</v>
      </c>
      <c r="D113" s="59" t="s">
        <v>748</v>
      </c>
    </row>
    <row r="114" spans="1:4" ht="16.149999999999999" customHeight="1" x14ac:dyDescent="0.25">
      <c r="A114" s="53" t="s">
        <v>3302</v>
      </c>
      <c r="B114" s="54" t="s">
        <v>3303</v>
      </c>
      <c r="C114" s="55" t="s">
        <v>747</v>
      </c>
      <c r="D114" s="59" t="s">
        <v>748</v>
      </c>
    </row>
    <row r="116" spans="1:4" x14ac:dyDescent="0.25">
      <c r="A116" s="4" t="s">
        <v>868</v>
      </c>
      <c r="B116" s="5"/>
      <c r="C116" s="4" t="s">
        <v>674</v>
      </c>
      <c r="D116" s="5"/>
    </row>
    <row r="117" spans="1:4" ht="16.149999999999999" customHeight="1" x14ac:dyDescent="0.25">
      <c r="A117" s="61" t="s">
        <v>3304</v>
      </c>
      <c r="B117" s="54" t="s">
        <v>3305</v>
      </c>
      <c r="C117" s="55" t="s">
        <v>841</v>
      </c>
      <c r="D117" s="62"/>
    </row>
    <row r="118" spans="1:4" ht="16.149999999999999" customHeight="1" x14ac:dyDescent="0.25">
      <c r="A118" s="61" t="s">
        <v>3306</v>
      </c>
      <c r="B118" s="54" t="s">
        <v>3307</v>
      </c>
      <c r="C118" s="55" t="s">
        <v>678</v>
      </c>
      <c r="D118" s="62"/>
    </row>
    <row r="119" spans="1:4" ht="16.149999999999999" customHeight="1" x14ac:dyDescent="0.25">
      <c r="A119" s="61" t="s">
        <v>3308</v>
      </c>
      <c r="B119" s="54" t="s">
        <v>3309</v>
      </c>
      <c r="C119" s="55" t="s">
        <v>684</v>
      </c>
      <c r="D119" s="62"/>
    </row>
    <row r="120" spans="1:4" ht="16.149999999999999" customHeight="1" x14ac:dyDescent="0.25">
      <c r="A120" s="61" t="s">
        <v>3310</v>
      </c>
      <c r="B120" s="54" t="s">
        <v>3311</v>
      </c>
      <c r="C120" s="55" t="s">
        <v>753</v>
      </c>
      <c r="D120" s="62"/>
    </row>
    <row r="121" spans="1:4" ht="16.149999999999999" customHeight="1" x14ac:dyDescent="0.25">
      <c r="A121" s="61" t="s">
        <v>1068</v>
      </c>
      <c r="B121" s="54" t="s">
        <v>3312</v>
      </c>
      <c r="C121" s="55" t="s">
        <v>877</v>
      </c>
      <c r="D121" s="62"/>
    </row>
    <row r="122" spans="1:4" ht="16.149999999999999" customHeight="1" x14ac:dyDescent="0.25">
      <c r="A122" s="61" t="s">
        <v>3313</v>
      </c>
      <c r="B122" s="54" t="s">
        <v>3314</v>
      </c>
      <c r="C122" s="55" t="s">
        <v>877</v>
      </c>
      <c r="D122" s="62"/>
    </row>
    <row r="123" spans="1:4" ht="16.149999999999999" customHeight="1" x14ac:dyDescent="0.25">
      <c r="A123" s="61" t="s">
        <v>2819</v>
      </c>
      <c r="B123" s="54" t="s">
        <v>3315</v>
      </c>
      <c r="C123" s="55" t="s">
        <v>737</v>
      </c>
      <c r="D123" s="62"/>
    </row>
    <row r="124" spans="1:4" ht="16.149999999999999" customHeight="1" x14ac:dyDescent="0.25">
      <c r="A124" s="61" t="s">
        <v>3316</v>
      </c>
      <c r="B124" s="54" t="s">
        <v>3317</v>
      </c>
      <c r="C124" s="55" t="s">
        <v>731</v>
      </c>
      <c r="D124" s="62"/>
    </row>
    <row r="125" spans="1:4" ht="16.149999999999999" customHeight="1" x14ac:dyDescent="0.25">
      <c r="A125" s="61" t="s">
        <v>3318</v>
      </c>
      <c r="B125" s="54" t="s">
        <v>3319</v>
      </c>
      <c r="C125" s="55" t="s">
        <v>747</v>
      </c>
      <c r="D125" s="62"/>
    </row>
    <row r="126" spans="1:4" ht="16.149999999999999" customHeight="1" x14ac:dyDescent="0.25">
      <c r="A126" s="61" t="s">
        <v>888</v>
      </c>
      <c r="B126" s="54" t="s">
        <v>3320</v>
      </c>
      <c r="C126" s="55" t="s">
        <v>776</v>
      </c>
      <c r="D126" s="62"/>
    </row>
    <row r="127" spans="1:4" ht="16.149999999999999" customHeight="1" x14ac:dyDescent="0.25">
      <c r="A127" s="61" t="s">
        <v>3321</v>
      </c>
      <c r="B127" s="54" t="s">
        <v>3322</v>
      </c>
      <c r="C127" s="55" t="s">
        <v>844</v>
      </c>
      <c r="D127" s="62"/>
    </row>
    <row r="128" spans="1:4" ht="16.149999999999999" customHeight="1" x14ac:dyDescent="0.25">
      <c r="A128" s="61" t="s">
        <v>1742</v>
      </c>
      <c r="B128" s="54" t="s">
        <v>3323</v>
      </c>
      <c r="C128" s="55" t="s">
        <v>844</v>
      </c>
      <c r="D128" s="62"/>
    </row>
    <row r="129" spans="1:4" ht="16.149999999999999" customHeight="1" x14ac:dyDescent="0.25">
      <c r="A129" s="61" t="s">
        <v>3324</v>
      </c>
      <c r="B129" s="54" t="s">
        <v>3325</v>
      </c>
      <c r="C129" s="55" t="s">
        <v>962</v>
      </c>
      <c r="D129" s="62"/>
    </row>
    <row r="130" spans="1:4" ht="16.149999999999999" customHeight="1" x14ac:dyDescent="0.25">
      <c r="A130" s="61" t="s">
        <v>3326</v>
      </c>
      <c r="B130" s="54" t="s">
        <v>3327</v>
      </c>
      <c r="C130" s="55" t="s">
        <v>747</v>
      </c>
      <c r="D130" s="62"/>
    </row>
    <row r="131" spans="1:4" ht="16.149999999999999" customHeight="1" x14ac:dyDescent="0.25">
      <c r="A131" s="61" t="s">
        <v>2060</v>
      </c>
      <c r="B131" s="54" t="s">
        <v>3328</v>
      </c>
      <c r="C131" s="55" t="s">
        <v>747</v>
      </c>
      <c r="D131" s="62"/>
    </row>
    <row r="133" spans="1:4" x14ac:dyDescent="0.25">
      <c r="A133" s="4" t="s">
        <v>894</v>
      </c>
      <c r="B133" s="5"/>
      <c r="C133" s="5"/>
      <c r="D133" s="5"/>
    </row>
    <row r="134" spans="1:4" ht="29.45" customHeight="1" x14ac:dyDescent="0.25">
      <c r="A134" s="53" t="s">
        <v>3329</v>
      </c>
      <c r="B134" s="54" t="s">
        <v>3330</v>
      </c>
      <c r="C134" s="28" t="s">
        <v>897</v>
      </c>
      <c r="D134" s="62"/>
    </row>
    <row r="135" spans="1:4" ht="29.45" customHeight="1" x14ac:dyDescent="0.25">
      <c r="A135" s="53" t="s">
        <v>3331</v>
      </c>
      <c r="B135" s="54" t="s">
        <v>3332</v>
      </c>
      <c r="C135" s="28" t="s">
        <v>897</v>
      </c>
      <c r="D135" s="62"/>
    </row>
    <row r="136" spans="1:4" ht="29.45" customHeight="1" x14ac:dyDescent="0.25">
      <c r="A136" s="53" t="s">
        <v>3333</v>
      </c>
      <c r="B136" s="54" t="s">
        <v>3334</v>
      </c>
      <c r="C136" s="28" t="s">
        <v>897</v>
      </c>
      <c r="D136" s="62"/>
    </row>
    <row r="137" spans="1:4" ht="29.45" customHeight="1" x14ac:dyDescent="0.25">
      <c r="A137" s="53" t="s">
        <v>3335</v>
      </c>
      <c r="B137" s="54" t="s">
        <v>3336</v>
      </c>
      <c r="C137" s="28" t="s">
        <v>897</v>
      </c>
      <c r="D137" s="62"/>
    </row>
    <row r="138" spans="1:4" ht="29.45" customHeight="1" x14ac:dyDescent="0.25">
      <c r="A138" s="53" t="s">
        <v>3337</v>
      </c>
      <c r="B138" s="54" t="s">
        <v>3338</v>
      </c>
      <c r="C138" s="28" t="s">
        <v>897</v>
      </c>
      <c r="D138" s="62"/>
    </row>
    <row r="139" spans="1:4" ht="29.45" customHeight="1" x14ac:dyDescent="0.25">
      <c r="A139" s="53" t="s">
        <v>3339</v>
      </c>
      <c r="B139" s="54" t="s">
        <v>3340</v>
      </c>
      <c r="C139" s="28" t="s">
        <v>897</v>
      </c>
      <c r="D139" s="62"/>
    </row>
    <row r="140" spans="1:4" ht="29.45" customHeight="1" x14ac:dyDescent="0.25">
      <c r="A140" s="53" t="s">
        <v>3341</v>
      </c>
      <c r="B140" s="54" t="s">
        <v>3342</v>
      </c>
      <c r="C140" s="28" t="s">
        <v>897</v>
      </c>
      <c r="D140" s="62"/>
    </row>
    <row r="141" spans="1:4" ht="29.45" customHeight="1" x14ac:dyDescent="0.25">
      <c r="A141" s="53" t="s">
        <v>3343</v>
      </c>
      <c r="B141" s="54" t="s">
        <v>3344</v>
      </c>
      <c r="C141" s="28" t="s">
        <v>897</v>
      </c>
      <c r="D141" s="62"/>
    </row>
    <row r="142" spans="1:4" ht="29.45" customHeight="1" x14ac:dyDescent="0.25">
      <c r="A142" s="53" t="s">
        <v>3345</v>
      </c>
      <c r="B142" s="54" t="s">
        <v>3346</v>
      </c>
      <c r="C142" s="28" t="s">
        <v>897</v>
      </c>
      <c r="D142" s="62"/>
    </row>
    <row r="143" spans="1:4" ht="42.6" customHeight="1" x14ac:dyDescent="0.25">
      <c r="A143" s="53" t="s">
        <v>3347</v>
      </c>
      <c r="B143" s="54" t="s">
        <v>3348</v>
      </c>
      <c r="C143" s="28" t="s">
        <v>897</v>
      </c>
      <c r="D143" s="62"/>
    </row>
    <row r="144" spans="1:4" ht="29.45" customHeight="1" x14ac:dyDescent="0.25">
      <c r="A144" s="53" t="s">
        <v>3349</v>
      </c>
      <c r="B144" s="54" t="s">
        <v>3350</v>
      </c>
      <c r="C144" s="28" t="s">
        <v>897</v>
      </c>
      <c r="D144" s="62"/>
    </row>
    <row r="145" spans="1:4" ht="29.45" customHeight="1" x14ac:dyDescent="0.25">
      <c r="A145" s="53" t="s">
        <v>3351</v>
      </c>
      <c r="B145" s="54" t="s">
        <v>3352</v>
      </c>
      <c r="C145" s="62"/>
      <c r="D145" s="62"/>
    </row>
    <row r="147" spans="1:4" x14ac:dyDescent="0.25">
      <c r="A147" s="4" t="s">
        <v>926</v>
      </c>
      <c r="B147" s="5"/>
      <c r="C147" s="5"/>
      <c r="D147" s="5"/>
    </row>
    <row r="148" spans="1:4" ht="29.45" customHeight="1" x14ac:dyDescent="0.25">
      <c r="B148" s="52" t="s">
        <v>3353</v>
      </c>
    </row>
    <row r="149" spans="1:4" ht="16.149999999999999" customHeight="1" x14ac:dyDescent="0.25">
      <c r="B149" s="52" t="s">
        <v>3354</v>
      </c>
    </row>
    <row r="150" spans="1:4" ht="16.149999999999999" customHeight="1" x14ac:dyDescent="0.25">
      <c r="B150" s="52" t="s">
        <v>3355</v>
      </c>
    </row>
    <row r="151" spans="1:4" ht="29.45" customHeight="1" x14ac:dyDescent="0.25">
      <c r="B151" s="52" t="s">
        <v>3356</v>
      </c>
    </row>
    <row r="152" spans="1:4" ht="29.45" customHeight="1" x14ac:dyDescent="0.25">
      <c r="B152" s="52" t="s">
        <v>3357</v>
      </c>
    </row>
    <row r="153" spans="1:4" ht="16.149999999999999" customHeight="1" x14ac:dyDescent="0.25">
      <c r="B153" s="52" t="s">
        <v>3358</v>
      </c>
    </row>
    <row r="154" spans="1:4" ht="29.45" customHeight="1" x14ac:dyDescent="0.25">
      <c r="B154" s="52" t="s">
        <v>3359</v>
      </c>
    </row>
    <row r="155" spans="1:4" ht="16.149999999999999" customHeight="1" x14ac:dyDescent="0.25">
      <c r="B155" s="52" t="s">
        <v>3360</v>
      </c>
    </row>
  </sheetData>
  <hyperlinks>
    <hyperlink ref="D1" location="'Monitor'!A23" display="&lt;&lt; Monitor" xr:uid="{00000000-0004-0000-1800-000000000000}"/>
    <hyperlink ref="C134" r:id="rId1" xr:uid="{00000000-0004-0000-1800-000001000000}"/>
    <hyperlink ref="C135" r:id="rId2" xr:uid="{00000000-0004-0000-1800-000002000000}"/>
    <hyperlink ref="C136" r:id="rId3" xr:uid="{00000000-0004-0000-1800-000003000000}"/>
    <hyperlink ref="C137" r:id="rId4" xr:uid="{00000000-0004-0000-1800-000004000000}"/>
    <hyperlink ref="C138" r:id="rId5" xr:uid="{00000000-0004-0000-1800-000005000000}"/>
    <hyperlink ref="C139" r:id="rId6" xr:uid="{00000000-0004-0000-1800-000006000000}"/>
    <hyperlink ref="C140" r:id="rId7" xr:uid="{00000000-0004-0000-1800-000007000000}"/>
    <hyperlink ref="C141" r:id="rId8" xr:uid="{00000000-0004-0000-1800-000008000000}"/>
    <hyperlink ref="C142" r:id="rId9" xr:uid="{00000000-0004-0000-1800-000009000000}"/>
    <hyperlink ref="C143" r:id="rId10" xr:uid="{00000000-0004-0000-1800-00000A000000}"/>
    <hyperlink ref="C144" r:id="rId11" xr:uid="{00000000-0004-0000-1800-00000B000000}"/>
  </hyperlinks>
  <pageMargins left="0.75" right="0.75" top="1" bottom="1" header="0.5" footer="0.5"/>
  <pageSetup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5A11"/>
    <pageSetUpPr fitToPage="1"/>
  </sheetPr>
  <dimension ref="A1:D155"/>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227</v>
      </c>
      <c r="D1" s="41" t="s">
        <v>667</v>
      </c>
    </row>
    <row r="2" spans="1:4" x14ac:dyDescent="0.25">
      <c r="A2" s="2" t="s">
        <v>3361</v>
      </c>
    </row>
    <row r="4" spans="1:4" x14ac:dyDescent="0.25">
      <c r="A4" s="42" t="s">
        <v>9</v>
      </c>
      <c r="B4" s="43">
        <f>Monitor!H24</f>
        <v>90.215000000000003</v>
      </c>
    </row>
    <row r="5" spans="1:4" x14ac:dyDescent="0.25">
      <c r="A5" s="42" t="s">
        <v>11</v>
      </c>
      <c r="B5" s="44">
        <f>Monitor!J24</f>
        <v>9.2035095298589091</v>
      </c>
    </row>
    <row r="6" spans="1:4" x14ac:dyDescent="0.25">
      <c r="A6" s="42" t="s">
        <v>8</v>
      </c>
      <c r="B6" s="45">
        <f>Monitor!G24</f>
        <v>4585</v>
      </c>
    </row>
    <row r="7" spans="1:4" x14ac:dyDescent="0.25">
      <c r="A7" s="42" t="s">
        <v>14</v>
      </c>
      <c r="B7" s="46">
        <f>Monitor!M24</f>
        <v>-448.64224999999982</v>
      </c>
    </row>
    <row r="8" spans="1:4" x14ac:dyDescent="0.25">
      <c r="A8" s="42" t="s">
        <v>15</v>
      </c>
      <c r="B8" s="47">
        <f>Monitor!N24</f>
        <v>-9.7849999999999965E-2</v>
      </c>
    </row>
    <row r="9" spans="1:4" x14ac:dyDescent="0.25">
      <c r="A9" s="42" t="s">
        <v>669</v>
      </c>
      <c r="B9" s="46">
        <f>Monitor!O24</f>
        <v>-41.356700000000046</v>
      </c>
    </row>
    <row r="10" spans="1:4" x14ac:dyDescent="0.25">
      <c r="A10" s="42" t="s">
        <v>20</v>
      </c>
      <c r="B10" s="48">
        <f>Monitor!S24</f>
        <v>46143</v>
      </c>
    </row>
    <row r="11" spans="1:4" x14ac:dyDescent="0.25">
      <c r="A11" s="42" t="s">
        <v>670</v>
      </c>
      <c r="B11" s="49">
        <f>Monitor!W24</f>
        <v>395.11200593643326</v>
      </c>
    </row>
    <row r="12" spans="1:4" x14ac:dyDescent="0.25">
      <c r="A12" s="42" t="s">
        <v>671</v>
      </c>
      <c r="B12" s="50" t="str">
        <f>Monitor!F24</f>
        <v>Ba1/(P)BB/BB</v>
      </c>
    </row>
    <row r="13" spans="1:4" x14ac:dyDescent="0.25">
      <c r="A13" s="42" t="s">
        <v>4</v>
      </c>
      <c r="B13" s="50" t="str">
        <f>Monitor!C24</f>
        <v>NVIDIA</v>
      </c>
    </row>
    <row r="15" spans="1:4" x14ac:dyDescent="0.25">
      <c r="A15" s="4" t="s">
        <v>672</v>
      </c>
      <c r="B15" s="5"/>
      <c r="C15" s="5"/>
      <c r="D15" s="5"/>
    </row>
    <row r="16" spans="1:4" ht="55.9" customHeight="1" x14ac:dyDescent="0.25">
      <c r="A16" s="51" t="s">
        <v>192</v>
      </c>
      <c r="B16" s="52" t="s">
        <v>228</v>
      </c>
    </row>
    <row r="18" spans="1:4" x14ac:dyDescent="0.25">
      <c r="A18" s="4" t="s">
        <v>673</v>
      </c>
      <c r="B18" s="5"/>
      <c r="C18" s="4" t="s">
        <v>674</v>
      </c>
      <c r="D18" s="4" t="s">
        <v>675</v>
      </c>
    </row>
    <row r="19" spans="1:4" ht="29.45" customHeight="1" x14ac:dyDescent="0.25">
      <c r="A19" s="53" t="s">
        <v>676</v>
      </c>
      <c r="B19" s="54" t="s">
        <v>3362</v>
      </c>
      <c r="C19" s="55" t="s">
        <v>753</v>
      </c>
      <c r="D19" s="56" t="s">
        <v>679</v>
      </c>
    </row>
    <row r="20" spans="1:4" ht="16.149999999999999" customHeight="1" x14ac:dyDescent="0.25">
      <c r="A20" s="53" t="s">
        <v>680</v>
      </c>
      <c r="B20" s="54" t="s">
        <v>3363</v>
      </c>
      <c r="C20" s="55" t="s">
        <v>753</v>
      </c>
      <c r="D20" s="56" t="s">
        <v>679</v>
      </c>
    </row>
    <row r="21" spans="1:4" ht="16.149999999999999" customHeight="1" x14ac:dyDescent="0.25">
      <c r="A21" s="53" t="s">
        <v>682</v>
      </c>
      <c r="B21" s="54" t="s">
        <v>3364</v>
      </c>
      <c r="C21" s="55" t="s">
        <v>689</v>
      </c>
      <c r="D21" s="56" t="s">
        <v>679</v>
      </c>
    </row>
    <row r="22" spans="1:4" ht="16.149999999999999" customHeight="1" x14ac:dyDescent="0.25">
      <c r="A22" s="53" t="s">
        <v>3201</v>
      </c>
      <c r="B22" s="54" t="s">
        <v>3365</v>
      </c>
      <c r="C22" s="55" t="s">
        <v>844</v>
      </c>
      <c r="D22" s="58" t="s">
        <v>698</v>
      </c>
    </row>
    <row r="23" spans="1:4" ht="16.149999999999999" customHeight="1" x14ac:dyDescent="0.25">
      <c r="A23" s="53" t="s">
        <v>1622</v>
      </c>
      <c r="B23" s="54" t="s">
        <v>3366</v>
      </c>
      <c r="C23" s="55" t="s">
        <v>753</v>
      </c>
      <c r="D23" s="56" t="s">
        <v>679</v>
      </c>
    </row>
    <row r="24" spans="1:4" ht="16.149999999999999" customHeight="1" x14ac:dyDescent="0.25">
      <c r="A24" s="53" t="s">
        <v>1628</v>
      </c>
      <c r="B24" s="54" t="s">
        <v>3367</v>
      </c>
      <c r="C24" s="55" t="s">
        <v>877</v>
      </c>
      <c r="D24" s="56" t="s">
        <v>679</v>
      </c>
    </row>
    <row r="25" spans="1:4" ht="16.149999999999999" customHeight="1" x14ac:dyDescent="0.25">
      <c r="A25" s="53" t="s">
        <v>691</v>
      </c>
      <c r="B25" s="54" t="s">
        <v>3368</v>
      </c>
      <c r="C25" s="55" t="s">
        <v>753</v>
      </c>
      <c r="D25" s="56" t="s">
        <v>679</v>
      </c>
    </row>
    <row r="26" spans="1:4" ht="29.45" customHeight="1" x14ac:dyDescent="0.25">
      <c r="A26" s="53" t="s">
        <v>1423</v>
      </c>
      <c r="B26" s="54" t="s">
        <v>3369</v>
      </c>
      <c r="C26" s="55" t="s">
        <v>753</v>
      </c>
      <c r="D26" s="56" t="s">
        <v>679</v>
      </c>
    </row>
    <row r="27" spans="1:4" ht="16.149999999999999" customHeight="1" x14ac:dyDescent="0.25">
      <c r="A27" s="53" t="s">
        <v>1417</v>
      </c>
      <c r="B27" s="54" t="s">
        <v>3370</v>
      </c>
      <c r="C27" s="55" t="s">
        <v>753</v>
      </c>
      <c r="D27" s="56" t="s">
        <v>679</v>
      </c>
    </row>
    <row r="28" spans="1:4" ht="16.149999999999999" customHeight="1" x14ac:dyDescent="0.25">
      <c r="A28" s="53" t="s">
        <v>1129</v>
      </c>
      <c r="B28" s="54" t="s">
        <v>3371</v>
      </c>
      <c r="C28" s="55" t="s">
        <v>844</v>
      </c>
      <c r="D28" s="58" t="s">
        <v>698</v>
      </c>
    </row>
    <row r="29" spans="1:4" ht="16.149999999999999" customHeight="1" x14ac:dyDescent="0.25">
      <c r="A29" s="53" t="s">
        <v>693</v>
      </c>
      <c r="B29" s="54" t="s">
        <v>3209</v>
      </c>
      <c r="C29" s="55" t="s">
        <v>753</v>
      </c>
      <c r="D29" s="56" t="s">
        <v>679</v>
      </c>
    </row>
    <row r="30" spans="1:4" ht="29.45" customHeight="1" x14ac:dyDescent="0.25">
      <c r="A30" s="53" t="s">
        <v>3210</v>
      </c>
      <c r="B30" s="54" t="s">
        <v>3211</v>
      </c>
      <c r="C30" s="55" t="s">
        <v>844</v>
      </c>
      <c r="D30" s="58" t="s">
        <v>698</v>
      </c>
    </row>
    <row r="32" spans="1:4" x14ac:dyDescent="0.25">
      <c r="A32" s="4" t="s">
        <v>717</v>
      </c>
      <c r="B32" s="5"/>
      <c r="C32" s="4" t="s">
        <v>674</v>
      </c>
      <c r="D32" s="4" t="s">
        <v>675</v>
      </c>
    </row>
    <row r="33" spans="1:4" ht="16.149999999999999" customHeight="1" x14ac:dyDescent="0.25">
      <c r="A33" s="53" t="s">
        <v>2405</v>
      </c>
      <c r="B33" s="54" t="s">
        <v>3372</v>
      </c>
      <c r="C33" s="55" t="s">
        <v>877</v>
      </c>
      <c r="D33" s="56" t="s">
        <v>679</v>
      </c>
    </row>
    <row r="34" spans="1:4" ht="29.45" customHeight="1" x14ac:dyDescent="0.25">
      <c r="A34" s="53" t="s">
        <v>3213</v>
      </c>
      <c r="B34" s="54" t="s">
        <v>3214</v>
      </c>
      <c r="C34" s="55" t="s">
        <v>753</v>
      </c>
      <c r="D34" s="56" t="s">
        <v>679</v>
      </c>
    </row>
    <row r="35" spans="1:4" ht="16.149999999999999" customHeight="1" x14ac:dyDescent="0.25">
      <c r="A35" s="53" t="s">
        <v>3215</v>
      </c>
      <c r="B35" s="54" t="s">
        <v>3216</v>
      </c>
      <c r="C35" s="55" t="s">
        <v>689</v>
      </c>
      <c r="D35" s="59" t="s">
        <v>748</v>
      </c>
    </row>
    <row r="37" spans="1:4" x14ac:dyDescent="0.25">
      <c r="A37" s="4" t="s">
        <v>728</v>
      </c>
      <c r="B37" s="5"/>
      <c r="C37" s="4" t="s">
        <v>674</v>
      </c>
      <c r="D37" s="4" t="s">
        <v>675</v>
      </c>
    </row>
    <row r="38" spans="1:4" ht="29.45" customHeight="1" x14ac:dyDescent="0.25">
      <c r="A38" s="53" t="s">
        <v>729</v>
      </c>
      <c r="B38" s="54" t="s">
        <v>3217</v>
      </c>
      <c r="C38" s="55" t="s">
        <v>684</v>
      </c>
      <c r="D38" s="57" t="s">
        <v>690</v>
      </c>
    </row>
    <row r="39" spans="1:4" ht="29.45" customHeight="1" x14ac:dyDescent="0.25">
      <c r="A39" s="53" t="s">
        <v>3218</v>
      </c>
      <c r="B39" s="54" t="s">
        <v>3219</v>
      </c>
      <c r="C39" s="55" t="s">
        <v>962</v>
      </c>
      <c r="D39" s="59" t="s">
        <v>748</v>
      </c>
    </row>
    <row r="40" spans="1:4" ht="29.45" customHeight="1" x14ac:dyDescent="0.25">
      <c r="A40" s="53" t="s">
        <v>3220</v>
      </c>
      <c r="B40" s="54" t="s">
        <v>3373</v>
      </c>
      <c r="C40" s="55" t="s">
        <v>753</v>
      </c>
      <c r="D40" s="59" t="s">
        <v>748</v>
      </c>
    </row>
    <row r="41" spans="1:4" ht="16.149999999999999" customHeight="1" x14ac:dyDescent="0.25">
      <c r="A41" s="53" t="s">
        <v>3222</v>
      </c>
      <c r="B41" s="54" t="s">
        <v>3374</v>
      </c>
      <c r="C41" s="55" t="s">
        <v>844</v>
      </c>
      <c r="D41" s="58" t="s">
        <v>698</v>
      </c>
    </row>
    <row r="43" spans="1:4" x14ac:dyDescent="0.25">
      <c r="A43" s="4" t="s">
        <v>740</v>
      </c>
      <c r="B43" s="5"/>
      <c r="C43" s="4" t="s">
        <v>674</v>
      </c>
      <c r="D43" s="4" t="s">
        <v>675</v>
      </c>
    </row>
    <row r="44" spans="1:4" ht="29.45" customHeight="1" x14ac:dyDescent="0.25">
      <c r="A44" s="53" t="s">
        <v>743</v>
      </c>
      <c r="B44" s="54" t="s">
        <v>3224</v>
      </c>
      <c r="C44" s="55" t="s">
        <v>684</v>
      </c>
      <c r="D44" s="57" t="s">
        <v>690</v>
      </c>
    </row>
    <row r="45" spans="1:4" ht="29.45" customHeight="1" x14ac:dyDescent="0.25">
      <c r="A45" s="53" t="s">
        <v>745</v>
      </c>
      <c r="B45" s="54" t="s">
        <v>3225</v>
      </c>
      <c r="C45" s="55" t="s">
        <v>841</v>
      </c>
      <c r="D45" s="59" t="s">
        <v>748</v>
      </c>
    </row>
    <row r="46" spans="1:4" ht="16.149999999999999" customHeight="1" x14ac:dyDescent="0.25">
      <c r="A46" s="53" t="s">
        <v>2422</v>
      </c>
      <c r="B46" s="54" t="s">
        <v>3226</v>
      </c>
      <c r="C46" s="55" t="s">
        <v>678</v>
      </c>
      <c r="D46" s="57" t="s">
        <v>690</v>
      </c>
    </row>
    <row r="47" spans="1:4" ht="16.149999999999999" customHeight="1" x14ac:dyDescent="0.25">
      <c r="A47" s="53" t="s">
        <v>3227</v>
      </c>
      <c r="B47" s="54" t="s">
        <v>3228</v>
      </c>
      <c r="C47" s="55" t="s">
        <v>841</v>
      </c>
      <c r="D47" s="59" t="s">
        <v>748</v>
      </c>
    </row>
    <row r="48" spans="1:4" ht="16.149999999999999" customHeight="1" x14ac:dyDescent="0.25">
      <c r="A48" s="53" t="s">
        <v>2152</v>
      </c>
      <c r="B48" s="54" t="s">
        <v>3375</v>
      </c>
      <c r="C48" s="55" t="s">
        <v>844</v>
      </c>
      <c r="D48" s="58" t="s">
        <v>698</v>
      </c>
    </row>
    <row r="49" spans="1:4" ht="16.149999999999999" customHeight="1" x14ac:dyDescent="0.25">
      <c r="A49" s="53" t="s">
        <v>754</v>
      </c>
      <c r="B49" s="54" t="s">
        <v>3376</v>
      </c>
      <c r="C49" s="55" t="s">
        <v>844</v>
      </c>
      <c r="D49" s="58" t="s">
        <v>698</v>
      </c>
    </row>
    <row r="50" spans="1:4" ht="29.45" customHeight="1" x14ac:dyDescent="0.25">
      <c r="A50" s="53" t="s">
        <v>3231</v>
      </c>
      <c r="B50" s="54" t="s">
        <v>3232</v>
      </c>
      <c r="C50" s="55" t="s">
        <v>844</v>
      </c>
      <c r="D50" s="58" t="s">
        <v>698</v>
      </c>
    </row>
    <row r="52" spans="1:4" x14ac:dyDescent="0.25">
      <c r="A52" s="4" t="s">
        <v>3233</v>
      </c>
      <c r="B52" s="5"/>
      <c r="C52" s="4" t="s">
        <v>674</v>
      </c>
      <c r="D52" s="4" t="s">
        <v>675</v>
      </c>
    </row>
    <row r="53" spans="1:4" ht="42.6" customHeight="1" x14ac:dyDescent="0.25">
      <c r="A53" s="53" t="s">
        <v>3234</v>
      </c>
      <c r="B53" s="54" t="s">
        <v>3235</v>
      </c>
      <c r="C53" s="55" t="s">
        <v>776</v>
      </c>
      <c r="D53" s="56" t="s">
        <v>679</v>
      </c>
    </row>
    <row r="54" spans="1:4" ht="29.45" customHeight="1" x14ac:dyDescent="0.25">
      <c r="A54" s="53" t="s">
        <v>3236</v>
      </c>
      <c r="B54" s="54" t="s">
        <v>3237</v>
      </c>
      <c r="C54" s="55" t="s">
        <v>776</v>
      </c>
      <c r="D54" s="56" t="s">
        <v>679</v>
      </c>
    </row>
    <row r="55" spans="1:4" ht="42.6" customHeight="1" x14ac:dyDescent="0.25">
      <c r="A55" s="53" t="s">
        <v>3238</v>
      </c>
      <c r="B55" s="54" t="s">
        <v>3239</v>
      </c>
      <c r="C55" s="55" t="s">
        <v>776</v>
      </c>
      <c r="D55" s="56" t="s">
        <v>679</v>
      </c>
    </row>
    <row r="56" spans="1:4" ht="29.45" customHeight="1" x14ac:dyDescent="0.25">
      <c r="A56" s="53" t="s">
        <v>3240</v>
      </c>
      <c r="B56" s="54" t="s">
        <v>3241</v>
      </c>
      <c r="C56" s="55" t="s">
        <v>844</v>
      </c>
      <c r="D56" s="58" t="s">
        <v>698</v>
      </c>
    </row>
    <row r="58" spans="1:4" x14ac:dyDescent="0.25">
      <c r="A58" s="4" t="s">
        <v>762</v>
      </c>
      <c r="B58" s="5"/>
      <c r="C58" s="4" t="s">
        <v>674</v>
      </c>
      <c r="D58" s="4" t="s">
        <v>675</v>
      </c>
    </row>
    <row r="59" spans="1:4" ht="29.45" customHeight="1" x14ac:dyDescent="0.25">
      <c r="A59" s="53" t="s">
        <v>2269</v>
      </c>
      <c r="B59" s="54" t="s">
        <v>3242</v>
      </c>
      <c r="C59" s="55" t="s">
        <v>877</v>
      </c>
      <c r="D59" s="56" t="s">
        <v>679</v>
      </c>
    </row>
    <row r="60" spans="1:4" ht="16.149999999999999" customHeight="1" x14ac:dyDescent="0.25">
      <c r="A60" s="53" t="s">
        <v>3243</v>
      </c>
      <c r="B60" s="54" t="s">
        <v>3377</v>
      </c>
      <c r="C60" s="55" t="s">
        <v>877</v>
      </c>
      <c r="D60" s="56" t="s">
        <v>679</v>
      </c>
    </row>
    <row r="61" spans="1:4" ht="29.45" customHeight="1" x14ac:dyDescent="0.25">
      <c r="A61" s="53" t="s">
        <v>1681</v>
      </c>
      <c r="B61" s="54" t="s">
        <v>3378</v>
      </c>
      <c r="C61" s="55" t="s">
        <v>844</v>
      </c>
      <c r="D61" s="58" t="s">
        <v>698</v>
      </c>
    </row>
    <row r="62" spans="1:4" ht="16.149999999999999" customHeight="1" x14ac:dyDescent="0.25">
      <c r="A62" s="53" t="s">
        <v>3246</v>
      </c>
      <c r="B62" s="54" t="s">
        <v>3379</v>
      </c>
      <c r="C62" s="55" t="s">
        <v>962</v>
      </c>
      <c r="D62" s="59" t="s">
        <v>748</v>
      </c>
    </row>
    <row r="64" spans="1:4" x14ac:dyDescent="0.25">
      <c r="A64" s="4" t="s">
        <v>773</v>
      </c>
      <c r="B64" s="5"/>
      <c r="C64" s="4" t="s">
        <v>674</v>
      </c>
      <c r="D64" s="4" t="s">
        <v>675</v>
      </c>
    </row>
    <row r="65" spans="1:4" ht="42.6" customHeight="1" x14ac:dyDescent="0.25">
      <c r="A65" s="53" t="s">
        <v>3248</v>
      </c>
      <c r="B65" s="54" t="s">
        <v>3249</v>
      </c>
      <c r="C65" s="55" t="s">
        <v>731</v>
      </c>
      <c r="D65" s="59" t="s">
        <v>748</v>
      </c>
    </row>
    <row r="66" spans="1:4" ht="42.6" customHeight="1" x14ac:dyDescent="0.25">
      <c r="A66" s="53" t="s">
        <v>3250</v>
      </c>
      <c r="B66" s="54" t="s">
        <v>3251</v>
      </c>
      <c r="C66" s="55" t="s">
        <v>962</v>
      </c>
      <c r="D66" s="59" t="s">
        <v>748</v>
      </c>
    </row>
    <row r="67" spans="1:4" ht="29.45" customHeight="1" x14ac:dyDescent="0.25">
      <c r="A67" s="53" t="s">
        <v>3252</v>
      </c>
      <c r="B67" s="54" t="s">
        <v>3253</v>
      </c>
      <c r="C67" s="55" t="s">
        <v>962</v>
      </c>
      <c r="D67" s="59" t="s">
        <v>748</v>
      </c>
    </row>
    <row r="68" spans="1:4" ht="16.149999999999999" customHeight="1" x14ac:dyDescent="0.25">
      <c r="A68" s="53" t="s">
        <v>3254</v>
      </c>
      <c r="B68" s="54" t="s">
        <v>3255</v>
      </c>
      <c r="C68" s="55" t="s">
        <v>737</v>
      </c>
      <c r="D68" s="59" t="s">
        <v>748</v>
      </c>
    </row>
    <row r="70" spans="1:4" x14ac:dyDescent="0.25">
      <c r="A70" s="4" t="s">
        <v>781</v>
      </c>
      <c r="B70" s="5"/>
      <c r="C70" s="4" t="s">
        <v>674</v>
      </c>
      <c r="D70" s="4" t="s">
        <v>675</v>
      </c>
    </row>
    <row r="71" spans="1:4" ht="16.149999999999999" customHeight="1" x14ac:dyDescent="0.25">
      <c r="A71" s="53" t="s">
        <v>1488</v>
      </c>
      <c r="B71" s="54" t="s">
        <v>3380</v>
      </c>
      <c r="C71" s="55" t="s">
        <v>877</v>
      </c>
      <c r="D71" s="59" t="s">
        <v>748</v>
      </c>
    </row>
    <row r="72" spans="1:4" ht="16.149999999999999" customHeight="1" x14ac:dyDescent="0.25">
      <c r="A72" s="53" t="s">
        <v>1309</v>
      </c>
      <c r="B72" s="54" t="s">
        <v>3376</v>
      </c>
      <c r="C72" s="55" t="s">
        <v>844</v>
      </c>
      <c r="D72" s="58" t="s">
        <v>698</v>
      </c>
    </row>
    <row r="73" spans="1:4" ht="29.45" customHeight="1" x14ac:dyDescent="0.25">
      <c r="A73" s="53" t="s">
        <v>3257</v>
      </c>
      <c r="B73" s="54" t="s">
        <v>3258</v>
      </c>
      <c r="C73" s="55" t="s">
        <v>844</v>
      </c>
      <c r="D73" s="58" t="s">
        <v>698</v>
      </c>
    </row>
    <row r="74" spans="1:4" ht="16.149999999999999" customHeight="1" x14ac:dyDescent="0.25">
      <c r="A74" s="53" t="s">
        <v>3259</v>
      </c>
      <c r="B74" s="54" t="s">
        <v>3260</v>
      </c>
      <c r="C74" s="55" t="s">
        <v>844</v>
      </c>
      <c r="D74" s="58" t="s">
        <v>698</v>
      </c>
    </row>
    <row r="75" spans="1:4" ht="16.149999999999999" customHeight="1" x14ac:dyDescent="0.25">
      <c r="A75" s="53" t="s">
        <v>1968</v>
      </c>
      <c r="B75" s="54" t="s">
        <v>3261</v>
      </c>
      <c r="C75" s="55" t="s">
        <v>962</v>
      </c>
      <c r="D75" s="59" t="s">
        <v>748</v>
      </c>
    </row>
    <row r="77" spans="1:4" x14ac:dyDescent="0.25">
      <c r="A77" s="4" t="s">
        <v>792</v>
      </c>
      <c r="B77" s="5"/>
      <c r="C77" s="4" t="s">
        <v>674</v>
      </c>
      <c r="D77" s="4" t="s">
        <v>675</v>
      </c>
    </row>
    <row r="78" spans="1:4" ht="16.149999999999999" customHeight="1" x14ac:dyDescent="0.25">
      <c r="A78" s="53" t="s">
        <v>793</v>
      </c>
      <c r="B78" s="54" t="s">
        <v>3364</v>
      </c>
      <c r="C78" s="55" t="s">
        <v>689</v>
      </c>
      <c r="D78" s="56" t="s">
        <v>679</v>
      </c>
    </row>
    <row r="79" spans="1:4" ht="29.45" customHeight="1" x14ac:dyDescent="0.25">
      <c r="A79" s="53" t="s">
        <v>797</v>
      </c>
      <c r="B79" s="54" t="s">
        <v>3381</v>
      </c>
      <c r="C79" s="55" t="s">
        <v>877</v>
      </c>
      <c r="D79" s="56" t="s">
        <v>679</v>
      </c>
    </row>
    <row r="80" spans="1:4" ht="16.149999999999999" customHeight="1" x14ac:dyDescent="0.25">
      <c r="A80" s="53" t="s">
        <v>3263</v>
      </c>
      <c r="B80" s="54" t="s">
        <v>3382</v>
      </c>
      <c r="C80" s="55" t="s">
        <v>844</v>
      </c>
      <c r="D80" s="58" t="s">
        <v>698</v>
      </c>
    </row>
    <row r="81" spans="1:4" ht="16.149999999999999" customHeight="1" x14ac:dyDescent="0.25">
      <c r="A81" s="53" t="s">
        <v>799</v>
      </c>
      <c r="B81" s="54" t="s">
        <v>3265</v>
      </c>
      <c r="C81" s="55" t="s">
        <v>877</v>
      </c>
      <c r="D81" s="56" t="s">
        <v>679</v>
      </c>
    </row>
    <row r="82" spans="1:4" ht="16.149999999999999" customHeight="1" x14ac:dyDescent="0.25">
      <c r="A82" s="53" t="s">
        <v>801</v>
      </c>
      <c r="B82" s="54" t="s">
        <v>3266</v>
      </c>
      <c r="C82" s="55" t="s">
        <v>753</v>
      </c>
      <c r="D82" s="60" t="s">
        <v>803</v>
      </c>
    </row>
    <row r="84" spans="1:4" x14ac:dyDescent="0.25">
      <c r="A84" s="4" t="s">
        <v>804</v>
      </c>
      <c r="B84" s="5"/>
      <c r="C84" s="4" t="s">
        <v>674</v>
      </c>
      <c r="D84" s="4" t="s">
        <v>675</v>
      </c>
    </row>
    <row r="85" spans="1:4" ht="16.149999999999999" customHeight="1" x14ac:dyDescent="0.25">
      <c r="A85" s="53" t="s">
        <v>1037</v>
      </c>
      <c r="B85" s="54" t="s">
        <v>3267</v>
      </c>
      <c r="C85" s="55" t="s">
        <v>684</v>
      </c>
      <c r="D85" s="57" t="s">
        <v>690</v>
      </c>
    </row>
    <row r="86" spans="1:4" ht="29.45" customHeight="1" x14ac:dyDescent="0.25">
      <c r="A86" s="53" t="s">
        <v>3268</v>
      </c>
      <c r="B86" s="54" t="s">
        <v>3269</v>
      </c>
      <c r="C86" s="55" t="s">
        <v>844</v>
      </c>
      <c r="D86" s="58" t="s">
        <v>698</v>
      </c>
    </row>
    <row r="88" spans="1:4" x14ac:dyDescent="0.25">
      <c r="A88" s="4" t="s">
        <v>813</v>
      </c>
      <c r="B88" s="5"/>
      <c r="C88" s="4" t="s">
        <v>674</v>
      </c>
      <c r="D88" s="4" t="s">
        <v>675</v>
      </c>
    </row>
    <row r="89" spans="1:4" ht="16.149999999999999" customHeight="1" x14ac:dyDescent="0.25">
      <c r="A89" s="53" t="s">
        <v>3270</v>
      </c>
      <c r="B89" s="54" t="s">
        <v>3271</v>
      </c>
      <c r="C89" s="55" t="s">
        <v>844</v>
      </c>
      <c r="D89" s="58" t="s">
        <v>698</v>
      </c>
    </row>
    <row r="91" spans="1:4" x14ac:dyDescent="0.25">
      <c r="A91" s="4" t="s">
        <v>826</v>
      </c>
      <c r="B91" s="5"/>
      <c r="C91" s="4" t="s">
        <v>674</v>
      </c>
      <c r="D91" s="4" t="s">
        <v>675</v>
      </c>
    </row>
    <row r="92" spans="1:4" ht="16.149999999999999" customHeight="1" x14ac:dyDescent="0.25">
      <c r="A92" s="53" t="s">
        <v>2963</v>
      </c>
      <c r="B92" s="54" t="s">
        <v>3383</v>
      </c>
      <c r="C92" s="55" t="s">
        <v>844</v>
      </c>
      <c r="D92" s="58" t="s">
        <v>698</v>
      </c>
    </row>
    <row r="93" spans="1:4" ht="29.45" customHeight="1" x14ac:dyDescent="0.25">
      <c r="A93" s="53" t="s">
        <v>3273</v>
      </c>
      <c r="B93" s="54" t="s">
        <v>3274</v>
      </c>
      <c r="C93" s="55" t="s">
        <v>844</v>
      </c>
      <c r="D93" s="60" t="s">
        <v>803</v>
      </c>
    </row>
    <row r="94" spans="1:4" ht="16.149999999999999" customHeight="1" x14ac:dyDescent="0.25">
      <c r="A94" s="53" t="s">
        <v>3275</v>
      </c>
      <c r="B94" s="54" t="s">
        <v>3276</v>
      </c>
      <c r="C94" s="55" t="s">
        <v>844</v>
      </c>
      <c r="D94" s="58" t="s">
        <v>698</v>
      </c>
    </row>
    <row r="96" spans="1:4" x14ac:dyDescent="0.25">
      <c r="A96" s="4" t="s">
        <v>833</v>
      </c>
      <c r="B96" s="5"/>
      <c r="C96" s="4" t="s">
        <v>674</v>
      </c>
      <c r="D96" s="4" t="s">
        <v>675</v>
      </c>
    </row>
    <row r="97" spans="1:4" ht="29.45" customHeight="1" x14ac:dyDescent="0.25">
      <c r="A97" s="53" t="s">
        <v>834</v>
      </c>
      <c r="B97" s="54" t="s">
        <v>3384</v>
      </c>
      <c r="C97" s="55" t="s">
        <v>877</v>
      </c>
      <c r="D97" s="56" t="s">
        <v>679</v>
      </c>
    </row>
    <row r="99" spans="1:4" x14ac:dyDescent="0.25">
      <c r="A99" s="4" t="s">
        <v>836</v>
      </c>
      <c r="B99" s="5"/>
      <c r="C99" s="4" t="s">
        <v>674</v>
      </c>
      <c r="D99" s="4" t="s">
        <v>675</v>
      </c>
    </row>
    <row r="100" spans="1:4" ht="69" customHeight="1" x14ac:dyDescent="0.25">
      <c r="A100" s="53" t="s">
        <v>3278</v>
      </c>
      <c r="B100" s="54" t="s">
        <v>3385</v>
      </c>
      <c r="C100" s="55" t="s">
        <v>731</v>
      </c>
      <c r="D100" s="59" t="s">
        <v>748</v>
      </c>
    </row>
    <row r="101" spans="1:4" ht="29.45" customHeight="1" x14ac:dyDescent="0.25">
      <c r="A101" s="53" t="s">
        <v>3280</v>
      </c>
      <c r="B101" s="54" t="s">
        <v>3281</v>
      </c>
      <c r="C101" s="55" t="s">
        <v>747</v>
      </c>
      <c r="D101" s="59" t="s">
        <v>748</v>
      </c>
    </row>
    <row r="102" spans="1:4" ht="16.149999999999999" customHeight="1" x14ac:dyDescent="0.25">
      <c r="A102" s="53" t="s">
        <v>3282</v>
      </c>
      <c r="B102" s="54" t="s">
        <v>3283</v>
      </c>
      <c r="C102" s="55" t="s">
        <v>962</v>
      </c>
      <c r="D102" s="59" t="s">
        <v>748</v>
      </c>
    </row>
    <row r="103" spans="1:4" ht="16.149999999999999" customHeight="1" x14ac:dyDescent="0.25">
      <c r="A103" s="53" t="s">
        <v>3284</v>
      </c>
      <c r="B103" s="54" t="s">
        <v>3285</v>
      </c>
      <c r="C103" s="55" t="s">
        <v>776</v>
      </c>
      <c r="D103" s="56" t="s">
        <v>679</v>
      </c>
    </row>
    <row r="104" spans="1:4" ht="16.149999999999999" customHeight="1" x14ac:dyDescent="0.25">
      <c r="A104" s="53" t="s">
        <v>3286</v>
      </c>
      <c r="B104" s="54" t="s">
        <v>3287</v>
      </c>
      <c r="C104" s="55" t="s">
        <v>844</v>
      </c>
      <c r="D104" s="60" t="s">
        <v>803</v>
      </c>
    </row>
    <row r="105" spans="1:4" ht="16.149999999999999" customHeight="1" x14ac:dyDescent="0.25">
      <c r="A105" s="53" t="s">
        <v>3288</v>
      </c>
      <c r="B105" s="54" t="s">
        <v>3289</v>
      </c>
      <c r="C105" s="55" t="s">
        <v>844</v>
      </c>
      <c r="D105" s="60" t="s">
        <v>803</v>
      </c>
    </row>
    <row r="107" spans="1:4" x14ac:dyDescent="0.25">
      <c r="A107" s="4" t="s">
        <v>855</v>
      </c>
      <c r="B107" s="5"/>
      <c r="C107" s="4" t="s">
        <v>674</v>
      </c>
      <c r="D107" s="4" t="s">
        <v>675</v>
      </c>
    </row>
    <row r="108" spans="1:4" ht="16.149999999999999" customHeight="1" x14ac:dyDescent="0.25">
      <c r="A108" s="53" t="s">
        <v>3290</v>
      </c>
      <c r="B108" s="54" t="s">
        <v>3291</v>
      </c>
      <c r="C108" s="55" t="s">
        <v>737</v>
      </c>
      <c r="D108" s="59" t="s">
        <v>748</v>
      </c>
    </row>
    <row r="109" spans="1:4" ht="16.149999999999999" customHeight="1" x14ac:dyDescent="0.25">
      <c r="A109" s="53" t="s">
        <v>3292</v>
      </c>
      <c r="B109" s="54" t="s">
        <v>3293</v>
      </c>
      <c r="C109" s="55" t="s">
        <v>731</v>
      </c>
      <c r="D109" s="59" t="s">
        <v>748</v>
      </c>
    </row>
    <row r="110" spans="1:4" ht="16.149999999999999" customHeight="1" x14ac:dyDescent="0.25">
      <c r="A110" s="53" t="s">
        <v>3294</v>
      </c>
      <c r="B110" s="54" t="s">
        <v>3295</v>
      </c>
      <c r="C110" s="55" t="s">
        <v>776</v>
      </c>
      <c r="D110" s="56" t="s">
        <v>679</v>
      </c>
    </row>
    <row r="111" spans="1:4" ht="16.149999999999999" customHeight="1" x14ac:dyDescent="0.25">
      <c r="A111" s="53" t="s">
        <v>3296</v>
      </c>
      <c r="B111" s="54" t="s">
        <v>3297</v>
      </c>
      <c r="C111" s="55" t="s">
        <v>844</v>
      </c>
      <c r="D111" s="58" t="s">
        <v>698</v>
      </c>
    </row>
    <row r="112" spans="1:4" ht="16.149999999999999" customHeight="1" x14ac:dyDescent="0.25">
      <c r="A112" s="53" t="s">
        <v>3298</v>
      </c>
      <c r="B112" s="54" t="s">
        <v>3299</v>
      </c>
      <c r="C112" s="55" t="s">
        <v>844</v>
      </c>
      <c r="D112" s="58" t="s">
        <v>698</v>
      </c>
    </row>
    <row r="113" spans="1:4" ht="16.149999999999999" customHeight="1" x14ac:dyDescent="0.25">
      <c r="A113" s="53" t="s">
        <v>3300</v>
      </c>
      <c r="B113" s="54" t="s">
        <v>3301</v>
      </c>
      <c r="C113" s="55" t="s">
        <v>962</v>
      </c>
      <c r="D113" s="59" t="s">
        <v>748</v>
      </c>
    </row>
    <row r="114" spans="1:4" ht="16.149999999999999" customHeight="1" x14ac:dyDescent="0.25">
      <c r="A114" s="53" t="s">
        <v>3302</v>
      </c>
      <c r="B114" s="54" t="s">
        <v>3303</v>
      </c>
      <c r="C114" s="55" t="s">
        <v>747</v>
      </c>
      <c r="D114" s="59" t="s">
        <v>748</v>
      </c>
    </row>
    <row r="116" spans="1:4" x14ac:dyDescent="0.25">
      <c r="A116" s="4" t="s">
        <v>868</v>
      </c>
      <c r="B116" s="5"/>
      <c r="C116" s="4" t="s">
        <v>674</v>
      </c>
      <c r="D116" s="5"/>
    </row>
    <row r="117" spans="1:4" ht="16.149999999999999" customHeight="1" x14ac:dyDescent="0.25">
      <c r="A117" s="61" t="s">
        <v>3304</v>
      </c>
      <c r="B117" s="54" t="s">
        <v>3305</v>
      </c>
      <c r="C117" s="55" t="s">
        <v>841</v>
      </c>
      <c r="D117" s="62"/>
    </row>
    <row r="118" spans="1:4" ht="16.149999999999999" customHeight="1" x14ac:dyDescent="0.25">
      <c r="A118" s="61" t="s">
        <v>3306</v>
      </c>
      <c r="B118" s="54" t="s">
        <v>3307</v>
      </c>
      <c r="C118" s="55" t="s">
        <v>678</v>
      </c>
      <c r="D118" s="62"/>
    </row>
    <row r="119" spans="1:4" ht="16.149999999999999" customHeight="1" x14ac:dyDescent="0.25">
      <c r="A119" s="61" t="s">
        <v>3308</v>
      </c>
      <c r="B119" s="54" t="s">
        <v>3309</v>
      </c>
      <c r="C119" s="55" t="s">
        <v>684</v>
      </c>
      <c r="D119" s="62"/>
    </row>
    <row r="120" spans="1:4" ht="16.149999999999999" customHeight="1" x14ac:dyDescent="0.25">
      <c r="A120" s="61" t="s">
        <v>3310</v>
      </c>
      <c r="B120" s="54" t="s">
        <v>3311</v>
      </c>
      <c r="C120" s="55" t="s">
        <v>753</v>
      </c>
      <c r="D120" s="62"/>
    </row>
    <row r="121" spans="1:4" ht="16.149999999999999" customHeight="1" x14ac:dyDescent="0.25">
      <c r="A121" s="61" t="s">
        <v>1068</v>
      </c>
      <c r="B121" s="54" t="s">
        <v>3312</v>
      </c>
      <c r="C121" s="55" t="s">
        <v>877</v>
      </c>
      <c r="D121" s="62"/>
    </row>
    <row r="122" spans="1:4" ht="16.149999999999999" customHeight="1" x14ac:dyDescent="0.25">
      <c r="A122" s="61" t="s">
        <v>3313</v>
      </c>
      <c r="B122" s="54" t="s">
        <v>3314</v>
      </c>
      <c r="C122" s="55" t="s">
        <v>877</v>
      </c>
      <c r="D122" s="62"/>
    </row>
    <row r="123" spans="1:4" ht="16.149999999999999" customHeight="1" x14ac:dyDescent="0.25">
      <c r="A123" s="61" t="s">
        <v>2819</v>
      </c>
      <c r="B123" s="54" t="s">
        <v>3315</v>
      </c>
      <c r="C123" s="55" t="s">
        <v>737</v>
      </c>
      <c r="D123" s="62"/>
    </row>
    <row r="124" spans="1:4" ht="16.149999999999999" customHeight="1" x14ac:dyDescent="0.25">
      <c r="A124" s="61" t="s">
        <v>3316</v>
      </c>
      <c r="B124" s="54" t="s">
        <v>3317</v>
      </c>
      <c r="C124" s="55" t="s">
        <v>731</v>
      </c>
      <c r="D124" s="62"/>
    </row>
    <row r="125" spans="1:4" ht="16.149999999999999" customHeight="1" x14ac:dyDescent="0.25">
      <c r="A125" s="61" t="s">
        <v>3318</v>
      </c>
      <c r="B125" s="54" t="s">
        <v>3319</v>
      </c>
      <c r="C125" s="55" t="s">
        <v>747</v>
      </c>
      <c r="D125" s="62"/>
    </row>
    <row r="126" spans="1:4" ht="16.149999999999999" customHeight="1" x14ac:dyDescent="0.25">
      <c r="A126" s="61" t="s">
        <v>888</v>
      </c>
      <c r="B126" s="54" t="s">
        <v>3320</v>
      </c>
      <c r="C126" s="55" t="s">
        <v>776</v>
      </c>
      <c r="D126" s="62"/>
    </row>
    <row r="127" spans="1:4" ht="16.149999999999999" customHeight="1" x14ac:dyDescent="0.25">
      <c r="A127" s="61" t="s">
        <v>3321</v>
      </c>
      <c r="B127" s="54" t="s">
        <v>3322</v>
      </c>
      <c r="C127" s="55" t="s">
        <v>844</v>
      </c>
      <c r="D127" s="62"/>
    </row>
    <row r="128" spans="1:4" ht="16.149999999999999" customHeight="1" x14ac:dyDescent="0.25">
      <c r="A128" s="61" t="s">
        <v>1742</v>
      </c>
      <c r="B128" s="54" t="s">
        <v>3323</v>
      </c>
      <c r="C128" s="55" t="s">
        <v>844</v>
      </c>
      <c r="D128" s="62"/>
    </row>
    <row r="129" spans="1:4" ht="16.149999999999999" customHeight="1" x14ac:dyDescent="0.25">
      <c r="A129" s="61" t="s">
        <v>3324</v>
      </c>
      <c r="B129" s="54" t="s">
        <v>3325</v>
      </c>
      <c r="C129" s="55" t="s">
        <v>962</v>
      </c>
      <c r="D129" s="62"/>
    </row>
    <row r="130" spans="1:4" ht="16.149999999999999" customHeight="1" x14ac:dyDescent="0.25">
      <c r="A130" s="61" t="s">
        <v>3326</v>
      </c>
      <c r="B130" s="54" t="s">
        <v>3327</v>
      </c>
      <c r="C130" s="55" t="s">
        <v>747</v>
      </c>
      <c r="D130" s="62"/>
    </row>
    <row r="131" spans="1:4" ht="16.149999999999999" customHeight="1" x14ac:dyDescent="0.25">
      <c r="A131" s="61" t="s">
        <v>2060</v>
      </c>
      <c r="B131" s="54" t="s">
        <v>3328</v>
      </c>
      <c r="C131" s="55" t="s">
        <v>747</v>
      </c>
      <c r="D131" s="62"/>
    </row>
    <row r="133" spans="1:4" x14ac:dyDescent="0.25">
      <c r="A133" s="4" t="s">
        <v>894</v>
      </c>
      <c r="B133" s="5"/>
      <c r="C133" s="5"/>
      <c r="D133" s="5"/>
    </row>
    <row r="134" spans="1:4" ht="29.45" customHeight="1" x14ac:dyDescent="0.25">
      <c r="A134" s="53" t="s">
        <v>3329</v>
      </c>
      <c r="B134" s="54" t="s">
        <v>3330</v>
      </c>
      <c r="C134" s="28" t="s">
        <v>897</v>
      </c>
      <c r="D134" s="62"/>
    </row>
    <row r="135" spans="1:4" ht="29.45" customHeight="1" x14ac:dyDescent="0.25">
      <c r="A135" s="53" t="s">
        <v>3331</v>
      </c>
      <c r="B135" s="54" t="s">
        <v>3332</v>
      </c>
      <c r="C135" s="28" t="s">
        <v>897</v>
      </c>
      <c r="D135" s="62"/>
    </row>
    <row r="136" spans="1:4" ht="29.45" customHeight="1" x14ac:dyDescent="0.25">
      <c r="A136" s="53" t="s">
        <v>3333</v>
      </c>
      <c r="B136" s="54" t="s">
        <v>3334</v>
      </c>
      <c r="C136" s="28" t="s">
        <v>897</v>
      </c>
      <c r="D136" s="62"/>
    </row>
    <row r="137" spans="1:4" ht="29.45" customHeight="1" x14ac:dyDescent="0.25">
      <c r="A137" s="53" t="s">
        <v>3335</v>
      </c>
      <c r="B137" s="54" t="s">
        <v>3336</v>
      </c>
      <c r="C137" s="28" t="s">
        <v>897</v>
      </c>
      <c r="D137" s="62"/>
    </row>
    <row r="138" spans="1:4" ht="29.45" customHeight="1" x14ac:dyDescent="0.25">
      <c r="A138" s="53" t="s">
        <v>3337</v>
      </c>
      <c r="B138" s="54" t="s">
        <v>3338</v>
      </c>
      <c r="C138" s="28" t="s">
        <v>897</v>
      </c>
      <c r="D138" s="62"/>
    </row>
    <row r="139" spans="1:4" ht="29.45" customHeight="1" x14ac:dyDescent="0.25">
      <c r="A139" s="53" t="s">
        <v>3339</v>
      </c>
      <c r="B139" s="54" t="s">
        <v>3340</v>
      </c>
      <c r="C139" s="28" t="s">
        <v>897</v>
      </c>
      <c r="D139" s="62"/>
    </row>
    <row r="140" spans="1:4" ht="29.45" customHeight="1" x14ac:dyDescent="0.25">
      <c r="A140" s="53" t="s">
        <v>3341</v>
      </c>
      <c r="B140" s="54" t="s">
        <v>3342</v>
      </c>
      <c r="C140" s="28" t="s">
        <v>897</v>
      </c>
      <c r="D140" s="62"/>
    </row>
    <row r="141" spans="1:4" ht="29.45" customHeight="1" x14ac:dyDescent="0.25">
      <c r="A141" s="53" t="s">
        <v>3343</v>
      </c>
      <c r="B141" s="54" t="s">
        <v>3344</v>
      </c>
      <c r="C141" s="28" t="s">
        <v>897</v>
      </c>
      <c r="D141" s="62"/>
    </row>
    <row r="142" spans="1:4" ht="29.45" customHeight="1" x14ac:dyDescent="0.25">
      <c r="A142" s="53" t="s">
        <v>3345</v>
      </c>
      <c r="B142" s="54" t="s">
        <v>3346</v>
      </c>
      <c r="C142" s="28" t="s">
        <v>897</v>
      </c>
      <c r="D142" s="62"/>
    </row>
    <row r="143" spans="1:4" ht="42.6" customHeight="1" x14ac:dyDescent="0.25">
      <c r="A143" s="53" t="s">
        <v>3347</v>
      </c>
      <c r="B143" s="54" t="s">
        <v>3348</v>
      </c>
      <c r="C143" s="28" t="s">
        <v>897</v>
      </c>
      <c r="D143" s="62"/>
    </row>
    <row r="144" spans="1:4" ht="29.45" customHeight="1" x14ac:dyDescent="0.25">
      <c r="A144" s="53" t="s">
        <v>3349</v>
      </c>
      <c r="B144" s="54" t="s">
        <v>3350</v>
      </c>
      <c r="C144" s="28" t="s">
        <v>897</v>
      </c>
      <c r="D144" s="62"/>
    </row>
    <row r="145" spans="1:4" ht="29.45" customHeight="1" x14ac:dyDescent="0.25">
      <c r="A145" s="53" t="s">
        <v>3351</v>
      </c>
      <c r="B145" s="54" t="s">
        <v>3352</v>
      </c>
      <c r="C145" s="62"/>
      <c r="D145" s="62"/>
    </row>
    <row r="147" spans="1:4" x14ac:dyDescent="0.25">
      <c r="A147" s="4" t="s">
        <v>926</v>
      </c>
      <c r="B147" s="5"/>
      <c r="C147" s="5"/>
      <c r="D147" s="5"/>
    </row>
    <row r="148" spans="1:4" ht="29.45" customHeight="1" x14ac:dyDescent="0.25">
      <c r="B148" s="52" t="s">
        <v>3353</v>
      </c>
    </row>
    <row r="149" spans="1:4" ht="16.149999999999999" customHeight="1" x14ac:dyDescent="0.25">
      <c r="B149" s="52" t="s">
        <v>3354</v>
      </c>
    </row>
    <row r="150" spans="1:4" ht="16.149999999999999" customHeight="1" x14ac:dyDescent="0.25">
      <c r="B150" s="52" t="s">
        <v>3355</v>
      </c>
    </row>
    <row r="151" spans="1:4" ht="29.45" customHeight="1" x14ac:dyDescent="0.25">
      <c r="B151" s="52" t="s">
        <v>3356</v>
      </c>
    </row>
    <row r="152" spans="1:4" ht="29.45" customHeight="1" x14ac:dyDescent="0.25">
      <c r="B152" s="52" t="s">
        <v>3357</v>
      </c>
    </row>
    <row r="153" spans="1:4" ht="16.149999999999999" customHeight="1" x14ac:dyDescent="0.25">
      <c r="B153" s="52" t="s">
        <v>3358</v>
      </c>
    </row>
    <row r="154" spans="1:4" ht="29.45" customHeight="1" x14ac:dyDescent="0.25">
      <c r="B154" s="52" t="s">
        <v>3359</v>
      </c>
    </row>
    <row r="155" spans="1:4" ht="16.149999999999999" customHeight="1" x14ac:dyDescent="0.25">
      <c r="B155" s="52" t="s">
        <v>3386</v>
      </c>
    </row>
  </sheetData>
  <hyperlinks>
    <hyperlink ref="D1" location="'Monitor'!A24" display="&lt;&lt; Monitor" xr:uid="{00000000-0004-0000-1900-000000000000}"/>
    <hyperlink ref="C134" r:id="rId1" xr:uid="{00000000-0004-0000-1900-000001000000}"/>
    <hyperlink ref="C135" r:id="rId2" xr:uid="{00000000-0004-0000-1900-000002000000}"/>
    <hyperlink ref="C136" r:id="rId3" xr:uid="{00000000-0004-0000-1900-000003000000}"/>
    <hyperlink ref="C137" r:id="rId4" xr:uid="{00000000-0004-0000-1900-000004000000}"/>
    <hyperlink ref="C138" r:id="rId5" xr:uid="{00000000-0004-0000-1900-000005000000}"/>
    <hyperlink ref="C139" r:id="rId6" xr:uid="{00000000-0004-0000-1900-000006000000}"/>
    <hyperlink ref="C140" r:id="rId7" xr:uid="{00000000-0004-0000-1900-000007000000}"/>
    <hyperlink ref="C141" r:id="rId8" xr:uid="{00000000-0004-0000-1900-000008000000}"/>
    <hyperlink ref="C142" r:id="rId9" xr:uid="{00000000-0004-0000-1900-000009000000}"/>
    <hyperlink ref="C143" r:id="rId10" xr:uid="{00000000-0004-0000-1900-00000A000000}"/>
    <hyperlink ref="C144" r:id="rId11" xr:uid="{00000000-0004-0000-1900-00000B000000}"/>
  </hyperlinks>
  <pageMargins left="0.75" right="0.75" top="1" bottom="1" header="0.5" footer="0.5"/>
  <pageSetup fitToHeight="0"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55A11"/>
    <pageSetUpPr fitToPage="1"/>
  </sheetPr>
  <dimension ref="A1:D137"/>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229</v>
      </c>
      <c r="D1" s="41" t="s">
        <v>667</v>
      </c>
    </row>
    <row r="2" spans="1:4" x14ac:dyDescent="0.25">
      <c r="A2" s="2" t="s">
        <v>3387</v>
      </c>
    </row>
    <row r="4" spans="1:4" x14ac:dyDescent="0.25">
      <c r="A4" s="42" t="s">
        <v>9</v>
      </c>
      <c r="B4" s="43">
        <f>Monitor!H25</f>
        <v>99.373999999999995</v>
      </c>
    </row>
    <row r="5" spans="1:4" x14ac:dyDescent="0.25">
      <c r="A5" s="42" t="s">
        <v>11</v>
      </c>
      <c r="B5" s="44">
        <f>Monitor!J25</f>
        <v>7.458760599639918</v>
      </c>
    </row>
    <row r="6" spans="1:4" x14ac:dyDescent="0.25">
      <c r="A6" s="42" t="s">
        <v>8</v>
      </c>
      <c r="B6" s="45">
        <f>Monitor!G25</f>
        <v>1300</v>
      </c>
    </row>
    <row r="7" spans="1:4" x14ac:dyDescent="0.25">
      <c r="A7" s="42" t="s">
        <v>14</v>
      </c>
      <c r="B7" s="46">
        <f>Monitor!M25</f>
        <v>-8.1380000000000621</v>
      </c>
    </row>
    <row r="8" spans="1:4" x14ac:dyDescent="0.25">
      <c r="A8" s="42" t="s">
        <v>15</v>
      </c>
      <c r="B8" s="47">
        <f>Monitor!N25</f>
        <v>-6.2600000000000476E-3</v>
      </c>
    </row>
    <row r="9" spans="1:4" x14ac:dyDescent="0.25">
      <c r="A9" s="42" t="s">
        <v>669</v>
      </c>
      <c r="B9" s="46">
        <f>Monitor!O25</f>
        <v>-2.5479999999999734</v>
      </c>
    </row>
    <row r="10" spans="1:4" x14ac:dyDescent="0.25">
      <c r="A10" s="42" t="s">
        <v>20</v>
      </c>
      <c r="B10" s="48">
        <f>Monitor!S25</f>
        <v>46020</v>
      </c>
    </row>
    <row r="11" spans="1:4" x14ac:dyDescent="0.25">
      <c r="A11" s="42" t="s">
        <v>670</v>
      </c>
      <c r="B11" s="49">
        <f>Monitor!W25</f>
        <v>219.19678976442754</v>
      </c>
    </row>
    <row r="12" spans="1:4" x14ac:dyDescent="0.25">
      <c r="A12" s="42" t="s">
        <v>671</v>
      </c>
      <c r="B12" s="50" t="str">
        <f>Monitor!F25</f>
        <v>Ba3/NR/NR</v>
      </c>
    </row>
    <row r="13" spans="1:4" x14ac:dyDescent="0.25">
      <c r="A13" s="42" t="s">
        <v>4</v>
      </c>
      <c r="B13" s="50" t="str">
        <f>Monitor!C25</f>
        <v>Fluidstack (Google backstop)</v>
      </c>
    </row>
    <row r="15" spans="1:4" x14ac:dyDescent="0.25">
      <c r="A15" s="4" t="s">
        <v>672</v>
      </c>
      <c r="B15" s="5"/>
      <c r="C15" s="5"/>
      <c r="D15" s="5"/>
    </row>
    <row r="16" spans="1:4" ht="55.9" customHeight="1" x14ac:dyDescent="0.25">
      <c r="A16" s="51" t="s">
        <v>192</v>
      </c>
      <c r="B16" s="52" t="s">
        <v>230</v>
      </c>
    </row>
    <row r="18" spans="1:4" x14ac:dyDescent="0.25">
      <c r="A18" s="4" t="s">
        <v>673</v>
      </c>
      <c r="B18" s="5"/>
      <c r="C18" s="4" t="s">
        <v>674</v>
      </c>
      <c r="D18" s="4" t="s">
        <v>675</v>
      </c>
    </row>
    <row r="19" spans="1:4" ht="16.149999999999999" customHeight="1" x14ac:dyDescent="0.25">
      <c r="A19" s="53" t="s">
        <v>676</v>
      </c>
      <c r="B19" s="54" t="s">
        <v>3388</v>
      </c>
      <c r="C19" s="55" t="s">
        <v>678</v>
      </c>
      <c r="D19" s="56" t="s">
        <v>679</v>
      </c>
    </row>
    <row r="20" spans="1:4" ht="29.45" customHeight="1" x14ac:dyDescent="0.25">
      <c r="A20" s="53" t="s">
        <v>1409</v>
      </c>
      <c r="B20" s="54" t="s">
        <v>3389</v>
      </c>
      <c r="C20" s="55" t="s">
        <v>2587</v>
      </c>
      <c r="D20" s="56" t="s">
        <v>679</v>
      </c>
    </row>
    <row r="21" spans="1:4" ht="16.149999999999999" customHeight="1" x14ac:dyDescent="0.25">
      <c r="A21" s="53" t="s">
        <v>3390</v>
      </c>
      <c r="B21" s="54" t="s">
        <v>3391</v>
      </c>
      <c r="C21" s="55" t="s">
        <v>678</v>
      </c>
      <c r="D21" s="56" t="s">
        <v>679</v>
      </c>
    </row>
    <row r="22" spans="1:4" ht="16.149999999999999" customHeight="1" x14ac:dyDescent="0.25">
      <c r="A22" s="53" t="s">
        <v>3392</v>
      </c>
      <c r="B22" s="54" t="s">
        <v>3393</v>
      </c>
      <c r="C22" s="55" t="s">
        <v>678</v>
      </c>
      <c r="D22" s="56" t="s">
        <v>679</v>
      </c>
    </row>
    <row r="23" spans="1:4" ht="42.6" customHeight="1" x14ac:dyDescent="0.25">
      <c r="A23" s="53" t="s">
        <v>1417</v>
      </c>
      <c r="B23" s="54" t="s">
        <v>3394</v>
      </c>
      <c r="C23" s="55" t="s">
        <v>2482</v>
      </c>
      <c r="D23" s="56" t="s">
        <v>679</v>
      </c>
    </row>
    <row r="24" spans="1:4" ht="29.45" customHeight="1" x14ac:dyDescent="0.25">
      <c r="A24" s="53" t="s">
        <v>705</v>
      </c>
      <c r="B24" s="54" t="s">
        <v>3395</v>
      </c>
      <c r="C24" s="55" t="s">
        <v>2482</v>
      </c>
      <c r="D24" s="56" t="s">
        <v>679</v>
      </c>
    </row>
    <row r="25" spans="1:4" ht="29.45" customHeight="1" x14ac:dyDescent="0.25">
      <c r="A25" s="53" t="s">
        <v>2873</v>
      </c>
      <c r="B25" s="54" t="s">
        <v>3396</v>
      </c>
      <c r="C25" s="55" t="s">
        <v>2482</v>
      </c>
      <c r="D25" s="56" t="s">
        <v>679</v>
      </c>
    </row>
    <row r="26" spans="1:4" ht="42.6" customHeight="1" x14ac:dyDescent="0.25">
      <c r="A26" s="53" t="s">
        <v>1423</v>
      </c>
      <c r="B26" s="54" t="s">
        <v>3397</v>
      </c>
      <c r="C26" s="55" t="s">
        <v>3398</v>
      </c>
      <c r="D26" s="57" t="s">
        <v>690</v>
      </c>
    </row>
    <row r="27" spans="1:4" ht="29.45" customHeight="1" x14ac:dyDescent="0.25">
      <c r="A27" s="53" t="s">
        <v>2595</v>
      </c>
      <c r="B27" s="54" t="s">
        <v>3399</v>
      </c>
      <c r="C27" s="55" t="s">
        <v>2482</v>
      </c>
      <c r="D27" s="56" t="s">
        <v>679</v>
      </c>
    </row>
    <row r="28" spans="1:4" ht="29.45" customHeight="1" x14ac:dyDescent="0.25">
      <c r="A28" s="53" t="s">
        <v>695</v>
      </c>
      <c r="B28" s="54" t="s">
        <v>3400</v>
      </c>
      <c r="C28" s="55" t="s">
        <v>734</v>
      </c>
      <c r="D28" s="56" t="s">
        <v>679</v>
      </c>
    </row>
    <row r="30" spans="1:4" x14ac:dyDescent="0.25">
      <c r="A30" s="4" t="s">
        <v>717</v>
      </c>
      <c r="B30" s="5"/>
      <c r="C30" s="4" t="s">
        <v>674</v>
      </c>
      <c r="D30" s="4" t="s">
        <v>675</v>
      </c>
    </row>
    <row r="31" spans="1:4" ht="29.45" customHeight="1" x14ac:dyDescent="0.25">
      <c r="A31" s="53" t="s">
        <v>3401</v>
      </c>
      <c r="B31" s="54" t="s">
        <v>3402</v>
      </c>
      <c r="C31" s="55" t="s">
        <v>678</v>
      </c>
      <c r="D31" s="56" t="s">
        <v>679</v>
      </c>
    </row>
    <row r="32" spans="1:4" ht="29.45" customHeight="1" x14ac:dyDescent="0.25">
      <c r="A32" s="53" t="s">
        <v>3403</v>
      </c>
      <c r="B32" s="54" t="s">
        <v>3404</v>
      </c>
      <c r="C32" s="55" t="s">
        <v>2774</v>
      </c>
      <c r="D32" s="56" t="s">
        <v>679</v>
      </c>
    </row>
    <row r="33" spans="1:4" ht="29.45" customHeight="1" x14ac:dyDescent="0.25">
      <c r="A33" s="53" t="s">
        <v>3405</v>
      </c>
      <c r="B33" s="54" t="s">
        <v>3406</v>
      </c>
      <c r="C33" s="55" t="s">
        <v>678</v>
      </c>
      <c r="D33" s="56" t="s">
        <v>679</v>
      </c>
    </row>
    <row r="34" spans="1:4" ht="29.45" customHeight="1" x14ac:dyDescent="0.25">
      <c r="A34" s="53" t="s">
        <v>3407</v>
      </c>
      <c r="B34" s="54" t="s">
        <v>3408</v>
      </c>
      <c r="C34" s="55" t="s">
        <v>2482</v>
      </c>
      <c r="D34" s="56" t="s">
        <v>679</v>
      </c>
    </row>
    <row r="36" spans="1:4" x14ac:dyDescent="0.25">
      <c r="A36" s="4" t="s">
        <v>728</v>
      </c>
      <c r="B36" s="5"/>
      <c r="C36" s="4" t="s">
        <v>674</v>
      </c>
      <c r="D36" s="4" t="s">
        <v>675</v>
      </c>
    </row>
    <row r="37" spans="1:4" ht="29.45" customHeight="1" x14ac:dyDescent="0.25">
      <c r="A37" s="53" t="s">
        <v>625</v>
      </c>
      <c r="B37" s="54" t="s">
        <v>3409</v>
      </c>
      <c r="C37" s="55" t="s">
        <v>3410</v>
      </c>
      <c r="D37" s="57" t="s">
        <v>690</v>
      </c>
    </row>
    <row r="38" spans="1:4" ht="29.45" customHeight="1" x14ac:dyDescent="0.25">
      <c r="A38" s="53" t="s">
        <v>3411</v>
      </c>
      <c r="B38" s="54" t="s">
        <v>3412</v>
      </c>
      <c r="C38" s="55" t="s">
        <v>2146</v>
      </c>
      <c r="D38" s="59" t="s">
        <v>748</v>
      </c>
    </row>
    <row r="39" spans="1:4" ht="29.45" customHeight="1" x14ac:dyDescent="0.25">
      <c r="A39" s="53" t="s">
        <v>3413</v>
      </c>
      <c r="B39" s="54" t="s">
        <v>3414</v>
      </c>
      <c r="C39" s="55" t="s">
        <v>3415</v>
      </c>
      <c r="D39" s="59" t="s">
        <v>748</v>
      </c>
    </row>
    <row r="41" spans="1:4" x14ac:dyDescent="0.25">
      <c r="A41" s="4" t="s">
        <v>740</v>
      </c>
      <c r="B41" s="5"/>
      <c r="C41" s="4" t="s">
        <v>674</v>
      </c>
      <c r="D41" s="4" t="s">
        <v>675</v>
      </c>
    </row>
    <row r="42" spans="1:4" ht="16.149999999999999" customHeight="1" x14ac:dyDescent="0.25">
      <c r="A42" s="53" t="s">
        <v>3416</v>
      </c>
      <c r="B42" s="54" t="s">
        <v>3417</v>
      </c>
      <c r="C42" s="55" t="s">
        <v>684</v>
      </c>
      <c r="D42" s="56" t="s">
        <v>679</v>
      </c>
    </row>
    <row r="43" spans="1:4" ht="29.45" customHeight="1" x14ac:dyDescent="0.25">
      <c r="A43" s="53" t="s">
        <v>1307</v>
      </c>
      <c r="B43" s="54" t="s">
        <v>3418</v>
      </c>
      <c r="C43" s="55" t="s">
        <v>3419</v>
      </c>
      <c r="D43" s="57" t="s">
        <v>690</v>
      </c>
    </row>
    <row r="44" spans="1:4" ht="42.6" customHeight="1" x14ac:dyDescent="0.25">
      <c r="A44" s="53" t="s">
        <v>3420</v>
      </c>
      <c r="B44" s="54" t="s">
        <v>3421</v>
      </c>
      <c r="C44" s="55" t="s">
        <v>2491</v>
      </c>
      <c r="D44" s="57" t="s">
        <v>690</v>
      </c>
    </row>
    <row r="45" spans="1:4" ht="29.45" customHeight="1" x14ac:dyDescent="0.25">
      <c r="A45" s="53" t="s">
        <v>754</v>
      </c>
      <c r="B45" s="54" t="s">
        <v>3422</v>
      </c>
      <c r="C45" s="55" t="s">
        <v>2624</v>
      </c>
      <c r="D45" s="57" t="s">
        <v>690</v>
      </c>
    </row>
    <row r="46" spans="1:4" ht="29.45" customHeight="1" x14ac:dyDescent="0.25">
      <c r="A46" s="53" t="s">
        <v>3423</v>
      </c>
      <c r="B46" s="54" t="s">
        <v>3424</v>
      </c>
      <c r="C46" s="55" t="s">
        <v>684</v>
      </c>
      <c r="D46" s="56" t="s">
        <v>679</v>
      </c>
    </row>
    <row r="47" spans="1:4" ht="29.45" customHeight="1" x14ac:dyDescent="0.25">
      <c r="A47" s="53" t="s">
        <v>978</v>
      </c>
      <c r="B47" s="54" t="s">
        <v>3425</v>
      </c>
      <c r="C47" s="55" t="s">
        <v>684</v>
      </c>
      <c r="D47" s="56" t="s">
        <v>679</v>
      </c>
    </row>
    <row r="49" spans="1:4" x14ac:dyDescent="0.25">
      <c r="A49" s="4" t="s">
        <v>762</v>
      </c>
      <c r="B49" s="5"/>
      <c r="C49" s="4" t="s">
        <v>674</v>
      </c>
      <c r="D49" s="4" t="s">
        <v>675</v>
      </c>
    </row>
    <row r="50" spans="1:4" ht="16.149999999999999" customHeight="1" x14ac:dyDescent="0.25">
      <c r="A50" s="53" t="s">
        <v>984</v>
      </c>
      <c r="B50" s="54" t="s">
        <v>3426</v>
      </c>
      <c r="C50" s="55" t="s">
        <v>776</v>
      </c>
      <c r="D50" s="57" t="s">
        <v>690</v>
      </c>
    </row>
    <row r="51" spans="1:4" ht="16.149999999999999" customHeight="1" x14ac:dyDescent="0.25">
      <c r="A51" s="53" t="s">
        <v>986</v>
      </c>
      <c r="B51" s="54" t="s">
        <v>3427</v>
      </c>
      <c r="C51" s="55" t="s">
        <v>3419</v>
      </c>
      <c r="D51" s="57" t="s">
        <v>690</v>
      </c>
    </row>
    <row r="52" spans="1:4" ht="16.149999999999999" customHeight="1" x14ac:dyDescent="0.25">
      <c r="A52" s="53" t="s">
        <v>988</v>
      </c>
      <c r="B52" s="54" t="s">
        <v>3428</v>
      </c>
      <c r="C52" s="55" t="s">
        <v>2624</v>
      </c>
      <c r="D52" s="57" t="s">
        <v>690</v>
      </c>
    </row>
    <row r="53" spans="1:4" ht="29.45" customHeight="1" x14ac:dyDescent="0.25">
      <c r="A53" s="53" t="s">
        <v>3429</v>
      </c>
      <c r="B53" s="54" t="s">
        <v>3430</v>
      </c>
      <c r="C53" s="55" t="s">
        <v>3398</v>
      </c>
      <c r="D53" s="57" t="s">
        <v>690</v>
      </c>
    </row>
    <row r="55" spans="1:4" x14ac:dyDescent="0.25">
      <c r="A55" s="4" t="s">
        <v>773</v>
      </c>
      <c r="B55" s="5"/>
      <c r="C55" s="4" t="s">
        <v>674</v>
      </c>
      <c r="D55" s="4" t="s">
        <v>675</v>
      </c>
    </row>
    <row r="56" spans="1:4" ht="29.45" customHeight="1" x14ac:dyDescent="0.25">
      <c r="A56" s="53" t="s">
        <v>3431</v>
      </c>
      <c r="B56" s="54" t="s">
        <v>3432</v>
      </c>
      <c r="C56" s="55" t="s">
        <v>776</v>
      </c>
      <c r="D56" s="57" t="s">
        <v>690</v>
      </c>
    </row>
    <row r="57" spans="1:4" ht="16.149999999999999" customHeight="1" x14ac:dyDescent="0.25">
      <c r="A57" s="53" t="s">
        <v>3433</v>
      </c>
      <c r="B57" s="54" t="s">
        <v>3434</v>
      </c>
      <c r="C57" s="55" t="s">
        <v>776</v>
      </c>
      <c r="D57" s="57" t="s">
        <v>690</v>
      </c>
    </row>
    <row r="59" spans="1:4" x14ac:dyDescent="0.25">
      <c r="A59" s="4" t="s">
        <v>781</v>
      </c>
      <c r="B59" s="5"/>
      <c r="C59" s="4" t="s">
        <v>674</v>
      </c>
      <c r="D59" s="4" t="s">
        <v>675</v>
      </c>
    </row>
    <row r="60" spans="1:4" ht="42.6" customHeight="1" x14ac:dyDescent="0.25">
      <c r="A60" s="53" t="s">
        <v>998</v>
      </c>
      <c r="B60" s="54" t="s">
        <v>3435</v>
      </c>
      <c r="C60" s="55" t="s">
        <v>684</v>
      </c>
      <c r="D60" s="56" t="s">
        <v>679</v>
      </c>
    </row>
    <row r="61" spans="1:4" ht="29.45" customHeight="1" x14ac:dyDescent="0.25">
      <c r="A61" s="53" t="s">
        <v>1000</v>
      </c>
      <c r="B61" s="54" t="s">
        <v>3436</v>
      </c>
      <c r="C61" s="55" t="s">
        <v>2624</v>
      </c>
      <c r="D61" s="57" t="s">
        <v>690</v>
      </c>
    </row>
    <row r="62" spans="1:4" ht="29.45" customHeight="1" x14ac:dyDescent="0.25">
      <c r="A62" s="53" t="s">
        <v>1968</v>
      </c>
      <c r="B62" s="54" t="s">
        <v>3437</v>
      </c>
      <c r="C62" s="55" t="s">
        <v>737</v>
      </c>
      <c r="D62" s="56" t="s">
        <v>679</v>
      </c>
    </row>
    <row r="63" spans="1:4" ht="16.149999999999999" customHeight="1" x14ac:dyDescent="0.25">
      <c r="A63" s="53" t="s">
        <v>3438</v>
      </c>
      <c r="B63" s="54" t="s">
        <v>3439</v>
      </c>
      <c r="C63" s="55" t="s">
        <v>2482</v>
      </c>
      <c r="D63" s="56" t="s">
        <v>679</v>
      </c>
    </row>
    <row r="65" spans="1:4" x14ac:dyDescent="0.25">
      <c r="A65" s="4" t="s">
        <v>792</v>
      </c>
      <c r="B65" s="5"/>
      <c r="C65" s="4" t="s">
        <v>674</v>
      </c>
      <c r="D65" s="4" t="s">
        <v>675</v>
      </c>
    </row>
    <row r="66" spans="1:4" ht="16.149999999999999" customHeight="1" x14ac:dyDescent="0.25">
      <c r="A66" s="53" t="s">
        <v>189</v>
      </c>
      <c r="B66" s="54" t="s">
        <v>3440</v>
      </c>
      <c r="C66" s="55" t="s">
        <v>2614</v>
      </c>
      <c r="D66" s="57" t="s">
        <v>690</v>
      </c>
    </row>
    <row r="67" spans="1:4" ht="29.45" customHeight="1" x14ac:dyDescent="0.25">
      <c r="A67" s="53" t="s">
        <v>1990</v>
      </c>
      <c r="B67" s="54" t="s">
        <v>3441</v>
      </c>
      <c r="C67" s="55" t="s">
        <v>684</v>
      </c>
      <c r="D67" s="56" t="s">
        <v>679</v>
      </c>
    </row>
    <row r="68" spans="1:4" ht="29.45" customHeight="1" x14ac:dyDescent="0.25">
      <c r="A68" s="53" t="s">
        <v>3442</v>
      </c>
      <c r="B68" s="54" t="s">
        <v>3443</v>
      </c>
      <c r="C68" s="55" t="s">
        <v>753</v>
      </c>
      <c r="D68" s="57" t="s">
        <v>690</v>
      </c>
    </row>
    <row r="69" spans="1:4" ht="16.149999999999999" customHeight="1" x14ac:dyDescent="0.25">
      <c r="A69" s="53" t="s">
        <v>1337</v>
      </c>
      <c r="B69" s="54" t="s">
        <v>3444</v>
      </c>
      <c r="C69" s="55" t="s">
        <v>753</v>
      </c>
      <c r="D69" s="58" t="s">
        <v>698</v>
      </c>
    </row>
    <row r="71" spans="1:4" x14ac:dyDescent="0.25">
      <c r="A71" s="4" t="s">
        <v>804</v>
      </c>
      <c r="B71" s="5"/>
      <c r="C71" s="4" t="s">
        <v>674</v>
      </c>
      <c r="D71" s="4" t="s">
        <v>675</v>
      </c>
    </row>
    <row r="72" spans="1:4" ht="42.6" customHeight="1" x14ac:dyDescent="0.25">
      <c r="A72" s="53" t="s">
        <v>2466</v>
      </c>
      <c r="B72" s="54" t="s">
        <v>3445</v>
      </c>
      <c r="C72" s="55" t="s">
        <v>2624</v>
      </c>
      <c r="D72" s="57" t="s">
        <v>690</v>
      </c>
    </row>
    <row r="73" spans="1:4" ht="42.6" customHeight="1" x14ac:dyDescent="0.25">
      <c r="A73" s="53" t="s">
        <v>3446</v>
      </c>
      <c r="B73" s="54" t="s">
        <v>3447</v>
      </c>
      <c r="C73" s="55" t="s">
        <v>2605</v>
      </c>
      <c r="D73" s="57" t="s">
        <v>690</v>
      </c>
    </row>
    <row r="74" spans="1:4" ht="16.149999999999999" customHeight="1" x14ac:dyDescent="0.25">
      <c r="A74" s="53" t="s">
        <v>3448</v>
      </c>
      <c r="B74" s="54" t="s">
        <v>3449</v>
      </c>
      <c r="C74" s="55" t="s">
        <v>684</v>
      </c>
      <c r="D74" s="56" t="s">
        <v>679</v>
      </c>
    </row>
    <row r="75" spans="1:4" ht="29.45" customHeight="1" x14ac:dyDescent="0.25">
      <c r="A75" s="53" t="s">
        <v>3450</v>
      </c>
      <c r="B75" s="54" t="s">
        <v>3451</v>
      </c>
      <c r="C75" s="55" t="s">
        <v>841</v>
      </c>
      <c r="D75" s="56" t="s">
        <v>679</v>
      </c>
    </row>
    <row r="77" spans="1:4" x14ac:dyDescent="0.25">
      <c r="A77" s="4" t="s">
        <v>813</v>
      </c>
      <c r="B77" s="5"/>
      <c r="C77" s="4" t="s">
        <v>674</v>
      </c>
      <c r="D77" s="4" t="s">
        <v>675</v>
      </c>
    </row>
    <row r="78" spans="1:4" ht="16.149999999999999" customHeight="1" x14ac:dyDescent="0.25">
      <c r="A78" s="53" t="s">
        <v>1996</v>
      </c>
      <c r="B78" s="54" t="s">
        <v>3452</v>
      </c>
      <c r="C78" s="55" t="s">
        <v>2482</v>
      </c>
      <c r="D78" s="56" t="s">
        <v>679</v>
      </c>
    </row>
    <row r="79" spans="1:4" ht="29.45" customHeight="1" x14ac:dyDescent="0.25">
      <c r="A79" s="53" t="s">
        <v>2957</v>
      </c>
      <c r="B79" s="54" t="s">
        <v>3453</v>
      </c>
      <c r="C79" s="55" t="s">
        <v>684</v>
      </c>
      <c r="D79" s="56" t="s">
        <v>679</v>
      </c>
    </row>
    <row r="80" spans="1:4" ht="29.45" customHeight="1" x14ac:dyDescent="0.25">
      <c r="A80" s="53" t="s">
        <v>2194</v>
      </c>
      <c r="B80" s="54" t="s">
        <v>3454</v>
      </c>
      <c r="C80" s="55" t="s">
        <v>684</v>
      </c>
      <c r="D80" s="56" t="s">
        <v>679</v>
      </c>
    </row>
    <row r="81" spans="1:4" ht="29.45" customHeight="1" x14ac:dyDescent="0.25">
      <c r="A81" s="53" t="s">
        <v>820</v>
      </c>
      <c r="B81" s="54" t="s">
        <v>3455</v>
      </c>
      <c r="C81" s="55" t="s">
        <v>684</v>
      </c>
      <c r="D81" s="56" t="s">
        <v>679</v>
      </c>
    </row>
    <row r="82" spans="1:4" ht="29.45" customHeight="1" x14ac:dyDescent="0.25">
      <c r="A82" s="53" t="s">
        <v>709</v>
      </c>
      <c r="B82" s="54" t="s">
        <v>3456</v>
      </c>
      <c r="C82" s="55" t="s">
        <v>684</v>
      </c>
      <c r="D82" s="56" t="s">
        <v>679</v>
      </c>
    </row>
    <row r="84" spans="1:4" x14ac:dyDescent="0.25">
      <c r="A84" s="4" t="s">
        <v>826</v>
      </c>
      <c r="B84" s="5"/>
      <c r="C84" s="4" t="s">
        <v>674</v>
      </c>
      <c r="D84" s="4" t="s">
        <v>675</v>
      </c>
    </row>
    <row r="85" spans="1:4" ht="16.149999999999999" customHeight="1" x14ac:dyDescent="0.25">
      <c r="A85" s="53" t="s">
        <v>826</v>
      </c>
      <c r="B85" s="54" t="s">
        <v>3457</v>
      </c>
      <c r="C85" s="55" t="s">
        <v>678</v>
      </c>
      <c r="D85" s="58" t="s">
        <v>698</v>
      </c>
    </row>
    <row r="87" spans="1:4" x14ac:dyDescent="0.25">
      <c r="A87" s="4" t="s">
        <v>833</v>
      </c>
      <c r="B87" s="5"/>
      <c r="C87" s="4" t="s">
        <v>674</v>
      </c>
      <c r="D87" s="4" t="s">
        <v>675</v>
      </c>
    </row>
    <row r="88" spans="1:4" ht="29.45" customHeight="1" x14ac:dyDescent="0.25">
      <c r="A88" s="53" t="s">
        <v>1205</v>
      </c>
      <c r="B88" s="54" t="s">
        <v>3458</v>
      </c>
      <c r="C88" s="55" t="s">
        <v>678</v>
      </c>
      <c r="D88" s="56" t="s">
        <v>679</v>
      </c>
    </row>
    <row r="90" spans="1:4" x14ac:dyDescent="0.25">
      <c r="A90" s="4" t="s">
        <v>836</v>
      </c>
      <c r="B90" s="5"/>
      <c r="C90" s="4" t="s">
        <v>674</v>
      </c>
      <c r="D90" s="4" t="s">
        <v>675</v>
      </c>
    </row>
    <row r="91" spans="1:4" ht="29.45" customHeight="1" x14ac:dyDescent="0.25">
      <c r="A91" s="53" t="s">
        <v>3459</v>
      </c>
      <c r="B91" s="54" t="s">
        <v>3460</v>
      </c>
      <c r="C91" s="55" t="s">
        <v>3461</v>
      </c>
      <c r="D91" s="57" t="s">
        <v>690</v>
      </c>
    </row>
    <row r="92" spans="1:4" ht="16.149999999999999" customHeight="1" x14ac:dyDescent="0.25">
      <c r="A92" s="53" t="s">
        <v>3462</v>
      </c>
      <c r="B92" s="54" t="s">
        <v>3463</v>
      </c>
      <c r="C92" s="55" t="s">
        <v>2482</v>
      </c>
      <c r="D92" s="56" t="s">
        <v>679</v>
      </c>
    </row>
    <row r="93" spans="1:4" ht="29.45" customHeight="1" x14ac:dyDescent="0.25">
      <c r="A93" s="53" t="s">
        <v>3464</v>
      </c>
      <c r="B93" s="54" t="s">
        <v>3465</v>
      </c>
      <c r="C93" s="55" t="s">
        <v>753</v>
      </c>
      <c r="D93" s="57" t="s">
        <v>690</v>
      </c>
    </row>
    <row r="94" spans="1:4" ht="16.149999999999999" customHeight="1" x14ac:dyDescent="0.25">
      <c r="A94" s="53" t="s">
        <v>3466</v>
      </c>
      <c r="B94" s="54" t="s">
        <v>3467</v>
      </c>
      <c r="C94" s="55" t="s">
        <v>2491</v>
      </c>
      <c r="D94" s="57" t="s">
        <v>690</v>
      </c>
    </row>
    <row r="95" spans="1:4" ht="16.149999999999999" customHeight="1" x14ac:dyDescent="0.25">
      <c r="A95" s="53" t="s">
        <v>1692</v>
      </c>
      <c r="B95" s="54" t="s">
        <v>3468</v>
      </c>
      <c r="C95" s="55" t="s">
        <v>753</v>
      </c>
      <c r="D95" s="56" t="s">
        <v>679</v>
      </c>
    </row>
    <row r="97" spans="1:4" x14ac:dyDescent="0.25">
      <c r="A97" s="4" t="s">
        <v>855</v>
      </c>
      <c r="B97" s="5"/>
      <c r="C97" s="4" t="s">
        <v>674</v>
      </c>
      <c r="D97" s="4" t="s">
        <v>675</v>
      </c>
    </row>
    <row r="98" spans="1:4" ht="29.45" customHeight="1" x14ac:dyDescent="0.25">
      <c r="A98" s="53" t="s">
        <v>3469</v>
      </c>
      <c r="B98" s="54" t="s">
        <v>3470</v>
      </c>
      <c r="C98" s="55" t="s">
        <v>3471</v>
      </c>
      <c r="D98" s="56" t="s">
        <v>679</v>
      </c>
    </row>
    <row r="99" spans="1:4" ht="16.149999999999999" customHeight="1" x14ac:dyDescent="0.25">
      <c r="A99" s="53" t="s">
        <v>3472</v>
      </c>
      <c r="B99" s="54" t="s">
        <v>3473</v>
      </c>
      <c r="C99" s="55" t="s">
        <v>962</v>
      </c>
      <c r="D99" s="57" t="s">
        <v>690</v>
      </c>
    </row>
    <row r="101" spans="1:4" x14ac:dyDescent="0.25">
      <c r="A101" s="4" t="s">
        <v>868</v>
      </c>
      <c r="B101" s="5"/>
      <c r="C101" s="4" t="s">
        <v>674</v>
      </c>
      <c r="D101" s="5"/>
    </row>
    <row r="102" spans="1:4" ht="16.149999999999999" customHeight="1" x14ac:dyDescent="0.25">
      <c r="A102" s="61" t="s">
        <v>3474</v>
      </c>
      <c r="B102" s="54" t="s">
        <v>3475</v>
      </c>
      <c r="C102" s="55" t="s">
        <v>684</v>
      </c>
      <c r="D102" s="62"/>
    </row>
    <row r="103" spans="1:4" ht="16.149999999999999" customHeight="1" x14ac:dyDescent="0.25">
      <c r="A103" s="61" t="s">
        <v>1234</v>
      </c>
      <c r="B103" s="54" t="s">
        <v>3476</v>
      </c>
      <c r="C103" s="55" t="s">
        <v>737</v>
      </c>
      <c r="D103" s="62"/>
    </row>
    <row r="104" spans="1:4" ht="16.149999999999999" customHeight="1" x14ac:dyDescent="0.25">
      <c r="A104" s="61" t="s">
        <v>2681</v>
      </c>
      <c r="B104" s="54" t="s">
        <v>3477</v>
      </c>
      <c r="C104" s="55" t="s">
        <v>689</v>
      </c>
      <c r="D104" s="62"/>
    </row>
    <row r="105" spans="1:4" ht="16.149999999999999" customHeight="1" x14ac:dyDescent="0.25">
      <c r="A105" s="61" t="s">
        <v>1553</v>
      </c>
      <c r="B105" s="54" t="s">
        <v>3478</v>
      </c>
      <c r="C105" s="55" t="s">
        <v>877</v>
      </c>
      <c r="D105" s="62"/>
    </row>
    <row r="106" spans="1:4" ht="16.149999999999999" customHeight="1" x14ac:dyDescent="0.25">
      <c r="A106" s="61" t="s">
        <v>3479</v>
      </c>
      <c r="B106" s="54" t="s">
        <v>3480</v>
      </c>
      <c r="C106" s="55" t="s">
        <v>678</v>
      </c>
      <c r="D106" s="62"/>
    </row>
    <row r="107" spans="1:4" ht="16.149999999999999" customHeight="1" x14ac:dyDescent="0.25">
      <c r="A107" s="61" t="s">
        <v>3481</v>
      </c>
      <c r="B107" s="54" t="s">
        <v>3482</v>
      </c>
      <c r="C107" s="55" t="s">
        <v>684</v>
      </c>
      <c r="D107" s="62"/>
    </row>
    <row r="108" spans="1:4" ht="16.149999999999999" customHeight="1" x14ac:dyDescent="0.25">
      <c r="A108" s="61" t="s">
        <v>1868</v>
      </c>
      <c r="B108" s="54" t="s">
        <v>3483</v>
      </c>
      <c r="C108" s="55" t="s">
        <v>844</v>
      </c>
      <c r="D108" s="62"/>
    </row>
    <row r="109" spans="1:4" ht="16.149999999999999" customHeight="1" x14ac:dyDescent="0.25">
      <c r="A109" s="61" t="s">
        <v>3484</v>
      </c>
      <c r="B109" s="54" t="s">
        <v>3485</v>
      </c>
      <c r="C109" s="55" t="s">
        <v>678</v>
      </c>
      <c r="D109" s="62"/>
    </row>
    <row r="110" spans="1:4" ht="16.149999999999999" customHeight="1" x14ac:dyDescent="0.25">
      <c r="A110" s="61" t="s">
        <v>3486</v>
      </c>
      <c r="B110" s="54" t="s">
        <v>3487</v>
      </c>
      <c r="C110" s="55" t="s">
        <v>731</v>
      </c>
      <c r="D110" s="62"/>
    </row>
    <row r="111" spans="1:4" ht="16.149999999999999" customHeight="1" x14ac:dyDescent="0.25">
      <c r="A111" s="61" t="s">
        <v>3488</v>
      </c>
      <c r="B111" s="54" t="s">
        <v>3489</v>
      </c>
      <c r="C111" s="55" t="s">
        <v>737</v>
      </c>
      <c r="D111" s="62"/>
    </row>
    <row r="112" spans="1:4" ht="16.149999999999999" customHeight="1" x14ac:dyDescent="0.25">
      <c r="A112" s="61" t="s">
        <v>3490</v>
      </c>
      <c r="B112" s="54" t="s">
        <v>3491</v>
      </c>
      <c r="C112" s="55" t="s">
        <v>731</v>
      </c>
      <c r="D112" s="62"/>
    </row>
    <row r="114" spans="1:4" x14ac:dyDescent="0.25">
      <c r="A114" s="4" t="s">
        <v>894</v>
      </c>
      <c r="B114" s="5"/>
      <c r="C114" s="5"/>
      <c r="D114" s="5"/>
    </row>
    <row r="115" spans="1:4" ht="29.45" customHeight="1" x14ac:dyDescent="0.25">
      <c r="A115" s="53" t="s">
        <v>3492</v>
      </c>
      <c r="B115" s="54" t="s">
        <v>3493</v>
      </c>
      <c r="C115" s="28" t="s">
        <v>897</v>
      </c>
      <c r="D115" s="62"/>
    </row>
    <row r="116" spans="1:4" ht="42.6" customHeight="1" x14ac:dyDescent="0.25">
      <c r="A116" s="53" t="s">
        <v>3494</v>
      </c>
      <c r="B116" s="54" t="s">
        <v>3495</v>
      </c>
      <c r="C116" s="28" t="s">
        <v>897</v>
      </c>
      <c r="D116" s="62"/>
    </row>
    <row r="117" spans="1:4" ht="29.45" customHeight="1" x14ac:dyDescent="0.25">
      <c r="A117" s="53" t="s">
        <v>3496</v>
      </c>
      <c r="B117" s="54" t="s">
        <v>3497</v>
      </c>
      <c r="C117" s="28" t="s">
        <v>897</v>
      </c>
      <c r="D117" s="62"/>
    </row>
    <row r="118" spans="1:4" ht="29.45" customHeight="1" x14ac:dyDescent="0.25">
      <c r="A118" s="53" t="s">
        <v>3498</v>
      </c>
      <c r="B118" s="54" t="s">
        <v>3499</v>
      </c>
      <c r="C118" s="28" t="s">
        <v>897</v>
      </c>
      <c r="D118" s="62"/>
    </row>
    <row r="119" spans="1:4" ht="29.45" customHeight="1" x14ac:dyDescent="0.25">
      <c r="A119" s="53" t="s">
        <v>3500</v>
      </c>
      <c r="B119" s="54" t="s">
        <v>3501</v>
      </c>
      <c r="C119" s="28" t="s">
        <v>897</v>
      </c>
      <c r="D119" s="62"/>
    </row>
    <row r="120" spans="1:4" ht="29.45" customHeight="1" x14ac:dyDescent="0.25">
      <c r="A120" s="53" t="s">
        <v>3502</v>
      </c>
      <c r="B120" s="54" t="s">
        <v>3503</v>
      </c>
      <c r="C120" s="28" t="s">
        <v>897</v>
      </c>
      <c r="D120" s="62"/>
    </row>
    <row r="121" spans="1:4" ht="29.45" customHeight="1" x14ac:dyDescent="0.25">
      <c r="A121" s="53" t="s">
        <v>3504</v>
      </c>
      <c r="B121" s="54" t="s">
        <v>3505</v>
      </c>
      <c r="C121" s="28" t="s">
        <v>897</v>
      </c>
      <c r="D121" s="62"/>
    </row>
    <row r="122" spans="1:4" ht="29.45" customHeight="1" x14ac:dyDescent="0.25">
      <c r="A122" s="53" t="s">
        <v>3506</v>
      </c>
      <c r="B122" s="54" t="s">
        <v>3507</v>
      </c>
      <c r="C122" s="28" t="s">
        <v>897</v>
      </c>
      <c r="D122" s="62"/>
    </row>
    <row r="123" spans="1:4" ht="16.149999999999999" customHeight="1" x14ac:dyDescent="0.25">
      <c r="A123" s="53" t="s">
        <v>3508</v>
      </c>
      <c r="B123" s="54" t="s">
        <v>3509</v>
      </c>
      <c r="C123" s="28" t="s">
        <v>897</v>
      </c>
      <c r="D123" s="62"/>
    </row>
    <row r="124" spans="1:4" ht="29.45" customHeight="1" x14ac:dyDescent="0.25">
      <c r="A124" s="53" t="s">
        <v>3510</v>
      </c>
      <c r="B124" s="54" t="s">
        <v>3511</v>
      </c>
      <c r="C124" s="28" t="s">
        <v>897</v>
      </c>
      <c r="D124" s="62"/>
    </row>
    <row r="125" spans="1:4" ht="29.45" customHeight="1" x14ac:dyDescent="0.25">
      <c r="A125" s="53" t="s">
        <v>3512</v>
      </c>
      <c r="B125" s="54" t="s">
        <v>3513</v>
      </c>
      <c r="C125" s="28" t="s">
        <v>897</v>
      </c>
      <c r="D125" s="62"/>
    </row>
    <row r="126" spans="1:4" ht="29.45" customHeight="1" x14ac:dyDescent="0.25">
      <c r="A126" s="53" t="s">
        <v>3514</v>
      </c>
      <c r="B126" s="54" t="s">
        <v>3515</v>
      </c>
      <c r="C126" s="28" t="s">
        <v>897</v>
      </c>
      <c r="D126" s="62"/>
    </row>
    <row r="127" spans="1:4" ht="29.45" customHeight="1" x14ac:dyDescent="0.25">
      <c r="A127" s="53" t="s">
        <v>3516</v>
      </c>
      <c r="B127" s="54" t="s">
        <v>3517</v>
      </c>
      <c r="C127" s="28" t="s">
        <v>897</v>
      </c>
      <c r="D127" s="62"/>
    </row>
    <row r="129" spans="1:4" x14ac:dyDescent="0.25">
      <c r="A129" s="4" t="s">
        <v>926</v>
      </c>
      <c r="B129" s="5"/>
      <c r="C129" s="5"/>
      <c r="D129" s="5"/>
    </row>
    <row r="130" spans="1:4" ht="16.149999999999999" customHeight="1" x14ac:dyDescent="0.25">
      <c r="B130" s="52" t="s">
        <v>3518</v>
      </c>
    </row>
    <row r="131" spans="1:4" ht="29.45" customHeight="1" x14ac:dyDescent="0.25">
      <c r="B131" s="52" t="s">
        <v>3519</v>
      </c>
    </row>
    <row r="132" spans="1:4" ht="16.149999999999999" customHeight="1" x14ac:dyDescent="0.25">
      <c r="B132" s="52" t="s">
        <v>3520</v>
      </c>
    </row>
    <row r="133" spans="1:4" ht="16.149999999999999" customHeight="1" x14ac:dyDescent="0.25">
      <c r="B133" s="52" t="s">
        <v>3521</v>
      </c>
    </row>
    <row r="134" spans="1:4" ht="16.149999999999999" customHeight="1" x14ac:dyDescent="0.25">
      <c r="B134" s="52" t="s">
        <v>3522</v>
      </c>
    </row>
    <row r="135" spans="1:4" ht="16.149999999999999" customHeight="1" x14ac:dyDescent="0.25">
      <c r="B135" s="52" t="s">
        <v>3523</v>
      </c>
    </row>
    <row r="136" spans="1:4" ht="16.149999999999999" customHeight="1" x14ac:dyDescent="0.25">
      <c r="B136" s="52" t="s">
        <v>3524</v>
      </c>
    </row>
    <row r="137" spans="1:4" ht="16.149999999999999" customHeight="1" x14ac:dyDescent="0.25">
      <c r="B137" s="52" t="s">
        <v>3525</v>
      </c>
    </row>
  </sheetData>
  <hyperlinks>
    <hyperlink ref="D1" location="'Monitor'!A25" display="&lt;&lt; Monitor" xr:uid="{00000000-0004-0000-1A00-000000000000}"/>
    <hyperlink ref="C115" r:id="rId1" xr:uid="{00000000-0004-0000-1A00-000001000000}"/>
    <hyperlink ref="C116" r:id="rId2" xr:uid="{00000000-0004-0000-1A00-000002000000}"/>
    <hyperlink ref="C117" r:id="rId3" xr:uid="{00000000-0004-0000-1A00-000003000000}"/>
    <hyperlink ref="C118" r:id="rId4" xr:uid="{00000000-0004-0000-1A00-000004000000}"/>
    <hyperlink ref="C119" r:id="rId5" xr:uid="{00000000-0004-0000-1A00-000005000000}"/>
    <hyperlink ref="C120" r:id="rId6" xr:uid="{00000000-0004-0000-1A00-000006000000}"/>
    <hyperlink ref="C121" r:id="rId7" xr:uid="{00000000-0004-0000-1A00-000007000000}"/>
    <hyperlink ref="C122" r:id="rId8" xr:uid="{00000000-0004-0000-1A00-000008000000}"/>
    <hyperlink ref="C123" r:id="rId9" xr:uid="{00000000-0004-0000-1A00-000009000000}"/>
    <hyperlink ref="C124" r:id="rId10" xr:uid="{00000000-0004-0000-1A00-00000A000000}"/>
    <hyperlink ref="C125" r:id="rId11" xr:uid="{00000000-0004-0000-1A00-00000B000000}"/>
    <hyperlink ref="C126" r:id="rId12" xr:uid="{00000000-0004-0000-1A00-00000C000000}"/>
    <hyperlink ref="C127" r:id="rId13" xr:uid="{00000000-0004-0000-1A00-00000D000000}"/>
  </hyperlinks>
  <pageMargins left="0.75" right="0.75" top="1" bottom="1" header="0.5" footer="0.5"/>
  <pageSetup fitToHeight="0"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55A11"/>
    <pageSetUpPr fitToPage="1"/>
  </sheetPr>
  <dimension ref="A1:D118"/>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231</v>
      </c>
      <c r="D1" s="41" t="s">
        <v>667</v>
      </c>
    </row>
    <row r="2" spans="1:4" x14ac:dyDescent="0.25">
      <c r="A2" s="2" t="s">
        <v>3526</v>
      </c>
    </row>
    <row r="4" spans="1:4" x14ac:dyDescent="0.25">
      <c r="A4" s="42" t="s">
        <v>9</v>
      </c>
      <c r="B4" s="43">
        <f>Monitor!H26</f>
        <v>91.867999999999995</v>
      </c>
    </row>
    <row r="5" spans="1:4" x14ac:dyDescent="0.25">
      <c r="A5" s="42" t="s">
        <v>11</v>
      </c>
      <c r="B5" s="44">
        <f>Monitor!J26</f>
        <v>8.4501542552578037</v>
      </c>
    </row>
    <row r="6" spans="1:4" x14ac:dyDescent="0.25">
      <c r="A6" s="42" t="s">
        <v>8</v>
      </c>
      <c r="B6" s="45">
        <f>Monitor!G26</f>
        <v>5700</v>
      </c>
    </row>
    <row r="7" spans="1:4" x14ac:dyDescent="0.25">
      <c r="A7" s="42" t="s">
        <v>14</v>
      </c>
      <c r="B7" s="46">
        <f>Monitor!M26</f>
        <v>-463.52400000000023</v>
      </c>
    </row>
    <row r="8" spans="1:4" x14ac:dyDescent="0.25">
      <c r="A8" s="42" t="s">
        <v>15</v>
      </c>
      <c r="B8" s="47">
        <f>Monitor!N26</f>
        <v>-8.1320000000000045E-2</v>
      </c>
    </row>
    <row r="9" spans="1:4" x14ac:dyDescent="0.25">
      <c r="A9" s="42" t="s">
        <v>669</v>
      </c>
      <c r="B9" s="46">
        <f>Monitor!O26</f>
        <v>-15.56100000000059</v>
      </c>
    </row>
    <row r="10" spans="1:4" x14ac:dyDescent="0.25">
      <c r="A10" s="42" t="s">
        <v>20</v>
      </c>
      <c r="B10" s="48">
        <f>Monitor!S26</f>
        <v>46136</v>
      </c>
    </row>
    <row r="11" spans="1:4" x14ac:dyDescent="0.25">
      <c r="A11" s="42" t="s">
        <v>670</v>
      </c>
      <c r="B11" s="49">
        <f>Monitor!W26</f>
        <v>316.56379204278136</v>
      </c>
    </row>
    <row r="12" spans="1:4" x14ac:dyDescent="0.25">
      <c r="A12" s="42" t="s">
        <v>671</v>
      </c>
      <c r="B12" s="50" t="str">
        <f>Monitor!F26</f>
        <v>Ba2/BB-/BB</v>
      </c>
    </row>
    <row r="13" spans="1:4" x14ac:dyDescent="0.25">
      <c r="A13" s="42" t="s">
        <v>4</v>
      </c>
      <c r="B13" s="50" t="str">
        <f>Monitor!C26</f>
        <v>Fluidstack (Google backstop)</v>
      </c>
    </row>
    <row r="15" spans="1:4" x14ac:dyDescent="0.25">
      <c r="A15" s="4" t="s">
        <v>672</v>
      </c>
      <c r="B15" s="5"/>
      <c r="C15" s="5"/>
      <c r="D15" s="5"/>
    </row>
    <row r="16" spans="1:4" ht="42.6" customHeight="1" x14ac:dyDescent="0.25">
      <c r="A16" s="51" t="s">
        <v>192</v>
      </c>
      <c r="B16" s="52" t="s">
        <v>232</v>
      </c>
    </row>
    <row r="18" spans="1:4" x14ac:dyDescent="0.25">
      <c r="A18" s="4" t="s">
        <v>673</v>
      </c>
      <c r="B18" s="5"/>
      <c r="C18" s="4" t="s">
        <v>674</v>
      </c>
      <c r="D18" s="4" t="s">
        <v>675</v>
      </c>
    </row>
    <row r="19" spans="1:4" ht="16.149999999999999" customHeight="1" x14ac:dyDescent="0.25">
      <c r="A19" s="53" t="s">
        <v>676</v>
      </c>
      <c r="B19" s="54" t="s">
        <v>3527</v>
      </c>
      <c r="C19" s="55" t="s">
        <v>678</v>
      </c>
      <c r="D19" s="59" t="s">
        <v>748</v>
      </c>
    </row>
    <row r="20" spans="1:4" ht="29.45" customHeight="1" x14ac:dyDescent="0.25">
      <c r="A20" s="53" t="s">
        <v>1409</v>
      </c>
      <c r="B20" s="54" t="s">
        <v>3528</v>
      </c>
      <c r="C20" s="55" t="s">
        <v>2482</v>
      </c>
      <c r="D20" s="59" t="s">
        <v>748</v>
      </c>
    </row>
    <row r="21" spans="1:4" ht="16.149999999999999" customHeight="1" x14ac:dyDescent="0.25">
      <c r="A21" s="53" t="s">
        <v>3529</v>
      </c>
      <c r="B21" s="54" t="s">
        <v>3530</v>
      </c>
      <c r="C21" s="55" t="s">
        <v>753</v>
      </c>
      <c r="D21" s="56" t="s">
        <v>679</v>
      </c>
    </row>
    <row r="22" spans="1:4" ht="16.149999999999999" customHeight="1" x14ac:dyDescent="0.25">
      <c r="A22" s="53" t="s">
        <v>1289</v>
      </c>
      <c r="B22" s="54" t="s">
        <v>3531</v>
      </c>
      <c r="C22" s="55" t="s">
        <v>2482</v>
      </c>
      <c r="D22" s="59" t="s">
        <v>748</v>
      </c>
    </row>
    <row r="23" spans="1:4" ht="16.149999999999999" customHeight="1" x14ac:dyDescent="0.25">
      <c r="A23" s="53" t="s">
        <v>3532</v>
      </c>
      <c r="B23" s="54" t="s">
        <v>3533</v>
      </c>
      <c r="C23" s="55" t="s">
        <v>877</v>
      </c>
      <c r="D23" s="58" t="s">
        <v>698</v>
      </c>
    </row>
    <row r="24" spans="1:4" ht="16.149999999999999" customHeight="1" x14ac:dyDescent="0.25">
      <c r="A24" s="53" t="s">
        <v>1423</v>
      </c>
      <c r="B24" s="54" t="s">
        <v>3534</v>
      </c>
      <c r="C24" s="55" t="s">
        <v>877</v>
      </c>
      <c r="D24" s="58" t="s">
        <v>698</v>
      </c>
    </row>
    <row r="25" spans="1:4" ht="29.45" customHeight="1" x14ac:dyDescent="0.25">
      <c r="A25" s="53" t="s">
        <v>1640</v>
      </c>
      <c r="B25" s="54" t="s">
        <v>3535</v>
      </c>
      <c r="C25" s="55" t="s">
        <v>678</v>
      </c>
      <c r="D25" s="59" t="s">
        <v>748</v>
      </c>
    </row>
    <row r="27" spans="1:4" x14ac:dyDescent="0.25">
      <c r="A27" s="4" t="s">
        <v>717</v>
      </c>
      <c r="B27" s="5"/>
      <c r="C27" s="4" t="s">
        <v>674</v>
      </c>
      <c r="D27" s="4" t="s">
        <v>675</v>
      </c>
    </row>
    <row r="28" spans="1:4" ht="29.45" customHeight="1" x14ac:dyDescent="0.25">
      <c r="A28" s="53" t="s">
        <v>3536</v>
      </c>
      <c r="B28" s="54" t="s">
        <v>3537</v>
      </c>
      <c r="C28" s="55" t="s">
        <v>3538</v>
      </c>
      <c r="D28" s="59" t="s">
        <v>748</v>
      </c>
    </row>
    <row r="29" spans="1:4" ht="29.45" customHeight="1" x14ac:dyDescent="0.25">
      <c r="A29" s="53" t="s">
        <v>3401</v>
      </c>
      <c r="B29" s="54" t="s">
        <v>3539</v>
      </c>
      <c r="C29" s="55" t="s">
        <v>2482</v>
      </c>
      <c r="D29" s="59" t="s">
        <v>748</v>
      </c>
    </row>
    <row r="30" spans="1:4" ht="16.149999999999999" customHeight="1" x14ac:dyDescent="0.25">
      <c r="A30" s="53" t="s">
        <v>3540</v>
      </c>
      <c r="B30" s="54" t="s">
        <v>3541</v>
      </c>
      <c r="C30" s="55" t="s">
        <v>877</v>
      </c>
      <c r="D30" s="59" t="s">
        <v>748</v>
      </c>
    </row>
    <row r="32" spans="1:4" x14ac:dyDescent="0.25">
      <c r="A32" s="4" t="s">
        <v>728</v>
      </c>
      <c r="B32" s="5"/>
      <c r="C32" s="4" t="s">
        <v>674</v>
      </c>
      <c r="D32" s="4" t="s">
        <v>675</v>
      </c>
    </row>
    <row r="33" spans="1:4" ht="16.149999999999999" customHeight="1" x14ac:dyDescent="0.25">
      <c r="A33" s="53" t="s">
        <v>3542</v>
      </c>
      <c r="B33" s="54" t="s">
        <v>3543</v>
      </c>
      <c r="C33" s="55" t="s">
        <v>689</v>
      </c>
      <c r="D33" s="59" t="s">
        <v>748</v>
      </c>
    </row>
    <row r="34" spans="1:4" ht="29.45" customHeight="1" x14ac:dyDescent="0.25">
      <c r="A34" s="53" t="s">
        <v>3411</v>
      </c>
      <c r="B34" s="54" t="s">
        <v>3544</v>
      </c>
      <c r="C34" s="55" t="s">
        <v>731</v>
      </c>
      <c r="D34" s="56" t="s">
        <v>679</v>
      </c>
    </row>
    <row r="35" spans="1:4" ht="16.149999999999999" customHeight="1" x14ac:dyDescent="0.25">
      <c r="A35" s="53" t="s">
        <v>3545</v>
      </c>
      <c r="B35" s="54" t="s">
        <v>3546</v>
      </c>
      <c r="C35" s="55" t="s">
        <v>877</v>
      </c>
      <c r="D35" s="59" t="s">
        <v>748</v>
      </c>
    </row>
    <row r="37" spans="1:4" x14ac:dyDescent="0.25">
      <c r="A37" s="4" t="s">
        <v>740</v>
      </c>
      <c r="B37" s="5"/>
      <c r="C37" s="4" t="s">
        <v>674</v>
      </c>
      <c r="D37" s="4" t="s">
        <v>675</v>
      </c>
    </row>
    <row r="38" spans="1:4" ht="16.149999999999999" customHeight="1" x14ac:dyDescent="0.25">
      <c r="A38" s="53" t="s">
        <v>4</v>
      </c>
      <c r="B38" s="54" t="s">
        <v>3547</v>
      </c>
      <c r="C38" s="55" t="s">
        <v>3548</v>
      </c>
      <c r="D38" s="59" t="s">
        <v>748</v>
      </c>
    </row>
    <row r="39" spans="1:4" ht="16.149999999999999" customHeight="1" x14ac:dyDescent="0.25">
      <c r="A39" s="53" t="s">
        <v>2758</v>
      </c>
      <c r="B39" s="54" t="s">
        <v>3549</v>
      </c>
      <c r="C39" s="55" t="s">
        <v>3550</v>
      </c>
      <c r="D39" s="59" t="s">
        <v>748</v>
      </c>
    </row>
    <row r="40" spans="1:4" ht="16.149999999999999" customHeight="1" x14ac:dyDescent="0.25">
      <c r="A40" s="53" t="s">
        <v>1665</v>
      </c>
      <c r="B40" s="54" t="s">
        <v>3551</v>
      </c>
      <c r="C40" s="55" t="s">
        <v>877</v>
      </c>
      <c r="D40" s="58" t="s">
        <v>698</v>
      </c>
    </row>
    <row r="41" spans="1:4" ht="16.149999999999999" customHeight="1" x14ac:dyDescent="0.25">
      <c r="A41" s="53" t="s">
        <v>3552</v>
      </c>
      <c r="B41" s="54" t="s">
        <v>3553</v>
      </c>
      <c r="C41" s="55" t="s">
        <v>3550</v>
      </c>
      <c r="D41" s="59" t="s">
        <v>748</v>
      </c>
    </row>
    <row r="43" spans="1:4" x14ac:dyDescent="0.25">
      <c r="A43" s="4" t="s">
        <v>762</v>
      </c>
      <c r="B43" s="5"/>
      <c r="C43" s="4" t="s">
        <v>674</v>
      </c>
      <c r="D43" s="4" t="s">
        <v>675</v>
      </c>
    </row>
    <row r="44" spans="1:4" ht="16.149999999999999" customHeight="1" x14ac:dyDescent="0.25">
      <c r="A44" s="53" t="s">
        <v>3554</v>
      </c>
      <c r="B44" s="54" t="s">
        <v>3555</v>
      </c>
      <c r="C44" s="55" t="s">
        <v>678</v>
      </c>
      <c r="D44" s="59" t="s">
        <v>748</v>
      </c>
    </row>
    <row r="45" spans="1:4" ht="16.149999999999999" customHeight="1" x14ac:dyDescent="0.25">
      <c r="A45" s="53" t="s">
        <v>986</v>
      </c>
      <c r="B45" s="54" t="s">
        <v>3556</v>
      </c>
      <c r="C45" s="55" t="s">
        <v>678</v>
      </c>
      <c r="D45" s="59" t="s">
        <v>748</v>
      </c>
    </row>
    <row r="46" spans="1:4" ht="29.45" customHeight="1" x14ac:dyDescent="0.25">
      <c r="A46" s="53" t="s">
        <v>988</v>
      </c>
      <c r="B46" s="54" t="s">
        <v>3557</v>
      </c>
      <c r="C46" s="55" t="s">
        <v>877</v>
      </c>
      <c r="D46" s="60" t="s">
        <v>803</v>
      </c>
    </row>
    <row r="47" spans="1:4" ht="16.149999999999999" customHeight="1" x14ac:dyDescent="0.25">
      <c r="A47" s="53" t="s">
        <v>3558</v>
      </c>
      <c r="B47" s="54" t="s">
        <v>3559</v>
      </c>
      <c r="C47" s="55" t="s">
        <v>3550</v>
      </c>
      <c r="D47" s="59" t="s">
        <v>748</v>
      </c>
    </row>
    <row r="49" spans="1:4" x14ac:dyDescent="0.25">
      <c r="A49" s="4" t="s">
        <v>773</v>
      </c>
      <c r="B49" s="5"/>
      <c r="C49" s="4" t="s">
        <v>674</v>
      </c>
      <c r="D49" s="4" t="s">
        <v>675</v>
      </c>
    </row>
    <row r="50" spans="1:4" ht="29.45" customHeight="1" x14ac:dyDescent="0.25">
      <c r="A50" s="53" t="s">
        <v>3560</v>
      </c>
      <c r="B50" s="54" t="s">
        <v>3561</v>
      </c>
      <c r="C50" s="55" t="s">
        <v>877</v>
      </c>
      <c r="D50" s="59" t="s">
        <v>748</v>
      </c>
    </row>
    <row r="51" spans="1:4" ht="16.149999999999999" customHeight="1" x14ac:dyDescent="0.25">
      <c r="A51" s="53" t="s">
        <v>777</v>
      </c>
      <c r="B51" s="54" t="s">
        <v>3562</v>
      </c>
      <c r="C51" s="55" t="s">
        <v>877</v>
      </c>
      <c r="D51" s="59" t="s">
        <v>748</v>
      </c>
    </row>
    <row r="53" spans="1:4" x14ac:dyDescent="0.25">
      <c r="A53" s="4" t="s">
        <v>781</v>
      </c>
      <c r="B53" s="5"/>
      <c r="C53" s="4" t="s">
        <v>674</v>
      </c>
      <c r="D53" s="4" t="s">
        <v>675</v>
      </c>
    </row>
    <row r="54" spans="1:4" ht="29.45" customHeight="1" x14ac:dyDescent="0.25">
      <c r="A54" s="53" t="s">
        <v>998</v>
      </c>
      <c r="B54" s="54" t="s">
        <v>3563</v>
      </c>
      <c r="C54" s="55" t="s">
        <v>877</v>
      </c>
      <c r="D54" s="59" t="s">
        <v>748</v>
      </c>
    </row>
    <row r="55" spans="1:4" ht="42.6" customHeight="1" x14ac:dyDescent="0.25">
      <c r="A55" s="53" t="s">
        <v>1000</v>
      </c>
      <c r="B55" s="54" t="s">
        <v>3564</v>
      </c>
      <c r="C55" s="55" t="s">
        <v>3550</v>
      </c>
      <c r="D55" s="59" t="s">
        <v>748</v>
      </c>
    </row>
    <row r="56" spans="1:4" ht="16.149999999999999" customHeight="1" x14ac:dyDescent="0.25">
      <c r="A56" s="53" t="s">
        <v>1968</v>
      </c>
      <c r="B56" s="54" t="s">
        <v>3565</v>
      </c>
      <c r="C56" s="55" t="s">
        <v>737</v>
      </c>
      <c r="D56" s="59" t="s">
        <v>748</v>
      </c>
    </row>
    <row r="58" spans="1:4" x14ac:dyDescent="0.25">
      <c r="A58" s="4" t="s">
        <v>792</v>
      </c>
      <c r="B58" s="5"/>
      <c r="C58" s="4" t="s">
        <v>674</v>
      </c>
      <c r="D58" s="4" t="s">
        <v>675</v>
      </c>
    </row>
    <row r="59" spans="1:4" ht="16.149999999999999" customHeight="1" x14ac:dyDescent="0.25">
      <c r="A59" s="53" t="s">
        <v>793</v>
      </c>
      <c r="B59" s="54" t="s">
        <v>3566</v>
      </c>
      <c r="C59" s="55" t="s">
        <v>2587</v>
      </c>
      <c r="D59" s="59" t="s">
        <v>748</v>
      </c>
    </row>
    <row r="60" spans="1:4" ht="16.149999999999999" customHeight="1" x14ac:dyDescent="0.25">
      <c r="A60" s="53" t="s">
        <v>1337</v>
      </c>
      <c r="B60" s="54" t="s">
        <v>3567</v>
      </c>
      <c r="C60" s="55" t="s">
        <v>877</v>
      </c>
      <c r="D60" s="58" t="s">
        <v>698</v>
      </c>
    </row>
    <row r="61" spans="1:4" ht="16.149999999999999" customHeight="1" x14ac:dyDescent="0.25">
      <c r="A61" s="53" t="s">
        <v>1986</v>
      </c>
      <c r="B61" s="54" t="s">
        <v>3568</v>
      </c>
      <c r="C61" s="55" t="s">
        <v>753</v>
      </c>
      <c r="D61" s="60" t="s">
        <v>803</v>
      </c>
    </row>
    <row r="63" spans="1:4" x14ac:dyDescent="0.25">
      <c r="A63" s="4" t="s">
        <v>804</v>
      </c>
      <c r="B63" s="5"/>
      <c r="C63" s="4" t="s">
        <v>674</v>
      </c>
      <c r="D63" s="4" t="s">
        <v>675</v>
      </c>
    </row>
    <row r="64" spans="1:4" ht="29.45" customHeight="1" x14ac:dyDescent="0.25">
      <c r="A64" s="53" t="s">
        <v>3569</v>
      </c>
      <c r="B64" s="54" t="s">
        <v>3570</v>
      </c>
      <c r="C64" s="55" t="s">
        <v>3550</v>
      </c>
      <c r="D64" s="59" t="s">
        <v>748</v>
      </c>
    </row>
    <row r="65" spans="1:4" ht="29.45" customHeight="1" x14ac:dyDescent="0.25">
      <c r="A65" s="53" t="s">
        <v>3571</v>
      </c>
      <c r="B65" s="54" t="s">
        <v>3572</v>
      </c>
      <c r="C65" s="55" t="s">
        <v>776</v>
      </c>
      <c r="D65" s="56" t="s">
        <v>679</v>
      </c>
    </row>
    <row r="66" spans="1:4" ht="16.149999999999999" customHeight="1" x14ac:dyDescent="0.25">
      <c r="A66" s="53" t="s">
        <v>3573</v>
      </c>
      <c r="B66" s="54" t="s">
        <v>3574</v>
      </c>
      <c r="C66" s="55" t="s">
        <v>877</v>
      </c>
      <c r="D66" s="59" t="s">
        <v>748</v>
      </c>
    </row>
    <row r="68" spans="1:4" x14ac:dyDescent="0.25">
      <c r="A68" s="4" t="s">
        <v>813</v>
      </c>
      <c r="B68" s="5"/>
      <c r="C68" s="4" t="s">
        <v>674</v>
      </c>
      <c r="D68" s="4" t="s">
        <v>675</v>
      </c>
    </row>
    <row r="69" spans="1:4" ht="16.149999999999999" customHeight="1" x14ac:dyDescent="0.25">
      <c r="A69" s="53" t="s">
        <v>3575</v>
      </c>
      <c r="B69" s="54" t="s">
        <v>3576</v>
      </c>
      <c r="C69" s="55" t="s">
        <v>678</v>
      </c>
      <c r="D69" s="59" t="s">
        <v>748</v>
      </c>
    </row>
    <row r="71" spans="1:4" x14ac:dyDescent="0.25">
      <c r="A71" s="4" t="s">
        <v>826</v>
      </c>
      <c r="B71" s="5"/>
      <c r="C71" s="4" t="s">
        <v>674</v>
      </c>
      <c r="D71" s="4" t="s">
        <v>675</v>
      </c>
    </row>
    <row r="72" spans="1:4" ht="16.149999999999999" customHeight="1" x14ac:dyDescent="0.25">
      <c r="A72" s="53" t="s">
        <v>1031</v>
      </c>
      <c r="B72" s="54" t="s">
        <v>3577</v>
      </c>
      <c r="C72" s="55" t="s">
        <v>877</v>
      </c>
      <c r="D72" s="59" t="s">
        <v>748</v>
      </c>
    </row>
    <row r="73" spans="1:4" ht="16.149999999999999" customHeight="1" x14ac:dyDescent="0.25">
      <c r="A73" s="53" t="s">
        <v>3578</v>
      </c>
      <c r="B73" s="54" t="s">
        <v>3579</v>
      </c>
      <c r="C73" s="55" t="s">
        <v>877</v>
      </c>
      <c r="D73" s="58" t="s">
        <v>698</v>
      </c>
    </row>
    <row r="75" spans="1:4" x14ac:dyDescent="0.25">
      <c r="A75" s="4" t="s">
        <v>833</v>
      </c>
      <c r="B75" s="5"/>
      <c r="C75" s="4" t="s">
        <v>674</v>
      </c>
      <c r="D75" s="4" t="s">
        <v>675</v>
      </c>
    </row>
    <row r="76" spans="1:4" ht="16.149999999999999" customHeight="1" x14ac:dyDescent="0.25">
      <c r="A76" s="53" t="s">
        <v>1205</v>
      </c>
      <c r="B76" s="54" t="s">
        <v>3580</v>
      </c>
      <c r="C76" s="55" t="s">
        <v>678</v>
      </c>
      <c r="D76" s="59" t="s">
        <v>748</v>
      </c>
    </row>
    <row r="78" spans="1:4" x14ac:dyDescent="0.25">
      <c r="A78" s="4" t="s">
        <v>836</v>
      </c>
      <c r="B78" s="5"/>
      <c r="C78" s="4" t="s">
        <v>674</v>
      </c>
      <c r="D78" s="4" t="s">
        <v>675</v>
      </c>
    </row>
    <row r="79" spans="1:4" ht="16.149999999999999" customHeight="1" x14ac:dyDescent="0.25">
      <c r="A79" s="53" t="s">
        <v>1043</v>
      </c>
      <c r="B79" s="54" t="s">
        <v>3581</v>
      </c>
      <c r="C79" s="55" t="s">
        <v>877</v>
      </c>
      <c r="D79" s="59" t="s">
        <v>748</v>
      </c>
    </row>
    <row r="80" spans="1:4" ht="16.149999999999999" customHeight="1" x14ac:dyDescent="0.25">
      <c r="A80" s="53" t="s">
        <v>3582</v>
      </c>
      <c r="B80" s="54" t="s">
        <v>3583</v>
      </c>
      <c r="C80" s="55" t="s">
        <v>877</v>
      </c>
      <c r="D80" s="59" t="s">
        <v>748</v>
      </c>
    </row>
    <row r="81" spans="1:4" ht="16.149999999999999" customHeight="1" x14ac:dyDescent="0.25">
      <c r="A81" s="53" t="s">
        <v>3584</v>
      </c>
      <c r="B81" s="54" t="s">
        <v>3585</v>
      </c>
      <c r="C81" s="55" t="s">
        <v>3586</v>
      </c>
      <c r="D81" s="59" t="s">
        <v>748</v>
      </c>
    </row>
    <row r="82" spans="1:4" ht="16.149999999999999" customHeight="1" x14ac:dyDescent="0.25">
      <c r="A82" s="53" t="s">
        <v>3587</v>
      </c>
      <c r="B82" s="54" t="s">
        <v>3588</v>
      </c>
      <c r="C82" s="55" t="s">
        <v>3589</v>
      </c>
      <c r="D82" s="59" t="s">
        <v>748</v>
      </c>
    </row>
    <row r="83" spans="1:4" ht="16.149999999999999" customHeight="1" x14ac:dyDescent="0.25">
      <c r="A83" s="53" t="s">
        <v>3590</v>
      </c>
      <c r="B83" s="54" t="s">
        <v>3591</v>
      </c>
      <c r="C83" s="55" t="s">
        <v>689</v>
      </c>
      <c r="D83" s="59" t="s">
        <v>748</v>
      </c>
    </row>
    <row r="85" spans="1:4" x14ac:dyDescent="0.25">
      <c r="A85" s="4" t="s">
        <v>855</v>
      </c>
      <c r="B85" s="5"/>
      <c r="C85" s="4" t="s">
        <v>674</v>
      </c>
      <c r="D85" s="4" t="s">
        <v>675</v>
      </c>
    </row>
    <row r="86" spans="1:4" ht="16.149999999999999" customHeight="1" x14ac:dyDescent="0.25">
      <c r="A86" s="53" t="s">
        <v>317</v>
      </c>
      <c r="B86" s="54" t="s">
        <v>3592</v>
      </c>
      <c r="C86" s="55" t="s">
        <v>3550</v>
      </c>
      <c r="D86" s="59" t="s">
        <v>748</v>
      </c>
    </row>
    <row r="87" spans="1:4" ht="16.149999999999999" customHeight="1" x14ac:dyDescent="0.25">
      <c r="A87" s="53" t="s">
        <v>333</v>
      </c>
      <c r="B87" s="54" t="s">
        <v>3593</v>
      </c>
      <c r="C87" s="55" t="s">
        <v>731</v>
      </c>
      <c r="D87" s="56" t="s">
        <v>679</v>
      </c>
    </row>
    <row r="88" spans="1:4" ht="16.149999999999999" customHeight="1" x14ac:dyDescent="0.25">
      <c r="A88" s="53" t="s">
        <v>3594</v>
      </c>
      <c r="B88" s="54" t="s">
        <v>3595</v>
      </c>
      <c r="C88" s="55" t="s">
        <v>737</v>
      </c>
      <c r="D88" s="59" t="s">
        <v>748</v>
      </c>
    </row>
    <row r="90" spans="1:4" x14ac:dyDescent="0.25">
      <c r="A90" s="4" t="s">
        <v>868</v>
      </c>
      <c r="B90" s="5"/>
      <c r="C90" s="4" t="s">
        <v>674</v>
      </c>
      <c r="D90" s="5"/>
    </row>
    <row r="91" spans="1:4" ht="16.149999999999999" customHeight="1" x14ac:dyDescent="0.25">
      <c r="A91" s="61" t="s">
        <v>3596</v>
      </c>
      <c r="B91" s="54" t="s">
        <v>3597</v>
      </c>
      <c r="C91" s="55" t="s">
        <v>684</v>
      </c>
      <c r="D91" s="62"/>
    </row>
    <row r="92" spans="1:4" ht="16.149999999999999" customHeight="1" x14ac:dyDescent="0.25">
      <c r="A92" s="61" t="s">
        <v>1557</v>
      </c>
      <c r="B92" s="54" t="s">
        <v>3598</v>
      </c>
      <c r="C92" s="55" t="s">
        <v>678</v>
      </c>
      <c r="D92" s="62"/>
    </row>
    <row r="93" spans="1:4" ht="16.149999999999999" customHeight="1" x14ac:dyDescent="0.25">
      <c r="A93" s="61" t="s">
        <v>1559</v>
      </c>
      <c r="B93" s="54" t="s">
        <v>3599</v>
      </c>
      <c r="C93" s="55" t="s">
        <v>877</v>
      </c>
      <c r="D93" s="62"/>
    </row>
    <row r="94" spans="1:4" ht="16.149999999999999" customHeight="1" x14ac:dyDescent="0.25">
      <c r="A94" s="61" t="s">
        <v>873</v>
      </c>
      <c r="B94" s="54" t="s">
        <v>3600</v>
      </c>
      <c r="C94" s="55" t="s">
        <v>689</v>
      </c>
      <c r="D94" s="62"/>
    </row>
    <row r="95" spans="1:4" ht="16.149999999999999" customHeight="1" x14ac:dyDescent="0.25">
      <c r="A95" s="61" t="s">
        <v>3601</v>
      </c>
      <c r="B95" s="54" t="s">
        <v>3602</v>
      </c>
      <c r="C95" s="55" t="s">
        <v>877</v>
      </c>
      <c r="D95" s="62"/>
    </row>
    <row r="96" spans="1:4" ht="16.149999999999999" customHeight="1" x14ac:dyDescent="0.25">
      <c r="A96" s="61" t="s">
        <v>3603</v>
      </c>
      <c r="B96" s="54" t="s">
        <v>3604</v>
      </c>
      <c r="C96" s="55" t="s">
        <v>753</v>
      </c>
      <c r="D96" s="62"/>
    </row>
    <row r="97" spans="1:4" ht="16.149999999999999" customHeight="1" x14ac:dyDescent="0.25">
      <c r="A97" s="61" t="s">
        <v>3484</v>
      </c>
      <c r="B97" s="54" t="s">
        <v>3605</v>
      </c>
      <c r="C97" s="55" t="s">
        <v>731</v>
      </c>
      <c r="D97" s="62"/>
    </row>
    <row r="98" spans="1:4" ht="16.149999999999999" customHeight="1" x14ac:dyDescent="0.25">
      <c r="A98" s="61" t="s">
        <v>1378</v>
      </c>
      <c r="B98" s="54" t="s">
        <v>3606</v>
      </c>
      <c r="C98" s="55" t="s">
        <v>776</v>
      </c>
      <c r="D98" s="62"/>
    </row>
    <row r="99" spans="1:4" ht="16.149999999999999" customHeight="1" x14ac:dyDescent="0.25">
      <c r="A99" s="61" t="s">
        <v>1569</v>
      </c>
      <c r="B99" s="54" t="s">
        <v>3607</v>
      </c>
      <c r="C99" s="55" t="s">
        <v>737</v>
      </c>
      <c r="D99" s="62"/>
    </row>
    <row r="101" spans="1:4" x14ac:dyDescent="0.25">
      <c r="A101" s="4" t="s">
        <v>894</v>
      </c>
      <c r="B101" s="5"/>
      <c r="C101" s="5"/>
      <c r="D101" s="5"/>
    </row>
    <row r="102" spans="1:4" ht="29.45" customHeight="1" x14ac:dyDescent="0.25">
      <c r="A102" s="53" t="s">
        <v>3608</v>
      </c>
      <c r="B102" s="54" t="s">
        <v>3609</v>
      </c>
      <c r="C102" s="28" t="s">
        <v>897</v>
      </c>
      <c r="D102" s="62"/>
    </row>
    <row r="103" spans="1:4" ht="29.45" customHeight="1" x14ac:dyDescent="0.25">
      <c r="A103" s="53" t="s">
        <v>3610</v>
      </c>
      <c r="B103" s="54" t="s">
        <v>3611</v>
      </c>
      <c r="C103" s="28" t="s">
        <v>897</v>
      </c>
      <c r="D103" s="62"/>
    </row>
    <row r="104" spans="1:4" ht="29.45" customHeight="1" x14ac:dyDescent="0.25">
      <c r="A104" s="53" t="s">
        <v>3612</v>
      </c>
      <c r="B104" s="54" t="s">
        <v>3613</v>
      </c>
      <c r="C104" s="28" t="s">
        <v>897</v>
      </c>
      <c r="D104" s="62"/>
    </row>
    <row r="105" spans="1:4" ht="42.6" customHeight="1" x14ac:dyDescent="0.25">
      <c r="A105" s="53" t="s">
        <v>1752</v>
      </c>
      <c r="B105" s="54" t="s">
        <v>3614</v>
      </c>
      <c r="C105" s="28" t="s">
        <v>897</v>
      </c>
      <c r="D105" s="62"/>
    </row>
    <row r="106" spans="1:4" ht="29.45" customHeight="1" x14ac:dyDescent="0.25">
      <c r="A106" s="53" t="s">
        <v>3615</v>
      </c>
      <c r="B106" s="54" t="s">
        <v>3616</v>
      </c>
      <c r="C106" s="28" t="s">
        <v>897</v>
      </c>
      <c r="D106" s="62"/>
    </row>
    <row r="107" spans="1:4" ht="29.45" customHeight="1" x14ac:dyDescent="0.25">
      <c r="A107" s="53" t="s">
        <v>3617</v>
      </c>
      <c r="B107" s="54" t="s">
        <v>3511</v>
      </c>
      <c r="C107" s="28" t="s">
        <v>897</v>
      </c>
      <c r="D107" s="62"/>
    </row>
    <row r="108" spans="1:4" ht="29.45" customHeight="1" x14ac:dyDescent="0.25">
      <c r="A108" s="53" t="s">
        <v>3618</v>
      </c>
      <c r="B108" s="54" t="s">
        <v>3619</v>
      </c>
      <c r="C108" s="28" t="s">
        <v>897</v>
      </c>
      <c r="D108" s="62"/>
    </row>
    <row r="109" spans="1:4" ht="29.45" customHeight="1" x14ac:dyDescent="0.25">
      <c r="A109" s="53" t="s">
        <v>3620</v>
      </c>
      <c r="B109" s="54" t="s">
        <v>3621</v>
      </c>
      <c r="C109" s="28" t="s">
        <v>897</v>
      </c>
      <c r="D109" s="62"/>
    </row>
    <row r="111" spans="1:4" x14ac:dyDescent="0.25">
      <c r="A111" s="4" t="s">
        <v>926</v>
      </c>
      <c r="B111" s="5"/>
      <c r="C111" s="5"/>
      <c r="D111" s="5"/>
    </row>
    <row r="112" spans="1:4" ht="16.149999999999999" customHeight="1" x14ac:dyDescent="0.25">
      <c r="B112" s="52" t="s">
        <v>3622</v>
      </c>
    </row>
    <row r="113" spans="2:2" ht="16.149999999999999" customHeight="1" x14ac:dyDescent="0.25">
      <c r="B113" s="52" t="s">
        <v>3623</v>
      </c>
    </row>
    <row r="114" spans="2:2" ht="29.45" customHeight="1" x14ac:dyDescent="0.25">
      <c r="B114" s="52" t="s">
        <v>3624</v>
      </c>
    </row>
    <row r="115" spans="2:2" ht="16.149999999999999" customHeight="1" x14ac:dyDescent="0.25">
      <c r="B115" s="52" t="s">
        <v>3625</v>
      </c>
    </row>
    <row r="116" spans="2:2" ht="29.45" customHeight="1" x14ac:dyDescent="0.25">
      <c r="B116" s="52" t="s">
        <v>3626</v>
      </c>
    </row>
    <row r="117" spans="2:2" ht="16.149999999999999" customHeight="1" x14ac:dyDescent="0.25">
      <c r="B117" s="52" t="s">
        <v>3627</v>
      </c>
    </row>
    <row r="118" spans="2:2" ht="16.149999999999999" customHeight="1" x14ac:dyDescent="0.25">
      <c r="B118" s="52" t="s">
        <v>3628</v>
      </c>
    </row>
  </sheetData>
  <hyperlinks>
    <hyperlink ref="D1" location="'Monitor'!A26" display="&lt;&lt; Monitor" xr:uid="{00000000-0004-0000-1B00-000000000000}"/>
    <hyperlink ref="C102" r:id="rId1" xr:uid="{00000000-0004-0000-1B00-000001000000}"/>
    <hyperlink ref="C103" r:id="rId2" xr:uid="{00000000-0004-0000-1B00-000002000000}"/>
    <hyperlink ref="C104" r:id="rId3" xr:uid="{00000000-0004-0000-1B00-000003000000}"/>
    <hyperlink ref="C105" r:id="rId4" xr:uid="{00000000-0004-0000-1B00-000004000000}"/>
    <hyperlink ref="C106" r:id="rId5" xr:uid="{00000000-0004-0000-1B00-000005000000}"/>
    <hyperlink ref="C107" r:id="rId6" xr:uid="{00000000-0004-0000-1B00-000006000000}"/>
    <hyperlink ref="C108" r:id="rId7" xr:uid="{00000000-0004-0000-1B00-000007000000}"/>
    <hyperlink ref="C109" r:id="rId8" xr:uid="{00000000-0004-0000-1B00-000008000000}"/>
  </hyperlinks>
  <pageMargins left="0.75" right="0.75" top="1" bottom="1" header="0.5" footer="0.5"/>
  <pageSetup fitToHeight="0"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55A11"/>
    <pageSetUpPr fitToPage="1"/>
  </sheetPr>
  <dimension ref="A1:D124"/>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233</v>
      </c>
      <c r="D1" s="41" t="s">
        <v>667</v>
      </c>
    </row>
    <row r="2" spans="1:4" x14ac:dyDescent="0.25">
      <c r="A2" s="2" t="s">
        <v>3629</v>
      </c>
    </row>
    <row r="4" spans="1:4" x14ac:dyDescent="0.25">
      <c r="A4" s="42" t="s">
        <v>9</v>
      </c>
      <c r="B4" s="43">
        <f>Monitor!H27</f>
        <v>85.007999999999996</v>
      </c>
    </row>
    <row r="5" spans="1:4" x14ac:dyDescent="0.25">
      <c r="A5" s="42" t="s">
        <v>11</v>
      </c>
      <c r="B5" s="44">
        <f>Monitor!J27</f>
        <v>13.095812480306121</v>
      </c>
    </row>
    <row r="6" spans="1:4" x14ac:dyDescent="0.25">
      <c r="A6" s="42" t="s">
        <v>8</v>
      </c>
      <c r="B6" s="45">
        <f>Monitor!G27</f>
        <v>2250</v>
      </c>
    </row>
    <row r="7" spans="1:4" x14ac:dyDescent="0.25">
      <c r="A7" s="42" t="s">
        <v>14</v>
      </c>
      <c r="B7" s="46">
        <f>Monitor!M27</f>
        <v>-337.32000000000011</v>
      </c>
    </row>
    <row r="8" spans="1:4" x14ac:dyDescent="0.25">
      <c r="A8" s="42" t="s">
        <v>15</v>
      </c>
      <c r="B8" s="47">
        <f>Monitor!N27</f>
        <v>-0.14992000000000005</v>
      </c>
    </row>
    <row r="9" spans="1:4" x14ac:dyDescent="0.25">
      <c r="A9" s="42" t="s">
        <v>669</v>
      </c>
      <c r="B9" s="46">
        <f>Monitor!O27</f>
        <v>39.532499999999793</v>
      </c>
    </row>
    <row r="10" spans="1:4" x14ac:dyDescent="0.25">
      <c r="A10" s="42" t="s">
        <v>20</v>
      </c>
      <c r="B10" s="48">
        <f>Monitor!S27</f>
        <v>46252</v>
      </c>
    </row>
    <row r="11" spans="1:4" x14ac:dyDescent="0.25">
      <c r="A11" s="42" t="s">
        <v>670</v>
      </c>
      <c r="B11" s="49">
        <f>Monitor!W27</f>
        <v>596.3192034140543</v>
      </c>
    </row>
    <row r="12" spans="1:4" x14ac:dyDescent="0.25">
      <c r="A12" s="42" t="s">
        <v>671</v>
      </c>
      <c r="B12" s="50" t="str">
        <f>Monitor!F27</f>
        <v>Ba2/BB/NR</v>
      </c>
    </row>
    <row r="13" spans="1:4" x14ac:dyDescent="0.25">
      <c r="A13" s="42" t="s">
        <v>4</v>
      </c>
      <c r="B13" s="50" t="str">
        <f>Monitor!C27</f>
        <v>Jane Street</v>
      </c>
    </row>
    <row r="15" spans="1:4" x14ac:dyDescent="0.25">
      <c r="A15" s="4" t="s">
        <v>672</v>
      </c>
      <c r="B15" s="5"/>
      <c r="C15" s="5"/>
      <c r="D15" s="5"/>
    </row>
    <row r="16" spans="1:4" ht="55.9" customHeight="1" x14ac:dyDescent="0.25">
      <c r="A16" s="51" t="s">
        <v>192</v>
      </c>
      <c r="B16" s="52" t="s">
        <v>234</v>
      </c>
    </row>
    <row r="18" spans="1:4" x14ac:dyDescent="0.25">
      <c r="A18" s="4" t="s">
        <v>673</v>
      </c>
      <c r="B18" s="5"/>
      <c r="C18" s="4" t="s">
        <v>674</v>
      </c>
      <c r="D18" s="4" t="s">
        <v>675</v>
      </c>
    </row>
    <row r="19" spans="1:4" ht="16.149999999999999" customHeight="1" x14ac:dyDescent="0.25">
      <c r="A19" s="53" t="s">
        <v>3630</v>
      </c>
      <c r="B19" s="54" t="s">
        <v>3631</v>
      </c>
      <c r="C19" s="55" t="s">
        <v>1896</v>
      </c>
      <c r="D19" s="59" t="s">
        <v>748</v>
      </c>
    </row>
    <row r="20" spans="1:4" ht="29.45" customHeight="1" x14ac:dyDescent="0.25">
      <c r="A20" s="53" t="s">
        <v>3632</v>
      </c>
      <c r="B20" s="54" t="s">
        <v>3633</v>
      </c>
      <c r="C20" s="55" t="s">
        <v>678</v>
      </c>
      <c r="D20" s="56" t="s">
        <v>679</v>
      </c>
    </row>
    <row r="21" spans="1:4" ht="29.45" customHeight="1" x14ac:dyDescent="0.25">
      <c r="A21" s="53" t="s">
        <v>3634</v>
      </c>
      <c r="B21" s="54" t="s">
        <v>3635</v>
      </c>
      <c r="C21" s="55" t="s">
        <v>3636</v>
      </c>
      <c r="D21" s="59" t="s">
        <v>748</v>
      </c>
    </row>
    <row r="22" spans="1:4" ht="16.149999999999999" customHeight="1" x14ac:dyDescent="0.25">
      <c r="A22" s="53" t="s">
        <v>3637</v>
      </c>
      <c r="B22" s="54" t="s">
        <v>3638</v>
      </c>
      <c r="C22" s="55" t="s">
        <v>689</v>
      </c>
      <c r="D22" s="58" t="s">
        <v>698</v>
      </c>
    </row>
    <row r="23" spans="1:4" ht="16.149999999999999" customHeight="1" x14ac:dyDescent="0.25">
      <c r="A23" s="53" t="s">
        <v>2595</v>
      </c>
      <c r="B23" s="54" t="s">
        <v>3639</v>
      </c>
      <c r="C23" s="55" t="s">
        <v>753</v>
      </c>
      <c r="D23" s="59" t="s">
        <v>748</v>
      </c>
    </row>
    <row r="25" spans="1:4" x14ac:dyDescent="0.25">
      <c r="A25" s="4" t="s">
        <v>717</v>
      </c>
      <c r="B25" s="5"/>
      <c r="C25" s="4" t="s">
        <v>674</v>
      </c>
      <c r="D25" s="4" t="s">
        <v>675</v>
      </c>
    </row>
    <row r="26" spans="1:4" ht="29.45" customHeight="1" x14ac:dyDescent="0.25">
      <c r="A26" s="53" t="s">
        <v>3401</v>
      </c>
      <c r="B26" s="54" t="s">
        <v>3640</v>
      </c>
      <c r="C26" s="55" t="s">
        <v>753</v>
      </c>
      <c r="D26" s="59" t="s">
        <v>748</v>
      </c>
    </row>
    <row r="27" spans="1:4" ht="29.45" customHeight="1" x14ac:dyDescent="0.25">
      <c r="A27" s="53" t="s">
        <v>3641</v>
      </c>
      <c r="B27" s="54" t="s">
        <v>3642</v>
      </c>
      <c r="C27" s="55" t="s">
        <v>3643</v>
      </c>
      <c r="D27" s="59" t="s">
        <v>748</v>
      </c>
    </row>
    <row r="29" spans="1:4" x14ac:dyDescent="0.25">
      <c r="A29" s="4" t="s">
        <v>728</v>
      </c>
      <c r="B29" s="5"/>
      <c r="C29" s="4" t="s">
        <v>674</v>
      </c>
      <c r="D29" s="4" t="s">
        <v>675</v>
      </c>
    </row>
    <row r="30" spans="1:4" ht="29.45" customHeight="1" x14ac:dyDescent="0.25">
      <c r="A30" s="53" t="s">
        <v>3411</v>
      </c>
      <c r="B30" s="54" t="s">
        <v>3644</v>
      </c>
      <c r="C30" s="55" t="s">
        <v>697</v>
      </c>
      <c r="D30" s="56" t="s">
        <v>679</v>
      </c>
    </row>
    <row r="31" spans="1:4" ht="16.149999999999999" customHeight="1" x14ac:dyDescent="0.25">
      <c r="A31" s="53" t="s">
        <v>3645</v>
      </c>
      <c r="B31" s="54" t="s">
        <v>3646</v>
      </c>
      <c r="C31" s="55" t="s">
        <v>734</v>
      </c>
      <c r="D31" s="59" t="s">
        <v>748</v>
      </c>
    </row>
    <row r="33" spans="1:4" x14ac:dyDescent="0.25">
      <c r="A33" s="4" t="s">
        <v>740</v>
      </c>
      <c r="B33" s="5"/>
      <c r="C33" s="4" t="s">
        <v>674</v>
      </c>
      <c r="D33" s="4" t="s">
        <v>675</v>
      </c>
    </row>
    <row r="34" spans="1:4" ht="16.149999999999999" customHeight="1" x14ac:dyDescent="0.25">
      <c r="A34" s="53" t="s">
        <v>4</v>
      </c>
      <c r="B34" s="54" t="s">
        <v>3647</v>
      </c>
      <c r="C34" s="55" t="s">
        <v>3648</v>
      </c>
      <c r="D34" s="59" t="s">
        <v>748</v>
      </c>
    </row>
    <row r="35" spans="1:4" ht="29.45" customHeight="1" x14ac:dyDescent="0.25">
      <c r="A35" s="53" t="s">
        <v>2758</v>
      </c>
      <c r="B35" s="54" t="s">
        <v>3649</v>
      </c>
      <c r="C35" s="55" t="s">
        <v>753</v>
      </c>
      <c r="D35" s="59" t="s">
        <v>748</v>
      </c>
    </row>
    <row r="36" spans="1:4" ht="16.149999999999999" customHeight="1" x14ac:dyDescent="0.25">
      <c r="A36" s="53" t="s">
        <v>3650</v>
      </c>
      <c r="B36" s="54" t="s">
        <v>3651</v>
      </c>
      <c r="C36" s="55" t="s">
        <v>753</v>
      </c>
      <c r="D36" s="59" t="s">
        <v>748</v>
      </c>
    </row>
    <row r="37" spans="1:4" ht="29.45" customHeight="1" x14ac:dyDescent="0.25">
      <c r="A37" s="53" t="s">
        <v>1665</v>
      </c>
      <c r="B37" s="54" t="s">
        <v>3652</v>
      </c>
      <c r="C37" s="55" t="s">
        <v>689</v>
      </c>
      <c r="D37" s="58" t="s">
        <v>698</v>
      </c>
    </row>
    <row r="39" spans="1:4" x14ac:dyDescent="0.25">
      <c r="A39" s="4" t="s">
        <v>762</v>
      </c>
      <c r="B39" s="5"/>
      <c r="C39" s="4" t="s">
        <v>674</v>
      </c>
      <c r="D39" s="4" t="s">
        <v>675</v>
      </c>
    </row>
    <row r="40" spans="1:4" ht="29.45" customHeight="1" x14ac:dyDescent="0.25">
      <c r="A40" s="53" t="s">
        <v>984</v>
      </c>
      <c r="B40" s="54" t="s">
        <v>3653</v>
      </c>
      <c r="C40" s="55" t="s">
        <v>3654</v>
      </c>
      <c r="D40" s="59" t="s">
        <v>748</v>
      </c>
    </row>
    <row r="41" spans="1:4" ht="16.149999999999999" customHeight="1" x14ac:dyDescent="0.25">
      <c r="A41" s="53" t="s">
        <v>986</v>
      </c>
      <c r="B41" s="54" t="s">
        <v>3655</v>
      </c>
      <c r="C41" s="55" t="s">
        <v>753</v>
      </c>
      <c r="D41" s="59" t="s">
        <v>748</v>
      </c>
    </row>
    <row r="42" spans="1:4" ht="29.45" customHeight="1" x14ac:dyDescent="0.25">
      <c r="A42" s="53" t="s">
        <v>3656</v>
      </c>
      <c r="B42" s="54" t="s">
        <v>3657</v>
      </c>
      <c r="C42" s="55" t="s">
        <v>2267</v>
      </c>
      <c r="D42" s="59" t="s">
        <v>748</v>
      </c>
    </row>
    <row r="43" spans="1:4" ht="16.149999999999999" customHeight="1" x14ac:dyDescent="0.25">
      <c r="A43" s="53" t="s">
        <v>988</v>
      </c>
      <c r="B43" s="54" t="s">
        <v>3658</v>
      </c>
      <c r="C43" s="55" t="s">
        <v>689</v>
      </c>
      <c r="D43" s="58" t="s">
        <v>698</v>
      </c>
    </row>
    <row r="45" spans="1:4" x14ac:dyDescent="0.25">
      <c r="A45" s="4" t="s">
        <v>773</v>
      </c>
      <c r="B45" s="5"/>
      <c r="C45" s="4" t="s">
        <v>674</v>
      </c>
      <c r="D45" s="4" t="s">
        <v>675</v>
      </c>
    </row>
    <row r="46" spans="1:4" ht="29.45" customHeight="1" x14ac:dyDescent="0.25">
      <c r="A46" s="53" t="s">
        <v>992</v>
      </c>
      <c r="B46" s="54" t="s">
        <v>3659</v>
      </c>
      <c r="C46" s="55" t="s">
        <v>841</v>
      </c>
      <c r="D46" s="57" t="s">
        <v>690</v>
      </c>
    </row>
    <row r="47" spans="1:4" ht="16.149999999999999" customHeight="1" x14ac:dyDescent="0.25">
      <c r="A47" s="53" t="s">
        <v>3660</v>
      </c>
      <c r="B47" s="54" t="s">
        <v>3661</v>
      </c>
      <c r="C47" s="55" t="s">
        <v>841</v>
      </c>
      <c r="D47" s="58" t="s">
        <v>698</v>
      </c>
    </row>
    <row r="48" spans="1:4" ht="16.149999999999999" customHeight="1" x14ac:dyDescent="0.25">
      <c r="A48" s="53" t="s">
        <v>3662</v>
      </c>
      <c r="B48" s="54" t="s">
        <v>3663</v>
      </c>
      <c r="C48" s="55" t="s">
        <v>841</v>
      </c>
      <c r="D48" s="58" t="s">
        <v>698</v>
      </c>
    </row>
    <row r="50" spans="1:4" x14ac:dyDescent="0.25">
      <c r="A50" s="4" t="s">
        <v>781</v>
      </c>
      <c r="B50" s="5"/>
      <c r="C50" s="4" t="s">
        <v>674</v>
      </c>
      <c r="D50" s="4" t="s">
        <v>675</v>
      </c>
    </row>
    <row r="51" spans="1:4" ht="16.149999999999999" customHeight="1" x14ac:dyDescent="0.25">
      <c r="A51" s="53" t="s">
        <v>3664</v>
      </c>
      <c r="B51" s="54" t="s">
        <v>3665</v>
      </c>
      <c r="C51" s="55" t="s">
        <v>841</v>
      </c>
      <c r="D51" s="58" t="s">
        <v>698</v>
      </c>
    </row>
    <row r="52" spans="1:4" ht="16.149999999999999" customHeight="1" x14ac:dyDescent="0.25">
      <c r="A52" s="53" t="s">
        <v>3666</v>
      </c>
      <c r="B52" s="54" t="s">
        <v>3667</v>
      </c>
      <c r="C52" s="55" t="s">
        <v>841</v>
      </c>
      <c r="D52" s="57" t="s">
        <v>690</v>
      </c>
    </row>
    <row r="53" spans="1:4" ht="29.45" customHeight="1" x14ac:dyDescent="0.25">
      <c r="A53" s="53" t="s">
        <v>3668</v>
      </c>
      <c r="B53" s="54" t="s">
        <v>3669</v>
      </c>
      <c r="C53" s="55" t="s">
        <v>3654</v>
      </c>
      <c r="D53" s="59" t="s">
        <v>748</v>
      </c>
    </row>
    <row r="55" spans="1:4" x14ac:dyDescent="0.25">
      <c r="A55" s="4" t="s">
        <v>792</v>
      </c>
      <c r="B55" s="5"/>
      <c r="C55" s="4" t="s">
        <v>674</v>
      </c>
      <c r="D55" s="4" t="s">
        <v>675</v>
      </c>
    </row>
    <row r="56" spans="1:4" ht="16.149999999999999" customHeight="1" x14ac:dyDescent="0.25">
      <c r="A56" s="53" t="s">
        <v>793</v>
      </c>
      <c r="B56" s="54" t="s">
        <v>3670</v>
      </c>
      <c r="C56" s="55" t="s">
        <v>2624</v>
      </c>
      <c r="D56" s="60" t="s">
        <v>803</v>
      </c>
    </row>
    <row r="57" spans="1:4" ht="16.149999999999999" customHeight="1" x14ac:dyDescent="0.25">
      <c r="A57" s="53" t="s">
        <v>1337</v>
      </c>
      <c r="B57" s="54" t="s">
        <v>3671</v>
      </c>
      <c r="C57" s="55" t="s">
        <v>689</v>
      </c>
      <c r="D57" s="58" t="s">
        <v>698</v>
      </c>
    </row>
    <row r="58" spans="1:4" ht="29.45" customHeight="1" x14ac:dyDescent="0.25">
      <c r="A58" s="53" t="s">
        <v>3672</v>
      </c>
      <c r="B58" s="54" t="s">
        <v>3673</v>
      </c>
      <c r="C58" s="55" t="s">
        <v>3674</v>
      </c>
      <c r="D58" s="60" t="s">
        <v>803</v>
      </c>
    </row>
    <row r="60" spans="1:4" x14ac:dyDescent="0.25">
      <c r="A60" s="4" t="s">
        <v>804</v>
      </c>
      <c r="B60" s="5"/>
      <c r="C60" s="4" t="s">
        <v>674</v>
      </c>
      <c r="D60" s="4" t="s">
        <v>675</v>
      </c>
    </row>
    <row r="61" spans="1:4" ht="16.149999999999999" customHeight="1" x14ac:dyDescent="0.25">
      <c r="A61" s="53" t="s">
        <v>3675</v>
      </c>
      <c r="B61" s="54" t="s">
        <v>3676</v>
      </c>
      <c r="C61" s="55" t="s">
        <v>753</v>
      </c>
      <c r="D61" s="59" t="s">
        <v>748</v>
      </c>
    </row>
    <row r="62" spans="1:4" ht="16.149999999999999" customHeight="1" x14ac:dyDescent="0.25">
      <c r="A62" s="53" t="s">
        <v>3127</v>
      </c>
      <c r="B62" s="54" t="s">
        <v>3677</v>
      </c>
      <c r="C62" s="55" t="s">
        <v>753</v>
      </c>
      <c r="D62" s="59" t="s">
        <v>748</v>
      </c>
    </row>
    <row r="64" spans="1:4" x14ac:dyDescent="0.25">
      <c r="A64" s="4" t="s">
        <v>813</v>
      </c>
      <c r="B64" s="5"/>
      <c r="C64" s="4" t="s">
        <v>674</v>
      </c>
      <c r="D64" s="4" t="s">
        <v>675</v>
      </c>
    </row>
    <row r="65" spans="1:4" ht="16.149999999999999" customHeight="1" x14ac:dyDescent="0.25">
      <c r="A65" s="53" t="s">
        <v>1705</v>
      </c>
      <c r="B65" s="54" t="s">
        <v>3678</v>
      </c>
      <c r="C65" s="55" t="s">
        <v>877</v>
      </c>
      <c r="D65" s="59" t="s">
        <v>748</v>
      </c>
    </row>
    <row r="67" spans="1:4" x14ac:dyDescent="0.25">
      <c r="A67" s="4" t="s">
        <v>826</v>
      </c>
      <c r="B67" s="5"/>
      <c r="C67" s="4" t="s">
        <v>674</v>
      </c>
      <c r="D67" s="4" t="s">
        <v>675</v>
      </c>
    </row>
    <row r="68" spans="1:4" ht="16.149999999999999" customHeight="1" x14ac:dyDescent="0.25">
      <c r="A68" s="53" t="s">
        <v>827</v>
      </c>
      <c r="B68" s="54" t="s">
        <v>3679</v>
      </c>
      <c r="C68" s="55" t="s">
        <v>753</v>
      </c>
      <c r="D68" s="59" t="s">
        <v>748</v>
      </c>
    </row>
    <row r="69" spans="1:4" ht="16.149999999999999" customHeight="1" x14ac:dyDescent="0.25">
      <c r="A69" s="53" t="s">
        <v>1029</v>
      </c>
      <c r="B69" s="54" t="s">
        <v>3680</v>
      </c>
      <c r="C69" s="55" t="s">
        <v>689</v>
      </c>
      <c r="D69" s="59" t="s">
        <v>748</v>
      </c>
    </row>
    <row r="70" spans="1:4" ht="16.149999999999999" customHeight="1" x14ac:dyDescent="0.25">
      <c r="A70" s="53" t="s">
        <v>1031</v>
      </c>
      <c r="B70" s="54" t="s">
        <v>3681</v>
      </c>
      <c r="C70" s="55" t="s">
        <v>689</v>
      </c>
      <c r="D70" s="58" t="s">
        <v>698</v>
      </c>
    </row>
    <row r="72" spans="1:4" x14ac:dyDescent="0.25">
      <c r="A72" s="4" t="s">
        <v>833</v>
      </c>
      <c r="B72" s="5"/>
      <c r="C72" s="4" t="s">
        <v>674</v>
      </c>
      <c r="D72" s="4" t="s">
        <v>675</v>
      </c>
    </row>
    <row r="73" spans="1:4" ht="29.45" customHeight="1" x14ac:dyDescent="0.25">
      <c r="A73" s="53" t="s">
        <v>1205</v>
      </c>
      <c r="B73" s="54" t="s">
        <v>3682</v>
      </c>
      <c r="C73" s="55" t="s">
        <v>2421</v>
      </c>
      <c r="D73" s="59" t="s">
        <v>748</v>
      </c>
    </row>
    <row r="75" spans="1:4" x14ac:dyDescent="0.25">
      <c r="A75" s="4" t="s">
        <v>836</v>
      </c>
      <c r="B75" s="5"/>
      <c r="C75" s="4" t="s">
        <v>674</v>
      </c>
      <c r="D75" s="4" t="s">
        <v>675</v>
      </c>
    </row>
    <row r="76" spans="1:4" ht="29.45" customHeight="1" x14ac:dyDescent="0.25">
      <c r="A76" s="53" t="s">
        <v>3683</v>
      </c>
      <c r="B76" s="54" t="s">
        <v>3684</v>
      </c>
      <c r="C76" s="55" t="s">
        <v>3685</v>
      </c>
      <c r="D76" s="59" t="s">
        <v>748</v>
      </c>
    </row>
    <row r="77" spans="1:4" ht="29.45" customHeight="1" x14ac:dyDescent="0.25">
      <c r="A77" s="53" t="s">
        <v>3686</v>
      </c>
      <c r="B77" s="54" t="s">
        <v>3687</v>
      </c>
      <c r="C77" s="55" t="s">
        <v>962</v>
      </c>
      <c r="D77" s="59" t="s">
        <v>748</v>
      </c>
    </row>
    <row r="78" spans="1:4" ht="29.45" customHeight="1" x14ac:dyDescent="0.25">
      <c r="A78" s="53" t="s">
        <v>3688</v>
      </c>
      <c r="B78" s="54" t="s">
        <v>3689</v>
      </c>
      <c r="C78" s="55" t="s">
        <v>2680</v>
      </c>
      <c r="D78" s="59" t="s">
        <v>748</v>
      </c>
    </row>
    <row r="79" spans="1:4" ht="16.149999999999999" customHeight="1" x14ac:dyDescent="0.25">
      <c r="A79" s="53" t="s">
        <v>1365</v>
      </c>
      <c r="B79" s="54" t="s">
        <v>3690</v>
      </c>
      <c r="C79" s="55" t="s">
        <v>2403</v>
      </c>
      <c r="D79" s="60" t="s">
        <v>803</v>
      </c>
    </row>
    <row r="80" spans="1:4" ht="16.149999999999999" customHeight="1" x14ac:dyDescent="0.25">
      <c r="A80" s="53" t="s">
        <v>1000</v>
      </c>
      <c r="B80" s="54" t="s">
        <v>3691</v>
      </c>
      <c r="C80" s="55" t="s">
        <v>841</v>
      </c>
      <c r="D80" s="57" t="s">
        <v>690</v>
      </c>
    </row>
    <row r="82" spans="1:4" x14ac:dyDescent="0.25">
      <c r="A82" s="4" t="s">
        <v>855</v>
      </c>
      <c r="B82" s="5"/>
      <c r="C82" s="4" t="s">
        <v>674</v>
      </c>
      <c r="D82" s="4" t="s">
        <v>675</v>
      </c>
    </row>
    <row r="83" spans="1:4" ht="16.149999999999999" customHeight="1" x14ac:dyDescent="0.25">
      <c r="A83" s="53" t="s">
        <v>3692</v>
      </c>
      <c r="B83" s="54" t="s">
        <v>3693</v>
      </c>
      <c r="C83" s="55" t="s">
        <v>3471</v>
      </c>
      <c r="D83" s="59" t="s">
        <v>748</v>
      </c>
    </row>
    <row r="84" spans="1:4" ht="29.45" customHeight="1" x14ac:dyDescent="0.25">
      <c r="A84" s="53" t="s">
        <v>3694</v>
      </c>
      <c r="B84" s="54" t="s">
        <v>3695</v>
      </c>
      <c r="C84" s="55" t="s">
        <v>734</v>
      </c>
      <c r="D84" s="59" t="s">
        <v>748</v>
      </c>
    </row>
    <row r="85" spans="1:4" ht="16.149999999999999" customHeight="1" x14ac:dyDescent="0.25">
      <c r="A85" s="53" t="s">
        <v>1224</v>
      </c>
      <c r="B85" s="54" t="s">
        <v>3696</v>
      </c>
      <c r="C85" s="55" t="s">
        <v>2482</v>
      </c>
      <c r="D85" s="60" t="s">
        <v>803</v>
      </c>
    </row>
    <row r="87" spans="1:4" x14ac:dyDescent="0.25">
      <c r="A87" s="4" t="s">
        <v>868</v>
      </c>
      <c r="B87" s="5"/>
      <c r="C87" s="4" t="s">
        <v>674</v>
      </c>
      <c r="D87" s="5"/>
    </row>
    <row r="88" spans="1:4" ht="16.149999999999999" customHeight="1" x14ac:dyDescent="0.25">
      <c r="A88" s="61" t="s">
        <v>3484</v>
      </c>
      <c r="B88" s="54" t="s">
        <v>3697</v>
      </c>
      <c r="C88" s="55" t="s">
        <v>697</v>
      </c>
      <c r="D88" s="62"/>
    </row>
    <row r="89" spans="1:4" ht="16.149999999999999" customHeight="1" x14ac:dyDescent="0.25">
      <c r="A89" s="61" t="s">
        <v>3698</v>
      </c>
      <c r="B89" s="54" t="s">
        <v>3699</v>
      </c>
      <c r="C89" s="55" t="s">
        <v>962</v>
      </c>
      <c r="D89" s="62"/>
    </row>
    <row r="90" spans="1:4" ht="16.149999999999999" customHeight="1" x14ac:dyDescent="0.25">
      <c r="A90" s="61" t="s">
        <v>882</v>
      </c>
      <c r="B90" s="54" t="s">
        <v>3700</v>
      </c>
      <c r="C90" s="55" t="s">
        <v>844</v>
      </c>
      <c r="D90" s="62"/>
    </row>
    <row r="91" spans="1:4" ht="16.149999999999999" customHeight="1" x14ac:dyDescent="0.25">
      <c r="A91" s="61" t="s">
        <v>3318</v>
      </c>
      <c r="B91" s="54" t="s">
        <v>3701</v>
      </c>
      <c r="C91" s="55" t="s">
        <v>747</v>
      </c>
      <c r="D91" s="62"/>
    </row>
    <row r="92" spans="1:4" ht="16.149999999999999" customHeight="1" x14ac:dyDescent="0.25">
      <c r="A92" s="61" t="s">
        <v>3016</v>
      </c>
      <c r="B92" s="54" t="s">
        <v>3702</v>
      </c>
      <c r="C92" s="55" t="s">
        <v>753</v>
      </c>
      <c r="D92" s="62"/>
    </row>
    <row r="93" spans="1:4" ht="16.149999999999999" customHeight="1" x14ac:dyDescent="0.25">
      <c r="A93" s="61" t="s">
        <v>3703</v>
      </c>
      <c r="B93" s="54" t="s">
        <v>3704</v>
      </c>
      <c r="C93" s="55" t="s">
        <v>731</v>
      </c>
      <c r="D93" s="62"/>
    </row>
    <row r="94" spans="1:4" ht="16.149999999999999" customHeight="1" x14ac:dyDescent="0.25">
      <c r="A94" s="61" t="s">
        <v>3705</v>
      </c>
      <c r="B94" s="54" t="s">
        <v>3706</v>
      </c>
      <c r="C94" s="55" t="s">
        <v>737</v>
      </c>
      <c r="D94" s="62"/>
    </row>
    <row r="95" spans="1:4" ht="16.149999999999999" customHeight="1" x14ac:dyDescent="0.25">
      <c r="A95" s="61" t="s">
        <v>3707</v>
      </c>
      <c r="B95" s="54" t="s">
        <v>3708</v>
      </c>
      <c r="C95" s="55" t="s">
        <v>776</v>
      </c>
      <c r="D95" s="62"/>
    </row>
    <row r="96" spans="1:4" ht="16.149999999999999" customHeight="1" x14ac:dyDescent="0.25">
      <c r="A96" s="61" t="s">
        <v>2697</v>
      </c>
      <c r="B96" s="54" t="s">
        <v>3709</v>
      </c>
      <c r="C96" s="55" t="s">
        <v>734</v>
      </c>
      <c r="D96" s="62"/>
    </row>
    <row r="97" spans="1:4" ht="16.149999999999999" customHeight="1" x14ac:dyDescent="0.25">
      <c r="A97" s="61" t="s">
        <v>3710</v>
      </c>
      <c r="B97" s="54" t="s">
        <v>3711</v>
      </c>
      <c r="C97" s="55" t="s">
        <v>841</v>
      </c>
      <c r="D97" s="62"/>
    </row>
    <row r="99" spans="1:4" x14ac:dyDescent="0.25">
      <c r="A99" s="4" t="s">
        <v>894</v>
      </c>
      <c r="B99" s="5"/>
      <c r="C99" s="5"/>
      <c r="D99" s="5"/>
    </row>
    <row r="100" spans="1:4" ht="29.45" customHeight="1" x14ac:dyDescent="0.25">
      <c r="A100" s="53" t="s">
        <v>3712</v>
      </c>
      <c r="B100" s="54" t="s">
        <v>3713</v>
      </c>
      <c r="C100" s="28" t="s">
        <v>897</v>
      </c>
      <c r="D100" s="62"/>
    </row>
    <row r="101" spans="1:4" ht="29.45" customHeight="1" x14ac:dyDescent="0.25">
      <c r="A101" s="53" t="s">
        <v>3714</v>
      </c>
      <c r="B101" s="54" t="s">
        <v>3715</v>
      </c>
      <c r="C101" s="28" t="s">
        <v>897</v>
      </c>
      <c r="D101" s="62"/>
    </row>
    <row r="102" spans="1:4" ht="29.45" customHeight="1" x14ac:dyDescent="0.25">
      <c r="A102" s="53" t="s">
        <v>3716</v>
      </c>
      <c r="B102" s="54" t="s">
        <v>3717</v>
      </c>
      <c r="C102" s="28" t="s">
        <v>897</v>
      </c>
      <c r="D102" s="62"/>
    </row>
    <row r="103" spans="1:4" ht="29.45" customHeight="1" x14ac:dyDescent="0.25">
      <c r="A103" s="53" t="s">
        <v>3718</v>
      </c>
      <c r="B103" s="54" t="s">
        <v>3719</v>
      </c>
      <c r="C103" s="28" t="s">
        <v>897</v>
      </c>
      <c r="D103" s="62"/>
    </row>
    <row r="104" spans="1:4" ht="29.45" customHeight="1" x14ac:dyDescent="0.25">
      <c r="A104" s="53" t="s">
        <v>3720</v>
      </c>
      <c r="B104" s="54" t="s">
        <v>3721</v>
      </c>
      <c r="C104" s="28" t="s">
        <v>897</v>
      </c>
      <c r="D104" s="62"/>
    </row>
    <row r="105" spans="1:4" ht="29.45" customHeight="1" x14ac:dyDescent="0.25">
      <c r="A105" s="53" t="s">
        <v>3722</v>
      </c>
      <c r="B105" s="54" t="s">
        <v>3723</v>
      </c>
      <c r="C105" s="28" t="s">
        <v>897</v>
      </c>
      <c r="D105" s="62"/>
    </row>
    <row r="106" spans="1:4" ht="29.45" customHeight="1" x14ac:dyDescent="0.25">
      <c r="A106" s="53" t="s">
        <v>3724</v>
      </c>
      <c r="B106" s="54" t="s">
        <v>3725</v>
      </c>
      <c r="C106" s="28" t="s">
        <v>897</v>
      </c>
      <c r="D106" s="62"/>
    </row>
    <row r="107" spans="1:4" ht="29.45" customHeight="1" x14ac:dyDescent="0.25">
      <c r="A107" s="53" t="s">
        <v>3726</v>
      </c>
      <c r="B107" s="54" t="s">
        <v>3727</v>
      </c>
      <c r="C107" s="28" t="s">
        <v>897</v>
      </c>
      <c r="D107" s="62"/>
    </row>
    <row r="108" spans="1:4" ht="29.45" customHeight="1" x14ac:dyDescent="0.25">
      <c r="A108" s="53" t="s">
        <v>1268</v>
      </c>
      <c r="B108" s="54" t="s">
        <v>3728</v>
      </c>
      <c r="C108" s="28" t="s">
        <v>897</v>
      </c>
      <c r="D108" s="62"/>
    </row>
    <row r="109" spans="1:4" ht="29.45" customHeight="1" x14ac:dyDescent="0.25">
      <c r="A109" s="53" t="s">
        <v>3729</v>
      </c>
      <c r="B109" s="54" t="s">
        <v>3730</v>
      </c>
      <c r="C109" s="28" t="s">
        <v>897</v>
      </c>
      <c r="D109" s="62"/>
    </row>
    <row r="110" spans="1:4" ht="29.45" customHeight="1" x14ac:dyDescent="0.25">
      <c r="A110" s="53" t="s">
        <v>3731</v>
      </c>
      <c r="B110" s="54" t="s">
        <v>3732</v>
      </c>
      <c r="C110" s="28" t="s">
        <v>897</v>
      </c>
      <c r="D110" s="62"/>
    </row>
    <row r="111" spans="1:4" ht="29.45" customHeight="1" x14ac:dyDescent="0.25">
      <c r="A111" s="53" t="s">
        <v>3733</v>
      </c>
      <c r="B111" s="54" t="s">
        <v>3734</v>
      </c>
      <c r="C111" s="28" t="s">
        <v>897</v>
      </c>
      <c r="D111" s="62"/>
    </row>
    <row r="112" spans="1:4" ht="29.45" customHeight="1" x14ac:dyDescent="0.25">
      <c r="A112" s="53" t="s">
        <v>3735</v>
      </c>
      <c r="B112" s="54" t="s">
        <v>3736</v>
      </c>
      <c r="C112" s="28" t="s">
        <v>897</v>
      </c>
      <c r="D112" s="62"/>
    </row>
    <row r="113" spans="1:4" ht="29.45" customHeight="1" x14ac:dyDescent="0.25">
      <c r="A113" s="53" t="s">
        <v>3737</v>
      </c>
      <c r="B113" s="54" t="s">
        <v>3738</v>
      </c>
      <c r="C113" s="28" t="s">
        <v>897</v>
      </c>
      <c r="D113" s="62"/>
    </row>
    <row r="114" spans="1:4" ht="29.45" customHeight="1" x14ac:dyDescent="0.25">
      <c r="A114" s="53" t="s">
        <v>3739</v>
      </c>
      <c r="B114" s="54" t="s">
        <v>3740</v>
      </c>
      <c r="C114" s="28" t="s">
        <v>897</v>
      </c>
      <c r="D114" s="62"/>
    </row>
    <row r="116" spans="1:4" x14ac:dyDescent="0.25">
      <c r="A116" s="4" t="s">
        <v>926</v>
      </c>
      <c r="B116" s="5"/>
      <c r="C116" s="5"/>
      <c r="D116" s="5"/>
    </row>
    <row r="117" spans="1:4" ht="29.45" customHeight="1" x14ac:dyDescent="0.25">
      <c r="B117" s="52" t="s">
        <v>3741</v>
      </c>
    </row>
    <row r="118" spans="1:4" ht="29.45" customHeight="1" x14ac:dyDescent="0.25">
      <c r="B118" s="52" t="s">
        <v>3742</v>
      </c>
    </row>
    <row r="119" spans="1:4" ht="16.149999999999999" customHeight="1" x14ac:dyDescent="0.25">
      <c r="B119" s="52" t="s">
        <v>3743</v>
      </c>
    </row>
    <row r="120" spans="1:4" ht="29.45" customHeight="1" x14ac:dyDescent="0.25">
      <c r="B120" s="52" t="s">
        <v>3744</v>
      </c>
    </row>
    <row r="121" spans="1:4" ht="16.149999999999999" customHeight="1" x14ac:dyDescent="0.25">
      <c r="B121" s="52" t="s">
        <v>3745</v>
      </c>
    </row>
    <row r="122" spans="1:4" ht="29.45" customHeight="1" x14ac:dyDescent="0.25">
      <c r="B122" s="52" t="s">
        <v>3746</v>
      </c>
    </row>
    <row r="123" spans="1:4" ht="16.149999999999999" customHeight="1" x14ac:dyDescent="0.25">
      <c r="B123" s="52" t="s">
        <v>3747</v>
      </c>
    </row>
    <row r="124" spans="1:4" ht="16.149999999999999" customHeight="1" x14ac:dyDescent="0.25">
      <c r="B124" s="52" t="s">
        <v>3748</v>
      </c>
    </row>
  </sheetData>
  <hyperlinks>
    <hyperlink ref="D1" location="'Monitor'!A27" display="&lt;&lt; Monitor" xr:uid="{00000000-0004-0000-1C00-000000000000}"/>
    <hyperlink ref="C100" r:id="rId1" xr:uid="{00000000-0004-0000-1C00-000001000000}"/>
    <hyperlink ref="C101" r:id="rId2" xr:uid="{00000000-0004-0000-1C00-000002000000}"/>
    <hyperlink ref="C102" r:id="rId3" xr:uid="{00000000-0004-0000-1C00-000003000000}"/>
    <hyperlink ref="C103" r:id="rId4" xr:uid="{00000000-0004-0000-1C00-000004000000}"/>
    <hyperlink ref="C104" r:id="rId5" xr:uid="{00000000-0004-0000-1C00-000005000000}"/>
    <hyperlink ref="C105" r:id="rId6" xr:uid="{00000000-0004-0000-1C00-000006000000}"/>
    <hyperlink ref="C106" r:id="rId7" xr:uid="{00000000-0004-0000-1C00-000007000000}"/>
    <hyperlink ref="C107" r:id="rId8" xr:uid="{00000000-0004-0000-1C00-000008000000}"/>
    <hyperlink ref="C108" r:id="rId9" xr:uid="{00000000-0004-0000-1C00-000009000000}"/>
    <hyperlink ref="C109" r:id="rId10" xr:uid="{00000000-0004-0000-1C00-00000A000000}"/>
    <hyperlink ref="C110" r:id="rId11" xr:uid="{00000000-0004-0000-1C00-00000B000000}"/>
    <hyperlink ref="C111" r:id="rId12" xr:uid="{00000000-0004-0000-1C00-00000C000000}"/>
    <hyperlink ref="C112" r:id="rId13" xr:uid="{00000000-0004-0000-1C00-00000D000000}"/>
    <hyperlink ref="C113" r:id="rId14" xr:uid="{00000000-0004-0000-1C00-00000E000000}"/>
    <hyperlink ref="C114" r:id="rId15" xr:uid="{00000000-0004-0000-1C00-00000F000000}"/>
  </hyperlinks>
  <pageMargins left="0.75" right="0.75" top="1" bottom="1" header="0.5" footer="0.5"/>
  <pageSetup fitToHeight="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55A11"/>
    <pageSetUpPr fitToPage="1"/>
  </sheetPr>
  <dimension ref="A1:D176"/>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235</v>
      </c>
      <c r="D1" s="41" t="s">
        <v>667</v>
      </c>
    </row>
    <row r="2" spans="1:4" x14ac:dyDescent="0.25">
      <c r="A2" s="2" t="s">
        <v>3749</v>
      </c>
    </row>
    <row r="4" spans="1:4" x14ac:dyDescent="0.25">
      <c r="A4" s="42" t="s">
        <v>9</v>
      </c>
      <c r="B4" s="43">
        <f>Monitor!H28</f>
        <v>91.063999999999993</v>
      </c>
    </row>
    <row r="5" spans="1:4" x14ac:dyDescent="0.25">
      <c r="A5" s="42" t="s">
        <v>11</v>
      </c>
      <c r="B5" s="44">
        <f>Monitor!J28</f>
        <v>12.517411644268451</v>
      </c>
    </row>
    <row r="6" spans="1:4" x14ac:dyDescent="0.25">
      <c r="A6" s="42" t="s">
        <v>8</v>
      </c>
      <c r="B6" s="45">
        <f>Monitor!G28</f>
        <v>3507</v>
      </c>
    </row>
    <row r="7" spans="1:4" x14ac:dyDescent="0.25">
      <c r="A7" s="42" t="s">
        <v>14</v>
      </c>
      <c r="B7" s="46">
        <f>Monitor!M28</f>
        <v>-313.38552000000021</v>
      </c>
    </row>
    <row r="8" spans="1:4" x14ac:dyDescent="0.25">
      <c r="A8" s="42" t="s">
        <v>15</v>
      </c>
      <c r="B8" s="47">
        <f>Monitor!N28</f>
        <v>-8.9360000000000064E-2</v>
      </c>
    </row>
    <row r="9" spans="1:4" x14ac:dyDescent="0.25">
      <c r="A9" s="42" t="s">
        <v>669</v>
      </c>
      <c r="B9" s="46">
        <f>Monitor!O28</f>
        <v>-19.428780000000071</v>
      </c>
    </row>
    <row r="10" spans="1:4" x14ac:dyDescent="0.25">
      <c r="A10" s="42" t="s">
        <v>20</v>
      </c>
      <c r="B10" s="48">
        <f>Monitor!S28</f>
        <v>46231</v>
      </c>
    </row>
    <row r="11" spans="1:4" x14ac:dyDescent="0.25">
      <c r="A11" s="42" t="s">
        <v>670</v>
      </c>
      <c r="B11" s="49">
        <f>Monitor!W28</f>
        <v>-285.4141672065723</v>
      </c>
    </row>
    <row r="12" spans="1:4" x14ac:dyDescent="0.25">
      <c r="A12" s="42" t="s">
        <v>671</v>
      </c>
      <c r="B12" s="50" t="str">
        <f>Monitor!F28</f>
        <v>NR/BB-/BB-</v>
      </c>
    </row>
    <row r="13" spans="1:4" x14ac:dyDescent="0.25">
      <c r="A13" s="42" t="s">
        <v>4</v>
      </c>
      <c r="B13" s="50" t="str">
        <f>Monitor!C28</f>
        <v>CoreWeave</v>
      </c>
    </row>
    <row r="15" spans="1:4" x14ac:dyDescent="0.25">
      <c r="A15" s="4" t="s">
        <v>672</v>
      </c>
      <c r="B15" s="5"/>
      <c r="C15" s="5"/>
      <c r="D15" s="5"/>
    </row>
    <row r="16" spans="1:4" ht="69" customHeight="1" x14ac:dyDescent="0.25">
      <c r="A16" s="51" t="s">
        <v>192</v>
      </c>
      <c r="B16" s="52" t="s">
        <v>236</v>
      </c>
    </row>
    <row r="18" spans="1:4" x14ac:dyDescent="0.25">
      <c r="A18" s="4" t="s">
        <v>673</v>
      </c>
      <c r="B18" s="5"/>
      <c r="C18" s="4" t="s">
        <v>674</v>
      </c>
      <c r="D18" s="4" t="s">
        <v>675</v>
      </c>
    </row>
    <row r="19" spans="1:4" ht="16.149999999999999" customHeight="1" x14ac:dyDescent="0.25">
      <c r="A19" s="53" t="s">
        <v>676</v>
      </c>
      <c r="B19" s="54" t="s">
        <v>3750</v>
      </c>
      <c r="C19" s="55" t="s">
        <v>678</v>
      </c>
      <c r="D19" s="56" t="s">
        <v>679</v>
      </c>
    </row>
    <row r="20" spans="1:4" ht="29.45" customHeight="1" x14ac:dyDescent="0.25">
      <c r="A20" s="53" t="s">
        <v>2860</v>
      </c>
      <c r="B20" s="54" t="s">
        <v>3751</v>
      </c>
      <c r="C20" s="55" t="s">
        <v>678</v>
      </c>
      <c r="D20" s="56" t="s">
        <v>679</v>
      </c>
    </row>
    <row r="21" spans="1:4" ht="16.149999999999999" customHeight="1" x14ac:dyDescent="0.25">
      <c r="A21" s="53" t="s">
        <v>1889</v>
      </c>
      <c r="B21" s="54" t="s">
        <v>3752</v>
      </c>
      <c r="C21" s="55" t="s">
        <v>678</v>
      </c>
      <c r="D21" s="56" t="s">
        <v>679</v>
      </c>
    </row>
    <row r="22" spans="1:4" ht="16.149999999999999" customHeight="1" x14ac:dyDescent="0.25">
      <c r="A22" s="53" t="s">
        <v>695</v>
      </c>
      <c r="B22" s="54" t="s">
        <v>3753</v>
      </c>
      <c r="C22" s="55" t="s">
        <v>844</v>
      </c>
      <c r="D22" s="58" t="s">
        <v>698</v>
      </c>
    </row>
    <row r="23" spans="1:4" ht="29.45" customHeight="1" x14ac:dyDescent="0.25">
      <c r="A23" s="53" t="s">
        <v>1417</v>
      </c>
      <c r="B23" s="54" t="s">
        <v>3754</v>
      </c>
      <c r="C23" s="55" t="s">
        <v>678</v>
      </c>
      <c r="D23" s="56" t="s">
        <v>679</v>
      </c>
    </row>
    <row r="24" spans="1:4" ht="29.45" customHeight="1" x14ac:dyDescent="0.25">
      <c r="A24" s="53" t="s">
        <v>3755</v>
      </c>
      <c r="B24" s="54" t="s">
        <v>3756</v>
      </c>
      <c r="C24" s="55" t="s">
        <v>678</v>
      </c>
      <c r="D24" s="56" t="s">
        <v>679</v>
      </c>
    </row>
    <row r="25" spans="1:4" ht="29.45" customHeight="1" x14ac:dyDescent="0.25">
      <c r="A25" s="53" t="s">
        <v>1423</v>
      </c>
      <c r="B25" s="54" t="s">
        <v>3757</v>
      </c>
      <c r="C25" s="55" t="s">
        <v>684</v>
      </c>
      <c r="D25" s="56" t="s">
        <v>679</v>
      </c>
    </row>
    <row r="26" spans="1:4" ht="42.6" customHeight="1" x14ac:dyDescent="0.25">
      <c r="A26" s="53" t="s">
        <v>3758</v>
      </c>
      <c r="B26" s="54" t="s">
        <v>3759</v>
      </c>
      <c r="C26" s="55" t="s">
        <v>753</v>
      </c>
      <c r="D26" s="60" t="s">
        <v>803</v>
      </c>
    </row>
    <row r="27" spans="1:4" ht="29.45" customHeight="1" x14ac:dyDescent="0.25">
      <c r="A27" s="53" t="s">
        <v>705</v>
      </c>
      <c r="B27" s="54" t="s">
        <v>3760</v>
      </c>
      <c r="C27" s="55" t="s">
        <v>684</v>
      </c>
      <c r="D27" s="56" t="s">
        <v>679</v>
      </c>
    </row>
    <row r="28" spans="1:4" ht="42.6" customHeight="1" x14ac:dyDescent="0.25">
      <c r="A28" s="53" t="s">
        <v>3761</v>
      </c>
      <c r="B28" s="54" t="s">
        <v>3762</v>
      </c>
      <c r="C28" s="55" t="s">
        <v>678</v>
      </c>
      <c r="D28" s="56" t="s">
        <v>679</v>
      </c>
    </row>
    <row r="29" spans="1:4" ht="16.149999999999999" customHeight="1" x14ac:dyDescent="0.25">
      <c r="A29" s="53" t="s">
        <v>1902</v>
      </c>
      <c r="B29" s="54" t="s">
        <v>3763</v>
      </c>
      <c r="C29" s="55" t="s">
        <v>678</v>
      </c>
      <c r="D29" s="56" t="s">
        <v>679</v>
      </c>
    </row>
    <row r="30" spans="1:4" ht="16.149999999999999" customHeight="1" x14ac:dyDescent="0.25">
      <c r="A30" s="53" t="s">
        <v>693</v>
      </c>
      <c r="B30" s="54" t="s">
        <v>3764</v>
      </c>
      <c r="C30" s="55" t="s">
        <v>678</v>
      </c>
      <c r="D30" s="56" t="s">
        <v>679</v>
      </c>
    </row>
    <row r="32" spans="1:4" x14ac:dyDescent="0.25">
      <c r="A32" s="4" t="s">
        <v>717</v>
      </c>
      <c r="B32" s="5"/>
      <c r="C32" s="4" t="s">
        <v>674</v>
      </c>
      <c r="D32" s="4" t="s">
        <v>675</v>
      </c>
    </row>
    <row r="33" spans="1:4" ht="42.6" customHeight="1" x14ac:dyDescent="0.25">
      <c r="A33" s="53" t="s">
        <v>2878</v>
      </c>
      <c r="B33" s="54" t="s">
        <v>3765</v>
      </c>
      <c r="C33" s="55" t="s">
        <v>684</v>
      </c>
      <c r="D33" s="56" t="s">
        <v>679</v>
      </c>
    </row>
    <row r="34" spans="1:4" ht="29.45" customHeight="1" x14ac:dyDescent="0.25">
      <c r="A34" s="53" t="s">
        <v>722</v>
      </c>
      <c r="B34" s="54" t="s">
        <v>3766</v>
      </c>
      <c r="C34" s="55" t="s">
        <v>678</v>
      </c>
      <c r="D34" s="56" t="s">
        <v>679</v>
      </c>
    </row>
    <row r="35" spans="1:4" ht="29.45" customHeight="1" x14ac:dyDescent="0.25">
      <c r="A35" s="53" t="s">
        <v>3767</v>
      </c>
      <c r="B35" s="54" t="s">
        <v>3768</v>
      </c>
      <c r="C35" s="55" t="s">
        <v>684</v>
      </c>
      <c r="D35" s="56" t="s">
        <v>679</v>
      </c>
    </row>
    <row r="36" spans="1:4" ht="29.45" customHeight="1" x14ac:dyDescent="0.25">
      <c r="A36" s="53" t="s">
        <v>3769</v>
      </c>
      <c r="B36" s="54" t="s">
        <v>3770</v>
      </c>
      <c r="C36" s="55" t="s">
        <v>753</v>
      </c>
      <c r="D36" s="57" t="s">
        <v>690</v>
      </c>
    </row>
    <row r="37" spans="1:4" ht="29.45" customHeight="1" x14ac:dyDescent="0.25">
      <c r="A37" s="53" t="s">
        <v>1140</v>
      </c>
      <c r="B37" s="54" t="s">
        <v>3771</v>
      </c>
      <c r="C37" s="55" t="s">
        <v>678</v>
      </c>
      <c r="D37" s="56" t="s">
        <v>679</v>
      </c>
    </row>
    <row r="39" spans="1:4" x14ac:dyDescent="0.25">
      <c r="A39" s="4" t="s">
        <v>728</v>
      </c>
      <c r="B39" s="5"/>
      <c r="C39" s="4" t="s">
        <v>674</v>
      </c>
      <c r="D39" s="4" t="s">
        <v>675</v>
      </c>
    </row>
    <row r="40" spans="1:4" ht="29.45" customHeight="1" x14ac:dyDescent="0.25">
      <c r="A40" s="53" t="s">
        <v>729</v>
      </c>
      <c r="B40" s="54" t="s">
        <v>3772</v>
      </c>
      <c r="C40" s="55" t="s">
        <v>689</v>
      </c>
      <c r="D40" s="57" t="s">
        <v>690</v>
      </c>
    </row>
    <row r="41" spans="1:4" ht="29.45" customHeight="1" x14ac:dyDescent="0.25">
      <c r="A41" s="53" t="s">
        <v>3773</v>
      </c>
      <c r="B41" s="54" t="s">
        <v>3774</v>
      </c>
      <c r="C41" s="55" t="s">
        <v>737</v>
      </c>
      <c r="D41" s="56" t="s">
        <v>679</v>
      </c>
    </row>
    <row r="42" spans="1:4" ht="16.149999999999999" customHeight="1" x14ac:dyDescent="0.25">
      <c r="A42" s="53" t="s">
        <v>3775</v>
      </c>
      <c r="B42" s="54" t="s">
        <v>3776</v>
      </c>
      <c r="C42" s="55" t="s">
        <v>689</v>
      </c>
      <c r="D42" s="56" t="s">
        <v>679</v>
      </c>
    </row>
    <row r="43" spans="1:4" ht="42.6" customHeight="1" x14ac:dyDescent="0.25">
      <c r="A43" s="53" t="s">
        <v>3777</v>
      </c>
      <c r="B43" s="54" t="s">
        <v>3778</v>
      </c>
      <c r="C43" s="55" t="s">
        <v>689</v>
      </c>
      <c r="D43" s="56" t="s">
        <v>679</v>
      </c>
    </row>
    <row r="44" spans="1:4" ht="16.149999999999999" customHeight="1" x14ac:dyDescent="0.25">
      <c r="A44" s="53" t="s">
        <v>3779</v>
      </c>
      <c r="B44" s="54" t="s">
        <v>3780</v>
      </c>
      <c r="C44" s="55" t="s">
        <v>689</v>
      </c>
      <c r="D44" s="57" t="s">
        <v>690</v>
      </c>
    </row>
    <row r="45" spans="1:4" ht="29.45" customHeight="1" x14ac:dyDescent="0.25">
      <c r="A45" s="53" t="s">
        <v>3781</v>
      </c>
      <c r="B45" s="54" t="s">
        <v>3782</v>
      </c>
      <c r="C45" s="55" t="s">
        <v>689</v>
      </c>
      <c r="D45" s="57" t="s">
        <v>690</v>
      </c>
    </row>
    <row r="47" spans="1:4" x14ac:dyDescent="0.25">
      <c r="A47" s="4" t="s">
        <v>740</v>
      </c>
      <c r="B47" s="5"/>
      <c r="C47" s="4" t="s">
        <v>674</v>
      </c>
      <c r="D47" s="4" t="s">
        <v>675</v>
      </c>
    </row>
    <row r="48" spans="1:4" ht="42.6" customHeight="1" x14ac:dyDescent="0.25">
      <c r="A48" s="53" t="s">
        <v>4</v>
      </c>
      <c r="B48" s="54" t="s">
        <v>3783</v>
      </c>
      <c r="C48" s="55" t="s">
        <v>684</v>
      </c>
      <c r="D48" s="56" t="s">
        <v>679</v>
      </c>
    </row>
    <row r="49" spans="1:4" ht="16.149999999999999" customHeight="1" x14ac:dyDescent="0.25">
      <c r="A49" s="53" t="s">
        <v>3784</v>
      </c>
      <c r="B49" s="54" t="s">
        <v>3785</v>
      </c>
      <c r="C49" s="55" t="s">
        <v>753</v>
      </c>
      <c r="D49" s="57" t="s">
        <v>690</v>
      </c>
    </row>
    <row r="50" spans="1:4" ht="42.6" customHeight="1" x14ac:dyDescent="0.25">
      <c r="A50" s="53" t="s">
        <v>2152</v>
      </c>
      <c r="B50" s="54" t="s">
        <v>3786</v>
      </c>
      <c r="C50" s="55" t="s">
        <v>753</v>
      </c>
      <c r="D50" s="57" t="s">
        <v>690</v>
      </c>
    </row>
    <row r="51" spans="1:4" ht="16.149999999999999" customHeight="1" x14ac:dyDescent="0.25">
      <c r="A51" s="53" t="s">
        <v>3787</v>
      </c>
      <c r="B51" s="54" t="s">
        <v>3788</v>
      </c>
      <c r="C51" s="55" t="s">
        <v>753</v>
      </c>
      <c r="D51" s="57" t="s">
        <v>690</v>
      </c>
    </row>
    <row r="52" spans="1:4" ht="42.6" customHeight="1" x14ac:dyDescent="0.25">
      <c r="A52" s="53" t="s">
        <v>259</v>
      </c>
      <c r="B52" s="54" t="s">
        <v>3789</v>
      </c>
      <c r="C52" s="55" t="s">
        <v>753</v>
      </c>
      <c r="D52" s="57" t="s">
        <v>690</v>
      </c>
    </row>
    <row r="53" spans="1:4" ht="29.45" customHeight="1" x14ac:dyDescent="0.25">
      <c r="A53" s="53" t="s">
        <v>1309</v>
      </c>
      <c r="B53" s="54" t="s">
        <v>3790</v>
      </c>
      <c r="C53" s="55" t="s">
        <v>753</v>
      </c>
      <c r="D53" s="57" t="s">
        <v>690</v>
      </c>
    </row>
    <row r="54" spans="1:4" ht="42.6" customHeight="1" x14ac:dyDescent="0.25">
      <c r="A54" s="53" t="s">
        <v>3791</v>
      </c>
      <c r="B54" s="54" t="s">
        <v>3792</v>
      </c>
      <c r="C54" s="55" t="s">
        <v>684</v>
      </c>
      <c r="D54" s="56" t="s">
        <v>679</v>
      </c>
    </row>
    <row r="55" spans="1:4" ht="42.6" customHeight="1" x14ac:dyDescent="0.25">
      <c r="A55" s="53" t="s">
        <v>3793</v>
      </c>
      <c r="B55" s="54" t="s">
        <v>3794</v>
      </c>
      <c r="C55" s="55" t="s">
        <v>684</v>
      </c>
      <c r="D55" s="56" t="s">
        <v>679</v>
      </c>
    </row>
    <row r="56" spans="1:4" ht="29.45" customHeight="1" x14ac:dyDescent="0.25">
      <c r="A56" s="53" t="s">
        <v>3795</v>
      </c>
      <c r="B56" s="54" t="s">
        <v>3796</v>
      </c>
      <c r="C56" s="55" t="s">
        <v>753</v>
      </c>
      <c r="D56" s="57" t="s">
        <v>690</v>
      </c>
    </row>
    <row r="57" spans="1:4" ht="42.6" customHeight="1" x14ac:dyDescent="0.25">
      <c r="A57" s="53" t="s">
        <v>1952</v>
      </c>
      <c r="B57" s="54" t="s">
        <v>3797</v>
      </c>
      <c r="C57" s="55" t="s">
        <v>747</v>
      </c>
      <c r="D57" s="57" t="s">
        <v>690</v>
      </c>
    </row>
    <row r="58" spans="1:4" ht="16.149999999999999" customHeight="1" x14ac:dyDescent="0.25">
      <c r="A58" s="53" t="s">
        <v>3798</v>
      </c>
      <c r="B58" s="54" t="s">
        <v>3799</v>
      </c>
      <c r="C58" s="55" t="s">
        <v>689</v>
      </c>
      <c r="D58" s="56" t="s">
        <v>679</v>
      </c>
    </row>
    <row r="59" spans="1:4" ht="16.149999999999999" customHeight="1" x14ac:dyDescent="0.25">
      <c r="A59" s="53" t="s">
        <v>3800</v>
      </c>
      <c r="B59" s="54" t="s">
        <v>3801</v>
      </c>
      <c r="C59" s="55" t="s">
        <v>684</v>
      </c>
      <c r="D59" s="57" t="s">
        <v>690</v>
      </c>
    </row>
    <row r="61" spans="1:4" x14ac:dyDescent="0.25">
      <c r="A61" s="4" t="s">
        <v>762</v>
      </c>
      <c r="B61" s="5"/>
      <c r="C61" s="4" t="s">
        <v>674</v>
      </c>
      <c r="D61" s="4" t="s">
        <v>675</v>
      </c>
    </row>
    <row r="62" spans="1:4" ht="29.45" customHeight="1" x14ac:dyDescent="0.25">
      <c r="A62" s="53" t="s">
        <v>2269</v>
      </c>
      <c r="B62" s="54" t="s">
        <v>3802</v>
      </c>
      <c r="C62" s="55" t="s">
        <v>678</v>
      </c>
      <c r="D62" s="56" t="s">
        <v>679</v>
      </c>
    </row>
    <row r="63" spans="1:4" ht="29.45" customHeight="1" x14ac:dyDescent="0.25">
      <c r="A63" s="53" t="s">
        <v>3803</v>
      </c>
      <c r="B63" s="54" t="s">
        <v>3804</v>
      </c>
      <c r="C63" s="55" t="s">
        <v>678</v>
      </c>
      <c r="D63" s="57" t="s">
        <v>690</v>
      </c>
    </row>
    <row r="64" spans="1:4" ht="16.149999999999999" customHeight="1" x14ac:dyDescent="0.25">
      <c r="A64" s="53" t="s">
        <v>3805</v>
      </c>
      <c r="B64" s="54" t="s">
        <v>3806</v>
      </c>
      <c r="C64" s="55" t="s">
        <v>737</v>
      </c>
      <c r="D64" s="57" t="s">
        <v>690</v>
      </c>
    </row>
    <row r="65" spans="1:4" ht="29.45" customHeight="1" x14ac:dyDescent="0.25">
      <c r="A65" s="53" t="s">
        <v>3807</v>
      </c>
      <c r="B65" s="54" t="s">
        <v>3808</v>
      </c>
      <c r="C65" s="55" t="s">
        <v>689</v>
      </c>
      <c r="D65" s="57" t="s">
        <v>690</v>
      </c>
    </row>
    <row r="66" spans="1:4" ht="29.45" customHeight="1" x14ac:dyDescent="0.25">
      <c r="A66" s="53" t="s">
        <v>3809</v>
      </c>
      <c r="B66" s="54" t="s">
        <v>3810</v>
      </c>
      <c r="C66" s="55" t="s">
        <v>844</v>
      </c>
      <c r="D66" s="58" t="s">
        <v>698</v>
      </c>
    </row>
    <row r="67" spans="1:4" ht="16.149999999999999" customHeight="1" x14ac:dyDescent="0.25">
      <c r="A67" s="53" t="s">
        <v>771</v>
      </c>
      <c r="B67" s="54" t="s">
        <v>3811</v>
      </c>
      <c r="C67" s="55" t="s">
        <v>678</v>
      </c>
      <c r="D67" s="57" t="s">
        <v>690</v>
      </c>
    </row>
    <row r="68" spans="1:4" ht="29.45" customHeight="1" x14ac:dyDescent="0.25">
      <c r="A68" s="53" t="s">
        <v>1166</v>
      </c>
      <c r="B68" s="54" t="s">
        <v>3812</v>
      </c>
      <c r="C68" s="55" t="s">
        <v>678</v>
      </c>
      <c r="D68" s="56" t="s">
        <v>679</v>
      </c>
    </row>
    <row r="70" spans="1:4" x14ac:dyDescent="0.25">
      <c r="A70" s="4" t="s">
        <v>773</v>
      </c>
      <c r="B70" s="5"/>
      <c r="C70" s="4" t="s">
        <v>674</v>
      </c>
      <c r="D70" s="4" t="s">
        <v>675</v>
      </c>
    </row>
    <row r="71" spans="1:4" ht="42.6" customHeight="1" x14ac:dyDescent="0.25">
      <c r="A71" s="53" t="s">
        <v>3813</v>
      </c>
      <c r="B71" s="54" t="s">
        <v>3814</v>
      </c>
      <c r="C71" s="55" t="s">
        <v>731</v>
      </c>
      <c r="D71" s="56" t="s">
        <v>679</v>
      </c>
    </row>
    <row r="72" spans="1:4" ht="42.6" customHeight="1" x14ac:dyDescent="0.25">
      <c r="A72" s="53" t="s">
        <v>2812</v>
      </c>
      <c r="B72" s="54" t="s">
        <v>3815</v>
      </c>
      <c r="C72" s="55" t="s">
        <v>962</v>
      </c>
      <c r="D72" s="57" t="s">
        <v>690</v>
      </c>
    </row>
    <row r="73" spans="1:4" ht="42.6" customHeight="1" x14ac:dyDescent="0.25">
      <c r="A73" s="53" t="s">
        <v>3816</v>
      </c>
      <c r="B73" s="54" t="s">
        <v>3817</v>
      </c>
      <c r="C73" s="55" t="s">
        <v>962</v>
      </c>
      <c r="D73" s="57" t="s">
        <v>690</v>
      </c>
    </row>
    <row r="74" spans="1:4" ht="29.45" customHeight="1" x14ac:dyDescent="0.25">
      <c r="A74" s="53" t="s">
        <v>3818</v>
      </c>
      <c r="B74" s="54" t="s">
        <v>3819</v>
      </c>
      <c r="C74" s="55" t="s">
        <v>689</v>
      </c>
      <c r="D74" s="57" t="s">
        <v>690</v>
      </c>
    </row>
    <row r="75" spans="1:4" ht="29.45" customHeight="1" x14ac:dyDescent="0.25">
      <c r="A75" s="53" t="s">
        <v>3820</v>
      </c>
      <c r="B75" s="54" t="s">
        <v>3821</v>
      </c>
      <c r="C75" s="55" t="s">
        <v>689</v>
      </c>
      <c r="D75" s="57" t="s">
        <v>690</v>
      </c>
    </row>
    <row r="77" spans="1:4" x14ac:dyDescent="0.25">
      <c r="A77" s="4" t="s">
        <v>781</v>
      </c>
      <c r="B77" s="5"/>
      <c r="C77" s="4" t="s">
        <v>674</v>
      </c>
      <c r="D77" s="4" t="s">
        <v>675</v>
      </c>
    </row>
    <row r="78" spans="1:4" ht="29.45" customHeight="1" x14ac:dyDescent="0.25">
      <c r="A78" s="53" t="s">
        <v>998</v>
      </c>
      <c r="B78" s="54" t="s">
        <v>3822</v>
      </c>
      <c r="C78" s="55" t="s">
        <v>734</v>
      </c>
      <c r="D78" s="59" t="s">
        <v>748</v>
      </c>
    </row>
    <row r="79" spans="1:4" ht="16.149999999999999" customHeight="1" x14ac:dyDescent="0.25">
      <c r="A79" s="53" t="s">
        <v>3823</v>
      </c>
      <c r="B79" s="54" t="s">
        <v>3824</v>
      </c>
      <c r="C79" s="55" t="s">
        <v>841</v>
      </c>
      <c r="D79" s="59" t="s">
        <v>748</v>
      </c>
    </row>
    <row r="80" spans="1:4" ht="29.45" customHeight="1" x14ac:dyDescent="0.25">
      <c r="A80" s="53" t="s">
        <v>3825</v>
      </c>
      <c r="B80" s="54" t="s">
        <v>3826</v>
      </c>
      <c r="C80" s="55" t="s">
        <v>841</v>
      </c>
      <c r="D80" s="59" t="s">
        <v>748</v>
      </c>
    </row>
    <row r="81" spans="1:4" ht="42.6" customHeight="1" x14ac:dyDescent="0.25">
      <c r="A81" s="53" t="s">
        <v>2176</v>
      </c>
      <c r="B81" s="54" t="s">
        <v>3827</v>
      </c>
      <c r="C81" s="55" t="s">
        <v>678</v>
      </c>
      <c r="D81" s="56" t="s">
        <v>679</v>
      </c>
    </row>
    <row r="82" spans="1:4" ht="29.45" customHeight="1" x14ac:dyDescent="0.25">
      <c r="A82" s="53" t="s">
        <v>3828</v>
      </c>
      <c r="B82" s="54" t="s">
        <v>3829</v>
      </c>
      <c r="C82" s="55" t="s">
        <v>684</v>
      </c>
      <c r="D82" s="56" t="s">
        <v>679</v>
      </c>
    </row>
    <row r="83" spans="1:4" ht="16.149999999999999" customHeight="1" x14ac:dyDescent="0.25">
      <c r="A83" s="53" t="s">
        <v>3830</v>
      </c>
      <c r="B83" s="54" t="s">
        <v>3831</v>
      </c>
      <c r="C83" s="55" t="s">
        <v>684</v>
      </c>
      <c r="D83" s="57" t="s">
        <v>690</v>
      </c>
    </row>
    <row r="85" spans="1:4" x14ac:dyDescent="0.25">
      <c r="A85" s="4" t="s">
        <v>792</v>
      </c>
      <c r="B85" s="5"/>
      <c r="C85" s="4" t="s">
        <v>674</v>
      </c>
      <c r="D85" s="4" t="s">
        <v>675</v>
      </c>
    </row>
    <row r="86" spans="1:4" ht="16.149999999999999" customHeight="1" x14ac:dyDescent="0.25">
      <c r="A86" s="53" t="s">
        <v>680</v>
      </c>
      <c r="B86" s="54" t="s">
        <v>3832</v>
      </c>
      <c r="C86" s="55" t="s">
        <v>678</v>
      </c>
      <c r="D86" s="56" t="s">
        <v>679</v>
      </c>
    </row>
    <row r="87" spans="1:4" ht="29.45" customHeight="1" x14ac:dyDescent="0.25">
      <c r="A87" s="53" t="s">
        <v>3833</v>
      </c>
      <c r="B87" s="54" t="s">
        <v>3834</v>
      </c>
      <c r="C87" s="55" t="s">
        <v>753</v>
      </c>
      <c r="D87" s="57" t="s">
        <v>690</v>
      </c>
    </row>
    <row r="88" spans="1:4" ht="29.45" customHeight="1" x14ac:dyDescent="0.25">
      <c r="A88" s="53" t="s">
        <v>3835</v>
      </c>
      <c r="B88" s="54" t="s">
        <v>3836</v>
      </c>
      <c r="C88" s="55" t="s">
        <v>753</v>
      </c>
      <c r="D88" s="60" t="s">
        <v>803</v>
      </c>
    </row>
    <row r="89" spans="1:4" ht="16.149999999999999" customHeight="1" x14ac:dyDescent="0.25">
      <c r="A89" s="53" t="s">
        <v>3837</v>
      </c>
      <c r="B89" s="54" t="s">
        <v>3838</v>
      </c>
      <c r="C89" s="55" t="s">
        <v>753</v>
      </c>
      <c r="D89" s="60" t="s">
        <v>803</v>
      </c>
    </row>
    <row r="90" spans="1:4" ht="16.149999999999999" customHeight="1" x14ac:dyDescent="0.25">
      <c r="A90" s="53" t="s">
        <v>3839</v>
      </c>
      <c r="B90" s="54" t="s">
        <v>3840</v>
      </c>
      <c r="C90" s="55" t="s">
        <v>844</v>
      </c>
      <c r="D90" s="58" t="s">
        <v>698</v>
      </c>
    </row>
    <row r="91" spans="1:4" ht="16.149999999999999" customHeight="1" x14ac:dyDescent="0.25">
      <c r="A91" s="53" t="s">
        <v>801</v>
      </c>
      <c r="B91" s="54" t="s">
        <v>3841</v>
      </c>
      <c r="C91" s="55" t="s">
        <v>753</v>
      </c>
      <c r="D91" s="60" t="s">
        <v>803</v>
      </c>
    </row>
    <row r="92" spans="1:4" ht="16.149999999999999" customHeight="1" x14ac:dyDescent="0.25">
      <c r="A92" s="53" t="s">
        <v>3842</v>
      </c>
      <c r="B92" s="54" t="s">
        <v>3843</v>
      </c>
      <c r="C92" s="55" t="s">
        <v>678</v>
      </c>
      <c r="D92" s="60" t="s">
        <v>803</v>
      </c>
    </row>
    <row r="94" spans="1:4" x14ac:dyDescent="0.25">
      <c r="A94" s="4" t="s">
        <v>804</v>
      </c>
      <c r="B94" s="5"/>
      <c r="C94" s="4" t="s">
        <v>674</v>
      </c>
      <c r="D94" s="4" t="s">
        <v>675</v>
      </c>
    </row>
    <row r="95" spans="1:4" ht="16.149999999999999" customHeight="1" x14ac:dyDescent="0.25">
      <c r="A95" s="53" t="s">
        <v>2176</v>
      </c>
      <c r="B95" s="54" t="s">
        <v>3844</v>
      </c>
      <c r="C95" s="55" t="s">
        <v>678</v>
      </c>
      <c r="D95" s="56" t="s">
        <v>679</v>
      </c>
    </row>
    <row r="96" spans="1:4" ht="29.45" customHeight="1" x14ac:dyDescent="0.25">
      <c r="A96" s="53" t="s">
        <v>1990</v>
      </c>
      <c r="B96" s="54" t="s">
        <v>3845</v>
      </c>
      <c r="C96" s="55" t="s">
        <v>684</v>
      </c>
      <c r="D96" s="56" t="s">
        <v>679</v>
      </c>
    </row>
    <row r="97" spans="1:4" ht="16.149999999999999" customHeight="1" x14ac:dyDescent="0.25">
      <c r="A97" s="53" t="s">
        <v>1992</v>
      </c>
      <c r="B97" s="54" t="s">
        <v>3846</v>
      </c>
      <c r="C97" s="55" t="s">
        <v>684</v>
      </c>
      <c r="D97" s="56" t="s">
        <v>679</v>
      </c>
    </row>
    <row r="98" spans="1:4" ht="29.45" customHeight="1" x14ac:dyDescent="0.25">
      <c r="A98" s="53" t="s">
        <v>3847</v>
      </c>
      <c r="B98" s="54" t="s">
        <v>3848</v>
      </c>
      <c r="C98" s="55" t="s">
        <v>753</v>
      </c>
      <c r="D98" s="57" t="s">
        <v>690</v>
      </c>
    </row>
    <row r="99" spans="1:4" ht="16.149999999999999" customHeight="1" x14ac:dyDescent="0.25">
      <c r="A99" s="53" t="s">
        <v>805</v>
      </c>
      <c r="B99" s="54" t="s">
        <v>3849</v>
      </c>
      <c r="C99" s="55" t="s">
        <v>678</v>
      </c>
      <c r="D99" s="56" t="s">
        <v>679</v>
      </c>
    </row>
    <row r="101" spans="1:4" x14ac:dyDescent="0.25">
      <c r="A101" s="4" t="s">
        <v>813</v>
      </c>
      <c r="B101" s="5"/>
      <c r="C101" s="4" t="s">
        <v>674</v>
      </c>
      <c r="D101" s="4" t="s">
        <v>675</v>
      </c>
    </row>
    <row r="102" spans="1:4" ht="42.6" customHeight="1" x14ac:dyDescent="0.25">
      <c r="A102" s="53" t="s">
        <v>2652</v>
      </c>
      <c r="B102" s="54" t="s">
        <v>3850</v>
      </c>
      <c r="C102" s="55" t="s">
        <v>684</v>
      </c>
      <c r="D102" s="56" t="s">
        <v>679</v>
      </c>
    </row>
    <row r="103" spans="1:4" ht="29.45" customHeight="1" x14ac:dyDescent="0.25">
      <c r="A103" s="53" t="s">
        <v>3851</v>
      </c>
      <c r="B103" s="54" t="s">
        <v>3852</v>
      </c>
      <c r="C103" s="55" t="s">
        <v>684</v>
      </c>
      <c r="D103" s="56" t="s">
        <v>679</v>
      </c>
    </row>
    <row r="104" spans="1:4" ht="29.45" customHeight="1" x14ac:dyDescent="0.25">
      <c r="A104" s="53" t="s">
        <v>3853</v>
      </c>
      <c r="B104" s="54" t="s">
        <v>3854</v>
      </c>
      <c r="C104" s="55" t="s">
        <v>678</v>
      </c>
      <c r="D104" s="56" t="s">
        <v>679</v>
      </c>
    </row>
    <row r="105" spans="1:4" ht="29.45" customHeight="1" x14ac:dyDescent="0.25">
      <c r="A105" s="53" t="s">
        <v>2654</v>
      </c>
      <c r="B105" s="54" t="s">
        <v>3855</v>
      </c>
      <c r="C105" s="55" t="s">
        <v>678</v>
      </c>
      <c r="D105" s="56" t="s">
        <v>679</v>
      </c>
    </row>
    <row r="106" spans="1:4" ht="16.149999999999999" customHeight="1" x14ac:dyDescent="0.25">
      <c r="A106" s="53" t="s">
        <v>3856</v>
      </c>
      <c r="B106" s="54" t="s">
        <v>3857</v>
      </c>
      <c r="C106" s="55" t="s">
        <v>678</v>
      </c>
      <c r="D106" s="56" t="s">
        <v>679</v>
      </c>
    </row>
    <row r="108" spans="1:4" x14ac:dyDescent="0.25">
      <c r="A108" s="4" t="s">
        <v>826</v>
      </c>
      <c r="B108" s="5"/>
      <c r="C108" s="4" t="s">
        <v>674</v>
      </c>
      <c r="D108" s="4" t="s">
        <v>675</v>
      </c>
    </row>
    <row r="109" spans="1:4" ht="16.149999999999999" customHeight="1" x14ac:dyDescent="0.25">
      <c r="A109" s="53" t="s">
        <v>2963</v>
      </c>
      <c r="B109" s="54" t="s">
        <v>3858</v>
      </c>
      <c r="C109" s="55" t="s">
        <v>844</v>
      </c>
      <c r="D109" s="58" t="s">
        <v>698</v>
      </c>
    </row>
    <row r="110" spans="1:4" ht="29.45" customHeight="1" x14ac:dyDescent="0.25">
      <c r="A110" s="53" t="s">
        <v>3859</v>
      </c>
      <c r="B110" s="54" t="s">
        <v>3860</v>
      </c>
      <c r="C110" s="55" t="s">
        <v>734</v>
      </c>
      <c r="D110" s="59" t="s">
        <v>748</v>
      </c>
    </row>
    <row r="112" spans="1:4" x14ac:dyDescent="0.25">
      <c r="A112" s="4" t="s">
        <v>833</v>
      </c>
      <c r="B112" s="5"/>
      <c r="C112" s="4" t="s">
        <v>674</v>
      </c>
      <c r="D112" s="4" t="s">
        <v>675</v>
      </c>
    </row>
    <row r="113" spans="1:4" ht="29.45" customHeight="1" x14ac:dyDescent="0.25">
      <c r="A113" s="53" t="s">
        <v>2969</v>
      </c>
      <c r="B113" s="54" t="s">
        <v>3861</v>
      </c>
      <c r="C113" s="55" t="s">
        <v>678</v>
      </c>
      <c r="D113" s="56" t="s">
        <v>679</v>
      </c>
    </row>
    <row r="114" spans="1:4" ht="16.149999999999999" customHeight="1" x14ac:dyDescent="0.25">
      <c r="A114" s="53" t="s">
        <v>3862</v>
      </c>
      <c r="B114" s="54" t="s">
        <v>3863</v>
      </c>
      <c r="C114" s="55" t="s">
        <v>737</v>
      </c>
      <c r="D114" s="57" t="s">
        <v>690</v>
      </c>
    </row>
    <row r="116" spans="1:4" x14ac:dyDescent="0.25">
      <c r="A116" s="4" t="s">
        <v>836</v>
      </c>
      <c r="B116" s="5"/>
      <c r="C116" s="4" t="s">
        <v>674</v>
      </c>
      <c r="D116" s="4" t="s">
        <v>675</v>
      </c>
    </row>
    <row r="117" spans="1:4" ht="29.45" customHeight="1" x14ac:dyDescent="0.25">
      <c r="A117" s="53" t="s">
        <v>3864</v>
      </c>
      <c r="B117" s="54" t="s">
        <v>3865</v>
      </c>
      <c r="C117" s="55" t="s">
        <v>753</v>
      </c>
      <c r="D117" s="57" t="s">
        <v>690</v>
      </c>
    </row>
    <row r="118" spans="1:4" ht="16.149999999999999" customHeight="1" x14ac:dyDescent="0.25">
      <c r="A118" s="53" t="s">
        <v>3866</v>
      </c>
      <c r="B118" s="54" t="s">
        <v>3867</v>
      </c>
      <c r="C118" s="55" t="s">
        <v>753</v>
      </c>
      <c r="D118" s="57" t="s">
        <v>690</v>
      </c>
    </row>
    <row r="119" spans="1:4" ht="16.149999999999999" customHeight="1" x14ac:dyDescent="0.25">
      <c r="A119" s="53" t="s">
        <v>3868</v>
      </c>
      <c r="B119" s="54" t="s">
        <v>3869</v>
      </c>
      <c r="C119" s="55" t="s">
        <v>962</v>
      </c>
      <c r="D119" s="57" t="s">
        <v>690</v>
      </c>
    </row>
    <row r="120" spans="1:4" ht="16.149999999999999" customHeight="1" x14ac:dyDescent="0.25">
      <c r="A120" s="53" t="s">
        <v>3870</v>
      </c>
      <c r="B120" s="54" t="s">
        <v>3871</v>
      </c>
      <c r="C120" s="55" t="s">
        <v>689</v>
      </c>
      <c r="D120" s="57" t="s">
        <v>690</v>
      </c>
    </row>
    <row r="121" spans="1:4" ht="16.149999999999999" customHeight="1" x14ac:dyDescent="0.25">
      <c r="A121" s="53" t="s">
        <v>2331</v>
      </c>
      <c r="B121" s="54" t="s">
        <v>3872</v>
      </c>
      <c r="C121" s="55" t="s">
        <v>753</v>
      </c>
      <c r="D121" s="60" t="s">
        <v>803</v>
      </c>
    </row>
    <row r="122" spans="1:4" ht="29.45" customHeight="1" x14ac:dyDescent="0.25">
      <c r="A122" s="53" t="s">
        <v>3873</v>
      </c>
      <c r="B122" s="54" t="s">
        <v>3874</v>
      </c>
      <c r="C122" s="55" t="s">
        <v>689</v>
      </c>
      <c r="D122" s="57" t="s">
        <v>690</v>
      </c>
    </row>
    <row r="123" spans="1:4" ht="29.45" customHeight="1" x14ac:dyDescent="0.25">
      <c r="A123" s="53" t="s">
        <v>3875</v>
      </c>
      <c r="B123" s="54" t="s">
        <v>3876</v>
      </c>
      <c r="C123" s="55" t="s">
        <v>747</v>
      </c>
      <c r="D123" s="57" t="s">
        <v>690</v>
      </c>
    </row>
    <row r="124" spans="1:4" ht="16.149999999999999" customHeight="1" x14ac:dyDescent="0.25">
      <c r="A124" s="53" t="s">
        <v>3877</v>
      </c>
      <c r="B124" s="54" t="s">
        <v>3878</v>
      </c>
      <c r="C124" s="55" t="s">
        <v>684</v>
      </c>
      <c r="D124" s="56" t="s">
        <v>679</v>
      </c>
    </row>
    <row r="125" spans="1:4" ht="16.149999999999999" customHeight="1" x14ac:dyDescent="0.25">
      <c r="A125" s="53" t="s">
        <v>3879</v>
      </c>
      <c r="B125" s="54" t="s">
        <v>3880</v>
      </c>
      <c r="C125" s="55" t="s">
        <v>734</v>
      </c>
      <c r="D125" s="59" t="s">
        <v>748</v>
      </c>
    </row>
    <row r="127" spans="1:4" x14ac:dyDescent="0.25">
      <c r="A127" s="4" t="s">
        <v>855</v>
      </c>
      <c r="B127" s="5"/>
      <c r="C127" s="4" t="s">
        <v>674</v>
      </c>
      <c r="D127" s="4" t="s">
        <v>675</v>
      </c>
    </row>
    <row r="128" spans="1:4" ht="16.149999999999999" customHeight="1" x14ac:dyDescent="0.25">
      <c r="A128" s="53" t="s">
        <v>3881</v>
      </c>
      <c r="B128" s="54" t="s">
        <v>3882</v>
      </c>
      <c r="C128" s="55" t="s">
        <v>737</v>
      </c>
      <c r="D128" s="56" t="s">
        <v>679</v>
      </c>
    </row>
    <row r="129" spans="1:4" ht="16.149999999999999" customHeight="1" x14ac:dyDescent="0.25">
      <c r="A129" s="53" t="s">
        <v>2812</v>
      </c>
      <c r="B129" s="54" t="s">
        <v>3883</v>
      </c>
      <c r="C129" s="55" t="s">
        <v>962</v>
      </c>
      <c r="D129" s="57" t="s">
        <v>690</v>
      </c>
    </row>
    <row r="130" spans="1:4" ht="16.149999999999999" customHeight="1" x14ac:dyDescent="0.25">
      <c r="A130" s="53" t="s">
        <v>3884</v>
      </c>
      <c r="B130" s="54" t="s">
        <v>3885</v>
      </c>
      <c r="C130" s="55" t="s">
        <v>966</v>
      </c>
      <c r="D130" s="57" t="s">
        <v>690</v>
      </c>
    </row>
    <row r="131" spans="1:4" ht="16.149999999999999" customHeight="1" x14ac:dyDescent="0.25">
      <c r="A131" s="53" t="s">
        <v>2999</v>
      </c>
      <c r="B131" s="54" t="s">
        <v>3886</v>
      </c>
      <c r="C131" s="55" t="s">
        <v>753</v>
      </c>
      <c r="D131" s="57" t="s">
        <v>690</v>
      </c>
    </row>
    <row r="133" spans="1:4" x14ac:dyDescent="0.25">
      <c r="A133" s="4" t="s">
        <v>868</v>
      </c>
      <c r="B133" s="5"/>
      <c r="C133" s="4" t="s">
        <v>674</v>
      </c>
      <c r="D133" s="5"/>
    </row>
    <row r="134" spans="1:4" ht="16.149999999999999" customHeight="1" x14ac:dyDescent="0.25">
      <c r="A134" s="61" t="s">
        <v>3887</v>
      </c>
      <c r="B134" s="54" t="s">
        <v>3888</v>
      </c>
      <c r="C134" s="55" t="s">
        <v>689</v>
      </c>
      <c r="D134" s="62"/>
    </row>
    <row r="135" spans="1:4" ht="16.149999999999999" customHeight="1" x14ac:dyDescent="0.25">
      <c r="A135" s="61" t="s">
        <v>3889</v>
      </c>
      <c r="B135" s="54" t="s">
        <v>3890</v>
      </c>
      <c r="C135" s="55" t="s">
        <v>684</v>
      </c>
      <c r="D135" s="62"/>
    </row>
    <row r="136" spans="1:4" ht="16.149999999999999" customHeight="1" x14ac:dyDescent="0.25">
      <c r="A136" s="61" t="s">
        <v>3891</v>
      </c>
      <c r="B136" s="54" t="s">
        <v>3892</v>
      </c>
      <c r="C136" s="55" t="s">
        <v>689</v>
      </c>
      <c r="D136" s="62"/>
    </row>
    <row r="137" spans="1:4" ht="16.149999999999999" customHeight="1" x14ac:dyDescent="0.25">
      <c r="A137" s="61" t="s">
        <v>3893</v>
      </c>
      <c r="B137" s="54" t="s">
        <v>3894</v>
      </c>
      <c r="C137" s="55" t="s">
        <v>731</v>
      </c>
      <c r="D137" s="62"/>
    </row>
    <row r="138" spans="1:4" ht="16.149999999999999" customHeight="1" x14ac:dyDescent="0.25">
      <c r="A138" s="61" t="s">
        <v>3895</v>
      </c>
      <c r="B138" s="54" t="s">
        <v>3896</v>
      </c>
      <c r="C138" s="55" t="s">
        <v>684</v>
      </c>
      <c r="D138" s="62"/>
    </row>
    <row r="139" spans="1:4" ht="16.149999999999999" customHeight="1" x14ac:dyDescent="0.25">
      <c r="A139" s="61" t="s">
        <v>3897</v>
      </c>
      <c r="B139" s="54" t="s">
        <v>3898</v>
      </c>
      <c r="C139" s="55" t="s">
        <v>684</v>
      </c>
      <c r="D139" s="62"/>
    </row>
    <row r="140" spans="1:4" ht="16.149999999999999" customHeight="1" x14ac:dyDescent="0.25">
      <c r="A140" s="61" t="s">
        <v>3899</v>
      </c>
      <c r="B140" s="54" t="s">
        <v>3900</v>
      </c>
      <c r="C140" s="55" t="s">
        <v>841</v>
      </c>
      <c r="D140" s="62"/>
    </row>
    <row r="141" spans="1:4" ht="16.149999999999999" customHeight="1" x14ac:dyDescent="0.25">
      <c r="A141" s="61" t="s">
        <v>1376</v>
      </c>
      <c r="B141" s="54" t="s">
        <v>3901</v>
      </c>
      <c r="C141" s="55" t="s">
        <v>753</v>
      </c>
      <c r="D141" s="62"/>
    </row>
    <row r="142" spans="1:4" ht="16.149999999999999" customHeight="1" x14ac:dyDescent="0.25">
      <c r="A142" s="61" t="s">
        <v>1378</v>
      </c>
      <c r="B142" s="54" t="s">
        <v>3902</v>
      </c>
      <c r="C142" s="55" t="s">
        <v>877</v>
      </c>
      <c r="D142" s="62"/>
    </row>
    <row r="143" spans="1:4" ht="16.149999999999999" customHeight="1" x14ac:dyDescent="0.25">
      <c r="A143" s="61" t="s">
        <v>884</v>
      </c>
      <c r="B143" s="54" t="s">
        <v>3903</v>
      </c>
      <c r="C143" s="55" t="s">
        <v>678</v>
      </c>
      <c r="D143" s="62"/>
    </row>
    <row r="144" spans="1:4" ht="16.149999999999999" customHeight="1" x14ac:dyDescent="0.25">
      <c r="A144" s="61" t="s">
        <v>3904</v>
      </c>
      <c r="B144" s="54" t="s">
        <v>3905</v>
      </c>
      <c r="C144" s="55" t="s">
        <v>962</v>
      </c>
      <c r="D144" s="62"/>
    </row>
    <row r="145" spans="1:4" ht="16.149999999999999" customHeight="1" x14ac:dyDescent="0.25">
      <c r="A145" s="61" t="s">
        <v>3488</v>
      </c>
      <c r="B145" s="54" t="s">
        <v>3906</v>
      </c>
      <c r="C145" s="55" t="s">
        <v>737</v>
      </c>
      <c r="D145" s="62"/>
    </row>
    <row r="146" spans="1:4" ht="16.149999999999999" customHeight="1" x14ac:dyDescent="0.25">
      <c r="A146" s="61" t="s">
        <v>3318</v>
      </c>
      <c r="B146" s="54" t="s">
        <v>3907</v>
      </c>
      <c r="C146" s="55" t="s">
        <v>689</v>
      </c>
      <c r="D146" s="62"/>
    </row>
    <row r="147" spans="1:4" ht="16.149999999999999" customHeight="1" x14ac:dyDescent="0.25">
      <c r="A147" s="61" t="s">
        <v>3908</v>
      </c>
      <c r="B147" s="54" t="s">
        <v>3909</v>
      </c>
      <c r="C147" s="55" t="s">
        <v>962</v>
      </c>
      <c r="D147" s="62"/>
    </row>
    <row r="148" spans="1:4" ht="16.149999999999999" customHeight="1" x14ac:dyDescent="0.25">
      <c r="A148" s="61" t="s">
        <v>2530</v>
      </c>
      <c r="B148" s="54" t="s">
        <v>3910</v>
      </c>
      <c r="C148" s="55" t="s">
        <v>753</v>
      </c>
      <c r="D148" s="62"/>
    </row>
    <row r="149" spans="1:4" ht="16.149999999999999" customHeight="1" x14ac:dyDescent="0.25">
      <c r="A149" s="61" t="s">
        <v>3911</v>
      </c>
      <c r="B149" s="54" t="s">
        <v>3912</v>
      </c>
      <c r="C149" s="55" t="s">
        <v>678</v>
      </c>
      <c r="D149" s="62"/>
    </row>
    <row r="151" spans="1:4" x14ac:dyDescent="0.25">
      <c r="A151" s="4" t="s">
        <v>894</v>
      </c>
      <c r="B151" s="5"/>
      <c r="C151" s="5"/>
      <c r="D151" s="5"/>
    </row>
    <row r="152" spans="1:4" ht="29.45" customHeight="1" x14ac:dyDescent="0.25">
      <c r="A152" s="53" t="s">
        <v>3913</v>
      </c>
      <c r="B152" s="54" t="s">
        <v>3914</v>
      </c>
      <c r="C152" s="28" t="s">
        <v>897</v>
      </c>
      <c r="D152" s="62"/>
    </row>
    <row r="153" spans="1:4" ht="42.6" customHeight="1" x14ac:dyDescent="0.25">
      <c r="A153" s="53" t="s">
        <v>3915</v>
      </c>
      <c r="B153" s="54" t="s">
        <v>3916</v>
      </c>
      <c r="C153" s="28" t="s">
        <v>897</v>
      </c>
      <c r="D153" s="62"/>
    </row>
    <row r="154" spans="1:4" ht="42.6" customHeight="1" x14ac:dyDescent="0.25">
      <c r="A154" s="53" t="s">
        <v>3917</v>
      </c>
      <c r="B154" s="54" t="s">
        <v>3918</v>
      </c>
      <c r="C154" s="28" t="s">
        <v>897</v>
      </c>
      <c r="D154" s="62"/>
    </row>
    <row r="155" spans="1:4" ht="29.45" customHeight="1" x14ac:dyDescent="0.25">
      <c r="A155" s="53" t="s">
        <v>3919</v>
      </c>
      <c r="B155" s="54" t="s">
        <v>3920</v>
      </c>
      <c r="C155" s="28" t="s">
        <v>897</v>
      </c>
      <c r="D155" s="62"/>
    </row>
    <row r="156" spans="1:4" ht="29.45" customHeight="1" x14ac:dyDescent="0.25">
      <c r="A156" s="53" t="s">
        <v>3921</v>
      </c>
      <c r="B156" s="54" t="s">
        <v>3922</v>
      </c>
      <c r="C156" s="28" t="s">
        <v>897</v>
      </c>
      <c r="D156" s="62"/>
    </row>
    <row r="157" spans="1:4" ht="29.45" customHeight="1" x14ac:dyDescent="0.25">
      <c r="A157" s="53" t="s">
        <v>3923</v>
      </c>
      <c r="B157" s="54" t="s">
        <v>3924</v>
      </c>
      <c r="C157" s="28" t="s">
        <v>897</v>
      </c>
      <c r="D157" s="62"/>
    </row>
    <row r="158" spans="1:4" ht="29.45" customHeight="1" x14ac:dyDescent="0.25">
      <c r="A158" s="53" t="s">
        <v>3925</v>
      </c>
      <c r="B158" s="54" t="s">
        <v>3926</v>
      </c>
      <c r="C158" s="28" t="s">
        <v>897</v>
      </c>
      <c r="D158" s="62"/>
    </row>
    <row r="159" spans="1:4" ht="29.45" customHeight="1" x14ac:dyDescent="0.25">
      <c r="A159" s="53" t="s">
        <v>3927</v>
      </c>
      <c r="B159" s="54" t="s">
        <v>3928</v>
      </c>
      <c r="C159" s="28" t="s">
        <v>897</v>
      </c>
      <c r="D159" s="62"/>
    </row>
    <row r="160" spans="1:4" ht="29.45" customHeight="1" x14ac:dyDescent="0.25">
      <c r="A160" s="53" t="s">
        <v>3929</v>
      </c>
      <c r="B160" s="54" t="s">
        <v>3930</v>
      </c>
      <c r="C160" s="28" t="s">
        <v>897</v>
      </c>
      <c r="D160" s="62"/>
    </row>
    <row r="161" spans="1:4" ht="29.45" customHeight="1" x14ac:dyDescent="0.25">
      <c r="A161" s="53" t="s">
        <v>3931</v>
      </c>
      <c r="B161" s="54" t="s">
        <v>3932</v>
      </c>
      <c r="C161" s="28" t="s">
        <v>897</v>
      </c>
      <c r="D161" s="62"/>
    </row>
    <row r="162" spans="1:4" ht="29.45" customHeight="1" x14ac:dyDescent="0.25">
      <c r="A162" s="53" t="s">
        <v>3933</v>
      </c>
      <c r="B162" s="54" t="s">
        <v>3934</v>
      </c>
      <c r="C162" s="28" t="s">
        <v>897</v>
      </c>
      <c r="D162" s="62"/>
    </row>
    <row r="163" spans="1:4" ht="29.45" customHeight="1" x14ac:dyDescent="0.25">
      <c r="A163" s="53" t="s">
        <v>3351</v>
      </c>
      <c r="B163" s="54" t="s">
        <v>3935</v>
      </c>
      <c r="C163" s="62"/>
      <c r="D163" s="62"/>
    </row>
    <row r="164" spans="1:4" ht="29.45" customHeight="1" x14ac:dyDescent="0.25">
      <c r="A164" s="53" t="s">
        <v>3936</v>
      </c>
      <c r="B164" s="54" t="s">
        <v>3937</v>
      </c>
      <c r="C164" s="28" t="s">
        <v>897</v>
      </c>
      <c r="D164" s="62"/>
    </row>
    <row r="165" spans="1:4" ht="29.45" customHeight="1" x14ac:dyDescent="0.25">
      <c r="A165" s="53" t="s">
        <v>3938</v>
      </c>
      <c r="B165" s="54" t="s">
        <v>3939</v>
      </c>
      <c r="C165" s="28" t="s">
        <v>897</v>
      </c>
      <c r="D165" s="62"/>
    </row>
    <row r="167" spans="1:4" x14ac:dyDescent="0.25">
      <c r="A167" s="4" t="s">
        <v>926</v>
      </c>
      <c r="B167" s="5"/>
      <c r="C167" s="5"/>
      <c r="D167" s="5"/>
    </row>
    <row r="168" spans="1:4" ht="29.45" customHeight="1" x14ac:dyDescent="0.25">
      <c r="B168" s="52" t="s">
        <v>3940</v>
      </c>
    </row>
    <row r="169" spans="1:4" ht="16.149999999999999" customHeight="1" x14ac:dyDescent="0.25">
      <c r="B169" s="52" t="s">
        <v>3941</v>
      </c>
    </row>
    <row r="170" spans="1:4" ht="29.45" customHeight="1" x14ac:dyDescent="0.25">
      <c r="B170" s="52" t="s">
        <v>3942</v>
      </c>
    </row>
    <row r="171" spans="1:4" ht="16.149999999999999" customHeight="1" x14ac:dyDescent="0.25">
      <c r="B171" s="52" t="s">
        <v>3943</v>
      </c>
    </row>
    <row r="172" spans="1:4" ht="29.45" customHeight="1" x14ac:dyDescent="0.25">
      <c r="B172" s="52" t="s">
        <v>3944</v>
      </c>
    </row>
    <row r="173" spans="1:4" ht="29.45" customHeight="1" x14ac:dyDescent="0.25">
      <c r="B173" s="52" t="s">
        <v>3945</v>
      </c>
    </row>
    <row r="174" spans="1:4" ht="29.45" customHeight="1" x14ac:dyDescent="0.25">
      <c r="B174" s="52" t="s">
        <v>3946</v>
      </c>
    </row>
    <row r="175" spans="1:4" ht="29.45" customHeight="1" x14ac:dyDescent="0.25">
      <c r="B175" s="52" t="s">
        <v>3947</v>
      </c>
    </row>
    <row r="176" spans="1:4" ht="16.149999999999999" customHeight="1" x14ac:dyDescent="0.25">
      <c r="B176" s="52" t="s">
        <v>3948</v>
      </c>
    </row>
  </sheetData>
  <hyperlinks>
    <hyperlink ref="D1" location="'Monitor'!A28" display="&lt;&lt; Monitor" xr:uid="{00000000-0004-0000-1D00-000000000000}"/>
    <hyperlink ref="C152" r:id="rId1" xr:uid="{00000000-0004-0000-1D00-000001000000}"/>
    <hyperlink ref="C153" r:id="rId2" xr:uid="{00000000-0004-0000-1D00-000002000000}"/>
    <hyperlink ref="C154" r:id="rId3" xr:uid="{00000000-0004-0000-1D00-000003000000}"/>
    <hyperlink ref="C155" r:id="rId4" xr:uid="{00000000-0004-0000-1D00-000004000000}"/>
    <hyperlink ref="C156" r:id="rId5" xr:uid="{00000000-0004-0000-1D00-000005000000}"/>
    <hyperlink ref="C157" r:id="rId6" xr:uid="{00000000-0004-0000-1D00-000006000000}"/>
    <hyperlink ref="C158" r:id="rId7" xr:uid="{00000000-0004-0000-1D00-000007000000}"/>
    <hyperlink ref="C159" r:id="rId8" xr:uid="{00000000-0004-0000-1D00-000008000000}"/>
    <hyperlink ref="C160" r:id="rId9" xr:uid="{00000000-0004-0000-1D00-000009000000}"/>
    <hyperlink ref="C161" r:id="rId10" xr:uid="{00000000-0004-0000-1D00-00000A000000}"/>
    <hyperlink ref="C162" r:id="rId11" xr:uid="{00000000-0004-0000-1D00-00000B000000}"/>
    <hyperlink ref="C164" r:id="rId12" xr:uid="{00000000-0004-0000-1D00-00000C000000}"/>
    <hyperlink ref="C165" r:id="rId13" xr:uid="{00000000-0004-0000-1D00-00000D000000}"/>
  </hyperlinks>
  <pageMargins left="0.75" right="0.75" top="1" bottom="1" header="0.5" footer="0.5"/>
  <pageSetup fitToHeight="0"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55A11"/>
    <pageSetUpPr fitToPage="1"/>
  </sheetPr>
  <dimension ref="A1:D129"/>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237</v>
      </c>
      <c r="D1" s="41" t="s">
        <v>667</v>
      </c>
    </row>
    <row r="2" spans="1:4" x14ac:dyDescent="0.25">
      <c r="A2" s="2" t="s">
        <v>3949</v>
      </c>
    </row>
    <row r="4" spans="1:4" x14ac:dyDescent="0.25">
      <c r="A4" s="42" t="s">
        <v>9</v>
      </c>
      <c r="B4" s="43">
        <f>Monitor!H29</f>
        <v>93.622</v>
      </c>
    </row>
    <row r="5" spans="1:4" x14ac:dyDescent="0.25">
      <c r="A5" s="42" t="s">
        <v>11</v>
      </c>
      <c r="B5" s="44">
        <f>Monitor!J29</f>
        <v>9.2615243002615735</v>
      </c>
    </row>
    <row r="6" spans="1:4" x14ac:dyDescent="0.25">
      <c r="A6" s="42" t="s">
        <v>8</v>
      </c>
      <c r="B6" s="45">
        <f>Monitor!G29</f>
        <v>900</v>
      </c>
    </row>
    <row r="7" spans="1:4" x14ac:dyDescent="0.25">
      <c r="A7" s="42" t="s">
        <v>14</v>
      </c>
      <c r="B7" s="46">
        <f>Monitor!M29</f>
        <v>-57.402000000000001</v>
      </c>
    </row>
    <row r="8" spans="1:4" x14ac:dyDescent="0.25">
      <c r="A8" s="42" t="s">
        <v>15</v>
      </c>
      <c r="B8" s="47">
        <f>Monitor!N29</f>
        <v>-6.3780000000000003E-2</v>
      </c>
    </row>
    <row r="9" spans="1:4" x14ac:dyDescent="0.25">
      <c r="A9" s="42" t="s">
        <v>669</v>
      </c>
      <c r="B9" s="46">
        <f>Monitor!O29</f>
        <v>-1.088999999999956</v>
      </c>
    </row>
    <row r="10" spans="1:4" x14ac:dyDescent="0.25">
      <c r="A10" s="42" t="s">
        <v>20</v>
      </c>
      <c r="B10" s="48">
        <f>Monitor!S29</f>
        <v>46182</v>
      </c>
    </row>
    <row r="11" spans="1:4" x14ac:dyDescent="0.25">
      <c r="A11" s="42" t="s">
        <v>670</v>
      </c>
      <c r="B11" s="49">
        <f>Monitor!W29</f>
        <v>-589.69721990918458</v>
      </c>
    </row>
    <row r="12" spans="1:4" x14ac:dyDescent="0.25">
      <c r="A12" s="42" t="s">
        <v>671</v>
      </c>
      <c r="B12" s="50" t="str">
        <f>Monitor!F29</f>
        <v>Ba3/BB-/BB-</v>
      </c>
    </row>
    <row r="13" spans="1:4" x14ac:dyDescent="0.25">
      <c r="A13" s="42" t="s">
        <v>4</v>
      </c>
      <c r="B13" s="50" t="str">
        <f>Monitor!C29</f>
        <v>CoreWeave</v>
      </c>
    </row>
    <row r="15" spans="1:4" x14ac:dyDescent="0.25">
      <c r="A15" s="4" t="s">
        <v>672</v>
      </c>
      <c r="B15" s="5"/>
      <c r="C15" s="5"/>
      <c r="D15" s="5"/>
    </row>
    <row r="16" spans="1:4" ht="55.9" customHeight="1" x14ac:dyDescent="0.25">
      <c r="A16" s="51" t="s">
        <v>192</v>
      </c>
      <c r="B16" s="52" t="s">
        <v>238</v>
      </c>
    </row>
    <row r="18" spans="1:4" x14ac:dyDescent="0.25">
      <c r="A18" s="4" t="s">
        <v>673</v>
      </c>
      <c r="B18" s="5"/>
      <c r="C18" s="4" t="s">
        <v>674</v>
      </c>
      <c r="D18" s="4" t="s">
        <v>675</v>
      </c>
    </row>
    <row r="19" spans="1:4" ht="16.149999999999999" customHeight="1" x14ac:dyDescent="0.25">
      <c r="A19" s="53" t="s">
        <v>676</v>
      </c>
      <c r="B19" s="54" t="s">
        <v>3950</v>
      </c>
      <c r="C19" s="55" t="s">
        <v>3951</v>
      </c>
      <c r="D19" s="59" t="s">
        <v>748</v>
      </c>
    </row>
    <row r="20" spans="1:4" ht="16.149999999999999" customHeight="1" x14ac:dyDescent="0.25">
      <c r="A20" s="53" t="s">
        <v>2860</v>
      </c>
      <c r="B20" s="54" t="s">
        <v>3952</v>
      </c>
      <c r="C20" s="55" t="s">
        <v>3953</v>
      </c>
      <c r="D20" s="59" t="s">
        <v>748</v>
      </c>
    </row>
    <row r="21" spans="1:4" ht="29.45" customHeight="1" x14ac:dyDescent="0.25">
      <c r="A21" s="53" t="s">
        <v>3954</v>
      </c>
      <c r="B21" s="54" t="s">
        <v>3955</v>
      </c>
      <c r="C21" s="55" t="s">
        <v>3956</v>
      </c>
      <c r="D21" s="59" t="s">
        <v>748</v>
      </c>
    </row>
    <row r="22" spans="1:4" ht="29.45" customHeight="1" x14ac:dyDescent="0.25">
      <c r="A22" s="53" t="s">
        <v>3957</v>
      </c>
      <c r="B22" s="54" t="s">
        <v>3958</v>
      </c>
      <c r="C22" s="55" t="s">
        <v>3959</v>
      </c>
      <c r="D22" s="59" t="s">
        <v>748</v>
      </c>
    </row>
    <row r="23" spans="1:4" ht="16.149999999999999" customHeight="1" x14ac:dyDescent="0.25">
      <c r="A23" s="53" t="s">
        <v>3960</v>
      </c>
      <c r="B23" s="54" t="s">
        <v>3961</v>
      </c>
      <c r="C23" s="55" t="s">
        <v>3962</v>
      </c>
      <c r="D23" s="59" t="s">
        <v>748</v>
      </c>
    </row>
    <row r="24" spans="1:4" ht="16.149999999999999" customHeight="1" x14ac:dyDescent="0.25">
      <c r="A24" s="53" t="s">
        <v>1421</v>
      </c>
      <c r="B24" s="54" t="s">
        <v>3963</v>
      </c>
      <c r="C24" s="55" t="s">
        <v>3962</v>
      </c>
      <c r="D24" s="58" t="s">
        <v>698</v>
      </c>
    </row>
    <row r="25" spans="1:4" ht="16.149999999999999" customHeight="1" x14ac:dyDescent="0.25">
      <c r="A25" s="53" t="s">
        <v>695</v>
      </c>
      <c r="B25" s="54" t="s">
        <v>3964</v>
      </c>
      <c r="C25" s="55" t="s">
        <v>1131</v>
      </c>
      <c r="D25" s="58" t="s">
        <v>698</v>
      </c>
    </row>
    <row r="26" spans="1:4" ht="29.45" customHeight="1" x14ac:dyDescent="0.25">
      <c r="A26" s="53" t="s">
        <v>1423</v>
      </c>
      <c r="B26" s="54" t="s">
        <v>3965</v>
      </c>
      <c r="C26" s="55" t="s">
        <v>3966</v>
      </c>
      <c r="D26" s="59" t="s">
        <v>748</v>
      </c>
    </row>
    <row r="27" spans="1:4" ht="16.149999999999999" customHeight="1" x14ac:dyDescent="0.25">
      <c r="A27" s="53" t="s">
        <v>3967</v>
      </c>
      <c r="B27" s="54" t="s">
        <v>3968</v>
      </c>
      <c r="C27" s="55" t="s">
        <v>3959</v>
      </c>
      <c r="D27" s="59" t="s">
        <v>748</v>
      </c>
    </row>
    <row r="28" spans="1:4" ht="29.45" customHeight="1" x14ac:dyDescent="0.25">
      <c r="A28" s="53" t="s">
        <v>3210</v>
      </c>
      <c r="B28" s="54" t="s">
        <v>3969</v>
      </c>
      <c r="C28" s="55" t="s">
        <v>678</v>
      </c>
      <c r="D28" s="59" t="s">
        <v>748</v>
      </c>
    </row>
    <row r="30" spans="1:4" x14ac:dyDescent="0.25">
      <c r="A30" s="4" t="s">
        <v>717</v>
      </c>
      <c r="B30" s="5"/>
      <c r="C30" s="4" t="s">
        <v>674</v>
      </c>
      <c r="D30" s="4" t="s">
        <v>675</v>
      </c>
    </row>
    <row r="31" spans="1:4" ht="29.45" customHeight="1" x14ac:dyDescent="0.25">
      <c r="A31" s="53" t="s">
        <v>3970</v>
      </c>
      <c r="B31" s="54" t="s">
        <v>3971</v>
      </c>
      <c r="C31" s="55" t="s">
        <v>684</v>
      </c>
      <c r="D31" s="59" t="s">
        <v>748</v>
      </c>
    </row>
    <row r="32" spans="1:4" ht="29.45" customHeight="1" x14ac:dyDescent="0.25">
      <c r="A32" s="53" t="s">
        <v>3972</v>
      </c>
      <c r="B32" s="54" t="s">
        <v>3973</v>
      </c>
      <c r="C32" s="55" t="s">
        <v>678</v>
      </c>
      <c r="D32" s="59" t="s">
        <v>748</v>
      </c>
    </row>
    <row r="33" spans="1:4" ht="29.45" customHeight="1" x14ac:dyDescent="0.25">
      <c r="A33" s="53" t="s">
        <v>3974</v>
      </c>
      <c r="B33" s="54" t="s">
        <v>3975</v>
      </c>
      <c r="C33" s="55" t="s">
        <v>689</v>
      </c>
      <c r="D33" s="59" t="s">
        <v>748</v>
      </c>
    </row>
    <row r="35" spans="1:4" x14ac:dyDescent="0.25">
      <c r="A35" s="4" t="s">
        <v>728</v>
      </c>
      <c r="B35" s="5"/>
      <c r="C35" s="4" t="s">
        <v>674</v>
      </c>
      <c r="D35" s="4" t="s">
        <v>675</v>
      </c>
    </row>
    <row r="36" spans="1:4" ht="29.45" customHeight="1" x14ac:dyDescent="0.25">
      <c r="A36" s="53" t="s">
        <v>3976</v>
      </c>
      <c r="B36" s="54" t="s">
        <v>3977</v>
      </c>
      <c r="C36" s="55" t="s">
        <v>3978</v>
      </c>
      <c r="D36" s="59" t="s">
        <v>748</v>
      </c>
    </row>
    <row r="37" spans="1:4" ht="29.45" customHeight="1" x14ac:dyDescent="0.25">
      <c r="A37" s="53" t="s">
        <v>3979</v>
      </c>
      <c r="B37" s="54" t="s">
        <v>3980</v>
      </c>
      <c r="C37" s="55" t="s">
        <v>3981</v>
      </c>
      <c r="D37" s="59" t="s">
        <v>748</v>
      </c>
    </row>
    <row r="38" spans="1:4" ht="16.149999999999999" customHeight="1" x14ac:dyDescent="0.25">
      <c r="A38" s="53" t="s">
        <v>3982</v>
      </c>
      <c r="B38" s="54" t="s">
        <v>3983</v>
      </c>
      <c r="C38" s="55" t="s">
        <v>689</v>
      </c>
      <c r="D38" s="59" t="s">
        <v>748</v>
      </c>
    </row>
    <row r="40" spans="1:4" x14ac:dyDescent="0.25">
      <c r="A40" s="4" t="s">
        <v>740</v>
      </c>
      <c r="B40" s="5"/>
      <c r="C40" s="4" t="s">
        <v>674</v>
      </c>
      <c r="D40" s="4" t="s">
        <v>675</v>
      </c>
    </row>
    <row r="41" spans="1:4" ht="29.45" customHeight="1" x14ac:dyDescent="0.25">
      <c r="A41" s="53" t="s">
        <v>4</v>
      </c>
      <c r="B41" s="54" t="s">
        <v>3984</v>
      </c>
      <c r="C41" s="55" t="s">
        <v>3985</v>
      </c>
      <c r="D41" s="59" t="s">
        <v>748</v>
      </c>
    </row>
    <row r="42" spans="1:4" ht="29.45" customHeight="1" x14ac:dyDescent="0.25">
      <c r="A42" s="53" t="s">
        <v>3784</v>
      </c>
      <c r="B42" s="54" t="s">
        <v>3986</v>
      </c>
      <c r="C42" s="55" t="s">
        <v>3987</v>
      </c>
      <c r="D42" s="59" t="s">
        <v>748</v>
      </c>
    </row>
    <row r="43" spans="1:4" ht="16.149999999999999" customHeight="1" x14ac:dyDescent="0.25">
      <c r="A43" s="53" t="s">
        <v>259</v>
      </c>
      <c r="B43" s="54" t="s">
        <v>3988</v>
      </c>
      <c r="C43" s="55" t="s">
        <v>3987</v>
      </c>
      <c r="D43" s="59" t="s">
        <v>748</v>
      </c>
    </row>
    <row r="44" spans="1:4" ht="16.149999999999999" customHeight="1" x14ac:dyDescent="0.25">
      <c r="A44" s="53" t="s">
        <v>3989</v>
      </c>
      <c r="B44" s="54" t="s">
        <v>3990</v>
      </c>
      <c r="C44" s="55" t="s">
        <v>3987</v>
      </c>
      <c r="D44" s="59" t="s">
        <v>748</v>
      </c>
    </row>
    <row r="45" spans="1:4" ht="29.45" customHeight="1" x14ac:dyDescent="0.25">
      <c r="A45" s="53" t="s">
        <v>3991</v>
      </c>
      <c r="B45" s="54" t="s">
        <v>3992</v>
      </c>
      <c r="C45" s="55" t="s">
        <v>3987</v>
      </c>
      <c r="D45" s="60" t="s">
        <v>803</v>
      </c>
    </row>
    <row r="46" spans="1:4" ht="29.45" customHeight="1" x14ac:dyDescent="0.25">
      <c r="A46" s="53" t="s">
        <v>1037</v>
      </c>
      <c r="B46" s="54" t="s">
        <v>3993</v>
      </c>
      <c r="C46" s="55" t="s">
        <v>3994</v>
      </c>
      <c r="D46" s="59" t="s">
        <v>748</v>
      </c>
    </row>
    <row r="47" spans="1:4" ht="16.149999999999999" customHeight="1" x14ac:dyDescent="0.25">
      <c r="A47" s="53" t="s">
        <v>3995</v>
      </c>
      <c r="B47" s="54" t="s">
        <v>3996</v>
      </c>
      <c r="C47" s="55" t="s">
        <v>684</v>
      </c>
      <c r="D47" s="59" t="s">
        <v>748</v>
      </c>
    </row>
    <row r="49" spans="1:4" x14ac:dyDescent="0.25">
      <c r="A49" s="4" t="s">
        <v>762</v>
      </c>
      <c r="B49" s="5"/>
      <c r="C49" s="4" t="s">
        <v>674</v>
      </c>
      <c r="D49" s="4" t="s">
        <v>675</v>
      </c>
    </row>
    <row r="50" spans="1:4" ht="29.45" customHeight="1" x14ac:dyDescent="0.25">
      <c r="A50" s="53" t="s">
        <v>984</v>
      </c>
      <c r="B50" s="54" t="s">
        <v>3997</v>
      </c>
      <c r="C50" s="55" t="s">
        <v>3073</v>
      </c>
      <c r="D50" s="59" t="s">
        <v>748</v>
      </c>
    </row>
    <row r="51" spans="1:4" ht="16.149999999999999" customHeight="1" x14ac:dyDescent="0.25">
      <c r="A51" s="53" t="s">
        <v>986</v>
      </c>
      <c r="B51" s="54" t="s">
        <v>3998</v>
      </c>
      <c r="C51" s="55" t="s">
        <v>3073</v>
      </c>
      <c r="D51" s="59" t="s">
        <v>748</v>
      </c>
    </row>
    <row r="52" spans="1:4" ht="16.149999999999999" customHeight="1" x14ac:dyDescent="0.25">
      <c r="A52" s="53" t="s">
        <v>988</v>
      </c>
      <c r="B52" s="54" t="s">
        <v>3999</v>
      </c>
      <c r="C52" s="55" t="s">
        <v>1131</v>
      </c>
      <c r="D52" s="58" t="s">
        <v>698</v>
      </c>
    </row>
    <row r="53" spans="1:4" ht="16.149999999999999" customHeight="1" x14ac:dyDescent="0.25">
      <c r="A53" s="53" t="s">
        <v>1166</v>
      </c>
      <c r="B53" s="54" t="s">
        <v>4000</v>
      </c>
      <c r="C53" s="55" t="s">
        <v>3951</v>
      </c>
      <c r="D53" s="59" t="s">
        <v>748</v>
      </c>
    </row>
    <row r="54" spans="1:4" ht="16.149999999999999" customHeight="1" x14ac:dyDescent="0.25">
      <c r="A54" s="53" t="s">
        <v>4001</v>
      </c>
      <c r="B54" s="54" t="s">
        <v>4002</v>
      </c>
      <c r="C54" s="55" t="s">
        <v>753</v>
      </c>
      <c r="D54" s="59" t="s">
        <v>748</v>
      </c>
    </row>
    <row r="56" spans="1:4" x14ac:dyDescent="0.25">
      <c r="A56" s="4" t="s">
        <v>773</v>
      </c>
      <c r="B56" s="5"/>
      <c r="C56" s="4" t="s">
        <v>674</v>
      </c>
      <c r="D56" s="4" t="s">
        <v>675</v>
      </c>
    </row>
    <row r="57" spans="1:4" ht="16.149999999999999" customHeight="1" x14ac:dyDescent="0.25">
      <c r="A57" s="53" t="s">
        <v>4003</v>
      </c>
      <c r="B57" s="54" t="s">
        <v>4004</v>
      </c>
      <c r="C57" s="55" t="s">
        <v>4005</v>
      </c>
      <c r="D57" s="59" t="s">
        <v>748</v>
      </c>
    </row>
    <row r="58" spans="1:4" ht="29.45" customHeight="1" x14ac:dyDescent="0.25">
      <c r="A58" s="53" t="s">
        <v>4006</v>
      </c>
      <c r="B58" s="54" t="s">
        <v>4007</v>
      </c>
      <c r="C58" s="55" t="s">
        <v>747</v>
      </c>
      <c r="D58" s="59" t="s">
        <v>748</v>
      </c>
    </row>
    <row r="59" spans="1:4" ht="16.149999999999999" customHeight="1" x14ac:dyDescent="0.25">
      <c r="A59" s="53" t="s">
        <v>4008</v>
      </c>
      <c r="B59" s="54" t="s">
        <v>4009</v>
      </c>
      <c r="C59" s="55" t="s">
        <v>753</v>
      </c>
      <c r="D59" s="59" t="s">
        <v>748</v>
      </c>
    </row>
    <row r="61" spans="1:4" x14ac:dyDescent="0.25">
      <c r="A61" s="4" t="s">
        <v>781</v>
      </c>
      <c r="B61" s="5"/>
      <c r="C61" s="4" t="s">
        <v>674</v>
      </c>
      <c r="D61" s="4" t="s">
        <v>675</v>
      </c>
    </row>
    <row r="62" spans="1:4" ht="16.149999999999999" customHeight="1" x14ac:dyDescent="0.25">
      <c r="A62" s="53" t="s">
        <v>998</v>
      </c>
      <c r="B62" s="54" t="s">
        <v>4010</v>
      </c>
      <c r="C62" s="55" t="s">
        <v>731</v>
      </c>
      <c r="D62" s="59" t="s">
        <v>748</v>
      </c>
    </row>
    <row r="63" spans="1:4" ht="29.45" customHeight="1" x14ac:dyDescent="0.25">
      <c r="A63" s="53" t="s">
        <v>4011</v>
      </c>
      <c r="B63" s="54" t="s">
        <v>4012</v>
      </c>
      <c r="C63" s="55" t="s">
        <v>4013</v>
      </c>
      <c r="D63" s="59" t="s">
        <v>748</v>
      </c>
    </row>
    <row r="64" spans="1:4" ht="16.149999999999999" customHeight="1" x14ac:dyDescent="0.25">
      <c r="A64" s="53" t="s">
        <v>262</v>
      </c>
      <c r="B64" s="54" t="s">
        <v>4014</v>
      </c>
      <c r="C64" s="55" t="s">
        <v>1131</v>
      </c>
      <c r="D64" s="58" t="s">
        <v>698</v>
      </c>
    </row>
    <row r="66" spans="1:4" x14ac:dyDescent="0.25">
      <c r="A66" s="4" t="s">
        <v>792</v>
      </c>
      <c r="B66" s="5"/>
      <c r="C66" s="4" t="s">
        <v>674</v>
      </c>
      <c r="D66" s="4" t="s">
        <v>675</v>
      </c>
    </row>
    <row r="67" spans="1:4" ht="16.149999999999999" customHeight="1" x14ac:dyDescent="0.25">
      <c r="A67" s="53" t="s">
        <v>793</v>
      </c>
      <c r="B67" s="54" t="s">
        <v>4015</v>
      </c>
      <c r="C67" s="55" t="s">
        <v>3059</v>
      </c>
      <c r="D67" s="58" t="s">
        <v>698</v>
      </c>
    </row>
    <row r="68" spans="1:4" ht="16.149999999999999" customHeight="1" x14ac:dyDescent="0.25">
      <c r="A68" s="53" t="s">
        <v>801</v>
      </c>
      <c r="B68" s="54" t="s">
        <v>4016</v>
      </c>
      <c r="C68" s="55" t="s">
        <v>753</v>
      </c>
      <c r="D68" s="59" t="s">
        <v>748</v>
      </c>
    </row>
    <row r="69" spans="1:4" ht="16.149999999999999" customHeight="1" x14ac:dyDescent="0.25">
      <c r="A69" s="53" t="s">
        <v>4017</v>
      </c>
      <c r="B69" s="54" t="s">
        <v>4018</v>
      </c>
      <c r="C69" s="55" t="s">
        <v>678</v>
      </c>
      <c r="D69" s="59" t="s">
        <v>748</v>
      </c>
    </row>
    <row r="71" spans="1:4" x14ac:dyDescent="0.25">
      <c r="A71" s="4" t="s">
        <v>804</v>
      </c>
      <c r="B71" s="5"/>
      <c r="C71" s="4" t="s">
        <v>674</v>
      </c>
      <c r="D71" s="4" t="s">
        <v>675</v>
      </c>
    </row>
    <row r="72" spans="1:4" ht="29.45" customHeight="1" x14ac:dyDescent="0.25">
      <c r="A72" s="53" t="s">
        <v>4019</v>
      </c>
      <c r="B72" s="54" t="s">
        <v>4020</v>
      </c>
      <c r="C72" s="55" t="s">
        <v>753</v>
      </c>
      <c r="D72" s="59" t="s">
        <v>748</v>
      </c>
    </row>
    <row r="73" spans="1:4" ht="16.149999999999999" customHeight="1" x14ac:dyDescent="0.25">
      <c r="A73" s="53" t="s">
        <v>805</v>
      </c>
      <c r="B73" s="54" t="s">
        <v>4021</v>
      </c>
      <c r="C73" s="55" t="s">
        <v>678</v>
      </c>
      <c r="D73" s="59" t="s">
        <v>748</v>
      </c>
    </row>
    <row r="75" spans="1:4" x14ac:dyDescent="0.25">
      <c r="A75" s="4" t="s">
        <v>813</v>
      </c>
      <c r="B75" s="5"/>
      <c r="C75" s="4" t="s">
        <v>674</v>
      </c>
      <c r="D75" s="4" t="s">
        <v>675</v>
      </c>
    </row>
    <row r="76" spans="1:4" ht="16.149999999999999" customHeight="1" x14ac:dyDescent="0.25">
      <c r="A76" s="53" t="s">
        <v>3270</v>
      </c>
      <c r="B76" s="54" t="s">
        <v>4022</v>
      </c>
      <c r="C76" s="55" t="s">
        <v>678</v>
      </c>
      <c r="D76" s="59" t="s">
        <v>748</v>
      </c>
    </row>
    <row r="78" spans="1:4" x14ac:dyDescent="0.25">
      <c r="A78" s="4" t="s">
        <v>826</v>
      </c>
      <c r="B78" s="5"/>
      <c r="C78" s="4" t="s">
        <v>674</v>
      </c>
      <c r="D78" s="4" t="s">
        <v>675</v>
      </c>
    </row>
    <row r="79" spans="1:4" ht="16.149999999999999" customHeight="1" x14ac:dyDescent="0.25">
      <c r="A79" s="53" t="s">
        <v>827</v>
      </c>
      <c r="B79" s="54" t="s">
        <v>4023</v>
      </c>
      <c r="C79" s="55" t="s">
        <v>4024</v>
      </c>
      <c r="D79" s="63" t="s">
        <v>1408</v>
      </c>
    </row>
    <row r="80" spans="1:4" ht="29.45" customHeight="1" x14ac:dyDescent="0.25">
      <c r="A80" s="53" t="s">
        <v>1029</v>
      </c>
      <c r="B80" s="54" t="s">
        <v>4025</v>
      </c>
      <c r="C80" s="55" t="s">
        <v>4026</v>
      </c>
      <c r="D80" s="59" t="s">
        <v>748</v>
      </c>
    </row>
    <row r="81" spans="1:4" ht="16.149999999999999" customHeight="1" x14ac:dyDescent="0.25">
      <c r="A81" s="53" t="s">
        <v>1031</v>
      </c>
      <c r="B81" s="54" t="s">
        <v>4027</v>
      </c>
      <c r="C81" s="55" t="s">
        <v>877</v>
      </c>
      <c r="D81" s="59" t="s">
        <v>748</v>
      </c>
    </row>
    <row r="83" spans="1:4" x14ac:dyDescent="0.25">
      <c r="A83" s="4" t="s">
        <v>833</v>
      </c>
      <c r="B83" s="5"/>
      <c r="C83" s="4" t="s">
        <v>674</v>
      </c>
      <c r="D83" s="4" t="s">
        <v>675</v>
      </c>
    </row>
    <row r="84" spans="1:4" ht="29.45" customHeight="1" x14ac:dyDescent="0.25">
      <c r="A84" s="53" t="s">
        <v>834</v>
      </c>
      <c r="B84" s="54" t="s">
        <v>4028</v>
      </c>
      <c r="C84" s="55" t="s">
        <v>3951</v>
      </c>
      <c r="D84" s="59" t="s">
        <v>748</v>
      </c>
    </row>
    <row r="86" spans="1:4" x14ac:dyDescent="0.25">
      <c r="A86" s="4" t="s">
        <v>836</v>
      </c>
      <c r="B86" s="5"/>
      <c r="C86" s="4" t="s">
        <v>674</v>
      </c>
      <c r="D86" s="4" t="s">
        <v>675</v>
      </c>
    </row>
    <row r="87" spans="1:4" ht="16.149999999999999" customHeight="1" x14ac:dyDescent="0.25">
      <c r="A87" s="53" t="s">
        <v>2973</v>
      </c>
      <c r="B87" s="54" t="s">
        <v>4029</v>
      </c>
      <c r="C87" s="55" t="s">
        <v>3994</v>
      </c>
      <c r="D87" s="59" t="s">
        <v>748</v>
      </c>
    </row>
    <row r="88" spans="1:4" ht="16.149999999999999" customHeight="1" x14ac:dyDescent="0.25">
      <c r="A88" s="53" t="s">
        <v>1187</v>
      </c>
      <c r="B88" s="54" t="s">
        <v>4030</v>
      </c>
      <c r="C88" s="55" t="s">
        <v>753</v>
      </c>
      <c r="D88" s="59" t="s">
        <v>748</v>
      </c>
    </row>
    <row r="89" spans="1:4" ht="16.149999999999999" customHeight="1" x14ac:dyDescent="0.25">
      <c r="A89" s="53" t="s">
        <v>4031</v>
      </c>
      <c r="B89" s="54" t="s">
        <v>4032</v>
      </c>
      <c r="C89" s="55" t="s">
        <v>678</v>
      </c>
      <c r="D89" s="59" t="s">
        <v>748</v>
      </c>
    </row>
    <row r="90" spans="1:4" ht="16.149999999999999" customHeight="1" x14ac:dyDescent="0.25">
      <c r="A90" s="53" t="s">
        <v>4033</v>
      </c>
      <c r="B90" s="54" t="s">
        <v>4034</v>
      </c>
      <c r="C90" s="55" t="s">
        <v>962</v>
      </c>
      <c r="D90" s="59" t="s">
        <v>748</v>
      </c>
    </row>
    <row r="92" spans="1:4" x14ac:dyDescent="0.25">
      <c r="A92" s="4" t="s">
        <v>855</v>
      </c>
      <c r="B92" s="5"/>
      <c r="C92" s="4" t="s">
        <v>674</v>
      </c>
      <c r="D92" s="4" t="s">
        <v>675</v>
      </c>
    </row>
    <row r="93" spans="1:4" ht="29.45" customHeight="1" x14ac:dyDescent="0.25">
      <c r="A93" s="53" t="s">
        <v>4035</v>
      </c>
      <c r="B93" s="54" t="s">
        <v>4036</v>
      </c>
      <c r="C93" s="55" t="s">
        <v>1131</v>
      </c>
      <c r="D93" s="58" t="s">
        <v>698</v>
      </c>
    </row>
    <row r="95" spans="1:4" x14ac:dyDescent="0.25">
      <c r="A95" s="4" t="s">
        <v>868</v>
      </c>
      <c r="B95" s="5"/>
      <c r="C95" s="4" t="s">
        <v>674</v>
      </c>
      <c r="D95" s="5"/>
    </row>
    <row r="96" spans="1:4" ht="16.149999999999999" customHeight="1" x14ac:dyDescent="0.25">
      <c r="A96" s="61" t="s">
        <v>4037</v>
      </c>
      <c r="B96" s="54" t="s">
        <v>4038</v>
      </c>
      <c r="C96" s="55" t="s">
        <v>776</v>
      </c>
      <c r="D96" s="62"/>
    </row>
    <row r="97" spans="1:4" ht="16.149999999999999" customHeight="1" x14ac:dyDescent="0.25">
      <c r="A97" s="61" t="s">
        <v>4039</v>
      </c>
      <c r="B97" s="54" t="s">
        <v>4040</v>
      </c>
      <c r="C97" s="55" t="s">
        <v>731</v>
      </c>
      <c r="D97" s="62"/>
    </row>
    <row r="98" spans="1:4" ht="16.149999999999999" customHeight="1" x14ac:dyDescent="0.25">
      <c r="A98" s="61" t="s">
        <v>4041</v>
      </c>
      <c r="B98" s="54" t="s">
        <v>4042</v>
      </c>
      <c r="C98" s="55" t="s">
        <v>747</v>
      </c>
      <c r="D98" s="62"/>
    </row>
    <row r="99" spans="1:4" ht="16.149999999999999" customHeight="1" x14ac:dyDescent="0.25">
      <c r="A99" s="61" t="s">
        <v>1565</v>
      </c>
      <c r="B99" s="54" t="s">
        <v>4043</v>
      </c>
      <c r="C99" s="55" t="s">
        <v>684</v>
      </c>
      <c r="D99" s="62"/>
    </row>
    <row r="100" spans="1:4" ht="16.149999999999999" customHeight="1" x14ac:dyDescent="0.25">
      <c r="A100" s="61" t="s">
        <v>4044</v>
      </c>
      <c r="B100" s="54" t="s">
        <v>4045</v>
      </c>
      <c r="C100" s="55" t="s">
        <v>877</v>
      </c>
      <c r="D100" s="62"/>
    </row>
    <row r="101" spans="1:4" ht="16.149999999999999" customHeight="1" x14ac:dyDescent="0.25">
      <c r="A101" s="61" t="s">
        <v>3897</v>
      </c>
      <c r="B101" s="54" t="s">
        <v>4046</v>
      </c>
      <c r="C101" s="55" t="s">
        <v>753</v>
      </c>
      <c r="D101" s="62"/>
    </row>
    <row r="102" spans="1:4" ht="16.149999999999999" customHeight="1" x14ac:dyDescent="0.25">
      <c r="A102" s="61" t="s">
        <v>2056</v>
      </c>
      <c r="B102" s="54" t="s">
        <v>4047</v>
      </c>
      <c r="C102" s="55" t="s">
        <v>841</v>
      </c>
      <c r="D102" s="62"/>
    </row>
    <row r="103" spans="1:4" ht="16.149999999999999" customHeight="1" x14ac:dyDescent="0.25">
      <c r="A103" s="61" t="s">
        <v>878</v>
      </c>
      <c r="B103" s="54" t="s">
        <v>4048</v>
      </c>
      <c r="C103" s="55" t="s">
        <v>678</v>
      </c>
      <c r="D103" s="62"/>
    </row>
    <row r="104" spans="1:4" ht="16.149999999999999" customHeight="1" x14ac:dyDescent="0.25">
      <c r="A104" s="61" t="s">
        <v>3166</v>
      </c>
      <c r="B104" s="54" t="s">
        <v>4049</v>
      </c>
      <c r="C104" s="55" t="s">
        <v>962</v>
      </c>
      <c r="D104" s="62"/>
    </row>
    <row r="105" spans="1:4" ht="16.149999999999999" customHeight="1" x14ac:dyDescent="0.25">
      <c r="A105" s="61" t="s">
        <v>2233</v>
      </c>
      <c r="B105" s="54" t="s">
        <v>4050</v>
      </c>
      <c r="C105" s="55" t="s">
        <v>1131</v>
      </c>
      <c r="D105" s="62"/>
    </row>
    <row r="107" spans="1:4" x14ac:dyDescent="0.25">
      <c r="A107" s="4" t="s">
        <v>894</v>
      </c>
      <c r="B107" s="5"/>
      <c r="C107" s="5"/>
      <c r="D107" s="5"/>
    </row>
    <row r="108" spans="1:4" ht="29.45" customHeight="1" x14ac:dyDescent="0.25">
      <c r="A108" s="53" t="s">
        <v>1250</v>
      </c>
      <c r="B108" s="54" t="s">
        <v>3169</v>
      </c>
      <c r="C108" s="62"/>
      <c r="D108" s="62"/>
    </row>
    <row r="109" spans="1:4" ht="29.45" customHeight="1" x14ac:dyDescent="0.25">
      <c r="A109" s="53" t="s">
        <v>4051</v>
      </c>
      <c r="B109" s="54" t="s">
        <v>4052</v>
      </c>
      <c r="C109" s="28" t="s">
        <v>897</v>
      </c>
      <c r="D109" s="62"/>
    </row>
    <row r="110" spans="1:4" ht="42.6" customHeight="1" x14ac:dyDescent="0.25">
      <c r="A110" s="53" t="s">
        <v>4053</v>
      </c>
      <c r="B110" s="54" t="s">
        <v>4054</v>
      </c>
      <c r="C110" s="28" t="s">
        <v>897</v>
      </c>
      <c r="D110" s="62"/>
    </row>
    <row r="111" spans="1:4" ht="29.45" customHeight="1" x14ac:dyDescent="0.25">
      <c r="A111" s="53" t="s">
        <v>4055</v>
      </c>
      <c r="B111" s="54" t="s">
        <v>4056</v>
      </c>
      <c r="C111" s="28" t="s">
        <v>897</v>
      </c>
      <c r="D111" s="62"/>
    </row>
    <row r="112" spans="1:4" ht="29.45" customHeight="1" x14ac:dyDescent="0.25">
      <c r="A112" s="53" t="s">
        <v>4057</v>
      </c>
      <c r="B112" s="54" t="s">
        <v>4058</v>
      </c>
      <c r="C112" s="28" t="s">
        <v>897</v>
      </c>
      <c r="D112" s="62"/>
    </row>
    <row r="113" spans="1:4" ht="29.45" customHeight="1" x14ac:dyDescent="0.25">
      <c r="A113" s="53" t="s">
        <v>4059</v>
      </c>
      <c r="B113" s="54" t="s">
        <v>4060</v>
      </c>
      <c r="C113" s="28" t="s">
        <v>897</v>
      </c>
      <c r="D113" s="62"/>
    </row>
    <row r="114" spans="1:4" ht="42.6" customHeight="1" x14ac:dyDescent="0.25">
      <c r="A114" s="53" t="s">
        <v>4061</v>
      </c>
      <c r="B114" s="54" t="s">
        <v>4062</v>
      </c>
      <c r="C114" s="28" t="s">
        <v>897</v>
      </c>
      <c r="D114" s="62"/>
    </row>
    <row r="115" spans="1:4" ht="29.45" customHeight="1" x14ac:dyDescent="0.25">
      <c r="A115" s="53" t="s">
        <v>4063</v>
      </c>
      <c r="B115" s="54" t="s">
        <v>4064</v>
      </c>
      <c r="C115" s="28" t="s">
        <v>897</v>
      </c>
      <c r="D115" s="62"/>
    </row>
    <row r="116" spans="1:4" ht="29.45" customHeight="1" x14ac:dyDescent="0.25">
      <c r="A116" s="53" t="s">
        <v>4065</v>
      </c>
      <c r="B116" s="54" t="s">
        <v>4066</v>
      </c>
      <c r="C116" s="28" t="s">
        <v>897</v>
      </c>
      <c r="D116" s="62"/>
    </row>
    <row r="117" spans="1:4" ht="29.45" customHeight="1" x14ac:dyDescent="0.25">
      <c r="A117" s="53" t="s">
        <v>4067</v>
      </c>
      <c r="B117" s="54" t="s">
        <v>4068</v>
      </c>
      <c r="C117" s="28" t="s">
        <v>897</v>
      </c>
      <c r="D117" s="62"/>
    </row>
    <row r="118" spans="1:4" ht="29.45" customHeight="1" x14ac:dyDescent="0.25">
      <c r="A118" s="53" t="s">
        <v>4069</v>
      </c>
      <c r="B118" s="54" t="s">
        <v>4070</v>
      </c>
      <c r="C118" s="28" t="s">
        <v>897</v>
      </c>
      <c r="D118" s="62"/>
    </row>
    <row r="119" spans="1:4" ht="29.45" customHeight="1" x14ac:dyDescent="0.25">
      <c r="A119" s="53" t="s">
        <v>4071</v>
      </c>
      <c r="B119" s="54" t="s">
        <v>4072</v>
      </c>
      <c r="C119" s="28" t="s">
        <v>897</v>
      </c>
      <c r="D119" s="62"/>
    </row>
    <row r="120" spans="1:4" ht="29.45" customHeight="1" x14ac:dyDescent="0.25">
      <c r="A120" s="53" t="s">
        <v>4073</v>
      </c>
      <c r="B120" s="54" t="s">
        <v>4074</v>
      </c>
      <c r="C120" s="28" t="s">
        <v>897</v>
      </c>
      <c r="D120" s="62"/>
    </row>
    <row r="122" spans="1:4" x14ac:dyDescent="0.25">
      <c r="A122" s="4" t="s">
        <v>926</v>
      </c>
      <c r="B122" s="5"/>
      <c r="C122" s="5"/>
      <c r="D122" s="5"/>
    </row>
    <row r="123" spans="1:4" ht="29.45" customHeight="1" x14ac:dyDescent="0.25">
      <c r="B123" s="52" t="s">
        <v>4075</v>
      </c>
    </row>
    <row r="124" spans="1:4" ht="29.45" customHeight="1" x14ac:dyDescent="0.25">
      <c r="B124" s="52" t="s">
        <v>4076</v>
      </c>
    </row>
    <row r="125" spans="1:4" ht="29.45" customHeight="1" x14ac:dyDescent="0.25">
      <c r="B125" s="52" t="s">
        <v>4077</v>
      </c>
    </row>
    <row r="126" spans="1:4" ht="29.45" customHeight="1" x14ac:dyDescent="0.25">
      <c r="B126" s="52" t="s">
        <v>4078</v>
      </c>
    </row>
    <row r="127" spans="1:4" ht="29.45" customHeight="1" x14ac:dyDescent="0.25">
      <c r="B127" s="52" t="s">
        <v>4079</v>
      </c>
    </row>
    <row r="128" spans="1:4" ht="29.45" customHeight="1" x14ac:dyDescent="0.25">
      <c r="B128" s="52" t="s">
        <v>4080</v>
      </c>
    </row>
    <row r="129" spans="2:2" ht="29.45" customHeight="1" x14ac:dyDescent="0.25">
      <c r="B129" s="52" t="s">
        <v>4081</v>
      </c>
    </row>
  </sheetData>
  <hyperlinks>
    <hyperlink ref="D1" location="'Monitor'!A29" display="&lt;&lt; Monitor" xr:uid="{00000000-0004-0000-1E00-000000000000}"/>
    <hyperlink ref="C109" r:id="rId1" xr:uid="{00000000-0004-0000-1E00-000001000000}"/>
    <hyperlink ref="C110" r:id="rId2" xr:uid="{00000000-0004-0000-1E00-000002000000}"/>
    <hyperlink ref="C111" r:id="rId3" xr:uid="{00000000-0004-0000-1E00-000003000000}"/>
    <hyperlink ref="C112" r:id="rId4" xr:uid="{00000000-0004-0000-1E00-000004000000}"/>
    <hyperlink ref="C113" r:id="rId5" xr:uid="{00000000-0004-0000-1E00-000005000000}"/>
    <hyperlink ref="C114" r:id="rId6" xr:uid="{00000000-0004-0000-1E00-000006000000}"/>
    <hyperlink ref="C115" r:id="rId7" xr:uid="{00000000-0004-0000-1E00-000007000000}"/>
    <hyperlink ref="C116" r:id="rId8" xr:uid="{00000000-0004-0000-1E00-000008000000}"/>
    <hyperlink ref="C117" r:id="rId9" xr:uid="{00000000-0004-0000-1E00-000009000000}"/>
    <hyperlink ref="C118" r:id="rId10" xr:uid="{00000000-0004-0000-1E00-00000A000000}"/>
    <hyperlink ref="C119" r:id="rId11" xr:uid="{00000000-0004-0000-1E00-00000B000000}"/>
    <hyperlink ref="C120" r:id="rId12" xr:uid="{00000000-0004-0000-1E00-00000C000000}"/>
  </hyperlinks>
  <pageMargins left="0.75" right="0.75" top="1" bottom="1" header="0.5" footer="0.5"/>
  <pageSetup fitToHeight="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55A11"/>
    <pageSetUpPr fitToPage="1"/>
  </sheetPr>
  <dimension ref="A1:D145"/>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239</v>
      </c>
      <c r="D1" s="41" t="s">
        <v>667</v>
      </c>
    </row>
    <row r="2" spans="1:4" x14ac:dyDescent="0.25">
      <c r="A2" s="2" t="s">
        <v>4082</v>
      </c>
    </row>
    <row r="4" spans="1:4" x14ac:dyDescent="0.25">
      <c r="A4" s="42" t="s">
        <v>9</v>
      </c>
      <c r="B4" s="43">
        <f>Monitor!H30</f>
        <v>95.293999999999997</v>
      </c>
    </row>
    <row r="5" spans="1:4" x14ac:dyDescent="0.25">
      <c r="A5" s="42" t="s">
        <v>11</v>
      </c>
      <c r="B5" s="44">
        <f>Monitor!J30</f>
        <v>10.262202773244603</v>
      </c>
    </row>
    <row r="6" spans="1:4" x14ac:dyDescent="0.25">
      <c r="A6" s="42" t="s">
        <v>8</v>
      </c>
      <c r="B6" s="45">
        <f>Monitor!G30</f>
        <v>999</v>
      </c>
    </row>
    <row r="7" spans="1:4" x14ac:dyDescent="0.25">
      <c r="A7" s="42" t="s">
        <v>14</v>
      </c>
      <c r="B7" s="46">
        <f>Monitor!M30</f>
        <v>-47.012940000000029</v>
      </c>
    </row>
    <row r="8" spans="1:4" x14ac:dyDescent="0.25">
      <c r="A8" s="42" t="s">
        <v>15</v>
      </c>
      <c r="B8" s="47">
        <f>Monitor!N30</f>
        <v>-4.7060000000000032E-2</v>
      </c>
    </row>
    <row r="9" spans="1:4" x14ac:dyDescent="0.25">
      <c r="A9" s="42" t="s">
        <v>669</v>
      </c>
      <c r="B9" s="46">
        <f>Monitor!O30</f>
        <v>-9.5904000000000789</v>
      </c>
    </row>
    <row r="10" spans="1:4" x14ac:dyDescent="0.25">
      <c r="A10" s="42" t="s">
        <v>20</v>
      </c>
      <c r="B10" s="48">
        <f>Monitor!S30</f>
        <v>46149</v>
      </c>
    </row>
    <row r="11" spans="1:4" x14ac:dyDescent="0.25">
      <c r="A11" s="42" t="s">
        <v>670</v>
      </c>
      <c r="B11" s="49">
        <f>Monitor!W30</f>
        <v>143.41673041907563</v>
      </c>
    </row>
    <row r="12" spans="1:4" x14ac:dyDescent="0.25">
      <c r="A12" s="42" t="s">
        <v>671</v>
      </c>
      <c r="B12" s="50" t="str">
        <f>Monitor!F30</f>
        <v>NR/(P)BB/BB-</v>
      </c>
    </row>
    <row r="13" spans="1:4" x14ac:dyDescent="0.25">
      <c r="A13" s="42" t="s">
        <v>4</v>
      </c>
      <c r="B13" s="50" t="str">
        <f>Monitor!C30</f>
        <v>SoftBank</v>
      </c>
    </row>
    <row r="15" spans="1:4" x14ac:dyDescent="0.25">
      <c r="A15" s="4" t="s">
        <v>672</v>
      </c>
      <c r="B15" s="5"/>
      <c r="C15" s="5"/>
      <c r="D15" s="5"/>
    </row>
    <row r="16" spans="1:4" ht="55.9" customHeight="1" x14ac:dyDescent="0.25">
      <c r="A16" s="51" t="s">
        <v>192</v>
      </c>
      <c r="B16" s="52" t="s">
        <v>240</v>
      </c>
    </row>
    <row r="18" spans="1:4" x14ac:dyDescent="0.25">
      <c r="A18" s="4" t="s">
        <v>673</v>
      </c>
      <c r="B18" s="5"/>
      <c r="C18" s="4" t="s">
        <v>674</v>
      </c>
      <c r="D18" s="4" t="s">
        <v>675</v>
      </c>
    </row>
    <row r="19" spans="1:4" ht="29.45" customHeight="1" x14ac:dyDescent="0.25">
      <c r="A19" s="53" t="s">
        <v>676</v>
      </c>
      <c r="B19" s="54" t="s">
        <v>4083</v>
      </c>
      <c r="C19" s="55" t="s">
        <v>3951</v>
      </c>
      <c r="D19" s="56" t="s">
        <v>679</v>
      </c>
    </row>
    <row r="20" spans="1:4" ht="29.45" customHeight="1" x14ac:dyDescent="0.25">
      <c r="A20" s="53" t="s">
        <v>680</v>
      </c>
      <c r="B20" s="54" t="s">
        <v>4084</v>
      </c>
      <c r="C20" s="55" t="s">
        <v>4085</v>
      </c>
      <c r="D20" s="56" t="s">
        <v>679</v>
      </c>
    </row>
    <row r="21" spans="1:4" ht="16.149999999999999" customHeight="1" x14ac:dyDescent="0.25">
      <c r="A21" s="53" t="s">
        <v>1224</v>
      </c>
      <c r="B21" s="54" t="s">
        <v>4086</v>
      </c>
      <c r="C21" s="55" t="s">
        <v>3059</v>
      </c>
      <c r="D21" s="56" t="s">
        <v>679</v>
      </c>
    </row>
    <row r="22" spans="1:4" ht="29.45" customHeight="1" x14ac:dyDescent="0.25">
      <c r="A22" s="53" t="s">
        <v>942</v>
      </c>
      <c r="B22" s="54" t="s">
        <v>4087</v>
      </c>
      <c r="C22" s="55" t="s">
        <v>3133</v>
      </c>
      <c r="D22" s="56" t="s">
        <v>679</v>
      </c>
    </row>
    <row r="23" spans="1:4" ht="29.45" customHeight="1" x14ac:dyDescent="0.25">
      <c r="A23" s="53" t="s">
        <v>3954</v>
      </c>
      <c r="B23" s="54" t="s">
        <v>4088</v>
      </c>
      <c r="C23" s="55" t="s">
        <v>3951</v>
      </c>
      <c r="D23" s="56" t="s">
        <v>679</v>
      </c>
    </row>
    <row r="24" spans="1:4" ht="29.45" customHeight="1" x14ac:dyDescent="0.25">
      <c r="A24" s="53" t="s">
        <v>2865</v>
      </c>
      <c r="B24" s="54" t="s">
        <v>4089</v>
      </c>
      <c r="C24" s="55" t="s">
        <v>678</v>
      </c>
      <c r="D24" s="56" t="s">
        <v>679</v>
      </c>
    </row>
    <row r="25" spans="1:4" ht="55.9" customHeight="1" x14ac:dyDescent="0.25">
      <c r="A25" s="53" t="s">
        <v>4090</v>
      </c>
      <c r="B25" s="54" t="s">
        <v>4091</v>
      </c>
      <c r="C25" s="55" t="s">
        <v>684</v>
      </c>
      <c r="D25" s="56" t="s">
        <v>679</v>
      </c>
    </row>
    <row r="26" spans="1:4" ht="29.45" customHeight="1" x14ac:dyDescent="0.25">
      <c r="A26" s="53" t="s">
        <v>711</v>
      </c>
      <c r="B26" s="54" t="s">
        <v>4092</v>
      </c>
      <c r="C26" s="55" t="s">
        <v>684</v>
      </c>
      <c r="D26" s="56" t="s">
        <v>679</v>
      </c>
    </row>
    <row r="27" spans="1:4" ht="29.45" customHeight="1" x14ac:dyDescent="0.25">
      <c r="A27" s="53" t="s">
        <v>709</v>
      </c>
      <c r="B27" s="54" t="s">
        <v>4093</v>
      </c>
      <c r="C27" s="55" t="s">
        <v>684</v>
      </c>
      <c r="D27" s="56" t="s">
        <v>679</v>
      </c>
    </row>
    <row r="28" spans="1:4" ht="29.45" customHeight="1" x14ac:dyDescent="0.25">
      <c r="A28" s="53" t="s">
        <v>4094</v>
      </c>
      <c r="B28" s="54" t="s">
        <v>4095</v>
      </c>
      <c r="C28" s="55" t="s">
        <v>3133</v>
      </c>
      <c r="D28" s="56" t="s">
        <v>679</v>
      </c>
    </row>
    <row r="29" spans="1:4" ht="29.45" customHeight="1" x14ac:dyDescent="0.25">
      <c r="A29" s="53" t="s">
        <v>695</v>
      </c>
      <c r="B29" s="54" t="s">
        <v>4096</v>
      </c>
      <c r="C29" s="55" t="s">
        <v>1131</v>
      </c>
      <c r="D29" s="58" t="s">
        <v>698</v>
      </c>
    </row>
    <row r="31" spans="1:4" x14ac:dyDescent="0.25">
      <c r="A31" s="4" t="s">
        <v>717</v>
      </c>
      <c r="B31" s="5"/>
      <c r="C31" s="4" t="s">
        <v>674</v>
      </c>
      <c r="D31" s="4" t="s">
        <v>675</v>
      </c>
    </row>
    <row r="32" spans="1:4" ht="42.6" customHeight="1" x14ac:dyDescent="0.25">
      <c r="A32" s="53" t="s">
        <v>1140</v>
      </c>
      <c r="B32" s="54" t="s">
        <v>4097</v>
      </c>
      <c r="C32" s="55" t="s">
        <v>3951</v>
      </c>
      <c r="D32" s="56" t="s">
        <v>679</v>
      </c>
    </row>
    <row r="33" spans="1:4" ht="16.149999999999999" customHeight="1" x14ac:dyDescent="0.25">
      <c r="A33" s="53" t="s">
        <v>4098</v>
      </c>
      <c r="B33" s="54" t="s">
        <v>4099</v>
      </c>
      <c r="C33" s="55" t="s">
        <v>684</v>
      </c>
      <c r="D33" s="56" t="s">
        <v>679</v>
      </c>
    </row>
    <row r="34" spans="1:4" ht="16.149999999999999" customHeight="1" x14ac:dyDescent="0.25">
      <c r="A34" s="53" t="s">
        <v>4100</v>
      </c>
      <c r="B34" s="54" t="s">
        <v>4101</v>
      </c>
      <c r="C34" s="55" t="s">
        <v>678</v>
      </c>
      <c r="D34" s="56" t="s">
        <v>679</v>
      </c>
    </row>
    <row r="36" spans="1:4" x14ac:dyDescent="0.25">
      <c r="A36" s="4" t="s">
        <v>728</v>
      </c>
      <c r="B36" s="5"/>
      <c r="C36" s="4" t="s">
        <v>674</v>
      </c>
      <c r="D36" s="4" t="s">
        <v>675</v>
      </c>
    </row>
    <row r="37" spans="1:4" ht="29.45" customHeight="1" x14ac:dyDescent="0.25">
      <c r="A37" s="53" t="s">
        <v>4102</v>
      </c>
      <c r="B37" s="54" t="s">
        <v>4103</v>
      </c>
      <c r="C37" s="55" t="s">
        <v>3953</v>
      </c>
      <c r="D37" s="56" t="s">
        <v>679</v>
      </c>
    </row>
    <row r="38" spans="1:4" ht="42.6" customHeight="1" x14ac:dyDescent="0.25">
      <c r="A38" s="53" t="s">
        <v>4104</v>
      </c>
      <c r="B38" s="54" t="s">
        <v>4105</v>
      </c>
      <c r="C38" s="55" t="s">
        <v>678</v>
      </c>
      <c r="D38" s="56" t="s">
        <v>679</v>
      </c>
    </row>
    <row r="39" spans="1:4" ht="42.6" customHeight="1" x14ac:dyDescent="0.25">
      <c r="A39" s="53" t="s">
        <v>4106</v>
      </c>
      <c r="B39" s="54" t="s">
        <v>4107</v>
      </c>
      <c r="C39" s="55" t="s">
        <v>678</v>
      </c>
      <c r="D39" s="56" t="s">
        <v>679</v>
      </c>
    </row>
    <row r="40" spans="1:4" ht="29.45" customHeight="1" x14ac:dyDescent="0.25">
      <c r="A40" s="53" t="s">
        <v>4108</v>
      </c>
      <c r="B40" s="54" t="s">
        <v>4109</v>
      </c>
      <c r="C40" s="55" t="s">
        <v>678</v>
      </c>
      <c r="D40" s="56" t="s">
        <v>679</v>
      </c>
    </row>
    <row r="42" spans="1:4" x14ac:dyDescent="0.25">
      <c r="A42" s="4" t="s">
        <v>740</v>
      </c>
      <c r="B42" s="5"/>
      <c r="C42" s="4" t="s">
        <v>674</v>
      </c>
      <c r="D42" s="4" t="s">
        <v>675</v>
      </c>
    </row>
    <row r="43" spans="1:4" ht="29.45" customHeight="1" x14ac:dyDescent="0.25">
      <c r="A43" s="53" t="s">
        <v>4</v>
      </c>
      <c r="B43" s="54" t="s">
        <v>4110</v>
      </c>
      <c r="C43" s="55" t="s">
        <v>3133</v>
      </c>
      <c r="D43" s="56" t="s">
        <v>679</v>
      </c>
    </row>
    <row r="44" spans="1:4" ht="29.45" customHeight="1" x14ac:dyDescent="0.25">
      <c r="A44" s="53" t="s">
        <v>4111</v>
      </c>
      <c r="B44" s="54" t="s">
        <v>4112</v>
      </c>
      <c r="C44" s="55" t="s">
        <v>3951</v>
      </c>
      <c r="D44" s="56" t="s">
        <v>679</v>
      </c>
    </row>
    <row r="45" spans="1:4" ht="29.45" customHeight="1" x14ac:dyDescent="0.25">
      <c r="A45" s="53" t="s">
        <v>4113</v>
      </c>
      <c r="B45" s="54" t="s">
        <v>4114</v>
      </c>
      <c r="C45" s="55" t="s">
        <v>3951</v>
      </c>
      <c r="D45" s="56" t="s">
        <v>679</v>
      </c>
    </row>
    <row r="46" spans="1:4" ht="42.6" customHeight="1" x14ac:dyDescent="0.25">
      <c r="A46" s="53" t="s">
        <v>1665</v>
      </c>
      <c r="B46" s="54" t="s">
        <v>4115</v>
      </c>
      <c r="C46" s="55" t="s">
        <v>3059</v>
      </c>
      <c r="D46" s="56" t="s">
        <v>679</v>
      </c>
    </row>
    <row r="47" spans="1:4" ht="29.45" customHeight="1" x14ac:dyDescent="0.25">
      <c r="A47" s="53" t="s">
        <v>754</v>
      </c>
      <c r="B47" s="54" t="s">
        <v>4116</v>
      </c>
      <c r="C47" s="55" t="s">
        <v>3951</v>
      </c>
      <c r="D47" s="56" t="s">
        <v>679</v>
      </c>
    </row>
    <row r="48" spans="1:4" ht="42.6" customHeight="1" x14ac:dyDescent="0.25">
      <c r="A48" s="53" t="s">
        <v>2765</v>
      </c>
      <c r="B48" s="54" t="s">
        <v>4117</v>
      </c>
      <c r="C48" s="55" t="s">
        <v>678</v>
      </c>
      <c r="D48" s="56" t="s">
        <v>679</v>
      </c>
    </row>
    <row r="49" spans="1:4" ht="29.45" customHeight="1" x14ac:dyDescent="0.25">
      <c r="A49" s="53" t="s">
        <v>4118</v>
      </c>
      <c r="B49" s="54" t="s">
        <v>4119</v>
      </c>
      <c r="C49" s="55" t="s">
        <v>3978</v>
      </c>
      <c r="D49" s="56" t="s">
        <v>679</v>
      </c>
    </row>
    <row r="50" spans="1:4" ht="16.149999999999999" customHeight="1" x14ac:dyDescent="0.25">
      <c r="A50" s="53" t="s">
        <v>4120</v>
      </c>
      <c r="B50" s="54" t="s">
        <v>4121</v>
      </c>
      <c r="C50" s="55" t="s">
        <v>678</v>
      </c>
      <c r="D50" s="56" t="s">
        <v>679</v>
      </c>
    </row>
    <row r="52" spans="1:4" x14ac:dyDescent="0.25">
      <c r="A52" s="4" t="s">
        <v>762</v>
      </c>
      <c r="B52" s="5"/>
      <c r="C52" s="4" t="s">
        <v>674</v>
      </c>
      <c r="D52" s="4" t="s">
        <v>675</v>
      </c>
    </row>
    <row r="53" spans="1:4" ht="42.6" customHeight="1" x14ac:dyDescent="0.25">
      <c r="A53" s="53" t="s">
        <v>4122</v>
      </c>
      <c r="B53" s="54" t="s">
        <v>4123</v>
      </c>
      <c r="C53" s="55" t="s">
        <v>4124</v>
      </c>
      <c r="D53" s="56" t="s">
        <v>679</v>
      </c>
    </row>
    <row r="54" spans="1:4" ht="29.45" customHeight="1" x14ac:dyDescent="0.25">
      <c r="A54" s="53" t="s">
        <v>4125</v>
      </c>
      <c r="B54" s="54" t="s">
        <v>4126</v>
      </c>
      <c r="C54" s="55" t="s">
        <v>776</v>
      </c>
      <c r="D54" s="59" t="s">
        <v>748</v>
      </c>
    </row>
    <row r="55" spans="1:4" ht="16.149999999999999" customHeight="1" x14ac:dyDescent="0.25">
      <c r="A55" s="53" t="s">
        <v>986</v>
      </c>
      <c r="B55" s="54" t="s">
        <v>4127</v>
      </c>
      <c r="C55" s="55" t="s">
        <v>4128</v>
      </c>
      <c r="D55" s="56" t="s">
        <v>679</v>
      </c>
    </row>
    <row r="56" spans="1:4" ht="29.45" customHeight="1" x14ac:dyDescent="0.25">
      <c r="A56" s="53" t="s">
        <v>988</v>
      </c>
      <c r="B56" s="54" t="s">
        <v>4129</v>
      </c>
      <c r="C56" s="55" t="s">
        <v>1131</v>
      </c>
      <c r="D56" s="58" t="s">
        <v>698</v>
      </c>
    </row>
    <row r="57" spans="1:4" ht="16.149999999999999" customHeight="1" x14ac:dyDescent="0.25">
      <c r="A57" s="53" t="s">
        <v>4130</v>
      </c>
      <c r="B57" s="54" t="s">
        <v>4131</v>
      </c>
      <c r="C57" s="55" t="s">
        <v>4132</v>
      </c>
      <c r="D57" s="56" t="s">
        <v>679</v>
      </c>
    </row>
    <row r="59" spans="1:4" x14ac:dyDescent="0.25">
      <c r="A59" s="4" t="s">
        <v>773</v>
      </c>
      <c r="B59" s="5"/>
      <c r="C59" s="4" t="s">
        <v>674</v>
      </c>
      <c r="D59" s="4" t="s">
        <v>675</v>
      </c>
    </row>
    <row r="60" spans="1:4" ht="29.45" customHeight="1" x14ac:dyDescent="0.25">
      <c r="A60" s="53" t="s">
        <v>3431</v>
      </c>
      <c r="B60" s="54" t="s">
        <v>4133</v>
      </c>
      <c r="C60" s="55" t="s">
        <v>678</v>
      </c>
      <c r="D60" s="56" t="s">
        <v>679</v>
      </c>
    </row>
    <row r="61" spans="1:4" ht="29.45" customHeight="1" x14ac:dyDescent="0.25">
      <c r="A61" s="53" t="s">
        <v>996</v>
      </c>
      <c r="B61" s="54" t="s">
        <v>4134</v>
      </c>
      <c r="C61" s="55" t="s">
        <v>4135</v>
      </c>
      <c r="D61" s="56" t="s">
        <v>679</v>
      </c>
    </row>
    <row r="63" spans="1:4" x14ac:dyDescent="0.25">
      <c r="A63" s="4" t="s">
        <v>781</v>
      </c>
      <c r="B63" s="5"/>
      <c r="C63" s="4" t="s">
        <v>674</v>
      </c>
      <c r="D63" s="4" t="s">
        <v>675</v>
      </c>
    </row>
    <row r="64" spans="1:4" ht="16.149999999999999" customHeight="1" x14ac:dyDescent="0.25">
      <c r="A64" s="53" t="s">
        <v>675</v>
      </c>
      <c r="B64" s="54" t="s">
        <v>4136</v>
      </c>
      <c r="C64" s="55" t="s">
        <v>678</v>
      </c>
      <c r="D64" s="56" t="s">
        <v>679</v>
      </c>
    </row>
    <row r="65" spans="1:4" ht="16.149999999999999" customHeight="1" x14ac:dyDescent="0.25">
      <c r="A65" s="53" t="s">
        <v>4137</v>
      </c>
      <c r="B65" s="54" t="s">
        <v>4138</v>
      </c>
      <c r="C65" s="55" t="s">
        <v>678</v>
      </c>
      <c r="D65" s="56" t="s">
        <v>679</v>
      </c>
    </row>
    <row r="66" spans="1:4" ht="29.45" customHeight="1" x14ac:dyDescent="0.25">
      <c r="A66" s="53" t="s">
        <v>3405</v>
      </c>
      <c r="B66" s="54" t="s">
        <v>4139</v>
      </c>
      <c r="C66" s="55" t="s">
        <v>3951</v>
      </c>
      <c r="D66" s="56" t="s">
        <v>679</v>
      </c>
    </row>
    <row r="68" spans="1:4" x14ac:dyDescent="0.25">
      <c r="A68" s="4" t="s">
        <v>792</v>
      </c>
      <c r="B68" s="5"/>
      <c r="C68" s="4" t="s">
        <v>674</v>
      </c>
      <c r="D68" s="4" t="s">
        <v>675</v>
      </c>
    </row>
    <row r="69" spans="1:4" ht="29.45" customHeight="1" x14ac:dyDescent="0.25">
      <c r="A69" s="53" t="s">
        <v>793</v>
      </c>
      <c r="B69" s="54" t="s">
        <v>4140</v>
      </c>
      <c r="C69" s="55" t="s">
        <v>3059</v>
      </c>
      <c r="D69" s="56" t="s">
        <v>679</v>
      </c>
    </row>
    <row r="70" spans="1:4" ht="29.45" customHeight="1" x14ac:dyDescent="0.25">
      <c r="A70" s="53" t="s">
        <v>4141</v>
      </c>
      <c r="B70" s="54" t="s">
        <v>4142</v>
      </c>
      <c r="C70" s="55" t="s">
        <v>678</v>
      </c>
      <c r="D70" s="56" t="s">
        <v>679</v>
      </c>
    </row>
    <row r="71" spans="1:4" ht="29.45" customHeight="1" x14ac:dyDescent="0.25">
      <c r="A71" s="53" t="s">
        <v>1187</v>
      </c>
      <c r="B71" s="54" t="s">
        <v>4143</v>
      </c>
      <c r="C71" s="55" t="s">
        <v>3987</v>
      </c>
      <c r="D71" s="56" t="s">
        <v>679</v>
      </c>
    </row>
    <row r="72" spans="1:4" ht="16.149999999999999" customHeight="1" x14ac:dyDescent="0.25">
      <c r="A72" s="53" t="s">
        <v>3125</v>
      </c>
      <c r="B72" s="54" t="s">
        <v>4144</v>
      </c>
      <c r="C72" s="55" t="s">
        <v>684</v>
      </c>
      <c r="D72" s="56" t="s">
        <v>679</v>
      </c>
    </row>
    <row r="74" spans="1:4" x14ac:dyDescent="0.25">
      <c r="A74" s="4" t="s">
        <v>804</v>
      </c>
      <c r="B74" s="5"/>
      <c r="C74" s="4" t="s">
        <v>674</v>
      </c>
      <c r="D74" s="4" t="s">
        <v>675</v>
      </c>
    </row>
    <row r="75" spans="1:4" ht="29.45" customHeight="1" x14ac:dyDescent="0.25">
      <c r="A75" s="53" t="s">
        <v>4145</v>
      </c>
      <c r="B75" s="54" t="s">
        <v>4146</v>
      </c>
      <c r="C75" s="55" t="s">
        <v>3951</v>
      </c>
      <c r="D75" s="56" t="s">
        <v>679</v>
      </c>
    </row>
    <row r="76" spans="1:4" ht="16.149999999999999" customHeight="1" x14ac:dyDescent="0.25">
      <c r="A76" s="53" t="s">
        <v>4147</v>
      </c>
      <c r="B76" s="54" t="s">
        <v>4148</v>
      </c>
      <c r="C76" s="55" t="s">
        <v>3951</v>
      </c>
      <c r="D76" s="56" t="s">
        <v>679</v>
      </c>
    </row>
    <row r="77" spans="1:4" ht="29.45" customHeight="1" x14ac:dyDescent="0.25">
      <c r="A77" s="53" t="s">
        <v>2792</v>
      </c>
      <c r="B77" s="54" t="s">
        <v>4149</v>
      </c>
      <c r="C77" s="55" t="s">
        <v>684</v>
      </c>
      <c r="D77" s="56" t="s">
        <v>679</v>
      </c>
    </row>
    <row r="79" spans="1:4" x14ac:dyDescent="0.25">
      <c r="A79" s="4" t="s">
        <v>813</v>
      </c>
      <c r="B79" s="5"/>
      <c r="C79" s="4" t="s">
        <v>674</v>
      </c>
      <c r="D79" s="4" t="s">
        <v>675</v>
      </c>
    </row>
    <row r="80" spans="1:4" ht="29.45" customHeight="1" x14ac:dyDescent="0.25">
      <c r="A80" s="53" t="s">
        <v>4150</v>
      </c>
      <c r="B80" s="54" t="s">
        <v>4151</v>
      </c>
      <c r="C80" s="55" t="s">
        <v>684</v>
      </c>
      <c r="D80" s="56" t="s">
        <v>679</v>
      </c>
    </row>
    <row r="81" spans="1:4" ht="29.45" customHeight="1" x14ac:dyDescent="0.25">
      <c r="A81" s="53" t="s">
        <v>3117</v>
      </c>
      <c r="B81" s="54" t="s">
        <v>4152</v>
      </c>
      <c r="C81" s="55" t="s">
        <v>684</v>
      </c>
      <c r="D81" s="56" t="s">
        <v>679</v>
      </c>
    </row>
    <row r="82" spans="1:4" ht="29.45" customHeight="1" x14ac:dyDescent="0.25">
      <c r="A82" s="53" t="s">
        <v>4153</v>
      </c>
      <c r="B82" s="54" t="s">
        <v>4154</v>
      </c>
      <c r="C82" s="55" t="s">
        <v>684</v>
      </c>
      <c r="D82" s="56" t="s">
        <v>679</v>
      </c>
    </row>
    <row r="83" spans="1:4" ht="55.9" customHeight="1" x14ac:dyDescent="0.25">
      <c r="A83" s="53" t="s">
        <v>820</v>
      </c>
      <c r="B83" s="54" t="s">
        <v>4155</v>
      </c>
      <c r="C83" s="55" t="s">
        <v>684</v>
      </c>
      <c r="D83" s="56" t="s">
        <v>679</v>
      </c>
    </row>
    <row r="84" spans="1:4" ht="16.149999999999999" customHeight="1" x14ac:dyDescent="0.25">
      <c r="A84" s="53" t="s">
        <v>822</v>
      </c>
      <c r="B84" s="54" t="s">
        <v>4156</v>
      </c>
      <c r="C84" s="55" t="s">
        <v>684</v>
      </c>
      <c r="D84" s="56" t="s">
        <v>679</v>
      </c>
    </row>
    <row r="86" spans="1:4" x14ac:dyDescent="0.25">
      <c r="A86" s="4" t="s">
        <v>826</v>
      </c>
      <c r="B86" s="5"/>
      <c r="C86" s="4" t="s">
        <v>674</v>
      </c>
      <c r="D86" s="4" t="s">
        <v>675</v>
      </c>
    </row>
    <row r="87" spans="1:4" ht="29.45" customHeight="1" x14ac:dyDescent="0.25">
      <c r="A87" s="53" t="s">
        <v>2963</v>
      </c>
      <c r="B87" s="54" t="s">
        <v>4157</v>
      </c>
      <c r="C87" s="55" t="s">
        <v>4158</v>
      </c>
      <c r="D87" s="58" t="s">
        <v>698</v>
      </c>
    </row>
    <row r="88" spans="1:4" ht="29.45" customHeight="1" x14ac:dyDescent="0.25">
      <c r="A88" s="53" t="s">
        <v>4159</v>
      </c>
      <c r="B88" s="54" t="s">
        <v>4160</v>
      </c>
      <c r="C88" s="55" t="s">
        <v>684</v>
      </c>
      <c r="D88" s="56" t="s">
        <v>679</v>
      </c>
    </row>
    <row r="90" spans="1:4" x14ac:dyDescent="0.25">
      <c r="A90" s="4" t="s">
        <v>833</v>
      </c>
      <c r="B90" s="5"/>
      <c r="C90" s="4" t="s">
        <v>674</v>
      </c>
      <c r="D90" s="4" t="s">
        <v>675</v>
      </c>
    </row>
    <row r="91" spans="1:4" ht="16.149999999999999" customHeight="1" x14ac:dyDescent="0.25">
      <c r="A91" s="53" t="s">
        <v>834</v>
      </c>
      <c r="B91" s="54" t="s">
        <v>4161</v>
      </c>
      <c r="C91" s="55" t="s">
        <v>4162</v>
      </c>
      <c r="D91" s="56" t="s">
        <v>679</v>
      </c>
    </row>
    <row r="93" spans="1:4" x14ac:dyDescent="0.25">
      <c r="A93" s="4" t="s">
        <v>836</v>
      </c>
      <c r="B93" s="5"/>
      <c r="C93" s="4" t="s">
        <v>674</v>
      </c>
      <c r="D93" s="4" t="s">
        <v>675</v>
      </c>
    </row>
    <row r="94" spans="1:4" ht="16.149999999999999" customHeight="1" x14ac:dyDescent="0.25">
      <c r="A94" s="53" t="s">
        <v>4163</v>
      </c>
      <c r="B94" s="54" t="s">
        <v>4164</v>
      </c>
      <c r="C94" s="55" t="s">
        <v>3951</v>
      </c>
      <c r="D94" s="56" t="s">
        <v>679</v>
      </c>
    </row>
    <row r="95" spans="1:4" ht="29.45" customHeight="1" x14ac:dyDescent="0.25">
      <c r="A95" s="53" t="s">
        <v>4165</v>
      </c>
      <c r="B95" s="54" t="s">
        <v>4166</v>
      </c>
      <c r="C95" s="55" t="s">
        <v>678</v>
      </c>
      <c r="D95" s="56" t="s">
        <v>679</v>
      </c>
    </row>
    <row r="96" spans="1:4" ht="29.45" customHeight="1" x14ac:dyDescent="0.25">
      <c r="A96" s="53" t="s">
        <v>4167</v>
      </c>
      <c r="B96" s="54" t="s">
        <v>4168</v>
      </c>
      <c r="C96" s="55" t="s">
        <v>4169</v>
      </c>
      <c r="D96" s="59" t="s">
        <v>748</v>
      </c>
    </row>
    <row r="97" spans="1:4" ht="16.149999999999999" customHeight="1" x14ac:dyDescent="0.25">
      <c r="A97" s="53" t="s">
        <v>1047</v>
      </c>
      <c r="B97" s="54" t="s">
        <v>4170</v>
      </c>
      <c r="C97" s="55" t="s">
        <v>678</v>
      </c>
      <c r="D97" s="56" t="s">
        <v>679</v>
      </c>
    </row>
    <row r="98" spans="1:4" ht="16.149999999999999" customHeight="1" x14ac:dyDescent="0.25">
      <c r="A98" s="53" t="s">
        <v>1187</v>
      </c>
      <c r="B98" s="54" t="s">
        <v>4171</v>
      </c>
      <c r="C98" s="55" t="s">
        <v>684</v>
      </c>
      <c r="D98" s="56" t="s">
        <v>679</v>
      </c>
    </row>
    <row r="99" spans="1:4" ht="29.45" customHeight="1" x14ac:dyDescent="0.25">
      <c r="A99" s="53" t="s">
        <v>4172</v>
      </c>
      <c r="B99" s="54" t="s">
        <v>4173</v>
      </c>
      <c r="C99" s="55" t="s">
        <v>678</v>
      </c>
      <c r="D99" s="56" t="s">
        <v>679</v>
      </c>
    </row>
    <row r="100" spans="1:4" ht="16.149999999999999" customHeight="1" x14ac:dyDescent="0.25">
      <c r="A100" s="53" t="s">
        <v>1197</v>
      </c>
      <c r="B100" s="54" t="s">
        <v>4174</v>
      </c>
      <c r="C100" s="55" t="s">
        <v>678</v>
      </c>
      <c r="D100" s="56" t="s">
        <v>679</v>
      </c>
    </row>
    <row r="102" spans="1:4" x14ac:dyDescent="0.25">
      <c r="A102" s="4" t="s">
        <v>855</v>
      </c>
      <c r="B102" s="5"/>
      <c r="C102" s="4" t="s">
        <v>674</v>
      </c>
      <c r="D102" s="4" t="s">
        <v>675</v>
      </c>
    </row>
    <row r="103" spans="1:4" ht="29.45" customHeight="1" x14ac:dyDescent="0.25">
      <c r="A103" s="53" t="s">
        <v>4175</v>
      </c>
      <c r="B103" s="54" t="s">
        <v>4176</v>
      </c>
      <c r="C103" s="55" t="s">
        <v>3953</v>
      </c>
      <c r="D103" s="56" t="s">
        <v>679</v>
      </c>
    </row>
    <row r="104" spans="1:4" ht="16.149999999999999" customHeight="1" x14ac:dyDescent="0.25">
      <c r="A104" s="53" t="s">
        <v>4177</v>
      </c>
      <c r="B104" s="54" t="s">
        <v>4178</v>
      </c>
      <c r="C104" s="55" t="s">
        <v>4169</v>
      </c>
      <c r="D104" s="59" t="s">
        <v>748</v>
      </c>
    </row>
    <row r="105" spans="1:4" ht="16.149999999999999" customHeight="1" x14ac:dyDescent="0.25">
      <c r="A105" s="53" t="s">
        <v>3151</v>
      </c>
      <c r="B105" s="54" t="s">
        <v>4179</v>
      </c>
      <c r="C105" s="55" t="s">
        <v>1131</v>
      </c>
      <c r="D105" s="58" t="s">
        <v>698</v>
      </c>
    </row>
    <row r="106" spans="1:4" ht="16.149999999999999" customHeight="1" x14ac:dyDescent="0.25">
      <c r="A106" s="53" t="s">
        <v>4180</v>
      </c>
      <c r="B106" s="54" t="s">
        <v>4181</v>
      </c>
      <c r="C106" s="55" t="s">
        <v>678</v>
      </c>
      <c r="D106" s="56" t="s">
        <v>679</v>
      </c>
    </row>
    <row r="108" spans="1:4" x14ac:dyDescent="0.25">
      <c r="A108" s="4" t="s">
        <v>868</v>
      </c>
      <c r="B108" s="5"/>
      <c r="C108" s="4" t="s">
        <v>674</v>
      </c>
      <c r="D108" s="5"/>
    </row>
    <row r="109" spans="1:4" ht="16.149999999999999" customHeight="1" x14ac:dyDescent="0.25">
      <c r="A109" s="61" t="s">
        <v>4182</v>
      </c>
      <c r="B109" s="54" t="s">
        <v>4183</v>
      </c>
      <c r="C109" s="55" t="s">
        <v>3951</v>
      </c>
      <c r="D109" s="62"/>
    </row>
    <row r="110" spans="1:4" ht="16.149999999999999" customHeight="1" x14ac:dyDescent="0.25">
      <c r="A110" s="61" t="s">
        <v>2815</v>
      </c>
      <c r="B110" s="54" t="s">
        <v>4184</v>
      </c>
      <c r="C110" s="55" t="s">
        <v>776</v>
      </c>
      <c r="D110" s="62"/>
    </row>
    <row r="111" spans="1:4" ht="16.149999999999999" customHeight="1" x14ac:dyDescent="0.25">
      <c r="A111" s="61" t="s">
        <v>4185</v>
      </c>
      <c r="B111" s="54" t="s">
        <v>4186</v>
      </c>
      <c r="C111" s="55" t="s">
        <v>678</v>
      </c>
      <c r="D111" s="62"/>
    </row>
    <row r="112" spans="1:4" ht="16.149999999999999" customHeight="1" x14ac:dyDescent="0.25">
      <c r="A112" s="61" t="s">
        <v>871</v>
      </c>
      <c r="B112" s="54" t="s">
        <v>4187</v>
      </c>
      <c r="C112" s="55" t="s">
        <v>731</v>
      </c>
      <c r="D112" s="62"/>
    </row>
    <row r="113" spans="1:4" ht="16.149999999999999" customHeight="1" x14ac:dyDescent="0.25">
      <c r="A113" s="61" t="s">
        <v>1066</v>
      </c>
      <c r="B113" s="54" t="s">
        <v>4188</v>
      </c>
      <c r="C113" s="55" t="s">
        <v>678</v>
      </c>
      <c r="D113" s="62"/>
    </row>
    <row r="114" spans="1:4" ht="16.149999999999999" customHeight="1" x14ac:dyDescent="0.25">
      <c r="A114" s="61" t="s">
        <v>4189</v>
      </c>
      <c r="B114" s="54" t="s">
        <v>4190</v>
      </c>
      <c r="C114" s="55" t="s">
        <v>3951</v>
      </c>
      <c r="D114" s="62"/>
    </row>
    <row r="115" spans="1:4" ht="16.149999999999999" customHeight="1" x14ac:dyDescent="0.25">
      <c r="A115" s="61" t="s">
        <v>4191</v>
      </c>
      <c r="B115" s="54" t="s">
        <v>4192</v>
      </c>
      <c r="C115" s="55" t="s">
        <v>877</v>
      </c>
      <c r="D115" s="62"/>
    </row>
    <row r="116" spans="1:4" ht="16.149999999999999" customHeight="1" x14ac:dyDescent="0.25">
      <c r="A116" s="61" t="s">
        <v>4193</v>
      </c>
      <c r="B116" s="54" t="s">
        <v>4194</v>
      </c>
      <c r="C116" s="55" t="s">
        <v>753</v>
      </c>
      <c r="D116" s="62"/>
    </row>
    <row r="117" spans="1:4" ht="16.149999999999999" customHeight="1" x14ac:dyDescent="0.25">
      <c r="A117" s="61" t="s">
        <v>1736</v>
      </c>
      <c r="B117" s="54" t="s">
        <v>4195</v>
      </c>
      <c r="C117" s="55" t="s">
        <v>678</v>
      </c>
      <c r="D117" s="62"/>
    </row>
    <row r="118" spans="1:4" ht="16.149999999999999" customHeight="1" x14ac:dyDescent="0.25">
      <c r="A118" s="61" t="s">
        <v>890</v>
      </c>
      <c r="B118" s="54" t="s">
        <v>4196</v>
      </c>
      <c r="C118" s="55" t="s">
        <v>753</v>
      </c>
      <c r="D118" s="62"/>
    </row>
    <row r="119" spans="1:4" ht="16.149999999999999" customHeight="1" x14ac:dyDescent="0.25">
      <c r="A119" s="61" t="s">
        <v>4197</v>
      </c>
      <c r="B119" s="54" t="s">
        <v>4198</v>
      </c>
      <c r="C119" s="55" t="s">
        <v>776</v>
      </c>
      <c r="D119" s="62"/>
    </row>
    <row r="120" spans="1:4" ht="16.149999999999999" customHeight="1" x14ac:dyDescent="0.25">
      <c r="A120" s="61" t="s">
        <v>3324</v>
      </c>
      <c r="B120" s="54" t="s">
        <v>4199</v>
      </c>
      <c r="C120" s="55" t="s">
        <v>962</v>
      </c>
      <c r="D120" s="62"/>
    </row>
    <row r="121" spans="1:4" ht="16.149999999999999" customHeight="1" x14ac:dyDescent="0.25">
      <c r="A121" s="61" t="s">
        <v>4200</v>
      </c>
      <c r="B121" s="54" t="s">
        <v>4201</v>
      </c>
      <c r="C121" s="55" t="s">
        <v>678</v>
      </c>
      <c r="D121" s="62"/>
    </row>
    <row r="122" spans="1:4" ht="16.149999999999999" customHeight="1" x14ac:dyDescent="0.25">
      <c r="A122" s="61" t="s">
        <v>4202</v>
      </c>
      <c r="B122" s="54" t="s">
        <v>4203</v>
      </c>
      <c r="C122" s="55" t="s">
        <v>678</v>
      </c>
      <c r="D122" s="62"/>
    </row>
    <row r="124" spans="1:4" x14ac:dyDescent="0.25">
      <c r="A124" s="4" t="s">
        <v>894</v>
      </c>
      <c r="B124" s="5"/>
      <c r="C124" s="5"/>
      <c r="D124" s="5"/>
    </row>
    <row r="125" spans="1:4" ht="29.45" customHeight="1" x14ac:dyDescent="0.25">
      <c r="A125" s="53" t="s">
        <v>1250</v>
      </c>
      <c r="B125" s="54" t="s">
        <v>3169</v>
      </c>
      <c r="C125" s="62"/>
      <c r="D125" s="62"/>
    </row>
    <row r="126" spans="1:4" ht="42.6" customHeight="1" x14ac:dyDescent="0.25">
      <c r="A126" s="53" t="s">
        <v>4204</v>
      </c>
      <c r="B126" s="54" t="s">
        <v>4205</v>
      </c>
      <c r="C126" s="28" t="s">
        <v>897</v>
      </c>
      <c r="D126" s="62"/>
    </row>
    <row r="127" spans="1:4" ht="42.6" customHeight="1" x14ac:dyDescent="0.25">
      <c r="A127" s="53" t="s">
        <v>4206</v>
      </c>
      <c r="B127" s="54" t="s">
        <v>4207</v>
      </c>
      <c r="C127" s="28" t="s">
        <v>897</v>
      </c>
      <c r="D127" s="62"/>
    </row>
    <row r="128" spans="1:4" ht="29.45" customHeight="1" x14ac:dyDescent="0.25">
      <c r="A128" s="53" t="s">
        <v>4208</v>
      </c>
      <c r="B128" s="54" t="s">
        <v>4209</v>
      </c>
      <c r="C128" s="28" t="s">
        <v>897</v>
      </c>
      <c r="D128" s="62"/>
    </row>
    <row r="129" spans="1:4" ht="29.45" customHeight="1" x14ac:dyDescent="0.25">
      <c r="A129" s="53" t="s">
        <v>4210</v>
      </c>
      <c r="B129" s="54" t="s">
        <v>4211</v>
      </c>
      <c r="C129" s="28" t="s">
        <v>897</v>
      </c>
      <c r="D129" s="62"/>
    </row>
    <row r="130" spans="1:4" ht="29.45" customHeight="1" x14ac:dyDescent="0.25">
      <c r="A130" s="53" t="s">
        <v>4212</v>
      </c>
      <c r="B130" s="54" t="s">
        <v>4213</v>
      </c>
      <c r="C130" s="28" t="s">
        <v>897</v>
      </c>
      <c r="D130" s="62"/>
    </row>
    <row r="131" spans="1:4" ht="29.45" customHeight="1" x14ac:dyDescent="0.25">
      <c r="A131" s="53" t="s">
        <v>4214</v>
      </c>
      <c r="B131" s="54" t="s">
        <v>4215</v>
      </c>
      <c r="C131" s="28" t="s">
        <v>897</v>
      </c>
      <c r="D131" s="62"/>
    </row>
    <row r="132" spans="1:4" ht="29.45" customHeight="1" x14ac:dyDescent="0.25">
      <c r="A132" s="53" t="s">
        <v>4216</v>
      </c>
      <c r="B132" s="54" t="s">
        <v>4217</v>
      </c>
      <c r="C132" s="28" t="s">
        <v>897</v>
      </c>
      <c r="D132" s="62"/>
    </row>
    <row r="133" spans="1:4" ht="29.45" customHeight="1" x14ac:dyDescent="0.25">
      <c r="A133" s="53" t="s">
        <v>4218</v>
      </c>
      <c r="B133" s="54" t="s">
        <v>4219</v>
      </c>
      <c r="C133" s="28" t="s">
        <v>897</v>
      </c>
      <c r="D133" s="62"/>
    </row>
    <row r="134" spans="1:4" ht="29.45" customHeight="1" x14ac:dyDescent="0.25">
      <c r="A134" s="53" t="s">
        <v>4220</v>
      </c>
      <c r="B134" s="54" t="s">
        <v>4221</v>
      </c>
      <c r="C134" s="28" t="s">
        <v>897</v>
      </c>
      <c r="D134" s="62"/>
    </row>
    <row r="135" spans="1:4" ht="29.45" customHeight="1" x14ac:dyDescent="0.25">
      <c r="A135" s="53" t="s">
        <v>4222</v>
      </c>
      <c r="B135" s="54" t="s">
        <v>4223</v>
      </c>
      <c r="C135" s="28" t="s">
        <v>897</v>
      </c>
      <c r="D135" s="62"/>
    </row>
    <row r="137" spans="1:4" x14ac:dyDescent="0.25">
      <c r="A137" s="4" t="s">
        <v>926</v>
      </c>
      <c r="B137" s="5"/>
      <c r="C137" s="5"/>
      <c r="D137" s="5"/>
    </row>
    <row r="138" spans="1:4" ht="29.45" customHeight="1" x14ac:dyDescent="0.25">
      <c r="B138" s="52" t="s">
        <v>4224</v>
      </c>
    </row>
    <row r="139" spans="1:4" ht="16.149999999999999" customHeight="1" x14ac:dyDescent="0.25">
      <c r="B139" s="52" t="s">
        <v>4225</v>
      </c>
    </row>
    <row r="140" spans="1:4" ht="29.45" customHeight="1" x14ac:dyDescent="0.25">
      <c r="B140" s="52" t="s">
        <v>4226</v>
      </c>
    </row>
    <row r="141" spans="1:4" ht="29.45" customHeight="1" x14ac:dyDescent="0.25">
      <c r="B141" s="52" t="s">
        <v>4227</v>
      </c>
    </row>
    <row r="142" spans="1:4" ht="29.45" customHeight="1" x14ac:dyDescent="0.25">
      <c r="B142" s="52" t="s">
        <v>4228</v>
      </c>
    </row>
    <row r="143" spans="1:4" ht="29.45" customHeight="1" x14ac:dyDescent="0.25">
      <c r="B143" s="52" t="s">
        <v>4229</v>
      </c>
    </row>
    <row r="144" spans="1:4" ht="16.149999999999999" customHeight="1" x14ac:dyDescent="0.25">
      <c r="B144" s="52" t="s">
        <v>4230</v>
      </c>
    </row>
    <row r="145" spans="2:2" ht="16.149999999999999" customHeight="1" x14ac:dyDescent="0.25">
      <c r="B145" s="52" t="s">
        <v>4231</v>
      </c>
    </row>
  </sheetData>
  <hyperlinks>
    <hyperlink ref="D1" location="'Monitor'!A30" display="&lt;&lt; Monitor" xr:uid="{00000000-0004-0000-1F00-000000000000}"/>
    <hyperlink ref="C126" r:id="rId1" xr:uid="{00000000-0004-0000-1F00-000001000000}"/>
    <hyperlink ref="C127" r:id="rId2" xr:uid="{00000000-0004-0000-1F00-000002000000}"/>
    <hyperlink ref="C128" r:id="rId3" xr:uid="{00000000-0004-0000-1F00-000003000000}"/>
    <hyperlink ref="C129" r:id="rId4" xr:uid="{00000000-0004-0000-1F00-000004000000}"/>
    <hyperlink ref="C130" r:id="rId5" xr:uid="{00000000-0004-0000-1F00-000005000000}"/>
    <hyperlink ref="C131" r:id="rId6" xr:uid="{00000000-0004-0000-1F00-000006000000}"/>
    <hyperlink ref="C132" r:id="rId7" xr:uid="{00000000-0004-0000-1F00-000007000000}"/>
    <hyperlink ref="C133" r:id="rId8" xr:uid="{00000000-0004-0000-1F00-000008000000}"/>
    <hyperlink ref="C134" r:id="rId9" xr:uid="{00000000-0004-0000-1F00-000009000000}"/>
    <hyperlink ref="C135" r:id="rId10" xr:uid="{00000000-0004-0000-1F00-00000A000000}"/>
  </hyperlinks>
  <pageMargins left="0.75" right="0.75" top="1" bottom="1" header="0.5" footer="0.5"/>
  <pageSetup fitToHeight="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55A11"/>
    <pageSetUpPr fitToPage="1"/>
  </sheetPr>
  <dimension ref="A1:D152"/>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241</v>
      </c>
      <c r="D1" s="41" t="s">
        <v>667</v>
      </c>
    </row>
    <row r="2" spans="1:4" x14ac:dyDescent="0.25">
      <c r="A2" s="2" t="s">
        <v>4232</v>
      </c>
    </row>
    <row r="4" spans="1:4" x14ac:dyDescent="0.25">
      <c r="A4" s="42" t="s">
        <v>9</v>
      </c>
      <c r="B4" s="43">
        <f>Monitor!H31</f>
        <v>102.417</v>
      </c>
    </row>
    <row r="5" spans="1:4" x14ac:dyDescent="0.25">
      <c r="A5" s="42" t="s">
        <v>11</v>
      </c>
      <c r="B5" s="44">
        <f>Monitor!J31</f>
        <v>7.054066270652938</v>
      </c>
    </row>
    <row r="6" spans="1:4" x14ac:dyDescent="0.25">
      <c r="A6" s="42" t="s">
        <v>8</v>
      </c>
      <c r="B6" s="45">
        <f>Monitor!G31</f>
        <v>3200</v>
      </c>
    </row>
    <row r="7" spans="1:4" x14ac:dyDescent="0.25">
      <c r="A7" s="42" t="s">
        <v>14</v>
      </c>
      <c r="B7" s="46">
        <f>Monitor!M31</f>
        <v>77.344000000000051</v>
      </c>
    </row>
    <row r="8" spans="1:4" x14ac:dyDescent="0.25">
      <c r="A8" s="42" t="s">
        <v>15</v>
      </c>
      <c r="B8" s="47">
        <f>Monitor!N31</f>
        <v>2.4170000000000014E-2</v>
      </c>
    </row>
    <row r="9" spans="1:4" x14ac:dyDescent="0.25">
      <c r="A9" s="42" t="s">
        <v>669</v>
      </c>
      <c r="B9" s="46">
        <f>Monitor!O31</f>
        <v>-1.4400000000000546</v>
      </c>
    </row>
    <row r="10" spans="1:4" x14ac:dyDescent="0.25">
      <c r="A10" s="42" t="s">
        <v>20</v>
      </c>
      <c r="B10" s="48">
        <f>Monitor!S31</f>
        <v>45953</v>
      </c>
    </row>
    <row r="11" spans="1:4" x14ac:dyDescent="0.25">
      <c r="A11" s="42" t="s">
        <v>670</v>
      </c>
      <c r="B11" s="49">
        <f>Monitor!W31</f>
        <v>142.71153448070274</v>
      </c>
    </row>
    <row r="12" spans="1:4" x14ac:dyDescent="0.25">
      <c r="A12" s="42" t="s">
        <v>671</v>
      </c>
      <c r="B12" s="50" t="str">
        <f>Monitor!F31</f>
        <v>Ba2/BB/BB</v>
      </c>
    </row>
    <row r="13" spans="1:4" x14ac:dyDescent="0.25">
      <c r="A13" s="42" t="s">
        <v>4</v>
      </c>
      <c r="B13" s="50" t="str">
        <f>Monitor!C31</f>
        <v>Fluidstack (Google backstop) 366MW / Core42 60MW</v>
      </c>
    </row>
    <row r="15" spans="1:4" x14ac:dyDescent="0.25">
      <c r="A15" s="4" t="s">
        <v>672</v>
      </c>
      <c r="B15" s="5"/>
      <c r="C15" s="5"/>
      <c r="D15" s="5"/>
    </row>
    <row r="16" spans="1:4" ht="55.9" customHeight="1" x14ac:dyDescent="0.25">
      <c r="A16" s="51" t="s">
        <v>192</v>
      </c>
      <c r="B16" s="52" t="s">
        <v>242</v>
      </c>
    </row>
    <row r="18" spans="1:4" x14ac:dyDescent="0.25">
      <c r="A18" s="4" t="s">
        <v>673</v>
      </c>
      <c r="B18" s="5"/>
      <c r="C18" s="4" t="s">
        <v>674</v>
      </c>
      <c r="D18" s="4" t="s">
        <v>675</v>
      </c>
    </row>
    <row r="19" spans="1:4" ht="16.149999999999999" customHeight="1" x14ac:dyDescent="0.25">
      <c r="A19" s="53" t="s">
        <v>676</v>
      </c>
      <c r="B19" s="54" t="s">
        <v>4233</v>
      </c>
      <c r="C19" s="55" t="s">
        <v>2407</v>
      </c>
      <c r="D19" s="56" t="s">
        <v>679</v>
      </c>
    </row>
    <row r="20" spans="1:4" ht="29.45" customHeight="1" x14ac:dyDescent="0.25">
      <c r="A20" s="53" t="s">
        <v>1409</v>
      </c>
      <c r="B20" s="54" t="s">
        <v>4234</v>
      </c>
      <c r="C20" s="55" t="s">
        <v>2407</v>
      </c>
      <c r="D20" s="56" t="s">
        <v>679</v>
      </c>
    </row>
    <row r="21" spans="1:4" ht="29.45" customHeight="1" x14ac:dyDescent="0.25">
      <c r="A21" s="53" t="s">
        <v>3390</v>
      </c>
      <c r="B21" s="54" t="s">
        <v>4235</v>
      </c>
      <c r="C21" s="55" t="s">
        <v>2587</v>
      </c>
      <c r="D21" s="56" t="s">
        <v>679</v>
      </c>
    </row>
    <row r="22" spans="1:4" ht="16.149999999999999" customHeight="1" x14ac:dyDescent="0.25">
      <c r="A22" s="53" t="s">
        <v>3392</v>
      </c>
      <c r="B22" s="54" t="s">
        <v>4236</v>
      </c>
      <c r="C22" s="55" t="s">
        <v>3548</v>
      </c>
      <c r="D22" s="56" t="s">
        <v>679</v>
      </c>
    </row>
    <row r="23" spans="1:4" ht="29.45" customHeight="1" x14ac:dyDescent="0.25">
      <c r="A23" s="53" t="s">
        <v>4237</v>
      </c>
      <c r="B23" s="54" t="s">
        <v>4238</v>
      </c>
      <c r="C23" s="55" t="s">
        <v>877</v>
      </c>
      <c r="D23" s="57" t="s">
        <v>690</v>
      </c>
    </row>
    <row r="24" spans="1:4" ht="42.6" customHeight="1" x14ac:dyDescent="0.25">
      <c r="A24" s="53" t="s">
        <v>1417</v>
      </c>
      <c r="B24" s="54" t="s">
        <v>4239</v>
      </c>
      <c r="C24" s="55" t="s">
        <v>2421</v>
      </c>
      <c r="D24" s="56" t="s">
        <v>679</v>
      </c>
    </row>
    <row r="25" spans="1:4" ht="29.45" customHeight="1" x14ac:dyDescent="0.25">
      <c r="A25" s="53" t="s">
        <v>705</v>
      </c>
      <c r="B25" s="54" t="s">
        <v>4240</v>
      </c>
      <c r="C25" s="55" t="s">
        <v>2482</v>
      </c>
      <c r="D25" s="56" t="s">
        <v>679</v>
      </c>
    </row>
    <row r="26" spans="1:4" ht="29.45" customHeight="1" x14ac:dyDescent="0.25">
      <c r="A26" s="53" t="s">
        <v>2873</v>
      </c>
      <c r="B26" s="54" t="s">
        <v>4241</v>
      </c>
      <c r="C26" s="55" t="s">
        <v>2482</v>
      </c>
      <c r="D26" s="56" t="s">
        <v>679</v>
      </c>
    </row>
    <row r="27" spans="1:4" ht="55.9" customHeight="1" x14ac:dyDescent="0.25">
      <c r="A27" s="53" t="s">
        <v>4242</v>
      </c>
      <c r="B27" s="54" t="s">
        <v>4243</v>
      </c>
      <c r="C27" s="55" t="s">
        <v>684</v>
      </c>
      <c r="D27" s="56" t="s">
        <v>679</v>
      </c>
    </row>
    <row r="28" spans="1:4" ht="16.149999999999999" customHeight="1" x14ac:dyDescent="0.25">
      <c r="A28" s="53" t="s">
        <v>1902</v>
      </c>
      <c r="B28" s="54" t="s">
        <v>2126</v>
      </c>
      <c r="C28" s="55" t="s">
        <v>678</v>
      </c>
      <c r="D28" s="56" t="s">
        <v>679</v>
      </c>
    </row>
    <row r="29" spans="1:4" ht="16.149999999999999" customHeight="1" x14ac:dyDescent="0.25">
      <c r="A29" s="53" t="s">
        <v>4244</v>
      </c>
      <c r="B29" s="54" t="s">
        <v>4245</v>
      </c>
      <c r="C29" s="55" t="s">
        <v>684</v>
      </c>
      <c r="D29" s="56" t="s">
        <v>679</v>
      </c>
    </row>
    <row r="30" spans="1:4" ht="16.149999999999999" customHeight="1" x14ac:dyDescent="0.25">
      <c r="A30" s="53" t="s">
        <v>699</v>
      </c>
      <c r="B30" s="54" t="s">
        <v>4246</v>
      </c>
      <c r="C30" s="55" t="s">
        <v>684</v>
      </c>
      <c r="D30" s="56" t="s">
        <v>679</v>
      </c>
    </row>
    <row r="31" spans="1:4" ht="29.45" customHeight="1" x14ac:dyDescent="0.25">
      <c r="A31" s="53" t="s">
        <v>695</v>
      </c>
      <c r="B31" s="54" t="s">
        <v>4247</v>
      </c>
      <c r="C31" s="55" t="s">
        <v>966</v>
      </c>
      <c r="D31" s="56" t="s">
        <v>679</v>
      </c>
    </row>
    <row r="33" spans="1:4" x14ac:dyDescent="0.25">
      <c r="A33" s="4" t="s">
        <v>717</v>
      </c>
      <c r="B33" s="5"/>
      <c r="C33" s="4" t="s">
        <v>674</v>
      </c>
      <c r="D33" s="4" t="s">
        <v>675</v>
      </c>
    </row>
    <row r="34" spans="1:4" ht="29.45" customHeight="1" x14ac:dyDescent="0.25">
      <c r="A34" s="53" t="s">
        <v>2409</v>
      </c>
      <c r="B34" s="54" t="s">
        <v>4248</v>
      </c>
      <c r="C34" s="55" t="s">
        <v>2421</v>
      </c>
      <c r="D34" s="56" t="s">
        <v>679</v>
      </c>
    </row>
    <row r="35" spans="1:4" ht="29.45" customHeight="1" x14ac:dyDescent="0.25">
      <c r="A35" s="53" t="s">
        <v>2878</v>
      </c>
      <c r="B35" s="54" t="s">
        <v>4249</v>
      </c>
      <c r="C35" s="55" t="s">
        <v>4250</v>
      </c>
      <c r="D35" s="56" t="s">
        <v>679</v>
      </c>
    </row>
    <row r="36" spans="1:4" ht="29.45" customHeight="1" x14ac:dyDescent="0.25">
      <c r="A36" s="53" t="s">
        <v>3405</v>
      </c>
      <c r="B36" s="54" t="s">
        <v>4251</v>
      </c>
      <c r="C36" s="55" t="s">
        <v>2587</v>
      </c>
      <c r="D36" s="56" t="s">
        <v>679</v>
      </c>
    </row>
    <row r="37" spans="1:4" ht="29.45" customHeight="1" x14ac:dyDescent="0.25">
      <c r="A37" s="53" t="s">
        <v>722</v>
      </c>
      <c r="B37" s="54" t="s">
        <v>4252</v>
      </c>
      <c r="C37" s="55" t="s">
        <v>2482</v>
      </c>
      <c r="D37" s="56" t="s">
        <v>679</v>
      </c>
    </row>
    <row r="39" spans="1:4" x14ac:dyDescent="0.25">
      <c r="A39" s="4" t="s">
        <v>728</v>
      </c>
      <c r="B39" s="5"/>
      <c r="C39" s="4" t="s">
        <v>674</v>
      </c>
      <c r="D39" s="4" t="s">
        <v>675</v>
      </c>
    </row>
    <row r="40" spans="1:4" ht="16.149999999999999" customHeight="1" x14ac:dyDescent="0.25">
      <c r="A40" s="53" t="s">
        <v>729</v>
      </c>
      <c r="B40" s="54" t="s">
        <v>4253</v>
      </c>
      <c r="C40" s="55" t="s">
        <v>689</v>
      </c>
      <c r="D40" s="57" t="s">
        <v>690</v>
      </c>
    </row>
    <row r="41" spans="1:4" ht="29.45" customHeight="1" x14ac:dyDescent="0.25">
      <c r="A41" s="53" t="s">
        <v>4254</v>
      </c>
      <c r="B41" s="54" t="s">
        <v>4255</v>
      </c>
      <c r="C41" s="55" t="s">
        <v>4256</v>
      </c>
      <c r="D41" s="56" t="s">
        <v>679</v>
      </c>
    </row>
    <row r="42" spans="1:4" ht="29.45" customHeight="1" x14ac:dyDescent="0.25">
      <c r="A42" s="53" t="s">
        <v>4257</v>
      </c>
      <c r="B42" s="54" t="s">
        <v>4258</v>
      </c>
      <c r="C42" s="55" t="s">
        <v>3589</v>
      </c>
      <c r="D42" s="56" t="s">
        <v>679</v>
      </c>
    </row>
    <row r="43" spans="1:4" ht="29.45" customHeight="1" x14ac:dyDescent="0.25">
      <c r="A43" s="53" t="s">
        <v>4259</v>
      </c>
      <c r="B43" s="54" t="s">
        <v>4260</v>
      </c>
      <c r="C43" s="55" t="s">
        <v>4261</v>
      </c>
      <c r="D43" s="57" t="s">
        <v>690</v>
      </c>
    </row>
    <row r="45" spans="1:4" x14ac:dyDescent="0.25">
      <c r="A45" s="4" t="s">
        <v>740</v>
      </c>
      <c r="B45" s="5"/>
      <c r="C45" s="4" t="s">
        <v>674</v>
      </c>
      <c r="D45" s="4" t="s">
        <v>675</v>
      </c>
    </row>
    <row r="46" spans="1:4" ht="29.45" customHeight="1" x14ac:dyDescent="0.25">
      <c r="A46" s="53" t="s">
        <v>4262</v>
      </c>
      <c r="B46" s="54" t="s">
        <v>4263</v>
      </c>
      <c r="C46" s="55" t="s">
        <v>3461</v>
      </c>
      <c r="D46" s="56" t="s">
        <v>679</v>
      </c>
    </row>
    <row r="47" spans="1:4" ht="16.149999999999999" customHeight="1" x14ac:dyDescent="0.25">
      <c r="A47" s="53" t="s">
        <v>4264</v>
      </c>
      <c r="B47" s="54" t="s">
        <v>4265</v>
      </c>
      <c r="C47" s="55" t="s">
        <v>3586</v>
      </c>
      <c r="D47" s="56" t="s">
        <v>679</v>
      </c>
    </row>
    <row r="48" spans="1:4" ht="42.6" customHeight="1" x14ac:dyDescent="0.25">
      <c r="A48" s="53" t="s">
        <v>4266</v>
      </c>
      <c r="B48" s="54" t="s">
        <v>4267</v>
      </c>
      <c r="C48" s="55" t="s">
        <v>4268</v>
      </c>
      <c r="D48" s="57" t="s">
        <v>690</v>
      </c>
    </row>
    <row r="49" spans="1:4" ht="16.149999999999999" customHeight="1" x14ac:dyDescent="0.25">
      <c r="A49" s="53" t="s">
        <v>4269</v>
      </c>
      <c r="B49" s="54" t="s">
        <v>4270</v>
      </c>
      <c r="C49" s="55" t="s">
        <v>3550</v>
      </c>
      <c r="D49" s="56" t="s">
        <v>679</v>
      </c>
    </row>
    <row r="50" spans="1:4" ht="42.6" customHeight="1" x14ac:dyDescent="0.25">
      <c r="A50" s="53" t="s">
        <v>751</v>
      </c>
      <c r="B50" s="54" t="s">
        <v>4271</v>
      </c>
      <c r="C50" s="55" t="s">
        <v>3589</v>
      </c>
      <c r="D50" s="57" t="s">
        <v>690</v>
      </c>
    </row>
    <row r="51" spans="1:4" ht="29.45" customHeight="1" x14ac:dyDescent="0.25">
      <c r="A51" s="53" t="s">
        <v>259</v>
      </c>
      <c r="B51" s="54" t="s">
        <v>4272</v>
      </c>
      <c r="C51" s="55" t="s">
        <v>877</v>
      </c>
      <c r="D51" s="58" t="s">
        <v>698</v>
      </c>
    </row>
    <row r="52" spans="1:4" ht="29.45" customHeight="1" x14ac:dyDescent="0.25">
      <c r="A52" s="53" t="s">
        <v>4273</v>
      </c>
      <c r="B52" s="54" t="s">
        <v>4274</v>
      </c>
      <c r="C52" s="55" t="s">
        <v>4275</v>
      </c>
      <c r="D52" s="56" t="s">
        <v>679</v>
      </c>
    </row>
    <row r="53" spans="1:4" ht="29.45" customHeight="1" x14ac:dyDescent="0.25">
      <c r="A53" s="53" t="s">
        <v>4276</v>
      </c>
      <c r="B53" s="54" t="s">
        <v>4277</v>
      </c>
      <c r="C53" s="55" t="s">
        <v>962</v>
      </c>
      <c r="D53" s="56" t="s">
        <v>679</v>
      </c>
    </row>
    <row r="55" spans="1:4" x14ac:dyDescent="0.25">
      <c r="A55" s="4" t="s">
        <v>762</v>
      </c>
      <c r="B55" s="5"/>
      <c r="C55" s="4" t="s">
        <v>674</v>
      </c>
      <c r="D55" s="4" t="s">
        <v>675</v>
      </c>
    </row>
    <row r="56" spans="1:4" ht="16.149999999999999" customHeight="1" x14ac:dyDescent="0.25">
      <c r="A56" s="53" t="s">
        <v>984</v>
      </c>
      <c r="B56" s="54" t="s">
        <v>4278</v>
      </c>
      <c r="C56" s="55" t="s">
        <v>877</v>
      </c>
      <c r="D56" s="56" t="s">
        <v>679</v>
      </c>
    </row>
    <row r="57" spans="1:4" ht="29.45" customHeight="1" x14ac:dyDescent="0.25">
      <c r="A57" s="53" t="s">
        <v>986</v>
      </c>
      <c r="B57" s="54" t="s">
        <v>4279</v>
      </c>
      <c r="C57" s="55" t="s">
        <v>4280</v>
      </c>
      <c r="D57" s="57" t="s">
        <v>690</v>
      </c>
    </row>
    <row r="58" spans="1:4" ht="29.45" customHeight="1" x14ac:dyDescent="0.25">
      <c r="A58" s="53" t="s">
        <v>4281</v>
      </c>
      <c r="B58" s="54" t="s">
        <v>4282</v>
      </c>
      <c r="C58" s="55" t="s">
        <v>3419</v>
      </c>
      <c r="D58" s="57" t="s">
        <v>690</v>
      </c>
    </row>
    <row r="59" spans="1:4" ht="16.149999999999999" customHeight="1" x14ac:dyDescent="0.25">
      <c r="A59" s="53" t="s">
        <v>1958</v>
      </c>
      <c r="B59" s="54" t="s">
        <v>4283</v>
      </c>
      <c r="C59" s="55" t="s">
        <v>689</v>
      </c>
      <c r="D59" s="57" t="s">
        <v>690</v>
      </c>
    </row>
    <row r="60" spans="1:4" ht="16.149999999999999" customHeight="1" x14ac:dyDescent="0.25">
      <c r="A60" s="53" t="s">
        <v>1679</v>
      </c>
      <c r="B60" s="54" t="s">
        <v>4284</v>
      </c>
      <c r="C60" s="55" t="s">
        <v>2121</v>
      </c>
      <c r="D60" s="57" t="s">
        <v>690</v>
      </c>
    </row>
    <row r="62" spans="1:4" x14ac:dyDescent="0.25">
      <c r="A62" s="4" t="s">
        <v>773</v>
      </c>
      <c r="B62" s="5"/>
      <c r="C62" s="4" t="s">
        <v>674</v>
      </c>
      <c r="D62" s="4" t="s">
        <v>675</v>
      </c>
    </row>
    <row r="63" spans="1:4" ht="29.45" customHeight="1" x14ac:dyDescent="0.25">
      <c r="A63" s="53" t="s">
        <v>2167</v>
      </c>
      <c r="B63" s="54" t="s">
        <v>4285</v>
      </c>
      <c r="C63" s="55" t="s">
        <v>737</v>
      </c>
      <c r="D63" s="57" t="s">
        <v>690</v>
      </c>
    </row>
    <row r="64" spans="1:4" ht="16.149999999999999" customHeight="1" x14ac:dyDescent="0.25">
      <c r="A64" s="53" t="s">
        <v>4286</v>
      </c>
      <c r="B64" s="54" t="s">
        <v>4287</v>
      </c>
      <c r="C64" s="55" t="s">
        <v>689</v>
      </c>
      <c r="D64" s="57" t="s">
        <v>690</v>
      </c>
    </row>
    <row r="65" spans="1:4" ht="29.45" customHeight="1" x14ac:dyDescent="0.25">
      <c r="A65" s="53" t="s">
        <v>4288</v>
      </c>
      <c r="B65" s="54" t="s">
        <v>4289</v>
      </c>
      <c r="C65" s="55" t="s">
        <v>877</v>
      </c>
      <c r="D65" s="56" t="s">
        <v>679</v>
      </c>
    </row>
    <row r="67" spans="1:4" x14ac:dyDescent="0.25">
      <c r="A67" s="4" t="s">
        <v>781</v>
      </c>
      <c r="B67" s="5"/>
      <c r="C67" s="4" t="s">
        <v>674</v>
      </c>
      <c r="D67" s="4" t="s">
        <v>675</v>
      </c>
    </row>
    <row r="68" spans="1:4" ht="16.149999999999999" customHeight="1" x14ac:dyDescent="0.25">
      <c r="A68" s="53" t="s">
        <v>998</v>
      </c>
      <c r="B68" s="54" t="s">
        <v>4290</v>
      </c>
      <c r="C68" s="55" t="s">
        <v>684</v>
      </c>
      <c r="D68" s="57" t="s">
        <v>690</v>
      </c>
    </row>
    <row r="69" spans="1:4" ht="29.45" customHeight="1" x14ac:dyDescent="0.25">
      <c r="A69" s="53" t="s">
        <v>4291</v>
      </c>
      <c r="B69" s="54" t="s">
        <v>4292</v>
      </c>
      <c r="C69" s="55" t="s">
        <v>4293</v>
      </c>
      <c r="D69" s="56" t="s">
        <v>679</v>
      </c>
    </row>
    <row r="70" spans="1:4" ht="29.45" customHeight="1" x14ac:dyDescent="0.25">
      <c r="A70" s="53" t="s">
        <v>1968</v>
      </c>
      <c r="B70" s="54" t="s">
        <v>4294</v>
      </c>
      <c r="C70" s="55" t="s">
        <v>689</v>
      </c>
      <c r="D70" s="57" t="s">
        <v>690</v>
      </c>
    </row>
    <row r="71" spans="1:4" ht="16.149999999999999" customHeight="1" x14ac:dyDescent="0.25">
      <c r="A71" s="53" t="s">
        <v>4295</v>
      </c>
      <c r="B71" s="54" t="s">
        <v>4296</v>
      </c>
      <c r="C71" s="55" t="s">
        <v>776</v>
      </c>
      <c r="D71" s="57" t="s">
        <v>690</v>
      </c>
    </row>
    <row r="72" spans="1:4" ht="16.149999999999999" customHeight="1" x14ac:dyDescent="0.25">
      <c r="A72" s="53" t="s">
        <v>3438</v>
      </c>
      <c r="B72" s="54" t="s">
        <v>4297</v>
      </c>
      <c r="C72" s="55" t="s">
        <v>2482</v>
      </c>
      <c r="D72" s="56" t="s">
        <v>679</v>
      </c>
    </row>
    <row r="74" spans="1:4" x14ac:dyDescent="0.25">
      <c r="A74" s="4" t="s">
        <v>792</v>
      </c>
      <c r="B74" s="5"/>
      <c r="C74" s="4" t="s">
        <v>674</v>
      </c>
      <c r="D74" s="4" t="s">
        <v>675</v>
      </c>
    </row>
    <row r="75" spans="1:4" ht="29.45" customHeight="1" x14ac:dyDescent="0.25">
      <c r="A75" s="53" t="s">
        <v>793</v>
      </c>
      <c r="B75" s="54" t="s">
        <v>4298</v>
      </c>
      <c r="C75" s="55" t="s">
        <v>877</v>
      </c>
      <c r="D75" s="58" t="s">
        <v>698</v>
      </c>
    </row>
    <row r="76" spans="1:4" ht="29.45" customHeight="1" x14ac:dyDescent="0.25">
      <c r="A76" s="53" t="s">
        <v>1990</v>
      </c>
      <c r="B76" s="54" t="s">
        <v>4299</v>
      </c>
      <c r="C76" s="55" t="s">
        <v>684</v>
      </c>
      <c r="D76" s="56" t="s">
        <v>679</v>
      </c>
    </row>
    <row r="77" spans="1:4" ht="29.45" customHeight="1" x14ac:dyDescent="0.25">
      <c r="A77" s="53" t="s">
        <v>4300</v>
      </c>
      <c r="B77" s="54" t="s">
        <v>4301</v>
      </c>
      <c r="C77" s="55" t="s">
        <v>684</v>
      </c>
      <c r="D77" s="56" t="s">
        <v>679</v>
      </c>
    </row>
    <row r="78" spans="1:4" ht="29.45" customHeight="1" x14ac:dyDescent="0.25">
      <c r="A78" s="53" t="s">
        <v>4302</v>
      </c>
      <c r="B78" s="54" t="s">
        <v>4303</v>
      </c>
      <c r="C78" s="55" t="s">
        <v>2403</v>
      </c>
      <c r="D78" s="57" t="s">
        <v>690</v>
      </c>
    </row>
    <row r="80" spans="1:4" x14ac:dyDescent="0.25">
      <c r="A80" s="4" t="s">
        <v>804</v>
      </c>
      <c r="B80" s="5"/>
      <c r="C80" s="4" t="s">
        <v>674</v>
      </c>
      <c r="D80" s="4" t="s">
        <v>675</v>
      </c>
    </row>
    <row r="81" spans="1:4" ht="29.45" customHeight="1" x14ac:dyDescent="0.25">
      <c r="A81" s="53" t="s">
        <v>2466</v>
      </c>
      <c r="B81" s="54" t="s">
        <v>4304</v>
      </c>
      <c r="C81" s="55" t="s">
        <v>3586</v>
      </c>
      <c r="D81" s="56" t="s">
        <v>679</v>
      </c>
    </row>
    <row r="82" spans="1:4" ht="29.45" customHeight="1" x14ac:dyDescent="0.25">
      <c r="A82" s="53" t="s">
        <v>1123</v>
      </c>
      <c r="B82" s="54" t="s">
        <v>4305</v>
      </c>
      <c r="C82" s="55" t="s">
        <v>4306</v>
      </c>
      <c r="D82" s="57" t="s">
        <v>690</v>
      </c>
    </row>
    <row r="83" spans="1:4" ht="29.45" customHeight="1" x14ac:dyDescent="0.25">
      <c r="A83" s="53" t="s">
        <v>4307</v>
      </c>
      <c r="B83" s="54" t="s">
        <v>4308</v>
      </c>
      <c r="C83" s="55" t="s">
        <v>877</v>
      </c>
      <c r="D83" s="56" t="s">
        <v>679</v>
      </c>
    </row>
    <row r="84" spans="1:4" ht="29.45" customHeight="1" x14ac:dyDescent="0.25">
      <c r="A84" s="53" t="s">
        <v>4309</v>
      </c>
      <c r="B84" s="54" t="s">
        <v>4310</v>
      </c>
      <c r="C84" s="55" t="s">
        <v>877</v>
      </c>
      <c r="D84" s="56" t="s">
        <v>679</v>
      </c>
    </row>
    <row r="85" spans="1:4" ht="16.149999999999999" customHeight="1" x14ac:dyDescent="0.25">
      <c r="A85" s="53" t="s">
        <v>4311</v>
      </c>
      <c r="B85" s="54" t="s">
        <v>4312</v>
      </c>
      <c r="C85" s="55" t="s">
        <v>962</v>
      </c>
      <c r="D85" s="56" t="s">
        <v>679</v>
      </c>
    </row>
    <row r="86" spans="1:4" ht="29.45" customHeight="1" x14ac:dyDescent="0.25">
      <c r="A86" s="53" t="s">
        <v>3450</v>
      </c>
      <c r="B86" s="54" t="s">
        <v>4313</v>
      </c>
      <c r="C86" s="55" t="s">
        <v>747</v>
      </c>
      <c r="D86" s="56" t="s">
        <v>679</v>
      </c>
    </row>
    <row r="88" spans="1:4" x14ac:dyDescent="0.25">
      <c r="A88" s="4" t="s">
        <v>813</v>
      </c>
      <c r="B88" s="5"/>
      <c r="C88" s="4" t="s">
        <v>674</v>
      </c>
      <c r="D88" s="4" t="s">
        <v>675</v>
      </c>
    </row>
    <row r="89" spans="1:4" ht="29.45" customHeight="1" x14ac:dyDescent="0.25">
      <c r="A89" s="53" t="s">
        <v>1996</v>
      </c>
      <c r="B89" s="54" t="s">
        <v>4314</v>
      </c>
      <c r="C89" s="55" t="s">
        <v>2482</v>
      </c>
      <c r="D89" s="56" t="s">
        <v>679</v>
      </c>
    </row>
    <row r="90" spans="1:4" ht="16.149999999999999" customHeight="1" x14ac:dyDescent="0.25">
      <c r="A90" s="53" t="s">
        <v>2194</v>
      </c>
      <c r="B90" s="54" t="s">
        <v>4315</v>
      </c>
      <c r="C90" s="55" t="s">
        <v>3548</v>
      </c>
      <c r="D90" s="56" t="s">
        <v>679</v>
      </c>
    </row>
    <row r="91" spans="1:4" ht="16.149999999999999" customHeight="1" x14ac:dyDescent="0.25">
      <c r="A91" s="53" t="s">
        <v>2957</v>
      </c>
      <c r="B91" s="54" t="s">
        <v>4316</v>
      </c>
      <c r="C91" s="55" t="s">
        <v>684</v>
      </c>
      <c r="D91" s="56" t="s">
        <v>679</v>
      </c>
    </row>
    <row r="92" spans="1:4" ht="16.149999999999999" customHeight="1" x14ac:dyDescent="0.25">
      <c r="A92" s="53" t="s">
        <v>4317</v>
      </c>
      <c r="B92" s="54" t="s">
        <v>4318</v>
      </c>
      <c r="C92" s="55" t="s">
        <v>684</v>
      </c>
      <c r="D92" s="57" t="s">
        <v>690</v>
      </c>
    </row>
    <row r="94" spans="1:4" x14ac:dyDescent="0.25">
      <c r="A94" s="4" t="s">
        <v>826</v>
      </c>
      <c r="B94" s="5"/>
      <c r="C94" s="4" t="s">
        <v>674</v>
      </c>
      <c r="D94" s="4" t="s">
        <v>675</v>
      </c>
    </row>
    <row r="95" spans="1:4" ht="16.149999999999999" customHeight="1" x14ac:dyDescent="0.25">
      <c r="A95" s="53" t="s">
        <v>826</v>
      </c>
      <c r="B95" s="54" t="s">
        <v>4319</v>
      </c>
      <c r="C95" s="55" t="s">
        <v>753</v>
      </c>
      <c r="D95" s="58" t="s">
        <v>698</v>
      </c>
    </row>
    <row r="97" spans="1:4" x14ac:dyDescent="0.25">
      <c r="A97" s="4" t="s">
        <v>833</v>
      </c>
      <c r="B97" s="5"/>
      <c r="C97" s="4" t="s">
        <v>674</v>
      </c>
      <c r="D97" s="4" t="s">
        <v>675</v>
      </c>
    </row>
    <row r="98" spans="1:4" ht="16.149999999999999" customHeight="1" x14ac:dyDescent="0.25">
      <c r="A98" s="53" t="s">
        <v>1205</v>
      </c>
      <c r="B98" s="54" t="s">
        <v>4320</v>
      </c>
      <c r="C98" s="55" t="s">
        <v>678</v>
      </c>
      <c r="D98" s="56" t="s">
        <v>679</v>
      </c>
    </row>
    <row r="100" spans="1:4" x14ac:dyDescent="0.25">
      <c r="A100" s="4" t="s">
        <v>836</v>
      </c>
      <c r="B100" s="5"/>
      <c r="C100" s="4" t="s">
        <v>674</v>
      </c>
      <c r="D100" s="4" t="s">
        <v>675</v>
      </c>
    </row>
    <row r="101" spans="1:4" ht="16.149999999999999" customHeight="1" x14ac:dyDescent="0.25">
      <c r="A101" s="53" t="s">
        <v>4321</v>
      </c>
      <c r="B101" s="54" t="s">
        <v>4322</v>
      </c>
      <c r="C101" s="55" t="s">
        <v>4323</v>
      </c>
      <c r="D101" s="56" t="s">
        <v>679</v>
      </c>
    </row>
    <row r="102" spans="1:4" ht="16.149999999999999" customHeight="1" x14ac:dyDescent="0.25">
      <c r="A102" s="53" t="s">
        <v>4324</v>
      </c>
      <c r="B102" s="54" t="s">
        <v>4325</v>
      </c>
      <c r="C102" s="55" t="s">
        <v>4326</v>
      </c>
      <c r="D102" s="56" t="s">
        <v>679</v>
      </c>
    </row>
    <row r="103" spans="1:4" ht="16.149999999999999" customHeight="1" x14ac:dyDescent="0.25">
      <c r="A103" s="53" t="s">
        <v>735</v>
      </c>
      <c r="B103" s="54" t="s">
        <v>4327</v>
      </c>
      <c r="C103" s="55" t="s">
        <v>4328</v>
      </c>
      <c r="D103" s="56" t="s">
        <v>679</v>
      </c>
    </row>
    <row r="104" spans="1:4" ht="16.149999999999999" customHeight="1" x14ac:dyDescent="0.25">
      <c r="A104" s="53" t="s">
        <v>1207</v>
      </c>
      <c r="B104" s="54" t="s">
        <v>4329</v>
      </c>
      <c r="C104" s="55" t="s">
        <v>877</v>
      </c>
      <c r="D104" s="56" t="s">
        <v>679</v>
      </c>
    </row>
    <row r="105" spans="1:4" ht="16.149999999999999" customHeight="1" x14ac:dyDescent="0.25">
      <c r="A105" s="53" t="s">
        <v>4330</v>
      </c>
      <c r="B105" s="54" t="s">
        <v>4331</v>
      </c>
      <c r="C105" s="55" t="s">
        <v>877</v>
      </c>
      <c r="D105" s="56" t="s">
        <v>679</v>
      </c>
    </row>
    <row r="106" spans="1:4" ht="16.149999999999999" customHeight="1" x14ac:dyDescent="0.25">
      <c r="A106" s="53" t="s">
        <v>1187</v>
      </c>
      <c r="B106" s="54" t="s">
        <v>4332</v>
      </c>
      <c r="C106" s="55" t="s">
        <v>684</v>
      </c>
      <c r="D106" s="56" t="s">
        <v>679</v>
      </c>
    </row>
    <row r="108" spans="1:4" x14ac:dyDescent="0.25">
      <c r="A108" s="4" t="s">
        <v>855</v>
      </c>
      <c r="B108" s="5"/>
      <c r="C108" s="4" t="s">
        <v>674</v>
      </c>
      <c r="D108" s="4" t="s">
        <v>675</v>
      </c>
    </row>
    <row r="109" spans="1:4" ht="16.149999999999999" customHeight="1" x14ac:dyDescent="0.25">
      <c r="A109" s="53" t="s">
        <v>4333</v>
      </c>
      <c r="B109" s="54" t="s">
        <v>4334</v>
      </c>
      <c r="C109" s="55" t="s">
        <v>689</v>
      </c>
      <c r="D109" s="56" t="s">
        <v>679</v>
      </c>
    </row>
    <row r="110" spans="1:4" ht="16.149999999999999" customHeight="1" x14ac:dyDescent="0.25">
      <c r="A110" s="53" t="s">
        <v>4335</v>
      </c>
      <c r="B110" s="54" t="s">
        <v>4336</v>
      </c>
      <c r="C110" s="55" t="s">
        <v>877</v>
      </c>
      <c r="D110" s="56" t="s">
        <v>679</v>
      </c>
    </row>
    <row r="111" spans="1:4" ht="16.149999999999999" customHeight="1" x14ac:dyDescent="0.25">
      <c r="A111" s="53" t="s">
        <v>2991</v>
      </c>
      <c r="B111" s="54" t="s">
        <v>4337</v>
      </c>
      <c r="C111" s="55" t="s">
        <v>689</v>
      </c>
      <c r="D111" s="56" t="s">
        <v>679</v>
      </c>
    </row>
    <row r="112" spans="1:4" ht="16.149999999999999" customHeight="1" x14ac:dyDescent="0.25">
      <c r="A112" s="53" t="s">
        <v>4338</v>
      </c>
      <c r="B112" s="54" t="s">
        <v>4339</v>
      </c>
      <c r="C112" s="55" t="s">
        <v>3643</v>
      </c>
      <c r="D112" s="56" t="s">
        <v>679</v>
      </c>
    </row>
    <row r="114" spans="1:4" x14ac:dyDescent="0.25">
      <c r="A114" s="4" t="s">
        <v>868</v>
      </c>
      <c r="B114" s="5"/>
      <c r="C114" s="4" t="s">
        <v>674</v>
      </c>
      <c r="D114" s="5"/>
    </row>
    <row r="115" spans="1:4" ht="16.149999999999999" customHeight="1" x14ac:dyDescent="0.25">
      <c r="A115" s="61" t="s">
        <v>1226</v>
      </c>
      <c r="B115" s="54" t="s">
        <v>4340</v>
      </c>
      <c r="C115" s="55" t="s">
        <v>877</v>
      </c>
      <c r="D115" s="62"/>
    </row>
    <row r="116" spans="1:4" ht="16.149999999999999" customHeight="1" x14ac:dyDescent="0.25">
      <c r="A116" s="61" t="s">
        <v>4341</v>
      </c>
      <c r="B116" s="54" t="s">
        <v>4342</v>
      </c>
      <c r="C116" s="55" t="s">
        <v>731</v>
      </c>
      <c r="D116" s="62"/>
    </row>
    <row r="117" spans="1:4" ht="16.149999999999999" customHeight="1" x14ac:dyDescent="0.25">
      <c r="A117" s="61" t="s">
        <v>2215</v>
      </c>
      <c r="B117" s="54" t="s">
        <v>4343</v>
      </c>
      <c r="C117" s="55" t="s">
        <v>737</v>
      </c>
      <c r="D117" s="62"/>
    </row>
    <row r="118" spans="1:4" ht="16.149999999999999" customHeight="1" x14ac:dyDescent="0.25">
      <c r="A118" s="61" t="s">
        <v>4344</v>
      </c>
      <c r="B118" s="54" t="s">
        <v>4345</v>
      </c>
      <c r="C118" s="55" t="s">
        <v>962</v>
      </c>
      <c r="D118" s="62"/>
    </row>
    <row r="119" spans="1:4" ht="16.149999999999999" customHeight="1" x14ac:dyDescent="0.25">
      <c r="A119" s="61" t="s">
        <v>1230</v>
      </c>
      <c r="B119" s="54" t="s">
        <v>4346</v>
      </c>
      <c r="C119" s="55" t="s">
        <v>753</v>
      </c>
      <c r="D119" s="62"/>
    </row>
    <row r="120" spans="1:4" ht="16.149999999999999" customHeight="1" x14ac:dyDescent="0.25">
      <c r="A120" s="61" t="s">
        <v>4347</v>
      </c>
      <c r="B120" s="54" t="s">
        <v>4348</v>
      </c>
      <c r="C120" s="55" t="s">
        <v>678</v>
      </c>
      <c r="D120" s="62"/>
    </row>
    <row r="121" spans="1:4" ht="16.149999999999999" customHeight="1" x14ac:dyDescent="0.25">
      <c r="A121" s="61" t="s">
        <v>3596</v>
      </c>
      <c r="B121" s="54" t="s">
        <v>4349</v>
      </c>
      <c r="C121" s="55" t="s">
        <v>844</v>
      </c>
      <c r="D121" s="62"/>
    </row>
    <row r="122" spans="1:4" ht="16.149999999999999" customHeight="1" x14ac:dyDescent="0.25">
      <c r="A122" s="61" t="s">
        <v>1732</v>
      </c>
      <c r="B122" s="54" t="s">
        <v>4350</v>
      </c>
      <c r="C122" s="55" t="s">
        <v>689</v>
      </c>
      <c r="D122" s="62"/>
    </row>
    <row r="123" spans="1:4" ht="16.149999999999999" customHeight="1" x14ac:dyDescent="0.25">
      <c r="A123" s="61" t="s">
        <v>1732</v>
      </c>
      <c r="B123" s="54" t="s">
        <v>4351</v>
      </c>
      <c r="C123" s="55" t="s">
        <v>877</v>
      </c>
      <c r="D123" s="62"/>
    </row>
    <row r="124" spans="1:4" ht="16.149999999999999" customHeight="1" x14ac:dyDescent="0.25">
      <c r="A124" s="61" t="s">
        <v>3486</v>
      </c>
      <c r="B124" s="54" t="s">
        <v>4352</v>
      </c>
      <c r="C124" s="55" t="s">
        <v>841</v>
      </c>
      <c r="D124" s="62"/>
    </row>
    <row r="125" spans="1:4" ht="16.149999999999999" customHeight="1" x14ac:dyDescent="0.25">
      <c r="A125" s="61" t="s">
        <v>3488</v>
      </c>
      <c r="B125" s="54" t="s">
        <v>4353</v>
      </c>
      <c r="C125" s="55" t="s">
        <v>689</v>
      </c>
      <c r="D125" s="62"/>
    </row>
    <row r="126" spans="1:4" ht="16.149999999999999" customHeight="1" x14ac:dyDescent="0.25">
      <c r="A126" s="61" t="s">
        <v>4354</v>
      </c>
      <c r="B126" s="54" t="s">
        <v>4355</v>
      </c>
      <c r="C126" s="55" t="s">
        <v>734</v>
      </c>
      <c r="D126" s="62"/>
    </row>
    <row r="128" spans="1:4" x14ac:dyDescent="0.25">
      <c r="A128" s="4" t="s">
        <v>894</v>
      </c>
      <c r="B128" s="5"/>
      <c r="C128" s="5"/>
      <c r="D128" s="5"/>
    </row>
    <row r="129" spans="1:4" ht="29.45" customHeight="1" x14ac:dyDescent="0.25">
      <c r="A129" s="53" t="s">
        <v>4356</v>
      </c>
      <c r="B129" s="54" t="s">
        <v>4357</v>
      </c>
      <c r="C129" s="28" t="s">
        <v>897</v>
      </c>
      <c r="D129" s="62"/>
    </row>
    <row r="130" spans="1:4" ht="29.45" customHeight="1" x14ac:dyDescent="0.25">
      <c r="A130" s="53" t="s">
        <v>4358</v>
      </c>
      <c r="B130" s="54" t="s">
        <v>4359</v>
      </c>
      <c r="C130" s="28" t="s">
        <v>897</v>
      </c>
      <c r="D130" s="62"/>
    </row>
    <row r="131" spans="1:4" ht="29.45" customHeight="1" x14ac:dyDescent="0.25">
      <c r="A131" s="53" t="s">
        <v>4360</v>
      </c>
      <c r="B131" s="54" t="s">
        <v>4361</v>
      </c>
      <c r="C131" s="28" t="s">
        <v>897</v>
      </c>
      <c r="D131" s="62"/>
    </row>
    <row r="132" spans="1:4" ht="29.45" customHeight="1" x14ac:dyDescent="0.25">
      <c r="A132" s="53" t="s">
        <v>4362</v>
      </c>
      <c r="B132" s="54" t="s">
        <v>4363</v>
      </c>
      <c r="C132" s="28" t="s">
        <v>897</v>
      </c>
      <c r="D132" s="62"/>
    </row>
    <row r="133" spans="1:4" ht="29.45" customHeight="1" x14ac:dyDescent="0.25">
      <c r="A133" s="53" t="s">
        <v>4364</v>
      </c>
      <c r="B133" s="54" t="s">
        <v>4365</v>
      </c>
      <c r="C133" s="28" t="s">
        <v>897</v>
      </c>
      <c r="D133" s="62"/>
    </row>
    <row r="134" spans="1:4" ht="29.45" customHeight="1" x14ac:dyDescent="0.25">
      <c r="A134" s="53" t="s">
        <v>4366</v>
      </c>
      <c r="B134" s="54" t="s">
        <v>4367</v>
      </c>
      <c r="C134" s="28" t="s">
        <v>897</v>
      </c>
      <c r="D134" s="62"/>
    </row>
    <row r="135" spans="1:4" ht="29.45" customHeight="1" x14ac:dyDescent="0.25">
      <c r="A135" s="53" t="s">
        <v>4368</v>
      </c>
      <c r="B135" s="54" t="s">
        <v>4369</v>
      </c>
      <c r="C135" s="28" t="s">
        <v>897</v>
      </c>
      <c r="D135" s="62"/>
    </row>
    <row r="136" spans="1:4" ht="29.45" customHeight="1" x14ac:dyDescent="0.25">
      <c r="A136" s="53" t="s">
        <v>4370</v>
      </c>
      <c r="B136" s="54" t="s">
        <v>4371</v>
      </c>
      <c r="C136" s="28" t="s">
        <v>897</v>
      </c>
      <c r="D136" s="62"/>
    </row>
    <row r="137" spans="1:4" ht="29.45" customHeight="1" x14ac:dyDescent="0.25">
      <c r="A137" s="53" t="s">
        <v>4372</v>
      </c>
      <c r="B137" s="54" t="s">
        <v>4373</v>
      </c>
      <c r="C137" s="28" t="s">
        <v>897</v>
      </c>
      <c r="D137" s="62"/>
    </row>
    <row r="138" spans="1:4" ht="29.45" customHeight="1" x14ac:dyDescent="0.25">
      <c r="A138" s="53" t="s">
        <v>4374</v>
      </c>
      <c r="B138" s="54" t="s">
        <v>4375</v>
      </c>
      <c r="C138" s="28" t="s">
        <v>897</v>
      </c>
      <c r="D138" s="62"/>
    </row>
    <row r="139" spans="1:4" ht="29.45" customHeight="1" x14ac:dyDescent="0.25">
      <c r="A139" s="53" t="s">
        <v>4376</v>
      </c>
      <c r="B139" s="54" t="s">
        <v>4377</v>
      </c>
      <c r="C139" s="28" t="s">
        <v>897</v>
      </c>
      <c r="D139" s="62"/>
    </row>
    <row r="140" spans="1:4" ht="29.45" customHeight="1" x14ac:dyDescent="0.25">
      <c r="A140" s="53" t="s">
        <v>4378</v>
      </c>
      <c r="B140" s="54" t="s">
        <v>4379</v>
      </c>
      <c r="C140" s="28" t="s">
        <v>897</v>
      </c>
      <c r="D140" s="62"/>
    </row>
    <row r="141" spans="1:4" ht="29.45" customHeight="1" x14ac:dyDescent="0.25">
      <c r="A141" s="53" t="s">
        <v>4380</v>
      </c>
      <c r="B141" s="54" t="s">
        <v>4381</v>
      </c>
      <c r="C141" s="28" t="s">
        <v>897</v>
      </c>
      <c r="D141" s="62"/>
    </row>
    <row r="142" spans="1:4" ht="29.45" customHeight="1" x14ac:dyDescent="0.25">
      <c r="A142" s="53" t="s">
        <v>4382</v>
      </c>
      <c r="B142" s="54" t="s">
        <v>4383</v>
      </c>
      <c r="C142" s="28" t="s">
        <v>897</v>
      </c>
      <c r="D142" s="62"/>
    </row>
    <row r="144" spans="1:4" x14ac:dyDescent="0.25">
      <c r="A144" s="4" t="s">
        <v>926</v>
      </c>
      <c r="B144" s="5"/>
      <c r="C144" s="5"/>
      <c r="D144" s="5"/>
    </row>
    <row r="145" spans="2:2" ht="29.45" customHeight="1" x14ac:dyDescent="0.25">
      <c r="B145" s="52" t="s">
        <v>4384</v>
      </c>
    </row>
    <row r="146" spans="2:2" ht="29.45" customHeight="1" x14ac:dyDescent="0.25">
      <c r="B146" s="52" t="s">
        <v>4385</v>
      </c>
    </row>
    <row r="147" spans="2:2" ht="16.149999999999999" customHeight="1" x14ac:dyDescent="0.25">
      <c r="B147" s="52" t="s">
        <v>4386</v>
      </c>
    </row>
    <row r="148" spans="2:2" ht="16.149999999999999" customHeight="1" x14ac:dyDescent="0.25">
      <c r="B148" s="52" t="s">
        <v>4387</v>
      </c>
    </row>
    <row r="149" spans="2:2" ht="29.45" customHeight="1" x14ac:dyDescent="0.25">
      <c r="B149" s="52" t="s">
        <v>4388</v>
      </c>
    </row>
    <row r="150" spans="2:2" ht="16.149999999999999" customHeight="1" x14ac:dyDescent="0.25">
      <c r="B150" s="52" t="s">
        <v>4389</v>
      </c>
    </row>
    <row r="151" spans="2:2" ht="16.149999999999999" customHeight="1" x14ac:dyDescent="0.25">
      <c r="B151" s="52" t="s">
        <v>4390</v>
      </c>
    </row>
    <row r="152" spans="2:2" ht="16.149999999999999" customHeight="1" x14ac:dyDescent="0.25">
      <c r="B152" s="52" t="s">
        <v>3525</v>
      </c>
    </row>
  </sheetData>
  <hyperlinks>
    <hyperlink ref="D1" location="'Monitor'!A31" display="&lt;&lt; Monitor" xr:uid="{00000000-0004-0000-2000-000000000000}"/>
    <hyperlink ref="C129" r:id="rId1" xr:uid="{00000000-0004-0000-2000-000001000000}"/>
    <hyperlink ref="C130" r:id="rId2" xr:uid="{00000000-0004-0000-2000-000002000000}"/>
    <hyperlink ref="C131" r:id="rId3" xr:uid="{00000000-0004-0000-2000-000003000000}"/>
    <hyperlink ref="C132" r:id="rId4" xr:uid="{00000000-0004-0000-2000-000004000000}"/>
    <hyperlink ref="C133" r:id="rId5" xr:uid="{00000000-0004-0000-2000-000005000000}"/>
    <hyperlink ref="C134" r:id="rId6" xr:uid="{00000000-0004-0000-2000-000006000000}"/>
    <hyperlink ref="C135" r:id="rId7" xr:uid="{00000000-0004-0000-2000-000007000000}"/>
    <hyperlink ref="C136" r:id="rId8" xr:uid="{00000000-0004-0000-2000-000008000000}"/>
    <hyperlink ref="C137" r:id="rId9" xr:uid="{00000000-0004-0000-2000-000009000000}"/>
    <hyperlink ref="C138" r:id="rId10" xr:uid="{00000000-0004-0000-2000-00000A000000}"/>
    <hyperlink ref="C139" r:id="rId11" xr:uid="{00000000-0004-0000-2000-00000B000000}"/>
    <hyperlink ref="C140" r:id="rId12" xr:uid="{00000000-0004-0000-2000-00000C000000}"/>
    <hyperlink ref="C141" r:id="rId13" xr:uid="{00000000-0004-0000-2000-00000D000000}"/>
    <hyperlink ref="C142" r:id="rId14" xr:uid="{00000000-0004-0000-2000-00000E000000}"/>
  </hyperlinks>
  <pageMargins left="0.75" right="0.75" top="1" bottom="1" header="0.5" footer="0.5"/>
  <pageSetup fitToHeight="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55A11"/>
    <pageSetUpPr fitToPage="1"/>
  </sheetPr>
  <dimension ref="A1:D125"/>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243</v>
      </c>
      <c r="D1" s="41" t="s">
        <v>667</v>
      </c>
    </row>
    <row r="2" spans="1:4" x14ac:dyDescent="0.25">
      <c r="A2" s="2" t="s">
        <v>4391</v>
      </c>
    </row>
    <row r="4" spans="1:4" x14ac:dyDescent="0.25">
      <c r="A4" s="42" t="s">
        <v>9</v>
      </c>
      <c r="B4" s="43">
        <f>Monitor!H32</f>
        <v>89.656999999999996</v>
      </c>
    </row>
    <row r="5" spans="1:4" x14ac:dyDescent="0.25">
      <c r="A5" s="42" t="s">
        <v>11</v>
      </c>
      <c r="B5" s="44">
        <f>Monitor!J32</f>
        <v>9.6972191398590439</v>
      </c>
    </row>
    <row r="6" spans="1:4" x14ac:dyDescent="0.25">
      <c r="A6" s="42" t="s">
        <v>8</v>
      </c>
      <c r="B6" s="45">
        <f>Monitor!G32</f>
        <v>715</v>
      </c>
    </row>
    <row r="7" spans="1:4" x14ac:dyDescent="0.25">
      <c r="A7" s="42" t="s">
        <v>14</v>
      </c>
      <c r="B7" s="46">
        <f>Monitor!M32</f>
        <v>-73.952450000000027</v>
      </c>
    </row>
    <row r="8" spans="1:4" x14ac:dyDescent="0.25">
      <c r="A8" s="42" t="s">
        <v>15</v>
      </c>
      <c r="B8" s="47">
        <f>Monitor!N32</f>
        <v>-0.10343000000000004</v>
      </c>
    </row>
    <row r="9" spans="1:4" x14ac:dyDescent="0.25">
      <c r="A9" s="42" t="s">
        <v>669</v>
      </c>
      <c r="B9" s="46">
        <f>Monitor!O32</f>
        <v>-12.741299999999974</v>
      </c>
    </row>
    <row r="10" spans="1:4" x14ac:dyDescent="0.25">
      <c r="A10" s="42" t="s">
        <v>20</v>
      </c>
      <c r="B10" s="48">
        <f>Monitor!S32</f>
        <v>46203</v>
      </c>
    </row>
    <row r="11" spans="1:4" x14ac:dyDescent="0.25">
      <c r="A11" s="42" t="s">
        <v>670</v>
      </c>
      <c r="B11" s="49">
        <f>Monitor!W32</f>
        <v>282.19335748478329</v>
      </c>
    </row>
    <row r="12" spans="1:4" x14ac:dyDescent="0.25">
      <c r="A12" s="42" t="s">
        <v>671</v>
      </c>
      <c r="B12" s="50" t="str">
        <f>Monitor!F32</f>
        <v>Ba3/NR/BB</v>
      </c>
    </row>
    <row r="13" spans="1:4" x14ac:dyDescent="0.25">
      <c r="A13" s="42" t="s">
        <v>4</v>
      </c>
      <c r="B13" s="50" t="str">
        <f>Monitor!C32</f>
        <v>Oracle</v>
      </c>
    </row>
    <row r="15" spans="1:4" x14ac:dyDescent="0.25">
      <c r="A15" s="4" t="s">
        <v>672</v>
      </c>
      <c r="B15" s="5"/>
      <c r="C15" s="5"/>
      <c r="D15" s="5"/>
    </row>
    <row r="16" spans="1:4" ht="69" customHeight="1" x14ac:dyDescent="0.25">
      <c r="A16" s="51" t="s">
        <v>192</v>
      </c>
      <c r="B16" s="52" t="s">
        <v>244</v>
      </c>
    </row>
    <row r="18" spans="1:4" x14ac:dyDescent="0.25">
      <c r="A18" s="4" t="s">
        <v>673</v>
      </c>
      <c r="B18" s="5"/>
      <c r="C18" s="4" t="s">
        <v>674</v>
      </c>
      <c r="D18" s="4" t="s">
        <v>675</v>
      </c>
    </row>
    <row r="19" spans="1:4" ht="16.149999999999999" customHeight="1" x14ac:dyDescent="0.25">
      <c r="A19" s="53" t="s">
        <v>676</v>
      </c>
      <c r="B19" s="54" t="s">
        <v>4392</v>
      </c>
      <c r="C19" s="55" t="s">
        <v>678</v>
      </c>
      <c r="D19" s="57" t="s">
        <v>690</v>
      </c>
    </row>
    <row r="20" spans="1:4" ht="16.149999999999999" customHeight="1" x14ac:dyDescent="0.25">
      <c r="A20" s="53" t="s">
        <v>1409</v>
      </c>
      <c r="B20" s="54" t="s">
        <v>4393</v>
      </c>
      <c r="C20" s="55" t="s">
        <v>678</v>
      </c>
      <c r="D20" s="57" t="s">
        <v>690</v>
      </c>
    </row>
    <row r="21" spans="1:4" ht="16.149999999999999" customHeight="1" x14ac:dyDescent="0.25">
      <c r="A21" s="53" t="s">
        <v>3390</v>
      </c>
      <c r="B21" s="54" t="s">
        <v>4394</v>
      </c>
      <c r="C21" s="55" t="s">
        <v>678</v>
      </c>
      <c r="D21" s="57" t="s">
        <v>690</v>
      </c>
    </row>
    <row r="22" spans="1:4" ht="16.149999999999999" customHeight="1" x14ac:dyDescent="0.25">
      <c r="A22" s="53" t="s">
        <v>691</v>
      </c>
      <c r="B22" s="54" t="s">
        <v>4395</v>
      </c>
      <c r="C22" s="55" t="s">
        <v>678</v>
      </c>
      <c r="D22" s="57" t="s">
        <v>690</v>
      </c>
    </row>
    <row r="23" spans="1:4" ht="29.45" customHeight="1" x14ac:dyDescent="0.25">
      <c r="A23" s="53" t="s">
        <v>1125</v>
      </c>
      <c r="B23" s="54" t="s">
        <v>4396</v>
      </c>
      <c r="C23" s="55" t="s">
        <v>678</v>
      </c>
      <c r="D23" s="57" t="s">
        <v>690</v>
      </c>
    </row>
    <row r="24" spans="1:4" ht="16.149999999999999" customHeight="1" x14ac:dyDescent="0.25">
      <c r="A24" s="53" t="s">
        <v>693</v>
      </c>
      <c r="B24" s="54" t="s">
        <v>4397</v>
      </c>
      <c r="C24" s="55" t="s">
        <v>678</v>
      </c>
      <c r="D24" s="57" t="s">
        <v>690</v>
      </c>
    </row>
    <row r="25" spans="1:4" ht="29.45" customHeight="1" x14ac:dyDescent="0.25">
      <c r="A25" s="53" t="s">
        <v>713</v>
      </c>
      <c r="B25" s="54" t="s">
        <v>4398</v>
      </c>
      <c r="C25" s="55" t="s">
        <v>678</v>
      </c>
      <c r="D25" s="57" t="s">
        <v>690</v>
      </c>
    </row>
    <row r="26" spans="1:4" ht="29.45" customHeight="1" x14ac:dyDescent="0.25">
      <c r="A26" s="53" t="s">
        <v>1423</v>
      </c>
      <c r="B26" s="54" t="s">
        <v>4399</v>
      </c>
      <c r="C26" s="55" t="s">
        <v>678</v>
      </c>
      <c r="D26" s="57" t="s">
        <v>690</v>
      </c>
    </row>
    <row r="27" spans="1:4" ht="16.149999999999999" customHeight="1" x14ac:dyDescent="0.25">
      <c r="A27" s="53" t="s">
        <v>1421</v>
      </c>
      <c r="B27" s="54" t="s">
        <v>4400</v>
      </c>
      <c r="C27" s="55" t="s">
        <v>678</v>
      </c>
      <c r="D27" s="58" t="s">
        <v>698</v>
      </c>
    </row>
    <row r="28" spans="1:4" ht="16.149999999999999" customHeight="1" x14ac:dyDescent="0.25">
      <c r="A28" s="53" t="s">
        <v>695</v>
      </c>
      <c r="B28" s="54" t="s">
        <v>4401</v>
      </c>
      <c r="C28" s="55" t="s">
        <v>678</v>
      </c>
      <c r="D28" s="58" t="s">
        <v>698</v>
      </c>
    </row>
    <row r="29" spans="1:4" ht="29.45" customHeight="1" x14ac:dyDescent="0.25">
      <c r="A29" s="53" t="s">
        <v>4402</v>
      </c>
      <c r="B29" s="54" t="s">
        <v>4403</v>
      </c>
      <c r="C29" s="55" t="s">
        <v>753</v>
      </c>
      <c r="D29" s="57" t="s">
        <v>690</v>
      </c>
    </row>
    <row r="31" spans="1:4" x14ac:dyDescent="0.25">
      <c r="A31" s="4" t="s">
        <v>717</v>
      </c>
      <c r="B31" s="5"/>
      <c r="C31" s="4" t="s">
        <v>674</v>
      </c>
      <c r="D31" s="4" t="s">
        <v>675</v>
      </c>
    </row>
    <row r="32" spans="1:4" ht="29.45" customHeight="1" x14ac:dyDescent="0.25">
      <c r="A32" s="53" t="s">
        <v>718</v>
      </c>
      <c r="B32" s="54" t="s">
        <v>4404</v>
      </c>
      <c r="C32" s="55" t="s">
        <v>678</v>
      </c>
      <c r="D32" s="57" t="s">
        <v>690</v>
      </c>
    </row>
    <row r="33" spans="1:4" ht="29.45" customHeight="1" x14ac:dyDescent="0.25">
      <c r="A33" s="53" t="s">
        <v>722</v>
      </c>
      <c r="B33" s="54" t="s">
        <v>4405</v>
      </c>
      <c r="C33" s="55" t="s">
        <v>678</v>
      </c>
      <c r="D33" s="57" t="s">
        <v>690</v>
      </c>
    </row>
    <row r="34" spans="1:4" ht="29.45" customHeight="1" x14ac:dyDescent="0.25">
      <c r="A34" s="53" t="s">
        <v>1140</v>
      </c>
      <c r="B34" s="54" t="s">
        <v>4406</v>
      </c>
      <c r="C34" s="55" t="s">
        <v>877</v>
      </c>
      <c r="D34" s="59" t="s">
        <v>748</v>
      </c>
    </row>
    <row r="36" spans="1:4" x14ac:dyDescent="0.25">
      <c r="A36" s="4" t="s">
        <v>728</v>
      </c>
      <c r="B36" s="5"/>
      <c r="C36" s="4" t="s">
        <v>674</v>
      </c>
      <c r="D36" s="4" t="s">
        <v>675</v>
      </c>
    </row>
    <row r="37" spans="1:4" ht="29.45" customHeight="1" x14ac:dyDescent="0.25">
      <c r="A37" s="53" t="s">
        <v>4407</v>
      </c>
      <c r="B37" s="54" t="s">
        <v>4408</v>
      </c>
      <c r="C37" s="55" t="s">
        <v>776</v>
      </c>
      <c r="D37" s="59" t="s">
        <v>748</v>
      </c>
    </row>
    <row r="38" spans="1:4" ht="16.149999999999999" customHeight="1" x14ac:dyDescent="0.25">
      <c r="A38" s="53" t="s">
        <v>4409</v>
      </c>
      <c r="B38" s="54" t="s">
        <v>4410</v>
      </c>
      <c r="C38" s="55" t="s">
        <v>877</v>
      </c>
      <c r="D38" s="59" t="s">
        <v>748</v>
      </c>
    </row>
    <row r="39" spans="1:4" ht="29.45" customHeight="1" x14ac:dyDescent="0.25">
      <c r="A39" s="53" t="s">
        <v>4411</v>
      </c>
      <c r="B39" s="54" t="s">
        <v>4412</v>
      </c>
      <c r="C39" s="55" t="s">
        <v>776</v>
      </c>
      <c r="D39" s="59" t="s">
        <v>748</v>
      </c>
    </row>
    <row r="40" spans="1:4" ht="16.149999999999999" customHeight="1" x14ac:dyDescent="0.25">
      <c r="A40" s="53" t="s">
        <v>732</v>
      </c>
      <c r="B40" s="54" t="s">
        <v>4413</v>
      </c>
      <c r="C40" s="55" t="s">
        <v>678</v>
      </c>
      <c r="D40" s="57" t="s">
        <v>690</v>
      </c>
    </row>
    <row r="42" spans="1:4" x14ac:dyDescent="0.25">
      <c r="A42" s="4" t="s">
        <v>740</v>
      </c>
      <c r="B42" s="5"/>
      <c r="C42" s="4" t="s">
        <v>674</v>
      </c>
      <c r="D42" s="4" t="s">
        <v>675</v>
      </c>
    </row>
    <row r="43" spans="1:4" ht="29.45" customHeight="1" x14ac:dyDescent="0.25">
      <c r="A43" s="53" t="s">
        <v>4</v>
      </c>
      <c r="B43" s="54" t="s">
        <v>4414</v>
      </c>
      <c r="C43" s="55" t="s">
        <v>678</v>
      </c>
      <c r="D43" s="58" t="s">
        <v>698</v>
      </c>
    </row>
    <row r="44" spans="1:4" ht="16.149999999999999" customHeight="1" x14ac:dyDescent="0.25">
      <c r="A44" s="53" t="s">
        <v>2422</v>
      </c>
      <c r="B44" s="54" t="s">
        <v>4415</v>
      </c>
      <c r="C44" s="55" t="s">
        <v>678</v>
      </c>
      <c r="D44" s="58" t="s">
        <v>698</v>
      </c>
    </row>
    <row r="45" spans="1:4" ht="16.149999999999999" customHeight="1" x14ac:dyDescent="0.25">
      <c r="A45" s="53" t="s">
        <v>1665</v>
      </c>
      <c r="B45" s="54" t="s">
        <v>4416</v>
      </c>
      <c r="C45" s="55" t="s">
        <v>678</v>
      </c>
      <c r="D45" s="58" t="s">
        <v>698</v>
      </c>
    </row>
    <row r="46" spans="1:4" ht="29.45" customHeight="1" x14ac:dyDescent="0.25">
      <c r="A46" s="53" t="s">
        <v>754</v>
      </c>
      <c r="B46" s="54" t="s">
        <v>4417</v>
      </c>
      <c r="C46" s="55" t="s">
        <v>678</v>
      </c>
      <c r="D46" s="58" t="s">
        <v>698</v>
      </c>
    </row>
    <row r="47" spans="1:4" ht="29.45" customHeight="1" x14ac:dyDescent="0.25">
      <c r="A47" s="53" t="s">
        <v>4418</v>
      </c>
      <c r="B47" s="54" t="s">
        <v>4419</v>
      </c>
      <c r="C47" s="55" t="s">
        <v>747</v>
      </c>
      <c r="D47" s="56" t="s">
        <v>679</v>
      </c>
    </row>
    <row r="49" spans="1:4" x14ac:dyDescent="0.25">
      <c r="A49" s="4" t="s">
        <v>762</v>
      </c>
      <c r="B49" s="5"/>
      <c r="C49" s="4" t="s">
        <v>674</v>
      </c>
      <c r="D49" s="4" t="s">
        <v>675</v>
      </c>
    </row>
    <row r="50" spans="1:4" ht="29.45" customHeight="1" x14ac:dyDescent="0.25">
      <c r="A50" s="53" t="s">
        <v>984</v>
      </c>
      <c r="B50" s="54" t="s">
        <v>4420</v>
      </c>
      <c r="C50" s="55" t="s">
        <v>776</v>
      </c>
      <c r="D50" s="59" t="s">
        <v>748</v>
      </c>
    </row>
    <row r="51" spans="1:4" ht="16.149999999999999" customHeight="1" x14ac:dyDescent="0.25">
      <c r="A51" s="53" t="s">
        <v>986</v>
      </c>
      <c r="B51" s="54" t="s">
        <v>4421</v>
      </c>
      <c r="C51" s="55" t="s">
        <v>678</v>
      </c>
      <c r="D51" s="57" t="s">
        <v>690</v>
      </c>
    </row>
    <row r="52" spans="1:4" ht="16.149999999999999" customHeight="1" x14ac:dyDescent="0.25">
      <c r="A52" s="53" t="s">
        <v>3554</v>
      </c>
      <c r="B52" s="54" t="s">
        <v>4422</v>
      </c>
      <c r="C52" s="55" t="s">
        <v>678</v>
      </c>
      <c r="D52" s="57" t="s">
        <v>690</v>
      </c>
    </row>
    <row r="53" spans="1:4" ht="16.149999999999999" customHeight="1" x14ac:dyDescent="0.25">
      <c r="A53" s="53" t="s">
        <v>988</v>
      </c>
      <c r="B53" s="54" t="s">
        <v>4423</v>
      </c>
      <c r="C53" s="55" t="s">
        <v>678</v>
      </c>
      <c r="D53" s="58" t="s">
        <v>698</v>
      </c>
    </row>
    <row r="54" spans="1:4" ht="16.149999999999999" customHeight="1" x14ac:dyDescent="0.25">
      <c r="A54" s="53" t="s">
        <v>1166</v>
      </c>
      <c r="B54" s="54" t="s">
        <v>4424</v>
      </c>
      <c r="C54" s="55" t="s">
        <v>678</v>
      </c>
      <c r="D54" s="57" t="s">
        <v>690</v>
      </c>
    </row>
    <row r="56" spans="1:4" x14ac:dyDescent="0.25">
      <c r="A56" s="4" t="s">
        <v>773</v>
      </c>
      <c r="B56" s="5"/>
      <c r="C56" s="4" t="s">
        <v>674</v>
      </c>
      <c r="D56" s="4" t="s">
        <v>675</v>
      </c>
    </row>
    <row r="57" spans="1:4" ht="16.149999999999999" customHeight="1" x14ac:dyDescent="0.25">
      <c r="A57" s="53" t="s">
        <v>4425</v>
      </c>
      <c r="B57" s="54" t="s">
        <v>4426</v>
      </c>
      <c r="C57" s="55" t="s">
        <v>678</v>
      </c>
      <c r="D57" s="57" t="s">
        <v>690</v>
      </c>
    </row>
    <row r="58" spans="1:4" ht="29.45" customHeight="1" x14ac:dyDescent="0.25">
      <c r="A58" s="53" t="s">
        <v>4427</v>
      </c>
      <c r="B58" s="54" t="s">
        <v>4428</v>
      </c>
      <c r="C58" s="55" t="s">
        <v>776</v>
      </c>
      <c r="D58" s="59" t="s">
        <v>748</v>
      </c>
    </row>
    <row r="60" spans="1:4" x14ac:dyDescent="0.25">
      <c r="A60" s="4" t="s">
        <v>781</v>
      </c>
      <c r="B60" s="5"/>
      <c r="C60" s="4" t="s">
        <v>674</v>
      </c>
      <c r="D60" s="4" t="s">
        <v>675</v>
      </c>
    </row>
    <row r="61" spans="1:4" ht="29.45" customHeight="1" x14ac:dyDescent="0.25">
      <c r="A61" s="53" t="s">
        <v>1488</v>
      </c>
      <c r="B61" s="54" t="s">
        <v>4429</v>
      </c>
      <c r="C61" s="55" t="s">
        <v>678</v>
      </c>
      <c r="D61" s="58" t="s">
        <v>698</v>
      </c>
    </row>
    <row r="62" spans="1:4" ht="16.149999999999999" customHeight="1" x14ac:dyDescent="0.25">
      <c r="A62" s="53" t="s">
        <v>4137</v>
      </c>
      <c r="B62" s="54" t="s">
        <v>1516</v>
      </c>
      <c r="C62" s="55" t="s">
        <v>678</v>
      </c>
      <c r="D62" s="57" t="s">
        <v>690</v>
      </c>
    </row>
    <row r="63" spans="1:4" ht="16.149999999999999" customHeight="1" x14ac:dyDescent="0.25">
      <c r="A63" s="53" t="s">
        <v>3462</v>
      </c>
      <c r="B63" s="54" t="s">
        <v>4430</v>
      </c>
      <c r="C63" s="55" t="s">
        <v>877</v>
      </c>
      <c r="D63" s="59" t="s">
        <v>748</v>
      </c>
    </row>
    <row r="65" spans="1:4" x14ac:dyDescent="0.25">
      <c r="A65" s="4" t="s">
        <v>792</v>
      </c>
      <c r="B65" s="5"/>
      <c r="C65" s="4" t="s">
        <v>674</v>
      </c>
      <c r="D65" s="4" t="s">
        <v>675</v>
      </c>
    </row>
    <row r="66" spans="1:4" ht="29.45" customHeight="1" x14ac:dyDescent="0.25">
      <c r="A66" s="53" t="s">
        <v>793</v>
      </c>
      <c r="B66" s="54" t="s">
        <v>4431</v>
      </c>
      <c r="C66" s="55" t="s">
        <v>678</v>
      </c>
      <c r="D66" s="58" t="s">
        <v>698</v>
      </c>
    </row>
    <row r="67" spans="1:4" ht="16.149999999999999" customHeight="1" x14ac:dyDescent="0.25">
      <c r="A67" s="53" t="s">
        <v>799</v>
      </c>
      <c r="B67" s="54" t="s">
        <v>4432</v>
      </c>
      <c r="C67" s="55" t="s">
        <v>678</v>
      </c>
      <c r="D67" s="57" t="s">
        <v>690</v>
      </c>
    </row>
    <row r="68" spans="1:4" ht="29.45" customHeight="1" x14ac:dyDescent="0.25">
      <c r="A68" s="53" t="s">
        <v>801</v>
      </c>
      <c r="B68" s="54" t="s">
        <v>4433</v>
      </c>
      <c r="C68" s="55" t="s">
        <v>678</v>
      </c>
      <c r="D68" s="60" t="s">
        <v>803</v>
      </c>
    </row>
    <row r="70" spans="1:4" x14ac:dyDescent="0.25">
      <c r="A70" s="4" t="s">
        <v>804</v>
      </c>
      <c r="B70" s="5"/>
      <c r="C70" s="4" t="s">
        <v>674</v>
      </c>
      <c r="D70" s="4" t="s">
        <v>675</v>
      </c>
    </row>
    <row r="71" spans="1:4" ht="16.149999999999999" customHeight="1" x14ac:dyDescent="0.25">
      <c r="A71" s="53" t="s">
        <v>3238</v>
      </c>
      <c r="B71" s="54" t="s">
        <v>4434</v>
      </c>
      <c r="C71" s="55" t="s">
        <v>678</v>
      </c>
      <c r="D71" s="57" t="s">
        <v>690</v>
      </c>
    </row>
    <row r="73" spans="1:4" x14ac:dyDescent="0.25">
      <c r="A73" s="4" t="s">
        <v>813</v>
      </c>
      <c r="B73" s="5"/>
      <c r="C73" s="4" t="s">
        <v>674</v>
      </c>
      <c r="D73" s="4" t="s">
        <v>675</v>
      </c>
    </row>
    <row r="74" spans="1:4" ht="16.149999999999999" customHeight="1" x14ac:dyDescent="0.25">
      <c r="A74" s="53" t="s">
        <v>1705</v>
      </c>
      <c r="B74" s="54" t="s">
        <v>4435</v>
      </c>
      <c r="C74" s="55" t="s">
        <v>678</v>
      </c>
      <c r="D74" s="57" t="s">
        <v>690</v>
      </c>
    </row>
    <row r="76" spans="1:4" x14ac:dyDescent="0.25">
      <c r="A76" s="4" t="s">
        <v>826</v>
      </c>
      <c r="B76" s="5"/>
      <c r="C76" s="4" t="s">
        <v>674</v>
      </c>
      <c r="D76" s="4" t="s">
        <v>675</v>
      </c>
    </row>
    <row r="77" spans="1:4" ht="16.149999999999999" customHeight="1" x14ac:dyDescent="0.25">
      <c r="A77" s="53" t="s">
        <v>826</v>
      </c>
      <c r="B77" s="54" t="s">
        <v>4436</v>
      </c>
      <c r="C77" s="55" t="s">
        <v>678</v>
      </c>
      <c r="D77" s="58" t="s">
        <v>698</v>
      </c>
    </row>
    <row r="79" spans="1:4" x14ac:dyDescent="0.25">
      <c r="A79" s="4" t="s">
        <v>833</v>
      </c>
      <c r="B79" s="5"/>
      <c r="C79" s="4" t="s">
        <v>674</v>
      </c>
      <c r="D79" s="4" t="s">
        <v>675</v>
      </c>
    </row>
    <row r="80" spans="1:4" ht="16.149999999999999" customHeight="1" x14ac:dyDescent="0.25">
      <c r="A80" s="53" t="s">
        <v>1205</v>
      </c>
      <c r="B80" s="54" t="s">
        <v>4437</v>
      </c>
      <c r="C80" s="55" t="s">
        <v>678</v>
      </c>
      <c r="D80" s="57" t="s">
        <v>690</v>
      </c>
    </row>
    <row r="82" spans="1:4" x14ac:dyDescent="0.25">
      <c r="A82" s="4" t="s">
        <v>836</v>
      </c>
      <c r="B82" s="5"/>
      <c r="C82" s="4" t="s">
        <v>674</v>
      </c>
      <c r="D82" s="4" t="s">
        <v>675</v>
      </c>
    </row>
    <row r="83" spans="1:4" ht="42.6" customHeight="1" x14ac:dyDescent="0.25">
      <c r="A83" s="53" t="s">
        <v>4438</v>
      </c>
      <c r="B83" s="54" t="s">
        <v>4439</v>
      </c>
      <c r="C83" s="55" t="s">
        <v>737</v>
      </c>
      <c r="D83" s="59" t="s">
        <v>748</v>
      </c>
    </row>
    <row r="84" spans="1:4" ht="29.45" customHeight="1" x14ac:dyDescent="0.25">
      <c r="A84" s="53" t="s">
        <v>4440</v>
      </c>
      <c r="B84" s="54" t="s">
        <v>4441</v>
      </c>
      <c r="C84" s="55" t="s">
        <v>678</v>
      </c>
      <c r="D84" s="60" t="s">
        <v>803</v>
      </c>
    </row>
    <row r="85" spans="1:4" ht="16.149999999999999" customHeight="1" x14ac:dyDescent="0.25">
      <c r="A85" s="53" t="s">
        <v>4442</v>
      </c>
      <c r="B85" s="54" t="s">
        <v>4443</v>
      </c>
      <c r="C85" s="55" t="s">
        <v>678</v>
      </c>
      <c r="D85" s="57" t="s">
        <v>690</v>
      </c>
    </row>
    <row r="87" spans="1:4" x14ac:dyDescent="0.25">
      <c r="A87" s="4" t="s">
        <v>855</v>
      </c>
      <c r="B87" s="5"/>
      <c r="C87" s="4" t="s">
        <v>674</v>
      </c>
      <c r="D87" s="4" t="s">
        <v>675</v>
      </c>
    </row>
    <row r="88" spans="1:4" ht="42.6" customHeight="1" x14ac:dyDescent="0.25">
      <c r="A88" s="53" t="s">
        <v>4444</v>
      </c>
      <c r="B88" s="54" t="s">
        <v>4445</v>
      </c>
      <c r="C88" s="55" t="s">
        <v>731</v>
      </c>
      <c r="D88" s="59" t="s">
        <v>748</v>
      </c>
    </row>
    <row r="89" spans="1:4" ht="16.149999999999999" customHeight="1" x14ac:dyDescent="0.25">
      <c r="A89" s="53" t="s">
        <v>4446</v>
      </c>
      <c r="B89" s="54" t="s">
        <v>4447</v>
      </c>
      <c r="C89" s="55" t="s">
        <v>737</v>
      </c>
      <c r="D89" s="59" t="s">
        <v>748</v>
      </c>
    </row>
    <row r="90" spans="1:4" ht="16.149999999999999" customHeight="1" x14ac:dyDescent="0.25">
      <c r="A90" s="53" t="s">
        <v>4448</v>
      </c>
      <c r="B90" s="54" t="s">
        <v>4449</v>
      </c>
      <c r="C90" s="55" t="s">
        <v>962</v>
      </c>
      <c r="D90" s="59" t="s">
        <v>748</v>
      </c>
    </row>
    <row r="92" spans="1:4" x14ac:dyDescent="0.25">
      <c r="A92" s="4" t="s">
        <v>868</v>
      </c>
      <c r="B92" s="5"/>
      <c r="C92" s="4" t="s">
        <v>674</v>
      </c>
      <c r="D92" s="5"/>
    </row>
    <row r="93" spans="1:4" ht="29.45" customHeight="1" x14ac:dyDescent="0.25">
      <c r="A93" s="61" t="s">
        <v>4450</v>
      </c>
      <c r="B93" s="54" t="s">
        <v>4451</v>
      </c>
      <c r="C93" s="55" t="s">
        <v>841</v>
      </c>
      <c r="D93" s="62"/>
    </row>
    <row r="94" spans="1:4" ht="16.149999999999999" customHeight="1" x14ac:dyDescent="0.25">
      <c r="A94" s="61" t="s">
        <v>4452</v>
      </c>
      <c r="B94" s="54" t="s">
        <v>4453</v>
      </c>
      <c r="C94" s="55" t="s">
        <v>776</v>
      </c>
      <c r="D94" s="62"/>
    </row>
    <row r="95" spans="1:4" ht="16.149999999999999" customHeight="1" x14ac:dyDescent="0.25">
      <c r="A95" s="61" t="s">
        <v>4454</v>
      </c>
      <c r="B95" s="54" t="s">
        <v>4455</v>
      </c>
      <c r="C95" s="55" t="s">
        <v>678</v>
      </c>
      <c r="D95" s="62"/>
    </row>
    <row r="96" spans="1:4" ht="16.149999999999999" customHeight="1" x14ac:dyDescent="0.25">
      <c r="A96" s="61" t="s">
        <v>4456</v>
      </c>
      <c r="B96" s="54" t="s">
        <v>4457</v>
      </c>
      <c r="C96" s="55" t="s">
        <v>678</v>
      </c>
      <c r="D96" s="62"/>
    </row>
    <row r="97" spans="1:4" ht="16.149999999999999" customHeight="1" x14ac:dyDescent="0.25">
      <c r="A97" s="61" t="s">
        <v>3484</v>
      </c>
      <c r="B97" s="54" t="s">
        <v>4458</v>
      </c>
      <c r="C97" s="55" t="s">
        <v>678</v>
      </c>
      <c r="D97" s="62"/>
    </row>
    <row r="98" spans="1:4" ht="16.149999999999999" customHeight="1" x14ac:dyDescent="0.25">
      <c r="A98" s="61" t="s">
        <v>3698</v>
      </c>
      <c r="B98" s="54" t="s">
        <v>4459</v>
      </c>
      <c r="C98" s="55" t="s">
        <v>684</v>
      </c>
      <c r="D98" s="62"/>
    </row>
    <row r="99" spans="1:4" ht="16.149999999999999" customHeight="1" x14ac:dyDescent="0.25">
      <c r="A99" s="61" t="s">
        <v>3321</v>
      </c>
      <c r="B99" s="54" t="s">
        <v>4460</v>
      </c>
      <c r="C99" s="55" t="s">
        <v>962</v>
      </c>
      <c r="D99" s="62"/>
    </row>
    <row r="100" spans="1:4" ht="16.149999999999999" customHeight="1" x14ac:dyDescent="0.25">
      <c r="A100" s="61" t="s">
        <v>2525</v>
      </c>
      <c r="B100" s="54" t="s">
        <v>4461</v>
      </c>
      <c r="C100" s="55" t="s">
        <v>731</v>
      </c>
      <c r="D100" s="62"/>
    </row>
    <row r="101" spans="1:4" ht="16.149999999999999" customHeight="1" x14ac:dyDescent="0.25">
      <c r="A101" s="61" t="s">
        <v>4462</v>
      </c>
      <c r="B101" s="54" t="s">
        <v>4463</v>
      </c>
      <c r="C101" s="55" t="s">
        <v>678</v>
      </c>
      <c r="D101" s="62"/>
    </row>
    <row r="103" spans="1:4" x14ac:dyDescent="0.25">
      <c r="A103" s="4" t="s">
        <v>894</v>
      </c>
      <c r="B103" s="5"/>
      <c r="C103" s="5"/>
      <c r="D103" s="5"/>
    </row>
    <row r="104" spans="1:4" ht="29.45" customHeight="1" x14ac:dyDescent="0.25">
      <c r="A104" s="53" t="s">
        <v>4464</v>
      </c>
      <c r="B104" s="54" t="s">
        <v>4465</v>
      </c>
      <c r="C104" s="28" t="s">
        <v>897</v>
      </c>
      <c r="D104" s="62"/>
    </row>
    <row r="105" spans="1:4" ht="29.45" customHeight="1" x14ac:dyDescent="0.25">
      <c r="A105" s="53" t="s">
        <v>4466</v>
      </c>
      <c r="B105" s="54" t="s">
        <v>4467</v>
      </c>
      <c r="C105" s="28" t="s">
        <v>897</v>
      </c>
      <c r="D105" s="62"/>
    </row>
    <row r="106" spans="1:4" ht="29.45" customHeight="1" x14ac:dyDescent="0.25">
      <c r="A106" s="53" t="s">
        <v>4468</v>
      </c>
      <c r="B106" s="54" t="s">
        <v>4469</v>
      </c>
      <c r="C106" s="28" t="s">
        <v>897</v>
      </c>
      <c r="D106" s="62"/>
    </row>
    <row r="107" spans="1:4" ht="29.45" customHeight="1" x14ac:dyDescent="0.25">
      <c r="A107" s="53" t="s">
        <v>4470</v>
      </c>
      <c r="B107" s="54" t="s">
        <v>4471</v>
      </c>
      <c r="C107" s="28" t="s">
        <v>897</v>
      </c>
      <c r="D107" s="62"/>
    </row>
    <row r="108" spans="1:4" ht="16.149999999999999" customHeight="1" x14ac:dyDescent="0.25">
      <c r="A108" s="53" t="s">
        <v>4472</v>
      </c>
      <c r="B108" s="54" t="s">
        <v>4473</v>
      </c>
      <c r="C108" s="28" t="s">
        <v>897</v>
      </c>
      <c r="D108" s="62"/>
    </row>
    <row r="109" spans="1:4" ht="29.45" customHeight="1" x14ac:dyDescent="0.25">
      <c r="A109" s="53" t="s">
        <v>4474</v>
      </c>
      <c r="B109" s="54" t="s">
        <v>4475</v>
      </c>
      <c r="C109" s="28" t="s">
        <v>897</v>
      </c>
      <c r="D109" s="62"/>
    </row>
    <row r="110" spans="1:4" ht="29.45" customHeight="1" x14ac:dyDescent="0.25">
      <c r="A110" s="53" t="s">
        <v>4476</v>
      </c>
      <c r="B110" s="54" t="s">
        <v>4477</v>
      </c>
      <c r="C110" s="28" t="s">
        <v>897</v>
      </c>
      <c r="D110" s="62"/>
    </row>
    <row r="111" spans="1:4" ht="29.45" customHeight="1" x14ac:dyDescent="0.25">
      <c r="A111" s="53" t="s">
        <v>4478</v>
      </c>
      <c r="B111" s="54" t="s">
        <v>4479</v>
      </c>
      <c r="C111" s="28" t="s">
        <v>897</v>
      </c>
      <c r="D111" s="62"/>
    </row>
    <row r="112" spans="1:4" ht="29.45" customHeight="1" x14ac:dyDescent="0.25">
      <c r="A112" s="53" t="s">
        <v>4480</v>
      </c>
      <c r="B112" s="54" t="s">
        <v>4481</v>
      </c>
      <c r="C112" s="28" t="s">
        <v>897</v>
      </c>
      <c r="D112" s="62"/>
    </row>
    <row r="113" spans="1:4" ht="29.45" customHeight="1" x14ac:dyDescent="0.25">
      <c r="A113" s="53" t="s">
        <v>4482</v>
      </c>
      <c r="B113" s="54" t="s">
        <v>4483</v>
      </c>
      <c r="C113" s="28" t="s">
        <v>897</v>
      </c>
      <c r="D113" s="62"/>
    </row>
    <row r="114" spans="1:4" ht="29.45" customHeight="1" x14ac:dyDescent="0.25">
      <c r="A114" s="53" t="s">
        <v>4484</v>
      </c>
      <c r="B114" s="54" t="s">
        <v>4485</v>
      </c>
      <c r="C114" s="28" t="s">
        <v>897</v>
      </c>
      <c r="D114" s="62"/>
    </row>
    <row r="115" spans="1:4" ht="29.45" customHeight="1" x14ac:dyDescent="0.25">
      <c r="A115" s="53" t="s">
        <v>4486</v>
      </c>
      <c r="B115" s="54" t="s">
        <v>4487</v>
      </c>
      <c r="C115" s="28" t="s">
        <v>897</v>
      </c>
      <c r="D115" s="62"/>
    </row>
    <row r="117" spans="1:4" x14ac:dyDescent="0.25">
      <c r="A117" s="4" t="s">
        <v>926</v>
      </c>
      <c r="B117" s="5"/>
      <c r="C117" s="5"/>
      <c r="D117" s="5"/>
    </row>
    <row r="118" spans="1:4" ht="29.45" customHeight="1" x14ac:dyDescent="0.25">
      <c r="B118" s="52" t="s">
        <v>4488</v>
      </c>
    </row>
    <row r="119" spans="1:4" ht="16.149999999999999" customHeight="1" x14ac:dyDescent="0.25">
      <c r="B119" s="52" t="s">
        <v>4489</v>
      </c>
    </row>
    <row r="120" spans="1:4" ht="29.45" customHeight="1" x14ac:dyDescent="0.25">
      <c r="B120" s="52" t="s">
        <v>4490</v>
      </c>
    </row>
    <row r="121" spans="1:4" ht="29.45" customHeight="1" x14ac:dyDescent="0.25">
      <c r="B121" s="52" t="s">
        <v>4491</v>
      </c>
    </row>
    <row r="122" spans="1:4" ht="29.45" customHeight="1" x14ac:dyDescent="0.25">
      <c r="B122" s="52" t="s">
        <v>4492</v>
      </c>
    </row>
    <row r="123" spans="1:4" ht="29.45" customHeight="1" x14ac:dyDescent="0.25">
      <c r="B123" s="52" t="s">
        <v>4493</v>
      </c>
    </row>
    <row r="124" spans="1:4" ht="16.149999999999999" customHeight="1" x14ac:dyDescent="0.25">
      <c r="B124" s="52" t="s">
        <v>4494</v>
      </c>
    </row>
    <row r="125" spans="1:4" ht="16.149999999999999" customHeight="1" x14ac:dyDescent="0.25">
      <c r="B125" s="52" t="s">
        <v>4495</v>
      </c>
    </row>
  </sheetData>
  <hyperlinks>
    <hyperlink ref="D1" location="'Monitor'!A32" display="&lt;&lt; Monitor" xr:uid="{00000000-0004-0000-2100-000000000000}"/>
    <hyperlink ref="C104" r:id="rId1" xr:uid="{00000000-0004-0000-2100-000001000000}"/>
    <hyperlink ref="C105" r:id="rId2" xr:uid="{00000000-0004-0000-2100-000002000000}"/>
    <hyperlink ref="C106" r:id="rId3" xr:uid="{00000000-0004-0000-2100-000003000000}"/>
    <hyperlink ref="C107" r:id="rId4" xr:uid="{00000000-0004-0000-2100-000004000000}"/>
    <hyperlink ref="C108" r:id="rId5" xr:uid="{00000000-0004-0000-2100-000005000000}"/>
    <hyperlink ref="C109" r:id="rId6" xr:uid="{00000000-0004-0000-2100-000006000000}"/>
    <hyperlink ref="C110" r:id="rId7" xr:uid="{00000000-0004-0000-2100-000007000000}"/>
    <hyperlink ref="C111" r:id="rId8" xr:uid="{00000000-0004-0000-2100-000008000000}"/>
    <hyperlink ref="C112" r:id="rId9" xr:uid="{00000000-0004-0000-2100-000009000000}"/>
    <hyperlink ref="C113" r:id="rId10" xr:uid="{00000000-0004-0000-2100-00000A000000}"/>
    <hyperlink ref="C114" r:id="rId11" xr:uid="{00000000-0004-0000-2100-00000B000000}"/>
    <hyperlink ref="C115" r:id="rId12" xr:uid="{00000000-0004-0000-2100-00000C000000}"/>
  </hyperlinks>
  <pageMargins left="0.75" right="0.75" top="1" bottom="1" header="0.5" footer="0.5"/>
  <pageSetup fitToHeight="0"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F7F7F"/>
    <pageSetUpPr fitToPage="1"/>
  </sheetPr>
  <dimension ref="A1:D170"/>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245</v>
      </c>
      <c r="D1" s="41" t="s">
        <v>667</v>
      </c>
    </row>
    <row r="2" spans="1:4" x14ac:dyDescent="0.25">
      <c r="A2" s="2" t="s">
        <v>4496</v>
      </c>
    </row>
    <row r="4" spans="1:4" x14ac:dyDescent="0.25">
      <c r="A4" s="42" t="s">
        <v>9</v>
      </c>
      <c r="B4" s="43">
        <f>Monitor!H35</f>
        <v>81.122</v>
      </c>
    </row>
    <row r="5" spans="1:4" x14ac:dyDescent="0.25">
      <c r="A5" s="42" t="s">
        <v>11</v>
      </c>
      <c r="B5" s="44">
        <f>Monitor!J35</f>
        <v>15.566072564600406</v>
      </c>
    </row>
    <row r="6" spans="1:4" x14ac:dyDescent="0.25">
      <c r="A6" s="42" t="s">
        <v>8</v>
      </c>
      <c r="B6" s="45">
        <f>Monitor!G35</f>
        <v>2750</v>
      </c>
    </row>
    <row r="7" spans="1:4" x14ac:dyDescent="0.25">
      <c r="A7" s="42" t="s">
        <v>14</v>
      </c>
      <c r="B7" s="46">
        <f>Monitor!M35</f>
        <v>-519.14499999999998</v>
      </c>
    </row>
    <row r="8" spans="1:4" x14ac:dyDescent="0.25">
      <c r="A8" s="42" t="s">
        <v>15</v>
      </c>
      <c r="B8" s="47">
        <f>Monitor!N35</f>
        <v>-0.18878</v>
      </c>
    </row>
    <row r="9" spans="1:4" x14ac:dyDescent="0.25">
      <c r="A9" s="42" t="s">
        <v>669</v>
      </c>
      <c r="B9" s="46">
        <f>Monitor!O35</f>
        <v>-41.552499999999881</v>
      </c>
    </row>
    <row r="10" spans="1:4" x14ac:dyDescent="0.25">
      <c r="A10" s="42" t="s">
        <v>20</v>
      </c>
      <c r="B10" s="48">
        <f>Monitor!S35</f>
        <v>46126</v>
      </c>
    </row>
    <row r="11" spans="1:4" x14ac:dyDescent="0.25">
      <c r="A11" s="42" t="s">
        <v>670</v>
      </c>
      <c r="B11" s="49">
        <f>Monitor!W35</f>
        <v>0</v>
      </c>
    </row>
    <row r="12" spans="1:4" x14ac:dyDescent="0.25">
      <c r="A12" s="42" t="s">
        <v>671</v>
      </c>
      <c r="B12" s="50">
        <f>Monitor!F35</f>
        <v>0</v>
      </c>
    </row>
    <row r="13" spans="1:4" x14ac:dyDescent="0.25">
      <c r="A13" s="42" t="s">
        <v>4</v>
      </c>
      <c r="B13" s="50" t="str">
        <f>Monitor!C35</f>
        <v>CoreWeave</v>
      </c>
    </row>
    <row r="15" spans="1:4" x14ac:dyDescent="0.25">
      <c r="A15" s="4" t="s">
        <v>672</v>
      </c>
      <c r="B15" s="5"/>
      <c r="C15" s="5"/>
      <c r="D15" s="5"/>
    </row>
    <row r="16" spans="1:4" ht="55.9" customHeight="1" x14ac:dyDescent="0.25">
      <c r="A16" s="51" t="s">
        <v>192</v>
      </c>
      <c r="B16" s="52" t="s">
        <v>247</v>
      </c>
    </row>
    <row r="18" spans="1:4" x14ac:dyDescent="0.25">
      <c r="A18" s="4" t="s">
        <v>673</v>
      </c>
      <c r="B18" s="5"/>
      <c r="C18" s="4" t="s">
        <v>674</v>
      </c>
      <c r="D18" s="4" t="s">
        <v>675</v>
      </c>
    </row>
    <row r="19" spans="1:4" ht="16.149999999999999" customHeight="1" x14ac:dyDescent="0.25">
      <c r="A19" s="53" t="s">
        <v>676</v>
      </c>
      <c r="B19" s="54" t="s">
        <v>4497</v>
      </c>
      <c r="C19" s="55" t="s">
        <v>678</v>
      </c>
      <c r="D19" s="56" t="s">
        <v>679</v>
      </c>
    </row>
    <row r="20" spans="1:4" ht="16.149999999999999" customHeight="1" x14ac:dyDescent="0.25">
      <c r="A20" s="53" t="s">
        <v>4498</v>
      </c>
      <c r="B20" s="54" t="s">
        <v>4499</v>
      </c>
      <c r="C20" s="55" t="s">
        <v>678</v>
      </c>
      <c r="D20" s="56" t="s">
        <v>679</v>
      </c>
    </row>
    <row r="21" spans="1:4" ht="29.45" customHeight="1" x14ac:dyDescent="0.25">
      <c r="A21" s="53" t="s">
        <v>4500</v>
      </c>
      <c r="B21" s="54" t="s">
        <v>4501</v>
      </c>
      <c r="C21" s="55" t="s">
        <v>753</v>
      </c>
      <c r="D21" s="56" t="s">
        <v>679</v>
      </c>
    </row>
    <row r="22" spans="1:4" ht="16.149999999999999" customHeight="1" x14ac:dyDescent="0.25">
      <c r="A22" s="53" t="s">
        <v>4502</v>
      </c>
      <c r="B22" s="54" t="s">
        <v>4503</v>
      </c>
      <c r="C22" s="55" t="s">
        <v>734</v>
      </c>
      <c r="D22" s="56" t="s">
        <v>679</v>
      </c>
    </row>
    <row r="23" spans="1:4" ht="16.149999999999999" customHeight="1" x14ac:dyDescent="0.25">
      <c r="A23" s="53" t="s">
        <v>1889</v>
      </c>
      <c r="B23" s="54" t="s">
        <v>4504</v>
      </c>
      <c r="C23" s="55" t="s">
        <v>753</v>
      </c>
      <c r="D23" s="56" t="s">
        <v>679</v>
      </c>
    </row>
    <row r="24" spans="1:4" ht="16.149999999999999" customHeight="1" x14ac:dyDescent="0.25">
      <c r="A24" s="53" t="s">
        <v>695</v>
      </c>
      <c r="B24" s="54" t="s">
        <v>4505</v>
      </c>
      <c r="C24" s="55" t="s">
        <v>1485</v>
      </c>
      <c r="D24" s="58" t="s">
        <v>698</v>
      </c>
    </row>
    <row r="25" spans="1:4" ht="29.45" customHeight="1" x14ac:dyDescent="0.25">
      <c r="A25" s="53" t="s">
        <v>4506</v>
      </c>
      <c r="B25" s="54" t="s">
        <v>4507</v>
      </c>
      <c r="C25" s="55" t="s">
        <v>678</v>
      </c>
      <c r="D25" s="56" t="s">
        <v>679</v>
      </c>
    </row>
    <row r="26" spans="1:4" ht="42.6" customHeight="1" x14ac:dyDescent="0.25">
      <c r="A26" s="53" t="s">
        <v>705</v>
      </c>
      <c r="B26" s="54" t="s">
        <v>4508</v>
      </c>
      <c r="C26" s="55" t="s">
        <v>684</v>
      </c>
      <c r="D26" s="56" t="s">
        <v>679</v>
      </c>
    </row>
    <row r="27" spans="1:4" ht="16.149999999999999" customHeight="1" x14ac:dyDescent="0.25">
      <c r="A27" s="53" t="s">
        <v>709</v>
      </c>
      <c r="B27" s="54" t="s">
        <v>4509</v>
      </c>
      <c r="C27" s="55" t="s">
        <v>678</v>
      </c>
      <c r="D27" s="56" t="s">
        <v>679</v>
      </c>
    </row>
    <row r="28" spans="1:4" ht="16.149999999999999" customHeight="1" x14ac:dyDescent="0.25">
      <c r="A28" s="53" t="s">
        <v>949</v>
      </c>
      <c r="B28" s="54" t="s">
        <v>4510</v>
      </c>
      <c r="C28" s="55" t="s">
        <v>678</v>
      </c>
      <c r="D28" s="56" t="s">
        <v>679</v>
      </c>
    </row>
    <row r="29" spans="1:4" ht="29.45" customHeight="1" x14ac:dyDescent="0.25">
      <c r="A29" s="53" t="s">
        <v>4511</v>
      </c>
      <c r="B29" s="54" t="s">
        <v>4512</v>
      </c>
      <c r="C29" s="55" t="s">
        <v>734</v>
      </c>
      <c r="D29" s="57" t="s">
        <v>690</v>
      </c>
    </row>
    <row r="30" spans="1:4" ht="16.149999999999999" customHeight="1" x14ac:dyDescent="0.25">
      <c r="A30" s="53" t="s">
        <v>4513</v>
      </c>
      <c r="B30" s="54" t="s">
        <v>4514</v>
      </c>
      <c r="C30" s="55" t="s">
        <v>877</v>
      </c>
      <c r="D30" s="56" t="s">
        <v>679</v>
      </c>
    </row>
    <row r="32" spans="1:4" x14ac:dyDescent="0.25">
      <c r="A32" s="4" t="s">
        <v>717</v>
      </c>
      <c r="B32" s="5"/>
      <c r="C32" s="4" t="s">
        <v>674</v>
      </c>
      <c r="D32" s="4" t="s">
        <v>675</v>
      </c>
    </row>
    <row r="33" spans="1:4" ht="29.45" customHeight="1" x14ac:dyDescent="0.25">
      <c r="A33" s="53" t="s">
        <v>4515</v>
      </c>
      <c r="B33" s="54" t="s">
        <v>4516</v>
      </c>
      <c r="C33" s="55" t="s">
        <v>877</v>
      </c>
      <c r="D33" s="56" t="s">
        <v>679</v>
      </c>
    </row>
    <row r="34" spans="1:4" ht="29.45" customHeight="1" x14ac:dyDescent="0.25">
      <c r="A34" s="53" t="s">
        <v>4517</v>
      </c>
      <c r="B34" s="54" t="s">
        <v>4518</v>
      </c>
      <c r="C34" s="55" t="s">
        <v>747</v>
      </c>
      <c r="D34" s="56" t="s">
        <v>679</v>
      </c>
    </row>
    <row r="35" spans="1:4" ht="42.6" customHeight="1" x14ac:dyDescent="0.25">
      <c r="A35" s="53" t="s">
        <v>4519</v>
      </c>
      <c r="B35" s="54" t="s">
        <v>4520</v>
      </c>
      <c r="C35" s="55" t="s">
        <v>731</v>
      </c>
      <c r="D35" s="56" t="s">
        <v>679</v>
      </c>
    </row>
    <row r="36" spans="1:4" ht="29.45" customHeight="1" x14ac:dyDescent="0.25">
      <c r="A36" s="53" t="s">
        <v>4521</v>
      </c>
      <c r="B36" s="54" t="s">
        <v>4522</v>
      </c>
      <c r="C36" s="55" t="s">
        <v>877</v>
      </c>
      <c r="D36" s="56" t="s">
        <v>679</v>
      </c>
    </row>
    <row r="38" spans="1:4" x14ac:dyDescent="0.25">
      <c r="A38" s="4" t="s">
        <v>728</v>
      </c>
      <c r="B38" s="5"/>
      <c r="C38" s="4" t="s">
        <v>674</v>
      </c>
      <c r="D38" s="4" t="s">
        <v>675</v>
      </c>
    </row>
    <row r="39" spans="1:4" ht="16.149999999999999" customHeight="1" x14ac:dyDescent="0.25">
      <c r="A39" s="53" t="s">
        <v>4523</v>
      </c>
      <c r="B39" s="54" t="s">
        <v>4524</v>
      </c>
      <c r="C39" s="55" t="s">
        <v>689</v>
      </c>
      <c r="D39" s="57" t="s">
        <v>690</v>
      </c>
    </row>
    <row r="40" spans="1:4" ht="29.45" customHeight="1" x14ac:dyDescent="0.25">
      <c r="A40" s="53" t="s">
        <v>4525</v>
      </c>
      <c r="B40" s="54" t="s">
        <v>4526</v>
      </c>
      <c r="C40" s="55" t="s">
        <v>689</v>
      </c>
      <c r="D40" s="56" t="s">
        <v>679</v>
      </c>
    </row>
    <row r="41" spans="1:4" ht="16.149999999999999" customHeight="1" x14ac:dyDescent="0.25">
      <c r="A41" s="53" t="s">
        <v>4527</v>
      </c>
      <c r="B41" s="54" t="s">
        <v>4528</v>
      </c>
      <c r="C41" s="55" t="s">
        <v>697</v>
      </c>
      <c r="D41" s="59" t="s">
        <v>748</v>
      </c>
    </row>
    <row r="42" spans="1:4" ht="16.149999999999999" customHeight="1" x14ac:dyDescent="0.25">
      <c r="A42" s="53" t="s">
        <v>4529</v>
      </c>
      <c r="B42" s="54" t="s">
        <v>4530</v>
      </c>
      <c r="C42" s="55" t="s">
        <v>877</v>
      </c>
      <c r="D42" s="56" t="s">
        <v>679</v>
      </c>
    </row>
    <row r="43" spans="1:4" ht="29.45" customHeight="1" x14ac:dyDescent="0.25">
      <c r="A43" s="53" t="s">
        <v>4531</v>
      </c>
      <c r="B43" s="54" t="s">
        <v>4532</v>
      </c>
      <c r="C43" s="55" t="s">
        <v>689</v>
      </c>
      <c r="D43" s="57" t="s">
        <v>690</v>
      </c>
    </row>
    <row r="44" spans="1:4" ht="16.149999999999999" customHeight="1" x14ac:dyDescent="0.25">
      <c r="A44" s="53" t="s">
        <v>4533</v>
      </c>
      <c r="B44" s="54" t="s">
        <v>4534</v>
      </c>
      <c r="C44" s="55" t="s">
        <v>877</v>
      </c>
      <c r="D44" s="56" t="s">
        <v>679</v>
      </c>
    </row>
    <row r="45" spans="1:4" ht="29.45" customHeight="1" x14ac:dyDescent="0.25">
      <c r="A45" s="53" t="s">
        <v>4535</v>
      </c>
      <c r="B45" s="54" t="s">
        <v>4536</v>
      </c>
      <c r="C45" s="55" t="s">
        <v>877</v>
      </c>
      <c r="D45" s="60" t="s">
        <v>803</v>
      </c>
    </row>
    <row r="47" spans="1:4" x14ac:dyDescent="0.25">
      <c r="A47" s="4" t="s">
        <v>740</v>
      </c>
      <c r="B47" s="5"/>
      <c r="C47" s="4" t="s">
        <v>674</v>
      </c>
      <c r="D47" s="4" t="s">
        <v>675</v>
      </c>
    </row>
    <row r="48" spans="1:4" ht="29.45" customHeight="1" x14ac:dyDescent="0.25">
      <c r="A48" s="53" t="s">
        <v>4537</v>
      </c>
      <c r="B48" s="54" t="s">
        <v>4538</v>
      </c>
      <c r="C48" s="55" t="s">
        <v>877</v>
      </c>
      <c r="D48" s="56" t="s">
        <v>679</v>
      </c>
    </row>
    <row r="49" spans="1:4" ht="29.45" customHeight="1" x14ac:dyDescent="0.25">
      <c r="A49" s="53" t="s">
        <v>4539</v>
      </c>
      <c r="B49" s="54" t="s">
        <v>4540</v>
      </c>
      <c r="C49" s="55" t="s">
        <v>877</v>
      </c>
      <c r="D49" s="56" t="s">
        <v>679</v>
      </c>
    </row>
    <row r="50" spans="1:4" ht="29.45" customHeight="1" x14ac:dyDescent="0.25">
      <c r="A50" s="53" t="s">
        <v>4541</v>
      </c>
      <c r="B50" s="54" t="s">
        <v>4542</v>
      </c>
      <c r="C50" s="55" t="s">
        <v>877</v>
      </c>
      <c r="D50" s="56" t="s">
        <v>679</v>
      </c>
    </row>
    <row r="51" spans="1:4" ht="42.6" customHeight="1" x14ac:dyDescent="0.25">
      <c r="A51" s="53" t="s">
        <v>4543</v>
      </c>
      <c r="B51" s="54" t="s">
        <v>4544</v>
      </c>
      <c r="C51" s="55" t="s">
        <v>877</v>
      </c>
      <c r="D51" s="57" t="s">
        <v>690</v>
      </c>
    </row>
    <row r="52" spans="1:4" ht="16.149999999999999" customHeight="1" x14ac:dyDescent="0.25">
      <c r="A52" s="53" t="s">
        <v>4545</v>
      </c>
      <c r="B52" s="54" t="s">
        <v>4546</v>
      </c>
      <c r="C52" s="55" t="s">
        <v>877</v>
      </c>
      <c r="D52" s="56" t="s">
        <v>679</v>
      </c>
    </row>
    <row r="53" spans="1:4" ht="29.45" customHeight="1" x14ac:dyDescent="0.25">
      <c r="A53" s="53" t="s">
        <v>4547</v>
      </c>
      <c r="B53" s="54" t="s">
        <v>4548</v>
      </c>
      <c r="C53" s="55" t="s">
        <v>877</v>
      </c>
      <c r="D53" s="57" t="s">
        <v>690</v>
      </c>
    </row>
    <row r="55" spans="1:4" x14ac:dyDescent="0.25">
      <c r="A55" s="4" t="s">
        <v>762</v>
      </c>
      <c r="B55" s="5"/>
      <c r="C55" s="4" t="s">
        <v>674</v>
      </c>
      <c r="D55" s="4" t="s">
        <v>675</v>
      </c>
    </row>
    <row r="56" spans="1:4" ht="29.45" customHeight="1" x14ac:dyDescent="0.25">
      <c r="A56" s="53" t="s">
        <v>4549</v>
      </c>
      <c r="B56" s="54" t="s">
        <v>4550</v>
      </c>
      <c r="C56" s="55" t="s">
        <v>844</v>
      </c>
      <c r="D56" s="57" t="s">
        <v>690</v>
      </c>
    </row>
    <row r="57" spans="1:4" ht="29.45" customHeight="1" x14ac:dyDescent="0.25">
      <c r="A57" s="53" t="s">
        <v>4551</v>
      </c>
      <c r="B57" s="54" t="s">
        <v>4552</v>
      </c>
      <c r="C57" s="55" t="s">
        <v>966</v>
      </c>
      <c r="D57" s="57" t="s">
        <v>690</v>
      </c>
    </row>
    <row r="58" spans="1:4" ht="16.149999999999999" customHeight="1" x14ac:dyDescent="0.25">
      <c r="A58" s="53" t="s">
        <v>4553</v>
      </c>
      <c r="B58" s="54" t="s">
        <v>4554</v>
      </c>
      <c r="C58" s="55" t="s">
        <v>844</v>
      </c>
      <c r="D58" s="57" t="s">
        <v>690</v>
      </c>
    </row>
    <row r="60" spans="1:4" x14ac:dyDescent="0.25">
      <c r="A60" s="4" t="s">
        <v>773</v>
      </c>
      <c r="B60" s="5"/>
      <c r="C60" s="4" t="s">
        <v>674</v>
      </c>
      <c r="D60" s="4" t="s">
        <v>675</v>
      </c>
    </row>
    <row r="61" spans="1:4" ht="29.45" customHeight="1" x14ac:dyDescent="0.25">
      <c r="A61" s="53" t="s">
        <v>4555</v>
      </c>
      <c r="B61" s="54" t="s">
        <v>4556</v>
      </c>
      <c r="C61" s="55" t="s">
        <v>877</v>
      </c>
      <c r="D61" s="57" t="s">
        <v>690</v>
      </c>
    </row>
    <row r="62" spans="1:4" ht="29.45" customHeight="1" x14ac:dyDescent="0.25">
      <c r="A62" s="53" t="s">
        <v>4557</v>
      </c>
      <c r="B62" s="54" t="s">
        <v>4558</v>
      </c>
      <c r="C62" s="55" t="s">
        <v>877</v>
      </c>
      <c r="D62" s="56" t="s">
        <v>679</v>
      </c>
    </row>
    <row r="63" spans="1:4" ht="16.149999999999999" customHeight="1" x14ac:dyDescent="0.25">
      <c r="A63" s="53" t="s">
        <v>4559</v>
      </c>
      <c r="B63" s="54" t="s">
        <v>4560</v>
      </c>
      <c r="C63" s="55" t="s">
        <v>877</v>
      </c>
      <c r="D63" s="57" t="s">
        <v>690</v>
      </c>
    </row>
    <row r="65" spans="1:4" x14ac:dyDescent="0.25">
      <c r="A65" s="4" t="s">
        <v>781</v>
      </c>
      <c r="B65" s="5"/>
      <c r="C65" s="4" t="s">
        <v>674</v>
      </c>
      <c r="D65" s="4" t="s">
        <v>675</v>
      </c>
    </row>
    <row r="66" spans="1:4" ht="16.149999999999999" customHeight="1" x14ac:dyDescent="0.25">
      <c r="A66" s="53" t="s">
        <v>4561</v>
      </c>
      <c r="B66" s="54" t="s">
        <v>4562</v>
      </c>
      <c r="C66" s="55" t="s">
        <v>877</v>
      </c>
      <c r="D66" s="56" t="s">
        <v>679</v>
      </c>
    </row>
    <row r="67" spans="1:4" ht="29.45" customHeight="1" x14ac:dyDescent="0.25">
      <c r="A67" s="53" t="s">
        <v>4563</v>
      </c>
      <c r="B67" s="54" t="s">
        <v>4564</v>
      </c>
      <c r="C67" s="55" t="s">
        <v>731</v>
      </c>
      <c r="D67" s="56" t="s">
        <v>679</v>
      </c>
    </row>
    <row r="68" spans="1:4" ht="29.45" customHeight="1" x14ac:dyDescent="0.25">
      <c r="A68" s="53" t="s">
        <v>4565</v>
      </c>
      <c r="B68" s="54" t="s">
        <v>4566</v>
      </c>
      <c r="C68" s="55" t="s">
        <v>966</v>
      </c>
      <c r="D68" s="57" t="s">
        <v>690</v>
      </c>
    </row>
    <row r="69" spans="1:4" ht="29.45" customHeight="1" x14ac:dyDescent="0.25">
      <c r="A69" s="53" t="s">
        <v>4567</v>
      </c>
      <c r="B69" s="54" t="s">
        <v>4568</v>
      </c>
      <c r="C69" s="55" t="s">
        <v>877</v>
      </c>
      <c r="D69" s="56" t="s">
        <v>679</v>
      </c>
    </row>
    <row r="71" spans="1:4" x14ac:dyDescent="0.25">
      <c r="A71" s="4" t="s">
        <v>792</v>
      </c>
      <c r="B71" s="5"/>
      <c r="C71" s="4" t="s">
        <v>674</v>
      </c>
      <c r="D71" s="4" t="s">
        <v>675</v>
      </c>
    </row>
    <row r="72" spans="1:4" ht="55.9" customHeight="1" x14ac:dyDescent="0.25">
      <c r="A72" s="53" t="s">
        <v>4569</v>
      </c>
      <c r="B72" s="54" t="s">
        <v>4570</v>
      </c>
      <c r="C72" s="55" t="s">
        <v>877</v>
      </c>
      <c r="D72" s="56" t="s">
        <v>679</v>
      </c>
    </row>
    <row r="73" spans="1:4" ht="16.149999999999999" customHeight="1" x14ac:dyDescent="0.25">
      <c r="A73" s="53" t="s">
        <v>4571</v>
      </c>
      <c r="B73" s="54" t="s">
        <v>4572</v>
      </c>
      <c r="C73" s="55" t="s">
        <v>877</v>
      </c>
      <c r="D73" s="56" t="s">
        <v>679</v>
      </c>
    </row>
    <row r="74" spans="1:4" ht="29.45" customHeight="1" x14ac:dyDescent="0.25">
      <c r="A74" s="53" t="s">
        <v>4573</v>
      </c>
      <c r="B74" s="54" t="s">
        <v>4574</v>
      </c>
      <c r="C74" s="55" t="s">
        <v>747</v>
      </c>
      <c r="D74" s="56" t="s">
        <v>679</v>
      </c>
    </row>
    <row r="75" spans="1:4" ht="16.149999999999999" customHeight="1" x14ac:dyDescent="0.25">
      <c r="A75" s="53" t="s">
        <v>4575</v>
      </c>
      <c r="B75" s="54" t="s">
        <v>4576</v>
      </c>
      <c r="C75" s="55" t="s">
        <v>731</v>
      </c>
      <c r="D75" s="56" t="s">
        <v>679</v>
      </c>
    </row>
    <row r="76" spans="1:4" ht="16.149999999999999" customHeight="1" x14ac:dyDescent="0.25">
      <c r="A76" s="53" t="s">
        <v>4577</v>
      </c>
      <c r="B76" s="54" t="s">
        <v>4578</v>
      </c>
      <c r="C76" s="55" t="s">
        <v>962</v>
      </c>
      <c r="D76" s="56" t="s">
        <v>679</v>
      </c>
    </row>
    <row r="77" spans="1:4" ht="29.45" customHeight="1" x14ac:dyDescent="0.25">
      <c r="A77" s="53" t="s">
        <v>4579</v>
      </c>
      <c r="B77" s="54" t="s">
        <v>4580</v>
      </c>
      <c r="C77" s="55" t="s">
        <v>678</v>
      </c>
      <c r="D77" s="56" t="s">
        <v>679</v>
      </c>
    </row>
    <row r="78" spans="1:4" ht="29.45" customHeight="1" x14ac:dyDescent="0.25">
      <c r="A78" s="53" t="s">
        <v>4581</v>
      </c>
      <c r="B78" s="54" t="s">
        <v>4582</v>
      </c>
      <c r="C78" s="55" t="s">
        <v>877</v>
      </c>
      <c r="D78" s="56" t="s">
        <v>679</v>
      </c>
    </row>
    <row r="79" spans="1:4" ht="29.45" customHeight="1" x14ac:dyDescent="0.25">
      <c r="A79" s="53" t="s">
        <v>4583</v>
      </c>
      <c r="B79" s="54" t="s">
        <v>4584</v>
      </c>
      <c r="C79" s="55" t="s">
        <v>877</v>
      </c>
      <c r="D79" s="56" t="s">
        <v>679</v>
      </c>
    </row>
    <row r="80" spans="1:4" ht="16.149999999999999" customHeight="1" x14ac:dyDescent="0.25">
      <c r="A80" s="53" t="s">
        <v>4585</v>
      </c>
      <c r="B80" s="54" t="s">
        <v>4586</v>
      </c>
      <c r="C80" s="55" t="s">
        <v>689</v>
      </c>
      <c r="D80" s="57" t="s">
        <v>690</v>
      </c>
    </row>
    <row r="82" spans="1:4" x14ac:dyDescent="0.25">
      <c r="A82" s="4" t="s">
        <v>804</v>
      </c>
      <c r="B82" s="5"/>
      <c r="C82" s="4" t="s">
        <v>674</v>
      </c>
      <c r="D82" s="4" t="s">
        <v>675</v>
      </c>
    </row>
    <row r="83" spans="1:4" ht="16.149999999999999" customHeight="1" x14ac:dyDescent="0.25">
      <c r="A83" s="53" t="s">
        <v>4587</v>
      </c>
      <c r="B83" s="54" t="s">
        <v>4588</v>
      </c>
      <c r="C83" s="55" t="s">
        <v>678</v>
      </c>
      <c r="D83" s="56" t="s">
        <v>679</v>
      </c>
    </row>
    <row r="84" spans="1:4" ht="16.149999999999999" customHeight="1" x14ac:dyDescent="0.25">
      <c r="A84" s="53" t="s">
        <v>4589</v>
      </c>
      <c r="B84" s="54" t="s">
        <v>4590</v>
      </c>
      <c r="C84" s="55" t="s">
        <v>877</v>
      </c>
      <c r="D84" s="56" t="s">
        <v>679</v>
      </c>
    </row>
    <row r="85" spans="1:4" ht="29.45" customHeight="1" x14ac:dyDescent="0.25">
      <c r="A85" s="53" t="s">
        <v>4591</v>
      </c>
      <c r="B85" s="54" t="s">
        <v>4592</v>
      </c>
      <c r="C85" s="55" t="s">
        <v>844</v>
      </c>
      <c r="D85" s="59" t="s">
        <v>748</v>
      </c>
    </row>
    <row r="86" spans="1:4" ht="16.149999999999999" customHeight="1" x14ac:dyDescent="0.25">
      <c r="A86" s="53" t="s">
        <v>4593</v>
      </c>
      <c r="B86" s="54" t="s">
        <v>4594</v>
      </c>
      <c r="C86" s="55" t="s">
        <v>877</v>
      </c>
      <c r="D86" s="56" t="s">
        <v>679</v>
      </c>
    </row>
    <row r="88" spans="1:4" x14ac:dyDescent="0.25">
      <c r="A88" s="4" t="s">
        <v>813</v>
      </c>
      <c r="B88" s="5"/>
      <c r="C88" s="4" t="s">
        <v>674</v>
      </c>
      <c r="D88" s="4" t="s">
        <v>675</v>
      </c>
    </row>
    <row r="89" spans="1:4" ht="42.6" customHeight="1" x14ac:dyDescent="0.25">
      <c r="A89" s="53" t="s">
        <v>3125</v>
      </c>
      <c r="B89" s="54" t="s">
        <v>4595</v>
      </c>
      <c r="C89" s="55" t="s">
        <v>684</v>
      </c>
      <c r="D89" s="56" t="s">
        <v>679</v>
      </c>
    </row>
    <row r="90" spans="1:4" ht="16.149999999999999" customHeight="1" x14ac:dyDescent="0.25">
      <c r="A90" s="53" t="s">
        <v>4596</v>
      </c>
      <c r="B90" s="54" t="s">
        <v>4597</v>
      </c>
      <c r="C90" s="55" t="s">
        <v>684</v>
      </c>
      <c r="D90" s="56" t="s">
        <v>679</v>
      </c>
    </row>
    <row r="91" spans="1:4" ht="16.149999999999999" customHeight="1" x14ac:dyDescent="0.25">
      <c r="A91" s="53" t="s">
        <v>4598</v>
      </c>
      <c r="B91" s="54" t="s">
        <v>4599</v>
      </c>
      <c r="C91" s="55" t="s">
        <v>684</v>
      </c>
      <c r="D91" s="56" t="s">
        <v>679</v>
      </c>
    </row>
    <row r="92" spans="1:4" ht="29.45" customHeight="1" x14ac:dyDescent="0.25">
      <c r="A92" s="53" t="s">
        <v>4600</v>
      </c>
      <c r="B92" s="54" t="s">
        <v>4601</v>
      </c>
      <c r="C92" s="55" t="s">
        <v>684</v>
      </c>
      <c r="D92" s="56" t="s">
        <v>679</v>
      </c>
    </row>
    <row r="93" spans="1:4" ht="29.45" customHeight="1" x14ac:dyDescent="0.25">
      <c r="A93" s="53" t="s">
        <v>820</v>
      </c>
      <c r="B93" s="54" t="s">
        <v>4602</v>
      </c>
      <c r="C93" s="55" t="s">
        <v>678</v>
      </c>
      <c r="D93" s="56" t="s">
        <v>679</v>
      </c>
    </row>
    <row r="94" spans="1:4" ht="16.149999999999999" customHeight="1" x14ac:dyDescent="0.25">
      <c r="A94" s="53" t="s">
        <v>822</v>
      </c>
      <c r="B94" s="54" t="s">
        <v>4603</v>
      </c>
      <c r="C94" s="55" t="s">
        <v>684</v>
      </c>
      <c r="D94" s="56" t="s">
        <v>679</v>
      </c>
    </row>
    <row r="96" spans="1:4" x14ac:dyDescent="0.25">
      <c r="A96" s="4" t="s">
        <v>826</v>
      </c>
      <c r="B96" s="5"/>
      <c r="C96" s="4" t="s">
        <v>674</v>
      </c>
      <c r="D96" s="4" t="s">
        <v>675</v>
      </c>
    </row>
    <row r="97" spans="1:4" ht="16.149999999999999" customHeight="1" x14ac:dyDescent="0.25">
      <c r="A97" s="53" t="s">
        <v>4604</v>
      </c>
      <c r="B97" s="54" t="s">
        <v>4605</v>
      </c>
      <c r="C97" s="55" t="s">
        <v>1485</v>
      </c>
      <c r="D97" s="58" t="s">
        <v>698</v>
      </c>
    </row>
    <row r="98" spans="1:4" ht="42.6" customHeight="1" x14ac:dyDescent="0.25">
      <c r="A98" s="53" t="s">
        <v>4606</v>
      </c>
      <c r="B98" s="54" t="s">
        <v>4607</v>
      </c>
      <c r="C98" s="55" t="s">
        <v>1524</v>
      </c>
      <c r="D98" s="59" t="s">
        <v>748</v>
      </c>
    </row>
    <row r="99" spans="1:4" ht="16.149999999999999" customHeight="1" x14ac:dyDescent="0.25">
      <c r="A99" s="53" t="s">
        <v>1034</v>
      </c>
      <c r="B99" s="54" t="s">
        <v>4608</v>
      </c>
      <c r="C99" s="55" t="s">
        <v>1524</v>
      </c>
      <c r="D99" s="59" t="s">
        <v>748</v>
      </c>
    </row>
    <row r="101" spans="1:4" x14ac:dyDescent="0.25">
      <c r="A101" s="4" t="s">
        <v>833</v>
      </c>
      <c r="B101" s="5"/>
      <c r="C101" s="4" t="s">
        <v>674</v>
      </c>
      <c r="D101" s="4" t="s">
        <v>675</v>
      </c>
    </row>
    <row r="102" spans="1:4" ht="16.149999999999999" customHeight="1" x14ac:dyDescent="0.25">
      <c r="A102" s="53" t="s">
        <v>2969</v>
      </c>
      <c r="B102" s="54" t="s">
        <v>4609</v>
      </c>
      <c r="C102" s="55" t="s">
        <v>753</v>
      </c>
      <c r="D102" s="56" t="s">
        <v>679</v>
      </c>
    </row>
    <row r="103" spans="1:4" ht="29.45" customHeight="1" x14ac:dyDescent="0.25">
      <c r="A103" s="53" t="s">
        <v>4159</v>
      </c>
      <c r="B103" s="54" t="s">
        <v>4610</v>
      </c>
      <c r="C103" s="55" t="s">
        <v>689</v>
      </c>
      <c r="D103" s="57" t="s">
        <v>690</v>
      </c>
    </row>
    <row r="105" spans="1:4" x14ac:dyDescent="0.25">
      <c r="A105" s="4" t="s">
        <v>836</v>
      </c>
      <c r="B105" s="5"/>
      <c r="C105" s="4" t="s">
        <v>674</v>
      </c>
      <c r="D105" s="4" t="s">
        <v>675</v>
      </c>
    </row>
    <row r="106" spans="1:4" ht="16.149999999999999" customHeight="1" x14ac:dyDescent="0.25">
      <c r="A106" s="53" t="s">
        <v>4611</v>
      </c>
      <c r="B106" s="54" t="s">
        <v>4612</v>
      </c>
      <c r="C106" s="55" t="s">
        <v>877</v>
      </c>
      <c r="D106" s="56" t="s">
        <v>679</v>
      </c>
    </row>
    <row r="107" spans="1:4" ht="16.149999999999999" customHeight="1" x14ac:dyDescent="0.25">
      <c r="A107" s="53" t="s">
        <v>4613</v>
      </c>
      <c r="B107" s="54" t="s">
        <v>4614</v>
      </c>
      <c r="C107" s="55" t="s">
        <v>877</v>
      </c>
      <c r="D107" s="60" t="s">
        <v>803</v>
      </c>
    </row>
    <row r="108" spans="1:4" ht="29.45" customHeight="1" x14ac:dyDescent="0.25">
      <c r="A108" s="53" t="s">
        <v>4615</v>
      </c>
      <c r="B108" s="54" t="s">
        <v>4616</v>
      </c>
      <c r="C108" s="55" t="s">
        <v>877</v>
      </c>
      <c r="D108" s="56" t="s">
        <v>679</v>
      </c>
    </row>
    <row r="109" spans="1:4" ht="29.45" customHeight="1" x14ac:dyDescent="0.25">
      <c r="A109" s="53" t="s">
        <v>4617</v>
      </c>
      <c r="B109" s="54" t="s">
        <v>4618</v>
      </c>
      <c r="C109" s="55" t="s">
        <v>877</v>
      </c>
      <c r="D109" s="56" t="s">
        <v>679</v>
      </c>
    </row>
    <row r="110" spans="1:4" ht="16.149999999999999" customHeight="1" x14ac:dyDescent="0.25">
      <c r="A110" s="53" t="s">
        <v>4619</v>
      </c>
      <c r="B110" s="54" t="s">
        <v>4620</v>
      </c>
      <c r="C110" s="55" t="s">
        <v>877</v>
      </c>
      <c r="D110" s="56" t="s">
        <v>679</v>
      </c>
    </row>
    <row r="111" spans="1:4" ht="16.149999999999999" customHeight="1" x14ac:dyDescent="0.25">
      <c r="A111" s="53" t="s">
        <v>4621</v>
      </c>
      <c r="B111" s="54" t="s">
        <v>4622</v>
      </c>
      <c r="C111" s="55" t="s">
        <v>948</v>
      </c>
      <c r="D111" s="59" t="s">
        <v>748</v>
      </c>
    </row>
    <row r="112" spans="1:4" ht="16.149999999999999" customHeight="1" x14ac:dyDescent="0.25">
      <c r="A112" s="53" t="s">
        <v>4519</v>
      </c>
      <c r="B112" s="54" t="s">
        <v>4623</v>
      </c>
      <c r="C112" s="55" t="s">
        <v>877</v>
      </c>
      <c r="D112" s="56" t="s">
        <v>679</v>
      </c>
    </row>
    <row r="113" spans="1:4" ht="16.149999999999999" customHeight="1" x14ac:dyDescent="0.25">
      <c r="A113" s="53" t="s">
        <v>4624</v>
      </c>
      <c r="B113" s="54" t="s">
        <v>4625</v>
      </c>
      <c r="C113" s="55" t="s">
        <v>841</v>
      </c>
      <c r="D113" s="56" t="s">
        <v>679</v>
      </c>
    </row>
    <row r="115" spans="1:4" x14ac:dyDescent="0.25">
      <c r="A115" s="4" t="s">
        <v>855</v>
      </c>
      <c r="B115" s="5"/>
      <c r="C115" s="4" t="s">
        <v>674</v>
      </c>
      <c r="D115" s="4" t="s">
        <v>675</v>
      </c>
    </row>
    <row r="116" spans="1:4" ht="29.45" customHeight="1" x14ac:dyDescent="0.25">
      <c r="A116" s="53" t="s">
        <v>4626</v>
      </c>
      <c r="B116" s="54" t="s">
        <v>4627</v>
      </c>
      <c r="C116" s="55" t="s">
        <v>776</v>
      </c>
      <c r="D116" s="56" t="s">
        <v>679</v>
      </c>
    </row>
    <row r="117" spans="1:4" ht="42.6" customHeight="1" x14ac:dyDescent="0.25">
      <c r="A117" s="53" t="s">
        <v>4628</v>
      </c>
      <c r="B117" s="54" t="s">
        <v>4629</v>
      </c>
      <c r="C117" s="55" t="s">
        <v>841</v>
      </c>
      <c r="D117" s="56" t="s">
        <v>679</v>
      </c>
    </row>
    <row r="118" spans="1:4" ht="29.45" customHeight="1" x14ac:dyDescent="0.25">
      <c r="A118" s="53" t="s">
        <v>4630</v>
      </c>
      <c r="B118" s="54" t="s">
        <v>4631</v>
      </c>
      <c r="C118" s="55" t="s">
        <v>844</v>
      </c>
      <c r="D118" s="57" t="s">
        <v>690</v>
      </c>
    </row>
    <row r="119" spans="1:4" ht="29.45" customHeight="1" x14ac:dyDescent="0.25">
      <c r="A119" s="53" t="s">
        <v>4632</v>
      </c>
      <c r="B119" s="54" t="s">
        <v>4633</v>
      </c>
      <c r="C119" s="55" t="s">
        <v>948</v>
      </c>
      <c r="D119" s="59" t="s">
        <v>748</v>
      </c>
    </row>
    <row r="120" spans="1:4" ht="29.45" customHeight="1" x14ac:dyDescent="0.25">
      <c r="A120" s="53" t="s">
        <v>4634</v>
      </c>
      <c r="B120" s="54" t="s">
        <v>4635</v>
      </c>
      <c r="C120" s="55" t="s">
        <v>697</v>
      </c>
      <c r="D120" s="59" t="s">
        <v>748</v>
      </c>
    </row>
    <row r="121" spans="1:4" ht="16.149999999999999" customHeight="1" x14ac:dyDescent="0.25">
      <c r="A121" s="53" t="s">
        <v>4636</v>
      </c>
      <c r="B121" s="54" t="s">
        <v>4637</v>
      </c>
      <c r="C121" s="55" t="s">
        <v>948</v>
      </c>
      <c r="D121" s="59" t="s">
        <v>748</v>
      </c>
    </row>
    <row r="123" spans="1:4" x14ac:dyDescent="0.25">
      <c r="A123" s="4" t="s">
        <v>868</v>
      </c>
      <c r="B123" s="5"/>
      <c r="C123" s="4" t="s">
        <v>674</v>
      </c>
      <c r="D123" s="5"/>
    </row>
    <row r="124" spans="1:4" ht="16.149999999999999" customHeight="1" x14ac:dyDescent="0.25">
      <c r="A124" s="61" t="s">
        <v>3005</v>
      </c>
      <c r="B124" s="54" t="s">
        <v>4638</v>
      </c>
      <c r="C124" s="55" t="s">
        <v>2351</v>
      </c>
      <c r="D124" s="62"/>
    </row>
    <row r="125" spans="1:4" ht="16.149999999999999" customHeight="1" x14ac:dyDescent="0.25">
      <c r="A125" s="61" t="s">
        <v>1236</v>
      </c>
      <c r="B125" s="54" t="s">
        <v>4639</v>
      </c>
      <c r="C125" s="55" t="s">
        <v>2351</v>
      </c>
      <c r="D125" s="62"/>
    </row>
    <row r="126" spans="1:4" ht="16.149999999999999" customHeight="1" x14ac:dyDescent="0.25">
      <c r="A126" s="61" t="s">
        <v>4640</v>
      </c>
      <c r="B126" s="54" t="s">
        <v>4641</v>
      </c>
      <c r="C126" s="55" t="s">
        <v>877</v>
      </c>
      <c r="D126" s="62"/>
    </row>
    <row r="127" spans="1:4" ht="16.149999999999999" customHeight="1" x14ac:dyDescent="0.25">
      <c r="A127" s="61" t="s">
        <v>2052</v>
      </c>
      <c r="B127" s="54" t="s">
        <v>4642</v>
      </c>
      <c r="C127" s="55" t="s">
        <v>962</v>
      </c>
      <c r="D127" s="62"/>
    </row>
    <row r="128" spans="1:4" ht="16.149999999999999" customHeight="1" x14ac:dyDescent="0.25">
      <c r="A128" s="61" t="s">
        <v>3156</v>
      </c>
      <c r="B128" s="54" t="s">
        <v>4643</v>
      </c>
      <c r="C128" s="55" t="s">
        <v>734</v>
      </c>
      <c r="D128" s="62"/>
    </row>
    <row r="129" spans="1:4" ht="16.149999999999999" customHeight="1" x14ac:dyDescent="0.25">
      <c r="A129" s="61" t="s">
        <v>4644</v>
      </c>
      <c r="B129" s="54" t="s">
        <v>4645</v>
      </c>
      <c r="C129" s="55" t="s">
        <v>678</v>
      </c>
      <c r="D129" s="62"/>
    </row>
    <row r="130" spans="1:4" ht="16.149999999999999" customHeight="1" x14ac:dyDescent="0.25">
      <c r="A130" s="61" t="s">
        <v>1871</v>
      </c>
      <c r="B130" s="54" t="s">
        <v>4646</v>
      </c>
      <c r="C130" s="55" t="s">
        <v>753</v>
      </c>
      <c r="D130" s="62"/>
    </row>
    <row r="131" spans="1:4" ht="16.149999999999999" customHeight="1" x14ac:dyDescent="0.25">
      <c r="A131" s="61" t="s">
        <v>4647</v>
      </c>
      <c r="B131" s="54" t="s">
        <v>4648</v>
      </c>
      <c r="C131" s="55" t="s">
        <v>731</v>
      </c>
      <c r="D131" s="62"/>
    </row>
    <row r="132" spans="1:4" ht="16.149999999999999" customHeight="1" x14ac:dyDescent="0.25">
      <c r="A132" s="61" t="s">
        <v>2231</v>
      </c>
      <c r="B132" s="54" t="s">
        <v>4649</v>
      </c>
      <c r="C132" s="55" t="s">
        <v>776</v>
      </c>
      <c r="D132" s="62"/>
    </row>
    <row r="133" spans="1:4" ht="16.149999999999999" customHeight="1" x14ac:dyDescent="0.25">
      <c r="A133" s="61" t="s">
        <v>4650</v>
      </c>
      <c r="B133" s="54" t="s">
        <v>4651</v>
      </c>
      <c r="C133" s="55" t="s">
        <v>737</v>
      </c>
      <c r="D133" s="62"/>
    </row>
    <row r="134" spans="1:4" ht="16.149999999999999" customHeight="1" x14ac:dyDescent="0.25">
      <c r="A134" s="61" t="s">
        <v>4652</v>
      </c>
      <c r="B134" s="54" t="s">
        <v>4653</v>
      </c>
      <c r="C134" s="55" t="s">
        <v>689</v>
      </c>
      <c r="D134" s="62"/>
    </row>
    <row r="135" spans="1:4" ht="16.149999999999999" customHeight="1" x14ac:dyDescent="0.25">
      <c r="A135" s="61" t="s">
        <v>3324</v>
      </c>
      <c r="B135" s="54" t="s">
        <v>4654</v>
      </c>
      <c r="C135" s="55" t="s">
        <v>841</v>
      </c>
      <c r="D135" s="62"/>
    </row>
    <row r="136" spans="1:4" ht="16.149999999999999" customHeight="1" x14ac:dyDescent="0.25">
      <c r="A136" s="61" t="s">
        <v>4655</v>
      </c>
      <c r="B136" s="54" t="s">
        <v>4656</v>
      </c>
      <c r="C136" s="55" t="s">
        <v>747</v>
      </c>
      <c r="D136" s="62"/>
    </row>
    <row r="137" spans="1:4" ht="16.149999999999999" customHeight="1" x14ac:dyDescent="0.25">
      <c r="A137" s="61" t="s">
        <v>2060</v>
      </c>
      <c r="B137" s="54" t="s">
        <v>4657</v>
      </c>
      <c r="C137" s="55" t="s">
        <v>753</v>
      </c>
      <c r="D137" s="62"/>
    </row>
    <row r="138" spans="1:4" ht="16.149999999999999" customHeight="1" x14ac:dyDescent="0.25">
      <c r="A138" s="61" t="s">
        <v>2530</v>
      </c>
      <c r="B138" s="54" t="s">
        <v>4658</v>
      </c>
      <c r="C138" s="55" t="s">
        <v>697</v>
      </c>
      <c r="D138" s="62"/>
    </row>
    <row r="139" spans="1:4" ht="16.149999999999999" customHeight="1" x14ac:dyDescent="0.25">
      <c r="A139" s="61" t="s">
        <v>2533</v>
      </c>
      <c r="B139" s="54" t="s">
        <v>4659</v>
      </c>
      <c r="C139" s="55" t="s">
        <v>948</v>
      </c>
      <c r="D139" s="62"/>
    </row>
    <row r="141" spans="1:4" x14ac:dyDescent="0.25">
      <c r="A141" s="4" t="s">
        <v>894</v>
      </c>
      <c r="B141" s="5"/>
      <c r="C141" s="5"/>
      <c r="D141" s="5"/>
    </row>
    <row r="142" spans="1:4" ht="29.45" customHeight="1" x14ac:dyDescent="0.25">
      <c r="A142" s="53" t="s">
        <v>4660</v>
      </c>
      <c r="B142" s="54" t="s">
        <v>4661</v>
      </c>
      <c r="C142" s="28" t="s">
        <v>897</v>
      </c>
      <c r="D142" s="62"/>
    </row>
    <row r="143" spans="1:4" ht="42.6" customHeight="1" x14ac:dyDescent="0.25">
      <c r="A143" s="53" t="s">
        <v>4662</v>
      </c>
      <c r="B143" s="54" t="s">
        <v>4663</v>
      </c>
      <c r="C143" s="28" t="s">
        <v>897</v>
      </c>
      <c r="D143" s="62"/>
    </row>
    <row r="144" spans="1:4" ht="29.45" customHeight="1" x14ac:dyDescent="0.25">
      <c r="A144" s="53" t="s">
        <v>4664</v>
      </c>
      <c r="B144" s="54" t="s">
        <v>4665</v>
      </c>
      <c r="C144" s="28" t="s">
        <v>897</v>
      </c>
      <c r="D144" s="62"/>
    </row>
    <row r="145" spans="1:4" ht="29.45" customHeight="1" x14ac:dyDescent="0.25">
      <c r="A145" s="53" t="s">
        <v>4666</v>
      </c>
      <c r="B145" s="54" t="s">
        <v>4667</v>
      </c>
      <c r="C145" s="28" t="s">
        <v>897</v>
      </c>
      <c r="D145" s="62"/>
    </row>
    <row r="146" spans="1:4" ht="29.45" customHeight="1" x14ac:dyDescent="0.25">
      <c r="A146" s="53" t="s">
        <v>4668</v>
      </c>
      <c r="B146" s="54" t="s">
        <v>4669</v>
      </c>
      <c r="C146" s="28" t="s">
        <v>897</v>
      </c>
      <c r="D146" s="62"/>
    </row>
    <row r="147" spans="1:4" ht="29.45" customHeight="1" x14ac:dyDescent="0.25">
      <c r="A147" s="53" t="s">
        <v>4670</v>
      </c>
      <c r="B147" s="54" t="s">
        <v>4671</v>
      </c>
      <c r="C147" s="28" t="s">
        <v>897</v>
      </c>
      <c r="D147" s="62"/>
    </row>
    <row r="148" spans="1:4" ht="16.149999999999999" customHeight="1" x14ac:dyDescent="0.25">
      <c r="A148" s="53" t="s">
        <v>4672</v>
      </c>
      <c r="B148" s="54" t="s">
        <v>4673</v>
      </c>
      <c r="C148" s="28" t="s">
        <v>897</v>
      </c>
      <c r="D148" s="62"/>
    </row>
    <row r="149" spans="1:4" ht="16.149999999999999" customHeight="1" x14ac:dyDescent="0.25">
      <c r="A149" s="53" t="s">
        <v>4674</v>
      </c>
      <c r="B149" s="54" t="s">
        <v>4675</v>
      </c>
      <c r="C149" s="28" t="s">
        <v>897</v>
      </c>
      <c r="D149" s="62"/>
    </row>
    <row r="150" spans="1:4" ht="29.45" customHeight="1" x14ac:dyDescent="0.25">
      <c r="A150" s="53" t="s">
        <v>4676</v>
      </c>
      <c r="B150" s="54" t="s">
        <v>4677</v>
      </c>
      <c r="C150" s="28" t="s">
        <v>897</v>
      </c>
      <c r="D150" s="62"/>
    </row>
    <row r="151" spans="1:4" ht="29.45" customHeight="1" x14ac:dyDescent="0.25">
      <c r="A151" s="53" t="s">
        <v>4678</v>
      </c>
      <c r="B151" s="54" t="s">
        <v>4679</v>
      </c>
      <c r="C151" s="28" t="s">
        <v>897</v>
      </c>
      <c r="D151" s="62"/>
    </row>
    <row r="152" spans="1:4" ht="29.45" customHeight="1" x14ac:dyDescent="0.25">
      <c r="A152" s="53" t="s">
        <v>4680</v>
      </c>
      <c r="B152" s="54" t="s">
        <v>4681</v>
      </c>
      <c r="C152" s="28" t="s">
        <v>897</v>
      </c>
      <c r="D152" s="62"/>
    </row>
    <row r="153" spans="1:4" ht="29.45" customHeight="1" x14ac:dyDescent="0.25">
      <c r="A153" s="53" t="s">
        <v>4682</v>
      </c>
      <c r="B153" s="54" t="s">
        <v>4683</v>
      </c>
      <c r="C153" s="28" t="s">
        <v>897</v>
      </c>
      <c r="D153" s="62"/>
    </row>
    <row r="154" spans="1:4" ht="29.45" customHeight="1" x14ac:dyDescent="0.25">
      <c r="A154" s="53" t="s">
        <v>4684</v>
      </c>
      <c r="B154" s="54" t="s">
        <v>4685</v>
      </c>
      <c r="C154" s="28" t="s">
        <v>897</v>
      </c>
      <c r="D154" s="62"/>
    </row>
    <row r="155" spans="1:4" ht="29.45" customHeight="1" x14ac:dyDescent="0.25">
      <c r="A155" s="53" t="s">
        <v>4686</v>
      </c>
      <c r="B155" s="54" t="s">
        <v>4687</v>
      </c>
      <c r="C155" s="28" t="s">
        <v>897</v>
      </c>
      <c r="D155" s="62"/>
    </row>
    <row r="156" spans="1:4" ht="29.45" customHeight="1" x14ac:dyDescent="0.25">
      <c r="A156" s="53" t="s">
        <v>4688</v>
      </c>
      <c r="B156" s="54" t="s">
        <v>4689</v>
      </c>
      <c r="C156" s="28" t="s">
        <v>897</v>
      </c>
      <c r="D156" s="62"/>
    </row>
    <row r="157" spans="1:4" ht="42.6" customHeight="1" x14ac:dyDescent="0.25">
      <c r="A157" s="53" t="s">
        <v>4690</v>
      </c>
      <c r="B157" s="54" t="s">
        <v>4691</v>
      </c>
      <c r="C157" s="28" t="s">
        <v>897</v>
      </c>
      <c r="D157" s="62"/>
    </row>
    <row r="158" spans="1:4" ht="29.45" customHeight="1" x14ac:dyDescent="0.25">
      <c r="A158" s="53" t="s">
        <v>4692</v>
      </c>
      <c r="B158" s="54" t="s">
        <v>4693</v>
      </c>
      <c r="C158" s="28" t="s">
        <v>897</v>
      </c>
      <c r="D158" s="62"/>
    </row>
    <row r="159" spans="1:4" ht="29.45" customHeight="1" x14ac:dyDescent="0.25">
      <c r="A159" s="53" t="s">
        <v>4694</v>
      </c>
      <c r="B159" s="54" t="s">
        <v>4695</v>
      </c>
      <c r="C159" s="28" t="s">
        <v>897</v>
      </c>
      <c r="D159" s="62"/>
    </row>
    <row r="160" spans="1:4" ht="16.149999999999999" customHeight="1" x14ac:dyDescent="0.25">
      <c r="A160" s="53" t="s">
        <v>4696</v>
      </c>
      <c r="B160" s="54" t="s">
        <v>4697</v>
      </c>
      <c r="C160" s="62"/>
      <c r="D160" s="62"/>
    </row>
    <row r="162" spans="1:4" x14ac:dyDescent="0.25">
      <c r="A162" s="4" t="s">
        <v>926</v>
      </c>
      <c r="B162" s="5"/>
      <c r="C162" s="5"/>
      <c r="D162" s="5"/>
    </row>
    <row r="163" spans="1:4" ht="29.45" customHeight="1" x14ac:dyDescent="0.25">
      <c r="B163" s="52" t="s">
        <v>4698</v>
      </c>
    </row>
    <row r="164" spans="1:4" ht="29.45" customHeight="1" x14ac:dyDescent="0.25">
      <c r="B164" s="52" t="s">
        <v>4699</v>
      </c>
    </row>
    <row r="165" spans="1:4" ht="29.45" customHeight="1" x14ac:dyDescent="0.25">
      <c r="B165" s="52" t="s">
        <v>4700</v>
      </c>
    </row>
    <row r="166" spans="1:4" ht="29.45" customHeight="1" x14ac:dyDescent="0.25">
      <c r="B166" s="52" t="s">
        <v>4701</v>
      </c>
    </row>
    <row r="167" spans="1:4" ht="29.45" customHeight="1" x14ac:dyDescent="0.25">
      <c r="B167" s="52" t="s">
        <v>4702</v>
      </c>
    </row>
    <row r="168" spans="1:4" ht="29.45" customHeight="1" x14ac:dyDescent="0.25">
      <c r="B168" s="52" t="s">
        <v>4703</v>
      </c>
    </row>
    <row r="169" spans="1:4" ht="16.149999999999999" customHeight="1" x14ac:dyDescent="0.25">
      <c r="B169" s="52" t="s">
        <v>4704</v>
      </c>
    </row>
    <row r="170" spans="1:4" ht="29.45" customHeight="1" x14ac:dyDescent="0.25">
      <c r="B170" s="52" t="s">
        <v>4705</v>
      </c>
    </row>
  </sheetData>
  <hyperlinks>
    <hyperlink ref="D1" location="'Monitor'!A35" display="&lt;&lt; Monitor" xr:uid="{00000000-0004-0000-2200-000000000000}"/>
    <hyperlink ref="C142" r:id="rId1" xr:uid="{00000000-0004-0000-2200-000001000000}"/>
    <hyperlink ref="C143" r:id="rId2" xr:uid="{00000000-0004-0000-2200-000002000000}"/>
    <hyperlink ref="C144" r:id="rId3" xr:uid="{00000000-0004-0000-2200-000003000000}"/>
    <hyperlink ref="C145" r:id="rId4" xr:uid="{00000000-0004-0000-2200-000004000000}"/>
    <hyperlink ref="C146" r:id="rId5" xr:uid="{00000000-0004-0000-2200-000005000000}"/>
    <hyperlink ref="C147" r:id="rId6" xr:uid="{00000000-0004-0000-2200-000006000000}"/>
    <hyperlink ref="C148" r:id="rId7" xr:uid="{00000000-0004-0000-2200-000007000000}"/>
    <hyperlink ref="C149" r:id="rId8" xr:uid="{00000000-0004-0000-2200-000008000000}"/>
    <hyperlink ref="C150" r:id="rId9" xr:uid="{00000000-0004-0000-2200-000009000000}"/>
    <hyperlink ref="C151" r:id="rId10" xr:uid="{00000000-0004-0000-2200-00000A000000}"/>
    <hyperlink ref="C152" r:id="rId11" xr:uid="{00000000-0004-0000-2200-00000B000000}"/>
    <hyperlink ref="C153" r:id="rId12" xr:uid="{00000000-0004-0000-2200-00000C000000}"/>
    <hyperlink ref="C154" r:id="rId13" xr:uid="{00000000-0004-0000-2200-00000D000000}"/>
    <hyperlink ref="C155" r:id="rId14" xr:uid="{00000000-0004-0000-2200-00000E000000}"/>
    <hyperlink ref="C156" r:id="rId15" xr:uid="{00000000-0004-0000-2200-00000F000000}"/>
    <hyperlink ref="C157" r:id="rId16" xr:uid="{00000000-0004-0000-2200-000010000000}"/>
    <hyperlink ref="C158" r:id="rId17" xr:uid="{00000000-0004-0000-2200-000011000000}"/>
    <hyperlink ref="C159" r:id="rId18" xr:uid="{00000000-0004-0000-2200-000012000000}"/>
  </hyperlinks>
  <pageMargins left="0.75" right="0.75" top="1" bottom="1" header="0.5" footer="0.5"/>
  <pageSetup fitToHeight="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F7F7F"/>
    <pageSetUpPr fitToPage="1"/>
  </sheetPr>
  <dimension ref="A1:D139"/>
  <sheetViews>
    <sheetView showGridLines="0" workbookViewId="0">
      <pane ySplit="3" topLeftCell="A4" activePane="bottomLeft" state="frozen"/>
      <selection pane="bottomLeft"/>
    </sheetView>
  </sheetViews>
  <sheetFormatPr defaultRowHeight="15" x14ac:dyDescent="0.25"/>
  <cols>
    <col min="1" max="1" width="34" customWidth="1"/>
    <col min="2" max="2" width="125" customWidth="1"/>
    <col min="3" max="3" width="12" customWidth="1"/>
    <col min="4" max="4" width="24" customWidth="1"/>
  </cols>
  <sheetData>
    <row r="1" spans="1:4" ht="18.75" x14ac:dyDescent="0.3">
      <c r="A1" s="1" t="s">
        <v>248</v>
      </c>
      <c r="D1" s="41" t="s">
        <v>667</v>
      </c>
    </row>
    <row r="2" spans="1:4" x14ac:dyDescent="0.25">
      <c r="A2" s="2" t="s">
        <v>4706</v>
      </c>
    </row>
    <row r="4" spans="1:4" x14ac:dyDescent="0.25">
      <c r="A4" s="42" t="s">
        <v>9</v>
      </c>
      <c r="B4" s="43">
        <f>Monitor!H36</f>
        <v>91.99</v>
      </c>
    </row>
    <row r="5" spans="1:4" x14ac:dyDescent="0.25">
      <c r="A5" s="42" t="s">
        <v>11</v>
      </c>
      <c r="B5" s="44">
        <f>Monitor!J36</f>
        <v>7.1286629885702366</v>
      </c>
    </row>
    <row r="6" spans="1:4" x14ac:dyDescent="0.25">
      <c r="A6" s="42" t="s">
        <v>8</v>
      </c>
      <c r="B6" s="45">
        <f>Monitor!G36</f>
        <v>3500</v>
      </c>
    </row>
    <row r="7" spans="1:4" x14ac:dyDescent="0.25">
      <c r="A7" s="42" t="s">
        <v>14</v>
      </c>
      <c r="B7" s="46">
        <f>Monitor!M36</f>
        <v>-280.35000000000014</v>
      </c>
    </row>
    <row r="8" spans="1:4" x14ac:dyDescent="0.25">
      <c r="A8" s="42" t="s">
        <v>15</v>
      </c>
      <c r="B8" s="47">
        <f>Monitor!N36</f>
        <v>-8.0100000000000046E-2</v>
      </c>
    </row>
    <row r="9" spans="1:4" x14ac:dyDescent="0.25">
      <c r="A9" s="42" t="s">
        <v>669</v>
      </c>
      <c r="B9" s="46">
        <f>Monitor!O36</f>
        <v>-0.10500000000000398</v>
      </c>
    </row>
    <row r="10" spans="1:4" x14ac:dyDescent="0.25">
      <c r="A10" s="42" t="s">
        <v>20</v>
      </c>
      <c r="B10" s="48">
        <f>Monitor!S36</f>
        <v>46057</v>
      </c>
    </row>
    <row r="11" spans="1:4" x14ac:dyDescent="0.25">
      <c r="A11" s="42" t="s">
        <v>670</v>
      </c>
      <c r="B11" s="49">
        <f>Monitor!W36</f>
        <v>0</v>
      </c>
    </row>
    <row r="12" spans="1:4" x14ac:dyDescent="0.25">
      <c r="A12" s="42" t="s">
        <v>671</v>
      </c>
      <c r="B12" s="50">
        <f>Monitor!F36</f>
        <v>0</v>
      </c>
    </row>
    <row r="13" spans="1:4" x14ac:dyDescent="0.25">
      <c r="A13" s="42" t="s">
        <v>4</v>
      </c>
      <c r="B13" s="50" t="str">
        <f>Monitor!C36</f>
        <v>Oracle</v>
      </c>
    </row>
    <row r="15" spans="1:4" x14ac:dyDescent="0.25">
      <c r="A15" s="4" t="s">
        <v>672</v>
      </c>
      <c r="B15" s="5"/>
      <c r="C15" s="5"/>
      <c r="D15" s="5"/>
    </row>
    <row r="16" spans="1:4" ht="55.9" customHeight="1" x14ac:dyDescent="0.25">
      <c r="A16" s="51" t="s">
        <v>192</v>
      </c>
      <c r="B16" s="52" t="s">
        <v>249</v>
      </c>
    </row>
    <row r="18" spans="1:4" x14ac:dyDescent="0.25">
      <c r="A18" s="4" t="s">
        <v>673</v>
      </c>
      <c r="B18" s="5"/>
      <c r="C18" s="4" t="s">
        <v>674</v>
      </c>
      <c r="D18" s="4" t="s">
        <v>675</v>
      </c>
    </row>
    <row r="19" spans="1:4" ht="16.149999999999999" customHeight="1" x14ac:dyDescent="0.25">
      <c r="A19" s="53" t="s">
        <v>676</v>
      </c>
      <c r="B19" s="54" t="s">
        <v>4707</v>
      </c>
      <c r="C19" s="55" t="s">
        <v>678</v>
      </c>
      <c r="D19" s="56" t="s">
        <v>679</v>
      </c>
    </row>
    <row r="20" spans="1:4" ht="16.149999999999999" customHeight="1" x14ac:dyDescent="0.25">
      <c r="A20" s="53" t="s">
        <v>4498</v>
      </c>
      <c r="B20" s="54" t="s">
        <v>4708</v>
      </c>
      <c r="C20" s="55" t="s">
        <v>678</v>
      </c>
      <c r="D20" s="56" t="s">
        <v>679</v>
      </c>
    </row>
    <row r="21" spans="1:4" ht="16.149999999999999" customHeight="1" x14ac:dyDescent="0.25">
      <c r="A21" s="53" t="s">
        <v>695</v>
      </c>
      <c r="B21" s="54" t="s">
        <v>4709</v>
      </c>
      <c r="C21" s="55" t="s">
        <v>684</v>
      </c>
      <c r="D21" s="56" t="s">
        <v>679</v>
      </c>
    </row>
    <row r="22" spans="1:4" ht="29.45" customHeight="1" x14ac:dyDescent="0.25">
      <c r="A22" s="53" t="s">
        <v>682</v>
      </c>
      <c r="B22" s="54" t="s">
        <v>4710</v>
      </c>
      <c r="C22" s="55" t="s">
        <v>678</v>
      </c>
      <c r="D22" s="56" t="s">
        <v>679</v>
      </c>
    </row>
    <row r="23" spans="1:4" ht="16.149999999999999" customHeight="1" x14ac:dyDescent="0.25">
      <c r="A23" s="53" t="s">
        <v>4711</v>
      </c>
      <c r="B23" s="54" t="s">
        <v>4712</v>
      </c>
      <c r="C23" s="55" t="s">
        <v>684</v>
      </c>
      <c r="D23" s="56" t="s">
        <v>679</v>
      </c>
    </row>
    <row r="24" spans="1:4" ht="16.149999999999999" customHeight="1" x14ac:dyDescent="0.25">
      <c r="A24" s="53" t="s">
        <v>3392</v>
      </c>
      <c r="B24" s="54" t="s">
        <v>4713</v>
      </c>
      <c r="C24" s="55" t="s">
        <v>684</v>
      </c>
      <c r="D24" s="56" t="s">
        <v>679</v>
      </c>
    </row>
    <row r="25" spans="1:4" ht="29.45" customHeight="1" x14ac:dyDescent="0.25">
      <c r="A25" s="53" t="s">
        <v>4714</v>
      </c>
      <c r="B25" s="54" t="s">
        <v>4715</v>
      </c>
      <c r="C25" s="55" t="s">
        <v>684</v>
      </c>
      <c r="D25" s="56" t="s">
        <v>679</v>
      </c>
    </row>
    <row r="26" spans="1:4" ht="42.6" customHeight="1" x14ac:dyDescent="0.25">
      <c r="A26" s="53" t="s">
        <v>1806</v>
      </c>
      <c r="B26" s="54" t="s">
        <v>4716</v>
      </c>
      <c r="C26" s="55" t="s">
        <v>678</v>
      </c>
      <c r="D26" s="56" t="s">
        <v>679</v>
      </c>
    </row>
    <row r="27" spans="1:4" ht="29.45" customHeight="1" x14ac:dyDescent="0.25">
      <c r="A27" s="53" t="s">
        <v>4090</v>
      </c>
      <c r="B27" s="54" t="s">
        <v>4717</v>
      </c>
      <c r="C27" s="55" t="s">
        <v>678</v>
      </c>
      <c r="D27" s="56" t="s">
        <v>679</v>
      </c>
    </row>
    <row r="28" spans="1:4" ht="16.149999999999999" customHeight="1" x14ac:dyDescent="0.25">
      <c r="A28" s="53" t="s">
        <v>4718</v>
      </c>
      <c r="B28" s="54" t="s">
        <v>4719</v>
      </c>
      <c r="C28" s="55" t="s">
        <v>678</v>
      </c>
      <c r="D28" s="56" t="s">
        <v>679</v>
      </c>
    </row>
    <row r="29" spans="1:4" ht="29.45" customHeight="1" x14ac:dyDescent="0.25">
      <c r="A29" s="53" t="s">
        <v>4720</v>
      </c>
      <c r="B29" s="54" t="s">
        <v>4721</v>
      </c>
      <c r="C29" s="55" t="s">
        <v>678</v>
      </c>
      <c r="D29" s="56" t="s">
        <v>679</v>
      </c>
    </row>
    <row r="30" spans="1:4" ht="29.45" customHeight="1" x14ac:dyDescent="0.25">
      <c r="A30" s="53" t="s">
        <v>3575</v>
      </c>
      <c r="B30" s="54" t="s">
        <v>4722</v>
      </c>
      <c r="C30" s="55" t="s">
        <v>678</v>
      </c>
      <c r="D30" s="56" t="s">
        <v>679</v>
      </c>
    </row>
    <row r="31" spans="1:4" ht="42.6" customHeight="1" x14ac:dyDescent="0.25">
      <c r="A31" s="53" t="s">
        <v>4723</v>
      </c>
      <c r="B31" s="54" t="s">
        <v>4724</v>
      </c>
      <c r="C31" s="55" t="s">
        <v>684</v>
      </c>
      <c r="D31" s="56" t="s">
        <v>679</v>
      </c>
    </row>
    <row r="32" spans="1:4" ht="42.6" customHeight="1" x14ac:dyDescent="0.25">
      <c r="A32" s="53" t="s">
        <v>4725</v>
      </c>
      <c r="B32" s="54" t="s">
        <v>4726</v>
      </c>
      <c r="C32" s="55" t="s">
        <v>684</v>
      </c>
      <c r="D32" s="56" t="s">
        <v>679</v>
      </c>
    </row>
    <row r="34" spans="1:4" x14ac:dyDescent="0.25">
      <c r="A34" s="4" t="s">
        <v>717</v>
      </c>
      <c r="B34" s="5"/>
      <c r="C34" s="4" t="s">
        <v>674</v>
      </c>
      <c r="D34" s="4" t="s">
        <v>675</v>
      </c>
    </row>
    <row r="35" spans="1:4" ht="16.149999999999999" customHeight="1" x14ac:dyDescent="0.25">
      <c r="A35" s="53" t="s">
        <v>4515</v>
      </c>
      <c r="B35" s="54" t="s">
        <v>4727</v>
      </c>
      <c r="C35" s="55" t="s">
        <v>678</v>
      </c>
      <c r="D35" s="56" t="s">
        <v>679</v>
      </c>
    </row>
    <row r="36" spans="1:4" ht="16.149999999999999" customHeight="1" x14ac:dyDescent="0.25">
      <c r="A36" s="53" t="s">
        <v>4519</v>
      </c>
      <c r="B36" s="54" t="s">
        <v>4728</v>
      </c>
      <c r="C36" s="55" t="s">
        <v>678</v>
      </c>
      <c r="D36" s="56" t="s">
        <v>679</v>
      </c>
    </row>
    <row r="37" spans="1:4" ht="29.45" customHeight="1" x14ac:dyDescent="0.25">
      <c r="A37" s="53" t="s">
        <v>4729</v>
      </c>
      <c r="B37" s="54" t="s">
        <v>4730</v>
      </c>
      <c r="C37" s="55" t="s">
        <v>678</v>
      </c>
      <c r="D37" s="56" t="s">
        <v>679</v>
      </c>
    </row>
    <row r="38" spans="1:4" ht="29.45" customHeight="1" x14ac:dyDescent="0.25">
      <c r="A38" s="53" t="s">
        <v>4731</v>
      </c>
      <c r="B38" s="54" t="s">
        <v>4732</v>
      </c>
      <c r="C38" s="55" t="s">
        <v>678</v>
      </c>
      <c r="D38" s="56" t="s">
        <v>679</v>
      </c>
    </row>
    <row r="40" spans="1:4" x14ac:dyDescent="0.25">
      <c r="A40" s="4" t="s">
        <v>728</v>
      </c>
      <c r="B40" s="5"/>
      <c r="C40" s="4" t="s">
        <v>674</v>
      </c>
      <c r="D40" s="4" t="s">
        <v>675</v>
      </c>
    </row>
    <row r="41" spans="1:4" ht="29.45" customHeight="1" x14ac:dyDescent="0.25">
      <c r="A41" s="53" t="s">
        <v>4733</v>
      </c>
      <c r="B41" s="54" t="s">
        <v>4734</v>
      </c>
      <c r="C41" s="55" t="s">
        <v>731</v>
      </c>
      <c r="D41" s="56" t="s">
        <v>679</v>
      </c>
    </row>
    <row r="42" spans="1:4" ht="42.6" customHeight="1" x14ac:dyDescent="0.25">
      <c r="A42" s="53" t="s">
        <v>4735</v>
      </c>
      <c r="B42" s="54" t="s">
        <v>4736</v>
      </c>
      <c r="C42" s="55" t="s">
        <v>753</v>
      </c>
      <c r="D42" s="57" t="s">
        <v>690</v>
      </c>
    </row>
    <row r="43" spans="1:4" ht="16.149999999999999" customHeight="1" x14ac:dyDescent="0.25">
      <c r="A43" s="53" t="s">
        <v>4737</v>
      </c>
      <c r="B43" s="54" t="s">
        <v>4738</v>
      </c>
      <c r="C43" s="55" t="s">
        <v>731</v>
      </c>
      <c r="D43" s="56" t="s">
        <v>679</v>
      </c>
    </row>
    <row r="44" spans="1:4" ht="29.45" customHeight="1" x14ac:dyDescent="0.25">
      <c r="A44" s="53" t="s">
        <v>4739</v>
      </c>
      <c r="B44" s="54" t="s">
        <v>4740</v>
      </c>
      <c r="C44" s="55" t="s">
        <v>731</v>
      </c>
      <c r="D44" s="56" t="s">
        <v>679</v>
      </c>
    </row>
    <row r="45" spans="1:4" ht="29.45" customHeight="1" x14ac:dyDescent="0.25">
      <c r="A45" s="53" t="s">
        <v>4741</v>
      </c>
      <c r="B45" s="54" t="s">
        <v>4742</v>
      </c>
      <c r="C45" s="55" t="s">
        <v>731</v>
      </c>
      <c r="D45" s="56" t="s">
        <v>679</v>
      </c>
    </row>
    <row r="46" spans="1:4" ht="16.149999999999999" customHeight="1" x14ac:dyDescent="0.25">
      <c r="A46" s="53" t="s">
        <v>4743</v>
      </c>
      <c r="B46" s="54" t="s">
        <v>4744</v>
      </c>
      <c r="C46" s="55" t="s">
        <v>731</v>
      </c>
      <c r="D46" s="56" t="s">
        <v>679</v>
      </c>
    </row>
    <row r="48" spans="1:4" x14ac:dyDescent="0.25">
      <c r="A48" s="4" t="s">
        <v>740</v>
      </c>
      <c r="B48" s="5"/>
      <c r="C48" s="4" t="s">
        <v>674</v>
      </c>
      <c r="D48" s="4" t="s">
        <v>675</v>
      </c>
    </row>
    <row r="49" spans="1:4" ht="29.45" customHeight="1" x14ac:dyDescent="0.25">
      <c r="A49" s="53" t="s">
        <v>4745</v>
      </c>
      <c r="B49" s="54" t="s">
        <v>4746</v>
      </c>
      <c r="C49" s="55" t="s">
        <v>731</v>
      </c>
      <c r="D49" s="56" t="s">
        <v>679</v>
      </c>
    </row>
    <row r="50" spans="1:4" ht="29.45" customHeight="1" x14ac:dyDescent="0.25">
      <c r="A50" s="53" t="s">
        <v>4747</v>
      </c>
      <c r="B50" s="54" t="s">
        <v>4748</v>
      </c>
      <c r="C50" s="55" t="s">
        <v>731</v>
      </c>
      <c r="D50" s="56" t="s">
        <v>679</v>
      </c>
    </row>
    <row r="51" spans="1:4" ht="29.45" customHeight="1" x14ac:dyDescent="0.25">
      <c r="A51" s="53" t="s">
        <v>4749</v>
      </c>
      <c r="B51" s="54" t="s">
        <v>4750</v>
      </c>
      <c r="C51" s="55" t="s">
        <v>776</v>
      </c>
      <c r="D51" s="56" t="s">
        <v>679</v>
      </c>
    </row>
    <row r="52" spans="1:4" ht="16.149999999999999" customHeight="1" x14ac:dyDescent="0.25">
      <c r="A52" s="53" t="s">
        <v>4751</v>
      </c>
      <c r="B52" s="54" t="s">
        <v>4752</v>
      </c>
      <c r="C52" s="55" t="s">
        <v>731</v>
      </c>
      <c r="D52" s="56" t="s">
        <v>679</v>
      </c>
    </row>
    <row r="53" spans="1:4" ht="29.45" customHeight="1" x14ac:dyDescent="0.25">
      <c r="A53" s="53" t="s">
        <v>4753</v>
      </c>
      <c r="B53" s="54" t="s">
        <v>4754</v>
      </c>
      <c r="C53" s="55" t="s">
        <v>776</v>
      </c>
      <c r="D53" s="60" t="s">
        <v>803</v>
      </c>
    </row>
    <row r="54" spans="1:4" ht="29.45" customHeight="1" x14ac:dyDescent="0.25">
      <c r="A54" s="53" t="s">
        <v>4755</v>
      </c>
      <c r="B54" s="54" t="s">
        <v>4756</v>
      </c>
      <c r="C54" s="55" t="s">
        <v>776</v>
      </c>
      <c r="D54" s="56" t="s">
        <v>679</v>
      </c>
    </row>
    <row r="56" spans="1:4" x14ac:dyDescent="0.25">
      <c r="A56" s="4" t="s">
        <v>762</v>
      </c>
      <c r="B56" s="5"/>
      <c r="C56" s="4" t="s">
        <v>674</v>
      </c>
      <c r="D56" s="4" t="s">
        <v>675</v>
      </c>
    </row>
    <row r="57" spans="1:4" ht="29.45" customHeight="1" x14ac:dyDescent="0.25">
      <c r="A57" s="53" t="s">
        <v>4757</v>
      </c>
      <c r="B57" s="54" t="s">
        <v>4758</v>
      </c>
      <c r="C57" s="55" t="s">
        <v>731</v>
      </c>
      <c r="D57" s="56" t="s">
        <v>679</v>
      </c>
    </row>
    <row r="58" spans="1:4" ht="16.149999999999999" customHeight="1" x14ac:dyDescent="0.25">
      <c r="A58" s="53" t="s">
        <v>4759</v>
      </c>
      <c r="B58" s="54" t="s">
        <v>4760</v>
      </c>
      <c r="C58" s="55" t="s">
        <v>747</v>
      </c>
      <c r="D58" s="59" t="s">
        <v>748</v>
      </c>
    </row>
    <row r="59" spans="1:4" ht="16.149999999999999" customHeight="1" x14ac:dyDescent="0.25">
      <c r="A59" s="53" t="s">
        <v>4761</v>
      </c>
      <c r="B59" s="54" t="s">
        <v>4762</v>
      </c>
      <c r="C59" s="55" t="s">
        <v>731</v>
      </c>
      <c r="D59" s="56" t="s">
        <v>679</v>
      </c>
    </row>
    <row r="61" spans="1:4" x14ac:dyDescent="0.25">
      <c r="A61" s="4" t="s">
        <v>773</v>
      </c>
      <c r="B61" s="5"/>
      <c r="C61" s="4" t="s">
        <v>674</v>
      </c>
      <c r="D61" s="4" t="s">
        <v>675</v>
      </c>
    </row>
    <row r="62" spans="1:4" ht="16.149999999999999" customHeight="1" x14ac:dyDescent="0.25">
      <c r="A62" s="53" t="s">
        <v>4763</v>
      </c>
      <c r="B62" s="54" t="s">
        <v>4764</v>
      </c>
      <c r="C62" s="55" t="s">
        <v>731</v>
      </c>
      <c r="D62" s="56" t="s">
        <v>679</v>
      </c>
    </row>
    <row r="64" spans="1:4" x14ac:dyDescent="0.25">
      <c r="A64" s="4" t="s">
        <v>781</v>
      </c>
      <c r="B64" s="5"/>
      <c r="C64" s="4" t="s">
        <v>674</v>
      </c>
      <c r="D64" s="4" t="s">
        <v>675</v>
      </c>
    </row>
    <row r="65" spans="1:4" ht="29.45" customHeight="1" x14ac:dyDescent="0.25">
      <c r="A65" s="53" t="s">
        <v>4765</v>
      </c>
      <c r="B65" s="54" t="s">
        <v>4766</v>
      </c>
      <c r="C65" s="55" t="s">
        <v>753</v>
      </c>
      <c r="D65" s="57" t="s">
        <v>690</v>
      </c>
    </row>
    <row r="67" spans="1:4" x14ac:dyDescent="0.25">
      <c r="A67" s="4" t="s">
        <v>792</v>
      </c>
      <c r="B67" s="5"/>
      <c r="C67" s="4" t="s">
        <v>674</v>
      </c>
      <c r="D67" s="4" t="s">
        <v>675</v>
      </c>
    </row>
    <row r="68" spans="1:4" ht="29.45" customHeight="1" x14ac:dyDescent="0.25">
      <c r="A68" s="53" t="s">
        <v>4767</v>
      </c>
      <c r="B68" s="54" t="s">
        <v>4768</v>
      </c>
      <c r="C68" s="55" t="s">
        <v>776</v>
      </c>
      <c r="D68" s="56" t="s">
        <v>679</v>
      </c>
    </row>
    <row r="69" spans="1:4" ht="16.149999999999999" customHeight="1" x14ac:dyDescent="0.25">
      <c r="A69" s="53" t="s">
        <v>4769</v>
      </c>
      <c r="B69" s="54" t="s">
        <v>4770</v>
      </c>
      <c r="C69" s="55" t="s">
        <v>731</v>
      </c>
      <c r="D69" s="56" t="s">
        <v>679</v>
      </c>
    </row>
    <row r="70" spans="1:4" ht="16.149999999999999" customHeight="1" x14ac:dyDescent="0.25">
      <c r="A70" s="53" t="s">
        <v>4771</v>
      </c>
      <c r="B70" s="54" t="s">
        <v>4772</v>
      </c>
      <c r="C70" s="55" t="s">
        <v>731</v>
      </c>
      <c r="D70" s="56" t="s">
        <v>679</v>
      </c>
    </row>
    <row r="71" spans="1:4" ht="16.149999999999999" customHeight="1" x14ac:dyDescent="0.25">
      <c r="A71" s="53" t="s">
        <v>4773</v>
      </c>
      <c r="B71" s="54" t="s">
        <v>4774</v>
      </c>
      <c r="C71" s="55" t="s">
        <v>731</v>
      </c>
      <c r="D71" s="56" t="s">
        <v>679</v>
      </c>
    </row>
    <row r="73" spans="1:4" x14ac:dyDescent="0.25">
      <c r="A73" s="4" t="s">
        <v>804</v>
      </c>
      <c r="B73" s="5"/>
      <c r="C73" s="4" t="s">
        <v>674</v>
      </c>
      <c r="D73" s="4" t="s">
        <v>675</v>
      </c>
    </row>
    <row r="74" spans="1:4" ht="16.149999999999999" customHeight="1" x14ac:dyDescent="0.25">
      <c r="A74" s="53" t="s">
        <v>1702</v>
      </c>
      <c r="B74" s="54" t="s">
        <v>4775</v>
      </c>
      <c r="C74" s="55" t="s">
        <v>678</v>
      </c>
      <c r="D74" s="56" t="s">
        <v>679</v>
      </c>
    </row>
    <row r="76" spans="1:4" x14ac:dyDescent="0.25">
      <c r="A76" s="4" t="s">
        <v>813</v>
      </c>
      <c r="B76" s="5"/>
      <c r="C76" s="4" t="s">
        <v>674</v>
      </c>
      <c r="D76" s="4" t="s">
        <v>675</v>
      </c>
    </row>
    <row r="77" spans="1:4" ht="42.6" customHeight="1" x14ac:dyDescent="0.25">
      <c r="A77" s="53" t="s">
        <v>1996</v>
      </c>
      <c r="B77" s="54" t="s">
        <v>4776</v>
      </c>
      <c r="C77" s="55" t="s">
        <v>678</v>
      </c>
      <c r="D77" s="56" t="s">
        <v>679</v>
      </c>
    </row>
    <row r="78" spans="1:4" ht="29.45" customHeight="1" x14ac:dyDescent="0.25">
      <c r="A78" s="53" t="s">
        <v>820</v>
      </c>
      <c r="B78" s="54" t="s">
        <v>4777</v>
      </c>
      <c r="C78" s="55" t="s">
        <v>678</v>
      </c>
      <c r="D78" s="56" t="s">
        <v>679</v>
      </c>
    </row>
    <row r="80" spans="1:4" x14ac:dyDescent="0.25">
      <c r="A80" s="4" t="s">
        <v>826</v>
      </c>
      <c r="B80" s="5"/>
      <c r="C80" s="4" t="s">
        <v>674</v>
      </c>
      <c r="D80" s="4" t="s">
        <v>675</v>
      </c>
    </row>
    <row r="81" spans="1:4" ht="16.149999999999999" customHeight="1" x14ac:dyDescent="0.25">
      <c r="A81" s="53" t="s">
        <v>4778</v>
      </c>
      <c r="B81" s="54" t="s">
        <v>4779</v>
      </c>
      <c r="C81" s="55" t="s">
        <v>684</v>
      </c>
      <c r="D81" s="56" t="s">
        <v>679</v>
      </c>
    </row>
    <row r="82" spans="1:4" ht="29.45" customHeight="1" x14ac:dyDescent="0.25">
      <c r="A82" s="53" t="s">
        <v>827</v>
      </c>
      <c r="B82" s="54" t="s">
        <v>4780</v>
      </c>
      <c r="C82" s="55" t="s">
        <v>841</v>
      </c>
      <c r="D82" s="59" t="s">
        <v>748</v>
      </c>
    </row>
    <row r="83" spans="1:4" ht="42.6" customHeight="1" x14ac:dyDescent="0.25">
      <c r="A83" s="53" t="s">
        <v>1029</v>
      </c>
      <c r="B83" s="54" t="s">
        <v>4781</v>
      </c>
      <c r="C83" s="55" t="s">
        <v>747</v>
      </c>
      <c r="D83" s="59" t="s">
        <v>748</v>
      </c>
    </row>
    <row r="84" spans="1:4" ht="29.45" customHeight="1" x14ac:dyDescent="0.25">
      <c r="A84" s="53" t="s">
        <v>1031</v>
      </c>
      <c r="B84" s="54" t="s">
        <v>4782</v>
      </c>
      <c r="C84" s="55" t="s">
        <v>962</v>
      </c>
      <c r="D84" s="59" t="s">
        <v>748</v>
      </c>
    </row>
    <row r="85" spans="1:4" ht="16.149999999999999" customHeight="1" x14ac:dyDescent="0.25">
      <c r="A85" s="53" t="s">
        <v>4783</v>
      </c>
      <c r="B85" s="54" t="s">
        <v>4784</v>
      </c>
      <c r="C85" s="55" t="s">
        <v>747</v>
      </c>
      <c r="D85" s="59" t="s">
        <v>748</v>
      </c>
    </row>
    <row r="87" spans="1:4" x14ac:dyDescent="0.25">
      <c r="A87" s="4" t="s">
        <v>833</v>
      </c>
      <c r="B87" s="5"/>
      <c r="C87" s="4" t="s">
        <v>674</v>
      </c>
      <c r="D87" s="4" t="s">
        <v>675</v>
      </c>
    </row>
    <row r="88" spans="1:4" ht="42.6" customHeight="1" x14ac:dyDescent="0.25">
      <c r="A88" s="53" t="s">
        <v>1205</v>
      </c>
      <c r="B88" s="54" t="s">
        <v>4785</v>
      </c>
      <c r="C88" s="55" t="s">
        <v>678</v>
      </c>
      <c r="D88" s="56" t="s">
        <v>679</v>
      </c>
    </row>
    <row r="89" spans="1:4" ht="16.149999999999999" customHeight="1" x14ac:dyDescent="0.25">
      <c r="A89" s="53" t="s">
        <v>4786</v>
      </c>
      <c r="B89" s="54" t="s">
        <v>4787</v>
      </c>
      <c r="C89" s="55" t="s">
        <v>753</v>
      </c>
      <c r="D89" s="57" t="s">
        <v>690</v>
      </c>
    </row>
    <row r="91" spans="1:4" x14ac:dyDescent="0.25">
      <c r="A91" s="4" t="s">
        <v>836</v>
      </c>
      <c r="B91" s="5"/>
      <c r="C91" s="4" t="s">
        <v>674</v>
      </c>
      <c r="D91" s="4" t="s">
        <v>675</v>
      </c>
    </row>
    <row r="92" spans="1:4" ht="16.149999999999999" customHeight="1" x14ac:dyDescent="0.25">
      <c r="A92" s="53" t="s">
        <v>4788</v>
      </c>
      <c r="B92" s="54" t="s">
        <v>4789</v>
      </c>
      <c r="C92" s="55" t="s">
        <v>747</v>
      </c>
      <c r="D92" s="59" t="s">
        <v>748</v>
      </c>
    </row>
    <row r="93" spans="1:4" ht="16.149999999999999" customHeight="1" x14ac:dyDescent="0.25">
      <c r="A93" s="53" t="s">
        <v>4790</v>
      </c>
      <c r="B93" s="54" t="s">
        <v>4791</v>
      </c>
      <c r="C93" s="55" t="s">
        <v>731</v>
      </c>
      <c r="D93" s="56" t="s">
        <v>679</v>
      </c>
    </row>
    <row r="94" spans="1:4" ht="16.149999999999999" customHeight="1" x14ac:dyDescent="0.25">
      <c r="A94" s="53" t="s">
        <v>4615</v>
      </c>
      <c r="B94" s="54" t="s">
        <v>4792</v>
      </c>
      <c r="C94" s="55" t="s">
        <v>747</v>
      </c>
      <c r="D94" s="59" t="s">
        <v>748</v>
      </c>
    </row>
    <row r="95" spans="1:4" ht="16.149999999999999" customHeight="1" x14ac:dyDescent="0.25">
      <c r="A95" s="53" t="s">
        <v>4519</v>
      </c>
      <c r="B95" s="54" t="s">
        <v>4793</v>
      </c>
      <c r="C95" s="55" t="s">
        <v>678</v>
      </c>
      <c r="D95" s="56" t="s">
        <v>679</v>
      </c>
    </row>
    <row r="96" spans="1:4" ht="16.149999999999999" customHeight="1" x14ac:dyDescent="0.25">
      <c r="A96" s="53" t="s">
        <v>4794</v>
      </c>
      <c r="B96" s="54" t="s">
        <v>4795</v>
      </c>
      <c r="C96" s="55" t="s">
        <v>753</v>
      </c>
      <c r="D96" s="57" t="s">
        <v>690</v>
      </c>
    </row>
    <row r="98" spans="1:4" x14ac:dyDescent="0.25">
      <c r="A98" s="4" t="s">
        <v>855</v>
      </c>
      <c r="B98" s="5"/>
      <c r="C98" s="4" t="s">
        <v>674</v>
      </c>
      <c r="D98" s="4" t="s">
        <v>675</v>
      </c>
    </row>
    <row r="99" spans="1:4" ht="16.149999999999999" customHeight="1" x14ac:dyDescent="0.25">
      <c r="A99" s="53" t="s">
        <v>4796</v>
      </c>
      <c r="B99" s="54" t="s">
        <v>4797</v>
      </c>
      <c r="C99" s="55" t="s">
        <v>731</v>
      </c>
      <c r="D99" s="56" t="s">
        <v>679</v>
      </c>
    </row>
    <row r="100" spans="1:4" ht="16.149999999999999" customHeight="1" x14ac:dyDescent="0.25">
      <c r="A100" s="53" t="s">
        <v>4798</v>
      </c>
      <c r="B100" s="54" t="s">
        <v>4799</v>
      </c>
      <c r="C100" s="55" t="s">
        <v>747</v>
      </c>
      <c r="D100" s="59" t="s">
        <v>748</v>
      </c>
    </row>
    <row r="101" spans="1:4" ht="16.149999999999999" customHeight="1" x14ac:dyDescent="0.25">
      <c r="A101" s="53" t="s">
        <v>4800</v>
      </c>
      <c r="B101" s="54" t="s">
        <v>4801</v>
      </c>
      <c r="C101" s="55" t="s">
        <v>731</v>
      </c>
      <c r="D101" s="56" t="s">
        <v>679</v>
      </c>
    </row>
    <row r="102" spans="1:4" ht="16.149999999999999" customHeight="1" x14ac:dyDescent="0.25">
      <c r="A102" s="53" t="s">
        <v>4802</v>
      </c>
      <c r="B102" s="54" t="s">
        <v>4803</v>
      </c>
      <c r="C102" s="55" t="s">
        <v>737</v>
      </c>
      <c r="D102" s="56" t="s">
        <v>679</v>
      </c>
    </row>
    <row r="103" spans="1:4" ht="16.149999999999999" customHeight="1" x14ac:dyDescent="0.25">
      <c r="A103" s="53" t="s">
        <v>4804</v>
      </c>
      <c r="B103" s="54" t="s">
        <v>4805</v>
      </c>
      <c r="C103" s="55" t="s">
        <v>737</v>
      </c>
      <c r="D103" s="56" t="s">
        <v>679</v>
      </c>
    </row>
    <row r="105" spans="1:4" x14ac:dyDescent="0.25">
      <c r="A105" s="4" t="s">
        <v>868</v>
      </c>
      <c r="B105" s="5"/>
      <c r="C105" s="4" t="s">
        <v>674</v>
      </c>
      <c r="D105" s="5"/>
    </row>
    <row r="106" spans="1:4" ht="16.149999999999999" customHeight="1" x14ac:dyDescent="0.25">
      <c r="A106" s="61" t="s">
        <v>4454</v>
      </c>
      <c r="B106" s="54" t="s">
        <v>4806</v>
      </c>
      <c r="C106" s="55" t="s">
        <v>753</v>
      </c>
      <c r="D106" s="62"/>
    </row>
    <row r="107" spans="1:4" ht="16.149999999999999" customHeight="1" x14ac:dyDescent="0.25">
      <c r="A107" s="61" t="s">
        <v>4807</v>
      </c>
      <c r="B107" s="54" t="s">
        <v>4808</v>
      </c>
      <c r="C107" s="55" t="s">
        <v>684</v>
      </c>
      <c r="D107" s="62"/>
    </row>
    <row r="108" spans="1:4" ht="16.149999999999999" customHeight="1" x14ac:dyDescent="0.25">
      <c r="A108" s="61" t="s">
        <v>4807</v>
      </c>
      <c r="B108" s="54" t="s">
        <v>4809</v>
      </c>
      <c r="C108" s="55" t="s">
        <v>841</v>
      </c>
      <c r="D108" s="62"/>
    </row>
    <row r="109" spans="1:4" ht="16.149999999999999" customHeight="1" x14ac:dyDescent="0.25">
      <c r="A109" s="61" t="s">
        <v>2689</v>
      </c>
      <c r="B109" s="54" t="s">
        <v>4810</v>
      </c>
      <c r="C109" s="55" t="s">
        <v>877</v>
      </c>
      <c r="D109" s="62"/>
    </row>
    <row r="110" spans="1:4" ht="16.149999999999999" customHeight="1" x14ac:dyDescent="0.25">
      <c r="A110" s="61" t="s">
        <v>2689</v>
      </c>
      <c r="B110" s="54" t="s">
        <v>4811</v>
      </c>
      <c r="C110" s="55" t="s">
        <v>689</v>
      </c>
      <c r="D110" s="62"/>
    </row>
    <row r="111" spans="1:4" ht="16.149999999999999" customHeight="1" x14ac:dyDescent="0.25">
      <c r="A111" s="61" t="s">
        <v>4812</v>
      </c>
      <c r="B111" s="54" t="s">
        <v>4813</v>
      </c>
      <c r="C111" s="55" t="s">
        <v>776</v>
      </c>
      <c r="D111" s="62"/>
    </row>
    <row r="112" spans="1:4" ht="16.149999999999999" customHeight="1" x14ac:dyDescent="0.25">
      <c r="A112" s="61" t="s">
        <v>4814</v>
      </c>
      <c r="B112" s="54" t="s">
        <v>4815</v>
      </c>
      <c r="C112" s="55" t="s">
        <v>844</v>
      </c>
      <c r="D112" s="62"/>
    </row>
    <row r="113" spans="1:4" ht="16.149999999999999" customHeight="1" x14ac:dyDescent="0.25">
      <c r="A113" s="61" t="s">
        <v>1567</v>
      </c>
      <c r="B113" s="54" t="s">
        <v>4816</v>
      </c>
      <c r="C113" s="55" t="s">
        <v>747</v>
      </c>
      <c r="D113" s="62"/>
    </row>
    <row r="114" spans="1:4" ht="16.149999999999999" customHeight="1" x14ac:dyDescent="0.25">
      <c r="A114" s="61" t="s">
        <v>3020</v>
      </c>
      <c r="B114" s="54" t="s">
        <v>4817</v>
      </c>
      <c r="C114" s="55" t="s">
        <v>737</v>
      </c>
      <c r="D114" s="62"/>
    </row>
    <row r="115" spans="1:4" ht="16.149999999999999" customHeight="1" x14ac:dyDescent="0.25">
      <c r="A115" s="61" t="s">
        <v>1571</v>
      </c>
      <c r="B115" s="54" t="s">
        <v>4818</v>
      </c>
      <c r="C115" s="55" t="s">
        <v>731</v>
      </c>
      <c r="D115" s="62"/>
    </row>
    <row r="116" spans="1:4" ht="16.149999999999999" customHeight="1" x14ac:dyDescent="0.25">
      <c r="A116" s="61" t="s">
        <v>4819</v>
      </c>
      <c r="B116" s="54" t="s">
        <v>4820</v>
      </c>
      <c r="C116" s="55" t="s">
        <v>737</v>
      </c>
      <c r="D116" s="62"/>
    </row>
    <row r="118" spans="1:4" x14ac:dyDescent="0.25">
      <c r="A118" s="4" t="s">
        <v>894</v>
      </c>
      <c r="B118" s="5"/>
      <c r="C118" s="5"/>
      <c r="D118" s="5"/>
    </row>
    <row r="119" spans="1:4" ht="29.45" customHeight="1" x14ac:dyDescent="0.25">
      <c r="A119" s="53" t="s">
        <v>4821</v>
      </c>
      <c r="B119" s="54" t="s">
        <v>4822</v>
      </c>
      <c r="C119" s="28" t="s">
        <v>897</v>
      </c>
      <c r="D119" s="62"/>
    </row>
    <row r="120" spans="1:4" ht="29.45" customHeight="1" x14ac:dyDescent="0.25">
      <c r="A120" s="53" t="s">
        <v>4823</v>
      </c>
      <c r="B120" s="54" t="s">
        <v>4824</v>
      </c>
      <c r="C120" s="28" t="s">
        <v>897</v>
      </c>
      <c r="D120" s="62"/>
    </row>
    <row r="121" spans="1:4" ht="29.45" customHeight="1" x14ac:dyDescent="0.25">
      <c r="A121" s="53" t="s">
        <v>4825</v>
      </c>
      <c r="B121" s="54" t="s">
        <v>4826</v>
      </c>
      <c r="C121" s="28" t="s">
        <v>897</v>
      </c>
      <c r="D121" s="62"/>
    </row>
    <row r="122" spans="1:4" ht="29.45" customHeight="1" x14ac:dyDescent="0.25">
      <c r="A122" s="53" t="s">
        <v>4827</v>
      </c>
      <c r="B122" s="54" t="s">
        <v>4828</v>
      </c>
      <c r="C122" s="28" t="s">
        <v>897</v>
      </c>
      <c r="D122" s="62"/>
    </row>
    <row r="123" spans="1:4" ht="29.45" customHeight="1" x14ac:dyDescent="0.25">
      <c r="A123" s="53" t="s">
        <v>4829</v>
      </c>
      <c r="B123" s="54" t="s">
        <v>4830</v>
      </c>
      <c r="C123" s="28" t="s">
        <v>897</v>
      </c>
      <c r="D123" s="62"/>
    </row>
    <row r="124" spans="1:4" ht="29.45" customHeight="1" x14ac:dyDescent="0.25">
      <c r="A124" s="53" t="s">
        <v>4831</v>
      </c>
      <c r="B124" s="54" t="s">
        <v>4832</v>
      </c>
      <c r="C124" s="28" t="s">
        <v>897</v>
      </c>
      <c r="D124" s="62"/>
    </row>
    <row r="125" spans="1:4" ht="29.45" customHeight="1" x14ac:dyDescent="0.25">
      <c r="A125" s="53" t="s">
        <v>4833</v>
      </c>
      <c r="B125" s="54" t="s">
        <v>4834</v>
      </c>
      <c r="C125" s="28" t="s">
        <v>897</v>
      </c>
      <c r="D125" s="62"/>
    </row>
    <row r="126" spans="1:4" ht="16.149999999999999" customHeight="1" x14ac:dyDescent="0.25">
      <c r="A126" s="53" t="s">
        <v>4835</v>
      </c>
      <c r="B126" s="54" t="s">
        <v>4836</v>
      </c>
      <c r="C126" s="28" t="s">
        <v>897</v>
      </c>
      <c r="D126" s="62"/>
    </row>
    <row r="127" spans="1:4" ht="29.45" customHeight="1" x14ac:dyDescent="0.25">
      <c r="A127" s="53" t="s">
        <v>4837</v>
      </c>
      <c r="B127" s="54" t="s">
        <v>4838</v>
      </c>
      <c r="C127" s="28" t="s">
        <v>897</v>
      </c>
      <c r="D127" s="62"/>
    </row>
    <row r="128" spans="1:4" ht="29.45" customHeight="1" x14ac:dyDescent="0.25">
      <c r="A128" s="53" t="s">
        <v>4839</v>
      </c>
      <c r="B128" s="54" t="s">
        <v>4840</v>
      </c>
      <c r="C128" s="28" t="s">
        <v>897</v>
      </c>
      <c r="D128" s="62"/>
    </row>
    <row r="129" spans="1:4" ht="29.45" customHeight="1" x14ac:dyDescent="0.25">
      <c r="A129" s="53" t="s">
        <v>4841</v>
      </c>
      <c r="B129" s="54" t="s">
        <v>4842</v>
      </c>
      <c r="C129" s="28" t="s">
        <v>897</v>
      </c>
      <c r="D129" s="62"/>
    </row>
    <row r="130" spans="1:4" ht="16.149999999999999" customHeight="1" x14ac:dyDescent="0.25">
      <c r="A130" s="53" t="s">
        <v>4843</v>
      </c>
      <c r="B130" s="54" t="s">
        <v>4844</v>
      </c>
      <c r="C130" s="28" t="s">
        <v>897</v>
      </c>
      <c r="D130" s="62"/>
    </row>
    <row r="132" spans="1:4" x14ac:dyDescent="0.25">
      <c r="A132" s="4" t="s">
        <v>926</v>
      </c>
      <c r="B132" s="5"/>
      <c r="C132" s="5"/>
      <c r="D132" s="5"/>
    </row>
    <row r="133" spans="1:4" ht="29.45" customHeight="1" x14ac:dyDescent="0.25">
      <c r="B133" s="52" t="s">
        <v>4845</v>
      </c>
    </row>
    <row r="134" spans="1:4" ht="29.45" customHeight="1" x14ac:dyDescent="0.25">
      <c r="B134" s="52" t="s">
        <v>4846</v>
      </c>
    </row>
    <row r="135" spans="1:4" ht="29.45" customHeight="1" x14ac:dyDescent="0.25">
      <c r="B135" s="52" t="s">
        <v>4847</v>
      </c>
    </row>
    <row r="136" spans="1:4" ht="16.149999999999999" customHeight="1" x14ac:dyDescent="0.25">
      <c r="B136" s="52" t="s">
        <v>4848</v>
      </c>
    </row>
    <row r="137" spans="1:4" ht="16.149999999999999" customHeight="1" x14ac:dyDescent="0.25">
      <c r="B137" s="52" t="s">
        <v>4849</v>
      </c>
    </row>
    <row r="138" spans="1:4" ht="29.45" customHeight="1" x14ac:dyDescent="0.25">
      <c r="B138" s="52" t="s">
        <v>4850</v>
      </c>
    </row>
    <row r="139" spans="1:4" ht="16.149999999999999" customHeight="1" x14ac:dyDescent="0.25">
      <c r="B139" s="52" t="s">
        <v>4851</v>
      </c>
    </row>
  </sheetData>
  <hyperlinks>
    <hyperlink ref="D1" location="'Monitor'!A36" display="&lt;&lt; Monitor" xr:uid="{00000000-0004-0000-2300-000000000000}"/>
    <hyperlink ref="C119" r:id="rId1" xr:uid="{00000000-0004-0000-2300-000001000000}"/>
    <hyperlink ref="C120" r:id="rId2" xr:uid="{00000000-0004-0000-2300-000002000000}"/>
    <hyperlink ref="C121" r:id="rId3" xr:uid="{00000000-0004-0000-2300-000003000000}"/>
    <hyperlink ref="C122" r:id="rId4" xr:uid="{00000000-0004-0000-2300-000004000000}"/>
    <hyperlink ref="C123" r:id="rId5" xr:uid="{00000000-0004-0000-2300-000005000000}"/>
    <hyperlink ref="C124" r:id="rId6" xr:uid="{00000000-0004-0000-2300-000006000000}"/>
    <hyperlink ref="C125" r:id="rId7" xr:uid="{00000000-0004-0000-2300-000007000000}"/>
    <hyperlink ref="C126" r:id="rId8" xr:uid="{00000000-0004-0000-2300-000008000000}"/>
    <hyperlink ref="C127" r:id="rId9" xr:uid="{00000000-0004-0000-2300-000009000000}"/>
    <hyperlink ref="C128" r:id="rId10" xr:uid="{00000000-0004-0000-2300-00000A000000}"/>
    <hyperlink ref="C129" r:id="rId11" xr:uid="{00000000-0004-0000-2300-00000B000000}"/>
    <hyperlink ref="C130" r:id="rId12" xr:uid="{00000000-0004-0000-2300-00000C000000}"/>
  </hyperlink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Monitor</vt:lpstr>
      <vt:lpstr>Deal Index</vt:lpstr>
      <vt:lpstr>Terms &amp; Lease</vt:lpstr>
      <vt:lpstr>Financials</vt:lpstr>
      <vt:lpstr>Since Barclays</vt:lpstr>
      <vt:lpstr>Other Instruments</vt:lpstr>
      <vt:lpstr>CDS</vt:lpstr>
      <vt:lpstr>Equities</vt:lpstr>
      <vt:lpstr>README</vt:lpstr>
      <vt:lpstr>HUTBPA</vt:lpstr>
      <vt:lpstr>HUTRBA</vt:lpstr>
      <vt:lpstr>RPLDCI</vt:lpstr>
      <vt:lpstr>TXEDCI</vt:lpstr>
      <vt:lpstr>RDMICH</vt:lpstr>
      <vt:lpstr>QTSODY</vt:lpstr>
      <vt:lpstr>QTSQST</vt:lpstr>
      <vt:lpstr>APLD</vt:lpstr>
      <vt:lpstr>PFORGE</vt:lpstr>
      <vt:lpstr>ELNFOR</vt:lpstr>
      <vt:lpstr>CIFR</vt:lpstr>
      <vt:lpstr>BLKPRL</vt:lpstr>
      <vt:lpstr>STNGRY</vt:lpstr>
      <vt:lpstr>CORZ</vt:lpstr>
      <vt:lpstr>EDGCOM</vt:lpstr>
      <vt:lpstr>TRACTC</vt:lpstr>
      <vt:lpstr>TRACTD</vt:lpstr>
      <vt:lpstr>FLASHC</vt:lpstr>
      <vt:lpstr>MERIDI</vt:lpstr>
      <vt:lpstr>ZENARC</vt:lpstr>
      <vt:lpstr>GALAXY</vt:lpstr>
      <vt:lpstr>ELKGVP</vt:lpstr>
      <vt:lpstr>SECMOS</vt:lpstr>
      <vt:lpstr>WULF</vt:lpstr>
      <vt:lpstr>YNDRDC</vt:lpstr>
      <vt:lpstr>CRWV</vt:lpstr>
      <vt:lpstr>ORCL</vt:lpstr>
      <vt:lpstr>Monitor!Print_Area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Grozdea</cp:lastModifiedBy>
  <cp:lastPrinted>2026-10-16T19:39:59Z</cp:lastPrinted>
  <dcterms:created xsi:type="dcterms:W3CDTF">2026-10-16T19:39:01Z</dcterms:created>
  <dcterms:modified xsi:type="dcterms:W3CDTF">2026-10-16T21:53:36Z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