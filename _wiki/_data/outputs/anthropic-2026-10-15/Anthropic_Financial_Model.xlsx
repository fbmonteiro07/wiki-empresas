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aeb7e08c2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e63def817048f8"/>
    <x:sheet xmlns:r="http://schemas.openxmlformats.org/officeDocument/2006/relationships" name="Drivers" sheetId="2" r:id="R474a0a3f2a0d4451"/>
    <x:sheet xmlns:r="http://schemas.openxmlformats.org/officeDocument/2006/relationships" name="Operating" sheetId="3" r:id="R21b1968b17804971"/>
    <x:sheet xmlns:r="http://schemas.openxmlformats.org/officeDocument/2006/relationships" name="ARR 2026" sheetId="4" r:id="Rfefc0571521d45e0"/>
    <x:sheet xmlns:r="http://schemas.openxmlformats.org/officeDocument/2006/relationships" name="Compute" sheetId="5" r:id="Rab67d1a741b64e9f"/>
    <x:sheet xmlns:r="http://schemas.openxmlformats.org/officeDocument/2006/relationships" name="Cash flow" sheetId="6" r:id="R75c3500f3bbd48d2"/>
    <x:sheet xmlns:r="http://schemas.openxmlformats.org/officeDocument/2006/relationships" name="Sources" sheetId="7" r:id="Rbbcf650d75534d12"/>
    <x:sheet xmlns:r="http://schemas.openxmlformats.org/officeDocument/2006/relationships" name="Review" sheetId="8" r:id="R5d5ca38479d9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"/>
    <x:numFmt numFmtId="202" formatCode="0.0%;(0.0%);&quot;-&quot;"/>
    <x:numFmt numFmtId="203" formatCode="mmm-yy"/>
    <x:numFmt numFmtId="204" formatCode="0.00x"/>
    <x:numFmt numFmtId="205" formatCode="$#,##0.0;($#,##0.0);&quot;-&quot;"/>
    <x:numFmt numFmtId="206" formatCode="#,##0.00;(#,##0.00);0.00"/>
    <x:numFmt numFmtId="207" formatCode="$0.0;($0.0);&quot;-&quot;"/>
    <x:numFmt numFmtId="208" formatCode="0.00"/>
  </x:numFmts>
  <x:fonts count="27">
    <x:font>
      <x:sz val="11"/>
      <x:name val="Carlito"/>
    </x:font>
    <x:font>
      <x:sz val="10"/>
      <x:color rgb="FF203246"/>
      <x:name val="Arial"/>
    </x:font>
    <x:font>
      <x:b/>
      <x:sz val="16"/>
      <x:color rgb="FF203246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687684"/>
      <x:name val="Arial"/>
    </x:font>
    <x:font>
      <x:b/>
      <x:sz val="10"/>
      <x:color rgb="FF0000FF"/>
      <x:name val="Arial"/>
    </x:font>
    <x:font>
      <x:sz val="10"/>
      <x:color rgb="FF0000FF"/>
      <x:name val="Arial"/>
    </x:font>
    <x:font>
      <x:sz val="10"/>
      <x:color rgb="FF203246"/>
      <x:name val="Arial"/>
    </x:font>
    <x:font>
      <x:sz val="10"/>
      <x:color rgb="FF0000FF"/>
      <x:name val="Arial"/>
    </x:font>
    <x:font>
      <x:sz val="11"/>
      <x:color rgb="FF0000FF"/>
      <x:name val="Carlito"/>
    </x:font>
    <x:font>
      <x:sz val="9"/>
      <x:color rgb="FF687684"/>
      <x:name val="Arial"/>
    </x:font>
    <x:font>
      <x:sz val="9"/>
      <x:color rgb="FF687684"/>
      <x:name val="Carlito"/>
    </x:font>
    <x:font>
      <x:sz val="10"/>
      <x:color rgb="FF000000"/>
      <x:name val="Arial"/>
    </x:font>
    <x:font>
      <x:b/>
      <x:sz val="10"/>
      <x:color rgb="FF203246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  <x:font>
      <x:i/>
      <x:sz val="10"/>
      <x:color rgb="FF203246"/>
      <x:name val="Arial"/>
    </x:font>
    <x:font>
      <x:i/>
      <x:sz val="10"/>
      <x:color rgb="FF000000"/>
      <x:name val="Arial"/>
    </x:font>
    <x:font>
      <x:i/>
      <x:sz val="10"/>
      <x:color rgb="FF008000"/>
      <x:name val="Arial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0"/>
      <x:color rgb="FF9C2727"/>
      <x:name val="Arial"/>
    </x:font>
    <x:font>
      <x:i/>
      <x:sz val="10"/>
      <x:color rgb="FF687684"/>
      <x:name val="Arial"/>
    </x:font>
    <x:font>
      <x:b/>
      <x:i/>
      <x:sz val="10"/>
      <x:color rgb="FF203246"/>
      <x:name val="Arial"/>
    </x:font>
    <x:font>
      <x:b/>
      <x:i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33D53"/>
      </x:patternFill>
    </x:fill>
    <x:fill>
      <x:patternFill patternType="solid">
        <x:fgColor rgb="FFE4EFDF"/>
      </x:patternFill>
    </x:fill>
    <x:fill>
      <x:patternFill patternType="solid">
        <x:fgColor rgb="FFFFFFFF"/>
      </x:patternFill>
    </x:fill>
    <x:fill>
      <x:patternFill patternType="solid">
        <x:fgColor rgb="FFE4EDF8"/>
      </x:patternFill>
    </x:fill>
    <x:fill>
      <x:patternFill patternType="solid">
        <x:fgColor rgb="FFFFF0CB"/>
      </x:patternFill>
    </x:fill>
    <x:fill>
      <x:patternFill patternType="solid">
        <x:fgColor rgb="FFEAF0F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203246"/>
      </x:bottom>
      <x:diagonal/>
    </x:border>
    <x:border>
      <x:left style="dotted">
        <x:color rgb="FF687684"/>
      </x:left>
      <x:right style="dotted">
        <x:color rgb="FF687684"/>
      </x:right>
      <x:top style="dotted">
        <x:color rgb="FF687684"/>
      </x:top>
      <x:bottom style="dotted">
        <x:color rgb="FF687684"/>
      </x:bottom>
      <x:diagonal/>
    </x:border>
    <x:border>
      <x:left/>
      <x:right/>
      <x:top style="thin">
        <x:color rgb="FF7A8B98"/>
      </x:top>
      <x:bottom/>
      <x:diagonal/>
    </x:border>
  </x:borders>
  <x:cellStyleXfs count="1">
    <x:xf numFmtId="0" fontId="0" fillId="0" borderId="0"/>
  </x:cellStyleXfs>
  <x:cellXfs count="1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6" fillId="2" borderId="0" xfId="0" applyNumberFormat="1" applyFont="1" applyFill="1" applyBorder="1" applyAlignment="1">
      <x:alignment horizontal="center" vertical="center"/>
    </x:xf>
    <x:xf numFmtId="200" fontId="6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2" fontId="7" fillId="3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7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6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20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left" vertical="center"/>
    </x:xf>
    <x:xf numFmtId="200" fontId="8" fillId="4" borderId="0" xfId="0" applyNumberFormat="1" applyFont="1" applyFill="1" applyBorder="1" applyAlignment="1">
      <x:alignment horizontal="left" vertical="center"/>
    </x:xf>
    <x:xf numFmtId="200" fontId="8" fillId="3" borderId="0" xfId="0" applyNumberFormat="1" applyFont="1" applyFill="1" applyBorder="1" applyAlignment="1">
      <x:alignment horizontal="left" vertical="center"/>
    </x:xf>
    <x:xf numFmtId="200" fontId="9" fillId="3" borderId="0" xfId="0" applyNumberFormat="1" applyFont="1" applyFill="1" applyBorder="1" applyAlignment="1">
      <x:alignment horizontal="left" vertical="center"/>
    </x:xf>
    <x:xf numFmtId="200" fontId="9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200" fontId="7" fillId="3" borderId="0" xfId="0" applyNumberFormat="1" applyFont="1" applyFill="1" applyBorder="1" applyAlignment="1">
      <x:alignment vertical="center"/>
    </x:xf>
    <x:xf numFmtId="200" fontId="10" fillId="3" borderId="0" xfId="0" applyNumberFormat="1" applyFont="1" applyFill="1" applyBorder="1"/>
    <x:xf numFmtId="202" fontId="7" fillId="3" borderId="0" xfId="0" applyNumberFormat="1" applyFont="1" applyFill="1" applyBorder="1" applyAlignment="1">
      <x:alignment vertical="center"/>
    </x:xf>
    <x:xf numFmtId="202" fontId="10" fillId="3" borderId="0" xfId="0" applyNumberFormat="1" applyFont="1" applyFill="1" applyBorder="1"/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horizontal="right" vertical="center"/>
    </x:xf>
    <x:xf numFmtId="0" fontId="12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202" fontId="7" fillId="6" borderId="2" xfId="0" applyNumberFormat="1" applyFont="1" applyFill="1" applyBorder="1" applyAlignment="1">
      <x:alignment vertical="center"/>
    </x:xf>
    <x:xf numFmtId="204" fontId="7" fillId="6" borderId="2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13" fillId="0" borderId="0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horizontal="right" vertical="center"/>
    </x:xf>
    <x:xf numFmtId="200" fontId="3" fillId="7" borderId="0" xfId="0" applyNumberFormat="1" applyFont="1" applyFill="1" applyBorder="1" applyAlignment="1">
      <x:alignment horizontal="right" vertical="center"/>
    </x:xf>
    <x:xf numFmtId="0" fontId="14" fillId="7" borderId="0" xfId="0" applyNumberFormat="1" applyFont="1" applyFill="1" applyBorder="1" applyAlignment="1">
      <x:alignment vertical="center"/>
    </x:xf>
    <x:xf numFmtId="200" fontId="15" fillId="7" borderId="0" xfId="0" applyNumberFormat="1" applyFont="1" applyFill="1" applyBorder="1" applyAlignment="1">
      <x:alignment horizontal="right" vertical="center"/>
    </x:xf>
    <x:xf numFmtId="200" fontId="16" fillId="7" borderId="0" xfId="0" applyNumberFormat="1" applyFont="1" applyFill="1" applyBorder="1" applyAlignment="1">
      <x:alignment horizontal="right" vertical="center"/>
    </x:xf>
    <x:xf numFmtId="202" fontId="1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2" fontId="13" fillId="7" borderId="0" xfId="0" applyNumberFormat="1" applyFont="1" applyFill="1" applyBorder="1" applyAlignment="1">
      <x:alignment horizontal="right" vertical="center"/>
    </x:xf>
    <x:xf numFmtId="202" fontId="15" fillId="7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horizontal="right" vertical="center"/>
    </x:xf>
    <x:xf numFmtId="206" fontId="13" fillId="0" borderId="0" xfId="0" applyNumberFormat="1" applyFont="1" applyFill="1" applyBorder="1" applyAlignment="1">
      <x:alignment horizontal="right" vertical="center"/>
    </x:xf>
    <x:xf numFmtId="205" fontId="13" fillId="0" borderId="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vertical="center"/>
    </x:xf>
    <x:xf numFmtId="205" fontId="16" fillId="0" borderId="0" xfId="0" applyNumberFormat="1" applyFont="1" applyFill="1" applyBorder="1" applyAlignment="1">
      <x:alignment horizontal="right" vertical="center"/>
    </x:xf>
    <x:xf numFmtId="0" fontId="14" fillId="0" borderId="3" xfId="0" applyNumberFormat="1" applyFont="1" applyFill="1" applyBorder="1" applyAlignment="1">
      <x:alignment vertical="center"/>
    </x:xf>
    <x:xf numFmtId="205" fontId="16" fillId="0" borderId="3" xfId="0" applyNumberFormat="1" applyFont="1" applyFill="1" applyBorder="1" applyAlignment="1">
      <x:alignment horizontal="right" vertical="center"/>
    </x:xf>
    <x:xf numFmtId="205" fontId="15" fillId="0" borderId="0" xfId="0" applyNumberFormat="1" applyFont="1" applyFill="1" applyBorder="1" applyAlignment="1">
      <x:alignment horizontal="right" vertical="center"/>
    </x:xf>
    <x:xf numFmtId="205" fontId="15" fillId="0" borderId="3" xfId="0" applyNumberFormat="1" applyFont="1" applyFill="1" applyBorder="1" applyAlignment="1">
      <x:alignment horizontal="right" vertical="center"/>
    </x:xf>
    <x:xf numFmtId="200" fontId="15" fillId="0" borderId="0" xfId="0" applyNumberFormat="1" applyFont="1" applyFill="1" applyBorder="1" applyAlignment="1">
      <x:alignment horizontal="right" vertical="center"/>
    </x:xf>
    <x:xf numFmtId="200" fontId="15" fillId="0" borderId="3" xfId="0" applyNumberFormat="1" applyFont="1" applyFill="1" applyBorder="1" applyAlignment="1">
      <x:alignment horizontal="right" vertical="center"/>
    </x:xf>
    <x:xf numFmtId="0" fontId="17" fillId="0" borderId="0" xfId="0" applyNumberFormat="1" applyFont="1" applyFill="1" applyBorder="1" applyAlignment="1">
      <x:alignment vertical="center"/>
    </x:xf>
    <x:xf numFmtId="202" fontId="18" fillId="0" borderId="0" xfId="0" applyNumberFormat="1" applyFont="1" applyFill="1" applyBorder="1" applyAlignment="1">
      <x:alignment horizontal="right" vertical="center"/>
    </x:xf>
    <x:xf numFmtId="202" fontId="19" fillId="0" borderId="0" xfId="0" applyNumberFormat="1" applyFont="1" applyFill="1" applyBorder="1" applyAlignment="1">
      <x:alignment horizontal="right" vertical="center"/>
    </x:xf>
    <x:xf numFmtId="203" fontId="4" fillId="2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0" fontId="20" fillId="0" borderId="0" xfId="0" applyNumberFormat="1" applyFont="1" applyFill="1" applyBorder="1"/>
    <x:xf numFmtId="200" fontId="13" fillId="0" borderId="0" xfId="0" applyNumberFormat="1" applyFont="1" applyFill="1" applyBorder="1" applyAlignment="1">
      <x:alignment vertical="center"/>
    </x:xf>
    <x:xf numFmtId="200" fontId="21" fillId="0" borderId="0" xfId="0" applyNumberFormat="1" applyFont="1" applyFill="1" applyBorder="1"/>
    <x:xf numFmtId="202" fontId="13" fillId="0" borderId="0" xfId="0" applyNumberFormat="1" applyFont="1" applyFill="1" applyBorder="1" applyAlignment="1">
      <x:alignment vertical="center"/>
    </x:xf>
    <x:xf numFmtId="202" fontId="21" fillId="0" borderId="0" xfId="0" applyNumberFormat="1" applyFont="1" applyFill="1" applyBorder="1"/>
    <x:xf numFmtId="203" fontId="1" fillId="2" borderId="0" xfId="0" applyNumberFormat="1" applyFont="1" applyFill="1" applyBorder="1" applyAlignment="1">
      <x:alignment vertical="center"/>
    </x:xf>
    <x:xf numFmtId="203" fontId="0" fillId="2" borderId="0" xfId="0" applyNumberFormat="1" applyFont="1" applyFill="1" applyBorder="1"/>
    <x:xf numFmtId="203" fontId="4" fillId="2" borderId="0" xfId="0" applyNumberFormat="1" applyFont="1" applyFill="1" applyBorder="1" applyAlignment="1">
      <x:alignment vertical="center"/>
    </x:xf>
    <x:xf numFmtId="203" fontId="22" fillId="2" borderId="0" xfId="0" applyNumberFormat="1" applyFont="1" applyFill="1" applyBorder="1"/>
    <x:xf numFmtId="203" fontId="22" fillId="2" borderId="0" xfId="0" applyNumberFormat="1" applyFont="1" applyFill="1" applyBorder="1" applyAlignment="1">
      <x:alignment horizontal="center"/>
    </x:xf>
    <x:xf numFmtId="200" fontId="14" fillId="0" borderId="0" xfId="0" applyNumberFormat="1" applyFont="1" applyFill="1" applyBorder="1" applyAlignment="1">
      <x:alignment horizontal="right" vertical="center"/>
    </x:xf>
    <x:xf numFmtId="200" fontId="14" fillId="0" borderId="3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7" fillId="5" borderId="0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horizontal="right" vertical="center"/>
    </x:xf>
    <x:xf numFmtId="200" fontId="18" fillId="0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0" fontId="7" fillId="6" borderId="0" xfId="0" applyNumberFormat="1" applyFont="1" applyFill="1" applyBorder="1" applyAlignment="1">
      <x:alignment horizontal="right" vertical="center"/>
    </x:xf>
    <x:xf numFmtId="200" fontId="13" fillId="6" borderId="0" xfId="0" applyNumberFormat="1" applyFont="1" applyFill="1" applyBorder="1" applyAlignment="1">
      <x:alignment horizontal="right" vertical="center"/>
    </x:xf>
    <x:xf numFmtId="201" fontId="13" fillId="0" borderId="0" xfId="0" applyNumberFormat="1" applyFont="1" applyFill="1" applyBorder="1" applyAlignment="1">
      <x:alignment horizontal="right" vertical="center"/>
    </x:xf>
    <x:xf numFmtId="0" fontId="23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4" fillId="0" borderId="0" xfId="0" applyNumberFormat="1" applyFont="1" applyFill="1" applyBorder="1" applyAlignment="1">
      <x:alignment horizontal="right" vertical="center"/>
    </x:xf>
    <x:xf numFmtId="205" fontId="14" fillId="0" borderId="3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7" fontId="17" fillId="0" borderId="0" xfId="0" applyNumberFormat="1" applyFont="1" applyFill="1" applyBorder="1" applyAlignment="1">
      <x:alignment horizontal="right" vertical="center"/>
    </x:xf>
    <x:xf numFmtId="200" fontId="24" fillId="0" borderId="0" xfId="0" applyNumberFormat="1" applyFont="1" applyFill="1" applyBorder="1" applyAlignment="1">
      <x:alignment horizontal="right" vertical="center"/>
    </x:xf>
    <x:xf numFmtId="206" fontId="3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8" fillId="3" borderId="0" xfId="0" applyNumberFormat="1" applyFont="1" applyFill="1" applyBorder="1" applyAlignment="1">
      <x:alignment horizontal="left" vertical="center"/>
    </x:xf>
    <x:xf numFmtId="202" fontId="17" fillId="0" borderId="0" xfId="0" applyNumberFormat="1" applyFont="1" applyFill="1" applyBorder="1" applyAlignment="1">
      <x:alignment horizontal="right" vertical="center"/>
    </x:xf>
    <x:xf numFmtId="0" fontId="25" fillId="7" borderId="0" xfId="0" applyNumberFormat="1" applyFont="1" applyFill="1" applyBorder="1" applyAlignment="1">
      <x:alignment vertical="center"/>
    </x:xf>
    <x:xf numFmtId="202" fontId="26" fillId="7" borderId="0" xfId="0" applyNumberFormat="1" applyFont="1" applyFill="1" applyBorder="1" applyAlignment="1">
      <x:alignment horizontal="right" vertical="center"/>
    </x:xf>
    <x:xf numFmtId="0" fontId="17" fillId="3" borderId="0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/>
    </x:xf>
    <x:xf numFmtId="208" fontId="3" fillId="0" borderId="0" xfId="0" applyNumberFormat="1" applyFont="1" applyFill="1" applyBorder="1" applyAlignment="1">
      <x:alignment horizontal="right" vertical="center"/>
    </x:xf>
    <x:xf numFmtId="208" fontId="7" fillId="3" borderId="0" xfId="0" applyNumberFormat="1" applyFont="1" applyFill="1" applyBorder="1" applyAlignment="1">
      <x:alignment horizontal="right" vertical="center"/>
    </x:xf>
    <x:xf numFmtId="208" fontId="13" fillId="0" borderId="0" xfId="0" applyNumberFormat="1" applyFont="1" applyFill="1" applyBorder="1" applyAlignment="1">
      <x:alignment horizontal="right" vertical="center"/>
    </x:xf>
    <x:xf numFmtId="208" fontId="15" fillId="0" borderId="3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8">
    <x:dxf>
      <x:font>
        <x:color rgb="FF9C2727"/>
      </x:font>
      <x:fill>
        <x:patternFill patternType="solid">
          <x:bgColor rgb="FFF9DDDB"/>
        </x:patternFill>
      </x:fill>
    </x:dxf>
    <x:dxf>
      <x:font>
        <x:color rgb="FF9C2727"/>
      </x:font>
      <x:fill>
        <x:patternFill patternType="solid">
          <x:bgColor rgb="FFF9DDDB"/>
        </x:patternFill>
      </x:fill>
    </x:dxf>
    <x:dxf>
      <x:font>
        <x:b/>
        <x:color rgb="FF9C2727"/>
      </x:font>
      <x:fill>
        <x:patternFill patternType="solid">
          <x:bgColor rgb="FFF9DDDB"/>
        </x:patternFill>
      </x:fill>
    </x:dxf>
    <x:dxf>
      <x:font>
        <x:b/>
        <x:color rgb="FF9C2727"/>
      </x:font>
      <x:fill>
        <x:patternFill patternType="solid">
          <x:bgColor rgb="FFF9DDDB"/>
        </x:patternFill>
      </x:fill>
    </x:dxf>
    <x:dxf>
      <x:font>
        <x:color rgb="FF87451F"/>
      </x:font>
      <x:fill>
        <x:patternFill patternType="solid">
          <x:bgColor rgb="FFF9DDDB"/>
        </x:patternFill>
      </x:fill>
    </x:dxf>
    <x:dxf>
      <x:font>
        <x:color rgb="FF87451F"/>
      </x:font>
      <x:fill>
        <x:patternFill patternType="solid">
          <x:bgColor rgb="FFFFF0CB"/>
        </x:patternFill>
      </x:fill>
    </x:dxf>
    <x:dxf>
      <x:font>
        <x:color rgb="FF87451F"/>
      </x:font>
      <x:fill>
        <x:patternFill patternType="solid">
          <x:bgColor rgb="FFFFF0CB"/>
        </x:patternFill>
      </x:fill>
    </x:dxf>
    <x:dxf>
      <x:font>
        <x:color rgb="FF87451F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02f748f9049cb" /><Relationship Type="http://schemas.openxmlformats.org/officeDocument/2006/relationships/theme" Target="/xl/theme/theme1.xml" Id="R24d3a4ceea784218" /><Relationship Type="http://schemas.openxmlformats.org/officeDocument/2006/relationships/sharedStrings" Target="/xl/sharedStrings.xml" Id="R875e233d1fe74e9c" /><Relationship Type="http://schemas.openxmlformats.org/officeDocument/2006/relationships/worksheet" Target="/xl/worksheets/sheet1.xml" Id="R13e63def817048f8" /><Relationship Type="http://schemas.openxmlformats.org/officeDocument/2006/relationships/worksheet" Target="/xl/worksheets/sheet2.xml" Id="R474a0a3f2a0d4451" /><Relationship Type="http://schemas.openxmlformats.org/officeDocument/2006/relationships/worksheet" Target="/xl/worksheets/sheet3.xml" Id="R21b1968b17804971" /><Relationship Type="http://schemas.openxmlformats.org/officeDocument/2006/relationships/worksheet" Target="/xl/worksheets/sheet4.xml" Id="Rfefc0571521d45e0" /><Relationship Type="http://schemas.openxmlformats.org/officeDocument/2006/relationships/worksheet" Target="/xl/worksheets/sheet5.xml" Id="Rab67d1a741b64e9f" /><Relationship Type="http://schemas.openxmlformats.org/officeDocument/2006/relationships/worksheet" Target="/xl/worksheets/sheet6.xml" Id="R75c3500f3bbd48d2" /><Relationship Type="http://schemas.openxmlformats.org/officeDocument/2006/relationships/worksheet" Target="/xl/worksheets/sheet7.xml" Id="Rbbcf650d75534d12" /><Relationship Type="http://schemas.openxmlformats.org/officeDocument/2006/relationships/worksheet" Target="/xl/worksheets/sheet8.xml" Id="R5d5ca38479d94c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83161b0b384a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House forecast (USD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Gross revenue</c:v>
          </c:tx>
          <c:spPr>
            <a:solidFill xmlns:a="http://schemas.openxmlformats.org/drawingml/2006/main">
              <a:srgbClr val="254A65"/>
            </a:solidFill>
            <a:ln xmlns:a="http://schemas.openxmlformats.org/drawingml/2006/main" w="19050">
              <a:solidFill>
                <a:srgbClr val="254A65"/>
              </a:solidFill>
              <a:prstDash val="solid"/>
            </a:ln>
          </c:spPr>
          <c:marker>
            <c:symbol val="none"/>
          </c:marker>
          <c:cat>
            <c:strRef>
              <c:f>'Summary'!$C$52:$C$56</c:f>
              <c:strCache>
                <c:ptCount val="0"/>
              </c:strCache>
            </c:strRef>
          </c:cat>
          <c:val>
            <c:numRef>
              <c:f>'Summary'!$D$52:$D$56</c:f>
              <c:numCache>
                <c:formatCode>0,"bn"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economic revenue</c:v>
          </c:tx>
          <c:spPr>
            <a:solidFill xmlns:a="http://schemas.openxmlformats.org/drawingml/2006/main">
              <a:srgbClr val="759CAC"/>
            </a:solidFill>
            <a:ln xmlns:a="http://schemas.openxmlformats.org/drawingml/2006/main" w="19050">
              <a:solidFill>
                <a:srgbClr val="759CAC"/>
              </a:solidFill>
              <a:prstDash val="solid"/>
            </a:ln>
          </c:spPr>
          <c:marker>
            <c:symbol val="none"/>
          </c:marker>
          <c:cat>
            <c:strRef>
              <c:f>'Summary'!$C$52:$C$56</c:f>
              <c:strCache>
                <c:ptCount val="0"/>
              </c:strCache>
            </c:strRef>
          </c:cat>
          <c:val>
            <c:numRef>
              <c:f>'Summary'!$E$52:$E$56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2"/>
          <c:order val="2"/>
          <c:tx>
            <c:v>Operating surplus</c:v>
          </c:tx>
          <c:spPr>
            <a:solidFill xmlns:a="http://schemas.openxmlformats.org/drawingml/2006/main">
              <a:srgbClr val="B05D40"/>
            </a:solidFill>
            <a:ln xmlns:a="http://schemas.openxmlformats.org/drawingml/2006/main" w="19050">
              <a:solidFill>
                <a:srgbClr val="B05D40"/>
              </a:solidFill>
              <a:prstDash val="solid"/>
            </a:ln>
          </c:spPr>
          <c:marker>
            <c:symbol val="none"/>
          </c:marker>
          <c:cat>
            <c:strRef>
              <c:f>'Summary'!$C$52:$C$56</c:f>
              <c:strCache>
                <c:ptCount val="0"/>
              </c:strCache>
            </c:strRef>
          </c:cat>
          <c:val>
            <c:numRef>
              <c:f>'Summary'!$F$52:$F$56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&quot;bn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33</xdr:row>
      <xdr:rowOff>0</xdr:rowOff>
    </xdr:from>
    <xdr:to>
      <xdr:col>11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83161b0b384a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24b298505b4d2e" /></Relationships>
</file>

<file path=xl/worksheets/sheet1.xml><?xml version="1.0" encoding="utf-8"?>
<x:worksheet xmlns:x="http://schemas.openxmlformats.org/spreadsheetml/2006/main">
  <x:sheetPr>
    <x:tabColor rgb="FF233D53"/>
  </x:sheetPr>
  <x:sheetViews>
    <x:sheetView showGridLines="0" workbookViewId="0">
      <x:pane xSplit="4" topLeftCell="E1" activePane="top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4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Anthropic financial model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House projections as of 15-Oct-2026. USD million unless noted. Reconstructed economics, with explicit accounting gaps.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117" t="str">
        <x:v>25% annual cloud share is the base. The source ARR tracker uses 20%. Cash-flow inputs remain incomplete.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million, calendar years</x:v>
      </x:c>
      <x:c r="D8" s="15" t="str">
        <x:v>Basis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2"/>
      <x:c r="L8" s="2"/>
      <x:c r="M8" s="2"/>
      <x:c r="N8" s="2"/>
      <x:c r="O8" s="2"/>
    </x:row>
    <x:row r="9" ht="20" customHeight="1">
      <x:c r="A9" s="2"/>
      <x:c r="B9" s="2"/>
      <x:c r="C9" s="2"/>
      <x:c r="D9" s="2"/>
      <x:c r="E9" s="123" t="str">
        <x:v>Model history</x:v>
      </x:c>
      <x:c r="F9" s="123" t="str">
        <x:v>Forecast</x:v>
      </x:c>
      <x:c r="G9" s="123" t="str">
        <x:v>Forecast</x:v>
      </x:c>
      <x:c r="H9" s="123" t="str">
        <x:v>Forecast</x:v>
      </x:c>
      <x:c r="I9" s="123" t="str">
        <x:v>Forecast</x:v>
      </x:c>
      <x:c r="J9" s="123" t="str">
        <x:v>Forecast</x:v>
      </x:c>
      <x:c r="K9" s="2"/>
      <x:c r="L9" s="2"/>
      <x:c r="M9" s="2"/>
      <x:c r="N9" s="2"/>
      <x:c r="O9" s="2"/>
    </x:row>
    <x:row r="10" ht="20" customHeight="1">
      <x:c r="A10" s="2"/>
      <x:c r="B10" s="2"/>
      <x:c r="C10" s="83" t="str">
        <x:v>Gross revenue</x:v>
      </x:c>
      <x:c r="D10" s="83"/>
      <x:c r="E10" s="120" t="n">
        <x:f>'Operating'!E10</x:f>
        <x:v>4500</x:v>
      </x:c>
      <x:c r="F10" s="120" t="n">
        <x:f>'Operating'!F10</x:f>
        <x:v>52909.17438341729</x:v>
      </x:c>
      <x:c r="G10" s="120" t="n">
        <x:f>'Operating'!G10</x:f>
        <x:v>154447.38011563622</x:v>
      </x:c>
      <x:c r="H10" s="120" t="n">
        <x:f>'Operating'!H10</x:f>
        <x:v>260000</x:v>
      </x:c>
      <x:c r="I10" s="120" t="n">
        <x:f>'Operating'!I10</x:f>
        <x:v>400000</x:v>
      </x:c>
      <x:c r="J10" s="120" t="n">
        <x:f>'Operating'!J10</x:f>
        <x:v>550000</x:v>
      </x:c>
      <x:c r="K10" s="2"/>
      <x:c r="L10" s="2"/>
      <x:c r="M10" s="2"/>
      <x:c r="N10" s="2"/>
      <x:c r="O10" s="2"/>
    </x:row>
    <x:row r="11" ht="20" customHeight="1">
      <x:c r="A11" s="2"/>
      <x:c r="B11" s="2"/>
      <x:c r="C11" s="89" t="str">
        <x:v>Revenue growth</x:v>
      </x:c>
      <x:c r="D11" s="89"/>
      <x:c r="E11" s="127" t="str">
        <x:f>'Operating'!E11</x:f>
        <x:v>n.a.</x:v>
      </x:c>
      <x:c r="F11" s="127" t="n">
        <x:f>'Operating'!F11</x:f>
        <x:v>10.757594307426064</x:v>
      </x:c>
      <x:c r="G11" s="127" t="n">
        <x:f>'Operating'!G11</x:f>
        <x:v>1.9191039534353966</x:v>
      </x:c>
      <x:c r="H11" s="127" t="n">
        <x:f>'Operating'!H11</x:f>
        <x:v>0.6834212390351688</x:v>
      </x:c>
      <x:c r="I11" s="127" t="n">
        <x:f>'Operating'!I11</x:f>
        <x:v>0.5384615384615385</x:v>
      </x:c>
      <x:c r="J11" s="127" t="n">
        <x:f>'Operating'!J11</x:f>
        <x:v>0.375</x:v>
      </x:c>
      <x:c r="K11" s="2"/>
      <x:c r="L11" s="2"/>
      <x:c r="M11" s="2"/>
      <x:c r="N11" s="2"/>
      <x:c r="O11" s="2"/>
    </x:row>
    <x:row r="12" ht="20" customHeight="1">
      <x:c r="A12" s="2"/>
      <x:c r="B12" s="2"/>
      <x:c r="C12" s="2"/>
      <x:c r="D12" s="2"/>
      <x:c r="E12" s="4"/>
      <x:c r="F12" s="4"/>
      <x:c r="G12" s="4"/>
      <x:c r="H12" s="4"/>
      <x:c r="I12" s="4"/>
      <x:c r="J12" s="4"/>
      <x:c r="K12" s="2"/>
      <x:c r="L12" s="2"/>
      <x:c r="M12" s="2"/>
      <x:c r="N12" s="2"/>
      <x:c r="O12" s="2"/>
    </x:row>
    <x:row r="13" ht="20" customHeight="1">
      <x:c r="A13" s="2"/>
      <x:c r="B13" s="2"/>
      <x:c r="C13" s="83" t="str">
        <x:v>Net economic revenue</x:v>
      </x:c>
      <x:c r="D13" s="83"/>
      <x:c r="E13" s="120" t="n">
        <x:f>'Operating'!E20</x:f>
        <x:v>4106.25</x:v>
      </x:c>
      <x:c r="F13" s="120" t="n">
        <x:f>'Operating'!F20</x:f>
        <x:v>45634.16290569741</x:v>
      </x:c>
      <x:c r="G13" s="120" t="n">
        <x:f>'Operating'!G20</x:f>
        <x:v>131280.27309829078</x:v>
      </x:c>
      <x:c r="H13" s="120" t="n">
        <x:f>'Operating'!H20</x:f>
        <x:v>217750</x:v>
      </x:c>
      <x:c r="I13" s="120" t="n">
        <x:f>'Operating'!I20</x:f>
        <x:v>330000</x:v>
      </x:c>
      <x:c r="J13" s="120" t="n">
        <x:f>'Operating'!J20</x:f>
        <x:v>446875</x:v>
      </x:c>
      <x:c r="K13" s="2"/>
      <x:c r="L13" s="2"/>
      <x:c r="M13" s="2"/>
      <x:c r="N13" s="2"/>
      <x:c r="O13" s="2"/>
    </x:row>
    <x:row r="14" ht="20" customHeight="1">
      <x:c r="A14" s="2"/>
      <x:c r="B14" s="2"/>
      <x:c r="C14" s="2" t="str">
        <x:v>Inference compute cost</x:v>
      </x:c>
      <x:c r="D14" s="2"/>
      <x:c r="E14" s="118" t="n">
        <x:f>'Operating'!E23</x:f>
        <x:v>2700</x:v>
      </x:c>
      <x:c r="F14" s="118" t="n">
        <x:f>'Operating'!F23</x:f>
        <x:v>9523.651389015115</x:v>
      </x:c>
      <x:c r="G14" s="118" t="n">
        <x:f>'Operating'!G23</x:f>
        <x:v>38611.845028909054</x:v>
      </x:c>
      <x:c r="H14" s="118" t="n">
        <x:f>'Operating'!H23</x:f>
        <x:v>78000.00000000001</x:v>
      </x:c>
      <x:c r="I14" s="118" t="n">
        <x:f>'Operating'!I23</x:f>
        <x:v>121298.47774776943</x:v>
      </x:c>
      <x:c r="J14" s="118" t="n">
        <x:f>'Operating'!J23</x:f>
        <x:v>160374.13289280873</x:v>
      </x:c>
      <x:c r="K14" s="2"/>
      <x:c r="L14" s="2"/>
      <x:c r="M14" s="2"/>
      <x:c r="N14" s="2"/>
      <x:c r="O14" s="2"/>
    </x:row>
    <x:row r="15" ht="20" customHeight="1">
      <x:c r="A15" s="2"/>
      <x:c r="B15" s="2"/>
      <x:c r="C15" s="83" t="str">
        <x:v>Gross profit after revenue share</x:v>
      </x:c>
      <x:c r="D15" s="83"/>
      <x:c r="E15" s="120" t="n">
        <x:f>'Operating'!E24</x:f>
        <x:v>1406.25</x:v>
      </x:c>
      <x:c r="F15" s="120" t="n">
        <x:f>'Operating'!F24</x:f>
        <x:v>36110.511516682294</x:v>
      </x:c>
      <x:c r="G15" s="120" t="n">
        <x:f>'Operating'!G24</x:f>
        <x:v>92668.42806938173</x:v>
      </x:c>
      <x:c r="H15" s="120" t="n">
        <x:f>'Operating'!H24</x:f>
        <x:v>139750</x:v>
      </x:c>
      <x:c r="I15" s="120" t="n">
        <x:f>'Operating'!I24</x:f>
        <x:v>208701.52225223056</x:v>
      </x:c>
      <x:c r="J15" s="120" t="n">
        <x:f>'Operating'!J24</x:f>
        <x:v>286500.86710719124</x:v>
      </x:c>
      <x:c r="K15" s="2"/>
      <x:c r="L15" s="2"/>
      <x:c r="M15" s="2"/>
      <x:c r="N15" s="2"/>
      <x:c r="O15" s="2"/>
    </x:row>
    <x:row r="16" ht="20" customHeight="1">
      <x:c r="A16" s="2"/>
      <x:c r="B16" s="2"/>
      <x:c r="C16" s="89" t="str">
        <x:v>Gross profit / gross revenue</x:v>
      </x:c>
      <x:c r="D16" s="89"/>
      <x:c r="E16" s="127" t="n">
        <x:f>'Operating'!E25</x:f>
        <x:v>0.3125</x:v>
      </x:c>
      <x:c r="F16" s="127" t="n">
        <x:f>'Operating'!F25</x:f>
        <x:v>0.6824999999999999</x:v>
      </x:c>
      <x:c r="G16" s="127" t="n">
        <x:f>'Operating'!G25</x:f>
        <x:v>0.6</x:v>
      </x:c>
      <x:c r="H16" s="127" t="n">
        <x:f>'Operating'!H25</x:f>
        <x:v>0.5375</x:v>
      </x:c>
      <x:c r="I16" s="127" t="n">
        <x:f>'Operating'!I25</x:f>
        <x:v>0.5217538056305764</x:v>
      </x:c>
      <x:c r="J16" s="127" t="n">
        <x:f>'Operating'!J25</x:f>
        <x:v>0.5209106674676204</x:v>
      </x:c>
      <x:c r="K16" s="2"/>
      <x:c r="L16" s="2"/>
      <x:c r="M16" s="2"/>
      <x:c r="N16" s="2"/>
      <x:c r="O16" s="2"/>
    </x:row>
    <x:row r="17" ht="20" customHeight="1">
      <x:c r="A17" s="2"/>
      <x:c r="B17" s="2"/>
      <x:c r="C17" s="2"/>
      <x:c r="D17" s="2"/>
      <x:c r="E17" s="4"/>
      <x:c r="F17" s="4"/>
      <x:c r="G17" s="4"/>
      <x:c r="H17" s="4"/>
      <x:c r="I17" s="4"/>
      <x:c r="J17" s="4"/>
      <x:c r="K17" s="2"/>
      <x:c r="L17" s="2"/>
      <x:c r="M17" s="2"/>
      <x:c r="N17" s="2"/>
      <x:c r="O17" s="2"/>
    </x:row>
    <x:row r="18" ht="20" customHeight="1">
      <x:c r="A18" s="2"/>
      <x:c r="B18" s="2"/>
      <x:c r="C18" s="2" t="str">
        <x:v>Training compute cost</x:v>
      </x:c>
      <x:c r="D18" s="2"/>
      <x:c r="E18" s="118" t="n">
        <x:f>'Operating'!E28</x:f>
        <x:v>4000</x:v>
      </x:c>
      <x:c r="F18" s="118" t="n">
        <x:f>'Operating'!F28</x:f>
        <x:v>12854.90346445185</x:v>
      </x:c>
      <x:c r="G18" s="118" t="n">
        <x:f>'Operating'!G28</x:f>
        <x:v>27500</x:v>
      </x:c>
      <x:c r="H18" s="118" t="n">
        <x:f>'Operating'!H28</x:f>
        <x:v>70000</x:v>
      </x:c>
      <x:c r="I18" s="118" t="n">
        <x:f>'Operating'!I28</x:f>
        <x:v>100000</x:v>
      </x:c>
      <x:c r="J18" s="118" t="n">
        <x:f>'Operating'!J28</x:f>
        <x:v>120000</x:v>
      </x:c>
      <x:c r="K18" s="2"/>
      <x:c r="L18" s="2"/>
      <x:c r="M18" s="2"/>
      <x:c r="N18" s="2"/>
      <x:c r="O18" s="2"/>
    </x:row>
    <x:row r="19" ht="20" customHeight="1">
      <x:c r="A19" s="2"/>
      <x:c r="B19" s="2"/>
      <x:c r="C19" s="2" t="str">
        <x:v>Other operating costs</x:v>
      </x:c>
      <x:c r="D19" s="2"/>
      <x:c r="E19" s="118" t="n">
        <x:f>'Operating'!E30</x:f>
        <x:v>4466.666666666667</x:v>
      </x:c>
      <x:c r="F19" s="118" t="n">
        <x:f>'Operating'!F30</x:f>
        <x:v>9590.809222914415</x:v>
      </x:c>
      <x:c r="G19" s="118" t="n">
        <x:f>'Operating'!G30</x:f>
        <x:v>7345.760558767676</x:v>
      </x:c>
      <x:c r="H19" s="118" t="n">
        <x:f>'Operating'!H30</x:f>
        <x:v>37000</x:v>
      </x:c>
      <x:c r="I19" s="118" t="n">
        <x:f>'Operating'!I30</x:f>
        <x:v>104140.46011659736</x:v>
      </x:c>
      <x:c r="J19" s="118" t="n">
        <x:f>'Operating'!J30</x:f>
        <x:v>186916.08859520586</x:v>
      </x:c>
      <x:c r="K19" s="2"/>
      <x:c r="L19" s="2"/>
      <x:c r="M19" s="2"/>
      <x:c r="N19" s="2"/>
      <x:c r="O19" s="2"/>
    </x:row>
    <x:row r="20" ht="20" customHeight="1">
      <x:c r="A20" s="2"/>
      <x:c r="B20" s="2"/>
      <x:c r="C20" s="2"/>
      <x:c r="D20" s="2"/>
      <x:c r="E20" s="4"/>
      <x:c r="F20" s="4"/>
      <x:c r="G20" s="4"/>
      <x:c r="H20" s="4"/>
      <x:c r="I20" s="4"/>
      <x:c r="J20" s="4"/>
      <x:c r="K20" s="2"/>
      <x:c r="L20" s="2"/>
      <x:c r="M20" s="2"/>
      <x:c r="N20" s="2"/>
      <x:c r="O20" s="2"/>
    </x:row>
    <x:row r="21" ht="20" customHeight="1">
      <x:c r="A21" s="2"/>
      <x:c r="B21" s="2"/>
      <x:c r="C21" s="83" t="str">
        <x:v>Modeled operating surplus</x:v>
      </x:c>
      <x:c r="D21" s="83"/>
      <x:c r="E21" s="120" t="n">
        <x:f>'Operating'!E31</x:f>
        <x:v>-7060.416666666667</x:v>
      </x:c>
      <x:c r="F21" s="120" t="n">
        <x:f>'Operating'!F31</x:f>
        <x:v>13664.798829316029</x:v>
      </x:c>
      <x:c r="G21" s="120" t="n">
        <x:f>'Operating'!G31</x:f>
        <x:v>57822.667510614054</x:v>
      </x:c>
      <x:c r="H21" s="120" t="n">
        <x:f>'Operating'!H31</x:f>
        <x:v>32750</x:v>
      </x:c>
      <x:c r="I21" s="120" t="n">
        <x:f>'Operating'!I31</x:f>
        <x:v>4561.062135633198</x:v>
      </x:c>
      <x:c r="J21" s="120" t="n">
        <x:f>'Operating'!J31</x:f>
        <x:v>-20415.22148801462</x:v>
      </x:c>
      <x:c r="K21" s="2"/>
      <x:c r="L21" s="2"/>
      <x:c r="M21" s="2"/>
      <x:c r="N21" s="2"/>
      <x:c r="O21" s="2"/>
    </x:row>
    <x:row r="22" ht="20" customHeight="1">
      <x:c r="A22" s="2"/>
      <x:c r="B22" s="2"/>
      <x:c r="C22" s="89" t="str">
        <x:v>Operating surplus / gross revenue</x:v>
      </x:c>
      <x:c r="D22" s="89"/>
      <x:c r="E22" s="127" t="n">
        <x:f>'Operating'!E32</x:f>
        <x:v>-1.5689814814814815</x:v>
      </x:c>
      <x:c r="F22" s="127" t="n">
        <x:f>'Operating'!F32</x:f>
        <x:v>0.2582689862119419</x:v>
      </x:c>
      <x:c r="G22" s="127" t="n">
        <x:f>'Operating'!G32</x:f>
        <x:v>0.3743842560962943</x:v>
      </x:c>
      <x:c r="H22" s="127" t="n">
        <x:f>'Operating'!H32</x:f>
        <x:v>0.12596153846153846</x:v>
      </x:c>
      <x:c r="I22" s="127" t="n">
        <x:f>'Operating'!I32</x:f>
        <x:v>0.011402655339082994</x:v>
      </x:c>
      <x:c r="J22" s="127" t="n">
        <x:f>'Operating'!J32</x:f>
        <x:v>-0.03711858452366294</x:v>
      </x:c>
      <x:c r="K22" s="2"/>
      <x:c r="L22" s="2"/>
      <x:c r="M22" s="2"/>
      <x:c r="N22" s="2"/>
      <x:c r="O22" s="2"/>
    </x:row>
    <x:row r="23" ht="20" customHeight="1">
      <x:c r="A23" s="2"/>
      <x:c r="B23" s="2"/>
      <x:c r="C23" s="2"/>
      <x:c r="D23" s="2"/>
      <x:c r="E23" s="4"/>
      <x:c r="F23" s="4"/>
      <x:c r="G23" s="4"/>
      <x:c r="H23" s="4"/>
      <x:c r="I23" s="4"/>
      <x:c r="J23" s="4"/>
      <x:c r="K23" s="2"/>
      <x:c r="L23" s="2"/>
      <x:c r="M23" s="2"/>
      <x:c r="N23" s="2"/>
      <x:c r="O23" s="2"/>
    </x:row>
    <x:row r="24" ht="20" customHeight="1">
      <x:c r="A24" s="2"/>
      <x:c r="B24" s="2"/>
      <x:c r="C24" s="83" t="str">
        <x:v>Cash flow before financing</x:v>
      </x:c>
      <x:c r="D24" s="83"/>
      <x:c r="E24" s="120" t="str">
        <x:f>'Cash flow'!E21</x:f>
        <x:v>n.a.</x:v>
      </x:c>
      <x:c r="F24" s="120" t="str">
        <x:f>'Cash flow'!F21</x:f>
        <x:v>n.a.</x:v>
      </x:c>
      <x:c r="G24" s="120" t="str">
        <x:f>'Cash flow'!G21</x:f>
        <x:v>n.a.</x:v>
      </x:c>
      <x:c r="H24" s="120" t="str">
        <x:f>'Cash flow'!H21</x:f>
        <x:v>n.a.</x:v>
      </x:c>
      <x:c r="I24" s="120" t="str">
        <x:f>'Cash flow'!I21</x:f>
        <x:v>n.a.</x:v>
      </x:c>
      <x:c r="J24" s="120" t="str">
        <x:f>'Cash flow'!J21</x:f>
        <x:v>n.a.</x:v>
      </x:c>
      <x:c r="K24" s="2"/>
      <x:c r="L24" s="2"/>
      <x:c r="M24" s="2"/>
      <x:c r="N24" s="2"/>
      <x:c r="O24" s="2"/>
    </x:row>
    <x:row r="25" ht="20" customHeight="1">
      <x:c r="A25" s="2"/>
      <x:c r="B25" s="2"/>
      <x:c r="C25" s="2" t="str">
        <x:v>Average compute GW-year equivalent</x:v>
      </x:c>
      <x:c r="D25" s="2"/>
      <x:c r="E25" s="136" t="n">
        <x:f>'Compute'!E25</x:f>
        <x:v>0.6090909090909091</x:v>
      </x:c>
      <x:c r="F25" s="136" t="n">
        <x:f>'Compute'!F25</x:f>
        <x:v>1.7902843882773571</x:v>
      </x:c>
      <x:c r="G25" s="136" t="n">
        <x:f>'Compute'!G25</x:f>
        <x:v>4.837452075286029</x:v>
      </x:c>
      <x:c r="H25" s="136" t="n">
        <x:f>'Compute'!H25</x:f>
        <x:v>10.82926829268293</x:v>
      </x:c>
      <x:c r="I25" s="136" t="n">
        <x:f>'Compute'!I25</x:f>
        <x:v>16.192571542519715</x:v>
      </x:c>
      <x:c r="J25" s="136" t="n">
        <x:f>'Compute'!J25</x:f>
        <x:v>20.51518045557137</x:v>
      </x:c>
      <x:c r="K25" s="2"/>
      <x:c r="L25" s="2"/>
      <x:c r="M25" s="2"/>
      <x:c r="N25" s="2"/>
      <x:c r="O25" s="2"/>
    </x:row>
    <x:row r="26" ht="20" customHeight="1">
      <x:c r="A26" s="2"/>
      <x:c r="B26" s="2"/>
      <x:c r="C26" s="89" t="str">
        <x:v>Revenue / inference GW</x:v>
      </x:c>
      <x:c r="D26" s="89" t="str">
        <x:v>bn/GW/yr</x:v>
      </x:c>
      <x:c r="E26" s="122" t="n">
        <x:f>'Compute'!E27/1000</x:f>
        <x:v>18.333333333333332</x:v>
      </x:c>
      <x:c r="F26" s="122" t="n">
        <x:f>'Compute'!F27/1000</x:f>
        <x:v>69.44444444444443</x:v>
      </x:c>
      <x:c r="G26" s="122" t="n">
        <x:f>'Compute'!G27/1000</x:f>
        <x:v>54.666666666666664</x:v>
      </x:c>
      <x:c r="H26" s="122" t="n">
        <x:f>'Compute'!H27/1000</x:f>
        <x:v>45.55555555555554</x:v>
      </x:c>
      <x:c r="I26" s="122" t="n">
        <x:f>'Compute'!I27/1000</x:f>
        <x:v>45.06789176723361</x:v>
      </x:c>
      <x:c r="J26" s="122" t="n">
        <x:f>'Compute'!J27/1000</x:f>
        <x:v>46.8695701175867</x:v>
      </x:c>
      <x:c r="K26" s="2"/>
      <x:c r="L26" s="2"/>
      <x:c r="M26" s="2"/>
      <x:c r="N26" s="2"/>
      <x:c r="O26" s="2"/>
    </x:row>
    <x:row r="27" ht="20" customHeight="1">
      <x:c r="A27" s="2"/>
      <x:c r="B27" s="2"/>
      <x:c r="C27" s="89" t="str">
        <x:v>Compute cost / avg direct GW</x:v>
      </x:c>
      <x:c r="D27" s="89" t="str">
        <x:v>bn/GW/yr</x:v>
      </x:c>
      <x:c r="E27" s="122" t="n">
        <x:f>IF(ISNUMBER('Compute'!E30),'Compute'!E30/1000,"n.a.")</x:f>
        <x:v>12.509866311047679</x:v>
      </x:c>
      <x:c r="F27" s="122" t="n">
        <x:f>IF(ISNUMBER('Compute'!F30),'Compute'!F30/1000,"n.a.")</x:f>
        <x:v>13.43304351348158</x:v>
      </x:c>
      <x:c r="G27" s="122" t="n">
        <x:f>IF(ISNUMBER('Compute'!G30),'Compute'!G30/1000,"n.a.")</x:f>
        <x:v>13.724316561826075</x:v>
      </x:c>
      <x:c r="H27" s="122" t="n">
        <x:f>IF(ISNUMBER('Compute'!H30),'Compute'!H30/1000,"n.a.")</x:f>
        <x:v>13.155997507377997</x:v>
      </x:c>
      <x:c r="I27" s="122" t="n">
        <x:f>IF(ISNUMBER('Compute'!I30),'Compute'!I30/1000,"n.a.")</x:f>
        <x:v>13.17156746823783</x:v>
      </x:c>
      <x:c r="J27" s="122" t="n">
        <x:f>IF(ISNUMBER('Compute'!J30),'Compute'!J30/1000,"n.a.")</x:f>
        <x:v>13.21534788194567</x:v>
      </x:c>
      <x:c r="K27" s="2"/>
      <x:c r="L27" s="2"/>
      <x:c r="M27" s="2"/>
      <x:c r="N27" s="2"/>
      <x:c r="O27" s="2"/>
    </x:row>
    <x:row r="28" ht="20" customHeight="1">
      <x:c r="A28" s="2"/>
      <x:c r="B28" s="2"/>
      <x:c r="C28" s="17" t="str">
        <x:v>House economics: growth slows as training and residual other costs rise. Review the cost-share assumptions.</x:v>
      </x:c>
      <x:c r="D28" s="2"/>
      <x:c r="E28" s="4"/>
      <x:c r="F28" s="4"/>
      <x:c r="G28" s="4"/>
      <x:c r="H28" s="4"/>
      <x:c r="I28" s="4"/>
      <x:c r="J28" s="4"/>
      <x:c r="K28" s="2"/>
      <x:c r="L28" s="2"/>
      <x:c r="M28" s="2"/>
      <x:c r="N28" s="2"/>
      <x:c r="O28" s="2"/>
    </x:row>
    <x:row r="29" ht="20" customHeight="1">
      <x:c r="A29" s="2"/>
      <x:c r="B29" s="2"/>
      <x:c r="C29" s="17" t="str">
        <x:v>The surplus is not GAAP EBIT or FCF. The cash bridge requires taxes, noncash costs, capex and working capital.</x:v>
      </x:c>
      <x:c r="D29" s="2"/>
      <x:c r="E29" s="4"/>
      <x:c r="F29" s="4"/>
      <x:c r="G29" s="4"/>
      <x:c r="H29" s="4"/>
      <x:c r="I29" s="4"/>
      <x:c r="J29" s="4"/>
      <x:c r="K29" s="2"/>
      <x:c r="L29" s="2"/>
      <x:c r="M29" s="2"/>
      <x:c r="N29" s="2"/>
      <x:c r="O29" s="2"/>
    </x:row>
    <x:row r="30" ht="20" customHeight="1">
      <x:c r="A30" s="2"/>
      <x:c r="B30" s="2"/>
      <x:c r="C30" s="17" t="str">
        <x:v>Use Drivers to change the case or test revenue, inference margin, distribution revenue share and cost composition.</x:v>
      </x:c>
      <x:c r="D30" s="2"/>
      <x:c r="E30" s="4"/>
      <x:c r="F30" s="4"/>
      <x:c r="G30" s="4"/>
      <x:c r="H30" s="4"/>
      <x:c r="I30" s="4"/>
      <x:c r="J30" s="4"/>
      <x:c r="K30" s="2"/>
      <x:c r="L30" s="2"/>
      <x:c r="M30" s="2"/>
      <x:c r="N30" s="2"/>
      <x:c r="O30" s="2"/>
    </x:row>
    <x:row r="31" ht="20" customHeight="1">
      <x:c r="A31" s="2"/>
      <x:c r="B31" s="2"/>
      <x:c r="C31" s="17" t="str">
        <x:v>Validation: source extraction and arithmetic checked. Accounting scope, capacity and cost calibration remain partial.</x:v>
      </x:c>
      <x:c r="D31" s="2"/>
      <x:c r="E31" s="4"/>
      <x:c r="F31" s="4"/>
      <x:c r="G31" s="4"/>
      <x:c r="H31" s="4"/>
      <x:c r="I31" s="4"/>
      <x:c r="J31" s="4"/>
      <x:c r="K31" s="2"/>
      <x:c r="L31" s="2"/>
      <x:c r="M31" s="2"/>
      <x:c r="N31" s="2"/>
      <x:c r="O31" s="2"/>
    </x:row>
    <x:row r="32" ht="20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2"/>
      <x:c r="D34" s="2"/>
      <x:c r="E34" s="4"/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2"/>
      <x:c r="D35" s="2"/>
      <x:c r="E35" s="4"/>
      <x:c r="F35" s="4"/>
      <x:c r="G35" s="4"/>
      <x:c r="H35" s="4"/>
      <x:c r="I35" s="4"/>
      <x:c r="J35" s="4"/>
      <x:c r="K35" s="2"/>
      <x:c r="L35" s="2"/>
      <x:c r="M35" s="2"/>
      <x:c r="N35" s="2"/>
      <x:c r="O35" s="2"/>
    </x:row>
    <x:row r="36" ht="20" customHeight="1">
      <x:c r="A36" s="2"/>
      <x:c r="B36" s="2"/>
      <x:c r="C36" s="2"/>
      <x:c r="D36" s="2"/>
      <x:c r="E36" s="4"/>
      <x:c r="F36" s="4"/>
      <x:c r="G36" s="4"/>
      <x:c r="H36" s="4"/>
      <x:c r="I36" s="4"/>
      <x:c r="J36" s="4"/>
      <x:c r="K36" s="2"/>
      <x:c r="L36" s="2"/>
      <x:c r="M36" s="2"/>
      <x:c r="N36" s="2"/>
      <x:c r="O36" s="2"/>
    </x:row>
    <x:row r="37" ht="20" customHeight="1">
      <x:c r="A37" s="2"/>
      <x:c r="B37" s="2"/>
      <x:c r="C37" s="2"/>
      <x:c r="D37" s="2"/>
      <x:c r="E37" s="4"/>
      <x:c r="F37" s="4"/>
      <x:c r="G37" s="4"/>
      <x:c r="H37" s="4"/>
      <x:c r="I37" s="4"/>
      <x:c r="J37" s="4"/>
      <x:c r="K37" s="2"/>
      <x:c r="L37" s="2"/>
      <x:c r="M37" s="2"/>
      <x:c r="N37" s="2"/>
      <x:c r="O37" s="2"/>
    </x:row>
    <x:row r="38" ht="20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2"/>
      <x:c r="L38" s="2"/>
      <x:c r="M38" s="2"/>
      <x:c r="N38" s="2"/>
      <x:c r="O38" s="2"/>
    </x:row>
    <x:row r="39" ht="20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2"/>
      <x:c r="L40" s="2"/>
      <x:c r="M40" s="2"/>
      <x:c r="N40" s="2"/>
      <x:c r="O40" s="2"/>
    </x:row>
    <x:row r="41" ht="20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0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2"/>
      <x:c r="L44" s="2"/>
      <x:c r="M44" s="2"/>
      <x:c r="N44" s="2"/>
      <x:c r="O44" s="2"/>
    </x:row>
    <x:row r="45" ht="20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 t="str">
        <x:v>Year</x:v>
      </x:c>
      <x:c r="D51" s="2" t="str">
        <x:v>Gross revenue</x:v>
      </x:c>
      <x:c r="E51" s="4" t="str">
        <x:v>Net economic revenue</x:v>
      </x:c>
      <x:c r="F51" s="4" t="str">
        <x:v>Operating surplus</x:v>
      </x:c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 t="str">
        <x:v>2026</x:v>
      </x:c>
      <x:c r="D52" s="2" t="n">
        <x:f>F10</x:f>
        <x:v>52909.17438341729</x:v>
      </x:c>
      <x:c r="E52" s="4" t="n">
        <x:f>F13</x:f>
        <x:v>45634.16290569741</x:v>
      </x:c>
      <x:c r="F52" s="4" t="n">
        <x:f>F21</x:f>
        <x:v>13664.798829316029</x:v>
      </x:c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 t="str">
        <x:v>2027</x:v>
      </x:c>
      <x:c r="D53" s="2" t="n">
        <x:f>G10</x:f>
        <x:v>154447.38011563622</x:v>
      </x:c>
      <x:c r="E53" s="4" t="n">
        <x:f>G13</x:f>
        <x:v>131280.27309829078</x:v>
      </x:c>
      <x:c r="F53" s="4" t="n">
        <x:f>G21</x:f>
        <x:v>57822.667510614054</x:v>
      </x:c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 t="str">
        <x:v>2028</x:v>
      </x:c>
      <x:c r="D54" s="2" t="n">
        <x:f>H10</x:f>
        <x:v>260000</x:v>
      </x:c>
      <x:c r="E54" s="4" t="n">
        <x:f>H13</x:f>
        <x:v>217750</x:v>
      </x:c>
      <x:c r="F54" s="4" t="n">
        <x:f>H21</x:f>
        <x:v>32750</x:v>
      </x:c>
      <x:c r="G54" s="4"/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 t="str">
        <x:v>2029</x:v>
      </x:c>
      <x:c r="D55" s="2" t="n">
        <x:f>I10</x:f>
        <x:v>400000</x:v>
      </x:c>
      <x:c r="E55" s="4" t="n">
        <x:f>I13</x:f>
        <x:v>330000</x:v>
      </x:c>
      <x:c r="F55" s="4" t="n">
        <x:f>I21</x:f>
        <x:v>4561.062135633198</x:v>
      </x:c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2" t="str">
        <x:v>2030</x:v>
      </x:c>
      <x:c r="D56" s="2" t="n">
        <x:f>J10</x:f>
        <x:v>550000</x:v>
      </x:c>
      <x:c r="E56" s="4" t="n">
        <x:f>J13</x:f>
        <x:v>446875</x:v>
      </x:c>
      <x:c r="F56" s="4" t="n">
        <x:f>J21</x:f>
        <x:v>-20415.22148801462</x:v>
      </x:c>
      <x:c r="G56" s="4"/>
      <x:c r="H56" s="4"/>
      <x:c r="I56" s="4"/>
      <x:c r="J56" s="4"/>
      <x:c r="K56" s="2"/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2"/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</x:sheetData>
  <x:pageMargins left="0.7" right="0.7" top="0.75" bottom="0.75" header="0.3" footer="0.3"/>
  <x:drawing xmlns:r="http://schemas.openxmlformats.org/officeDocument/2006/relationships" r:id="R0124b298505b4d2e"/>
</x:worksheet>
</file>

<file path=xl/worksheets/sheet2.xml><?xml version="1.0" encoding="utf-8"?>
<x:worksheet xmlns:x="http://schemas.openxmlformats.org/spreadsheetml/2006/main">
  <x:sheetPr>
    <x:tabColor rgb="FF66839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Drivers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2"/>
      <x:c r="D3" s="2"/>
      <x:c r="E3" s="2"/>
      <x:c r="F3" s="2"/>
      <x:c r="G3" s="2" t="str">
        <x:v>Revenue multiplier</x:v>
      </x:c>
      <x:c r="H3" s="2"/>
      <x:c r="I3" s="2"/>
      <x:c r="J3" s="2" t="str">
        <x:v>Inference GM delta</x:v>
      </x:c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Case: 1 House / 2 Down / 3 Up</x:v>
      </x:c>
      <x:c r="D4" s="2"/>
      <x:c r="E4" s="59" t="n">
        <x:v>1</x:v>
      </x:c>
      <x:c r="F4" s="2"/>
      <x:c r="G4" s="61" t="n">
        <x:v>1</x:v>
      </x:c>
      <x:c r="H4" s="2"/>
      <x:c r="I4" s="2"/>
      <x:c r="J4" s="60" t="n">
        <x:v>0</x:v>
      </x:c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60" t="n">
        <x:v>0</x:v>
      </x:c>
      <x:c r="H5" s="2"/>
      <x:c r="I5" s="2"/>
      <x:c r="J5" s="60" t="n">
        <x:v>0</x:v>
      </x:c>
      <x:c r="K5" s="2"/>
      <x:c r="L5" s="2"/>
      <x:c r="M5" s="2"/>
      <x:c r="N5" s="2"/>
      <x:c r="O5" s="2"/>
    </x:row>
    <x:row r="6" ht="20" customHeight="1">
      <x:c r="A6" s="2"/>
      <x:c r="B6" s="2"/>
      <x:c r="C6" s="2"/>
      <x:c r="D6" s="2"/>
      <x:c r="E6" s="2"/>
      <x:c r="F6" s="2"/>
      <x:c r="G6" s="2" t="str">
        <x:v>Revenue-share delta</x:v>
      </x:c>
      <x:c r="H6" s="2"/>
      <x:c r="I6" s="2"/>
      <x:c r="J6" s="2" t="str">
        <x:v>Compute-share delta</x:v>
      </x:c>
      <x:c r="K6" s="2"/>
      <x:c r="L6" s="2"/>
      <x:c r="M6" s="2"/>
      <x:c r="N6" s="2"/>
      <x:c r="O6" s="2"/>
    </x:row>
    <x:row r="7" ht="20" customHeight="1">
      <x:c r="A7" s="2"/>
      <x:c r="B7" s="2"/>
      <x:c r="C7" s="17" t="str">
        <x:v>Amber controls are ESTIMATE stresses, dated 15-Oct-26. Neutral multipliers preserve the house base.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million, calendar years</x:v>
      </x:c>
      <x:c r="D8" s="15" t="str">
        <x:v>Basis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2"/>
      <x:c r="L8" s="2"/>
      <x:c r="M8" s="2"/>
      <x:c r="N8" s="2"/>
      <x:c r="O8" s="2"/>
    </x:row>
    <x:row r="9" ht="20" customHeight="1">
      <x:c r="A9" s="2"/>
      <x:c r="B9" s="2"/>
      <x:c r="C9" s="2"/>
      <x:c r="D9" s="2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</x:row>
    <x:row r="10" ht="20" customHeight="1">
      <x:c r="A10" s="2"/>
      <x:c r="B10" s="2"/>
      <x:c r="C10" s="67" t="str">
        <x:v>Gross revenue</x:v>
      </x:c>
      <x:c r="D10" s="67" t="str">
        <x:v>ACTIVE</x:v>
      </x:c>
      <x:c r="E10" s="68" t="n">
        <x:f>IF(CHOOSE($E$4,ISNUMBER(E11),ISNUMBER(E12),ISNUMBER(E13)),CHOOSE($E$4,E11,E12,E13),"n.a.")</x:f>
        <x:v>4500</x:v>
      </x:c>
      <x:c r="F10" s="69" t="n">
        <x:f>IF(CHOOSE($E$4,ISNUMBER(F11),ISNUMBER(F12),ISNUMBER(F13)),'Sources'!F28+(CHOOSE($E$4,F11,F12,F13)-'Sources'!F28)*$G$4,"n.a.")</x:f>
        <x:v>52909.17438341729</x:v>
      </x:c>
      <x:c r="G10" s="68" t="n">
        <x:f>IF(CHOOSE($E$4,ISNUMBER(G11),ISNUMBER(G12),ISNUMBER(G13)),CHOOSE($E$4,G11,G12,G13)*$G$4,"n.a.")</x:f>
        <x:v>154447.38011563622</x:v>
      </x:c>
      <x:c r="H10" s="68" t="n">
        <x:f>IF(CHOOSE($E$4,ISNUMBER(H11),ISNUMBER(H12),ISNUMBER(H13)),CHOOSE($E$4,H11,H12,H13)*$G$4,"n.a.")</x:f>
        <x:v>260000</x:v>
      </x:c>
      <x:c r="I10" s="68" t="n">
        <x:f>IF(CHOOSE($E$4,ISNUMBER(I11),ISNUMBER(I12),ISNUMBER(I13)),CHOOSE($E$4,I11,I12,I13)*$G$4,"n.a.")</x:f>
        <x:v>400000</x:v>
      </x:c>
      <x:c r="J10" s="68" t="n">
        <x:f>IF(CHOOSE($E$4,ISNUMBER(J11),ISNUMBER(J12),ISNUMBER(J13)),CHOOSE($E$4,J11,J12,J13)*$G$4,"n.a.")</x:f>
        <x:v>550000</x:v>
      </x:c>
      <x:c r="K10" s="2"/>
      <x:c r="L10" s="2" t="str">
        <x:v>House: Sources row 8; as of 15-Oct-26</x:v>
      </x:c>
      <x:c r="M10" s="2"/>
      <x:c r="N10" s="2"/>
      <x:c r="O10" s="2"/>
    </x:row>
    <x:row r="11" ht="20" customHeight="1">
      <x:c r="A11" s="2"/>
      <x:c r="B11" s="2"/>
      <x:c r="C11" s="2" t="str">
        <x:v>House base</x:v>
      </x:c>
      <x:c r="D11" s="23" t="str">
        <x:v>HARD</x:v>
      </x:c>
      <x:c r="E11" s="62" t="n">
        <x:f>'Sources'!E8</x:f>
        <x:v>4500</x:v>
      </x:c>
      <x:c r="F11" s="62" t="n">
        <x:f>'Sources'!F8</x:f>
        <x:v>52909.17438341729</x:v>
      </x:c>
      <x:c r="G11" s="62" t="n">
        <x:f>'Sources'!G8</x:f>
        <x:v>154447.38011563622</x:v>
      </x:c>
      <x:c r="H11" s="62" t="n">
        <x:f>'Sources'!H8</x:f>
        <x:v>260000</x:v>
      </x:c>
      <x:c r="I11" s="62" t="n">
        <x:f>'Sources'!I8</x:f>
        <x:v>400000</x:v>
      </x:c>
      <x:c r="J11" s="62" t="n">
        <x:f>'Sources'!J8</x:f>
        <x:v>550000</x:v>
      </x:c>
      <x:c r="K11" s="2"/>
      <x:c r="L11" s="2"/>
      <x:c r="M11" s="2"/>
      <x:c r="N11" s="2"/>
      <x:c r="O11" s="2"/>
    </x:row>
    <x:row r="12" ht="20" customHeight="1">
      <x:c r="A12" s="2"/>
      <x:c r="B12" s="2"/>
      <x:c r="C12" s="2" t="str">
        <x:v>Downside</x:v>
      </x:c>
      <x:c r="D12" s="57" t="str">
        <x:v>ESTIMATE</x:v>
      </x:c>
      <x:c r="E12" s="63" t="n">
        <x:f>E11</x:f>
        <x:v>4500</x:v>
      </x:c>
      <x:c r="F12" s="62" t="n">
        <x:f>'Sources'!F28+'Sources'!F29*0.8</x:f>
        <x:v>48909.014391914534</x:v>
      </x:c>
      <x:c r="G12" s="63" t="n">
        <x:f>G11*0.8</x:f>
        <x:v>123557.90409250898</x:v>
      </x:c>
      <x:c r="H12" s="63" t="n">
        <x:f>H11*0.8</x:f>
        <x:v>208000</x:v>
      </x:c>
      <x:c r="I12" s="63" t="n">
        <x:f>I11*0.8</x:f>
        <x:v>320000</x:v>
      </x:c>
      <x:c r="J12" s="63" t="n">
        <x:f>J11*0.8</x:f>
        <x:v>440000</x:v>
      </x:c>
      <x:c r="K12" s="2"/>
      <x:c r="L12" s="2"/>
      <x:c r="M12" s="2"/>
      <x:c r="N12" s="2"/>
      <x:c r="O12" s="2"/>
    </x:row>
    <x:row r="13" ht="20" customHeight="1">
      <x:c r="A13" s="2"/>
      <x:c r="B13" s="2"/>
      <x:c r="C13" s="2" t="str">
        <x:v>Upside</x:v>
      </x:c>
      <x:c r="D13" s="57" t="str">
        <x:v>ESTIMATE</x:v>
      </x:c>
      <x:c r="E13" s="63" t="n">
        <x:f>E11</x:f>
        <x:v>4500</x:v>
      </x:c>
      <x:c r="F13" s="62" t="n">
        <x:f>'Sources'!F28+'Sources'!F29*1.2</x:f>
        <x:v>56909.33437492004</x:v>
      </x:c>
      <x:c r="G13" s="63" t="n">
        <x:f>G11*1.2</x:f>
        <x:v>185336.85613876345</x:v>
      </x:c>
      <x:c r="H13" s="63" t="n">
        <x:f>H11*1.2</x:f>
        <x:v>312000</x:v>
      </x:c>
      <x:c r="I13" s="63" t="n">
        <x:f>I11*1.2</x:f>
        <x:v>480000</x:v>
      </x:c>
      <x:c r="J13" s="63" t="n">
        <x:f>J11*1.2</x:f>
        <x:v>660000</x:v>
      </x:c>
      <x:c r="K13" s="2"/>
      <x:c r="L13" s="2"/>
      <x:c r="M13" s="2"/>
      <x:c r="N13" s="2"/>
      <x:c r="O13" s="2"/>
    </x:row>
    <x:row r="14" ht="20" customHeight="1">
      <x:c r="A14" s="2"/>
      <x:c r="B14" s="2"/>
      <x:c r="C14" s="2"/>
      <x:c r="D14" s="2"/>
      <x:c r="E14" s="4"/>
      <x:c r="F14" s="4"/>
      <x:c r="G14" s="4"/>
      <x:c r="H14" s="4"/>
      <x:c r="I14" s="4"/>
      <x:c r="J14" s="4"/>
      <x:c r="K14" s="2"/>
      <x:c r="L14" s="2"/>
      <x:c r="M14" s="2"/>
      <x:c r="N14" s="2"/>
      <x:c r="O14" s="2"/>
    </x:row>
    <x:row r="15" ht="20" customHeight="1">
      <x:c r="A15" s="2"/>
      <x:c r="B15" s="2"/>
      <x:c r="C15" s="2"/>
      <x:c r="D15" s="2"/>
      <x:c r="E15" s="4"/>
      <x:c r="F15" s="4"/>
      <x:c r="G15" s="4"/>
      <x:c r="H15" s="4"/>
      <x:c r="I15" s="4"/>
      <x:c r="J15" s="4"/>
      <x:c r="K15" s="2"/>
      <x:c r="L15" s="2"/>
      <x:c r="M15" s="2"/>
      <x:c r="N15" s="2"/>
      <x:c r="O15" s="2"/>
    </x:row>
    <x:row r="16" ht="20" customHeight="1">
      <x:c r="A16" s="2"/>
      <x:c r="B16" s="2"/>
      <x:c r="C16" s="128" t="str">
        <x:v>Inference GM before revenue share</x:v>
      </x:c>
      <x:c r="D16" s="128" t="str">
        <x:v>ACTIVE</x:v>
      </x:c>
      <x:c r="E16" s="129" t="n">
        <x:f>IF(CHOOSE($E$4,ISNUMBER(E17),ISNUMBER(E18),ISNUMBER(E19)),CHOOSE($E$4,E17,E18,E19),"n.a.")</x:f>
        <x:v>0.4</x:v>
      </x:c>
      <x:c r="F16" s="129" t="n">
        <x:f>IF(CHOOSE($E$4,ISNUMBER(F17),ISNUMBER(F18),ISNUMBER(F19)),CHOOSE($E$4,F17,F18,F19)+$J$4,"n.a.")</x:f>
        <x:v>0.82</x:v>
      </x:c>
      <x:c r="G16" s="129" t="n">
        <x:f>IF(CHOOSE($E$4,ISNUMBER(G17),ISNUMBER(G18),ISNUMBER(G19)),CHOOSE($E$4,G17,G18,G19)+$J$4,"n.a.")</x:f>
        <x:v>0.75</x:v>
      </x:c>
      <x:c r="H16" s="129" t="n">
        <x:f>IF(CHOOSE($E$4,ISNUMBER(H17),ISNUMBER(H18),ISNUMBER(H19)),CHOOSE($E$4,H17,H18,H19)+$J$4,"n.a.")</x:f>
        <x:v>0.7</x:v>
      </x:c>
      <x:c r="I16" s="129" t="n">
        <x:f>IF(CHOOSE($E$4,ISNUMBER(I17),ISNUMBER(I18),ISNUMBER(I19)),CHOOSE($E$4,I17,I18,I19)+$J$4,"n.a.")</x:f>
        <x:v>0.6967538056305764</x:v>
      </x:c>
      <x:c r="J16" s="129" t="n">
        <x:f>IF(CHOOSE($E$4,ISNUMBER(J17),ISNUMBER(J18),ISNUMBER(J19)),CHOOSE($E$4,J17,J18,J19)+$J$4,"n.a.")</x:f>
        <x:v>0.7084106674676205</x:v>
      </x:c>
      <x:c r="K16" s="2"/>
      <x:c r="L16" s="2" t="str">
        <x:v>House: Sources row 12; as of 15-Oct-26</x:v>
      </x:c>
      <x:c r="M16" s="2"/>
      <x:c r="N16" s="2"/>
      <x:c r="O16" s="2"/>
    </x:row>
    <x:row r="17" ht="20" customHeight="1">
      <x:c r="A17" s="2"/>
      <x:c r="B17" s="2"/>
      <x:c r="C17" s="89" t="str">
        <x:v>House base</x:v>
      </x:c>
      <x:c r="D17" s="130" t="str">
        <x:v>HARD</x:v>
      </x:c>
      <x:c r="E17" s="91" t="n">
        <x:f>'Sources'!E12</x:f>
        <x:v>0.4</x:v>
      </x:c>
      <x:c r="F17" s="91" t="n">
        <x:f>'Sources'!F12</x:f>
        <x:v>0.82</x:v>
      </x:c>
      <x:c r="G17" s="91" t="n">
        <x:f>'Sources'!G12</x:f>
        <x:v>0.75</x:v>
      </x:c>
      <x:c r="H17" s="91" t="n">
        <x:f>'Sources'!H12</x:f>
        <x:v>0.7</x:v>
      </x:c>
      <x:c r="I17" s="91" t="n">
        <x:f>'Sources'!I12</x:f>
        <x:v>0.6967538056305764</x:v>
      </x:c>
      <x:c r="J17" s="91" t="n">
        <x:f>'Sources'!J12</x:f>
        <x:v>0.7084106674676205</x:v>
      </x:c>
      <x:c r="K17" s="2"/>
      <x:c r="L17" s="2"/>
      <x:c r="M17" s="2"/>
      <x:c r="N17" s="2"/>
      <x:c r="O17" s="2"/>
    </x:row>
    <x:row r="18" ht="20" customHeight="1">
      <x:c r="A18" s="2"/>
      <x:c r="B18" s="2"/>
      <x:c r="C18" s="89" t="str">
        <x:v>Downside</x:v>
      </x:c>
      <x:c r="D18" s="131" t="str">
        <x:v>ESTIMATE</x:v>
      </x:c>
      <x:c r="E18" s="90" t="n">
        <x:f>E17</x:f>
        <x:v>0.4</x:v>
      </x:c>
      <x:c r="F18" s="90" t="n">
        <x:f>F17+(-0.05)</x:f>
        <x:v>0.7699999999999999</x:v>
      </x:c>
      <x:c r="G18" s="90" t="n">
        <x:f>G17+(-0.05)</x:f>
        <x:v>0.7</x:v>
      </x:c>
      <x:c r="H18" s="90" t="n">
        <x:f>H17+(-0.05)</x:f>
        <x:v>0.6499999999999999</x:v>
      </x:c>
      <x:c r="I18" s="90" t="n">
        <x:f>I17+(-0.05)</x:f>
        <x:v>0.6467538056305764</x:v>
      </x:c>
      <x:c r="J18" s="90" t="n">
        <x:f>J17+(-0.05)</x:f>
        <x:v>0.6584106674676204</x:v>
      </x:c>
      <x:c r="K18" s="2"/>
      <x:c r="L18" s="2"/>
      <x:c r="M18" s="2"/>
      <x:c r="N18" s="2"/>
      <x:c r="O18" s="2"/>
    </x:row>
    <x:row r="19" ht="20" customHeight="1">
      <x:c r="A19" s="2"/>
      <x:c r="B19" s="2"/>
      <x:c r="C19" s="89" t="str">
        <x:v>Upside</x:v>
      </x:c>
      <x:c r="D19" s="131" t="str">
        <x:v>ESTIMATE</x:v>
      </x:c>
      <x:c r="E19" s="90" t="n">
        <x:f>E17</x:f>
        <x:v>0.4</x:v>
      </x:c>
      <x:c r="F19" s="90" t="n">
        <x:f>F17+(0.05)</x:f>
        <x:v>0.87</x:v>
      </x:c>
      <x:c r="G19" s="90" t="n">
        <x:f>G17+(0.05)</x:f>
        <x:v>0.8</x:v>
      </x:c>
      <x:c r="H19" s="90" t="n">
        <x:f>H17+(0.05)</x:f>
        <x:v>0.75</x:v>
      </x:c>
      <x:c r="I19" s="90" t="n">
        <x:f>I17+(0.05)</x:f>
        <x:v>0.7467538056305765</x:v>
      </x:c>
      <x:c r="J19" s="90" t="n">
        <x:f>J17+(0.05)</x:f>
        <x:v>0.7584106674676205</x:v>
      </x:c>
      <x:c r="K19" s="2"/>
      <x:c r="L19" s="2"/>
      <x:c r="M19" s="2"/>
      <x:c r="N19" s="2"/>
      <x:c r="O19" s="2"/>
    </x:row>
    <x:row r="20" ht="20" customHeight="1">
      <x:c r="A20" s="2"/>
      <x:c r="B20" s="2"/>
      <x:c r="C20" s="2"/>
      <x:c r="D20" s="2"/>
      <x:c r="E20" s="4"/>
      <x:c r="F20" s="4"/>
      <x:c r="G20" s="4"/>
      <x:c r="H20" s="4"/>
      <x:c r="I20" s="4"/>
      <x:c r="J20" s="4"/>
      <x:c r="K20" s="2"/>
      <x:c r="L20" s="2"/>
      <x:c r="M20" s="2"/>
      <x:c r="N20" s="2"/>
      <x:c r="O20" s="2"/>
    </x:row>
    <x:row r="21" ht="20" customHeight="1">
      <x:c r="A21" s="2"/>
      <x:c r="B21" s="2"/>
      <x:c r="C21" s="2"/>
      <x:c r="D21" s="2"/>
      <x:c r="E21" s="4"/>
      <x:c r="F21" s="4"/>
      <x:c r="G21" s="4"/>
      <x:c r="H21" s="4"/>
      <x:c r="I21" s="4"/>
      <x:c r="J21" s="4"/>
      <x:c r="K21" s="2"/>
      <x:c r="L21" s="2"/>
      <x:c r="M21" s="2"/>
      <x:c r="N21" s="2"/>
      <x:c r="O21" s="2"/>
    </x:row>
    <x:row r="22" ht="20" customHeight="1">
      <x:c r="A22" s="2"/>
      <x:c r="B22" s="2"/>
      <x:c r="C22" s="67" t="str">
        <x:v>Training compute cost</x:v>
      </x:c>
      <x:c r="D22" s="67" t="str">
        <x:v>ACTIVE</x:v>
      </x:c>
      <x:c r="E22" s="68" t="n">
        <x:f>IF(CHOOSE($E$4,ISNUMBER(E23),ISNUMBER(E24),ISNUMBER(E25)),CHOOSE($E$4,E23,E24,E25),"n.a.")</x:f>
        <x:v>4000</x:v>
      </x:c>
      <x:c r="F22" s="68" t="n">
        <x:f>IF(CHOOSE($E$4,ISNUMBER(F23),ISNUMBER(F24),ISNUMBER(F25)),CHOOSE($E$4,F23,F24,F25),"n.a.")</x:f>
        <x:v>12854.90346445185</x:v>
      </x:c>
      <x:c r="G22" s="68" t="n">
        <x:f>IF(CHOOSE($E$4,ISNUMBER(G23),ISNUMBER(G24),ISNUMBER(G25)),CHOOSE($E$4,G23,G24,G25),"n.a.")</x:f>
        <x:v>27500</x:v>
      </x:c>
      <x:c r="H22" s="68" t="n">
        <x:f>IF(CHOOSE($E$4,ISNUMBER(H23),ISNUMBER(H24),ISNUMBER(H25)),CHOOSE($E$4,H23,H24,H25),"n.a.")</x:f>
        <x:v>70000</x:v>
      </x:c>
      <x:c r="I22" s="68" t="n">
        <x:f>IF(CHOOSE($E$4,ISNUMBER(I23),ISNUMBER(I24),ISNUMBER(I25)),CHOOSE($E$4,I23,I24,I25),"n.a.")</x:f>
        <x:v>100000</x:v>
      </x:c>
      <x:c r="J22" s="68" t="n">
        <x:f>IF(CHOOSE($E$4,ISNUMBER(J23),ISNUMBER(J24),ISNUMBER(J25)),CHOOSE($E$4,J23,J24,J25),"n.a.")</x:f>
        <x:v>120000</x:v>
      </x:c>
      <x:c r="K22" s="2"/>
      <x:c r="L22" s="2" t="str">
        <x:v>House: Sources row 13; as of 15-Oct-26</x:v>
      </x:c>
      <x:c r="M22" s="2"/>
      <x:c r="N22" s="2"/>
      <x:c r="O22" s="2"/>
    </x:row>
    <x:row r="23" ht="20" customHeight="1">
      <x:c r="A23" s="2"/>
      <x:c r="B23" s="2"/>
      <x:c r="C23" s="2" t="str">
        <x:v>House base</x:v>
      </x:c>
      <x:c r="D23" s="23" t="str">
        <x:v>HARD</x:v>
      </x:c>
      <x:c r="E23" s="62" t="n">
        <x:f>'Sources'!E13</x:f>
        <x:v>4000</x:v>
      </x:c>
      <x:c r="F23" s="62" t="n">
        <x:f>'Sources'!F13</x:f>
        <x:v>12854.90346445185</x:v>
      </x:c>
      <x:c r="G23" s="62" t="n">
        <x:f>'Sources'!G13</x:f>
        <x:v>27500</x:v>
      </x:c>
      <x:c r="H23" s="62" t="n">
        <x:f>'Sources'!H13</x:f>
        <x:v>70000</x:v>
      </x:c>
      <x:c r="I23" s="62" t="n">
        <x:f>'Sources'!I13</x:f>
        <x:v>100000</x:v>
      </x:c>
      <x:c r="J23" s="62" t="n">
        <x:f>'Sources'!J13</x:f>
        <x:v>120000</x:v>
      </x:c>
      <x:c r="K23" s="2"/>
      <x:c r="L23" s="2"/>
      <x:c r="M23" s="2"/>
      <x:c r="N23" s="2"/>
      <x:c r="O23" s="2"/>
    </x:row>
    <x:row r="24" ht="20" customHeight="1">
      <x:c r="A24" s="2"/>
      <x:c r="B24" s="2"/>
      <x:c r="C24" s="2" t="str">
        <x:v>Downside</x:v>
      </x:c>
      <x:c r="D24" s="57" t="str">
        <x:v>ESTIMATE</x:v>
      </x:c>
      <x:c r="E24" s="63" t="n">
        <x:f>E23</x:f>
        <x:v>4000</x:v>
      </x:c>
      <x:c r="F24" s="63" t="n">
        <x:f>F23*1.2</x:f>
        <x:v>15425.88415734222</x:v>
      </x:c>
      <x:c r="G24" s="63" t="n">
        <x:f>G23*1.2</x:f>
        <x:v>33000</x:v>
      </x:c>
      <x:c r="H24" s="63" t="n">
        <x:f>H23*1.2</x:f>
        <x:v>84000</x:v>
      </x:c>
      <x:c r="I24" s="63" t="n">
        <x:f>I23*1.2</x:f>
        <x:v>120000</x:v>
      </x:c>
      <x:c r="J24" s="63" t="n">
        <x:f>J23*1.2</x:f>
        <x:v>144000</x:v>
      </x:c>
      <x:c r="K24" s="2"/>
      <x:c r="L24" s="2"/>
      <x:c r="M24" s="2"/>
      <x:c r="N24" s="2"/>
      <x:c r="O24" s="2"/>
    </x:row>
    <x:row r="25" ht="20" customHeight="1">
      <x:c r="A25" s="2"/>
      <x:c r="B25" s="2"/>
      <x:c r="C25" s="2" t="str">
        <x:v>Upside</x:v>
      </x:c>
      <x:c r="D25" s="57" t="str">
        <x:v>ESTIMATE</x:v>
      </x:c>
      <x:c r="E25" s="63" t="n">
        <x:f>E23</x:f>
        <x:v>4000</x:v>
      </x:c>
      <x:c r="F25" s="63" t="n">
        <x:f>F23*0.9</x:f>
        <x:v>11569.413118006665</x:v>
      </x:c>
      <x:c r="G25" s="63" t="n">
        <x:f>G23*0.9</x:f>
        <x:v>24750</x:v>
      </x:c>
      <x:c r="H25" s="63" t="n">
        <x:f>H23*0.9</x:f>
        <x:v>63000</x:v>
      </x:c>
      <x:c r="I25" s="63" t="n">
        <x:f>I23*0.9</x:f>
        <x:v>90000</x:v>
      </x:c>
      <x:c r="J25" s="63" t="n">
        <x:f>J23*0.9</x:f>
        <x:v>108000</x:v>
      </x:c>
      <x:c r="K25" s="2"/>
      <x:c r="L25" s="2"/>
      <x:c r="M25" s="2"/>
      <x:c r="N25" s="2"/>
      <x:c r="O25" s="2"/>
    </x:row>
    <x:row r="26" ht="20" customHeight="1">
      <x:c r="A26" s="2"/>
      <x:c r="B26" s="2"/>
      <x:c r="C26" s="2"/>
      <x:c r="D26" s="2"/>
      <x:c r="E26" s="4"/>
      <x:c r="F26" s="4"/>
      <x:c r="G26" s="4"/>
      <x:c r="H26" s="4"/>
      <x:c r="I26" s="4"/>
      <x:c r="J26" s="4"/>
      <x:c r="K26" s="2"/>
      <x:c r="L26" s="2"/>
      <x:c r="M26" s="2"/>
      <x:c r="N26" s="2"/>
      <x:c r="O26" s="2"/>
    </x:row>
    <x:row r="27" ht="20" customHeight="1">
      <x:c r="A27" s="2"/>
      <x:c r="B27" s="2"/>
      <x:c r="C27" s="2"/>
      <x:c r="D27" s="2"/>
      <x:c r="E27" s="4"/>
      <x:c r="F27" s="4"/>
      <x:c r="G27" s="4"/>
      <x:c r="H27" s="4"/>
      <x:c r="I27" s="4"/>
      <x:c r="J27" s="4"/>
      <x:c r="K27" s="2"/>
      <x:c r="L27" s="2"/>
      <x:c r="M27" s="2"/>
      <x:c r="N27" s="2"/>
      <x:c r="O27" s="2"/>
    </x:row>
    <x:row r="28" ht="20" customHeight="1">
      <x:c r="A28" s="2"/>
      <x:c r="B28" s="2"/>
      <x:c r="C28" s="128" t="str">
        <x:v>Compute / total operating costs</x:v>
      </x:c>
      <x:c r="D28" s="128" t="str">
        <x:v>ACTIVE</x:v>
      </x:c>
      <x:c r="E28" s="129" t="n">
        <x:f>IF(CHOOSE($E$4,ISNUMBER(E29),ISNUMBER(E30),ISNUMBER(E31)),CHOOSE($E$4,E29,E30,E31),"n.a.")</x:f>
        <x:v>0.6</x:v>
      </x:c>
      <x:c r="F28" s="129" t="n">
        <x:f>IF(CHOOSE($E$4,ISNUMBER(F29),ISNUMBER(F30),ISNUMBER(F31)),CHOOSE($E$4,F29,F30,F31)+$J$5,"n.a.")</x:f>
        <x:v>0.7</x:v>
      </x:c>
      <x:c r="G28" s="129" t="n">
        <x:f>IF(CHOOSE($E$4,ISNUMBER(G29),ISNUMBER(G30),ISNUMBER(G31)),CHOOSE($E$4,G29,G30,G31)+$J$5,"n.a.")</x:f>
        <x:v>0.9</x:v>
      </x:c>
      <x:c r="H28" s="129" t="n">
        <x:f>IF(CHOOSE($E$4,ISNUMBER(H29),ISNUMBER(H30),ISNUMBER(H31)),CHOOSE($E$4,H29,H30,H31)+$J$5,"n.a.")</x:f>
        <x:v>0.8</x:v>
      </x:c>
      <x:c r="I28" s="129" t="n">
        <x:f>IF(CHOOSE($E$4,ISNUMBER(I29),ISNUMBER(I30),ISNUMBER(I31)),CHOOSE($E$4,I29,I30,I31)+$J$5,"n.a.")</x:f>
        <x:v>0.68</x:v>
      </x:c>
      <x:c r="J28" s="129" t="n">
        <x:f>IF(CHOOSE($E$4,ISNUMBER(J29),ISNUMBER(J30),ISNUMBER(J31)),CHOOSE($E$4,J29,J30,J31)+$J$5,"n.a.")</x:f>
        <x:v>0.6</x:v>
      </x:c>
      <x:c r="K28" s="2"/>
      <x:c r="L28" s="2" t="str">
        <x:v>House: Sources row 14; as of 15-Oct-26</x:v>
      </x:c>
      <x:c r="M28" s="2"/>
      <x:c r="N28" s="2"/>
      <x:c r="O28" s="2"/>
    </x:row>
    <x:row r="29" ht="20" customHeight="1">
      <x:c r="A29" s="2"/>
      <x:c r="B29" s="2"/>
      <x:c r="C29" s="89" t="str">
        <x:v>House base</x:v>
      </x:c>
      <x:c r="D29" s="130" t="str">
        <x:v>HARD</x:v>
      </x:c>
      <x:c r="E29" s="91" t="n">
        <x:f>'Sources'!E14</x:f>
        <x:v>0.6</x:v>
      </x:c>
      <x:c r="F29" s="91" t="n">
        <x:f>'Sources'!F14</x:f>
        <x:v>0.7</x:v>
      </x:c>
      <x:c r="G29" s="91" t="n">
        <x:f>'Sources'!G14</x:f>
        <x:v>0.9</x:v>
      </x:c>
      <x:c r="H29" s="91" t="n">
        <x:f>'Sources'!H14</x:f>
        <x:v>0.8</x:v>
      </x:c>
      <x:c r="I29" s="91" t="n">
        <x:f>'Sources'!I14</x:f>
        <x:v>0.68</x:v>
      </x:c>
      <x:c r="J29" s="91" t="n">
        <x:f>'Sources'!J14</x:f>
        <x:v>0.6</x:v>
      </x:c>
      <x:c r="K29" s="2"/>
      <x:c r="L29" s="2"/>
      <x:c r="M29" s="2"/>
      <x:c r="N29" s="2"/>
      <x:c r="O29" s="2"/>
    </x:row>
    <x:row r="30" ht="20" customHeight="1">
      <x:c r="A30" s="2"/>
      <x:c r="B30" s="2"/>
      <x:c r="C30" s="89" t="str">
        <x:v>Downside</x:v>
      </x:c>
      <x:c r="D30" s="131" t="str">
        <x:v>ESTIMATE</x:v>
      </x:c>
      <x:c r="E30" s="90" t="n">
        <x:f>E29</x:f>
        <x:v>0.6</x:v>
      </x:c>
      <x:c r="F30" s="90" t="n">
        <x:f>F29+(-0.05)</x:f>
        <x:v>0.6499999999999999</x:v>
      </x:c>
      <x:c r="G30" s="90" t="n">
        <x:f>G29+(-0.05)</x:f>
        <x:v>0.85</x:v>
      </x:c>
      <x:c r="H30" s="90" t="n">
        <x:f>H29+(-0.05)</x:f>
        <x:v>0.75</x:v>
      </x:c>
      <x:c r="I30" s="90" t="n">
        <x:f>I29+(-0.05)</x:f>
        <x:v>0.63</x:v>
      </x:c>
      <x:c r="J30" s="90" t="n">
        <x:f>J29+(-0.05)</x:f>
        <x:v>0.5499999999999999</x:v>
      </x:c>
      <x:c r="K30" s="2"/>
      <x:c r="L30" s="2"/>
      <x:c r="M30" s="2"/>
      <x:c r="N30" s="2"/>
      <x:c r="O30" s="2"/>
    </x:row>
    <x:row r="31" ht="20" customHeight="1">
      <x:c r="A31" s="2"/>
      <x:c r="B31" s="2"/>
      <x:c r="C31" s="89" t="str">
        <x:v>Upside</x:v>
      </x:c>
      <x:c r="D31" s="131" t="str">
        <x:v>ESTIMATE</x:v>
      </x:c>
      <x:c r="E31" s="90" t="n">
        <x:f>E29</x:f>
        <x:v>0.6</x:v>
      </x:c>
      <x:c r="F31" s="90" t="n">
        <x:f>F29+(0.05)</x:f>
        <x:v>0.75</x:v>
      </x:c>
      <x:c r="G31" s="90" t="n">
        <x:f>G29+(0.05)</x:f>
        <x:v>0.9500000000000001</x:v>
      </x:c>
      <x:c r="H31" s="90" t="n">
        <x:f>H29+(0.05)</x:f>
        <x:v>0.8500000000000001</x:v>
      </x:c>
      <x:c r="I31" s="90" t="n">
        <x:f>I29+(0.05)</x:f>
        <x:v>0.7300000000000001</x:v>
      </x:c>
      <x:c r="J31" s="90" t="n">
        <x:f>J29+(0.05)</x:f>
        <x:v>0.65</x:v>
      </x:c>
      <x:c r="K31" s="2"/>
      <x:c r="L31" s="2"/>
      <x:c r="M31" s="2"/>
      <x:c r="N31" s="2"/>
      <x:c r="O31" s="2"/>
    </x:row>
    <x:row r="32" ht="20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128" t="str">
        <x:v>Cloud revenue share</x:v>
      </x:c>
      <x:c r="D34" s="128" t="str">
        <x:v>ACTIVE</x:v>
      </x:c>
      <x:c r="E34" s="129" t="n">
        <x:f>IF(CHOOSE($E$4,ISNUMBER(E35),ISNUMBER(E36),ISNUMBER(E37)),CHOOSE($E$4,E35,E36,E37),"n.a.")</x:f>
        <x:v>0.25</x:v>
      </x:c>
      <x:c r="F34" s="129" t="n">
        <x:f>IF(CHOOSE($E$4,ISNUMBER(F35),ISNUMBER(F36),ISNUMBER(F37)),CHOOSE($E$4,F35,F36,F37)+$G$5,"n.a.")</x:f>
        <x:v>0.25</x:v>
      </x:c>
      <x:c r="G34" s="129" t="n">
        <x:f>IF(CHOOSE($E$4,ISNUMBER(G35),ISNUMBER(G36),ISNUMBER(G37)),CHOOSE($E$4,G35,G36,G37)+$G$5,"n.a.")</x:f>
        <x:v>0.25</x:v>
      </x:c>
      <x:c r="H34" s="129" t="n">
        <x:f>IF(CHOOSE($E$4,ISNUMBER(H35),ISNUMBER(H36),ISNUMBER(H37)),CHOOSE($E$4,H35,H36,H37)+$G$5,"n.a.")</x:f>
        <x:v>0.25</x:v>
      </x:c>
      <x:c r="I34" s="129" t="n">
        <x:f>IF(CHOOSE($E$4,ISNUMBER(I35),ISNUMBER(I36),ISNUMBER(I37)),CHOOSE($E$4,I35,I36,I37)+$G$5,"n.a.")</x:f>
        <x:v>0.25</x:v>
      </x:c>
      <x:c r="J34" s="129" t="n">
        <x:f>IF(CHOOSE($E$4,ISNUMBER(J35),ISNUMBER(J36),ISNUMBER(J37)),CHOOSE($E$4,J35,J36,J37)+$G$5,"n.a.")</x:f>
        <x:v>0.25</x:v>
      </x:c>
      <x:c r="K34" s="2"/>
      <x:c r="L34" s="2" t="str">
        <x:v>House: Sources row 18; as of 15-Oct-26</x:v>
      </x:c>
      <x:c r="M34" s="2"/>
      <x:c r="N34" s="2"/>
      <x:c r="O34" s="2"/>
    </x:row>
    <x:row r="35" ht="20" customHeight="1">
      <x:c r="A35" s="2"/>
      <x:c r="B35" s="2"/>
      <x:c r="C35" s="89" t="str">
        <x:v>House base</x:v>
      </x:c>
      <x:c r="D35" s="130" t="str">
        <x:v>HARD</x:v>
      </x:c>
      <x:c r="E35" s="91" t="n">
        <x:f>'Sources'!E18</x:f>
        <x:v>0.25</x:v>
      </x:c>
      <x:c r="F35" s="91" t="n">
        <x:f>'Sources'!F18</x:f>
        <x:v>0.25</x:v>
      </x:c>
      <x:c r="G35" s="91" t="n">
        <x:f>'Sources'!G18</x:f>
        <x:v>0.25</x:v>
      </x:c>
      <x:c r="H35" s="91" t="n">
        <x:f>'Sources'!H18</x:f>
        <x:v>0.25</x:v>
      </x:c>
      <x:c r="I35" s="91" t="n">
        <x:f>'Sources'!I18</x:f>
        <x:v>0.25</x:v>
      </x:c>
      <x:c r="J35" s="91" t="n">
        <x:f>'Sources'!J18</x:f>
        <x:v>0.25</x:v>
      </x:c>
      <x:c r="K35" s="2"/>
      <x:c r="L35" s="2"/>
      <x:c r="M35" s="2"/>
      <x:c r="N35" s="2"/>
      <x:c r="O35" s="2"/>
    </x:row>
    <x:row r="36" ht="20" customHeight="1">
      <x:c r="A36" s="2"/>
      <x:c r="B36" s="2"/>
      <x:c r="C36" s="89" t="str">
        <x:v>Downside</x:v>
      </x:c>
      <x:c r="D36" s="131" t="str">
        <x:v>ESTIMATE</x:v>
      </x:c>
      <x:c r="E36" s="90" t="n">
        <x:f>E35</x:f>
        <x:v>0.25</x:v>
      </x:c>
      <x:c r="F36" s="90" t="n">
        <x:f>F35</x:f>
        <x:v>0.25</x:v>
      </x:c>
      <x:c r="G36" s="90" t="n">
        <x:f>G35</x:f>
        <x:v>0.25</x:v>
      </x:c>
      <x:c r="H36" s="90" t="n">
        <x:f>H35</x:f>
        <x:v>0.25</x:v>
      </x:c>
      <x:c r="I36" s="90" t="n">
        <x:f>I35</x:f>
        <x:v>0.25</x:v>
      </x:c>
      <x:c r="J36" s="90" t="n">
        <x:f>J35</x:f>
        <x:v>0.25</x:v>
      </x:c>
      <x:c r="K36" s="2"/>
      <x:c r="L36" s="2"/>
      <x:c r="M36" s="2"/>
      <x:c r="N36" s="2"/>
      <x:c r="O36" s="2"/>
    </x:row>
    <x:row r="37" ht="20" customHeight="1">
      <x:c r="A37" s="2"/>
      <x:c r="B37" s="2"/>
      <x:c r="C37" s="89" t="str">
        <x:v>Upside</x:v>
      </x:c>
      <x:c r="D37" s="131" t="str">
        <x:v>ESTIMATE</x:v>
      </x:c>
      <x:c r="E37" s="90" t="n">
        <x:f>E35</x:f>
        <x:v>0.25</x:v>
      </x:c>
      <x:c r="F37" s="90" t="n">
        <x:f>F35</x:f>
        <x:v>0.25</x:v>
      </x:c>
      <x:c r="G37" s="90" t="n">
        <x:f>G35</x:f>
        <x:v>0.25</x:v>
      </x:c>
      <x:c r="H37" s="90" t="n">
        <x:f>H35</x:f>
        <x:v>0.25</x:v>
      </x:c>
      <x:c r="I37" s="90" t="n">
        <x:f>I35</x:f>
        <x:v>0.25</x:v>
      </x:c>
      <x:c r="J37" s="90" t="n">
        <x:f>J35</x:f>
        <x:v>0.25</x:v>
      </x:c>
      <x:c r="K37" s="2"/>
      <x:c r="L37" s="2"/>
      <x:c r="M37" s="2"/>
      <x:c r="N37" s="2"/>
      <x:c r="O37" s="2"/>
    </x:row>
    <x:row r="38" ht="20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2"/>
      <x:c r="L38" s="2"/>
      <x:c r="M38" s="2"/>
      <x:c r="N38" s="2"/>
      <x:c r="O38" s="2"/>
    </x:row>
    <x:row r="39" ht="20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89" t="str">
        <x:v>Direct API / gross revenue</x:v>
      </x:c>
      <x:c r="D40" s="130" t="str">
        <x:v>HARD</x:v>
      </x:c>
      <x:c r="E40" s="91" t="n">
        <x:f>'Sources'!E9</x:f>
        <x:v>0.5</x:v>
      </x:c>
      <x:c r="F40" s="91" t="n">
        <x:f>'Sources'!F9</x:f>
        <x:v>0.3</x:v>
      </x:c>
      <x:c r="G40" s="91" t="n">
        <x:f>'Sources'!G9</x:f>
        <x:v>0.25</x:v>
      </x:c>
      <x:c r="H40" s="91" t="n">
        <x:f>'Sources'!H9</x:f>
        <x:v>0.2</x:v>
      </x:c>
      <x:c r="I40" s="91" t="n">
        <x:f>'Sources'!I9</x:f>
        <x:v>0.15000000000000002</x:v>
      </x:c>
      <x:c r="J40" s="91" t="n">
        <x:f>'Sources'!J9</x:f>
        <x:v>0.10000000000000002</x:v>
      </x:c>
      <x:c r="K40" s="2"/>
      <x:c r="L40" s="2" t="str">
        <x:v>Capstone 15-Oct-26: Sources row 9</x:v>
      </x:c>
      <x:c r="M40" s="2"/>
      <x:c r="N40" s="2"/>
      <x:c r="O40" s="2"/>
    </x:row>
    <x:row r="41" ht="20" customHeight="1">
      <x:c r="A41" s="2"/>
      <x:c r="B41" s="2"/>
      <x:c r="C41" s="89" t="str">
        <x:v>Subscriptions / gross revenue</x:v>
      </x:c>
      <x:c r="D41" s="130" t="str">
        <x:v>HARD</x:v>
      </x:c>
      <x:c r="E41" s="91" t="n">
        <x:f>'Sources'!E10</x:f>
        <x:v>0.15</x:v>
      </x:c>
      <x:c r="F41" s="91" t="n">
        <x:f>'Sources'!F10</x:f>
        <x:v>0.15</x:v>
      </x:c>
      <x:c r="G41" s="91" t="n">
        <x:f>'Sources'!G10</x:f>
        <x:v>0.15</x:v>
      </x:c>
      <x:c r="H41" s="91" t="n">
        <x:f>'Sources'!H10</x:f>
        <x:v>0.15</x:v>
      </x:c>
      <x:c r="I41" s="91" t="n">
        <x:f>'Sources'!I10</x:f>
        <x:v>0.15</x:v>
      </x:c>
      <x:c r="J41" s="91" t="n">
        <x:f>'Sources'!J10</x:f>
        <x:v>0.15</x:v>
      </x:c>
      <x:c r="K41" s="2"/>
      <x:c r="L41" s="2" t="str">
        <x:v>Capstone 15-Oct-26: Sources row 10</x:v>
      </x:c>
      <x:c r="M41" s="2"/>
      <x:c r="N41" s="2"/>
      <x:c r="O41" s="2"/>
    </x:row>
    <x:row r="42" ht="20" customHeight="1">
      <x:c r="A42" s="2"/>
      <x:c r="B42" s="2"/>
      <x:c r="C42" s="2" t="str">
        <x:v>Average 1P capacity, GW</x:v>
      </x:c>
      <x:c r="D42" s="23" t="str">
        <x:v>HARD</x:v>
      </x:c>
      <x:c r="E42" s="132" t="n">
        <x:f>'Sources'!E20</x:f>
        <x:v>0</x:v>
      </x:c>
      <x:c r="F42" s="132" t="n">
        <x:f>'Sources'!F20</x:f>
        <x:v>0.25</x:v>
      </x:c>
      <x:c r="G42" s="132" t="n">
        <x:f>'Sources'!G20</x:f>
        <x:v>2</x:v>
      </x:c>
      <x:c r="H42" s="132" t="n">
        <x:f>'Sources'!H20</x:f>
        <x:v>7.25</x:v>
      </x:c>
      <x:c r="I42" s="132" t="n">
        <x:f>'Sources'!I20</x:f>
        <x:v>13.5</x:v>
      </x:c>
      <x:c r="J42" s="132" t="n">
        <x:f>'Sources'!J20</x:f>
        <x:v>16</x:v>
      </x:c>
      <x:c r="K42" s="2"/>
      <x:c r="L42" s="2" t="str">
        <x:v>Capstone 15-Oct-26: Sources row 20</x:v>
      </x:c>
      <x:c r="M42" s="2"/>
      <x:c r="N42" s="2"/>
      <x:c r="O42" s="2"/>
    </x:row>
    <x:row r="43" ht="20" customHeight="1">
      <x:c r="A43" s="2"/>
      <x:c r="B43" s="2"/>
      <x:c r="C43" s="2" t="str">
        <x:v>Rental equivalent, USDm / GW-year</x:v>
      </x:c>
      <x:c r="D43" s="23" t="str">
        <x:v>HARD</x:v>
      </x:c>
      <x:c r="E43" s="62" t="n">
        <x:f>'Sources'!E21</x:f>
        <x:v>11000</x:v>
      </x:c>
      <x:c r="F43" s="62" t="n">
        <x:f>'Sources'!F21</x:f>
        <x:v>12500</x:v>
      </x:c>
      <x:c r="G43" s="62" t="n">
        <x:f>'Sources'!G21</x:f>
        <x:v>13666.666666666666</x:v>
      </x:c>
      <x:c r="H43" s="62" t="n">
        <x:f>'Sources'!H21</x:f>
        <x:v>13666.666666666666</x:v>
      </x:c>
      <x:c r="I43" s="62" t="n">
        <x:f>'Sources'!I21</x:f>
        <x:v>13666.666666666666</x:v>
      </x:c>
      <x:c r="J43" s="62" t="n">
        <x:f>'Sources'!J21</x:f>
        <x:v>13666.666666666666</x:v>
      </x:c>
      <x:c r="K43" s="2"/>
      <x:c r="L43" s="2" t="str">
        <x:v>Capstone 15-Oct-26: Sources row 21</x:v>
      </x:c>
      <x:c r="M43" s="2"/>
      <x:c r="N43" s="2"/>
      <x:c r="O43" s="2"/>
    </x:row>
    <x:row r="44" ht="20" customHeight="1">
      <x:c r="A44" s="2"/>
      <x:c r="B44" s="2"/>
      <x:c r="C44" s="89" t="str">
        <x:v>1P training allocation</x:v>
      </x:c>
      <x:c r="D44" s="130" t="str">
        <x:v>HARD</x:v>
      </x:c>
      <x:c r="E44" s="90" t="str">
        <x:f>"n.a."</x:f>
        <x:v>n.a.</x:v>
      </x:c>
      <x:c r="F44" s="91" t="n">
        <x:f>'Sources'!F22</x:f>
        <x:v>0.5</x:v>
      </x:c>
      <x:c r="G44" s="91" t="n">
        <x:f>'Sources'!G22</x:f>
        <x:v>0.5</x:v>
      </x:c>
      <x:c r="H44" s="91" t="n">
        <x:f>'Sources'!H22</x:f>
        <x:v>0.5</x:v>
      </x:c>
      <x:c r="I44" s="91" t="n">
        <x:f>'Sources'!I22</x:f>
        <x:v>0.5</x:v>
      </x:c>
      <x:c r="J44" s="91" t="n">
        <x:f>'Sources'!J22</x:f>
        <x:v>0.5</x:v>
      </x:c>
      <x:c r="K44" s="2"/>
      <x:c r="L44" s="2" t="str">
        <x:v>Capstone 15-Oct-26: Sources row 22</x:v>
      </x:c>
      <x:c r="M44" s="2"/>
      <x:c r="N44" s="2"/>
      <x:c r="O44" s="2"/>
    </x:row>
    <x:row r="45" ht="20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17" t="str">
        <x:v>HARD means exact house input, not proven economics. Other costs are derived from the compute-share assumption.</x:v>
      </x:c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17" t="str">
        <x:v>25% revenue share follows the annual model. The ARR tracker uses 20%; adjust G5 to -5.0% to test it.</x:v>
      </x:c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17" t="str">
        <x:v>2025 inputs do not change with cases. 2026 revenue stress affects Q4 only; costs have annual assumptions.</x:v>
      </x:c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17" t="str">
        <x:v>Stress amounts are editable scenarios, not calibrated forecasts. Invalid economic ranges are flagged in Review.</x:v>
      </x:c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 t="str">
        <x:v>2030 operating surplus: revenue and inference margin</x:v>
      </x:c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 t="str">
        <x:v>Rows: GM delta. Columns: revenue multiplier. USDm.</x:v>
      </x:c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/>
      <x:c r="D54" s="2"/>
      <x:c r="E54" s="4"/>
      <x:c r="F54" s="62" t="n">
        <x:f>IF(AND('Compute'!J19&gt;=0,'Compute'!J20&gt;=0),'Operating'!J31,"n.a.")</x:f>
        <x:v>-20415.22148801462</x:v>
      </x:c>
      <x:c r="G54" s="74" t="n">
        <x:v>0.8</x:v>
      </x:c>
      <x:c r="H54" s="74" t="n">
        <x:v>0.9</x:v>
      </x:c>
      <x:c r="I54" s="74" t="n">
        <x:v>1</x:v>
      </x:c>
      <x:c r="J54" s="74" t="n">
        <x:v>1.1</x:v>
      </x:c>
      <x:c r="K54" s="75" t="n">
        <x:v>1.2</x:v>
      </x:c>
      <x:c r="L54" s="2"/>
      <x:c r="M54" s="2"/>
      <x:c r="N54" s="2"/>
      <x:c r="O54" s="2"/>
    </x:row>
    <x:row r="55" ht="20" customHeight="1">
      <x:c r="A55" s="2"/>
      <x:c r="B55" s="2"/>
      <x:c r="C55" s="2"/>
      <x:c r="D55" s="2"/>
      <x:c r="E55" s="4"/>
      <x:c r="F55" s="22" t="n">
        <x:v>-0.1</x:v>
      </x:c>
      <x:c r="G55" s="4" t="n">
        <x:f t="dataTable" ref="G55:K59" dt2D="1" r1="G4" r2="J4"/>
        <x:v>-129665.51052374495</x:v>
      </x:c>
      <x:c r="H55" s="4" t="n">
        <x:v>-120873.69933921305</x:v>
      </x:c>
      <x:c r="I55" s="4" t="n">
        <x:v>-112081.88815468128</x:v>
      </x:c>
      <x:c r="J55" s="4" t="n">
        <x:v>-103290.07697014936</x:v>
      </x:c>
      <x:c r="K55" s="77" t="n">
        <x:v>-94498.26578561743</x:v>
      </x:c>
      <x:c r="L55" s="2"/>
      <x:c r="M55" s="2"/>
      <x:c r="N55" s="2"/>
      <x:c r="O55" s="2"/>
    </x:row>
    <x:row r="56" ht="20" customHeight="1">
      <x:c r="A56" s="2"/>
      <x:c r="B56" s="2"/>
      <x:c r="C56" s="2"/>
      <x:c r="D56" s="2"/>
      <x:c r="E56" s="4"/>
      <x:c r="F56" s="22" t="n">
        <x:v>-0.05</x:v>
      </x:c>
      <x:c r="G56" s="4" t="n">
        <x:v>-92998.84385707832</x:v>
      </x:c>
      <x:c r="H56" s="4" t="n">
        <x:v>-79623.6993392132</x:v>
      </x:c>
      <x:c r="I56" s="4" t="n">
        <x:v>-66248.55482134796</x:v>
      </x:c>
      <x:c r="J56" s="4" t="n">
        <x:v>-52873.4103034827</x:v>
      </x:c>
      <x:c r="K56" s="77" t="n">
        <x:v>-39498.26578561752</x:v>
      </x:c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22" t="n">
        <x:v>0</x:v>
      </x:c>
      <x:c r="G57" s="4" t="n">
        <x:v>-56332.17719041163</x:v>
      </x:c>
      <x:c r="H57" s="4" t="n">
        <x:v>-38373.69933921311</x:v>
      </x:c>
      <x:c r="I57" s="4" t="n">
        <x:v>-20415.22148801462</x:v>
      </x:c>
      <x:c r="J57" s="4" t="n">
        <x:v>-2456.7436368160124</x:v>
      </x:c>
      <x:c r="K57" s="77" t="n">
        <x:v>15501.734214382566</x:v>
      </x:c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22" t="n">
        <x:v>0.05</x:v>
      </x:c>
      <x:c r="G58" s="4" t="str">
        <x:v>n.a.</x:v>
      </x:c>
      <x:c r="H58" s="4" t="n">
        <x:v>2876.3006607869465</x:v>
      </x:c>
      <x:c r="I58" s="4" t="n">
        <x:v>25418.11184531881</x:v>
      </x:c>
      <x:c r="J58" s="4" t="n">
        <x:v>47959.923029850645</x:v>
      </x:c>
      <x:c r="K58" s="77" t="n">
        <x:v>70501.73421438257</x:v>
      </x:c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22" t="n">
        <x:v>0.1</x:v>
      </x:c>
      <x:c r="G59" s="4" t="str">
        <x:v>n.a.</x:v>
      </x:c>
      <x:c r="H59" s="4" t="str">
        <x:v>n.a.</x:v>
      </x:c>
      <x:c r="I59" s="4" t="str">
        <x:v>n.a.</x:v>
      </x:c>
      <x:c r="J59" s="4" t="n">
        <x:v>98376.5896965173</x:v>
      </x:c>
      <x:c r="K59" s="77" t="n">
        <x:v>125501.7342143825</x:v>
      </x:c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 t="str">
        <x:v>2030 operating surplus: revenue share and other costs</x:v>
      </x:c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 t="str">
        <x:v>Rows: compute-share delta. Columns: revenue-share delta. USDm.</x:v>
      </x:c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62" t="n">
        <x:f>IF(AND('Compute'!J19&gt;=0,'Compute'!J20&gt;=0),'Operating'!J31,"n.a.")</x:f>
        <x:v>-20415.22148801462</x:v>
      </x:c>
      <x:c r="G64" s="22" t="n">
        <x:v>-0.05</x:v>
      </x:c>
      <x:c r="H64" s="22" t="n">
        <x:v>-0.025</x:v>
      </x:c>
      <x:c r="I64" s="22" t="n">
        <x:v>0</x:v>
      </x:c>
      <x:c r="J64" s="22" t="n">
        <x:v>0.025</x:v>
      </x:c>
      <x:c r="K64" s="76" t="n">
        <x:v>0.05</x:v>
      </x:c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22" t="n">
        <x:v>-0.1</x:v>
      </x:c>
      <x:c r="G65" s="4" t="n">
        <x:f t="dataTable" ref="G65:K69" dt2D="1" r1="G5" r2="J5"/>
        <x:v>-93248.26578561752</x:v>
      </x:c>
      <x:c r="H65" s="4" t="n">
        <x:v>-103560.76578561752</x:v>
      </x:c>
      <x:c r="I65" s="4" t="n">
        <x:v>-113873.26578561752</x:v>
      </x:c>
      <x:c r="J65" s="4" t="n">
        <x:v>-124185.7657856175</x:v>
      </x:c>
      <x:c r="K65" s="77" t="n">
        <x:v>-134498.26578561752</x:v>
      </x:c>
      <x:c r="L65" s="2"/>
      <x:c r="M65" s="2"/>
      <x:c r="N65" s="2"/>
      <x:c r="O65" s="2"/>
    </x:row>
    <x:row r="66" ht="20" customHeight="1">
      <x:c r="A66" s="2"/>
      <x:c r="B66" s="2"/>
      <x:c r="C66" s="2"/>
      <x:c r="D66" s="2"/>
      <x:c r="E66" s="4"/>
      <x:c r="F66" s="22" t="n">
        <x:v>-0.05</x:v>
      </x:c>
      <x:c r="G66" s="4" t="n">
        <x:v>-42271.15071419778</x:v>
      </x:c>
      <x:c r="H66" s="4" t="n">
        <x:v>-52583.65071419778</x:v>
      </x:c>
      <x:c r="I66" s="4" t="n">
        <x:v>-62896.15071419777</x:v>
      </x:c>
      <x:c r="J66" s="4" t="n">
        <x:v>-73208.65071419778</x:v>
      </x:c>
      <x:c r="K66" s="77" t="n">
        <x:v>-83521.15071419778</x:v>
      </x:c>
      <x:c r="L66" s="2"/>
      <x:c r="M66" s="2"/>
      <x:c r="N66" s="2"/>
      <x:c r="O66" s="2"/>
    </x:row>
    <x:row r="67" ht="20" customHeight="1">
      <x:c r="A67" s="2"/>
      <x:c r="B67" s="2"/>
      <x:c r="C67" s="2"/>
      <x:c r="D67" s="2"/>
      <x:c r="E67" s="4"/>
      <x:c r="F67" s="22" t="n">
        <x:v>0</x:v>
      </x:c>
      <x:c r="G67" s="4" t="n">
        <x:v>209.7785119853797</x:v>
      </x:c>
      <x:c r="H67" s="4" t="n">
        <x:v>-10102.72148801462</x:v>
      </x:c>
      <x:c r="I67" s="4" t="n">
        <x:v>-20415.22148801462</x:v>
      </x:c>
      <x:c r="J67" s="4" t="n">
        <x:v>-30727.721488014617</x:v>
      </x:c>
      <x:c r="K67" s="77" t="n">
        <x:v>-41040.22148801462</x:v>
      </x:c>
      <x:c r="L67" s="2"/>
      <x:c r="M67" s="2"/>
      <x:c r="N67" s="2"/>
      <x:c r="O67" s="2"/>
    </x:row>
    <x:row r="68" ht="20" customHeight="1">
      <x:c r="A68" s="2"/>
      <x:c r="B68" s="2"/>
      <x:c r="C68" s="2"/>
      <x:c r="D68" s="2"/>
      <x:c r="E68" s="4"/>
      <x:c r="F68" s="22" t="n">
        <x:v>0.05</x:v>
      </x:c>
      <x:c r="G68" s="4" t="n">
        <x:v>36155.18016490963</x:v>
      </x:c>
      <x:c r="H68" s="4" t="n">
        <x:v>25842.68016490963</x:v>
      </x:c>
      <x:c r="I68" s="4" t="n">
        <x:v>15530.180164909632</x:v>
      </x:c>
      <x:c r="J68" s="4" t="n">
        <x:v>5217.680164909631</x:v>
      </x:c>
      <x:c r="K68" s="77" t="n">
        <x:v>-5094.819835090369</x:v>
      </x:c>
      <x:c r="L68" s="2"/>
      <x:c r="M68" s="2"/>
      <x:c r="N68" s="2"/>
      <x:c r="O68" s="2"/>
    </x:row>
    <x:row r="69" ht="20" customHeight="1">
      <x:c r="A69" s="2"/>
      <x:c r="B69" s="2"/>
      <x:c r="C69" s="2"/>
      <x:c r="D69" s="2"/>
      <x:c r="E69" s="4"/>
      <x:c r="F69" s="22" t="n">
        <x:v>0.1</x:v>
      </x:c>
      <x:c r="G69" s="4" t="n">
        <x:v>66965.52443884462</x:v>
      </x:c>
      <x:c r="H69" s="4" t="n">
        <x:v>56653.024438844615</x:v>
      </x:c>
      <x:c r="I69" s="4" t="n">
        <x:v>46340.524438844615</x:v>
      </x:c>
      <x:c r="J69" s="4" t="n">
        <x:v>36028.024438844615</x:v>
      </x:c>
      <x:c r="K69" s="77" t="n">
        <x:v>25715.524438844615</x:v>
      </x:c>
      <x:c r="L69" s="2"/>
      <x:c r="M69" s="2"/>
      <x:c r="N69" s="2"/>
      <x:c r="O69" s="2"/>
    </x:row>
    <x:row r="70" ht="20" customHeight="1">
      <x:c r="A70" s="2"/>
      <x:c r="B70" s="2"/>
      <x:c r="C70" s="2"/>
      <x:c r="D70" s="2"/>
      <x:c r="E70" s="4"/>
      <x:c r="F70" s="4"/>
      <x:c r="G70" s="4"/>
      <x:c r="H70" s="4"/>
      <x:c r="I70" s="4"/>
      <x:c r="J70" s="4"/>
      <x:c r="K70" s="2"/>
      <x:c r="L70" s="2"/>
      <x:c r="M70" s="2"/>
      <x:c r="N70" s="2"/>
      <x:c r="O70" s="2"/>
    </x:row>
    <x:row r="71" ht="20" customHeight="1">
      <x:c r="A71" s="2"/>
      <x:c r="B71" s="2"/>
      <x:c r="C71" s="2"/>
      <x:c r="D71" s="2"/>
      <x:c r="E71" s="4"/>
      <x:c r="F71" s="4"/>
      <x:c r="G71" s="4"/>
      <x:c r="H71" s="4"/>
      <x:c r="I71" s="4"/>
      <x:c r="J71" s="4"/>
      <x:c r="K71" s="2"/>
      <x:c r="L71" s="2"/>
      <x:c r="M71" s="2"/>
      <x:c r="N71" s="2"/>
      <x:c r="O71" s="2"/>
    </x:row>
    <x:row r="72" ht="20" customHeight="1">
      <x:c r="A72" s="2"/>
      <x:c r="B72" s="2"/>
      <x:c r="C72" s="17" t="str">
        <x:v>Native two-variable Excel tables recalculate the same operating model. All other active assumptions stay constant.</x:v>
      </x:c>
      <x:c r="D72" s="2"/>
      <x:c r="E72" s="4"/>
      <x:c r="F72" s="4"/>
      <x:c r="G72" s="4"/>
      <x:c r="H72" s="4"/>
      <x:c r="I72" s="4"/>
      <x:c r="J72" s="4"/>
      <x:c r="K72" s="2"/>
      <x:c r="L72" s="2"/>
      <x:c r="M72" s="2"/>
      <x:c r="N72" s="2"/>
      <x:c r="O72" s="2"/>
    </x:row>
    <x:row r="73" ht="20" customHeight="1">
      <x:c r="A73" s="2"/>
      <x:c r="B73" s="2"/>
      <x:c r="C73" s="17" t="str">
        <x:v>n.a. = cost below the embedded 1P capacity equivalent; infeasible while the house capacity assumptions stay fixed.</x:v>
      </x:c>
      <x:c r="D73" s="2"/>
      <x:c r="E73" s="4"/>
      <x:c r="F73" s="4"/>
      <x:c r="G73" s="4"/>
      <x:c r="H73" s="4"/>
      <x:c r="I73" s="4"/>
      <x:c r="J73" s="4"/>
      <x:c r="K73" s="2"/>
      <x:c r="L73" s="2"/>
      <x:c r="M73" s="2"/>
      <x:c r="N73" s="2"/>
      <x:c r="O73" s="2"/>
    </x:row>
    <x:row r="74" ht="20" customHeight="1">
      <x:c r="A74" s="2"/>
      <x:c r="B74" s="2"/>
      <x:c r="C74" s="2"/>
      <x:c r="D74" s="2"/>
      <x:c r="E74" s="4"/>
      <x:c r="F74" s="4"/>
      <x:c r="G74" s="4"/>
      <x:c r="H74" s="4"/>
      <x:c r="I74" s="4"/>
      <x:c r="J74" s="4"/>
      <x:c r="K74" s="2"/>
      <x:c r="L74" s="2"/>
      <x:c r="M74" s="2"/>
      <x:c r="N74" s="2"/>
      <x:c r="O74" s="2"/>
    </x:row>
    <x:row r="75" ht="20" customHeight="1">
      <x:c r="A75" s="2"/>
      <x:c r="B75" s="2"/>
      <x:c r="C75" s="2"/>
      <x:c r="D75" s="2"/>
      <x:c r="E75" s="4"/>
      <x:c r="F75" s="4"/>
      <x:c r="G75" s="4"/>
      <x:c r="H75" s="4"/>
      <x:c r="I75" s="4"/>
      <x:c r="J75" s="4"/>
      <x:c r="K75" s="2"/>
      <x:c r="L75" s="2"/>
      <x:c r="M75" s="2"/>
      <x:c r="N75" s="2"/>
      <x:c r="O75" s="2"/>
    </x:row>
    <x:row r="76" ht="20" customHeight="1">
      <x:c r="A76" s="2"/>
      <x:c r="B76" s="2"/>
      <x:c r="C76" s="2"/>
      <x:c r="D76" s="2"/>
      <x:c r="E76" s="4"/>
      <x:c r="F76" s="4"/>
      <x:c r="G76" s="4"/>
      <x:c r="H76" s="4"/>
      <x:c r="I76" s="4"/>
      <x:c r="J76" s="4"/>
      <x:c r="K76" s="2"/>
      <x:c r="L76" s="2"/>
      <x:c r="M76" s="2"/>
      <x:c r="N76" s="2"/>
      <x:c r="O76" s="2"/>
    </x:row>
    <x:row r="77" ht="20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2"/>
      <x:c r="L77" s="2"/>
      <x:c r="M77" s="2"/>
      <x:c r="N77" s="2"/>
      <x:c r="O77" s="2"/>
    </x:row>
    <x:row r="78" ht="20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2"/>
      <x:c r="L78" s="2"/>
      <x:c r="M78" s="2"/>
      <x:c r="N78" s="2"/>
      <x:c r="O78" s="2"/>
    </x:row>
    <x:row r="79" ht="20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2"/>
      <x:c r="L79" s="2"/>
      <x:c r="M79" s="2"/>
      <x:c r="N79" s="2"/>
      <x:c r="O79" s="2"/>
    </x:row>
    <x:row r="80" ht="20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2"/>
      <x:c r="L80" s="2"/>
      <x:c r="M80" s="2"/>
      <x:c r="N80" s="2"/>
      <x:c r="O80" s="2"/>
    </x:row>
    <x:row r="81" ht="20" customHeight="1">
      <x:c r="A81" s="2"/>
      <x:c r="B81" s="2"/>
      <x:c r="C81" s="2"/>
      <x:c r="D81" s="2"/>
      <x:c r="E81" s="4"/>
      <x:c r="F81" s="4"/>
      <x:c r="G81" s="4"/>
      <x:c r="H81" s="4"/>
      <x:c r="I81" s="4"/>
      <x:c r="J81" s="4"/>
      <x:c r="K81" s="2"/>
      <x:c r="L81" s="2"/>
      <x:c r="M81" s="2"/>
      <x:c r="N81" s="2"/>
      <x:c r="O81" s="2"/>
    </x:row>
    <x:row r="82" ht="20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2"/>
      <x:c r="L82" s="2"/>
      <x:c r="M82" s="2"/>
      <x:c r="N82" s="2"/>
      <x:c r="O82" s="2"/>
    </x:row>
    <x:row r="83" ht="20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2"/>
      <x:c r="L83" s="2"/>
      <x:c r="M83" s="2"/>
      <x:c r="N83" s="2"/>
      <x:c r="O83" s="2"/>
    </x:row>
    <x:row r="84" ht="20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2"/>
      <x:c r="L84" s="2"/>
      <x:c r="M84" s="2"/>
      <x:c r="N84" s="2"/>
      <x:c r="O84" s="2"/>
    </x:row>
    <x:row r="85" ht="20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2"/>
      <x:c r="L85" s="2"/>
      <x:c r="M85" s="2"/>
      <x:c r="N85" s="2"/>
      <x:c r="O85" s="2"/>
    </x:row>
  </x:sheetData>
  <x:conditionalFormatting sqref="G55:K59">
    <x:cfRule type="cellIs" dxfId="0" priority="1" operator="lessThan">
      <x:formula>0</x:formula>
    </x:cfRule>
  </x:conditionalFormatting>
  <x:conditionalFormatting sqref="G65:K69">
    <x:cfRule type="cellIs" dxfId="1" priority="2" operator="lessThan">
      <x:formula>0</x:formula>
    </x:cfRule>
  </x:conditionalFormatting>
  <x:dataValidations count="1">
    <x:dataValidation type="list" sqref="E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4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Operating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2025 is reconstructed model history. 2026–2030 are forecasts. Operating surplus is not verified GAAP EBIT.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million, calendar years</x:v>
      </x:c>
      <x:c r="D8" s="15" t="str">
        <x:v>Basis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2"/>
      <x:c r="L8" s="2"/>
      <x:c r="M8" s="2"/>
      <x:c r="N8" s="2"/>
      <x:c r="O8" s="2"/>
    </x:row>
    <x:row r="9" ht="20" customHeight="1">
      <x:c r="A9" s="2"/>
      <x:c r="B9" s="2"/>
      <x:c r="C9" s="2"/>
      <x:c r="D9" s="2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</x:row>
    <x:row r="10" ht="20" customHeight="1">
      <x:c r="A10" s="2"/>
      <x:c r="B10" s="2"/>
      <x:c r="C10" s="83" t="str">
        <x:v>Gross revenue</x:v>
      </x:c>
      <x:c r="D10" s="83"/>
      <x:c r="E10" s="84" t="n">
        <x:f>'Drivers'!E10</x:f>
        <x:v>4500</x:v>
      </x:c>
      <x:c r="F10" s="84" t="n">
        <x:f>'Drivers'!F10</x:f>
        <x:v>52909.17438341729</x:v>
      </x:c>
      <x:c r="G10" s="84" t="n">
        <x:f>'Drivers'!G10</x:f>
        <x:v>154447.38011563622</x:v>
      </x:c>
      <x:c r="H10" s="84" t="n">
        <x:f>'Drivers'!H10</x:f>
        <x:v>260000</x:v>
      </x:c>
      <x:c r="I10" s="84" t="n">
        <x:f>'Drivers'!I10</x:f>
        <x:v>400000</x:v>
      </x:c>
      <x:c r="J10" s="84" t="n">
        <x:f>'Drivers'!J10</x:f>
        <x:v>550000</x:v>
      </x:c>
      <x:c r="K10" s="2"/>
      <x:c r="L10" s="2"/>
      <x:c r="M10" s="2"/>
      <x:c r="N10" s="2"/>
      <x:c r="O10" s="2"/>
    </x:row>
    <x:row r="11" ht="20" customHeight="1">
      <x:c r="A11" s="2"/>
      <x:c r="B11" s="2"/>
      <x:c r="C11" s="89" t="str">
        <x:v>Year-on-year growth</x:v>
      </x:c>
      <x:c r="D11" s="89"/>
      <x:c r="E11" s="90" t="str">
        <x:f>"n.a."</x:f>
        <x:v>n.a.</x:v>
      </x:c>
      <x:c r="F11" s="90" t="n">
        <x:f>F10/E10-1</x:f>
        <x:v>10.757594307426064</x:v>
      </x:c>
      <x:c r="G11" s="90" t="n">
        <x:f>G10/F10-1</x:f>
        <x:v>1.9191039534353966</x:v>
      </x:c>
      <x:c r="H11" s="90" t="n">
        <x:f>H10/G10-1</x:f>
        <x:v>0.6834212390351688</x:v>
      </x:c>
      <x:c r="I11" s="90" t="n">
        <x:f>I10/H10-1</x:f>
        <x:v>0.5384615384615385</x:v>
      </x:c>
      <x:c r="J11" s="90" t="n">
        <x:f>J10/I10-1</x:f>
        <x:v>0.375</x:v>
      </x:c>
      <x:c r="K11" s="2"/>
      <x:c r="L11" s="2"/>
      <x:c r="M11" s="2"/>
      <x:c r="N11" s="2"/>
      <x:c r="O11" s="2"/>
    </x:row>
    <x:row r="12" ht="20" customHeight="1">
      <x:c r="A12" s="2"/>
      <x:c r="B12" s="2"/>
      <x:c r="C12" s="2"/>
      <x:c r="D12" s="2"/>
      <x:c r="E12" s="4"/>
      <x:c r="F12" s="4"/>
      <x:c r="G12" s="4"/>
      <x:c r="H12" s="4"/>
      <x:c r="I12" s="4"/>
      <x:c r="J12" s="4"/>
      <x:c r="K12" s="2"/>
      <x:c r="L12" s="2"/>
      <x:c r="M12" s="2"/>
      <x:c r="N12" s="2"/>
      <x:c r="O12" s="2"/>
    </x:row>
    <x:row r="13" ht="20" customHeight="1">
      <x:c r="A13" s="2"/>
      <x:c r="B13" s="2"/>
      <x:c r="C13" s="2" t="str">
        <x:v>Direct API revenue</x:v>
      </x:c>
      <x:c r="D13" s="2"/>
      <x:c r="E13" s="62" t="n">
        <x:f>E10*'Drivers'!E40</x:f>
        <x:v>2250</x:v>
      </x:c>
      <x:c r="F13" s="62" t="n">
        <x:f>F10*'Drivers'!F40</x:f>
        <x:v>15872.752315025185</x:v>
      </x:c>
      <x:c r="G13" s="62" t="n">
        <x:f>G10*'Drivers'!G40</x:f>
        <x:v>38611.845028909054</x:v>
      </x:c>
      <x:c r="H13" s="62" t="n">
        <x:f>H10*'Drivers'!H40</x:f>
        <x:v>52000</x:v>
      </x:c>
      <x:c r="I13" s="62" t="n">
        <x:f>I10*'Drivers'!I40</x:f>
        <x:v>60000.00000000001</x:v>
      </x:c>
      <x:c r="J13" s="62" t="n">
        <x:f>J10*'Drivers'!J40</x:f>
        <x:v>55000.00000000001</x:v>
      </x:c>
      <x:c r="K13" s="2"/>
      <x:c r="L13" s="2"/>
      <x:c r="M13" s="2"/>
      <x:c r="N13" s="2"/>
      <x:c r="O13" s="2"/>
    </x:row>
    <x:row r="14" ht="20" customHeight="1">
      <x:c r="A14" s="2"/>
      <x:c r="B14" s="2"/>
      <x:c r="C14" s="2" t="str">
        <x:v>Cloud-distributed API revenue</x:v>
      </x:c>
      <x:c r="D14" s="2"/>
      <x:c r="E14" s="63" t="n">
        <x:f>E10-E13-E15</x:f>
        <x:v>1575</x:v>
      </x:c>
      <x:c r="F14" s="63" t="n">
        <x:f>F10-F13-F15</x:f>
        <x:v>29100.045910879508</x:v>
      </x:c>
      <x:c r="G14" s="63" t="n">
        <x:f>G10-G13-G15</x:f>
        <x:v>92668.42806938173</x:v>
      </x:c>
      <x:c r="H14" s="63" t="n">
        <x:f>H10-H13-H15</x:f>
        <x:v>169000</x:v>
      </x:c>
      <x:c r="I14" s="63" t="n">
        <x:f>I10-I13-I15</x:f>
        <x:v>280000</x:v>
      </x:c>
      <x:c r="J14" s="63" t="n">
        <x:f>J10-J13-J15</x:f>
        <x:v>412500</x:v>
      </x:c>
      <x:c r="K14" s="2"/>
      <x:c r="L14" s="2"/>
      <x:c r="M14" s="2"/>
      <x:c r="N14" s="2"/>
      <x:c r="O14" s="2"/>
    </x:row>
    <x:row r="15" ht="20" customHeight="1">
      <x:c r="A15" s="2"/>
      <x:c r="B15" s="2"/>
      <x:c r="C15" s="2" t="str">
        <x:v>Subscription revenue</x:v>
      </x:c>
      <x:c r="D15" s="2"/>
      <x:c r="E15" s="62" t="n">
        <x:f>E10*'Drivers'!E41</x:f>
        <x:v>675</x:v>
      </x:c>
      <x:c r="F15" s="62" t="n">
        <x:f>F10*'Drivers'!F41</x:f>
        <x:v>7936.376157512593</x:v>
      </x:c>
      <x:c r="G15" s="62" t="n">
        <x:f>G10*'Drivers'!G41</x:f>
        <x:v>23167.10701734543</x:v>
      </x:c>
      <x:c r="H15" s="62" t="n">
        <x:f>H10*'Drivers'!H41</x:f>
        <x:v>39000</x:v>
      </x:c>
      <x:c r="I15" s="62" t="n">
        <x:f>I10*'Drivers'!I41</x:f>
        <x:v>60000</x:v>
      </x:c>
      <x:c r="J15" s="62" t="n">
        <x:f>J10*'Drivers'!J41</x:f>
        <x:v>82500</x:v>
      </x:c>
      <x:c r="K15" s="2"/>
      <x:c r="L15" s="2"/>
      <x:c r="M15" s="2"/>
      <x:c r="N15" s="2"/>
      <x:c r="O15" s="2"/>
    </x:row>
    <x:row r="16" ht="20" customHeight="1">
      <x:c r="A16" s="2"/>
      <x:c r="B16" s="2"/>
      <x:c r="C16" s="2" t="str">
        <x:v>Revenue reconciliation</x:v>
      </x:c>
      <x:c r="D16" s="2"/>
      <x:c r="E16" s="79" t="n">
        <x:f>SUM(E13:E15)-E10</x:f>
        <x:v>0</x:v>
      </x:c>
      <x:c r="F16" s="79" t="n">
        <x:f>SUM(F13:F15)-F10</x:f>
        <x:v>-7.275957614183426e-12</x:v>
      </x:c>
      <x:c r="G16" s="79" t="n">
        <x:f>SUM(G13:G15)-G10</x:f>
        <x:v>0</x:v>
      </x:c>
      <x:c r="H16" s="79" t="n">
        <x:f>SUM(H13:H15)-H10</x:f>
        <x:v>0</x:v>
      </x:c>
      <x:c r="I16" s="79" t="n">
        <x:f>SUM(I13:I15)-I10</x:f>
        <x:v>0</x:v>
      </x:c>
      <x:c r="J16" s="79" t="n">
        <x:f>SUM(J13:J15)-J10</x:f>
        <x:v>0</x:v>
      </x:c>
      <x:c r="K16" s="2"/>
      <x:c r="L16" s="2"/>
      <x:c r="M16" s="2"/>
      <x:c r="N16" s="2"/>
      <x:c r="O16" s="2"/>
    </x:row>
    <x:row r="17" ht="20" customHeight="1">
      <x:c r="A17" s="2"/>
      <x:c r="B17" s="2"/>
      <x:c r="C17" s="2"/>
      <x:c r="D17" s="2"/>
      <x:c r="E17" s="4"/>
      <x:c r="F17" s="4"/>
      <x:c r="G17" s="4"/>
      <x:c r="H17" s="4"/>
      <x:c r="I17" s="4"/>
      <x:c r="J17" s="4"/>
      <x:c r="K17" s="2"/>
      <x:c r="L17" s="2"/>
      <x:c r="M17" s="2"/>
      <x:c r="N17" s="2"/>
      <x:c r="O17" s="2"/>
    </x:row>
    <x:row r="18" ht="20" customHeight="1">
      <x:c r="A18" s="2"/>
      <x:c r="B18" s="2"/>
      <x:c r="C18" s="89" t="str">
        <x:v>Cloud revenue-share rate</x:v>
      </x:c>
      <x:c r="D18" s="89"/>
      <x:c r="E18" s="91" t="n">
        <x:f>'Drivers'!E34</x:f>
        <x:v>0.25</x:v>
      </x:c>
      <x:c r="F18" s="91" t="n">
        <x:f>'Drivers'!F34</x:f>
        <x:v>0.25</x:v>
      </x:c>
      <x:c r="G18" s="91" t="n">
        <x:f>'Drivers'!G34</x:f>
        <x:v>0.25</x:v>
      </x:c>
      <x:c r="H18" s="91" t="n">
        <x:f>'Drivers'!H34</x:f>
        <x:v>0.25</x:v>
      </x:c>
      <x:c r="I18" s="91" t="n">
        <x:f>'Drivers'!I34</x:f>
        <x:v>0.25</x:v>
      </x:c>
      <x:c r="J18" s="91" t="n">
        <x:f>'Drivers'!J34</x:f>
        <x:v>0.25</x:v>
      </x:c>
      <x:c r="K18" s="2"/>
      <x:c r="L18" s="2"/>
      <x:c r="M18" s="2"/>
      <x:c r="N18" s="2"/>
      <x:c r="O18" s="2"/>
    </x:row>
    <x:row r="19" ht="20" customHeight="1">
      <x:c r="A19" s="2"/>
      <x:c r="B19" s="2"/>
      <x:c r="C19" s="2" t="str">
        <x:v>Cloud distribution fee</x:v>
      </x:c>
      <x:c r="D19" s="2"/>
      <x:c r="E19" s="63" t="n">
        <x:f>E14*E18</x:f>
        <x:v>393.75</x:v>
      </x:c>
      <x:c r="F19" s="63" t="n">
        <x:f>F14*F18</x:f>
        <x:v>7275.011477719877</x:v>
      </x:c>
      <x:c r="G19" s="63" t="n">
        <x:f>G14*G18</x:f>
        <x:v>23167.10701734543</x:v>
      </x:c>
      <x:c r="H19" s="63" t="n">
        <x:f>H14*H18</x:f>
        <x:v>42250</x:v>
      </x:c>
      <x:c r="I19" s="63" t="n">
        <x:f>I14*I18</x:f>
        <x:v>70000</x:v>
      </x:c>
      <x:c r="J19" s="63" t="n">
        <x:f>J14*J18</x:f>
        <x:v>103125</x:v>
      </x:c>
      <x:c r="K19" s="2"/>
      <x:c r="L19" s="2"/>
      <x:c r="M19" s="2"/>
      <x:c r="N19" s="2"/>
      <x:c r="O19" s="2"/>
    </x:row>
    <x:row r="20" ht="20" customHeight="1">
      <x:c r="A20" s="2"/>
      <x:c r="B20" s="2"/>
      <x:c r="C20" s="83" t="str">
        <x:v>Net economic revenue</x:v>
      </x:c>
      <x:c r="D20" s="83"/>
      <x:c r="E20" s="86" t="n">
        <x:f>E10-E19</x:f>
        <x:v>4106.25</x:v>
      </x:c>
      <x:c r="F20" s="86" t="n">
        <x:f>F10-F19</x:f>
        <x:v>45634.16290569741</x:v>
      </x:c>
      <x:c r="G20" s="86" t="n">
        <x:f>G10-G19</x:f>
        <x:v>131280.27309829078</x:v>
      </x:c>
      <x:c r="H20" s="86" t="n">
        <x:f>H10-H19</x:f>
        <x:v>217750</x:v>
      </x:c>
      <x:c r="I20" s="86" t="n">
        <x:f>I10-I19</x:f>
        <x:v>330000</x:v>
      </x:c>
      <x:c r="J20" s="86" t="n">
        <x:f>J10-J19</x:f>
        <x:v>446875</x:v>
      </x:c>
      <x:c r="K20" s="2"/>
      <x:c r="L20" s="2"/>
      <x:c r="M20" s="2"/>
      <x:c r="N20" s="2"/>
      <x:c r="O20" s="2"/>
    </x:row>
    <x:row r="21" ht="20" customHeight="1">
      <x:c r="A21" s="2"/>
      <x:c r="B21" s="2"/>
      <x:c r="C21" s="2"/>
      <x:c r="D21" s="2"/>
      <x:c r="E21" s="4"/>
      <x:c r="F21" s="4"/>
      <x:c r="G21" s="4"/>
      <x:c r="H21" s="4"/>
      <x:c r="I21" s="4"/>
      <x:c r="J21" s="4"/>
      <x:c r="K21" s="2"/>
      <x:c r="L21" s="2"/>
      <x:c r="M21" s="2"/>
      <x:c r="N21" s="2"/>
      <x:c r="O21" s="2"/>
    </x:row>
    <x:row r="22" ht="20" customHeight="1">
      <x:c r="A22" s="2"/>
      <x:c r="B22" s="2"/>
      <x:c r="C22" s="89" t="str">
        <x:v>Inference GM before revenue share</x:v>
      </x:c>
      <x:c r="D22" s="89"/>
      <x:c r="E22" s="91" t="n">
        <x:f>'Drivers'!E16</x:f>
        <x:v>0.4</x:v>
      </x:c>
      <x:c r="F22" s="91" t="n">
        <x:f>'Drivers'!F16</x:f>
        <x:v>0.82</x:v>
      </x:c>
      <x:c r="G22" s="91" t="n">
        <x:f>'Drivers'!G16</x:f>
        <x:v>0.75</x:v>
      </x:c>
      <x:c r="H22" s="91" t="n">
        <x:f>'Drivers'!H16</x:f>
        <x:v>0.7</x:v>
      </x:c>
      <x:c r="I22" s="91" t="n">
        <x:f>'Drivers'!I16</x:f>
        <x:v>0.6967538056305764</x:v>
      </x:c>
      <x:c r="J22" s="91" t="n">
        <x:f>'Drivers'!J16</x:f>
        <x:v>0.7084106674676205</x:v>
      </x:c>
      <x:c r="K22" s="2"/>
      <x:c r="L22" s="2"/>
      <x:c r="M22" s="2"/>
      <x:c r="N22" s="2"/>
      <x:c r="O22" s="2"/>
    </x:row>
    <x:row r="23" ht="20" customHeight="1">
      <x:c r="A23" s="2"/>
      <x:c r="B23" s="2"/>
      <x:c r="C23" s="2" t="str">
        <x:v>Inference compute cost</x:v>
      </x:c>
      <x:c r="D23" s="2"/>
      <x:c r="E23" s="63" t="n">
        <x:f>E10*(1-E22)</x:f>
        <x:v>2700</x:v>
      </x:c>
      <x:c r="F23" s="63" t="n">
        <x:f>F10*(1-F22)</x:f>
        <x:v>9523.651389015115</x:v>
      </x:c>
      <x:c r="G23" s="63" t="n">
        <x:f>G10*(1-G22)</x:f>
        <x:v>38611.845028909054</x:v>
      </x:c>
      <x:c r="H23" s="63" t="n">
        <x:f>H10*(1-H22)</x:f>
        <x:v>78000.00000000001</x:v>
      </x:c>
      <x:c r="I23" s="63" t="n">
        <x:f>I10*(1-I22)</x:f>
        <x:v>121298.47774776943</x:v>
      </x:c>
      <x:c r="J23" s="63" t="n">
        <x:f>J10*(1-J22)</x:f>
        <x:v>160374.13289280873</x:v>
      </x:c>
      <x:c r="K23" s="2"/>
      <x:c r="L23" s="2"/>
      <x:c r="M23" s="2"/>
      <x:c r="N23" s="2"/>
      <x:c r="O23" s="2"/>
    </x:row>
    <x:row r="24" ht="20" customHeight="1">
      <x:c r="A24" s="2"/>
      <x:c r="B24" s="2"/>
      <x:c r="C24" s="83" t="str">
        <x:v>Gross profit after revenue share</x:v>
      </x:c>
      <x:c r="D24" s="83"/>
      <x:c r="E24" s="86" t="n">
        <x:f>E20-E23</x:f>
        <x:v>1406.25</x:v>
      </x:c>
      <x:c r="F24" s="86" t="n">
        <x:f>F20-F23</x:f>
        <x:v>36110.511516682294</x:v>
      </x:c>
      <x:c r="G24" s="86" t="n">
        <x:f>G20-G23</x:f>
        <x:v>92668.42806938173</x:v>
      </x:c>
      <x:c r="H24" s="86" t="n">
        <x:f>H20-H23</x:f>
        <x:v>139750</x:v>
      </x:c>
      <x:c r="I24" s="86" t="n">
        <x:f>I20-I23</x:f>
        <x:v>208701.52225223056</x:v>
      </x:c>
      <x:c r="J24" s="86" t="n">
        <x:f>J20-J23</x:f>
        <x:v>286500.86710719124</x:v>
      </x:c>
      <x:c r="K24" s="2"/>
      <x:c r="L24" s="2"/>
      <x:c r="M24" s="2"/>
      <x:c r="N24" s="2"/>
      <x:c r="O24" s="2"/>
    </x:row>
    <x:row r="25" ht="20" customHeight="1">
      <x:c r="A25" s="2"/>
      <x:c r="B25" s="2"/>
      <x:c r="C25" s="89" t="str">
        <x:v>Gross profit / gross revenue</x:v>
      </x:c>
      <x:c r="D25" s="89"/>
      <x:c r="E25" s="90" t="n">
        <x:f>E24/E10</x:f>
        <x:v>0.3125</x:v>
      </x:c>
      <x:c r="F25" s="90" t="n">
        <x:f>F24/F10</x:f>
        <x:v>0.6824999999999999</x:v>
      </x:c>
      <x:c r="G25" s="90" t="n">
        <x:f>G24/G10</x:f>
        <x:v>0.6</x:v>
      </x:c>
      <x:c r="H25" s="90" t="n">
        <x:f>H24/H10</x:f>
        <x:v>0.5375</x:v>
      </x:c>
      <x:c r="I25" s="90" t="n">
        <x:f>I24/I10</x:f>
        <x:v>0.5217538056305764</x:v>
      </x:c>
      <x:c r="J25" s="90" t="n">
        <x:f>J24/J10</x:f>
        <x:v>0.5209106674676204</x:v>
      </x:c>
      <x:c r="K25" s="2"/>
      <x:c r="L25" s="2"/>
      <x:c r="M25" s="2"/>
      <x:c r="N25" s="2"/>
      <x:c r="O25" s="2"/>
    </x:row>
    <x:row r="26" ht="20" customHeight="1">
      <x:c r="A26" s="2"/>
      <x:c r="B26" s="2"/>
      <x:c r="C26" s="89" t="str">
        <x:v>Gross profit / net economic revenue</x:v>
      </x:c>
      <x:c r="D26" s="89"/>
      <x:c r="E26" s="90" t="n">
        <x:f>E24/E20</x:f>
        <x:v>0.3424657534246575</x:v>
      </x:c>
      <x:c r="F26" s="90" t="n">
        <x:f>F24/F20</x:f>
        <x:v>0.7913043478260868</x:v>
      </x:c>
      <x:c r="G26" s="90" t="n">
        <x:f>G24/G20</x:f>
        <x:v>0.7058823529411765</x:v>
      </x:c>
      <x:c r="H26" s="90" t="n">
        <x:f>H24/H20</x:f>
        <x:v>0.6417910447761194</x:v>
      </x:c>
      <x:c r="I26" s="90" t="n">
        <x:f>I24/I20</x:f>
        <x:v>0.6324288553097895</x:v>
      </x:c>
      <x:c r="J26" s="90" t="n">
        <x:f>J24/J20</x:f>
        <x:v>0.6411208214986097</x:v>
      </x:c>
      <x:c r="K26" s="2"/>
      <x:c r="L26" s="2"/>
      <x:c r="M26" s="2"/>
      <x:c r="N26" s="2"/>
      <x:c r="O26" s="2"/>
    </x:row>
    <x:row r="27" ht="20" customHeight="1">
      <x:c r="A27" s="2"/>
      <x:c r="B27" s="2"/>
      <x:c r="C27" s="2"/>
      <x:c r="D27" s="2"/>
      <x:c r="E27" s="4"/>
      <x:c r="F27" s="4"/>
      <x:c r="G27" s="4"/>
      <x:c r="H27" s="4"/>
      <x:c r="I27" s="4"/>
      <x:c r="J27" s="4"/>
      <x:c r="K27" s="2"/>
      <x:c r="L27" s="2"/>
      <x:c r="M27" s="2"/>
      <x:c r="N27" s="2"/>
      <x:c r="O27" s="2"/>
    </x:row>
    <x:row r="28" ht="20" customHeight="1">
      <x:c r="A28" s="2"/>
      <x:c r="B28" s="2"/>
      <x:c r="C28" s="2" t="str">
        <x:v>Training compute cost</x:v>
      </x:c>
      <x:c r="D28" s="2"/>
      <x:c r="E28" s="62" t="n">
        <x:f>'Drivers'!E22</x:f>
        <x:v>4000</x:v>
      </x:c>
      <x:c r="F28" s="62" t="n">
        <x:f>'Drivers'!F22</x:f>
        <x:v>12854.90346445185</x:v>
      </x:c>
      <x:c r="G28" s="62" t="n">
        <x:f>'Drivers'!G22</x:f>
        <x:v>27500</x:v>
      </x:c>
      <x:c r="H28" s="62" t="n">
        <x:f>'Drivers'!H22</x:f>
        <x:v>70000</x:v>
      </x:c>
      <x:c r="I28" s="62" t="n">
        <x:f>'Drivers'!I22</x:f>
        <x:v>100000</x:v>
      </x:c>
      <x:c r="J28" s="62" t="n">
        <x:f>'Drivers'!J22</x:f>
        <x:v>120000</x:v>
      </x:c>
      <x:c r="K28" s="2"/>
      <x:c r="L28" s="2"/>
      <x:c r="M28" s="2"/>
      <x:c r="N28" s="2"/>
      <x:c r="O28" s="2"/>
    </x:row>
    <x:row r="29" ht="20" customHeight="1">
      <x:c r="A29" s="2"/>
      <x:c r="B29" s="2"/>
      <x:c r="C29" s="89" t="str">
        <x:v>Compute / total operating costs</x:v>
      </x:c>
      <x:c r="D29" s="89"/>
      <x:c r="E29" s="91" t="n">
        <x:f>'Drivers'!E28</x:f>
        <x:v>0.6</x:v>
      </x:c>
      <x:c r="F29" s="91" t="n">
        <x:f>'Drivers'!F28</x:f>
        <x:v>0.7</x:v>
      </x:c>
      <x:c r="G29" s="91" t="n">
        <x:f>'Drivers'!G28</x:f>
        <x:v>0.9</x:v>
      </x:c>
      <x:c r="H29" s="91" t="n">
        <x:f>'Drivers'!H28</x:f>
        <x:v>0.8</x:v>
      </x:c>
      <x:c r="I29" s="91" t="n">
        <x:f>'Drivers'!I28</x:f>
        <x:v>0.68</x:v>
      </x:c>
      <x:c r="J29" s="91" t="n">
        <x:f>'Drivers'!J28</x:f>
        <x:v>0.6</x:v>
      </x:c>
      <x:c r="K29" s="2"/>
      <x:c r="L29" s="2"/>
      <x:c r="M29" s="2"/>
      <x:c r="N29" s="2"/>
      <x:c r="O29" s="2"/>
    </x:row>
    <x:row r="30" ht="20" customHeight="1">
      <x:c r="A30" s="2"/>
      <x:c r="B30" s="2"/>
      <x:c r="C30" s="2" t="str">
        <x:v>Other operating costs: residual</x:v>
      </x:c>
      <x:c r="D30" s="2"/>
      <x:c r="E30" s="63" t="n">
        <x:f>(E23+E28)*(1/E29-1)</x:f>
        <x:v>4466.666666666667</x:v>
      </x:c>
      <x:c r="F30" s="63" t="n">
        <x:f>(F23+F28)*(1/F29-1)</x:f>
        <x:v>9590.809222914415</x:v>
      </x:c>
      <x:c r="G30" s="63" t="n">
        <x:f>(G23+G28)*(1/G29-1)</x:f>
        <x:v>7345.760558767676</x:v>
      </x:c>
      <x:c r="H30" s="63" t="n">
        <x:f>(H23+H28)*(1/H29-1)</x:f>
        <x:v>37000</x:v>
      </x:c>
      <x:c r="I30" s="63" t="n">
        <x:f>(I23+I28)*(1/I29-1)</x:f>
        <x:v>104140.46011659736</x:v>
      </x:c>
      <x:c r="J30" s="63" t="n">
        <x:f>(J23+J28)*(1/J29-1)</x:f>
        <x:v>186916.08859520586</x:v>
      </x:c>
      <x:c r="K30" s="2"/>
      <x:c r="L30" s="2"/>
      <x:c r="M30" s="2"/>
      <x:c r="N30" s="2"/>
      <x:c r="O30" s="2"/>
    </x:row>
    <x:row r="31" ht="20" customHeight="1">
      <x:c r="A31" s="2"/>
      <x:c r="B31" s="2"/>
      <x:c r="C31" s="83" t="str">
        <x:v>Modeled operating surplus</x:v>
      </x:c>
      <x:c r="D31" s="83"/>
      <x:c r="E31" s="86" t="n">
        <x:f>E24-E28-E30</x:f>
        <x:v>-7060.416666666667</x:v>
      </x:c>
      <x:c r="F31" s="86" t="n">
        <x:f>F24-F28-F30</x:f>
        <x:v>13664.798829316029</x:v>
      </x:c>
      <x:c r="G31" s="86" t="n">
        <x:f>G24-G28-G30</x:f>
        <x:v>57822.667510614054</x:v>
      </x:c>
      <x:c r="H31" s="86" t="n">
        <x:f>H24-H28-H30</x:f>
        <x:v>32750</x:v>
      </x:c>
      <x:c r="I31" s="86" t="n">
        <x:f>I24-I28-I30</x:f>
        <x:v>4561.062135633198</x:v>
      </x:c>
      <x:c r="J31" s="86" t="n">
        <x:f>J24-J28-J30</x:f>
        <x:v>-20415.22148801462</x:v>
      </x:c>
      <x:c r="K31" s="2"/>
      <x:c r="L31" s="2"/>
      <x:c r="M31" s="2"/>
      <x:c r="N31" s="2"/>
      <x:c r="O31" s="2"/>
    </x:row>
    <x:row r="32" ht="20" customHeight="1">
      <x:c r="A32" s="2"/>
      <x:c r="B32" s="2"/>
      <x:c r="C32" s="89" t="str">
        <x:v>Operating surplus / gross revenue</x:v>
      </x:c>
      <x:c r="D32" s="89"/>
      <x:c r="E32" s="90" t="n">
        <x:f>E31/E10</x:f>
        <x:v>-1.5689814814814815</x:v>
      </x:c>
      <x:c r="F32" s="90" t="n">
        <x:f>F31/F10</x:f>
        <x:v>0.2582689862119419</x:v>
      </x:c>
      <x:c r="G32" s="90" t="n">
        <x:f>G31/G10</x:f>
        <x:v>0.3743842560962943</x:v>
      </x:c>
      <x:c r="H32" s="90" t="n">
        <x:f>H31/H10</x:f>
        <x:v>0.12596153846153846</x:v>
      </x:c>
      <x:c r="I32" s="90" t="n">
        <x:f>I31/I10</x:f>
        <x:v>0.011402655339082994</x:v>
      </x:c>
      <x:c r="J32" s="90" t="n">
        <x:f>J31/J10</x:f>
        <x:v>-0.03711858452366294</x:v>
      </x:c>
      <x:c r="K32" s="2"/>
      <x:c r="L32" s="2"/>
      <x:c r="M32" s="2"/>
      <x:c r="N32" s="2"/>
      <x:c r="O32" s="2"/>
    </x:row>
    <x:row r="33" ht="20" customHeight="1">
      <x:c r="A33" s="2"/>
      <x:c r="B33" s="2"/>
      <x:c r="C33" s="83" t="str">
        <x:v>Operating surplus before training</x:v>
      </x:c>
      <x:c r="D33" s="83"/>
      <x:c r="E33" s="88" t="n">
        <x:f>E31+E28</x:f>
        <x:v>-3060.416666666667</x:v>
      </x:c>
      <x:c r="F33" s="88" t="n">
        <x:f>F31+F28</x:f>
        <x:v>26519.702293767878</x:v>
      </x:c>
      <x:c r="G33" s="88" t="n">
        <x:f>G31+G28</x:f>
        <x:v>85322.66751061406</x:v>
      </x:c>
      <x:c r="H33" s="88" t="n">
        <x:f>H31+H28</x:f>
        <x:v>102750</x:v>
      </x:c>
      <x:c r="I33" s="88" t="n">
        <x:f>I31+I28</x:f>
        <x:v>104561.0621356332</x:v>
      </x:c>
      <x:c r="J33" s="88" t="n">
        <x:f>J31+J28</x:f>
        <x:v>99584.77851198538</x:v>
      </x:c>
      <x:c r="K33" s="2"/>
      <x:c r="L33" s="2"/>
      <x:c r="M33" s="2"/>
      <x:c r="N33" s="2"/>
      <x:c r="O33" s="2"/>
    </x:row>
    <x:row r="34" ht="20" customHeight="1">
      <x:c r="A34" s="2"/>
      <x:c r="B34" s="2"/>
      <x:c r="C34" s="2"/>
      <x:c r="D34" s="2"/>
      <x:c r="E34" s="4"/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2" t="str">
        <x:v>Total costs before revenue share</x:v>
      </x:c>
      <x:c r="D35" s="2"/>
      <x:c r="E35" s="63" t="n">
        <x:f>SUM(E23,E28,E30)</x:f>
        <x:v>11166.666666666668</x:v>
      </x:c>
      <x:c r="F35" s="63" t="n">
        <x:f>SUM(F23,F28,F30)</x:f>
        <x:v>31969.364076381382</x:v>
      </x:c>
      <x:c r="G35" s="63" t="n">
        <x:f>SUM(G23,G28,G30)</x:f>
        <x:v>73457.60558767674</x:v>
      </x:c>
      <x:c r="H35" s="63" t="n">
        <x:f>SUM(H23,H28,H30)</x:f>
        <x:v>185000</x:v>
      </x:c>
      <x:c r="I35" s="63" t="n">
        <x:f>SUM(I23,I28,I30)</x:f>
        <x:v>325438.9378643668</x:v>
      </x:c>
      <x:c r="J35" s="63" t="n">
        <x:f>SUM(J23,J28,J30)</x:f>
        <x:v>467290.2214880146</x:v>
      </x:c>
      <x:c r="K35" s="2"/>
      <x:c r="L35" s="2"/>
      <x:c r="M35" s="2"/>
      <x:c r="N35" s="2"/>
      <x:c r="O35" s="2"/>
    </x:row>
    <x:row r="36" ht="20" customHeight="1">
      <x:c r="A36" s="2"/>
      <x:c r="B36" s="2"/>
      <x:c r="C36" s="83" t="str">
        <x:v>Total costs including revenue share</x:v>
      </x:c>
      <x:c r="D36" s="83"/>
      <x:c r="E36" s="88" t="n">
        <x:f>E35+E19</x:f>
        <x:v>11560.416666666668</x:v>
      </x:c>
      <x:c r="F36" s="88" t="n">
        <x:f>F35+F19</x:f>
        <x:v>39244.37555410126</x:v>
      </x:c>
      <x:c r="G36" s="88" t="n">
        <x:f>G35+G19</x:f>
        <x:v>96624.71260502217</x:v>
      </x:c>
      <x:c r="H36" s="88" t="n">
        <x:f>H35+H19</x:f>
        <x:v>227250</x:v>
      </x:c>
      <x:c r="I36" s="88" t="n">
        <x:f>I35+I19</x:f>
        <x:v>395438.9378643668</x:v>
      </x:c>
      <x:c r="J36" s="88" t="n">
        <x:f>J35+J19</x:f>
        <x:v>570415.2214880146</x:v>
      </x:c>
      <x:c r="K36" s="2"/>
      <x:c r="L36" s="2"/>
      <x:c r="M36" s="2"/>
      <x:c r="N36" s="2"/>
      <x:c r="O36" s="2"/>
    </x:row>
    <x:row r="37" ht="20" customHeight="1">
      <x:c r="A37" s="2"/>
      <x:c r="B37" s="2"/>
      <x:c r="C37" s="2"/>
      <x:c r="D37" s="2"/>
      <x:c r="E37" s="4"/>
      <x:c r="F37" s="4"/>
      <x:c r="G37" s="4"/>
      <x:c r="H37" s="4"/>
      <x:c r="I37" s="4"/>
      <x:c r="J37" s="4"/>
      <x:c r="K37" s="2"/>
      <x:c r="L37" s="2"/>
      <x:c r="M37" s="2"/>
      <x:c r="N37" s="2"/>
      <x:c r="O37" s="2"/>
    </x:row>
    <x:row r="38" ht="20" customHeight="1">
      <x:c r="A38" s="2"/>
      <x:c r="B38" s="2"/>
      <x:c r="C38" s="89" t="str">
        <x:v>Year-on-year other-cost growth</x:v>
      </x:c>
      <x:c r="D38" s="89"/>
      <x:c r="E38" s="90" t="str">
        <x:f>"n.a."</x:f>
        <x:v>n.a.</x:v>
      </x:c>
      <x:c r="F38" s="90" t="n">
        <x:f>F30/E30-1</x:f>
        <x:v>1.1471960946823314</x:v>
      </x:c>
      <x:c r="G38" s="90" t="n">
        <x:f>G30/F30-1</x:f>
        <x:v>-0.23408334082830629</x:v>
      </x:c>
      <x:c r="H38" s="90" t="n">
        <x:f>H30/G30-1</x:f>
        <x:v>4.036918873681218</x:v>
      </x:c>
      <x:c r="I38" s="90" t="n">
        <x:f>I30/H30-1</x:f>
        <x:v>1.814607030178307</x:v>
      </x:c>
      <x:c r="J38" s="90" t="n">
        <x:f>J30/I30-1</x:f>
        <x:v>0.7948460030417721</x:v>
      </x:c>
      <x:c r="K38" s="2"/>
      <x:c r="L38" s="2"/>
      <x:c r="M38" s="2"/>
      <x:c r="N38" s="2"/>
      <x:c r="O38" s="2"/>
    </x:row>
    <x:row r="39" ht="20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2" t="str">
        <x:v>Gross revenue at operating break-even</x:v>
      </x:c>
      <x:c r="D40" s="2"/>
      <x:c r="E40" s="62" t="str">
        <x:f>IF(1-('Drivers'!E34*(1-'Drivers'!E40-'Drivers'!E41))-(1-E22)/E29&gt;0,(E28/E29)/(1-('Drivers'!E34*(1-'Drivers'!E40-'Drivers'!E41))-(1-E22)/E29),"n.a.")</x:f>
        <x:v>n.a.</x:v>
      </x:c>
      <x:c r="F40" s="62" t="n">
        <x:f>IF(1-('Drivers'!F34*(1-'Drivers'!F40-'Drivers'!F41))-(1-F22)/F29&gt;0,(F28/F29)/(1-('Drivers'!F34*(1-'Drivers'!F40-'Drivers'!F41))-(1-F22)/F29),"n.a.")</x:f>
        <x:v>30336.055373337702</x:v>
      </x:c>
      <x:c r="G40" s="62" t="n">
        <x:f>IF(1-('Drivers'!G34*(1-'Drivers'!G40-'Drivers'!G41))-(1-G22)/G29&gt;0,(G28/G29)/(1-('Drivers'!G34*(1-'Drivers'!G40-'Drivers'!G41))-(1-G22)/G29),"n.a.")</x:f>
        <x:v>53398.05825242719</x:v>
      </x:c>
      <x:c r="H40" s="62" t="n">
        <x:f>IF(1-('Drivers'!H34*(1-'Drivers'!H40-'Drivers'!H41))-(1-H22)/H29&gt;0,(H28/H29)/(1-('Drivers'!H34*(1-'Drivers'!H40-'Drivers'!H41))-(1-H22)/H29),"n.a.")</x:f>
        <x:v>189189.1891891892</x:v>
      </x:c>
      <x:c r="I40" s="62" t="n">
        <x:f>IF(1-('Drivers'!I34*(1-'Drivers'!I40-'Drivers'!I41))-(1-I22)/I29&gt;0,(I28/I29)/(1-('Drivers'!I34*(1-'Drivers'!I40-'Drivers'!I41))-(1-I22)/I29),"n.a.")</x:f>
        <x:v>387967.11363914516</x:v>
      </x:c>
      <x:c r="J40" s="62" t="n">
        <x:f>IF(1-('Drivers'!J34*(1-'Drivers'!J40-'Drivers'!J41))-(1-J22)/J29&gt;0,(J28/J29)/(1-('Drivers'!J34*(1-'Drivers'!J40-'Drivers'!J41))-(1-J22)/J29),"n.a.")</x:f>
        <x:v>612524.0730948622</x:v>
      </x:c>
      <x:c r="K40" s="2"/>
      <x:c r="L40" s="2"/>
      <x:c r="M40" s="2"/>
      <x:c r="N40" s="2"/>
      <x:c r="O40" s="2"/>
    </x:row>
    <x:row r="41" ht="20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17" t="str">
        <x:v>Other costs = (inference + training) × (1 / compute share − 1). This preserves the house residual.</x:v>
      </x:c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0" customHeight="1">
      <x:c r="A44" s="2"/>
      <x:c r="B44" s="2"/>
      <x:c r="C44" s="17" t="str">
        <x:v>Revenue sharing is deducted once, separately from inference. Whether other costs already embed part of it is unverified.</x:v>
      </x:c>
      <x:c r="D44" s="2"/>
      <x:c r="E44" s="4"/>
      <x:c r="F44" s="4"/>
      <x:c r="G44" s="4"/>
      <x:c r="H44" s="4"/>
      <x:c r="I44" s="4"/>
      <x:c r="J44" s="4"/>
      <x:c r="K44" s="2"/>
      <x:c r="L44" s="2"/>
      <x:c r="M44" s="2"/>
      <x:c r="N44" s="2"/>
      <x:c r="O44" s="2"/>
    </x:row>
    <x:row r="45" ht="20" customHeight="1">
      <x:c r="A45" s="2"/>
      <x:c r="B45" s="2"/>
      <x:c r="C45" s="17" t="str">
        <x:v>SBC, depreciation, leases and one-time charges are not separately identified. Do not treat this surplus as GAAP or FCF.</x:v>
      </x:c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17" t="str">
        <x:v>Break-even holds training, channel mix, margin and the compute cost fraction constant at each year’s active values.</x:v>
      </x:c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2"/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2"/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ARR 2026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Monthly average annualized revenue / 12. This is the house recognition proxy, not a disclosed GAAP policy.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</x:v>
      </x:c>
      <x:c r="D8" s="15" t="str">
        <x:v>Basis</x:v>
      </x:c>
      <x:c r="E8" s="92" t="d">
        <x:v>2026-01-01T00:00:00.000Z</x:v>
      </x:c>
      <x:c r="F8" s="92" t="d">
        <x:v>2026-02-01T00:00:00.000Z</x:v>
      </x:c>
      <x:c r="G8" s="92" t="d">
        <x:v>2026-03-01T00:00:00.000Z</x:v>
      </x:c>
      <x:c r="H8" s="92" t="d">
        <x:v>2026-04-01T00:00:00.000Z</x:v>
      </x:c>
      <x:c r="I8" s="92" t="d">
        <x:v>2026-05-01T00:00:00.000Z</x:v>
      </x:c>
      <x:c r="J8" s="92" t="d">
        <x:v>2026-06-01T00:00:00.000Z</x:v>
      </x:c>
      <x:c r="K8" s="92" t="d">
        <x:v>2026-07-01T00:00:00.000Z</x:v>
      </x:c>
      <x:c r="L8" s="92" t="d">
        <x:v>2026-08-01T00:00:00.000Z</x:v>
      </x:c>
      <x:c r="M8" s="92" t="d">
        <x:v>2026-09-01T00:00:00.000Z</x:v>
      </x:c>
      <x:c r="N8" s="92" t="d">
        <x:v>2026-10-01T00:00:00.000Z</x:v>
      </x:c>
      <x:c r="O8" s="92" t="d">
        <x:v>2026-11-01T00:00:00.000Z</x:v>
      </x:c>
      <x:c r="P8" s="106" t="d">
        <x:v>2026-12-01T00:00:00.000Z</x:v>
      </x:c>
    </x:row>
    <x:row r="9" ht="20" customHeight="1">
      <x:c r="A9" s="2"/>
      <x:c r="B9" s="2"/>
      <x:c r="C9" s="2"/>
      <x:c r="D9" s="2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</x:row>
    <x:row r="10" ht="20" customHeight="1">
      <x:c r="A10" s="2"/>
      <x:c r="B10" s="2"/>
      <x:c r="C10" s="2" t="str">
        <x:v>House monthly average annualized revenue</x:v>
      </x:c>
      <x:c r="D10" s="2"/>
      <x:c r="E10" s="62" t="n">
        <x:f>'Sources'!E36</x:f>
        <x:v>11988.850629600003</x:v>
      </x:c>
      <x:c r="F10" s="62" t="n">
        <x:f>'Sources'!F36</x:f>
        <x:v>16784.390881440002</x:v>
      </x:c>
      <x:c r="G10" s="62" t="n">
        <x:f>'Sources'!G36</x:f>
        <x:v>26855.025410304006</x:v>
      </x:c>
      <x:c r="H10" s="62" t="n">
        <x:f>'Sources'!H36</x:f>
        <x:v>37597.03557442561</x:v>
      </x:c>
      <x:c r="I10" s="62" t="n">
        <x:f>'Sources'!I36</x:f>
        <x:v>45116.44268931073</x:v>
      </x:c>
      <x:c r="J10" s="62" t="n">
        <x:f>'Sources'!J36</x:f>
        <x:v>55042.06008095909</x:v>
      </x:c>
      <x:c r="K10" s="96" t="n">
        <x:f>'Sources'!K36</x:f>
        <x:v>63298.36909310295</x:v>
      </x:c>
      <x:c r="L10" s="96" t="n">
        <x:f>'Sources'!L36</x:f>
        <x:v>67096.27123868914</x:v>
      </x:c>
      <x:c r="M10" s="96" t="n">
        <x:f>'Sources'!M36</x:f>
        <x:v>71122.04751301049</x:v>
      </x:c>
      <x:c r="N10" s="96" t="n">
        <x:f>'Sources'!N36</x:f>
        <x:v>75389.37036379112</x:v>
      </x:c>
      <x:c r="O10" s="96" t="n">
        <x:f>'Sources'!O36</x:f>
        <x:v>79912.73258561859</x:v>
      </x:c>
      <x:c r="P10" s="97" t="n">
        <x:f>'Sources'!P36</x:f>
        <x:v>84707.49654075572</x:v>
      </x:c>
    </x:row>
    <x:row r="11" ht="20" customHeight="1">
      <x:c r="A11" s="2"/>
      <x:c r="B11" s="2"/>
      <x:c r="C11" s="2" t="str">
        <x:v>House monthly revenue</x:v>
      </x:c>
      <x:c r="D11" s="2"/>
      <x:c r="E11" s="62" t="n">
        <x:f>'Sources'!E37</x:f>
        <x:v>999.0708858000003</x:v>
      </x:c>
      <x:c r="F11" s="62" t="n">
        <x:f>'Sources'!F37</x:f>
        <x:v>1398.6992401200002</x:v>
      </x:c>
      <x:c r="G11" s="62" t="n">
        <x:f>'Sources'!G37</x:f>
        <x:v>2237.9187841920007</x:v>
      </x:c>
      <x:c r="H11" s="62" t="n">
        <x:f>'Sources'!H37</x:f>
        <x:v>3133.0862978688006</x:v>
      </x:c>
      <x:c r="I11" s="62" t="n">
        <x:f>'Sources'!I37</x:f>
        <x:v>3759.703557442561</x:v>
      </x:c>
      <x:c r="J11" s="62" t="n">
        <x:f>'Sources'!J37</x:f>
        <x:v>4586.838340079924</x:v>
      </x:c>
      <x:c r="K11" s="96" t="n">
        <x:f>'Sources'!K37</x:f>
        <x:v>5274.864091091912</x:v>
      </x:c>
      <x:c r="L11" s="96" t="n">
        <x:f>'Sources'!L37</x:f>
        <x:v>5591.355936557428</x:v>
      </x:c>
      <x:c r="M11" s="96" t="n">
        <x:f>'Sources'!M37</x:f>
        <x:v>5926.837292750874</x:v>
      </x:c>
      <x:c r="N11" s="96" t="n">
        <x:f>'Sources'!N37</x:f>
        <x:v>6282.447530315927</x:v>
      </x:c>
      <x:c r="O11" s="96" t="n">
        <x:f>'Sources'!O37</x:f>
        <x:v>6659.394382134883</x:v>
      </x:c>
      <x:c r="P11" s="97" t="n">
        <x:f>'Sources'!P37</x:f>
        <x:v>7058.958045062976</x:v>
      </x:c>
    </x:row>
    <x:row r="12" ht="20" customHeight="1">
      <x:c r="A12" s="2"/>
      <x:c r="B12" s="2"/>
      <x:c r="C12" s="2" t="str">
        <x:v>Active monthly gross revenue</x:v>
      </x:c>
      <x:c r="D12" s="2"/>
      <x:c r="E12" s="63" t="n">
        <x:f>E11</x:f>
        <x:v>999.0708858000003</x:v>
      </x:c>
      <x:c r="F12" s="63" t="n">
        <x:f>F11</x:f>
        <x:v>1398.6992401200002</x:v>
      </x:c>
      <x:c r="G12" s="63" t="n">
        <x:f>G11</x:f>
        <x:v>2237.9187841920007</x:v>
      </x:c>
      <x:c r="H12" s="63" t="n">
        <x:f>H11</x:f>
        <x:v>3133.0862978688006</x:v>
      </x:c>
      <x:c r="I12" s="63" t="n">
        <x:f>I11</x:f>
        <x:v>3759.703557442561</x:v>
      </x:c>
      <x:c r="J12" s="63" t="n">
        <x:f>J11</x:f>
        <x:v>4586.838340079924</x:v>
      </x:c>
      <x:c r="K12" s="98" t="n">
        <x:f>K11</x:f>
        <x:v>5274.864091091912</x:v>
      </x:c>
      <x:c r="L12" s="98" t="n">
        <x:f>L11</x:f>
        <x:v>5591.355936557428</x:v>
      </x:c>
      <x:c r="M12" s="98" t="n">
        <x:f>M11</x:f>
        <x:v>5926.837292750874</x:v>
      </x:c>
      <x:c r="N12" s="96" t="n">
        <x:f>('Drivers'!F10-SUM($E$11:$M$11))*N11/SUM($N$11:$P$11)</x:f>
        <x:v>6282.447530315927</x:v>
      </x:c>
      <x:c r="O12" s="96" t="n">
        <x:f>('Drivers'!F10-SUM($E$11:$M$11))*O11/SUM($N$11:$P$11)</x:f>
        <x:v>6659.394382134883</x:v>
      </x:c>
      <x:c r="P12" s="97" t="n">
        <x:f>('Drivers'!F10-SUM($E$11:$M$11))*P11/SUM($N$11:$P$11)</x:f>
        <x:v>7058.958045062976</x:v>
      </x:c>
    </x:row>
    <x:row r="13" ht="20" customHeight="1">
      <x:c r="A13" s="2"/>
      <x:c r="B13" s="2"/>
      <x:c r="C13" s="2" t="str">
        <x:v>Active monthly annualized average</x:v>
      </x:c>
      <x:c r="D13" s="2"/>
      <x:c r="E13" s="63" t="n">
        <x:f>E12*12</x:f>
        <x:v>11988.850629600003</x:v>
      </x:c>
      <x:c r="F13" s="63" t="n">
        <x:f>F12*12</x:f>
        <x:v>16784.390881440002</x:v>
      </x:c>
      <x:c r="G13" s="63" t="n">
        <x:f>G12*12</x:f>
        <x:v>26855.025410304006</x:v>
      </x:c>
      <x:c r="H13" s="63" t="n">
        <x:f>H12*12</x:f>
        <x:v>37597.03557442561</x:v>
      </x:c>
      <x:c r="I13" s="63" t="n">
        <x:f>I12*12</x:f>
        <x:v>45116.44268931073</x:v>
      </x:c>
      <x:c r="J13" s="63" t="n">
        <x:f>J12*12</x:f>
        <x:v>55042.06008095908</x:v>
      </x:c>
      <x:c r="K13" s="98" t="n">
        <x:f>K12*12</x:f>
        <x:v>63298.36909310294</x:v>
      </x:c>
      <x:c r="L13" s="98" t="n">
        <x:f>L12*12</x:f>
        <x:v>67096.27123868914</x:v>
      </x:c>
      <x:c r="M13" s="98" t="n">
        <x:f>M12*12</x:f>
        <x:v>71122.04751301049</x:v>
      </x:c>
      <x:c r="N13" s="98" t="n">
        <x:f>N12*12</x:f>
        <x:v>75389.37036379112</x:v>
      </x:c>
      <x:c r="O13" s="98" t="n">
        <x:f>O12*12</x:f>
        <x:v>79912.73258561859</x:v>
      </x:c>
      <x:c r="P13" s="99" t="n">
        <x:f>P12*12</x:f>
        <x:v>84707.49654075572</x:v>
      </x:c>
    </x:row>
    <x:row r="14" ht="20" customHeight="1">
      <x:c r="A14" s="2"/>
      <x:c r="B14" s="2"/>
      <x:c r="C14" s="2" t="str">
        <x:v>Month-on-month growth</x:v>
      </x:c>
      <x:c r="D14" s="2"/>
      <x:c r="E14" s="70" t="str">
        <x:f>"n.a."</x:f>
        <x:v>n.a.</x:v>
      </x:c>
      <x:c r="F14" s="70" t="n">
        <x:f>F13/E13-1</x:f>
        <x:v>0.3999999999999997</x:v>
      </x:c>
      <x:c r="G14" s="70" t="n">
        <x:f>G13/F13-1</x:f>
        <x:v>0.6000000000000001</x:v>
      </x:c>
      <x:c r="H14" s="70" t="n">
        <x:f>H13/G13-1</x:f>
        <x:v>0.3999999999999999</x:v>
      </x:c>
      <x:c r="I14" s="70" t="n">
        <x:f>I13/H13-1</x:f>
        <x:v>0.19999999999999996</x:v>
      </x:c>
      <x:c r="J14" s="70" t="n">
        <x:f>J13/I13-1</x:f>
        <x:v>0.21999999999999975</x:v>
      </x:c>
      <x:c r="K14" s="100" t="n">
        <x:f>K13/J13-1</x:f>
        <x:v>0.1499999999999999</x:v>
      </x:c>
      <x:c r="L14" s="100" t="n">
        <x:f>L13/K13-1</x:f>
        <x:v>0.060000000000000275</x:v>
      </x:c>
      <x:c r="M14" s="100" t="n">
        <x:f>M13/L13-1</x:f>
        <x:v>0.06000000000000005</x:v>
      </x:c>
      <x:c r="N14" s="100" t="n">
        <x:f>N13/M13-1</x:f>
        <x:v>0.06000000000000005</x:v>
      </x:c>
      <x:c r="O14" s="100" t="n">
        <x:f>O13/N13-1</x:f>
        <x:v>0.06000000000000005</x:v>
      </x:c>
      <x:c r="P14" s="101" t="n">
        <x:f>P13/O13-1</x:f>
        <x:v>0.06000000000000005</x:v>
      </x:c>
    </x:row>
    <x:row r="15" ht="20" customHeight="1">
      <x:c r="A15" s="2"/>
      <x:c r="B15" s="2"/>
      <x:c r="C15" s="2" t="str">
        <x:v>Net economic monthly revenue</x:v>
      </x:c>
      <x:c r="D15" s="2"/>
      <x:c r="E15" s="62" t="n">
        <x:f>E12*(1-(1-'Drivers'!$F$40-'Drivers'!$F$41)*'Drivers'!$F$34)</x:f>
        <x:v>861.6986390025003</x:v>
      </x:c>
      <x:c r="F15" s="62" t="n">
        <x:f>F12*(1-(1-'Drivers'!$F$40-'Drivers'!$F$41)*'Drivers'!$F$34)</x:f>
        <x:v>1206.3780946035004</x:v>
      </x:c>
      <x:c r="G15" s="62" t="n">
        <x:f>G12*(1-(1-'Drivers'!$F$40-'Drivers'!$F$41)*'Drivers'!$F$34)</x:f>
        <x:v>1930.2049513656007</x:v>
      </x:c>
      <x:c r="H15" s="62" t="n">
        <x:f>H12*(1-(1-'Drivers'!$F$40-'Drivers'!$F$41)*'Drivers'!$F$34)</x:f>
        <x:v>2702.286931911841</x:v>
      </x:c>
      <x:c r="I15" s="62" t="n">
        <x:f>I12*(1-(1-'Drivers'!$F$40-'Drivers'!$F$41)*'Drivers'!$F$34)</x:f>
        <x:v>3242.744318294209</x:v>
      </x:c>
      <x:c r="J15" s="62" t="n">
        <x:f>J12*(1-(1-'Drivers'!$F$40-'Drivers'!$F$41)*'Drivers'!$F$34)</x:f>
        <x:v>3956.1480683189347</x:v>
      </x:c>
      <x:c r="K15" s="96" t="n">
        <x:f>K12*(1-(1-'Drivers'!$F$40-'Drivers'!$F$41)*'Drivers'!$F$34)</x:f>
        <x:v>4549.5702785667745</x:v>
      </x:c>
      <x:c r="L15" s="96" t="n">
        <x:f>L12*(1-(1-'Drivers'!$F$40-'Drivers'!$F$41)*'Drivers'!$F$34)</x:f>
        <x:v>4822.544495280782</x:v>
      </x:c>
      <x:c r="M15" s="96" t="n">
        <x:f>M12*(1-(1-'Drivers'!$F$40-'Drivers'!$F$41)*'Drivers'!$F$34)</x:f>
        <x:v>5111.897164997629</x:v>
      </x:c>
      <x:c r="N15" s="96" t="n">
        <x:f>N12*(1-(1-'Drivers'!$F$40-'Drivers'!$F$41)*'Drivers'!$F$34)</x:f>
        <x:v>5418.610994897487</x:v>
      </x:c>
      <x:c r="O15" s="96" t="n">
        <x:f>O12*(1-(1-'Drivers'!$F$40-'Drivers'!$F$41)*'Drivers'!$F$34)</x:f>
        <x:v>5743.727654591337</x:v>
      </x:c>
      <x:c r="P15" s="97" t="n">
        <x:f>P12*(1-(1-'Drivers'!$F$40-'Drivers'!$F$41)*'Drivers'!$F$34)</x:f>
        <x:v>6088.351313866818</x:v>
      </x:c>
    </x:row>
    <x:row r="16" ht="20" customHeight="1">
      <x:c r="A16" s="2"/>
      <x:c r="B16" s="2"/>
      <x:c r="C16" s="2" t="str">
        <x:v>Net annualized monthly average</x:v>
      </x:c>
      <x:c r="D16" s="2"/>
      <x:c r="E16" s="63" t="n">
        <x:f>E15*12</x:f>
        <x:v>10340.383668030003</x:v>
      </x:c>
      <x:c r="F16" s="63" t="n">
        <x:f>F15*12</x:f>
        <x:v>14476.537135242004</x:v>
      </x:c>
      <x:c r="G16" s="63" t="n">
        <x:f>G15*12</x:f>
        <x:v>23162.45941638721</x:v>
      </x:c>
      <x:c r="H16" s="63" t="n">
        <x:f>H15*12</x:f>
        <x:v>32427.44318294209</x:v>
      </x:c>
      <x:c r="I16" s="63" t="n">
        <x:f>I15*12</x:f>
        <x:v>38912.93181953051</x:v>
      </x:c>
      <x:c r="J16" s="63" t="n">
        <x:f>J15*12</x:f>
        <x:v>47473.77681982722</x:v>
      </x:c>
      <x:c r="K16" s="98" t="n">
        <x:f>K15*12</x:f>
        <x:v>54594.843342801294</x:v>
      </x:c>
      <x:c r="L16" s="98" t="n">
        <x:f>L15*12</x:f>
        <x:v>57870.53394336939</x:v>
      </x:c>
      <x:c r="M16" s="98" t="n">
        <x:f>M15*12</x:f>
        <x:v>61342.76597997155</x:v>
      </x:c>
      <x:c r="N16" s="98" t="n">
        <x:f>N15*12</x:f>
        <x:v>65023.33193876984</x:v>
      </x:c>
      <x:c r="O16" s="98" t="n">
        <x:f>O15*12</x:f>
        <x:v>68924.73185509605</x:v>
      </x:c>
      <x:c r="P16" s="99" t="n">
        <x:f>P15*12</x:f>
        <x:v>73060.21576640182</x:v>
      </x:c>
    </x:row>
    <x:row r="17" ht="20" customHeight="1">
      <x:c r="A17" s="2"/>
      <x:c r="B17" s="2"/>
      <x:c r="C17" s="2" t="str">
        <x:v>Evidence status</x:v>
      </x:c>
      <x:c r="D17" s="2"/>
      <x:c r="E17" s="4" t="str">
        <x:v>Model estimate</x:v>
      </x:c>
      <x:c r="F17" s="4" t="str">
        <x:v>Model estimate</x:v>
      </x:c>
      <x:c r="G17" s="4" t="str">
        <x:v>Model estimate</x:v>
      </x:c>
      <x:c r="H17" s="4" t="str">
        <x:v>Model estimate</x:v>
      </x:c>
      <x:c r="I17" s="4" t="str">
        <x:v>Model estimate</x:v>
      </x:c>
      <x:c r="J17" s="4" t="str">
        <x:v>Model estimate</x:v>
      </x:c>
      <x:c r="K17" s="2" t="str">
        <x:v>Model estimate</x:v>
      </x:c>
      <x:c r="L17" s="2" t="str">
        <x:v>Model estimate</x:v>
      </x:c>
      <x:c r="M17" s="2" t="str">
        <x:v>Model estimate</x:v>
      </x:c>
      <x:c r="N17" s="2" t="str">
        <x:v>Forecast</x:v>
      </x:c>
      <x:c r="O17" s="2" t="str">
        <x:v>Forecast</x:v>
      </x:c>
      <x:c r="P17" t="str">
        <x:v>Forecast</x:v>
      </x:c>
    </x:row>
    <x:row r="18" ht="20" customHeight="1">
      <x:c r="A18" s="2"/>
      <x:c r="B18" s="2"/>
      <x:c r="C18" s="2"/>
      <x:c r="D18" s="2"/>
      <x:c r="E18" s="4"/>
      <x:c r="F18" s="4"/>
      <x:c r="G18" s="4"/>
      <x:c r="H18" s="4"/>
      <x:c r="I18" s="4"/>
      <x:c r="J18" s="4"/>
      <x:c r="K18" s="2"/>
      <x:c r="L18" s="2"/>
      <x:c r="M18" s="2"/>
      <x:c r="N18" s="2"/>
      <x:c r="O18" s="2"/>
    </x:row>
    <x:row r="19" ht="20" customHeight="1">
      <x:c r="A19" s="2"/>
      <x:c r="B19" s="2"/>
      <x:c r="C19" s="2"/>
      <x:c r="D19" s="2"/>
      <x:c r="E19" s="4"/>
      <x:c r="F19" s="4"/>
      <x:c r="G19" s="4"/>
      <x:c r="H19" s="4"/>
      <x:c r="I19" s="4"/>
      <x:c r="J19" s="4"/>
      <x:c r="K19" s="2"/>
      <x:c r="L19" s="2"/>
      <x:c r="M19" s="2"/>
      <x:c r="N19" s="2"/>
      <x:c r="O19" s="2"/>
    </x:row>
    <x:row r="20" ht="20" customHeight="1">
      <x:c r="A20" s="2"/>
      <x:c r="B20" s="2"/>
      <x:c r="C20" s="2"/>
      <x:c r="D20" s="2"/>
      <x:c r="E20" s="4"/>
      <x:c r="F20" s="4"/>
      <x:c r="G20" s="4"/>
      <x:c r="H20" s="4"/>
      <x:c r="I20" s="4"/>
      <x:c r="J20" s="4"/>
      <x:c r="K20" s="2"/>
      <x:c r="L20" s="2"/>
      <x:c r="M20" s="2"/>
      <x:c r="N20" s="2"/>
      <x:c r="O20" s="2"/>
    </x:row>
    <x:row r="21" ht="20" customHeight="1">
      <x:c r="A21" s="2"/>
      <x:c r="B21" s="2"/>
      <x:c r="C21" s="2" t="str">
        <x:v>Quarter / full-year revenue</x:v>
      </x:c>
      <x:c r="D21" s="2"/>
      <x:c r="E21" s="4" t="str">
        <x:v>Q1:26</x:v>
      </x:c>
      <x:c r="F21" s="4" t="str">
        <x:v>Q2:26</x:v>
      </x:c>
      <x:c r="G21" s="4" t="str">
        <x:v>Q3:26</x:v>
      </x:c>
      <x:c r="H21" s="4" t="str">
        <x:v>Q4:26</x:v>
      </x:c>
      <x:c r="I21" s="109" t="str">
        <x:v>2026</x:v>
      </x:c>
      <x:c r="J21" s="4"/>
      <x:c r="K21" s="2"/>
      <x:c r="L21" s="2"/>
      <x:c r="M21" s="2"/>
      <x:c r="N21" s="2"/>
      <x:c r="O21" s="2"/>
    </x:row>
    <x:row r="22" ht="20" customHeight="1">
      <x:c r="A22" s="2"/>
      <x:c r="B22" s="2"/>
      <x:c r="C22" s="83" t="str">
        <x:v>Gross revenue</x:v>
      </x:c>
      <x:c r="D22" s="83"/>
      <x:c r="E22" s="88" t="n">
        <x:f>SUM(E12:G12)</x:f>
        <x:v>4635.688910112001</x:v>
      </x:c>
      <x:c r="F22" s="88" t="n">
        <x:f>SUM(H12:J12)</x:f>
        <x:v>11479.628195391284</x:v>
      </x:c>
      <x:c r="G22" s="88" t="n">
        <x:f>SUM(K12:M12)</x:f>
        <x:v>16793.057320400214</x:v>
      </x:c>
      <x:c r="H22" s="88" t="n">
        <x:f>SUM(N12:P12)</x:f>
        <x:v>20000.799957513787</x:v>
      </x:c>
      <x:c r="I22" s="88" t="n">
        <x:f>SUM(E22:H22)</x:f>
        <x:v>52909.17438341729</x:v>
      </x:c>
      <x:c r="J22" s="108"/>
      <x:c r="K22" s="2"/>
      <x:c r="L22" s="2"/>
      <x:c r="M22" s="2"/>
      <x:c r="N22" s="2"/>
      <x:c r="O22" s="2"/>
    </x:row>
    <x:row r="23" ht="20" customHeight="1">
      <x:c r="A23" s="2"/>
      <x:c r="B23" s="2"/>
      <x:c r="C23" s="2" t="str">
        <x:v>Net economic revenue</x:v>
      </x:c>
      <x:c r="D23" s="2"/>
      <x:c r="E23" s="63" t="n">
        <x:f>SUM(E15:G15)</x:f>
        <x:v>3998.2816849716014</x:v>
      </x:c>
      <x:c r="F23" s="63" t="n">
        <x:f>SUM(H15:J15)</x:f>
        <x:v>9901.179318524984</x:v>
      </x:c>
      <x:c r="G23" s="63" t="n">
        <x:f>SUM(K15:M15)</x:f>
        <x:v>14484.011938845186</x:v>
      </x:c>
      <x:c r="H23" s="63" t="n">
        <x:f>SUM(N15:P15)</x:f>
        <x:v>17250.689963355642</x:v>
      </x:c>
      <x:c r="I23" s="63" t="n">
        <x:f>SUM(E23:H23)</x:f>
        <x:v>45634.16290569742</x:v>
      </x:c>
      <x:c r="J23" s="4"/>
      <x:c r="K23" s="2"/>
      <x:c r="L23" s="2"/>
      <x:c r="M23" s="2"/>
      <x:c r="N23" s="2"/>
      <x:c r="O23" s="2"/>
    </x:row>
    <x:row r="24" ht="20" customHeight="1">
      <x:c r="A24" s="2"/>
      <x:c r="B24" s="2"/>
      <x:c r="C24" s="2" t="str">
        <x:v>Quarterly gross revenue growth</x:v>
      </x:c>
      <x:c r="D24" s="2"/>
      <x:c r="E24" s="70" t="str">
        <x:f>"n.a."</x:f>
        <x:v>n.a.</x:v>
      </x:c>
      <x:c r="F24" s="70" t="n">
        <x:f>F22/E22-1</x:f>
        <x:v>1.4763586206896546</x:v>
      </x:c>
      <x:c r="G24" s="70" t="n">
        <x:f>G22/F22-1</x:f>
        <x:v>0.46285724890829716</x:v>
      </x:c>
      <x:c r="H24" s="70" t="n">
        <x:f>H22/G22-1</x:f>
        <x:v>0.1910160000000003</x:v>
      </x:c>
      <x:c r="I24" s="4"/>
      <x:c r="J24" s="4"/>
      <x:c r="K24" s="2"/>
      <x:c r="L24" s="2"/>
      <x:c r="M24" s="2"/>
      <x:c r="N24" s="2"/>
      <x:c r="O24" s="2"/>
    </x:row>
    <x:row r="25" ht="20" customHeight="1">
      <x:c r="A25" s="2"/>
      <x:c r="B25" s="2"/>
      <x:c r="C25" s="2"/>
      <x:c r="D25" s="2"/>
      <x:c r="E25" s="4"/>
      <x:c r="F25" s="4"/>
      <x:c r="G25" s="4"/>
      <x:c r="H25" s="4"/>
      <x:c r="I25" s="4"/>
      <x:c r="J25" s="4"/>
      <x:c r="K25" s="2"/>
      <x:c r="L25" s="2"/>
      <x:c r="M25" s="2"/>
      <x:c r="N25" s="2"/>
      <x:c r="O25" s="2"/>
    </x:row>
    <x:row r="26" ht="20" customHeight="1">
      <x:c r="A26" s="2"/>
      <x:c r="B26" s="2"/>
      <x:c r="C26" s="2"/>
      <x:c r="D26" s="2"/>
      <x:c r="E26" s="4"/>
      <x:c r="F26" s="4"/>
      <x:c r="G26" s="4"/>
      <x:c r="H26" s="4"/>
      <x:c r="I26" s="4"/>
      <x:c r="J26" s="4"/>
      <x:c r="K26" s="2"/>
      <x:c r="L26" s="2"/>
      <x:c r="M26" s="2"/>
      <x:c r="N26" s="2"/>
      <x:c r="O26" s="2"/>
    </x:row>
    <x:row r="27" ht="20" customHeight="1">
      <x:c r="A27" s="2"/>
      <x:c r="B27" s="2"/>
      <x:c r="C27" s="17" t="str">
        <x:v>Q4 scenarios preserve the house October–December monthly weights; they do not refit earlier months.</x:v>
      </x:c>
      <x:c r="D27" s="2"/>
      <x:c r="E27" s="4"/>
      <x:c r="F27" s="4"/>
      <x:c r="G27" s="4"/>
      <x:c r="H27" s="4"/>
      <x:c r="I27" s="4"/>
      <x:c r="J27" s="4"/>
      <x:c r="K27" s="2"/>
      <x:c r="L27" s="2"/>
      <x:c r="M27" s="2"/>
      <x:c r="N27" s="2"/>
      <x:c r="O27" s="2"/>
    </x:row>
    <x:row r="28" ht="20" customHeight="1">
      <x:c r="A28" s="2"/>
      <x:c r="B28" s="2"/>
      <x:c r="C28" s="17" t="str">
        <x:v>December annualized average is a run-rate proxy. It is not added to annual revenue and is not certified as exit ARR.</x:v>
      </x:c>
      <x:c r="D28" s="2"/>
      <x:c r="E28" s="4"/>
      <x:c r="F28" s="4"/>
      <x:c r="G28" s="4"/>
      <x:c r="H28" s="4"/>
      <x:c r="I28" s="4"/>
      <x:c r="J28" s="4"/>
      <x:c r="K28" s="2"/>
      <x:c r="L28" s="2"/>
      <x:c r="M28" s="2"/>
      <x:c r="N28" s="2"/>
      <x:c r="O28" s="2"/>
    </x:row>
    <x:row r="29" ht="20" customHeight="1">
      <x:c r="A29" s="2"/>
      <x:c r="B29" s="2"/>
      <x:c r="C29" s="17" t="str">
        <x:v>Monthly 2027 source cells are empty and quarterly zeros are mechanical; forecast 2027 onward is annual only.</x:v>
      </x:c>
      <x:c r="D29" s="2"/>
      <x:c r="E29" s="4"/>
      <x:c r="F29" s="4"/>
      <x:c r="G29" s="4"/>
      <x:c r="H29" s="4"/>
      <x:c r="I29" s="4"/>
      <x:c r="J29" s="4"/>
      <x:c r="K29" s="2"/>
      <x:c r="L29" s="2"/>
      <x:c r="M29" s="2"/>
      <x:c r="N29" s="2"/>
      <x:c r="O29" s="2"/>
    </x:row>
    <x:row r="30" ht="20" customHeight="1">
      <x:c r="A30" s="2"/>
      <x:c r="B30" s="2"/>
      <x:c r="C30" s="2"/>
      <x:c r="D30" s="2"/>
      <x:c r="E30" s="4"/>
      <x:c r="F30" s="4"/>
      <x:c r="G30" s="4"/>
      <x:c r="H30" s="4"/>
      <x:c r="I30" s="4"/>
      <x:c r="J30" s="4"/>
      <x:c r="K30" s="2"/>
      <x:c r="L30" s="2"/>
      <x:c r="M30" s="2"/>
      <x:c r="N30" s="2"/>
      <x:c r="O30" s="2"/>
    </x:row>
    <x:row r="31" ht="20" customHeight="1">
      <x:c r="A31" s="2"/>
      <x:c r="B31" s="2"/>
      <x:c r="C31" s="2"/>
      <x:c r="D31" s="2"/>
      <x:c r="E31" s="4"/>
      <x:c r="F31" s="4"/>
      <x:c r="G31" s="4"/>
      <x:c r="H31" s="4"/>
      <x:c r="I31" s="4"/>
      <x:c r="J31" s="4"/>
      <x:c r="K31" s="2"/>
      <x:c r="L31" s="2"/>
      <x:c r="M31" s="2"/>
      <x:c r="N31" s="2"/>
      <x:c r="O31" s="2"/>
    </x:row>
    <x:row r="32" ht="20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2"/>
      <x:c r="D34" s="2"/>
      <x:c r="E34" s="4"/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2"/>
      <x:c r="D35" s="2"/>
      <x:c r="E35" s="4"/>
      <x:c r="F35" s="4"/>
      <x:c r="G35" s="4"/>
      <x:c r="H35" s="4"/>
      <x:c r="I35" s="4"/>
      <x:c r="J35" s="4"/>
      <x:c r="K35" s="2"/>
      <x:c r="L35" s="2"/>
      <x:c r="M35" s="2"/>
      <x:c r="N35" s="2"/>
      <x:c r="O35" s="2"/>
    </x:row>
    <x:row r="36" ht="20" customHeight="1">
      <x:c r="A36" s="2"/>
      <x:c r="B36" s="2"/>
      <x:c r="C36" s="2"/>
      <x:c r="D36" s="2"/>
      <x:c r="E36" s="4"/>
      <x:c r="F36" s="4"/>
      <x:c r="G36" s="4"/>
      <x:c r="H36" s="4"/>
      <x:c r="I36" s="4"/>
      <x:c r="J36" s="4"/>
      <x:c r="K36" s="2"/>
      <x:c r="L36" s="2"/>
      <x:c r="M36" s="2"/>
      <x:c r="N36" s="2"/>
      <x:c r="O36" s="2"/>
    </x:row>
    <x:row r="37" ht="20" customHeight="1">
      <x:c r="A37" s="2"/>
      <x:c r="B37" s="2"/>
      <x:c r="C37" s="2"/>
      <x:c r="D37" s="2"/>
      <x:c r="E37" s="4"/>
      <x:c r="F37" s="4"/>
      <x:c r="G37" s="4"/>
      <x:c r="H37" s="4"/>
      <x:c r="I37" s="4"/>
      <x:c r="J37" s="4"/>
      <x:c r="K37" s="2"/>
      <x:c r="L37" s="2"/>
      <x:c r="M37" s="2"/>
      <x:c r="N37" s="2"/>
      <x:c r="O37" s="2"/>
    </x:row>
    <x:row r="38" ht="20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2"/>
      <x:c r="L38" s="2"/>
      <x:c r="M38" s="2"/>
      <x:c r="N38" s="2"/>
      <x:c r="O38" s="2"/>
    </x:row>
    <x:row r="39" ht="20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2"/>
      <x:c r="L40" s="2"/>
      <x:c r="M40" s="2"/>
      <x:c r="N40" s="2"/>
      <x:c r="O40" s="2"/>
    </x:row>
    <x:row r="41" ht="20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0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2"/>
      <x:c r="L44" s="2"/>
      <x:c r="M44" s="2"/>
      <x:c r="N44" s="2"/>
      <x:c r="O44" s="2"/>
    </x:row>
    <x:row r="45" ht="20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2"/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2"/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4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Compute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GW-year equivalents use the house rental benchmark. Facility-vs-IT basis is unconfirmed; do not sum with deal MW.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million, calendar years</x:v>
      </x:c>
      <x:c r="D8" s="15" t="str">
        <x:v>Basis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2"/>
      <x:c r="L8" s="2"/>
      <x:c r="M8" s="2"/>
      <x:c r="N8" s="2"/>
      <x:c r="O8" s="2"/>
    </x:row>
    <x:row r="9" ht="20" customHeight="1">
      <x:c r="A9" s="2"/>
      <x:c r="B9" s="2"/>
      <x:c r="C9" s="2"/>
      <x:c r="D9" s="2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</x:row>
    <x:row r="10" ht="20" customHeight="1">
      <x:c r="A10" s="2"/>
      <x:c r="B10" s="2"/>
      <x:c r="C10" s="2" t="str">
        <x:v>Average 1P capacity, house GW</x:v>
      </x:c>
      <x:c r="D10" s="2"/>
      <x:c r="E10" s="132" t="n">
        <x:f>'Drivers'!E42</x:f>
        <x:v>0</x:v>
      </x:c>
      <x:c r="F10" s="132" t="n">
        <x:f>'Drivers'!F42</x:f>
        <x:v>0.25</x:v>
      </x:c>
      <x:c r="G10" s="132" t="n">
        <x:f>'Drivers'!G42</x:f>
        <x:v>2</x:v>
      </x:c>
      <x:c r="H10" s="132" t="n">
        <x:f>'Drivers'!H42</x:f>
        <x:v>7.25</x:v>
      </x:c>
      <x:c r="I10" s="132" t="n">
        <x:f>'Drivers'!I42</x:f>
        <x:v>13.5</x:v>
      </x:c>
      <x:c r="J10" s="132" t="n">
        <x:f>'Drivers'!J42</x:f>
        <x:v>16</x:v>
      </x:c>
      <x:c r="K10" s="2"/>
      <x:c r="L10" s="2"/>
      <x:c r="M10" s="2"/>
      <x:c r="N10" s="2"/>
      <x:c r="O10" s="2"/>
    </x:row>
    <x:row r="11" ht="20" customHeight="1">
      <x:c r="A11" s="2"/>
      <x:c r="B11" s="2"/>
      <x:c r="C11" s="2" t="str">
        <x:v>Rental equivalent / GW-year, USDm</x:v>
      </x:c>
      <x:c r="D11" s="2"/>
      <x:c r="E11" s="62" t="n">
        <x:f>'Drivers'!E43</x:f>
        <x:v>11000</x:v>
      </x:c>
      <x:c r="F11" s="62" t="n">
        <x:f>'Drivers'!F43</x:f>
        <x:v>12500</x:v>
      </x:c>
      <x:c r="G11" s="62" t="n">
        <x:f>'Drivers'!G43</x:f>
        <x:v>13666.666666666666</x:v>
      </x:c>
      <x:c r="H11" s="62" t="n">
        <x:f>'Drivers'!H43</x:f>
        <x:v>13666.666666666666</x:v>
      </x:c>
      <x:c r="I11" s="62" t="n">
        <x:f>'Drivers'!I43</x:f>
        <x:v>13666.666666666666</x:v>
      </x:c>
      <x:c r="J11" s="62" t="n">
        <x:f>'Drivers'!J43</x:f>
        <x:v>13666.666666666666</x:v>
      </x:c>
      <x:c r="K11" s="2"/>
      <x:c r="L11" s="2"/>
      <x:c r="M11" s="2"/>
      <x:c r="N11" s="2"/>
      <x:c r="O11" s="2"/>
    </x:row>
    <x:row r="12" ht="20" customHeight="1">
      <x:c r="A12" s="2"/>
      <x:c r="B12" s="2"/>
      <x:c r="C12" s="83" t="str">
        <x:v>Embedded 1P compute equivalent</x:v>
      </x:c>
      <x:c r="D12" s="83"/>
      <x:c r="E12" s="88" t="n">
        <x:f>E10*E11</x:f>
        <x:v>0</x:v>
      </x:c>
      <x:c r="F12" s="88" t="n">
        <x:f>F10*F11</x:f>
        <x:v>3125</x:v>
      </x:c>
      <x:c r="G12" s="88" t="n">
        <x:f>G10*G11</x:f>
        <x:v>27333.333333333332</x:v>
      </x:c>
      <x:c r="H12" s="88" t="n">
        <x:f>H10*H11</x:f>
        <x:v>99083.33333333333</x:v>
      </x:c>
      <x:c r="I12" s="88" t="n">
        <x:f>I10*I11</x:f>
        <x:v>184500</x:v>
      </x:c>
      <x:c r="J12" s="88" t="n">
        <x:f>J10*J11</x:f>
        <x:v>218666.66666666666</x:v>
      </x:c>
      <x:c r="K12" s="2"/>
      <x:c r="L12" s="2"/>
      <x:c r="M12" s="2"/>
      <x:c r="N12" s="2"/>
      <x:c r="O12" s="2"/>
    </x:row>
    <x:row r="13" ht="20" customHeight="1">
      <x:c r="A13" s="2"/>
      <x:c r="B13" s="2"/>
      <x:c r="C13" s="2" t="str">
        <x:v>Allocation to training</x:v>
      </x:c>
      <x:c r="D13" s="2"/>
      <x:c r="E13" s="70" t="str">
        <x:f>"n.a."</x:f>
        <x:v>n.a.</x:v>
      </x:c>
      <x:c r="F13" s="71" t="n">
        <x:f>'Drivers'!F44</x:f>
        <x:v>0.5</x:v>
      </x:c>
      <x:c r="G13" s="71" t="n">
        <x:f>'Drivers'!G44</x:f>
        <x:v>0.5</x:v>
      </x:c>
      <x:c r="H13" s="71" t="n">
        <x:f>'Drivers'!H44</x:f>
        <x:v>0.5</x:v>
      </x:c>
      <x:c r="I13" s="71" t="n">
        <x:f>'Drivers'!I44</x:f>
        <x:v>0.5</x:v>
      </x:c>
      <x:c r="J13" s="71" t="n">
        <x:f>'Drivers'!J44</x:f>
        <x:v>0.5</x:v>
      </x:c>
      <x:c r="K13" s="2"/>
      <x:c r="L13" s="2"/>
      <x:c r="M13" s="2"/>
      <x:c r="N13" s="2"/>
      <x:c r="O13" s="2"/>
    </x:row>
    <x:row r="14" ht="20" customHeight="1">
      <x:c r="A14" s="2"/>
      <x:c r="B14" s="2"/>
      <x:c r="C14" s="2" t="str">
        <x:v>Embedded 1P training equivalent</x:v>
      </x:c>
      <x:c r="D14" s="2"/>
      <x:c r="E14" s="63" t="n">
        <x:f>0</x:f>
        <x:v>0</x:v>
      </x:c>
      <x:c r="F14" s="63" t="n">
        <x:f>F12*F13</x:f>
        <x:v>1562.5</x:v>
      </x:c>
      <x:c r="G14" s="63" t="n">
        <x:f>G12*G13</x:f>
        <x:v>13666.666666666666</x:v>
      </x:c>
      <x:c r="H14" s="63" t="n">
        <x:f>H12*H13</x:f>
        <x:v>49541.666666666664</x:v>
      </x:c>
      <x:c r="I14" s="63" t="n">
        <x:f>I12*I13</x:f>
        <x:v>92250</x:v>
      </x:c>
      <x:c r="J14" s="63" t="n">
        <x:f>J12*J13</x:f>
        <x:v>109333.33333333333</x:v>
      </x:c>
      <x:c r="K14" s="2"/>
      <x:c r="L14" s="2"/>
      <x:c r="M14" s="2"/>
      <x:c r="N14" s="2"/>
      <x:c r="O14" s="2"/>
    </x:row>
    <x:row r="15" ht="20" customHeight="1">
      <x:c r="A15" s="2"/>
      <x:c r="B15" s="2"/>
      <x:c r="C15" s="2" t="str">
        <x:v>Embedded 1P inference equivalent</x:v>
      </x:c>
      <x:c r="D15" s="2"/>
      <x:c r="E15" s="63" t="n">
        <x:f>E12-E14</x:f>
        <x:v>0</x:v>
      </x:c>
      <x:c r="F15" s="63" t="n">
        <x:f>F12-F14</x:f>
        <x:v>1562.5</x:v>
      </x:c>
      <x:c r="G15" s="63" t="n">
        <x:f>G12-G14</x:f>
        <x:v>13666.666666666666</x:v>
      </x:c>
      <x:c r="H15" s="63" t="n">
        <x:f>H12-H14</x:f>
        <x:v>49541.666666666664</x:v>
      </x:c>
      <x:c r="I15" s="63" t="n">
        <x:f>I12-I14</x:f>
        <x:v>92250</x:v>
      </x:c>
      <x:c r="J15" s="63" t="n">
        <x:f>J12-J14</x:f>
        <x:v>109333.33333333333</x:v>
      </x:c>
      <x:c r="K15" s="2"/>
      <x:c r="L15" s="2"/>
      <x:c r="M15" s="2"/>
      <x:c r="N15" s="2"/>
      <x:c r="O15" s="2"/>
    </x:row>
    <x:row r="16" ht="20" customHeight="1">
      <x:c r="A16" s="2"/>
      <x:c r="B16" s="2"/>
      <x:c r="C16" s="2"/>
      <x:c r="D16" s="2"/>
      <x:c r="E16" s="4"/>
      <x:c r="F16" s="4"/>
      <x:c r="G16" s="4"/>
      <x:c r="H16" s="4"/>
      <x:c r="I16" s="4"/>
      <x:c r="J16" s="4"/>
      <x:c r="K16" s="2"/>
      <x:c r="L16" s="2"/>
      <x:c r="M16" s="2"/>
      <x:c r="N16" s="2"/>
      <x:c r="O16" s="2"/>
    </x:row>
    <x:row r="17" ht="20" customHeight="1">
      <x:c r="A17" s="2"/>
      <x:c r="B17" s="2"/>
      <x:c r="C17" s="2" t="str">
        <x:v>Total training compute cost</x:v>
      </x:c>
      <x:c r="D17" s="2"/>
      <x:c r="E17" s="62" t="n">
        <x:f>'Operating'!E28</x:f>
        <x:v>4000</x:v>
      </x:c>
      <x:c r="F17" s="62" t="n">
        <x:f>'Operating'!F28</x:f>
        <x:v>12854.90346445185</x:v>
      </x:c>
      <x:c r="G17" s="62" t="n">
        <x:f>'Operating'!G28</x:f>
        <x:v>27500</x:v>
      </x:c>
      <x:c r="H17" s="62" t="n">
        <x:f>'Operating'!H28</x:f>
        <x:v>70000</x:v>
      </x:c>
      <x:c r="I17" s="62" t="n">
        <x:f>'Operating'!I28</x:f>
        <x:v>100000</x:v>
      </x:c>
      <x:c r="J17" s="62" t="n">
        <x:f>'Operating'!J28</x:f>
        <x:v>120000</x:v>
      </x:c>
      <x:c r="K17" s="2"/>
      <x:c r="L17" s="2"/>
      <x:c r="M17" s="2"/>
      <x:c r="N17" s="2"/>
      <x:c r="O17" s="2"/>
    </x:row>
    <x:row r="18" ht="20" customHeight="1">
      <x:c r="A18" s="2"/>
      <x:c r="B18" s="2"/>
      <x:c r="C18" s="2" t="str">
        <x:v>Total inference compute cost</x:v>
      </x:c>
      <x:c r="D18" s="2"/>
      <x:c r="E18" s="62" t="n">
        <x:f>'Operating'!E23</x:f>
        <x:v>2700</x:v>
      </x:c>
      <x:c r="F18" s="62" t="n">
        <x:f>'Operating'!F23</x:f>
        <x:v>9523.651389015115</x:v>
      </x:c>
      <x:c r="G18" s="62" t="n">
        <x:f>'Operating'!G23</x:f>
        <x:v>38611.845028909054</x:v>
      </x:c>
      <x:c r="H18" s="62" t="n">
        <x:f>'Operating'!H23</x:f>
        <x:v>78000.00000000001</x:v>
      </x:c>
      <x:c r="I18" s="62" t="n">
        <x:f>'Operating'!I23</x:f>
        <x:v>121298.47774776943</x:v>
      </x:c>
      <x:c r="J18" s="62" t="n">
        <x:f>'Operating'!J23</x:f>
        <x:v>160374.13289280873</x:v>
      </x:c>
      <x:c r="K18" s="2"/>
      <x:c r="L18" s="2"/>
      <x:c r="M18" s="2"/>
      <x:c r="N18" s="2"/>
      <x:c r="O18" s="2"/>
    </x:row>
    <x:row r="19" ht="20" customHeight="1">
      <x:c r="A19" s="2"/>
      <x:c r="B19" s="2"/>
      <x:c r="C19" s="2" t="str">
        <x:v>Remaining rented training cost</x:v>
      </x:c>
      <x:c r="D19" s="2"/>
      <x:c r="E19" s="63" t="n">
        <x:f>E17-E14</x:f>
        <x:v>4000</x:v>
      </x:c>
      <x:c r="F19" s="63" t="n">
        <x:f>F17-F14</x:f>
        <x:v>11292.40346445185</x:v>
      </x:c>
      <x:c r="G19" s="63" t="n">
        <x:f>G17-G14</x:f>
        <x:v>13833.333333333334</x:v>
      </x:c>
      <x:c r="H19" s="63" t="n">
        <x:f>H17-H14</x:f>
        <x:v>20458.333333333336</x:v>
      </x:c>
      <x:c r="I19" s="63" t="n">
        <x:f>I17-I14</x:f>
        <x:v>7750</x:v>
      </x:c>
      <x:c r="J19" s="63" t="n">
        <x:f>J17-J14</x:f>
        <x:v>10666.666666666672</x:v>
      </x:c>
      <x:c r="K19" s="2"/>
      <x:c r="L19" s="2"/>
      <x:c r="M19" s="2"/>
      <x:c r="N19" s="2"/>
      <x:c r="O19" s="2"/>
    </x:row>
    <x:row r="20" ht="20" customHeight="1">
      <x:c r="A20" s="2"/>
      <x:c r="B20" s="2"/>
      <x:c r="C20" s="2" t="str">
        <x:v>Remaining rented inference cost</x:v>
      </x:c>
      <x:c r="D20" s="2"/>
      <x:c r="E20" s="63" t="n">
        <x:f>E18-E15</x:f>
        <x:v>2700</x:v>
      </x:c>
      <x:c r="F20" s="63" t="n">
        <x:f>F18-F15</x:f>
        <x:v>7961.151389015115</x:v>
      </x:c>
      <x:c r="G20" s="63" t="n">
        <x:f>G18-G15</x:f>
        <x:v>24945.17836224239</x:v>
      </x:c>
      <x:c r="H20" s="63" t="n">
        <x:f>H18-H15</x:f>
        <x:v>28458.33333333335</x:v>
      </x:c>
      <x:c r="I20" s="63" t="n">
        <x:f>I18-I15</x:f>
        <x:v>29048.47774776943</x:v>
      </x:c>
      <x:c r="J20" s="63" t="n">
        <x:f>J18-J15</x:f>
        <x:v>51040.7995594754</x:v>
      </x:c>
      <x:c r="K20" s="2"/>
      <x:c r="L20" s="2"/>
      <x:c r="M20" s="2"/>
      <x:c r="N20" s="2"/>
      <x:c r="O20" s="2"/>
    </x:row>
    <x:row r="21" ht="20" customHeight="1">
      <x:c r="A21" s="2"/>
      <x:c r="B21" s="2"/>
      <x:c r="C21" s="83" t="str">
        <x:v>Total compute cost</x:v>
      </x:c>
      <x:c r="D21" s="83"/>
      <x:c r="E21" s="88" t="n">
        <x:f>SUM(E17:E18)</x:f>
        <x:v>6700</x:v>
      </x:c>
      <x:c r="F21" s="88" t="n">
        <x:f>SUM(F17:F18)</x:f>
        <x:v>22378.554853466965</x:v>
      </x:c>
      <x:c r="G21" s="88" t="n">
        <x:f>SUM(G17:G18)</x:f>
        <x:v>66111.84502890905</x:v>
      </x:c>
      <x:c r="H21" s="88" t="n">
        <x:f>SUM(H17:H18)</x:f>
        <x:v>148000</x:v>
      </x:c>
      <x:c r="I21" s="88" t="n">
        <x:f>SUM(I17:I18)</x:f>
        <x:v>221298.47774776944</x:v>
      </x:c>
      <x:c r="J21" s="88" t="n">
        <x:f>SUM(J17:J18)</x:f>
        <x:v>280374.13289280876</x:v>
      </x:c>
      <x:c r="K21" s="2"/>
      <x:c r="L21" s="2"/>
      <x:c r="M21" s="2"/>
      <x:c r="N21" s="2"/>
      <x:c r="O21" s="2"/>
    </x:row>
    <x:row r="22" ht="20" customHeight="1">
      <x:c r="A22" s="2"/>
      <x:c r="B22" s="2"/>
      <x:c r="C22" s="2"/>
      <x:c r="D22" s="2"/>
      <x:c r="E22" s="4"/>
      <x:c r="F22" s="4"/>
      <x:c r="G22" s="4"/>
      <x:c r="H22" s="4"/>
      <x:c r="I22" s="4"/>
      <x:c r="J22" s="4"/>
      <x:c r="K22" s="2"/>
      <x:c r="L22" s="2"/>
      <x:c r="M22" s="2"/>
      <x:c r="N22" s="2"/>
      <x:c r="O22" s="2"/>
    </x:row>
    <x:row r="23" ht="20" customHeight="1">
      <x:c r="A23" s="2"/>
      <x:c r="B23" s="2"/>
      <x:c r="C23" s="2" t="str">
        <x:v>Training GW-year equivalent</x:v>
      </x:c>
      <x:c r="D23" s="2"/>
      <x:c r="E23" s="134" t="n">
        <x:f>E17/E11</x:f>
        <x:v>0.36363636363636365</x:v>
      </x:c>
      <x:c r="F23" s="134" t="n">
        <x:f>F17/F11</x:f>
        <x:v>1.028392277156148</x:v>
      </x:c>
      <x:c r="G23" s="134" t="n">
        <x:f>G17/G11</x:f>
        <x:v>2.0121951219512195</x:v>
      </x:c>
      <x:c r="H23" s="134" t="n">
        <x:f>H17/H11</x:f>
        <x:v>5.121951219512195</x:v>
      </x:c>
      <x:c r="I23" s="134" t="n">
        <x:f>I17/I11</x:f>
        <x:v>7.317073170731708</x:v>
      </x:c>
      <x:c r="J23" s="134" t="n">
        <x:f>J17/J11</x:f>
        <x:v>8.78048780487805</x:v>
      </x:c>
      <x:c r="K23" s="2"/>
      <x:c r="L23" s="2"/>
      <x:c r="M23" s="2"/>
      <x:c r="N23" s="2"/>
      <x:c r="O23" s="2"/>
    </x:row>
    <x:row r="24" ht="20" customHeight="1">
      <x:c r="A24" s="2"/>
      <x:c r="B24" s="2"/>
      <x:c r="C24" s="2" t="str">
        <x:v>Inference GW-year equivalent</x:v>
      </x:c>
      <x:c r="D24" s="2"/>
      <x:c r="E24" s="134" t="n">
        <x:f>E18/E11</x:f>
        <x:v>0.24545454545454545</x:v>
      </x:c>
      <x:c r="F24" s="134" t="n">
        <x:f>F18/F11</x:f>
        <x:v>0.7618921111212091</x:v>
      </x:c>
      <x:c r="G24" s="134" t="n">
        <x:f>G18/G11</x:f>
        <x:v>2.825256953334809</x:v>
      </x:c>
      <x:c r="H24" s="134" t="n">
        <x:f>H18/H11</x:f>
        <x:v>5.707317073170733</x:v>
      </x:c>
      <x:c r="I24" s="134" t="n">
        <x:f>I18/I11</x:f>
        <x:v>8.875498371788007</x:v>
      </x:c>
      <x:c r="J24" s="134" t="n">
        <x:f>J18/J11</x:f>
        <x:v>11.734692650693322</x:v>
      </x:c>
      <x:c r="K24" s="2"/>
      <x:c r="L24" s="2"/>
      <x:c r="M24" s="2"/>
      <x:c r="N24" s="2"/>
      <x:c r="O24" s="2"/>
    </x:row>
    <x:row r="25" ht="20" customHeight="1">
      <x:c r="A25" s="2"/>
      <x:c r="B25" s="2"/>
      <x:c r="C25" s="83" t="str">
        <x:v>Total GW-year equivalent</x:v>
      </x:c>
      <x:c r="D25" s="83"/>
      <x:c r="E25" s="135" t="n">
        <x:f>SUM(E23:E24)</x:f>
        <x:v>0.6090909090909091</x:v>
      </x:c>
      <x:c r="F25" s="135" t="n">
        <x:f>SUM(F23:F24)</x:f>
        <x:v>1.7902843882773571</x:v>
      </x:c>
      <x:c r="G25" s="135" t="n">
        <x:f>SUM(G23:G24)</x:f>
        <x:v>4.837452075286029</x:v>
      </x:c>
      <x:c r="H25" s="135" t="n">
        <x:f>SUM(H23:H24)</x:f>
        <x:v>10.82926829268293</x:v>
      </x:c>
      <x:c r="I25" s="135" t="n">
        <x:f>SUM(I23:I24)</x:f>
        <x:v>16.192571542519715</x:v>
      </x:c>
      <x:c r="J25" s="135" t="n">
        <x:f>SUM(J23:J24)</x:f>
        <x:v>20.51518045557137</x:v>
      </x:c>
      <x:c r="K25" s="2"/>
      <x:c r="L25" s="2"/>
      <x:c r="M25" s="2"/>
      <x:c r="N25" s="2"/>
      <x:c r="O25" s="2"/>
    </x:row>
    <x:row r="26" ht="20" customHeight="1">
      <x:c r="A26" s="2"/>
      <x:c r="B26" s="2"/>
      <x:c r="C26" s="2"/>
      <x:c r="D26" s="2"/>
      <x:c r="E26" s="4"/>
      <x:c r="F26" s="4"/>
      <x:c r="G26" s="4"/>
      <x:c r="H26" s="4"/>
      <x:c r="I26" s="4"/>
      <x:c r="J26" s="4"/>
      <x:c r="K26" s="2"/>
      <x:c r="L26" s="2"/>
      <x:c r="M26" s="2"/>
      <x:c r="N26" s="2"/>
      <x:c r="O26" s="2"/>
    </x:row>
    <x:row r="27" ht="20" customHeight="1">
      <x:c r="A27" s="2"/>
      <x:c r="B27" s="2"/>
      <x:c r="C27" s="89" t="str">
        <x:v>Gross revenue / inference GW-year</x:v>
      </x:c>
      <x:c r="D27" s="110" t="str">
        <x:v>PARTIAL</x:v>
      </x:c>
      <x:c r="E27" s="111" t="n">
        <x:f>'Operating'!E10/E24</x:f>
        <x:v>18333.333333333332</x:v>
      </x:c>
      <x:c r="F27" s="111" t="n">
        <x:f>'Operating'!F10/F24</x:f>
        <x:v>69444.44444444442</x:v>
      </x:c>
      <x:c r="G27" s="111" t="n">
        <x:f>'Operating'!G10/G24</x:f>
        <x:v>54666.666666666664</x:v>
      </x:c>
      <x:c r="H27" s="111" t="n">
        <x:f>'Operating'!H10/H24</x:f>
        <x:v>45555.55555555554</x:v>
      </x:c>
      <x:c r="I27" s="111" t="n">
        <x:f>'Operating'!I10/I24</x:f>
        <x:v>45067.89176723361</x:v>
      </x:c>
      <x:c r="J27" s="111" t="n">
        <x:f>'Operating'!J10/J24</x:f>
        <x:v>46869.5701175867</x:v>
      </x:c>
      <x:c r="K27" s="2"/>
      <x:c r="L27" s="2" t="str">
        <x:v>Capstone 15-Oct-26: Anthropic!AA8:AD8 = revenue / inference GW; extended to 2030.</x:v>
      </x:c>
      <x:c r="M27" s="2"/>
      <x:c r="N27" s="2"/>
      <x:c r="O27" s="2"/>
    </x:row>
    <x:row r="28" ht="20" customHeight="1">
      <x:c r="A28" s="2"/>
      <x:c r="B28" s="2"/>
      <x:c r="C28" s="89" t="str">
        <x:v>1P rental equivalent / total compute</x:v>
      </x:c>
      <x:c r="D28" s="89"/>
      <x:c r="E28" s="90" t="n">
        <x:f>E12/E21</x:f>
        <x:v>0</x:v>
      </x:c>
      <x:c r="F28" s="90" t="n">
        <x:f>F12/F21</x:f>
        <x:v>0.13964261859008575</x:v>
      </x:c>
      <x:c r="G28" s="90" t="n">
        <x:f>G12/G21</x:f>
        <x:v>0.41344078843029036</x:v>
      </x:c>
      <x:c r="H28" s="90" t="n">
        <x:f>H12/H21</x:f>
        <x:v>0.6694819819819819</x:v>
      </x:c>
      <x:c r="I28" s="90" t="n">
        <x:f>I12/I21</x:f>
        <x:v>0.8337156309330268</x:v>
      </x:c>
      <x:c r="J28" s="90" t="n">
        <x:f>J12/J21</x:f>
        <x:v>0.779910273499682</x:v>
      </x:c>
      <x:c r="K28" s="2"/>
      <x:c r="L28" s="2"/>
      <x:c r="M28" s="2"/>
      <x:c r="N28" s="2"/>
      <x:c r="O28" s="2"/>
    </x:row>
    <x:row r="29" ht="20" customHeight="1">
      <x:c r="A29" s="2"/>
      <x:c r="B29" s="2"/>
      <x:c r="C29" s="2" t="str">
        <x:v>Average direct GW demand, cloud + 1P</x:v>
      </x:c>
      <x:c r="D29" s="23" t="str">
        <x:v>HARD</x:v>
      </x:c>
      <x:c r="E29" s="132" t="n">
        <x:f>'Sources'!E25</x:f>
        <x:v>0.5355772662480904</x:v>
      </x:c>
      <x:c r="F29" s="132" t="n">
        <x:f>'Sources'!F25</x:f>
        <x:v>1.665933325609163</x:v>
      </x:c>
      <x:c r="G29" s="132" t="n">
        <x:f>'Sources'!G25</x:f>
        <x:v>4.817132039404999</x:v>
      </x:c>
      <x:c r="H29" s="132" t="n">
        <x:f>'Sources'!H25</x:f>
        <x:v>11.249622076699264</x:v>
      </x:c>
      <x:c r="I29" s="132" t="n">
        <x:f>'Sources'!I25</x:f>
        <x:v>16.801225691734324</x:v>
      </x:c>
      <x:c r="J29" s="132" t="n">
        <x:f>'Sources'!J25</x:f>
        <x:v>21.21579661749546</x:v>
      </x:c>
      <x:c r="K29" s="2"/>
      <x:c r="L29" s="2" t="str">
        <x:v>Capstone 15-Oct-26: Anthropic!AA85:AF85. Fixed house denominator across scenarios.</x:v>
      </x:c>
      <x:c r="M29" s="2"/>
      <x:c r="N29" s="2"/>
      <x:c r="O29" s="2"/>
    </x:row>
    <x:row r="30" ht="20" customHeight="1">
      <x:c r="A30" s="2"/>
      <x:c r="B30" s="2"/>
      <x:c r="C30" s="89" t="str">
        <x:v>Compute cost / avg direct GW-year</x:v>
      </x:c>
      <x:c r="D30" s="110" t="str">
        <x:v>PARTIAL</x:v>
      </x:c>
      <x:c r="E30" s="112" t="n">
        <x:f>IF(AND(ISNUMBER(E29),E29&gt;0),E21/E29,"n.a.")</x:f>
        <x:v>12509.86631104768</x:v>
      </x:c>
      <x:c r="F30" s="112" t="n">
        <x:f>IF(AND(ISNUMBER(F29),F29&gt;0),F21/F29,"n.a.")</x:f>
        <x:v>13433.04351348158</x:v>
      </x:c>
      <x:c r="G30" s="112" t="n">
        <x:f>IF(AND(ISNUMBER(G29),G29&gt;0),G21/G29,"n.a.")</x:f>
        <x:v>13724.316561826075</x:v>
      </x:c>
      <x:c r="H30" s="112" t="n">
        <x:f>IF(AND(ISNUMBER(H29),H29&gt;0),H21/H29,"n.a.")</x:f>
        <x:v>13155.997507377997</x:v>
      </x:c>
      <x:c r="I30" s="112" t="n">
        <x:f>IF(AND(ISNUMBER(I29),I29&gt;0),I21/I29,"n.a.")</x:f>
        <x:v>13171.56746823783</x:v>
      </x:c>
      <x:c r="J30" s="112" t="n">
        <x:f>IF(AND(ISNUMBER(J29),J29&gt;0),J21/J29,"n.a.")</x:f>
        <x:v>13215.34788194567</x:v>
      </x:c>
      <x:c r="K30" s="2"/>
      <x:c r="L30" s="2" t="str">
        <x:v>Capstone 15-Oct-26: Anthropic!AB34:AD34 = row 35 / row 85; extended to 2025 and 2029–30.</x:v>
      </x:c>
      <x:c r="M30" s="2"/>
      <x:c r="N30" s="2"/>
      <x:c r="O30" s="2"/>
    </x:row>
    <x:row r="31" ht="20" customHeight="1">
      <x:c r="A31" s="2"/>
      <x:c r="B31" s="2"/>
      <x:c r="C31" s="2"/>
      <x:c r="D31" s="2"/>
      <x:c r="E31" s="4"/>
      <x:c r="F31" s="4"/>
      <x:c r="G31" s="4"/>
      <x:c r="H31" s="4"/>
      <x:c r="I31" s="4"/>
      <x:c r="J31" s="4"/>
      <x:c r="K31" s="2"/>
      <x:c r="L31" s="2"/>
      <x:c r="M31" s="2"/>
      <x:c r="N31" s="2"/>
      <x:c r="O31" s="2"/>
    </x:row>
    <x:row r="32" ht="20" customHeight="1">
      <x:c r="A32" s="2"/>
      <x:c r="B32" s="2"/>
      <x:c r="C32" s="17" t="str">
        <x:v>The 1P equivalent is already embedded in inference and training costs. It is not added again.</x:v>
      </x:c>
      <x:c r="D32" s="2"/>
      <x:c r="E32" s="4"/>
      <x:c r="F32" s="4"/>
      <x:c r="G32" s="4"/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17" t="str">
        <x:v>Row 11 rental benchmark is the simple average of NVIDIA, TPU and Trainium inputs; it differs from row 30 cost/GW.</x:v>
      </x:c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17" t="str">
        <x:v>Cloud commitments, chip purchases, operator contracts and financing can overlap. No summed deal value enters this model.</x:v>
      </x:c>
      <x:c r="D34" s="2"/>
      <x:c r="E34" s="4"/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17" t="str">
        <x:v>No observed installed-capacity anchor on a matching basis: capacity calculations are internally consistent only.</x:v>
      </x:c>
      <x:c r="D35" s="2"/>
      <x:c r="E35" s="4"/>
      <x:c r="F35" s="4"/>
      <x:c r="G35" s="4"/>
      <x:c r="H35" s="4"/>
      <x:c r="I35" s="4"/>
      <x:c r="J35" s="4"/>
      <x:c r="K35" s="2"/>
      <x:c r="L35" s="2"/>
      <x:c r="M35" s="2"/>
      <x:c r="N35" s="2"/>
      <x:c r="O35" s="2"/>
    </x:row>
    <x:row r="36" ht="20" customHeight="1">
      <x:c r="A36" s="2"/>
      <x:c r="B36" s="2"/>
      <x:c r="C36" s="17" t="str">
        <x:v>Revenue/GW = gross revenue / inference GW. Cost/GW = annual training + inference spend / average direct GW.</x:v>
      </x:c>
      <x:c r="D36" s="2"/>
      <x:c r="E36" s="4"/>
      <x:c r="F36" s="4"/>
      <x:c r="G36" s="4"/>
      <x:c r="H36" s="4"/>
      <x:c r="I36" s="4"/>
      <x:c r="J36" s="4"/>
      <x:c r="K36" s="2"/>
      <x:c r="L36" s="2"/>
      <x:c r="M36" s="2"/>
      <x:c r="N36" s="2"/>
      <x:c r="O36" s="2"/>
    </x:row>
    <x:row r="37" ht="20" customHeight="1">
      <x:c r="A37" s="2"/>
      <x:c r="B37" s="2"/>
      <x:c r="C37" s="17" t="str">
        <x:v>Direct GW is model-implied cloud + 1P demand, fixed to house forecasts in scenarios; cost/GW varies with spending.</x:v>
      </x:c>
      <x:c r="D37" s="2"/>
      <x:c r="E37" s="4"/>
      <x:c r="F37" s="4"/>
      <x:c r="G37" s="4"/>
      <x:c r="H37" s="4"/>
      <x:c r="I37" s="4"/>
      <x:c r="J37" s="4"/>
      <x:c r="K37" s="2"/>
      <x:c r="L37" s="2"/>
      <x:c r="M37" s="2"/>
      <x:c r="N37" s="2"/>
      <x:c r="O37" s="2"/>
    </x:row>
    <x:row r="38" ht="20" customHeight="1">
      <x:c r="A38" s="2"/>
      <x:c r="B38" s="2"/>
      <x:c r="C38" s="17" t="str">
        <x:v>Capstone 15-Oct-26, Anthropic rows 8 and 34: existing ratios reconciled; blank years extended using the same formulas.</x:v>
      </x:c>
      <x:c r="D38" s="2"/>
      <x:c r="E38" s="4"/>
      <x:c r="F38" s="4"/>
      <x:c r="G38" s="4"/>
      <x:c r="H38" s="4"/>
      <x:c r="I38" s="4"/>
      <x:c r="J38" s="4"/>
      <x:c r="K38" s="2"/>
      <x:c r="L38" s="2"/>
      <x:c r="M38" s="2"/>
      <x:c r="N38" s="2"/>
      <x:c r="O38" s="2"/>
    </x:row>
    <x:row r="39" ht="20" customHeight="1">
      <x:c r="A39" s="2"/>
      <x:c r="B39" s="2"/>
      <x:c r="C39" s="17" t="str">
        <x:v>Revenue/inference GW = rental benchmark / (1 - inference GM); revenue cancels. This is not independent monetization evidence.</x:v>
      </x:c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2"/>
      <x:c r="L40" s="2"/>
      <x:c r="M40" s="2"/>
      <x:c r="N40" s="2"/>
      <x:c r="O40" s="2"/>
    </x:row>
    <x:row r="41" ht="20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0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2"/>
      <x:c r="L44" s="2"/>
      <x:c r="M44" s="2"/>
      <x:c r="N44" s="2"/>
      <x:c r="O44" s="2"/>
    </x:row>
    <x:row r="45" ht="20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2"/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2"/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4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Cash flow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Cash flow is unavailable until the amber inputs are completed. Enter actual zeros explicitly where justified.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million, calendar years</x:v>
      </x:c>
      <x:c r="D8" s="15" t="str">
        <x:v>Basis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2"/>
      <x:c r="L8" s="2"/>
      <x:c r="M8" s="2"/>
      <x:c r="N8" s="2"/>
      <x:c r="O8" s="2"/>
    </x:row>
    <x:row r="9" ht="20" customHeight="1">
      <x:c r="A9" s="2"/>
      <x:c r="B9" s="2"/>
      <x:c r="C9" s="2"/>
      <x:c r="D9" s="2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</x:row>
    <x:row r="10" ht="20" customHeight="1">
      <x:c r="A10" s="2"/>
      <x:c r="B10" s="2"/>
      <x:c r="C10" s="2" t="str">
        <x:v>Modeled operating surplus</x:v>
      </x:c>
      <x:c r="D10" s="2"/>
      <x:c r="E10" s="62" t="n">
        <x:f>'Operating'!E31</x:f>
        <x:v>-7060.416666666667</x:v>
      </x:c>
      <x:c r="F10" s="62" t="n">
        <x:f>'Operating'!F31</x:f>
        <x:v>13664.798829316029</x:v>
      </x:c>
      <x:c r="G10" s="62" t="n">
        <x:f>'Operating'!G31</x:f>
        <x:v>57822.667510614054</x:v>
      </x:c>
      <x:c r="H10" s="62" t="n">
        <x:f>'Operating'!H31</x:f>
        <x:v>32750</x:v>
      </x:c>
      <x:c r="I10" s="62" t="n">
        <x:f>'Operating'!I31</x:f>
        <x:v>4561.062135633198</x:v>
      </x:c>
      <x:c r="J10" s="62" t="n">
        <x:f>'Operating'!J31</x:f>
        <x:v>-20415.22148801462</x:v>
      </x:c>
      <x:c r="K10" s="2"/>
      <x:c r="L10" s="2"/>
      <x:c r="M10" s="2"/>
      <x:c r="N10" s="2"/>
      <x:c r="O10" s="2"/>
    </x:row>
    <x:row r="11" ht="20" customHeight="1">
      <x:c r="A11" s="2"/>
      <x:c r="B11" s="2"/>
      <x:c r="C11" s="2"/>
      <x:c r="D11" s="2"/>
      <x:c r="E11" s="4"/>
      <x:c r="F11" s="4"/>
      <x:c r="G11" s="4"/>
      <x:c r="H11" s="4"/>
      <x:c r="I11" s="4"/>
      <x:c r="J11" s="4"/>
      <x:c r="K11" s="2"/>
      <x:c r="L11" s="2"/>
      <x:c r="M11" s="2"/>
      <x:c r="N11" s="2"/>
      <x:c r="O11" s="2"/>
    </x:row>
    <x:row r="12" ht="20" customHeight="1">
      <x:c r="A12" s="2"/>
      <x:c r="B12" s="2"/>
      <x:c r="C12" s="2" t="str">
        <x:v>Noncash costs already included: add back</x:v>
      </x:c>
      <x:c r="D12" s="53" t="str">
        <x:v>MISSING</x:v>
      </x:c>
      <x:c r="E12" s="114"/>
      <x:c r="F12" s="114"/>
      <x:c r="G12" s="114"/>
      <x:c r="H12" s="114"/>
      <x:c r="I12" s="114"/>
      <x:c r="J12" s="114"/>
      <x:c r="K12" s="2"/>
      <x:c r="L12" s="2" t="str">
        <x:v>No house schedule supplied as of 15-Oct-26</x:v>
      </x:c>
      <x:c r="M12" s="2"/>
      <x:c r="N12" s="2"/>
      <x:c r="O12" s="2"/>
    </x:row>
    <x:row r="13" ht="20" customHeight="1">
      <x:c r="A13" s="2"/>
      <x:c r="B13" s="2"/>
      <x:c r="C13" s="2" t="str">
        <x:v>Cash taxes paid</x:v>
      </x:c>
      <x:c r="D13" s="53" t="str">
        <x:v>MISSING</x:v>
      </x:c>
      <x:c r="E13" s="114"/>
      <x:c r="F13" s="114"/>
      <x:c r="G13" s="114"/>
      <x:c r="H13" s="114"/>
      <x:c r="I13" s="114"/>
      <x:c r="J13" s="114"/>
      <x:c r="K13" s="2"/>
      <x:c r="L13" s="2" t="str">
        <x:v>No house schedule supplied as of 15-Oct-26</x:v>
      </x:c>
      <x:c r="M13" s="2"/>
      <x:c r="N13" s="2"/>
      <x:c r="O13" s="2"/>
    </x:row>
    <x:row r="14" ht="20" customHeight="1">
      <x:c r="A14" s="2"/>
      <x:c r="B14" s="2"/>
      <x:c r="C14" s="2" t="str">
        <x:v>Cash interest paid</x:v>
      </x:c>
      <x:c r="D14" s="53" t="str">
        <x:v>MISSING</x:v>
      </x:c>
      <x:c r="E14" s="114"/>
      <x:c r="F14" s="114"/>
      <x:c r="G14" s="114"/>
      <x:c r="H14" s="114"/>
      <x:c r="I14" s="114"/>
      <x:c r="J14" s="114"/>
      <x:c r="K14" s="2"/>
      <x:c r="L14" s="2" t="str">
        <x:v>No house schedule supplied as of 15-Oct-26</x:v>
      </x:c>
      <x:c r="M14" s="2"/>
      <x:c r="N14" s="2"/>
      <x:c r="O14" s="2"/>
    </x:row>
    <x:row r="15" ht="20" customHeight="1">
      <x:c r="A15" s="2"/>
      <x:c r="B15" s="2"/>
      <x:c r="C15" s="2" t="str">
        <x:v>Increase in working capital, excl. prepayments</x:v>
      </x:c>
      <x:c r="D15" s="53" t="str">
        <x:v>MISSING</x:v>
      </x:c>
      <x:c r="E15" s="114"/>
      <x:c r="F15" s="114"/>
      <x:c r="G15" s="114"/>
      <x:c r="H15" s="114"/>
      <x:c r="I15" s="114"/>
      <x:c r="J15" s="114"/>
      <x:c r="K15" s="2"/>
      <x:c r="L15" s="2" t="str">
        <x:v>No house schedule supplied as of 15-Oct-26</x:v>
      </x:c>
      <x:c r="M15" s="2"/>
      <x:c r="N15" s="2"/>
      <x:c r="O15" s="2"/>
    </x:row>
    <x:row r="16" ht="20" customHeight="1">
      <x:c r="A16" s="2"/>
      <x:c r="B16" s="2"/>
      <x:c r="C16" s="2" t="str">
        <x:v>Cash capex for assets paid by Anthropic</x:v>
      </x:c>
      <x:c r="D16" s="53" t="str">
        <x:v>MISSING</x:v>
      </x:c>
      <x:c r="E16" s="114"/>
      <x:c r="F16" s="114"/>
      <x:c r="G16" s="114"/>
      <x:c r="H16" s="114"/>
      <x:c r="I16" s="114"/>
      <x:c r="J16" s="114"/>
      <x:c r="K16" s="2"/>
      <x:c r="L16" s="2" t="str">
        <x:v>No house schedule supplied as of 15-Oct-26</x:v>
      </x:c>
      <x:c r="M16" s="2"/>
      <x:c r="N16" s="2"/>
      <x:c r="O16" s="2"/>
    </x:row>
    <x:row r="17" ht="20" customHeight="1">
      <x:c r="A17" s="2"/>
      <x:c r="B17" s="2"/>
      <x:c r="C17" s="2" t="str">
        <x:v>Increase in compute prepayments, excl. WC</x:v>
      </x:c>
      <x:c r="D17" s="53" t="str">
        <x:v>MISSING</x:v>
      </x:c>
      <x:c r="E17" s="114"/>
      <x:c r="F17" s="114"/>
      <x:c r="G17" s="114"/>
      <x:c r="H17" s="114"/>
      <x:c r="I17" s="114"/>
      <x:c r="J17" s="114"/>
      <x:c r="K17" s="2"/>
      <x:c r="L17" s="2" t="str">
        <x:v>No house schedule supplied as of 15-Oct-26</x:v>
      </x:c>
      <x:c r="M17" s="2"/>
      <x:c r="N17" s="2"/>
      <x:c r="O17" s="2"/>
    </x:row>
    <x:row r="18" ht="20" customHeight="1">
      <x:c r="A18" s="2"/>
      <x:c r="B18" s="2"/>
      <x:c r="C18" s="2" t="str">
        <x:v>Lease principal not included in operating costs</x:v>
      </x:c>
      <x:c r="D18" s="53" t="str">
        <x:v>MISSING</x:v>
      </x:c>
      <x:c r="E18" s="114"/>
      <x:c r="F18" s="114"/>
      <x:c r="G18" s="114"/>
      <x:c r="H18" s="114"/>
      <x:c r="I18" s="114"/>
      <x:c r="J18" s="114"/>
      <x:c r="K18" s="2"/>
      <x:c r="L18" s="2" t="str">
        <x:v>No house schedule supplied as of 15-Oct-26</x:v>
      </x:c>
      <x:c r="M18" s="2"/>
      <x:c r="N18" s="2"/>
      <x:c r="O18" s="2"/>
    </x:row>
    <x:row r="19" ht="20" customHeight="1">
      <x:c r="A19" s="2"/>
      <x:c r="B19" s="2"/>
      <x:c r="C19" s="2" t="str">
        <x:v>Other cash adjustments, signed</x:v>
      </x:c>
      <x:c r="D19" s="53" t="str">
        <x:v>MISSING</x:v>
      </x:c>
      <x:c r="E19" s="114"/>
      <x:c r="F19" s="114"/>
      <x:c r="G19" s="114"/>
      <x:c r="H19" s="114"/>
      <x:c r="I19" s="114"/>
      <x:c r="J19" s="114"/>
      <x:c r="K19" s="2"/>
      <x:c r="L19" s="2" t="str">
        <x:v>No house schedule supplied as of 15-Oct-26</x:v>
      </x:c>
      <x:c r="M19" s="2"/>
      <x:c r="N19" s="2"/>
      <x:c r="O19" s="2"/>
    </x:row>
    <x:row r="20" ht="20" customHeight="1">
      <x:c r="A20" s="2"/>
      <x:c r="B20" s="2"/>
      <x:c r="C20" s="2"/>
      <x:c r="D20" s="2"/>
      <x:c r="E20" s="4"/>
      <x:c r="F20" s="4"/>
      <x:c r="G20" s="4"/>
      <x:c r="H20" s="4"/>
      <x:c r="I20" s="4"/>
      <x:c r="J20" s="4"/>
      <x:c r="K20" s="2"/>
      <x:c r="L20" s="2"/>
      <x:c r="M20" s="2"/>
      <x:c r="N20" s="2"/>
      <x:c r="O20" s="2"/>
    </x:row>
    <x:row r="21" ht="20" customHeight="1">
      <x:c r="A21" s="2"/>
      <x:c r="B21" s="2"/>
      <x:c r="C21" s="83" t="str">
        <x:v>Cash flow before financing</x:v>
      </x:c>
      <x:c r="D21" s="83"/>
      <x:c r="E21" s="88" t="str">
        <x:f>IF(COUNT(E12:E19)=8,E10+E12-SUM(E13:E18)+E19,"n.a.")</x:f>
        <x:v>n.a.</x:v>
      </x:c>
      <x:c r="F21" s="88" t="str">
        <x:f>IF(COUNT(F12:F19)=8,F10+F12-SUM(F13:F18)+F19,"n.a.")</x:f>
        <x:v>n.a.</x:v>
      </x:c>
      <x:c r="G21" s="88" t="str">
        <x:f>IF(COUNT(G12:G19)=8,G10+G12-SUM(G13:G18)+G19,"n.a.")</x:f>
        <x:v>n.a.</x:v>
      </x:c>
      <x:c r="H21" s="88" t="str">
        <x:f>IF(COUNT(H12:H19)=8,H10+H12-SUM(H13:H18)+H19,"n.a.")</x:f>
        <x:v>n.a.</x:v>
      </x:c>
      <x:c r="I21" s="88" t="str">
        <x:f>IF(COUNT(I12:I19)=8,I10+I12-SUM(I13:I18)+I19,"n.a.")</x:f>
        <x:v>n.a.</x:v>
      </x:c>
      <x:c r="J21" s="88" t="str">
        <x:f>IF(COUNT(J12:J19)=8,J10+J12-SUM(J13:J18)+J19,"n.a.")</x:f>
        <x:v>n.a.</x:v>
      </x:c>
      <x:c r="K21" s="2"/>
      <x:c r="L21" s="2"/>
      <x:c r="M21" s="2"/>
      <x:c r="N21" s="2"/>
      <x:c r="O21" s="2"/>
    </x:row>
    <x:row r="22" ht="20" customHeight="1">
      <x:c r="A22" s="2"/>
      <x:c r="B22" s="2"/>
      <x:c r="C22" s="2"/>
      <x:c r="D22" s="2"/>
      <x:c r="E22" s="4"/>
      <x:c r="F22" s="4"/>
      <x:c r="G22" s="4"/>
      <x:c r="H22" s="4"/>
      <x:c r="I22" s="4"/>
      <x:c r="J22" s="4"/>
      <x:c r="K22" s="2"/>
      <x:c r="L22" s="2"/>
      <x:c r="M22" s="2"/>
      <x:c r="N22" s="2"/>
      <x:c r="O22" s="2"/>
    </x:row>
    <x:row r="23" ht="20" customHeight="1">
      <x:c r="A23" s="2"/>
      <x:c r="B23" s="2"/>
      <x:c r="C23" s="2" t="str">
        <x:v>Beginning cash</x:v>
      </x:c>
      <x:c r="D23" s="2"/>
      <x:c r="E23" s="114"/>
      <x:c r="F23" s="63" t="str">
        <x:f>IF(ISNUMBER(E27),E27,"n.a.")</x:f>
        <x:v>n.a.</x:v>
      </x:c>
      <x:c r="G23" s="63" t="str">
        <x:f>IF(ISNUMBER(F27),F27,"n.a.")</x:f>
        <x:v>n.a.</x:v>
      </x:c>
      <x:c r="H23" s="63" t="str">
        <x:f>IF(ISNUMBER(G27),G27,"n.a.")</x:f>
        <x:v>n.a.</x:v>
      </x:c>
      <x:c r="I23" s="63" t="str">
        <x:f>IF(ISNUMBER(H27),H27,"n.a.")</x:f>
        <x:v>n.a.</x:v>
      </x:c>
      <x:c r="J23" s="63" t="str">
        <x:f>IF(ISNUMBER(I27),I27,"n.a.")</x:f>
        <x:v>n.a.</x:v>
      </x:c>
      <x:c r="K23" s="2"/>
      <x:c r="L23" s="2"/>
      <x:c r="M23" s="2"/>
      <x:c r="N23" s="2"/>
      <x:c r="O23" s="2"/>
    </x:row>
    <x:row r="24" ht="20" customHeight="1">
      <x:c r="A24" s="2"/>
      <x:c r="B24" s="2"/>
      <x:c r="C24" s="2" t="str">
        <x:v>Equity cash raised, net of fees</x:v>
      </x:c>
      <x:c r="D24" s="53" t="str">
        <x:v>MISSING</x:v>
      </x:c>
      <x:c r="E24" s="114"/>
      <x:c r="F24" s="114"/>
      <x:c r="G24" s="114"/>
      <x:c r="H24" s="114"/>
      <x:c r="I24" s="114"/>
      <x:c r="J24" s="114"/>
      <x:c r="K24" s="2"/>
      <x:c r="L24" s="2"/>
      <x:c r="M24" s="2"/>
      <x:c r="N24" s="2"/>
      <x:c r="O24" s="2"/>
    </x:row>
    <x:row r="25" ht="20" customHeight="1">
      <x:c r="A25" s="2"/>
      <x:c r="B25" s="2"/>
      <x:c r="C25" s="2" t="str">
        <x:v>Debt proceeds, net of principal repayments</x:v>
      </x:c>
      <x:c r="D25" s="53" t="str">
        <x:v>MISSING</x:v>
      </x:c>
      <x:c r="E25" s="114"/>
      <x:c r="F25" s="114"/>
      <x:c r="G25" s="114"/>
      <x:c r="H25" s="114"/>
      <x:c r="I25" s="114"/>
      <x:c r="J25" s="114"/>
      <x:c r="K25" s="2"/>
      <x:c r="L25" s="2"/>
      <x:c r="M25" s="2"/>
      <x:c r="N25" s="2"/>
      <x:c r="O25" s="2"/>
    </x:row>
    <x:row r="26" ht="20" customHeight="1">
      <x:c r="A26" s="2"/>
      <x:c r="B26" s="2"/>
      <x:c r="C26" s="2" t="str">
        <x:v>Other financing cash flow, signed</x:v>
      </x:c>
      <x:c r="D26" s="53" t="str">
        <x:v>MISSING</x:v>
      </x:c>
      <x:c r="E26" s="114"/>
      <x:c r="F26" s="114"/>
      <x:c r="G26" s="114"/>
      <x:c r="H26" s="114"/>
      <x:c r="I26" s="114"/>
      <x:c r="J26" s="114"/>
      <x:c r="K26" s="2"/>
      <x:c r="L26" s="2"/>
      <x:c r="M26" s="2"/>
      <x:c r="N26" s="2"/>
      <x:c r="O26" s="2"/>
    </x:row>
    <x:row r="27" ht="20" customHeight="1">
      <x:c r="A27" s="2"/>
      <x:c r="B27" s="2"/>
      <x:c r="C27" s="83" t="str">
        <x:v>Ending cash before incremental funding</x:v>
      </x:c>
      <x:c r="D27" s="83"/>
      <x:c r="E27" s="88" t="str">
        <x:f>IF(AND(ISNUMBER(E21),COUNT(E23:E26)=4),E21+SUM(E23:E26),"n.a.")</x:f>
        <x:v>n.a.</x:v>
      </x:c>
      <x:c r="F27" s="88" t="str">
        <x:f>IF(AND(ISNUMBER(F21),COUNT(F23:F26)=4),F21+SUM(F23:F26),"n.a.")</x:f>
        <x:v>n.a.</x:v>
      </x:c>
      <x:c r="G27" s="88" t="str">
        <x:f>IF(AND(ISNUMBER(G21),COUNT(G23:G26)=4),G21+SUM(G23:G26),"n.a.")</x:f>
        <x:v>n.a.</x:v>
      </x:c>
      <x:c r="H27" s="88" t="str">
        <x:f>IF(AND(ISNUMBER(H21),COUNT(H23:H26)=4),H21+SUM(H23:H26),"n.a.")</x:f>
        <x:v>n.a.</x:v>
      </x:c>
      <x:c r="I27" s="88" t="str">
        <x:f>IF(AND(ISNUMBER(I21),COUNT(I23:I26)=4),I21+SUM(I23:I26),"n.a.")</x:f>
        <x:v>n.a.</x:v>
      </x:c>
      <x:c r="J27" s="88" t="str">
        <x:f>IF(AND(ISNUMBER(J21),COUNT(J23:J26)=4),J21+SUM(J23:J26),"n.a.")</x:f>
        <x:v>n.a.</x:v>
      </x:c>
      <x:c r="K27" s="2"/>
      <x:c r="L27" s="2"/>
      <x:c r="M27" s="2"/>
      <x:c r="N27" s="2"/>
      <x:c r="O27" s="2"/>
    </x:row>
    <x:row r="28" ht="20" customHeight="1">
      <x:c r="A28" s="2"/>
      <x:c r="B28" s="2"/>
      <x:c r="C28" s="83" t="str">
        <x:v>Minimum additional funding to reach zero cash</x:v>
      </x:c>
      <x:c r="D28" s="83"/>
      <x:c r="E28" s="88" t="str">
        <x:f>IF(ISNUMBER(E27),MAX(0,-E27),"n.a.")</x:f>
        <x:v>n.a.</x:v>
      </x:c>
      <x:c r="F28" s="88" t="str">
        <x:f>IF(ISNUMBER(F27),MAX(0,-F27),"n.a.")</x:f>
        <x:v>n.a.</x:v>
      </x:c>
      <x:c r="G28" s="88" t="str">
        <x:f>IF(ISNUMBER(G27),MAX(0,-G27),"n.a.")</x:f>
        <x:v>n.a.</x:v>
      </x:c>
      <x:c r="H28" s="88" t="str">
        <x:f>IF(ISNUMBER(H27),MAX(0,-H27),"n.a.")</x:f>
        <x:v>n.a.</x:v>
      </x:c>
      <x:c r="I28" s="88" t="str">
        <x:f>IF(ISNUMBER(I27),MAX(0,-I27),"n.a.")</x:f>
        <x:v>n.a.</x:v>
      </x:c>
      <x:c r="J28" s="88" t="str">
        <x:f>IF(ISNUMBER(J27),MAX(0,-J27),"n.a.")</x:f>
        <x:v>n.a.</x:v>
      </x:c>
      <x:c r="K28" s="2"/>
      <x:c r="L28" s="2"/>
      <x:c r="M28" s="2"/>
      <x:c r="N28" s="2"/>
      <x:c r="O28" s="2"/>
    </x:row>
    <x:row r="29" ht="20" customHeight="1">
      <x:c r="A29" s="2"/>
      <x:c r="B29" s="2"/>
      <x:c r="C29" s="2"/>
      <x:c r="D29" s="2"/>
      <x:c r="E29" s="4"/>
      <x:c r="F29" s="4"/>
      <x:c r="G29" s="4"/>
      <x:c r="H29" s="4"/>
      <x:c r="I29" s="4"/>
      <x:c r="J29" s="4"/>
      <x:c r="K29" s="2"/>
      <x:c r="L29" s="2"/>
      <x:c r="M29" s="2"/>
      <x:c r="N29" s="2"/>
      <x:c r="O29" s="2"/>
    </x:row>
    <x:row r="30" ht="20" customHeight="1">
      <x:c r="A30" s="2"/>
      <x:c r="B30" s="2"/>
      <x:c r="C30" s="2" t="str">
        <x:v>Missing cash-conversion inputs</x:v>
      </x:c>
      <x:c r="D30" s="2"/>
      <x:c r="E30" s="116" t="n">
        <x:f>8-COUNT(E12:E19)</x:f>
        <x:v>8</x:v>
      </x:c>
      <x:c r="F30" s="116" t="n">
        <x:f>8-COUNT(F12:F19)</x:f>
        <x:v>8</x:v>
      </x:c>
      <x:c r="G30" s="116" t="n">
        <x:f>8-COUNT(G12:G19)</x:f>
        <x:v>8</x:v>
      </x:c>
      <x:c r="H30" s="116" t="n">
        <x:f>8-COUNT(H12:H19)</x:f>
        <x:v>8</x:v>
      </x:c>
      <x:c r="I30" s="116" t="n">
        <x:f>8-COUNT(I12:I19)</x:f>
        <x:v>8</x:v>
      </x:c>
      <x:c r="J30" s="116" t="n">
        <x:f>8-COUNT(J12:J19)</x:f>
        <x:v>8</x:v>
      </x:c>
      <x:c r="K30" s="2"/>
      <x:c r="L30" s="2"/>
      <x:c r="M30" s="2"/>
      <x:c r="N30" s="2"/>
      <x:c r="O30" s="2"/>
    </x:row>
    <x:row r="31" ht="20" customHeight="1">
      <x:c r="A31" s="2"/>
      <x:c r="B31" s="2"/>
      <x:c r="C31" s="2"/>
      <x:c r="D31" s="2"/>
      <x:c r="E31" s="4"/>
      <x:c r="F31" s="4"/>
      <x:c r="G31" s="4"/>
      <x:c r="H31" s="4"/>
      <x:c r="I31" s="4"/>
      <x:c r="J31" s="4"/>
      <x:c r="K31" s="2"/>
      <x:c r="L31" s="2"/>
      <x:c r="M31" s="2"/>
      <x:c r="N31" s="2"/>
      <x:c r="O31" s="2"/>
    </x:row>
    <x:row r="32" ht="20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17" t="str">
        <x:v>Do not treat vendor capex, funding announcements, or multi-year commitments as Anthropic cash paid.</x:v>
      </x:c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17" t="str">
        <x:v>Noncash addbacks require evidence they were deducted above. Avoid adding depreciation or SBC twice.</x:v>
      </x:c>
      <x:c r="D34" s="2"/>
      <x:c r="E34" s="4"/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17" t="str">
        <x:v>Working capital excludes compute prepayments shown separately. Lease payments must not duplicate operating costs.</x:v>
      </x:c>
      <x:c r="D35" s="2"/>
      <x:c r="E35" s="4"/>
      <x:c r="F35" s="4"/>
      <x:c r="G35" s="4"/>
      <x:c r="H35" s="4"/>
      <x:c r="I35" s="4"/>
      <x:c r="J35" s="4"/>
      <x:c r="K35" s="2"/>
      <x:c r="L35" s="2"/>
      <x:c r="M35" s="2"/>
      <x:c r="N35" s="2"/>
      <x:c r="O35" s="2"/>
    </x:row>
    <x:row r="36" ht="20" customHeight="1">
      <x:c r="A36" s="2"/>
      <x:c r="B36" s="2"/>
      <x:c r="C36" s="17" t="str">
        <x:v>Negative ending cash shows a funding need. No automatic debt or equity plug is inserted.</x:v>
      </x:c>
      <x:c r="D36" s="2"/>
      <x:c r="E36" s="4"/>
      <x:c r="F36" s="4"/>
      <x:c r="G36" s="4"/>
      <x:c r="H36" s="4"/>
      <x:c r="I36" s="4"/>
      <x:c r="J36" s="4"/>
      <x:c r="K36" s="2"/>
      <x:c r="L36" s="2"/>
      <x:c r="M36" s="2"/>
      <x:c r="N36" s="2"/>
      <x:c r="O36" s="2"/>
    </x:row>
    <x:row r="37" ht="20" customHeight="1">
      <x:c r="A37" s="2"/>
      <x:c r="B37" s="2"/>
      <x:c r="C37" s="2"/>
      <x:c r="D37" s="2"/>
      <x:c r="E37" s="4"/>
      <x:c r="F37" s="4"/>
      <x:c r="G37" s="4"/>
      <x:c r="H37" s="4"/>
      <x:c r="I37" s="4"/>
      <x:c r="J37" s="4"/>
      <x:c r="K37" s="2"/>
      <x:c r="L37" s="2"/>
      <x:c r="M37" s="2"/>
      <x:c r="N37" s="2"/>
      <x:c r="O37" s="2"/>
    </x:row>
    <x:row r="38" ht="20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2"/>
      <x:c r="L38" s="2"/>
      <x:c r="M38" s="2"/>
      <x:c r="N38" s="2"/>
      <x:c r="O38" s="2"/>
    </x:row>
    <x:row r="39" ht="20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2"/>
      <x:c r="L40" s="2"/>
      <x:c r="M40" s="2"/>
      <x:c r="N40" s="2"/>
      <x:c r="O40" s="2"/>
    </x:row>
    <x:row r="41" ht="20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0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2"/>
      <x:c r="L44" s="2"/>
      <x:c r="M44" s="2"/>
      <x:c r="N44" s="2"/>
      <x:c r="O44" s="2"/>
    </x:row>
    <x:row r="45" ht="20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2"/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2"/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2BEA0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Sources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Capstone / Felipe Monteiro, AI Model.xlsx saved 15-Oct-2026. Values are frozen from the supplied house model.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17" t="str">
        <x:v>HARD = exact sourced input. Forecasts remain house assumptions; PARTIAL = derived/incomplete; ESTIMATE = new stress.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10" t="n">
        <x:v>2025</x:v>
      </x:c>
      <x:c r="F7" s="10" t="n">
        <x:v>2026</x:v>
      </x:c>
      <x:c r="G7" s="10" t="n">
        <x:v>2027</x:v>
      </x:c>
      <x:c r="H7" s="10" t="n">
        <x:v>2028</x:v>
      </x:c>
      <x:c r="I7" s="10" t="n">
        <x:v>2029</x:v>
      </x:c>
      <x:c r="J7" s="10" t="n">
        <x:v>2030</x:v>
      </x:c>
      <x:c r="K7" s="2"/>
      <x:c r="L7" s="2"/>
      <x:c r="M7" s="2"/>
      <x:c r="N7" s="2"/>
      <x:c r="O7" s="2"/>
    </x:row>
    <x:row r="8" ht="24" customHeight="1">
      <x:c r="A8" s="2"/>
      <x:c r="B8" s="2"/>
      <x:c r="C8" s="33" t="str">
        <x:v>Gross revenue</x:v>
      </x:c>
      <x:c r="D8" s="126" t="str">
        <x:v>HARD</x:v>
      </x:c>
      <x:c r="E8" s="37" t="n">
        <x:v>4500</x:v>
      </x:c>
      <x:c r="F8" s="37" t="n">
        <x:v>52909.17438341729</x:v>
      </x:c>
      <x:c r="G8" s="37" t="n">
        <x:v>154447.38011563622</x:v>
      </x:c>
      <x:c r="H8" s="37" t="n">
        <x:v>260000</x:v>
      </x:c>
      <x:c r="I8" s="37" t="n">
        <x:v>400000</x:v>
      </x:c>
      <x:c r="J8" s="37" t="n">
        <x:v>550000</x:v>
      </x:c>
      <x:c r="K8" s="2"/>
      <x:c r="L8" s="2" t="str">
        <x:v>Capstone 15-Oct-26: Anthropic!AA3:AF3</x:v>
      </x:c>
      <x:c r="M8" s="2"/>
      <x:c r="N8" s="2"/>
      <x:c r="O8" s="2"/>
    </x:row>
    <x:row r="9" ht="20" customHeight="1">
      <x:c r="A9" s="2"/>
      <x:c r="B9" s="2"/>
      <x:c r="C9" s="2" t="str">
        <x:v>Direct API / gross revenue</x:v>
      </x:c>
      <x:c r="D9" s="23" t="str">
        <x:v>HARD</x:v>
      </x:c>
      <x:c r="E9" s="25" t="n">
        <x:v>0.5</x:v>
      </x:c>
      <x:c r="F9" s="25" t="n">
        <x:v>0.3</x:v>
      </x:c>
      <x:c r="G9" s="25" t="n">
        <x:v>0.25</x:v>
      </x:c>
      <x:c r="H9" s="25" t="n">
        <x:v>0.2</x:v>
      </x:c>
      <x:c r="I9" s="25" t="n">
        <x:v>0.15000000000000002</x:v>
      </x:c>
      <x:c r="J9" s="25" t="n">
        <x:v>0.10000000000000002</x:v>
      </x:c>
      <x:c r="K9" s="2"/>
      <x:c r="L9" s="2" t="str">
        <x:v>Capstone 15-Oct-26: Anthropic!AA15:AF15</x:v>
      </x:c>
      <x:c r="M9" s="2"/>
      <x:c r="N9" s="2"/>
      <x:c r="O9" s="2"/>
    </x:row>
    <x:row r="10" ht="20" customHeight="1">
      <x:c r="A10" s="2"/>
      <x:c r="B10" s="2"/>
      <x:c r="C10" s="2" t="str">
        <x:v>Subscriptions / gross revenue</x:v>
      </x:c>
      <x:c r="D10" s="23" t="str">
        <x:v>HARD</x:v>
      </x:c>
      <x:c r="E10" s="25" t="n">
        <x:v>0.15</x:v>
      </x:c>
      <x:c r="F10" s="25" t="n">
        <x:v>0.15</x:v>
      </x:c>
      <x:c r="G10" s="25" t="n">
        <x:v>0.15</x:v>
      </x:c>
      <x:c r="H10" s="25" t="n">
        <x:v>0.15</x:v>
      </x:c>
      <x:c r="I10" s="25" t="n">
        <x:v>0.15</x:v>
      </x:c>
      <x:c r="J10" s="25" t="n">
        <x:v>0.15</x:v>
      </x:c>
      <x:c r="K10" s="2"/>
      <x:c r="L10" s="2" t="str">
        <x:v>Capstone 15-Oct-26: Anthropic!AA30:AF30</x:v>
      </x:c>
      <x:c r="M10" s="2"/>
      <x:c r="N10" s="2"/>
      <x:c r="O10" s="2"/>
    </x:row>
    <x:row r="11" ht="20" customHeight="1">
      <x:c r="A11" s="2"/>
      <x:c r="B11" s="2"/>
      <x:c r="C11" s="2" t="str">
        <x:v>Cloud API / gross revenue</x:v>
      </x:c>
      <x:c r="D11" s="23" t="str">
        <x:v>HARD</x:v>
      </x:c>
      <x:c r="E11" s="25" t="n">
        <x:v>0.35</x:v>
      </x:c>
      <x:c r="F11" s="25" t="n">
        <x:v>0.5499999999999999</x:v>
      </x:c>
      <x:c r="G11" s="25" t="n">
        <x:v>0.6</x:v>
      </x:c>
      <x:c r="H11" s="25" t="n">
        <x:v>0.65</x:v>
      </x:c>
      <x:c r="I11" s="25" t="n">
        <x:v>0.7</x:v>
      </x:c>
      <x:c r="J11" s="25" t="n">
        <x:v>0.75</x:v>
      </x:c>
      <x:c r="K11" s="2"/>
      <x:c r="L11" s="2" t="str">
        <x:v>Capstone 15-Oct-26: Anthropic!AA19:AF19</x:v>
      </x:c>
      <x:c r="M11" s="2"/>
      <x:c r="N11" s="2"/>
      <x:c r="O11" s="2"/>
    </x:row>
    <x:row r="12" ht="20" customHeight="1">
      <x:c r="A12" s="2"/>
      <x:c r="B12" s="2"/>
      <x:c r="C12" s="2" t="str">
        <x:v>Inference GM before revenue share</x:v>
      </x:c>
      <x:c r="D12" s="23" t="str">
        <x:v>HARD</x:v>
      </x:c>
      <x:c r="E12" s="25" t="n">
        <x:v>0.4</x:v>
      </x:c>
      <x:c r="F12" s="25" t="n">
        <x:v>0.82</x:v>
      </x:c>
      <x:c r="G12" s="25" t="n">
        <x:v>0.75</x:v>
      </x:c>
      <x:c r="H12" s="25" t="n">
        <x:v>0.7</x:v>
      </x:c>
      <x:c r="I12" s="25" t="n">
        <x:v>0.6967538056305764</x:v>
      </x:c>
      <x:c r="J12" s="25" t="n">
        <x:v>0.7084106674676205</x:v>
      </x:c>
      <x:c r="K12" s="2"/>
      <x:c r="L12" s="2" t="str">
        <x:v>Capstone 15-Oct-26: Anthropic!AA70:AF70</x:v>
      </x:c>
      <x:c r="M12" s="2"/>
      <x:c r="N12" s="2"/>
      <x:c r="O12" s="2"/>
    </x:row>
    <x:row r="13" ht="20" customHeight="1">
      <x:c r="A13" s="2"/>
      <x:c r="B13" s="2"/>
      <x:c r="C13" s="2" t="str">
        <x:v>Training compute cost</x:v>
      </x:c>
      <x:c r="D13" s="23" t="str">
        <x:v>HARD</x:v>
      </x:c>
      <x:c r="E13" s="27" t="n">
        <x:v>4000</x:v>
      </x:c>
      <x:c r="F13" s="27" t="n">
        <x:v>12854.90346445185</x:v>
      </x:c>
      <x:c r="G13" s="27" t="n">
        <x:v>27500</x:v>
      </x:c>
      <x:c r="H13" s="27" t="n">
        <x:v>70000</x:v>
      </x:c>
      <x:c r="I13" s="27" t="n">
        <x:v>100000</x:v>
      </x:c>
      <x:c r="J13" s="27" t="n">
        <x:v>120000</x:v>
      </x:c>
      <x:c r="K13" s="2"/>
      <x:c r="L13" s="2" t="str">
        <x:v>Capstone 15-Oct-26: Anthropic!AA47:AF47</x:v>
      </x:c>
      <x:c r="M13" s="2"/>
      <x:c r="N13" s="2"/>
      <x:c r="O13" s="2"/>
    </x:row>
    <x:row r="14" ht="20" customHeight="1">
      <x:c r="A14" s="2"/>
      <x:c r="B14" s="2"/>
      <x:c r="C14" s="2" t="str">
        <x:v>Compute / total operating costs</x:v>
      </x:c>
      <x:c r="D14" s="23" t="str">
        <x:v>HARD</x:v>
      </x:c>
      <x:c r="E14" s="25" t="n">
        <x:v>0.6</x:v>
      </x:c>
      <x:c r="F14" s="25" t="n">
        <x:v>0.7</x:v>
      </x:c>
      <x:c r="G14" s="25" t="n">
        <x:v>0.9</x:v>
      </x:c>
      <x:c r="H14" s="25" t="n">
        <x:v>0.8</x:v>
      </x:c>
      <x:c r="I14" s="25" t="n">
        <x:v>0.68</x:v>
      </x:c>
      <x:c r="J14" s="25" t="n">
        <x:v>0.6</x:v>
      </x:c>
      <x:c r="K14" s="2"/>
      <x:c r="L14" s="2" t="str">
        <x:v>Capstone 15-Oct-26: Anthropic!AA36:AF36</x:v>
      </x:c>
      <x:c r="M14" s="2"/>
      <x:c r="N14" s="2"/>
      <x:c r="O14" s="2"/>
    </x:row>
    <x:row r="15" ht="20" customHeight="1">
      <x:c r="A15" s="2"/>
      <x:c r="B15" s="2"/>
      <x:c r="C15" s="2" t="str">
        <x:v>Inference compute cost</x:v>
      </x:c>
      <x:c r="D15" s="23" t="str">
        <x:v>HARD</x:v>
      </x:c>
      <x:c r="E15" s="27" t="n">
        <x:v>2700</x:v>
      </x:c>
      <x:c r="F15" s="27" t="n">
        <x:v>9523.651389015115</x:v>
      </x:c>
      <x:c r="G15" s="27" t="n">
        <x:v>38611.845028909054</x:v>
      </x:c>
      <x:c r="H15" s="27" t="n">
        <x:v>78000.00000000001</x:v>
      </x:c>
      <x:c r="I15" s="27" t="n">
        <x:v>121298.47774776943</x:v>
      </x:c>
      <x:c r="J15" s="27" t="n">
        <x:v>160374.13289280873</x:v>
      </x:c>
      <x:c r="K15" s="2"/>
      <x:c r="L15" s="2" t="str">
        <x:v>Capstone 15-Oct-26: Anthropic!AA65:AF65</x:v>
      </x:c>
      <x:c r="M15" s="2"/>
      <x:c r="N15" s="2"/>
      <x:c r="O15" s="2"/>
    </x:row>
    <x:row r="16" ht="20" customHeight="1">
      <x:c r="A16" s="2"/>
      <x:c r="B16" s="2"/>
      <x:c r="C16" s="2" t="str">
        <x:v>Other costs: source residual</x:v>
      </x:c>
      <x:c r="D16" s="23" t="str">
        <x:v>HARD</x:v>
      </x:c>
      <x:c r="E16" s="27" t="n">
        <x:v>4466.666666666668</x:v>
      </x:c>
      <x:c r="F16" s="27" t="n">
        <x:v>9590.809222914417</x:v>
      </x:c>
      <x:c r="G16" s="27" t="n">
        <x:v>7345.760558767666</x:v>
      </x:c>
      <x:c r="H16" s="27" t="n">
        <x:v>37000</x:v>
      </x:c>
      <x:c r="I16" s="27" t="n">
        <x:v>104140.46011659736</x:v>
      </x:c>
      <x:c r="J16" s="27" t="n">
        <x:v>186916.08859520586</x:v>
      </x:c>
      <x:c r="K16" s="2"/>
      <x:c r="L16" s="2" t="str">
        <x:v>Capstone 15-Oct-26: Anthropic!AA136:AF136</x:v>
      </x:c>
      <x:c r="M16" s="2"/>
      <x:c r="N16" s="2"/>
      <x:c r="O16" s="2"/>
    </x:row>
    <x:row r="17" ht="20" customHeight="1">
      <x:c r="A17" s="2"/>
      <x:c r="B17" s="2"/>
      <x:c r="C17" s="2" t="str">
        <x:v>Total operating costs, before revshare</x:v>
      </x:c>
      <x:c r="D17" s="23" t="str">
        <x:v>HARD</x:v>
      </x:c>
      <x:c r="E17" s="27" t="n">
        <x:v>11166.666666666668</x:v>
      </x:c>
      <x:c r="F17" s="27" t="n">
        <x:v>31969.364076381382</x:v>
      </x:c>
      <x:c r="G17" s="27" t="n">
        <x:v>73457.60558767672</x:v>
      </x:c>
      <x:c r="H17" s="27" t="n">
        <x:v>185000</x:v>
      </x:c>
      <x:c r="I17" s="27" t="n">
        <x:v>325438.9378643668</x:v>
      </x:c>
      <x:c r="J17" s="27" t="n">
        <x:v>467290.2214880146</x:v>
      </x:c>
      <x:c r="K17" s="2"/>
      <x:c r="L17" s="2" t="str">
        <x:v>Capstone 15-Oct-26: Anthropic!AA33:AF33</x:v>
      </x:c>
      <x:c r="M17" s="2"/>
      <x:c r="N17" s="2"/>
      <x:c r="O17" s="2"/>
    </x:row>
    <x:row r="18" ht="20" customHeight="1">
      <x:c r="A18" s="2"/>
      <x:c r="B18" s="2"/>
      <x:c r="C18" s="2" t="str">
        <x:v>Cloud revenue-share rate: annual model</x:v>
      </x:c>
      <x:c r="D18" s="23" t="str">
        <x:v>HARD</x:v>
      </x:c>
      <x:c r="E18" s="25" t="n">
        <x:v>0.25</x:v>
      </x:c>
      <x:c r="F18" s="25" t="n">
        <x:v>0.25</x:v>
      </x:c>
      <x:c r="G18" s="25" t="n">
        <x:v>0.25</x:v>
      </x:c>
      <x:c r="H18" s="25" t="n">
        <x:v>0.25</x:v>
      </x:c>
      <x:c r="I18" s="25" t="n">
        <x:v>0.25</x:v>
      </x:c>
      <x:c r="J18" s="25" t="n">
        <x:v>0.25</x:v>
      </x:c>
      <x:c r="K18" s="2"/>
      <x:c r="L18" s="2" t="str">
        <x:v>Capstone 15-Oct-26: AA71 shared formula, 0.25</x:v>
      </x:c>
      <x:c r="M18" s="2"/>
      <x:c r="N18" s="2"/>
      <x:c r="O18" s="2"/>
    </x:row>
    <x:row r="19" ht="20" customHeight="1">
      <x:c r="A19" s="2"/>
      <x:c r="B19" s="2"/>
      <x:c r="C19" s="2" t="str">
        <x:v>Cloud revenue-share rate: ARR tracker</x:v>
      </x:c>
      <x:c r="D19" s="23" t="str">
        <x:v>HARD</x:v>
      </x:c>
      <x:c r="E19" s="25"/>
      <x:c r="F19" s="25" t="n">
        <x:v>0.2</x:v>
      </x:c>
      <x:c r="G19" s="25"/>
      <x:c r="H19" s="25"/>
      <x:c r="I19" s="25"/>
      <x:c r="J19" s="25"/>
      <x:c r="K19" s="2"/>
      <x:c r="L19" s="2" t="str">
        <x:v>Capstone 15-Oct-26: ARR Tracker!P48; 2026 only</x:v>
      </x:c>
      <x:c r="M19" s="2"/>
      <x:c r="N19" s="2"/>
      <x:c r="O19" s="2"/>
    </x:row>
    <x:row r="20" ht="20" customHeight="1">
      <x:c r="A20" s="2"/>
      <x:c r="B20" s="2"/>
      <x:c r="C20" s="2" t="str">
        <x:v>Average 1P capacity, GW</x:v>
      </x:c>
      <x:c r="D20" s="23" t="str">
        <x:v>HARD</x:v>
      </x:c>
      <x:c r="E20" s="133" t="n">
        <x:v>0</x:v>
      </x:c>
      <x:c r="F20" s="133" t="n">
        <x:v>0.25</x:v>
      </x:c>
      <x:c r="G20" s="133" t="n">
        <x:v>2</x:v>
      </x:c>
      <x:c r="H20" s="133" t="n">
        <x:v>7.25</x:v>
      </x:c>
      <x:c r="I20" s="133" t="n">
        <x:v>13.5</x:v>
      </x:c>
      <x:c r="J20" s="133" t="n">
        <x:v>16</x:v>
      </x:c>
      <x:c r="K20" s="2"/>
      <x:c r="L20" s="2" t="str">
        <x:v>Capstone 15-Oct-26: Anthropic!AA107:AF107</x:v>
      </x:c>
      <x:c r="M20" s="2"/>
      <x:c r="N20" s="2"/>
      <x:c r="O20" s="2"/>
    </x:row>
    <x:row r="21" ht="20" customHeight="1">
      <x:c r="A21" s="2"/>
      <x:c r="B21" s="2"/>
      <x:c r="C21" s="2" t="str">
        <x:v>Rental equivalent, USDm / GW-year</x:v>
      </x:c>
      <x:c r="D21" s="23" t="str">
        <x:v>HARD</x:v>
      </x:c>
      <x:c r="E21" s="27" t="n">
        <x:v>11000</x:v>
      </x:c>
      <x:c r="F21" s="27" t="n">
        <x:v>12500</x:v>
      </x:c>
      <x:c r="G21" s="27" t="n">
        <x:v>13666.666666666666</x:v>
      </x:c>
      <x:c r="H21" s="27" t="n">
        <x:v>13666.666666666666</x:v>
      </x:c>
      <x:c r="I21" s="27" t="n">
        <x:v>13666.666666666666</x:v>
      </x:c>
      <x:c r="J21" s="27" t="n">
        <x:v>13666.666666666666</x:v>
      </x:c>
      <x:c r="K21" s="2"/>
      <x:c r="L21" s="2" t="str">
        <x:v>Capstone 15-Oct-26: Anthropic!AA88:AF88</x:v>
      </x:c>
      <x:c r="M21" s="2"/>
      <x:c r="N21" s="2"/>
      <x:c r="O21" s="2"/>
    </x:row>
    <x:row r="22" ht="20" customHeight="1">
      <x:c r="A22" s="2"/>
      <x:c r="B22" s="2"/>
      <x:c r="C22" s="2" t="str">
        <x:v>1P compute allocated to training</x:v>
      </x:c>
      <x:c r="D22" s="23" t="str">
        <x:v>HARD</x:v>
      </x:c>
      <x:c r="E22" s="25"/>
      <x:c r="F22" s="25" t="n">
        <x:v>0.5</x:v>
      </x:c>
      <x:c r="G22" s="25" t="n">
        <x:v>0.5</x:v>
      </x:c>
      <x:c r="H22" s="25" t="n">
        <x:v>0.5</x:v>
      </x:c>
      <x:c r="I22" s="25" t="n">
        <x:v>0.5</x:v>
      </x:c>
      <x:c r="J22" s="25" t="n">
        <x:v>0.5</x:v>
      </x:c>
      <x:c r="K22" s="2"/>
      <x:c r="L22" s="2" t="str">
        <x:v>Capstone 15-Oct-26: Anthropic!AB50:AF50</x:v>
      </x:c>
      <x:c r="M22" s="2"/>
      <x:c r="N22" s="2"/>
      <x:c r="O22" s="2"/>
    </x:row>
    <x:row r="23" ht="20" customHeight="1">
      <x:c r="A23" s="2"/>
      <x:c r="B23" s="2"/>
      <x:c r="C23" s="2" t="str">
        <x:v>Source line labelled EBIT</x:v>
      </x:c>
      <x:c r="D23" s="23" t="str">
        <x:v>HARD</x:v>
      </x:c>
      <x:c r="E23" s="27" t="n">
        <x:v>-2500</x:v>
      </x:c>
      <x:c r="F23" s="27" t="n">
        <x:v>84878.53845979867</x:v>
      </x:c>
      <x:c r="G23" s="27" t="n">
        <x:v>227904.98570331294</x:v>
      </x:c>
      <x:c r="H23" s="27" t="n">
        <x:v>445000</x:v>
      </x:c>
      <x:c r="I23" s="27" t="n">
        <x:v>725438.9378643668</x:v>
      </x:c>
      <x:c r="J23" s="27" t="n">
        <x:v>1017290.2214880146</x:v>
      </x:c>
      <x:c r="K23" s="2"/>
      <x:c r="L23" s="2" t="str">
        <x:v>Capstone 15-Oct-26: Anthropic!AA146:AF146</x:v>
      </x:c>
      <x:c r="M23" s="2"/>
      <x:c r="N23" s="2"/>
      <x:c r="O23" s="2"/>
    </x:row>
    <x:row r="24" ht="20" customHeight="1">
      <x:c r="A24" s="2"/>
      <x:c r="B24" s="2"/>
      <x:c r="C24" s="2" t="str">
        <x:v>Post-share GM / gross revenue</x:v>
      </x:c>
      <x:c r="D24" s="23" t="str">
        <x:v>HARD</x:v>
      </x:c>
      <x:c r="E24" s="25" t="n">
        <x:v>0.3125</x:v>
      </x:c>
      <x:c r="F24" s="25" t="n">
        <x:v>0.6824999999999999</x:v>
      </x:c>
      <x:c r="G24" s="25" t="n">
        <x:v>0.6</x:v>
      </x:c>
      <x:c r="H24" s="25" t="n">
        <x:v>0.5375</x:v>
      </x:c>
      <x:c r="I24" s="25" t="n">
        <x:v>0.5217538056305764</x:v>
      </x:c>
      <x:c r="J24" s="25" t="n">
        <x:v>0.5209106674676204</x:v>
      </x:c>
      <x:c r="K24" s="2"/>
      <x:c r="L24" s="2" t="str">
        <x:v>Capstone 15-Oct-26: Anthropic!AA71:AF71</x:v>
      </x:c>
      <x:c r="M24" s="2"/>
      <x:c r="N24" s="2"/>
      <x:c r="O24" s="2"/>
    </x:row>
    <x:row r="25" ht="20" customHeight="1">
      <x:c r="A25" s="2"/>
      <x:c r="B25" s="2"/>
      <x:c r="C25" s="2" t="str">
        <x:v>Average direct GW demand, cloud + 1P</x:v>
      </x:c>
      <x:c r="D25" s="23" t="str">
        <x:v>HARD</x:v>
      </x:c>
      <x:c r="E25" s="133" t="n">
        <x:v>0.5355772662480904</x:v>
      </x:c>
      <x:c r="F25" s="133" t="n">
        <x:v>1.665933325609163</x:v>
      </x:c>
      <x:c r="G25" s="133" t="n">
        <x:v>4.817132039404999</x:v>
      </x:c>
      <x:c r="H25" s="133" t="n">
        <x:v>11.249622076699264</x:v>
      </x:c>
      <x:c r="I25" s="133" t="n">
        <x:v>16.801225691734324</x:v>
      </x:c>
      <x:c r="J25" s="133" t="n">
        <x:v>21.21579661749546</x:v>
      </x:c>
      <x:c r="K25" s="2"/>
      <x:c r="L25" s="2" t="str">
        <x:v>Capstone 15-Oct-26: Anthropic!AA85:AF85</x:v>
      </x:c>
      <x:c r="M25" s="2"/>
      <x:c r="N25" s="2"/>
      <x:c r="O25" s="2"/>
    </x:row>
    <x:row r="26" ht="20" customHeight="1">
      <x:c r="A26" s="2"/>
      <x:c r="B26" s="2"/>
      <x:c r="C26" s="2" t="str">
        <x:v>Source revenue / inference GW-year</x:v>
      </x:c>
      <x:c r="D26" s="23" t="str">
        <x:v>HARD</x:v>
      </x:c>
      <x:c r="E26" s="27" t="n">
        <x:v>18333.333333333332</x:v>
      </x:c>
      <x:c r="F26" s="27" t="n">
        <x:v>69444.44444444442</x:v>
      </x:c>
      <x:c r="G26" s="27" t="n">
        <x:v>54666.666666666664</x:v>
      </x:c>
      <x:c r="H26" s="27" t="n">
        <x:v>45555.55555555554</x:v>
      </x:c>
      <x:c r="I26" s="27"/>
      <x:c r="J26" s="27"/>
      <x:c r="K26" s="2"/>
      <x:c r="L26" s="2" t="str">
        <x:v>Capstone 15-Oct-26: Anthropic!AA8:AF8</x:v>
      </x:c>
      <x:c r="M26" s="2"/>
      <x:c r="N26" s="2"/>
      <x:c r="O26" s="2"/>
    </x:row>
    <x:row r="27" ht="20" customHeight="1">
      <x:c r="A27" s="2"/>
      <x:c r="B27" s="2"/>
      <x:c r="C27" s="2" t="str">
        <x:v>Source compute cost / direct GW-year</x:v>
      </x:c>
      <x:c r="D27" s="23" t="str">
        <x:v>HARD</x:v>
      </x:c>
      <x:c r="E27" s="27"/>
      <x:c r="F27" s="27" t="n">
        <x:v>13433.04351348158</x:v>
      </x:c>
      <x:c r="G27" s="27" t="n">
        <x:v>13724.316561826075</x:v>
      </x:c>
      <x:c r="H27" s="27" t="n">
        <x:v>13155.997507377997</x:v>
      </x:c>
      <x:c r="I27" s="27"/>
      <x:c r="J27" s="27"/>
      <x:c r="K27" s="2"/>
      <x:c r="L27" s="2" t="str">
        <x:v>Capstone 15-Oct-26: Anthropic!AA34:AF34</x:v>
      </x:c>
      <x:c r="M27" s="2"/>
      <x:c r="N27" s="2"/>
      <x:c r="O27" s="2"/>
    </x:row>
    <x:row r="28" ht="20" customHeight="1">
      <x:c r="A28" s="2"/>
      <x:c r="B28" s="2"/>
      <x:c r="C28" s="2" t="str">
        <x:v>2026 Q1–Q3 gross revenue</x:v>
      </x:c>
      <x:c r="D28" s="23" t="str">
        <x:v>HARD</x:v>
      </x:c>
      <x:c r="E28" s="26"/>
      <x:c r="F28" s="27" t="n">
        <x:v>32908.3744259035</x:v>
      </x:c>
      <x:c r="G28" s="26"/>
      <x:c r="H28" s="26"/>
      <x:c r="I28" s="26"/>
      <x:c r="J28" s="26"/>
      <x:c r="K28" s="2"/>
      <x:c r="L28" s="2" t="str">
        <x:v>Capstone 15-Oct-26: Anthropic!P3:R3</x:v>
      </x:c>
      <x:c r="M28" s="2"/>
      <x:c r="N28" s="2"/>
      <x:c r="O28" s="2"/>
    </x:row>
    <x:row r="29" ht="20" customHeight="1">
      <x:c r="A29" s="2"/>
      <x:c r="B29" s="2"/>
      <x:c r="C29" s="2" t="str">
        <x:v>2026 Q4 gross revenue</x:v>
      </x:c>
      <x:c r="D29" s="23" t="str">
        <x:v>HARD</x:v>
      </x:c>
      <x:c r="E29" s="26"/>
      <x:c r="F29" s="27" t="n">
        <x:v>20000.799957513787</x:v>
      </x:c>
      <x:c r="G29" s="26"/>
      <x:c r="H29" s="26"/>
      <x:c r="I29" s="26"/>
      <x:c r="J29" s="26"/>
      <x:c r="K29" s="2"/>
      <x:c r="L29" s="2" t="str">
        <x:v>Capstone 15-Oct-26: Anthropic!S3</x:v>
      </x:c>
      <x:c r="M29" s="2"/>
      <x:c r="N29" s="2"/>
      <x:c r="O29" s="2"/>
    </x:row>
    <x:row r="30" ht="20" customHeight="1">
      <x:c r="A30" s="2"/>
      <x:c r="B30" s="2"/>
      <x:c r="C30" s="2" t="str">
        <x:v>2025 sum of quarterly revenue</x:v>
      </x:c>
      <x:c r="D30" s="23" t="str">
        <x:v>HARD</x:v>
      </x:c>
      <x:c r="E30" s="27" t="n">
        <x:v>4333.491399333334</x:v>
      </x:c>
      <x:c r="F30" s="26"/>
      <x:c r="G30" s="26"/>
      <x:c r="H30" s="26"/>
      <x:c r="I30" s="26"/>
      <x:c r="J30" s="26"/>
      <x:c r="K30" s="2"/>
      <x:c r="L30" s="2" t="str">
        <x:v>Capstone 15-Oct-26: Anthropic!L3:O3</x:v>
      </x:c>
      <x:c r="M30" s="2"/>
      <x:c r="N30" s="2"/>
      <x:c r="O30" s="2"/>
    </x:row>
    <x:row r="31" ht="20" customHeight="1">
      <x:c r="A31" s="2"/>
      <x:c r="B31" s="2"/>
      <x:c r="C31" s="2"/>
      <x:c r="D31" s="2"/>
      <x:c r="E31" s="4"/>
      <x:c r="F31" s="4"/>
      <x:c r="G31" s="4"/>
      <x:c r="H31" s="4"/>
      <x:c r="I31" s="4"/>
      <x:c r="J31" s="4"/>
      <x:c r="K31" s="2"/>
      <x:c r="L31" s="2"/>
      <x:c r="M31" s="2"/>
      <x:c r="N31" s="2"/>
      <x:c r="O31" s="2"/>
    </x:row>
    <x:row r="32" ht="20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2" t="str">
        <x:v>2026 monthly house inputs</x:v>
      </x:c>
      <x:c r="D34" s="2"/>
      <x:c r="E34" s="4"/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2"/>
      <x:c r="D35" s="2"/>
      <x:c r="E35" s="38" t="d">
        <x:v>2026-01-01T00:00:00.000Z</x:v>
      </x:c>
      <x:c r="F35" s="38" t="d">
        <x:v>2026-02-01T00:00:00.000Z</x:v>
      </x:c>
      <x:c r="G35" s="38" t="d">
        <x:v>2026-03-01T00:00:00.000Z</x:v>
      </x:c>
      <x:c r="H35" s="38" t="d">
        <x:v>2026-04-01T00:00:00.000Z</x:v>
      </x:c>
      <x:c r="I35" s="38" t="d">
        <x:v>2026-05-01T00:00:00.000Z</x:v>
      </x:c>
      <x:c r="J35" s="38" t="d">
        <x:v>2026-06-01T00:00:00.000Z</x:v>
      </x:c>
      <x:c r="K35" s="39" t="d">
        <x:v>2026-07-01T00:00:00.000Z</x:v>
      </x:c>
      <x:c r="L35" s="39" t="d">
        <x:v>2026-08-01T00:00:00.000Z</x:v>
      </x:c>
      <x:c r="M35" s="39" t="d">
        <x:v>2026-09-01T00:00:00.000Z</x:v>
      </x:c>
      <x:c r="N35" s="39" t="d">
        <x:v>2026-10-01T00:00:00.000Z</x:v>
      </x:c>
      <x:c r="O35" s="39" t="d">
        <x:v>2026-11-01T00:00:00.000Z</x:v>
      </x:c>
      <x:c r="P35" s="40" t="d">
        <x:v>2026-12-01T00:00:00.000Z</x:v>
      </x:c>
    </x:row>
    <x:row r="36" ht="20" customHeight="1">
      <x:c r="A36" s="2"/>
      <x:c r="B36" s="2"/>
      <x:c r="C36" s="2" t="str">
        <x:v>Average monthly annualized gross revenue</x:v>
      </x:c>
      <x:c r="D36" s="23" t="str">
        <x:v>HARD</x:v>
      </x:c>
      <x:c r="E36" s="27" t="n">
        <x:v>11988.850629600003</x:v>
      </x:c>
      <x:c r="F36" s="27" t="n">
        <x:v>16784.390881440002</x:v>
      </x:c>
      <x:c r="G36" s="27" t="n">
        <x:v>26855.025410304006</x:v>
      </x:c>
      <x:c r="H36" s="27" t="n">
        <x:v>37597.03557442561</x:v>
      </x:c>
      <x:c r="I36" s="27" t="n">
        <x:v>45116.44268931073</x:v>
      </x:c>
      <x:c r="J36" s="27" t="n">
        <x:v>55042.06008095909</x:v>
      </x:c>
      <x:c r="K36" s="45" t="n">
        <x:v>63298.36909310295</x:v>
      </x:c>
      <x:c r="L36" s="45" t="n">
        <x:v>67096.27123868914</x:v>
      </x:c>
      <x:c r="M36" s="45" t="n">
        <x:v>71122.04751301049</x:v>
      </x:c>
      <x:c r="N36" s="45" t="n">
        <x:v>75389.37036379112</x:v>
      </x:c>
      <x:c r="O36" s="45" t="n">
        <x:v>79912.73258561859</x:v>
      </x:c>
      <x:c r="P36" s="46" t="n">
        <x:v>84707.49654075572</x:v>
      </x:c>
    </x:row>
    <x:row r="37" ht="20" customHeight="1">
      <x:c r="A37" s="2"/>
      <x:c r="B37" s="2"/>
      <x:c r="C37" s="2" t="str">
        <x:v>Monthly gross revenue</x:v>
      </x:c>
      <x:c r="D37" s="23" t="str">
        <x:v>HARD</x:v>
      </x:c>
      <x:c r="E37" s="27" t="n">
        <x:v>999.0708858000003</x:v>
      </x:c>
      <x:c r="F37" s="27" t="n">
        <x:v>1398.6992401200002</x:v>
      </x:c>
      <x:c r="G37" s="27" t="n">
        <x:v>2237.9187841920007</x:v>
      </x:c>
      <x:c r="H37" s="27" t="n">
        <x:v>3133.0862978688006</x:v>
      </x:c>
      <x:c r="I37" s="27" t="n">
        <x:v>3759.703557442561</x:v>
      </x:c>
      <x:c r="J37" s="27" t="n">
        <x:v>4586.838340079924</x:v>
      </x:c>
      <x:c r="K37" s="45" t="n">
        <x:v>5274.864091091912</x:v>
      </x:c>
      <x:c r="L37" s="45" t="n">
        <x:v>5591.355936557428</x:v>
      </x:c>
      <x:c r="M37" s="45" t="n">
        <x:v>5926.837292750874</x:v>
      </x:c>
      <x:c r="N37" s="45" t="n">
        <x:v>6282.447530315927</x:v>
      </x:c>
      <x:c r="O37" s="45" t="n">
        <x:v>6659.394382134883</x:v>
      </x:c>
      <x:c r="P37" s="46" t="n">
        <x:v>7058.958045062976</x:v>
      </x:c>
    </x:row>
    <x:row r="38" ht="20" customHeight="1">
      <x:c r="A38" s="2"/>
      <x:c r="B38" s="2"/>
      <x:c r="C38" s="2" t="str">
        <x:v>Monthly growth</x:v>
      </x:c>
      <x:c r="D38" s="23" t="str">
        <x:v>HARD</x:v>
      </x:c>
      <x:c r="E38" s="25" t="n">
        <x:v>0.3</x:v>
      </x:c>
      <x:c r="F38" s="25" t="n">
        <x:v>0.4</x:v>
      </x:c>
      <x:c r="G38" s="25" t="n">
        <x:v>0.6</x:v>
      </x:c>
      <x:c r="H38" s="25" t="n">
        <x:v>0.4</x:v>
      </x:c>
      <x:c r="I38" s="25" t="n">
        <x:v>0.2</x:v>
      </x:c>
      <x:c r="J38" s="25" t="n">
        <x:v>0.22</x:v>
      </x:c>
      <x:c r="K38" s="47" t="n">
        <x:v>0.15</x:v>
      </x:c>
      <x:c r="L38" s="47" t="n">
        <x:v>0.06</x:v>
      </x:c>
      <x:c r="M38" s="47" t="n">
        <x:v>0.06</x:v>
      </x:c>
      <x:c r="N38" s="47" t="n">
        <x:v>0.06</x:v>
      </x:c>
      <x:c r="O38" s="47" t="n">
        <x:v>0.06</x:v>
      </x:c>
      <x:c r="P38" s="48" t="n">
        <x:v>0.06</x:v>
      </x:c>
    </x:row>
    <x:row r="39" ht="20" customHeight="1">
      <x:c r="A39" s="2"/>
      <x:c r="B39" s="2"/>
      <x:c r="C39" s="2" t="str">
        <x:v>Average monthly net ARR, tracker basis</x:v>
      </x:c>
      <x:c r="D39" s="23" t="str">
        <x:v>HARD</x:v>
      </x:c>
      <x:c r="E39" s="27" t="n">
        <x:v>10670.077060344003</x:v>
      </x:c>
      <x:c r="F39" s="27" t="n">
        <x:v>14938.107884481602</x:v>
      </x:c>
      <x:c r="G39" s="27" t="n">
        <x:v>23900.972615170565</x:v>
      </x:c>
      <x:c r="H39" s="27" t="n">
        <x:v>33461.36166123879</x:v>
      </x:c>
      <x:c r="I39" s="27" t="n">
        <x:v>40153.633993486554</x:v>
      </x:c>
      <x:c r="J39" s="27" t="n">
        <x:v>48987.43347205359</x:v>
      </x:c>
      <x:c r="K39" s="45" t="n">
        <x:v>56335.54849286163</x:v>
      </x:c>
      <x:c r="L39" s="45" t="n">
        <x:v>59715.68140243333</x:v>
      </x:c>
      <x:c r="M39" s="45" t="n">
        <x:v>63298.62228657934</x:v>
      </x:c>
      <x:c r="N39" s="45" t="n">
        <x:v>67096.53962377411</x:v>
      </x:c>
      <x:c r="O39" s="45" t="n">
        <x:v>71122.33200120054</x:v>
      </x:c>
      <x:c r="P39" s="46" t="n">
        <x:v>75389.67192127259</x:v>
      </x:c>
    </x:row>
    <x:row r="40" ht="20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2"/>
      <x:c r="L40" s="2"/>
      <x:c r="M40" s="2"/>
      <x:c r="N40" s="2"/>
      <x:c r="O40" s="2"/>
    </x:row>
    <x:row r="41" ht="20" customHeight="1">
      <x:c r="A41" s="2"/>
      <x:c r="B41" s="2"/>
      <x:c r="C41" s="17" t="str">
        <x:v>Monthly inputs: Capstone 15-Oct-26, ARR Tracker!P40:AA49. Jan–Sep are model estimates; Oct–Dec are forecasts.</x:v>
      </x:c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17" t="str">
        <x:v>Row 40 is labelled Average Monthly Reported ARR Gross. December is a monthly average proxy, not verified exit ARR.</x:v>
      </x:c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4" customHeight="1">
      <x:c r="A44" s="2"/>
      <x:c r="B44" s="2"/>
      <x:c r="C44" s="13" t="str">
        <x:v>Observed comparison data</x:v>
      </x:c>
      <x:c r="D44" s="13"/>
      <x:c r="E44" s="50"/>
      <x:c r="F44" s="50"/>
      <x:c r="G44" s="50"/>
      <x:c r="H44" s="50"/>
      <x:c r="I44" s="50"/>
      <x:c r="J44" s="50"/>
      <x:c r="K44" s="2"/>
      <x:c r="L44" s="2"/>
      <x:c r="M44" s="2"/>
      <x:c r="N44" s="2"/>
      <x:c r="O44" s="2"/>
    </x:row>
    <x:row r="45" ht="20" customHeight="1">
      <x:c r="A45" s="2"/>
      <x:c r="B45" s="2"/>
      <x:c r="C45" s="2"/>
      <x:c r="D45" s="2"/>
      <x:c r="E45" s="4" t="str">
        <x:v>Q1:26</x:v>
      </x:c>
      <x:c r="F45" s="4" t="str">
        <x:v>Q2:26</x:v>
      </x:c>
      <x:c r="G45" s="4" t="str">
        <x:v>Q3:26</x:v>
      </x:c>
      <x:c r="H45" s="4" t="str">
        <x:v>Jul-26 run-rate</x:v>
      </x:c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2" t="str">
        <x:v>Reported revenue / run-rate, USDm</x:v>
      </x:c>
      <x:c r="D46" s="53" t="str">
        <x:v>ANCHOR</x:v>
      </x:c>
      <x:c r="E46" s="52" t="n">
        <x:v>4730</x:v>
      </x:c>
      <x:c r="F46" s="52" t="n">
        <x:v>11500</x:v>
      </x:c>
      <x:c r="G46" s="52" t="n">
        <x:v>16800</x:v>
      </x:c>
      <x:c r="H46" s="52" t="n">
        <x:v>65000</x:v>
      </x:c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17" t="str">
        <x:v>Q1: approximately $4.73bn. Q2: more than $11.5bn; the numeric value is a lower bound, not an exact actual.</x:v>
      </x:c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17" t="str">
        <x:v>Q3: $16.8bn press-reported investor disclosure. July run-rate: about $65bn. Neither is audited here.</x:v>
      </x:c>
      <x:c r="D49" s="2"/>
      <x:c r="E49" s="4"/>
      <x:c r="F49" s="4"/>
      <x:c r="G49" s="4"/>
      <x:c r="H49" s="4"/>
      <x:c r="I49" s="4"/>
      <x:c r="J49" s="4"/>
      <x:c r="K49" s="2"/>
      <x:c r="L49" s="2"/>
      <x:c r="M49" s="2"/>
      <x:c r="N49" s="2"/>
      <x:c r="O49" s="2"/>
    </x:row>
    <x:row r="50" ht="20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2" t="str">
        <x:v>Source register</x:v>
      </x:c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 t="str">
        <x:v>H1 Capstone / Felipe Monteiro</x:v>
      </x:c>
      <x:c r="D54" s="2"/>
      <x:c r="E54" s="4"/>
      <x:c r="F54" s="4"/>
      <x:c r="G54" s="4" t="str">
        <x:v>2026-10-15</x:v>
      </x:c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 t="str">
        <x:v>House projections — AI Model.xlsx; Anthropic, ARR Tracker</x:v>
      </x:c>
      <x:c r="D55" s="2"/>
      <x:c r="E55" s="4"/>
      <x:c r="F55" s="4"/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54" t="str">
        <x:v>P:\Felipe Monteiro\US Equities\Modelos oficiais\AI Model.xlsx</x:v>
      </x:c>
      <x:c r="D56" s="54"/>
      <x:c r="E56" s="55"/>
      <x:c r="F56" s="55"/>
      <x:c r="G56" s="55"/>
      <x:c r="H56" s="55"/>
      <x:c r="I56" s="55"/>
      <x:c r="J56" s="55"/>
      <x:c r="K56" s="54"/>
      <x:c r="L56" s="54"/>
      <x:c r="M56" s="54"/>
      <x:c r="N56" s="54"/>
      <x:c r="O56" s="54"/>
      <x:c r="P56" s="56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 t="str">
        <x:v>B1 Bloomberg / Bailey Lipschultz, Rachel Metz</x:v>
      </x:c>
      <x:c r="D58" s="2"/>
      <x:c r="E58" s="4"/>
      <x:c r="F58" s="4"/>
      <x:c r="G58" s="4" t="str">
        <x:v>2026-08-14</x:v>
      </x:c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 t="str">
        <x:v>Q1 $4.73bn; Q2 &gt;$11.5bn — Primary reporting, live page checked</x:v>
      </x:c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54" t="str">
        <x:v>https://news.bloomberglaw.com/artificial-intelligence/anthropic-revenue-surges-to-over-11-5-billion-in-second-quarter</x:v>
      </x:c>
      <x:c r="D60" s="54"/>
      <x:c r="E60" s="55"/>
      <x:c r="F60" s="55"/>
      <x:c r="G60" s="55"/>
      <x:c r="H60" s="55"/>
      <x:c r="I60" s="55"/>
      <x:c r="J60" s="55"/>
      <x:c r="K60" s="54"/>
      <x:c r="L60" s="54"/>
      <x:c r="M60" s="54"/>
      <x:c r="N60" s="54"/>
      <x:c r="O60" s="54"/>
      <x:c r="P60" s="56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 t="str">
        <x:v>B2 The Information / Cory Weinberg</x:v>
      </x:c>
      <x:c r="D62" s="2"/>
      <x:c r="E62" s="4"/>
      <x:c r="F62" s="4"/>
      <x:c r="G62" s="4" t="str">
        <x:v>2026-10-14</x:v>
      </x:c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 t="str">
        <x:v>Q3 $16.8bn — Public indexed excerpt verified; body unavailable</x:v>
      </x:c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54" t="str">
        <x:v>https://www.theinformation.com/briefings/anthropic-reports-16-8-billion-third-quarter-revenue</x:v>
      </x:c>
      <x:c r="D64" s="54"/>
      <x:c r="E64" s="55"/>
      <x:c r="F64" s="55"/>
      <x:c r="G64" s="55"/>
      <x:c r="H64" s="55"/>
      <x:c r="I64" s="55"/>
      <x:c r="J64" s="55"/>
      <x:c r="K64" s="54"/>
      <x:c r="L64" s="54"/>
      <x:c r="M64" s="54"/>
      <x:c r="N64" s="54"/>
      <x:c r="O64" s="54"/>
      <x:c r="P64" s="56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  <x:row r="66" ht="20" customHeight="1">
      <x:c r="A66" s="2"/>
      <x:c r="B66" s="2"/>
      <x:c r="C66" s="2" t="str">
        <x:v>B3 CNBC / Kate Rooney</x:v>
      </x:c>
      <x:c r="D66" s="2"/>
      <x:c r="E66" s="4"/>
      <x:c r="F66" s="4"/>
      <x:c r="G66" s="4" t="str">
        <x:v>2026-08-18</x:v>
      </x:c>
      <x:c r="H66" s="4"/>
      <x:c r="I66" s="4"/>
      <x:c r="J66" s="4"/>
      <x:c r="K66" s="2"/>
      <x:c r="L66" s="2"/>
      <x:c r="M66" s="2"/>
      <x:c r="N66" s="2"/>
      <x:c r="O66" s="2"/>
    </x:row>
    <x:row r="67" ht="20" customHeight="1">
      <x:c r="A67" s="2"/>
      <x:c r="B67" s="2"/>
      <x:c r="C67" s="2" t="str">
        <x:v>July annualized revenue ~$65bn — Saved observation; not newly fetched</x:v>
      </x:c>
      <x:c r="D67" s="2"/>
      <x:c r="E67" s="4"/>
      <x:c r="F67" s="4"/>
      <x:c r="G67" s="4"/>
      <x:c r="H67" s="4"/>
      <x:c r="I67" s="4"/>
      <x:c r="J67" s="4"/>
      <x:c r="K67" s="2"/>
      <x:c r="L67" s="2"/>
      <x:c r="M67" s="2"/>
      <x:c r="N67" s="2"/>
      <x:c r="O67" s="2"/>
    </x:row>
    <x:row r="68" ht="20" customHeight="1">
      <x:c r="A68" s="2"/>
      <x:c r="B68" s="2"/>
      <x:c r="C68" s="54" t="str">
        <x:v>https://www.youtube.com/watch?v=3U_0AKZhi_I</x:v>
      </x:c>
      <x:c r="D68" s="54"/>
      <x:c r="E68" s="55"/>
      <x:c r="F68" s="55"/>
      <x:c r="G68" s="55"/>
      <x:c r="H68" s="55"/>
      <x:c r="I68" s="55"/>
      <x:c r="J68" s="55"/>
      <x:c r="K68" s="54"/>
      <x:c r="L68" s="54"/>
      <x:c r="M68" s="54"/>
      <x:c r="N68" s="54"/>
      <x:c r="O68" s="54"/>
      <x:c r="P68" s="56"/>
    </x:row>
    <x:row r="69" ht="20" customHeight="1">
      <x:c r="A69" s="2"/>
      <x:c r="B69" s="2"/>
      <x:c r="C69" s="2"/>
      <x:c r="D69" s="2"/>
      <x:c r="E69" s="4"/>
      <x:c r="F69" s="4"/>
      <x:c r="G69" s="4"/>
      <x:c r="H69" s="4"/>
      <x:c r="I69" s="4"/>
      <x:c r="J69" s="4"/>
      <x:c r="K69" s="2"/>
      <x:c r="L69" s="2"/>
      <x:c r="M69" s="2"/>
      <x:c r="N69" s="2"/>
      <x:c r="O69" s="2"/>
    </x:row>
    <x:row r="70" ht="20" customHeight="1">
      <x:c r="A70" s="2"/>
      <x:c r="B70" s="2"/>
      <x:c r="C70" s="2" t="str">
        <x:v>B4 Anthropic company announcement</x:v>
      </x:c>
      <x:c r="D70" s="2"/>
      <x:c r="E70" s="4"/>
      <x:c r="F70" s="4"/>
      <x:c r="G70" s="4" t="str">
        <x:v>2026-05-28</x:v>
      </x:c>
      <x:c r="H70" s="4"/>
      <x:c r="I70" s="4"/>
      <x:c r="J70" s="4"/>
      <x:c r="K70" s="2"/>
      <x:c r="L70" s="2"/>
      <x:c r="M70" s="2"/>
      <x:c r="N70" s="2"/>
      <x:c r="O70" s="2"/>
    </x:row>
    <x:row r="71" ht="20" customHeight="1">
      <x:c r="A71" s="2"/>
      <x:c r="B71" s="2"/>
      <x:c r="C71" s="2" t="str">
        <x:v>&gt;$47bn run-rate earlier in May — Primary page checked; date precision approximate</x:v>
      </x:c>
      <x:c r="D71" s="2"/>
      <x:c r="E71" s="4"/>
      <x:c r="F71" s="4"/>
      <x:c r="G71" s="4"/>
      <x:c r="H71" s="4"/>
      <x:c r="I71" s="4"/>
      <x:c r="J71" s="4"/>
      <x:c r="K71" s="2"/>
      <x:c r="L71" s="2"/>
      <x:c r="M71" s="2"/>
      <x:c r="N71" s="2"/>
      <x:c r="O71" s="2"/>
    </x:row>
    <x:row r="72" ht="20" customHeight="1">
      <x:c r="A72" s="2"/>
      <x:c r="B72" s="2"/>
      <x:c r="C72" s="54" t="str">
        <x:v>https://www.anthropic.com/news/series-h</x:v>
      </x:c>
      <x:c r="D72" s="54"/>
      <x:c r="E72" s="55"/>
      <x:c r="F72" s="55"/>
      <x:c r="G72" s="55"/>
      <x:c r="H72" s="55"/>
      <x:c r="I72" s="55"/>
      <x:c r="J72" s="55"/>
      <x:c r="K72" s="54"/>
      <x:c r="L72" s="54"/>
      <x:c r="M72" s="54"/>
      <x:c r="N72" s="54"/>
      <x:c r="O72" s="54"/>
      <x:c r="P72" s="56"/>
    </x:row>
    <x:row r="73" ht="20" customHeight="1">
      <x:c r="A73" s="2"/>
      <x:c r="B73" s="2"/>
      <x:c r="C73" s="2"/>
      <x:c r="D73" s="2"/>
      <x:c r="E73" s="4"/>
      <x:c r="F73" s="4"/>
      <x:c r="G73" s="4"/>
      <x:c r="H73" s="4"/>
      <x:c r="I73" s="4"/>
      <x:c r="J73" s="4"/>
      <x:c r="K73" s="2"/>
      <x:c r="L73" s="2"/>
      <x:c r="M73" s="2"/>
      <x:c r="N73" s="2"/>
      <x:c r="O73" s="2"/>
    </x:row>
    <x:row r="74" ht="20" customHeight="1">
      <x:c r="A74" s="2"/>
      <x:c r="B74" s="2"/>
      <x:c r="C74" s="2" t="str">
        <x:v>S1 SemiAnalysis / Brookhart, Huang, Patel</x:v>
      </x:c>
      <x:c r="D74" s="2"/>
      <x:c r="E74" s="4"/>
      <x:c r="F74" s="4"/>
      <x:c r="G74" s="4" t="str">
        <x:v>2026-07-08</x:v>
      </x:c>
      <x:c r="H74" s="4"/>
      <x:c r="I74" s="4"/>
      <x:c r="J74" s="4"/>
      <x:c r="K74" s="2"/>
      <x:c r="L74" s="2"/>
      <x:c r="M74" s="2"/>
      <x:c r="N74" s="2"/>
      <x:c r="O74" s="2"/>
    </x:row>
    <x:row r="75" ht="20" customHeight="1">
      <x:c r="A75" s="2"/>
      <x:c r="B75" s="2"/>
      <x:c r="C75" s="2" t="str">
        <x:v>2026 quarterly P&amp;L comparison — Archived figure transcription; estimates, not reported actuals</x:v>
      </x:c>
      <x:c r="D75" s="2"/>
      <x:c r="E75" s="4"/>
      <x:c r="F75" s="4"/>
      <x:c r="G75" s="4"/>
      <x:c r="H75" s="4"/>
      <x:c r="I75" s="4"/>
      <x:c r="J75" s="4"/>
      <x:c r="K75" s="2"/>
      <x:c r="L75" s="2"/>
      <x:c r="M75" s="2"/>
      <x:c r="N75" s="2"/>
      <x:c r="O75" s="2"/>
    </x:row>
    <x:row r="76" ht="20" customHeight="1">
      <x:c r="A76" s="2"/>
      <x:c r="B76" s="2"/>
      <x:c r="C76" s="54" t="str">
        <x:v>_wiki/_data/figures/Semianalysis_Anthropic_IPO_Financials_Sneak_Peek.md</x:v>
      </x:c>
      <x:c r="D76" s="54"/>
      <x:c r="E76" s="55"/>
      <x:c r="F76" s="55"/>
      <x:c r="G76" s="55"/>
      <x:c r="H76" s="55"/>
      <x:c r="I76" s="55"/>
      <x:c r="J76" s="55"/>
      <x:c r="K76" s="54"/>
      <x:c r="L76" s="54"/>
      <x:c r="M76" s="54"/>
      <x:c r="N76" s="54"/>
      <x:c r="O76" s="54"/>
      <x:c r="P76" s="56"/>
    </x:row>
    <x:row r="77" ht="20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2"/>
      <x:c r="L77" s="2"/>
      <x:c r="M77" s="2"/>
      <x:c r="N77" s="2"/>
      <x:c r="O77" s="2"/>
    </x:row>
    <x:row r="78" ht="20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2"/>
      <x:c r="L78" s="2"/>
      <x:c r="M78" s="2"/>
      <x:c r="N78" s="2"/>
      <x:c r="O78" s="2"/>
    </x:row>
    <x:row r="79" ht="20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2"/>
      <x:c r="L79" s="2"/>
      <x:c r="M79" s="2"/>
      <x:c r="N79" s="2"/>
      <x:c r="O79" s="2"/>
    </x:row>
    <x:row r="80" ht="20" customHeight="1">
      <x:c r="A80" s="2"/>
      <x:c r="B80" s="2"/>
      <x:c r="C80" s="17" t="str">
        <x:v>Archived source fingerprint: a85ab8040330214536ff576f2d3de50f8eb5374d68a1dd5253c8ca95680e1247</x:v>
      </x:c>
      <x:c r="D80" s="2"/>
      <x:c r="E80" s="4"/>
      <x:c r="F80" s="4"/>
      <x:c r="G80" s="4"/>
      <x:c r="H80" s="4"/>
      <x:c r="I80" s="4"/>
      <x:c r="J80" s="4"/>
      <x:c r="K80" s="2"/>
      <x:c r="L80" s="2"/>
      <x:c r="M80" s="2"/>
      <x:c r="N80" s="2"/>
      <x:c r="O80" s="2"/>
    </x:row>
    <x:row r="81" ht="20" customHeight="1">
      <x:c r="A81" s="2"/>
      <x:c r="B81" s="2"/>
      <x:c r="C81" s="17" t="str">
        <x:v>Source workbook saved 2026-10-15 13:15:32 UTC. All figures extracted without recalculating or changing it.</x:v>
      </x:c>
      <x:c r="D81" s="2"/>
      <x:c r="E81" s="4"/>
      <x:c r="F81" s="4"/>
      <x:c r="G81" s="4"/>
      <x:c r="H81" s="4"/>
      <x:c r="I81" s="4"/>
      <x:c r="J81" s="4"/>
      <x:c r="K81" s="2"/>
      <x:c r="L81" s="2"/>
      <x:c r="M81" s="2"/>
      <x:c r="N81" s="2"/>
      <x:c r="O81" s="2"/>
    </x:row>
    <x:row r="82" ht="20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2"/>
      <x:c r="L82" s="2"/>
      <x:c r="M82" s="2"/>
      <x:c r="N82" s="2"/>
      <x:c r="O82" s="2"/>
    </x:row>
    <x:row r="83" ht="20" customHeight="1">
      <x:c r="A83" s="2"/>
      <x:c r="B83" s="2"/>
      <x:c r="C83" s="17" t="str">
        <x:v>GM scope: Anthropic!AB70 comment, 14-Sep-26, cites FT &gt;80% before distribution share and training; 82% is the house point.</x:v>
      </x:c>
      <x:c r="D83" s="2"/>
      <x:c r="E83" s="4"/>
      <x:c r="F83" s="4"/>
      <x:c r="G83" s="4"/>
      <x:c r="H83" s="4"/>
      <x:c r="I83" s="4"/>
      <x:c r="J83" s="4"/>
      <x:c r="K83" s="2"/>
      <x:c r="L83" s="2"/>
      <x:c r="M83" s="2"/>
      <x:c r="N83" s="2"/>
      <x:c r="O83" s="2"/>
    </x:row>
    <x:row r="84" ht="20" customHeight="1">
      <x:c r="A84" s="2"/>
      <x:c r="B84" s="2"/>
      <x:c r="C84" s="17" t="str">
        <x:v>The compute/total-cost fraction has no independent observed cost anchor. Exact extraction does not validate the assumption.</x:v>
      </x:c>
      <x:c r="D84" s="2"/>
      <x:c r="E84" s="4"/>
      <x:c r="F84" s="4"/>
      <x:c r="G84" s="4"/>
      <x:c r="H84" s="4"/>
      <x:c r="I84" s="4"/>
      <x:c r="J84" s="4"/>
      <x:c r="K84" s="2"/>
      <x:c r="L84" s="2"/>
      <x:c r="M84" s="2"/>
      <x:c r="N84" s="2"/>
      <x:c r="O84" s="2"/>
    </x:row>
    <x:row r="85" ht="20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2"/>
      <x:c r="L85" s="2"/>
      <x:c r="M85" s="2"/>
      <x:c r="N85" s="2"/>
      <x:c r="O85" s="2"/>
    </x:row>
    <x:row r="86" ht="20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2"/>
      <x:c r="L86" s="2"/>
      <x:c r="M86" s="2"/>
      <x:c r="N86" s="2"/>
      <x:c r="O86" s="2"/>
    </x:row>
    <x:row r="87" ht="20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2"/>
      <x:c r="L87" s="2"/>
      <x:c r="M87" s="2"/>
      <x:c r="N87" s="2"/>
      <x:c r="O87" s="2"/>
    </x:row>
    <x:row r="88" ht="20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2"/>
      <x:c r="L88" s="2"/>
      <x:c r="M88" s="2"/>
      <x:c r="N88" s="2"/>
      <x:c r="O88" s="2"/>
    </x:row>
    <x:row r="89" ht="20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2"/>
      <x:c r="L89" s="2"/>
      <x:c r="M89" s="2"/>
      <x:c r="N89" s="2"/>
      <x:c r="O89" s="2"/>
    </x:row>
    <x:row r="90" ht="20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2"/>
      <x:c r="L90" s="2"/>
      <x:c r="M90" s="2"/>
      <x:c r="N90" s="2"/>
      <x:c r="O9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4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6" t="str">
        <x:v>Review</x:v>
      </x:c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</x:row>
    <x:row r="3" ht="20" customHeight="1">
      <x:c r="A3" s="2"/>
      <x:c r="B3" s="2"/>
      <x:c r="C3" s="17" t="str">
        <x:v>Reconciliations are not independent validation when the house forecast was calibrated to the same disclosure.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0" customHeight="1">
      <x:c r="A4" s="2"/>
      <x:c r="B4" s="2"/>
      <x:c r="C4" s="2" t="str">
        <x:v>Case selected</x:v>
      </x:c>
      <x:c r="D4" s="2"/>
      <x:c r="E4" s="9" t="str">
        <x:f>CHOOSE('Drivers'!$E$4,"House base","Downside","Upside")</x:f>
        <x:v>House 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/>
      <x:c r="B8" s="2"/>
      <x:c r="C8" s="15" t="str">
        <x:v>USD million, calendar years</x:v>
      </x:c>
      <x:c r="D8" s="15" t="str">
        <x:v>Basis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2"/>
      <x:c r="L8" s="2"/>
      <x:c r="M8" s="2"/>
      <x:c r="N8" s="2"/>
      <x:c r="O8" s="2"/>
    </x:row>
    <x:row r="9" ht="20" customHeight="1">
      <x:c r="A9" s="2"/>
      <x:c r="B9" s="2"/>
      <x:c r="C9" s="2"/>
      <x:c r="D9" s="2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</x:row>
    <x:row r="10" ht="20" customHeight="1">
      <x:c r="A10" s="2"/>
      <x:c r="B10" s="2"/>
      <x:c r="C10" s="2" t="str">
        <x:v>Revenue lines less gross revenue</x:v>
      </x:c>
      <x:c r="D10" s="2"/>
      <x:c r="E10" s="125" t="n">
        <x:f>'Operating'!E16</x:f>
        <x:v>0</x:v>
      </x:c>
      <x:c r="F10" s="125" t="n">
        <x:f>'Operating'!F16</x:f>
        <x:v>-7.275957614183426e-12</x:v>
      </x:c>
      <x:c r="G10" s="125" t="n">
        <x:f>'Operating'!G16</x:f>
        <x:v>0</x:v>
      </x:c>
      <x:c r="H10" s="125" t="n">
        <x:f>'Operating'!H16</x:f>
        <x:v>0</x:v>
      </x:c>
      <x:c r="I10" s="125" t="n">
        <x:f>'Operating'!I16</x:f>
        <x:v>0</x:v>
      </x:c>
      <x:c r="J10" s="125" t="n">
        <x:f>'Operating'!J16</x:f>
        <x:v>0</x:v>
      </x:c>
      <x:c r="K10" s="2"/>
      <x:c r="L10" s="2"/>
      <x:c r="M10" s="2"/>
      <x:c r="N10" s="2"/>
      <x:c r="O10" s="2"/>
    </x:row>
    <x:row r="11" ht="20" customHeight="1">
      <x:c r="A11" s="2"/>
      <x:c r="B11" s="2"/>
      <x:c r="C11" s="2" t="str">
        <x:v>2026 monthly bridge less annual</x:v>
      </x:c>
      <x:c r="D11" s="2"/>
      <x:c r="E11" s="125" t="str">
        <x:f>"n.a."</x:f>
        <x:v>n.a.</x:v>
      </x:c>
      <x:c r="F11" s="125" t="n">
        <x:f>'ARR 2026'!I22-'Operating'!F10</x:f>
        <x:v>0</x:v>
      </x:c>
      <x:c r="G11" s="125" t="str">
        <x:f>"n.a."</x:f>
        <x:v>n.a.</x:v>
      </x:c>
      <x:c r="H11" s="125" t="str">
        <x:f>"n.a."</x:f>
        <x:v>n.a.</x:v>
      </x:c>
      <x:c r="I11" s="125" t="str">
        <x:f>"n.a."</x:f>
        <x:v>n.a.</x:v>
      </x:c>
      <x:c r="J11" s="125" t="str">
        <x:f>"n.a."</x:f>
        <x:v>n.a.</x:v>
      </x:c>
      <x:c r="K11" s="2"/>
      <x:c r="L11" s="2"/>
      <x:c r="M11" s="2"/>
      <x:c r="N11" s="2"/>
      <x:c r="O11" s="2"/>
    </x:row>
    <x:row r="12" ht="20" customHeight="1">
      <x:c r="A12" s="2"/>
      <x:c r="B12" s="2"/>
      <x:c r="C12" s="2" t="str">
        <x:v>Costs rebuilt less source: house base only</x:v>
      </x:c>
      <x:c r="D12" s="2"/>
      <x:c r="E12" s="125" t="n">
        <x:f>IF(AND('Drivers'!$E$4=1,'Drivers'!$G$4=1,'Drivers'!$J$4=0,'Drivers'!$J$5=0),'Operating'!E35-'Sources'!E17,"n.a.")</x:f>
        <x:v>0</x:v>
      </x:c>
      <x:c r="F12" s="125" t="n">
        <x:f>IF(AND('Drivers'!$E$4=1,'Drivers'!$G$4=1,'Drivers'!$J$4=0,'Drivers'!$J$5=0),'Operating'!F35-'Sources'!F17,"n.a.")</x:f>
        <x:v>0</x:v>
      </x:c>
      <x:c r="G12" s="125" t="n">
        <x:f>IF(AND('Drivers'!$E$4=1,'Drivers'!$G$4=1,'Drivers'!$J$4=0,'Drivers'!$J$5=0),'Operating'!G35-'Sources'!G17,"n.a.")</x:f>
        <x:v>1.4551915228366852e-11</x:v>
      </x:c>
      <x:c r="H12" s="125" t="n">
        <x:f>IF(AND('Drivers'!$E$4=1,'Drivers'!$G$4=1,'Drivers'!$J$4=0,'Drivers'!$J$5=0),'Operating'!H35-'Sources'!H17,"n.a.")</x:f>
        <x:v>0</x:v>
      </x:c>
      <x:c r="I12" s="125" t="n">
        <x:f>IF(AND('Drivers'!$E$4=1,'Drivers'!$G$4=1,'Drivers'!$J$4=0,'Drivers'!$J$5=0),'Operating'!I35-'Sources'!I17,"n.a.")</x:f>
        <x:v>0</x:v>
      </x:c>
      <x:c r="J12" s="125" t="n">
        <x:f>IF(AND('Drivers'!$E$4=1,'Drivers'!$G$4=1,'Drivers'!$J$4=0,'Drivers'!$J$5=0),'Operating'!J35-'Sources'!J17,"n.a.")</x:f>
        <x:v>0</x:v>
      </x:c>
      <x:c r="K12" s="2"/>
      <x:c r="L12" s="2"/>
      <x:c r="M12" s="2"/>
      <x:c r="N12" s="2"/>
      <x:c r="O12" s="2"/>
    </x:row>
    <x:row r="13" ht="20" customHeight="1">
      <x:c r="A13" s="2"/>
      <x:c r="B13" s="2"/>
      <x:c r="C13" s="2" t="str">
        <x:v>Annual source less quarterly source: 2025</x:v>
      </x:c>
      <x:c r="D13" s="2"/>
      <x:c r="E13" s="125" t="n">
        <x:f>'Sources'!E8-'Sources'!E30</x:f>
        <x:v>166.5086006666661</x:v>
      </x:c>
      <x:c r="F13" s="125" t="str">
        <x:f>"n.a."</x:f>
        <x:v>n.a.</x:v>
      </x:c>
      <x:c r="G13" s="125" t="str">
        <x:f>"n.a."</x:f>
        <x:v>n.a.</x:v>
      </x:c>
      <x:c r="H13" s="125" t="str">
        <x:f>"n.a."</x:f>
        <x:v>n.a.</x:v>
      </x:c>
      <x:c r="I13" s="125" t="str">
        <x:f>"n.a."</x:f>
        <x:v>n.a.</x:v>
      </x:c>
      <x:c r="J13" s="125" t="str">
        <x:f>"n.a."</x:f>
        <x:v>n.a.</x:v>
      </x:c>
      <x:c r="K13" s="2"/>
      <x:c r="L13" s="2"/>
      <x:c r="M13" s="2"/>
      <x:c r="N13" s="2"/>
      <x:c r="O13" s="2"/>
    </x:row>
    <x:row r="14" ht="20" customHeight="1">
      <x:c r="A14" s="2"/>
      <x:c r="B14" s="2"/>
      <x:c r="C14" s="2" t="str">
        <x:v>Rebuilt surplus less source EBIT: 2025</x:v>
      </x:c>
      <x:c r="D14" s="2"/>
      <x:c r="E14" s="125" t="n">
        <x:f>'Operating'!E31-'Sources'!E23</x:f>
        <x:v>-4560.416666666667</x:v>
      </x:c>
      <x:c r="F14" s="125" t="str">
        <x:f>"n.a."</x:f>
        <x:v>n.a.</x:v>
      </x:c>
      <x:c r="G14" s="125" t="str">
        <x:f>"n.a."</x:f>
        <x:v>n.a.</x:v>
      </x:c>
      <x:c r="H14" s="125" t="str">
        <x:f>"n.a."</x:f>
        <x:v>n.a.</x:v>
      </x:c>
      <x:c r="I14" s="125" t="str">
        <x:f>"n.a."</x:f>
        <x:v>n.a.</x:v>
      </x:c>
      <x:c r="J14" s="125" t="str">
        <x:f>"n.a."</x:f>
        <x:v>n.a.</x:v>
      </x:c>
      <x:c r="K14" s="2"/>
      <x:c r="L14" s="2"/>
      <x:c r="M14" s="2"/>
      <x:c r="N14" s="2"/>
      <x:c r="O14" s="2"/>
    </x:row>
    <x:row r="15" ht="20" customHeight="1">
      <x:c r="A15" s="2"/>
      <x:c r="B15" s="2"/>
      <x:c r="C15" s="2"/>
      <x:c r="D15" s="2"/>
      <x:c r="E15" s="4"/>
      <x:c r="F15" s="4"/>
      <x:c r="G15" s="4"/>
      <x:c r="H15" s="4"/>
      <x:c r="I15" s="4"/>
      <x:c r="J15" s="4"/>
      <x:c r="K15" s="2"/>
      <x:c r="L15" s="2"/>
      <x:c r="M15" s="2"/>
      <x:c r="N15" s="2"/>
      <x:c r="O15" s="2"/>
    </x:row>
    <x:row r="16" ht="20" customHeight="1">
      <x:c r="A16" s="2"/>
      <x:c r="B16" s="2"/>
      <x:c r="C16" s="2" t="str">
        <x:v>Channel shares within 0%–100%</x:v>
      </x:c>
      <x:c r="D16" s="2"/>
      <x:c r="E16" s="4" t="str">
        <x:f>IF(AND('Drivers'!E40&gt;=0,'Drivers'!E41&gt;=0,'Drivers'!E40+'Drivers'!E41&lt;=1,'Drivers'!E34&gt;=0,'Drivers'!E34&lt;=1),"PASS","FAIL")</x:f>
        <x:v>PASS</x:v>
      </x:c>
      <x:c r="F16" s="4" t="str">
        <x:f>IF(AND('Drivers'!F40&gt;=0,'Drivers'!F41&gt;=0,'Drivers'!F40+'Drivers'!F41&lt;=1,'Drivers'!F34&gt;=0,'Drivers'!F34&lt;=1),"PASS","FAIL")</x:f>
        <x:v>PASS</x:v>
      </x:c>
      <x:c r="G16" s="4" t="str">
        <x:f>IF(AND('Drivers'!G40&gt;=0,'Drivers'!G41&gt;=0,'Drivers'!G40+'Drivers'!G41&lt;=1,'Drivers'!G34&gt;=0,'Drivers'!G34&lt;=1),"PASS","FAIL")</x:f>
        <x:v>PASS</x:v>
      </x:c>
      <x:c r="H16" s="4" t="str">
        <x:f>IF(AND('Drivers'!H40&gt;=0,'Drivers'!H41&gt;=0,'Drivers'!H40+'Drivers'!H41&lt;=1,'Drivers'!H34&gt;=0,'Drivers'!H34&lt;=1),"PASS","FAIL")</x:f>
        <x:v>PASS</x:v>
      </x:c>
      <x:c r="I16" s="4" t="str">
        <x:f>IF(AND('Drivers'!I40&gt;=0,'Drivers'!I41&gt;=0,'Drivers'!I40+'Drivers'!I41&lt;=1,'Drivers'!I34&gt;=0,'Drivers'!I34&lt;=1),"PASS","FAIL")</x:f>
        <x:v>PASS</x:v>
      </x:c>
      <x:c r="J16" s="4" t="str">
        <x:f>IF(AND('Drivers'!J40&gt;=0,'Drivers'!J41&gt;=0,'Drivers'!J40+'Drivers'!J41&lt;=1,'Drivers'!J34&gt;=0,'Drivers'!J34&lt;=1),"PASS","FAIL")</x:f>
        <x:v>PASS</x:v>
      </x:c>
      <x:c r="K16" s="2"/>
      <x:c r="L16" s="2"/>
      <x:c r="M16" s="2"/>
      <x:c r="N16" s="2"/>
      <x:c r="O16" s="2"/>
    </x:row>
    <x:row r="17" ht="20" customHeight="1">
      <x:c r="A17" s="2"/>
      <x:c r="B17" s="2"/>
      <x:c r="C17" s="2" t="str">
        <x:v>Margin and cost-share ranges valid</x:v>
      </x:c>
      <x:c r="D17" s="2"/>
      <x:c r="E17" s="4" t="str">
        <x:f>IF(AND('Drivers'!E16&lt;=1,'Drivers'!E28&gt;0,'Drivers'!E28&lt;=1,'Drivers'!E22&gt;=0),"PASS","FAIL")</x:f>
        <x:v>PASS</x:v>
      </x:c>
      <x:c r="F17" s="4" t="str">
        <x:f>IF(AND('Drivers'!F16&lt;=1,'Drivers'!F28&gt;0,'Drivers'!F28&lt;=1,'Drivers'!F22&gt;=0),"PASS","FAIL")</x:f>
        <x:v>PASS</x:v>
      </x:c>
      <x:c r="G17" s="4" t="str">
        <x:f>IF(AND('Drivers'!G16&lt;=1,'Drivers'!G28&gt;0,'Drivers'!G28&lt;=1,'Drivers'!G22&gt;=0),"PASS","FAIL")</x:f>
        <x:v>PASS</x:v>
      </x:c>
      <x:c r="H17" s="4" t="str">
        <x:f>IF(AND('Drivers'!H16&lt;=1,'Drivers'!H28&gt;0,'Drivers'!H28&lt;=1,'Drivers'!H22&gt;=0),"PASS","FAIL")</x:f>
        <x:v>PASS</x:v>
      </x:c>
      <x:c r="I17" s="4" t="str">
        <x:f>IF(AND('Drivers'!I16&lt;=1,'Drivers'!I28&gt;0,'Drivers'!I28&lt;=1,'Drivers'!I22&gt;=0),"PASS","FAIL")</x:f>
        <x:v>PASS</x:v>
      </x:c>
      <x:c r="J17" s="4" t="str">
        <x:f>IF(AND('Drivers'!J16&lt;=1,'Drivers'!J28&gt;0,'Drivers'!J28&lt;=1,'Drivers'!J22&gt;=0),"PASS","FAIL")</x:f>
        <x:v>PASS</x:v>
      </x:c>
      <x:c r="K17" s="2"/>
      <x:c r="L17" s="2"/>
      <x:c r="M17" s="2"/>
      <x:c r="N17" s="2"/>
      <x:c r="O17" s="2"/>
    </x:row>
    <x:row r="18" ht="20" customHeight="1">
      <x:c r="A18" s="2"/>
      <x:c r="B18" s="2"/>
      <x:c r="C18" s="2" t="str">
        <x:v>1P cost within training / inference totals</x:v>
      </x:c>
      <x:c r="D18" s="2"/>
      <x:c r="E18" s="4" t="str">
        <x:f>IF(AND('Compute'!E19&gt;=0,'Compute'!E20&gt;=0),"PASS","FAIL")</x:f>
        <x:v>PASS</x:v>
      </x:c>
      <x:c r="F18" s="4" t="str">
        <x:f>IF(AND('Compute'!F19&gt;=0,'Compute'!F20&gt;=0),"PASS","FAIL")</x:f>
        <x:v>PASS</x:v>
      </x:c>
      <x:c r="G18" s="4" t="str">
        <x:f>IF(AND('Compute'!G19&gt;=0,'Compute'!G20&gt;=0),"PASS","FAIL")</x:f>
        <x:v>PASS</x:v>
      </x:c>
      <x:c r="H18" s="4" t="str">
        <x:f>IF(AND('Compute'!H19&gt;=0,'Compute'!H20&gt;=0),"PASS","FAIL")</x:f>
        <x:v>PASS</x:v>
      </x:c>
      <x:c r="I18" s="4" t="str">
        <x:f>IF(AND('Compute'!I19&gt;=0,'Compute'!I20&gt;=0),"PASS","FAIL")</x:f>
        <x:v>PASS</x:v>
      </x:c>
      <x:c r="J18" s="4" t="str">
        <x:f>IF(AND('Compute'!J19&gt;=0,'Compute'!J20&gt;=0),"PASS","FAIL")</x:f>
        <x:v>PASS</x:v>
      </x:c>
      <x:c r="K18" s="2"/>
      <x:c r="L18" s="2"/>
      <x:c r="M18" s="2"/>
      <x:c r="N18" s="2"/>
      <x:c r="O18" s="2"/>
    </x:row>
    <x:row r="19" ht="20" customHeight="1">
      <x:c r="A19" s="2"/>
      <x:c r="B19" s="2"/>
      <x:c r="C19" s="2" t="str">
        <x:v>Other costs fall while revenue grows &gt;50%</x:v>
      </x:c>
      <x:c r="D19" s="2"/>
      <x:c r="E19" s="4" t="str">
        <x:f>"n.a."</x:f>
        <x:v>n.a.</x:v>
      </x:c>
      <x:c r="F19" s="4" t="str">
        <x:f>IF(AND('Operating'!F38&lt;0,'Operating'!F11&gt;0.5),"REVIEW","PASS")</x:f>
        <x:v>PASS</x:v>
      </x:c>
      <x:c r="G19" s="4" t="str">
        <x:f>IF(AND('Operating'!G38&lt;0,'Operating'!G11&gt;0.5),"REVIEW","PASS")</x:f>
        <x:v>REVIEW</x:v>
      </x:c>
      <x:c r="H19" s="4" t="str">
        <x:f>IF(AND('Operating'!H38&lt;0,'Operating'!H11&gt;0.5),"REVIEW","PASS")</x:f>
        <x:v>PASS</x:v>
      </x:c>
      <x:c r="I19" s="4" t="str">
        <x:f>IF(AND('Operating'!I38&lt;0,'Operating'!I11&gt;0.5),"REVIEW","PASS")</x:f>
        <x:v>PASS</x:v>
      </x:c>
      <x:c r="J19" s="4" t="str">
        <x:f>IF(AND('Operating'!J38&lt;0,'Operating'!J11&gt;0.5),"REVIEW","PASS")</x:f>
        <x:v>PASS</x:v>
      </x:c>
      <x:c r="K19" s="2"/>
      <x:c r="L19" s="2"/>
      <x:c r="M19" s="2"/>
      <x:c r="N19" s="2"/>
      <x:c r="O19" s="2"/>
    </x:row>
    <x:row r="20" ht="20" customHeight="1">
      <x:c r="A20" s="2"/>
      <x:c r="B20" s="2"/>
      <x:c r="C20" s="2" t="str">
        <x:v>Revenue-share rate less tracker: 2026</x:v>
      </x:c>
      <x:c r="D20" s="2"/>
      <x:c r="E20" s="22" t="str">
        <x:f>"n.a."</x:f>
        <x:v>n.a.</x:v>
      </x:c>
      <x:c r="F20" s="22" t="n">
        <x:f>'Drivers'!F34-'Sources'!F19</x:f>
        <x:v>0.04999999999999999</x:v>
      </x:c>
      <x:c r="G20" s="22" t="str">
        <x:f>"n.a."</x:f>
        <x:v>n.a.</x:v>
      </x:c>
      <x:c r="H20" s="22" t="str">
        <x:f>"n.a."</x:f>
        <x:v>n.a.</x:v>
      </x:c>
      <x:c r="I20" s="22" t="str">
        <x:f>"n.a."</x:f>
        <x:v>n.a.</x:v>
      </x:c>
      <x:c r="J20" s="22" t="str">
        <x:f>"n.a."</x:f>
        <x:v>n.a.</x:v>
      </x:c>
      <x:c r="K20" s="2"/>
      <x:c r="L20" s="2"/>
      <x:c r="M20" s="2"/>
      <x:c r="N20" s="2"/>
      <x:c r="O20" s="2"/>
    </x:row>
    <x:row r="21" ht="20" customHeight="1">
      <x:c r="A21" s="2"/>
      <x:c r="B21" s="2"/>
      <x:c r="C21" s="2"/>
      <x:c r="D21" s="2"/>
      <x:c r="E21" s="4"/>
      <x:c r="F21" s="4"/>
      <x:c r="G21" s="4"/>
      <x:c r="H21" s="4"/>
      <x:c r="I21" s="4"/>
      <x:c r="J21" s="4"/>
      <x:c r="K21" s="2"/>
      <x:c r="L21" s="2"/>
      <x:c r="M21" s="2"/>
      <x:c r="N21" s="2"/>
      <x:c r="O21" s="2"/>
    </x:row>
    <x:row r="22" ht="20" customHeight="1">
      <x:c r="A22" s="2"/>
      <x:c r="B22" s="2"/>
      <x:c r="C22" s="2" t="str">
        <x:v>Cash-conversion input coverage</x:v>
      </x:c>
      <x:c r="D22" s="2"/>
      <x:c r="E22" s="4" t="str">
        <x:f>IF('Cash flow'!E30=0,"COMPLETE","MISSING")</x:f>
        <x:v>MISSING</x:v>
      </x:c>
      <x:c r="F22" s="4" t="str">
        <x:f>IF('Cash flow'!F30=0,"COMPLETE","MISSING")</x:f>
        <x:v>MISSING</x:v>
      </x:c>
      <x:c r="G22" s="4" t="str">
        <x:f>IF('Cash flow'!G30=0,"COMPLETE","MISSING")</x:f>
        <x:v>MISSING</x:v>
      </x:c>
      <x:c r="H22" s="4" t="str">
        <x:f>IF('Cash flow'!H30=0,"COMPLETE","MISSING")</x:f>
        <x:v>MISSING</x:v>
      </x:c>
      <x:c r="I22" s="4" t="str">
        <x:f>IF('Cash flow'!I30=0,"COMPLETE","MISSING")</x:f>
        <x:v>MISSING</x:v>
      </x:c>
      <x:c r="J22" s="4" t="str">
        <x:f>IF('Cash flow'!J30=0,"COMPLETE","MISSING")</x:f>
        <x:v>MISSING</x:v>
      </x:c>
      <x:c r="K22" s="2"/>
      <x:c r="L22" s="2"/>
      <x:c r="M22" s="2"/>
      <x:c r="N22" s="2"/>
      <x:c r="O22" s="2"/>
    </x:row>
    <x:row r="23" ht="20" customHeight="1">
      <x:c r="A23" s="2"/>
      <x:c r="B23" s="2"/>
      <x:c r="C23" s="2" t="str">
        <x:v>Underlying capacity units</x:v>
      </x:c>
      <x:c r="D23" s="2"/>
      <x:c r="E23" s="4" t="str">
        <x:f>"UNVERIFIED"</x:f>
        <x:v>UNVERIFIED</x:v>
      </x:c>
      <x:c r="F23" s="4" t="str">
        <x:f>"UNVERIFIED"</x:f>
        <x:v>UNVERIFIED</x:v>
      </x:c>
      <x:c r="G23" s="4" t="str">
        <x:f>"UNVERIFIED"</x:f>
        <x:v>UNVERIFIED</x:v>
      </x:c>
      <x:c r="H23" s="4" t="str">
        <x:f>"UNVERIFIED"</x:f>
        <x:v>UNVERIFIED</x:v>
      </x:c>
      <x:c r="I23" s="4" t="str">
        <x:f>"UNVERIFIED"</x:f>
        <x:v>UNVERIFIED</x:v>
      </x:c>
      <x:c r="J23" s="4" t="str">
        <x:f>"UNVERIFIED"</x:f>
        <x:v>UNVERIFIED</x:v>
      </x:c>
      <x:c r="K23" s="2"/>
      <x:c r="L23" s="2"/>
      <x:c r="M23" s="2"/>
      <x:c r="N23" s="2"/>
      <x:c r="O23" s="2"/>
    </x:row>
    <x:row r="24" ht="20" customHeight="1">
      <x:c r="A24" s="2"/>
      <x:c r="B24" s="2"/>
      <x:c r="C24" s="2" t="str">
        <x:v>External cost calibration</x:v>
      </x:c>
      <x:c r="D24" s="2"/>
      <x:c r="E24" s="4" t="str">
        <x:f>"UNVERIFIED"</x:f>
        <x:v>UNVERIFIED</x:v>
      </x:c>
      <x:c r="F24" s="4" t="str">
        <x:f>"UNVERIFIED"</x:f>
        <x:v>UNVERIFIED</x:v>
      </x:c>
      <x:c r="G24" s="4" t="str">
        <x:f>"UNVERIFIED"</x:f>
        <x:v>UNVERIFIED</x:v>
      </x:c>
      <x:c r="H24" s="4" t="str">
        <x:f>"UNVERIFIED"</x:f>
        <x:v>UNVERIFIED</x:v>
      </x:c>
      <x:c r="I24" s="4" t="str">
        <x:f>"UNVERIFIED"</x:f>
        <x:v>UNVERIFIED</x:v>
      </x:c>
      <x:c r="J24" s="4" t="str">
        <x:f>"UNVERIFIED"</x:f>
        <x:v>UNVERIFIED</x:v>
      </x:c>
      <x:c r="K24" s="2"/>
      <x:c r="L24" s="2"/>
      <x:c r="M24" s="2"/>
      <x:c r="N24" s="2"/>
      <x:c r="O24" s="2"/>
    </x:row>
    <x:row r="25" ht="20" customHeight="1">
      <x:c r="A25" s="2"/>
      <x:c r="B25" s="2"/>
      <x:c r="C25" s="2"/>
      <x:c r="D25" s="2"/>
      <x:c r="E25" s="4"/>
      <x:c r="F25" s="4"/>
      <x:c r="G25" s="4"/>
      <x:c r="H25" s="4"/>
      <x:c r="I25" s="4"/>
      <x:c r="J25" s="4"/>
      <x:c r="K25" s="2"/>
      <x:c r="L25" s="2"/>
      <x:c r="M25" s="2"/>
      <x:c r="N25" s="2"/>
      <x:c r="O25" s="2"/>
    </x:row>
    <x:row r="26" ht="20" customHeight="1">
      <x:c r="A26" s="2"/>
      <x:c r="B26" s="2"/>
      <x:c r="C26" s="2"/>
      <x:c r="D26" s="2"/>
      <x:c r="E26" s="4"/>
      <x:c r="F26" s="4"/>
      <x:c r="G26" s="4"/>
      <x:c r="H26" s="4"/>
      <x:c r="I26" s="4"/>
      <x:c r="J26" s="4"/>
      <x:c r="K26" s="2"/>
      <x:c r="L26" s="2"/>
      <x:c r="M26" s="2"/>
      <x:c r="N26" s="2"/>
      <x:c r="O26" s="2"/>
    </x:row>
    <x:row r="27" ht="20" customHeight="1">
      <x:c r="A27" s="2"/>
      <x:c r="B27" s="2"/>
      <x:c r="C27" s="2"/>
      <x:c r="D27" s="2"/>
      <x:c r="E27" s="4"/>
      <x:c r="F27" s="4"/>
      <x:c r="G27" s="4"/>
      <x:c r="H27" s="4"/>
      <x:c r="I27" s="4"/>
      <x:c r="J27" s="4"/>
      <x:c r="K27" s="2"/>
      <x:c r="L27" s="2"/>
      <x:c r="M27" s="2"/>
      <x:c r="N27" s="2"/>
      <x:c r="O27" s="2"/>
    </x:row>
    <x:row r="28" ht="20" customHeight="1">
      <x:c r="A28" s="2"/>
      <x:c r="B28" s="2"/>
      <x:c r="C28" s="2" t="str">
        <x:v>Quarterly revenue benchmark</x:v>
      </x:c>
      <x:c r="D28" s="2"/>
      <x:c r="E28" s="4" t="str">
        <x:v>Q1:26</x:v>
      </x:c>
      <x:c r="F28" s="4" t="str">
        <x:v>Q2:26</x:v>
      </x:c>
      <x:c r="G28" s="4" t="str">
        <x:v>Q3:26</x:v>
      </x:c>
      <x:c r="H28" s="4"/>
      <x:c r="I28" s="4"/>
      <x:c r="J28" s="4"/>
      <x:c r="K28" s="2"/>
      <x:c r="L28" s="2"/>
      <x:c r="M28" s="2"/>
      <x:c r="N28" s="2"/>
      <x:c r="O28" s="2"/>
    </x:row>
    <x:row r="29" ht="20" customHeight="1">
      <x:c r="A29" s="2"/>
      <x:c r="B29" s="2"/>
      <x:c r="C29" s="2" t="str">
        <x:v>House quarterly revenue</x:v>
      </x:c>
      <x:c r="D29" s="2"/>
      <x:c r="E29" s="4" t="n">
        <x:f>'ARR 2026'!E22</x:f>
        <x:v>4635.688910112001</x:v>
      </x:c>
      <x:c r="F29" s="4" t="n">
        <x:f>'ARR 2026'!F22</x:f>
        <x:v>11479.628195391284</x:v>
      </x:c>
      <x:c r="G29" s="4" t="n">
        <x:f>'ARR 2026'!G22</x:f>
        <x:v>16793.057320400214</x:v>
      </x:c>
      <x:c r="H29" s="4"/>
      <x:c r="I29" s="4"/>
      <x:c r="J29" s="4"/>
      <x:c r="K29" s="2"/>
      <x:c r="L29" s="2"/>
      <x:c r="M29" s="2"/>
      <x:c r="N29" s="2"/>
      <x:c r="O29" s="2"/>
    </x:row>
    <x:row r="30" ht="20" customHeight="1">
      <x:c r="A30" s="2"/>
      <x:c r="B30" s="2"/>
      <x:c r="C30" s="2" t="str">
        <x:v>Press-reported comparison</x:v>
      </x:c>
      <x:c r="D30" s="2"/>
      <x:c r="E30" s="4" t="n">
        <x:f>'Sources'!E46</x:f>
        <x:v>4730</x:v>
      </x:c>
      <x:c r="F30" s="4" t="n">
        <x:f>'Sources'!F46</x:f>
        <x:v>11500</x:v>
      </x:c>
      <x:c r="G30" s="4" t="n">
        <x:f>'Sources'!G46</x:f>
        <x:v>16800</x:v>
      </x:c>
      <x:c r="H30" s="4"/>
      <x:c r="I30" s="4"/>
      <x:c r="J30" s="4"/>
      <x:c r="K30" s="2"/>
      <x:c r="L30" s="2"/>
      <x:c r="M30" s="2"/>
      <x:c r="N30" s="2"/>
      <x:c r="O30" s="2"/>
    </x:row>
    <x:row r="31" ht="20" customHeight="1">
      <x:c r="A31" s="2"/>
      <x:c r="B31" s="2"/>
      <x:c r="C31" s="2" t="str">
        <x:v>Difference / comparison value</x:v>
      </x:c>
      <x:c r="D31" s="2"/>
      <x:c r="E31" s="22" t="n">
        <x:f>E29/E30-1</x:f>
        <x:v>-0.01993891963805472</x:v>
      </x:c>
      <x:c r="F31" s="22" t="n">
        <x:f>F29/F30-1</x:f>
        <x:v>-0.001771461270323127</x:v>
      </x:c>
      <x:c r="G31" s="22" t="n">
        <x:f>G29/G30-1</x:f>
        <x:v>-0.00041325473808251356</x:v>
      </x:c>
      <x:c r="H31" s="4"/>
      <x:c r="I31" s="4"/>
      <x:c r="J31" s="4"/>
      <x:c r="K31" s="2"/>
      <x:c r="L31" s="2"/>
      <x:c r="M31" s="2"/>
      <x:c r="N31" s="2"/>
      <x:c r="O31" s="2"/>
    </x:row>
    <x:row r="32" ht="20" customHeight="1">
      <x:c r="A32" s="2"/>
      <x:c r="B32" s="2"/>
      <x:c r="C32" s="2" t="str">
        <x:v>Level reconciliation, 25% tolerance</x:v>
      </x:c>
      <x:c r="D32" s="2"/>
      <x:c r="E32" s="4" t="str">
        <x:f>IF(ABS(E31)&lt;=0.25,"WITHIN","REVIEW")</x:f>
        <x:v>WITHIN</x:v>
      </x:c>
      <x:c r="F32" s="4" t="str">
        <x:f>IF(ABS(F31)&lt;=0.25,"WITHIN","REVIEW")</x:f>
        <x:v>WITHIN</x:v>
      </x:c>
      <x:c r="G32" s="4" t="str">
        <x:f>IF(ABS(G31)&lt;=0.25,"WITHIN","REVIEW")</x:f>
        <x:v>WITHIN</x:v>
      </x:c>
      <x:c r="H32" s="4"/>
      <x:c r="I32" s="4"/>
      <x:c r="J32" s="4"/>
      <x:c r="K32" s="2"/>
      <x:c r="L32" s="2"/>
      <x:c r="M32" s="2"/>
      <x:c r="N32" s="2"/>
      <x:c r="O32" s="2"/>
    </x:row>
    <x:row r="33" ht="20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2"/>
      <x:c r="L33" s="2"/>
      <x:c r="M33" s="2"/>
      <x:c r="N33" s="2"/>
      <x:c r="O33" s="2"/>
    </x:row>
    <x:row r="34" ht="20" customHeight="1">
      <x:c r="A34" s="2"/>
      <x:c r="B34" s="2"/>
      <x:c r="C34" s="2" t="str">
        <x:v>July average annualized / reported late-July</x:v>
      </x:c>
      <x:c r="D34" s="2"/>
      <x:c r="E34" s="22" t="n">
        <x:f>'ARR 2026'!K13/'Sources'!H46-1</x:f>
        <x:v>-0.0261789370291855</x:v>
      </x:c>
      <x:c r="F34" s="4"/>
      <x:c r="G34" s="4"/>
      <x:c r="H34" s="4"/>
      <x:c r="I34" s="4"/>
      <x:c r="J34" s="4"/>
      <x:c r="K34" s="2"/>
      <x:c r="L34" s="2"/>
      <x:c r="M34" s="2"/>
      <x:c r="N34" s="2"/>
      <x:c r="O34" s="2"/>
    </x:row>
    <x:row r="35" ht="20" customHeight="1">
      <x:c r="A35" s="2"/>
      <x:c r="B35" s="2"/>
      <x:c r="C35" s="2"/>
      <x:c r="D35" s="2"/>
      <x:c r="E35" s="4"/>
      <x:c r="F35" s="4"/>
      <x:c r="G35" s="4"/>
      <x:c r="H35" s="4"/>
      <x:c r="I35" s="4"/>
      <x:c r="J35" s="4"/>
      <x:c r="K35" s="2"/>
      <x:c r="L35" s="2"/>
      <x:c r="M35" s="2"/>
      <x:c r="N35" s="2"/>
      <x:c r="O35" s="2"/>
    </x:row>
    <x:row r="36" ht="20" customHeight="1">
      <x:c r="A36" s="2"/>
      <x:c r="B36" s="2"/>
      <x:c r="C36" s="17" t="str">
        <x:v>Q2 comparison is a lower bound. July is a timing-mismatched reasonableness check, not exact ARR reconciliation.</x:v>
      </x:c>
      <x:c r="D36" s="2"/>
      <x:c r="E36" s="4"/>
      <x:c r="F36" s="4"/>
      <x:c r="G36" s="4"/>
      <x:c r="H36" s="4"/>
      <x:c r="I36" s="4"/>
      <x:c r="J36" s="4"/>
      <x:c r="K36" s="2"/>
      <x:c r="L36" s="2"/>
      <x:c r="M36" s="2"/>
      <x:c r="N36" s="2"/>
      <x:c r="O36" s="2"/>
    </x:row>
    <x:row r="37" ht="20" customHeight="1">
      <x:c r="A37" s="2"/>
      <x:c r="B37" s="2"/>
      <x:c r="C37" s="17" t="str">
        <x:v>The source historical 2025 EBIT conflicts with its cost build; its 2026+ EBIT formula adds positive costs to revenue.</x:v>
      </x:c>
      <x:c r="D37" s="2"/>
      <x:c r="E37" s="4"/>
      <x:c r="F37" s="4"/>
      <x:c r="G37" s="4"/>
      <x:c r="H37" s="4"/>
      <x:c r="I37" s="4"/>
      <x:c r="J37" s="4"/>
      <x:c r="K37" s="2"/>
      <x:c r="L37" s="2"/>
      <x:c r="M37" s="2"/>
      <x:c r="N37" s="2"/>
      <x:c r="O37" s="2"/>
    </x:row>
    <x:row r="38" ht="20" customHeight="1">
      <x:c r="A38" s="2"/>
      <x:c r="B38" s="2"/>
      <x:c r="C38" s="17" t="str">
        <x:v>These source lines are retained in Sources and excluded from the modeled profit calculation.</x:v>
      </x:c>
      <x:c r="D38" s="2"/>
      <x:c r="E38" s="4"/>
      <x:c r="F38" s="4"/>
      <x:c r="G38" s="4"/>
      <x:c r="H38" s="4"/>
      <x:c r="I38" s="4"/>
      <x:c r="J38" s="4"/>
      <x:c r="K38" s="2"/>
      <x:c r="L38" s="2"/>
      <x:c r="M38" s="2"/>
      <x:c r="N38" s="2"/>
      <x:c r="O38" s="2"/>
    </x:row>
    <x:row r="39" ht="20" customHeight="1">
      <x:c r="A39" s="2"/>
      <x:c r="B39" s="2"/>
      <x:c r="C39" s="17" t="str">
        <x:v>Source other-cost share may overlap with distribution costs. No source accounting note resolves this risk.</x:v>
      </x:c>
      <x:c r="D39" s="2"/>
      <x:c r="E39" s="4"/>
      <x:c r="F39" s="4"/>
      <x:c r="G39" s="4"/>
      <x:c r="H39" s="4"/>
      <x:c r="I39" s="4"/>
      <x:c r="J39" s="4"/>
      <x:c r="K39" s="2"/>
      <x:c r="L39" s="2"/>
      <x:c r="M39" s="2"/>
      <x:c r="N39" s="2"/>
      <x:c r="O39" s="2"/>
    </x:row>
    <x:row r="40" ht="20" customHeight="1">
      <x:c r="A40" s="2"/>
      <x:c r="B40" s="2"/>
      <x:c r="C40" s="17" t="str">
        <x:v>The 2027 decline in other costs requires explicit underwriting; it is inherited from the 90% compute-cost share.</x:v>
      </x:c>
      <x:c r="D40" s="2"/>
      <x:c r="E40" s="4"/>
      <x:c r="F40" s="4"/>
      <x:c r="G40" s="4"/>
      <x:c r="H40" s="4"/>
      <x:c r="I40" s="4"/>
      <x:c r="J40" s="4"/>
      <x:c r="K40" s="2"/>
      <x:c r="L40" s="2"/>
      <x:c r="M40" s="2"/>
      <x:c r="N40" s="2"/>
      <x:c r="O40" s="2"/>
    </x:row>
    <x:row r="41" ht="20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2"/>
      <x:c r="L41" s="2"/>
      <x:c r="M41" s="2"/>
      <x:c r="N41" s="2"/>
      <x:c r="O41" s="2"/>
    </x:row>
    <x:row r="42" ht="20" customHeight="1">
      <x:c r="A42" s="2"/>
      <x:c r="B42" s="2"/>
      <x:c r="C42" s="17" t="str">
        <x:v>Skeptic verdict: PARTIAL. Source figures and arithmetic verified; costs, accounting basis and cash flow remain unresolved.</x:v>
      </x:c>
      <x:c r="D42" s="2"/>
      <x:c r="E42" s="4"/>
      <x:c r="F42" s="4"/>
      <x:c r="G42" s="4"/>
      <x:c r="H42" s="4"/>
      <x:c r="I42" s="4"/>
      <x:c r="J42" s="4"/>
      <x:c r="K42" s="2"/>
      <x:c r="L42" s="2"/>
      <x:c r="M42" s="2"/>
      <x:c r="N42" s="2"/>
      <x:c r="O42" s="2"/>
    </x:row>
    <x:row r="43" ht="20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2"/>
      <x:c r="L43" s="2"/>
      <x:c r="M43" s="2"/>
      <x:c r="N43" s="2"/>
      <x:c r="O43" s="2"/>
    </x:row>
    <x:row r="44" ht="20" customHeight="1">
      <x:c r="A44" s="2"/>
      <x:c r="B44" s="2"/>
      <x:c r="C44" s="17" t="str">
        <x:v>Source comments also conflict: Anthropic!A71 (24-Jul) says 20%; ARR Tracker!B48 (09-Oct) says 25%.</x:v>
      </x:c>
      <x:c r="D44" s="2"/>
      <x:c r="E44" s="4"/>
      <x:c r="F44" s="4"/>
      <x:c r="G44" s="4"/>
      <x:c r="H44" s="4"/>
      <x:c r="I44" s="4"/>
      <x:c r="J44" s="4"/>
      <x:c r="K44" s="2"/>
      <x:c r="L44" s="2"/>
      <x:c r="M44" s="2"/>
      <x:c r="N44" s="2"/>
      <x:c r="O44" s="2"/>
    </x:row>
    <x:row r="45" ht="20" customHeight="1">
      <x:c r="A45" s="2"/>
      <x:c r="B45" s="2"/>
      <x:c r="C45" s="17" t="str">
        <x:v>The stored formulas use annual 25% and tracker 20%. Neither rate is verified against a contract.</x:v>
      </x:c>
      <x:c r="D45" s="2"/>
      <x:c r="E45" s="4"/>
      <x:c r="F45" s="4"/>
      <x:c r="G45" s="4"/>
      <x:c r="H45" s="4"/>
      <x:c r="I45" s="4"/>
      <x:c r="J45" s="4"/>
      <x:c r="K45" s="2"/>
      <x:c r="L45" s="2"/>
      <x:c r="M45" s="2"/>
      <x:c r="N45" s="2"/>
      <x:c r="O45" s="2"/>
    </x:row>
    <x:row r="46" ht="20" customHeight="1">
      <x:c r="A46" s="2"/>
      <x:c r="B46" s="2"/>
      <x:c r="C46" s="17" t="str">
        <x:v>ARR Tracker!R51/U51/X51 comments cite the same quarterly disclosures: these are in-sample reconciliations.</x:v>
      </x:c>
      <x:c r="D46" s="2"/>
      <x:c r="E46" s="4"/>
      <x:c r="F46" s="4"/>
      <x:c r="G46" s="4"/>
      <x:c r="H46" s="4"/>
      <x:c r="I46" s="4"/>
      <x:c r="J46" s="4"/>
      <x:c r="K46" s="2"/>
      <x:c r="L46" s="2"/>
      <x:c r="M46" s="2"/>
      <x:c r="N46" s="2"/>
      <x:c r="O46" s="2"/>
    </x:row>
    <x:row r="47" ht="20" customHeight="1">
      <x:c r="A47" s="2"/>
      <x:c r="B47" s="2"/>
      <x:c r="C47" s="17" t="str">
        <x:v>Excel 16 read-only verification passed: base case, scenarios, both native tables, and blank/zero cash inputs.</x:v>
      </x:c>
      <x:c r="D47" s="2"/>
      <x:c r="E47" s="4"/>
      <x:c r="F47" s="4"/>
      <x:c r="G47" s="4"/>
      <x:c r="H47" s="4"/>
      <x:c r="I47" s="4"/>
      <x:c r="J47" s="4"/>
      <x:c r="K47" s="2"/>
      <x:c r="L47" s="2"/>
      <x:c r="M47" s="2"/>
      <x:c r="N47" s="2"/>
      <x:c r="O47" s="2"/>
    </x:row>
    <x:row r="48" ht="20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2"/>
      <x:c r="L48" s="2"/>
      <x:c r="M48" s="2"/>
      <x:c r="N48" s="2"/>
      <x:c r="O48" s="2"/>
    </x:row>
    <x:row r="49" ht="20" customHeight="1">
      <x:c r="A49" s="2"/>
      <x:c r="B49" s="2"/>
      <x:c r="C49" s="2" t="str">
        <x:v>Revenue/GW less source: base only</x:v>
      </x:c>
      <x:c r="D49" s="2"/>
      <x:c r="E49" s="124" t="n">
        <x:f>IF(AND('Drivers'!$E$4=1,'Drivers'!$G$4=1,'Drivers'!$J$4=0,ISNUMBER('Sources'!E26)),'Compute'!E27-'Sources'!E26,"n.a.")</x:f>
        <x:v>0</x:v>
      </x:c>
      <x:c r="F49" s="124" t="n">
        <x:f>IF(AND('Drivers'!$E$4=1,'Drivers'!$G$4=1,'Drivers'!$J$4=0,ISNUMBER('Sources'!F26)),'Compute'!F27-'Sources'!F26,"n.a.")</x:f>
        <x:v>0</x:v>
      </x:c>
      <x:c r="G49" s="124" t="n">
        <x:f>IF(AND('Drivers'!$E$4=1,'Drivers'!$G$4=1,'Drivers'!$J$4=0,ISNUMBER('Sources'!G26)),'Compute'!G27-'Sources'!G26,"n.a.")</x:f>
        <x:v>0</x:v>
      </x:c>
      <x:c r="H49" s="124" t="n">
        <x:f>IF(AND('Drivers'!$E$4=1,'Drivers'!$G$4=1,'Drivers'!$J$4=0,ISNUMBER('Sources'!H26)),'Compute'!H27-'Sources'!H26,"n.a.")</x:f>
        <x:v>0</x:v>
      </x:c>
      <x:c r="I49" s="124" t="str">
        <x:f>IF(AND('Drivers'!$E$4=1,'Drivers'!$G$4=1,'Drivers'!$J$4=0,ISNUMBER('Sources'!I26)),'Compute'!I27-'Sources'!I26,"n.a.")</x:f>
        <x:v>n.a.</x:v>
      </x:c>
      <x:c r="J49" s="124" t="str">
        <x:f>IF(AND('Drivers'!$E$4=1,'Drivers'!$G$4=1,'Drivers'!$J$4=0,ISNUMBER('Sources'!J26)),'Compute'!J27-'Sources'!J26,"n.a.")</x:f>
        <x:v>n.a.</x:v>
      </x:c>
      <x:c r="K49" s="2"/>
      <x:c r="L49" s="2"/>
      <x:c r="M49" s="2"/>
      <x:c r="N49" s="2"/>
      <x:c r="O49" s="2"/>
    </x:row>
    <x:row r="50" ht="20" customHeight="1">
      <x:c r="A50" s="2"/>
      <x:c r="B50" s="2"/>
      <x:c r="C50" s="2" t="str">
        <x:v>Compute cost/GW less source: base only</x:v>
      </x:c>
      <x:c r="D50" s="2"/>
      <x:c r="E50" s="124" t="str">
        <x:f>IF(AND('Drivers'!$E$4=1,'Drivers'!$G$4=1,'Drivers'!$J$4=0,ISNUMBER('Sources'!E27)),'Compute'!E30-'Sources'!E27,"n.a.")</x:f>
        <x:v>n.a.</x:v>
      </x:c>
      <x:c r="F50" s="124" t="n">
        <x:f>IF(AND('Drivers'!$E$4=1,'Drivers'!$G$4=1,'Drivers'!$J$4=0,ISNUMBER('Sources'!F27)),'Compute'!F30-'Sources'!F27,"n.a.")</x:f>
        <x:v>0</x:v>
      </x:c>
      <x:c r="G50" s="124" t="n">
        <x:f>IF(AND('Drivers'!$E$4=1,'Drivers'!$G$4=1,'Drivers'!$J$4=0,ISNUMBER('Sources'!G27)),'Compute'!G30-'Sources'!G27,"n.a.")</x:f>
        <x:v>0</x:v>
      </x:c>
      <x:c r="H50" s="124" t="n">
        <x:f>IF(AND('Drivers'!$E$4=1,'Drivers'!$G$4=1,'Drivers'!$J$4=0,ISNUMBER('Sources'!H27)),'Compute'!H30-'Sources'!H27,"n.a.")</x:f>
        <x:v>0</x:v>
      </x:c>
      <x:c r="I50" s="124" t="str">
        <x:f>IF(AND('Drivers'!$E$4=1,'Drivers'!$G$4=1,'Drivers'!$J$4=0,ISNUMBER('Sources'!I27)),'Compute'!I30-'Sources'!I27,"n.a.")</x:f>
        <x:v>n.a.</x:v>
      </x:c>
      <x:c r="J50" s="124" t="str">
        <x:f>IF(AND('Drivers'!$E$4=1,'Drivers'!$G$4=1,'Drivers'!$J$4=0,ISNUMBER('Sources'!J27)),'Compute'!J30-'Sources'!J27,"n.a.")</x:f>
        <x:v>n.a.</x:v>
      </x:c>
      <x:c r="K50" s="2"/>
      <x:c r="L50" s="2"/>
      <x:c r="M50" s="2"/>
      <x:c r="N50" s="2"/>
      <x:c r="O50" s="2"/>
    </x:row>
    <x:row r="51" ht="20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2"/>
      <x:c r="L51" s="2"/>
      <x:c r="M51" s="2"/>
      <x:c r="N51" s="2"/>
      <x:c r="O51" s="2"/>
    </x:row>
    <x:row r="52" ht="20" customHeight="1">
      <x:c r="A52" s="2"/>
      <x:c r="B52" s="2"/>
      <x:c r="C52" s="17" t="str">
        <x:v>GW ratios: source reconciliation checks arithmetic only. Blank source ratios are n.a.; extensions retain the source formula.</x:v>
      </x:c>
      <x:c r="D52" s="2"/>
      <x:c r="E52" s="4"/>
      <x:c r="F52" s="4"/>
      <x:c r="G52" s="4"/>
      <x:c r="H52" s="4"/>
      <x:c r="I52" s="4"/>
      <x:c r="J52" s="4"/>
      <x:c r="K52" s="2"/>
      <x:c r="L52" s="2"/>
      <x:c r="M52" s="2"/>
      <x:c r="N52" s="2"/>
      <x:c r="O52" s="2"/>
    </x:row>
    <x:row r="53" ht="20" customHeight="1">
      <x:c r="A53" s="2"/>
      <x:c r="B53" s="2"/>
      <x:c r="C53" s="17" t="str">
        <x:v>The source denominators differ. Average direct GW is held fixed across scenarios; inference GW is cost-derived.</x:v>
      </x:c>
      <x:c r="D53" s="2"/>
      <x:c r="E53" s="4"/>
      <x:c r="F53" s="4"/>
      <x:c r="G53" s="4"/>
      <x:c r="H53" s="4"/>
      <x:c r="I53" s="4"/>
      <x:c r="J53" s="4"/>
      <x:c r="K53" s="2"/>
      <x:c r="L53" s="2"/>
      <x:c r="M53" s="2"/>
      <x:c r="N53" s="2"/>
      <x:c r="O53" s="2"/>
    </x:row>
    <x:row r="54" ht="20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2"/>
      <x:c r="L54" s="2"/>
      <x:c r="M54" s="2"/>
      <x:c r="N54" s="2"/>
      <x:c r="O54" s="2"/>
    </x:row>
    <x:row r="55" ht="20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2"/>
      <x:c r="L55" s="2"/>
      <x:c r="M55" s="2"/>
      <x:c r="N55" s="2"/>
      <x:c r="O55" s="2"/>
    </x:row>
    <x:row r="56" ht="20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2"/>
      <x:c r="L56" s="2"/>
      <x:c r="M56" s="2"/>
      <x:c r="N56" s="2"/>
      <x:c r="O56" s="2"/>
    </x:row>
    <x:row r="57" ht="20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2"/>
      <x:c r="L57" s="2"/>
      <x:c r="M57" s="2"/>
      <x:c r="N57" s="2"/>
      <x:c r="O57" s="2"/>
    </x:row>
    <x:row r="58" ht="20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2"/>
      <x:c r="L58" s="2"/>
      <x:c r="M58" s="2"/>
      <x:c r="N58" s="2"/>
      <x:c r="O58" s="2"/>
    </x:row>
    <x:row r="59" ht="20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2"/>
      <x:c r="L59" s="2"/>
      <x:c r="M59" s="2"/>
      <x:c r="N59" s="2"/>
      <x:c r="O59" s="2"/>
    </x:row>
    <x:row r="60" ht="20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2"/>
      <x:c r="L60" s="2"/>
      <x:c r="M60" s="2"/>
      <x:c r="N60" s="2"/>
      <x:c r="O60" s="2"/>
    </x:row>
    <x:row r="61" ht="20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2"/>
      <x:c r="L61" s="2"/>
      <x:c r="M61" s="2"/>
      <x:c r="N61" s="2"/>
      <x:c r="O61" s="2"/>
    </x:row>
    <x:row r="62" ht="20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2"/>
      <x:c r="L62" s="2"/>
      <x:c r="M62" s="2"/>
      <x:c r="N62" s="2"/>
      <x:c r="O62" s="2"/>
    </x:row>
    <x:row r="63" ht="20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2"/>
      <x:c r="L63" s="2"/>
      <x:c r="M63" s="2"/>
      <x:c r="N63" s="2"/>
      <x:c r="O63" s="2"/>
    </x:row>
    <x:row r="64" ht="20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2"/>
      <x:c r="L64" s="2"/>
      <x:c r="M64" s="2"/>
      <x:c r="N64" s="2"/>
      <x:c r="O64" s="2"/>
    </x:row>
    <x:row r="65" ht="20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2"/>
      <x:c r="L65" s="2"/>
      <x:c r="M65" s="2"/>
      <x:c r="N65" s="2"/>
      <x:c r="O65" s="2"/>
    </x:row>
  </x:sheetData>
  <x:conditionalFormatting sqref="E10:J14">
    <x:cfRule type="cellIs" dxfId="2" priority="1" operator="greaterThan">
      <x:formula>0.01</x:formula>
    </x:cfRule>
    <x:cfRule type="cellIs" dxfId="3" priority="2" operator="lessThan">
      <x:formula>-0.01</x:formula>
    </x:cfRule>
  </x:conditionalFormatting>
  <x:conditionalFormatting sqref="E16:J34">
    <x:cfRule type="containsText" dxfId="4" priority="3" operator="containsText" text="FAIL"/>
    <x:cfRule type="containsText" dxfId="5" priority="4" operator="containsText" text="REVIEW"/>
    <x:cfRule type="containsText" dxfId="6" priority="5" operator="containsText" text="MISSING"/>
    <x:cfRule type="containsText" dxfId="7" priority="6" operator="containsText" text="UNVERIFIED"/>
  </x:conditionalFormatting>
  <x:pageMargins left="0.7" right="0.7" top="0.75" bottom="0.75" header="0.3" footer="0.3"/>
</x:worksheet>
</file>