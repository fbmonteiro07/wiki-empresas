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lipe.monteiro\AppData\Local\Temp\claude\E--Wiki-Felipe-empresas\6ee90eba-bf8d-441e-8c75-f4ea98e07b87\scratchpad\"/>
    </mc:Choice>
  </mc:AlternateContent>
  <xr:revisionPtr revIDLastSave="0" documentId="13_ncr:1_{D16DC861-6F82-4B36-963E-F7D78DABF3B3}" xr6:coauthVersionLast="47" xr6:coauthVersionMax="47" xr10:uidLastSave="{00000000-0000-0000-0000-000000000000}"/>
  <bookViews>
    <workbookView xWindow="58815" yWindow="2595" windowWidth="13365" windowHeight="11295" xr2:uid="{00000000-000D-0000-FFFF-FFFF00000000}"/>
  </bookViews>
  <sheets>
    <sheet name="Capa DCF - Base" sheetId="1" r:id="rId1"/>
    <sheet name="Premissas e 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E62" i="2"/>
  <c r="D62" i="2"/>
  <c r="F61" i="2"/>
  <c r="E61" i="2"/>
  <c r="D61" i="2"/>
  <c r="F60" i="2"/>
  <c r="E60" i="2"/>
  <c r="D60" i="2"/>
  <c r="F57" i="2"/>
  <c r="F58" i="2" s="1"/>
  <c r="F33" i="1" s="1"/>
  <c r="E57" i="2"/>
  <c r="E58" i="2" s="1"/>
  <c r="E33" i="1" s="1"/>
  <c r="D57" i="2"/>
  <c r="D58" i="2" s="1"/>
  <c r="D33" i="1" s="1"/>
  <c r="F56" i="2"/>
  <c r="F30" i="1" s="1"/>
  <c r="F91" i="1" s="1"/>
  <c r="E56" i="2"/>
  <c r="E30" i="1" s="1"/>
  <c r="E91" i="1" s="1"/>
  <c r="D56" i="2"/>
  <c r="D30" i="1" s="1"/>
  <c r="G52" i="2"/>
  <c r="F52" i="2"/>
  <c r="F10" i="1" s="1"/>
  <c r="E52" i="2"/>
  <c r="E10" i="1" s="1"/>
  <c r="D52" i="2"/>
  <c r="D10" i="1" s="1"/>
  <c r="I99" i="1"/>
  <c r="H99" i="1"/>
  <c r="G99" i="1"/>
  <c r="I97" i="1"/>
  <c r="H97" i="1"/>
  <c r="G97" i="1"/>
  <c r="F96" i="1"/>
  <c r="F101" i="1" s="1"/>
  <c r="E96" i="1"/>
  <c r="I95" i="1"/>
  <c r="H95" i="1"/>
  <c r="G95" i="1"/>
  <c r="I93" i="1"/>
  <c r="H93" i="1"/>
  <c r="G93" i="1"/>
  <c r="D60" i="1"/>
  <c r="D59" i="1"/>
  <c r="D58" i="1"/>
  <c r="D57" i="1"/>
  <c r="D56" i="1"/>
  <c r="D55" i="1"/>
  <c r="J55" i="1" s="1"/>
  <c r="D54" i="1"/>
  <c r="F59" i="1" s="1"/>
  <c r="D53" i="1"/>
  <c r="V48" i="1" s="1"/>
  <c r="F49" i="1"/>
  <c r="E49" i="1"/>
  <c r="D49" i="1"/>
  <c r="H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I48" i="1" s="1"/>
  <c r="H46" i="1"/>
  <c r="G46" i="1"/>
  <c r="F46" i="1"/>
  <c r="E46" i="1"/>
  <c r="D46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I91" i="1" s="1"/>
  <c r="H30" i="1"/>
  <c r="H91" i="1" s="1"/>
  <c r="G30" i="1"/>
  <c r="G91" i="1" s="1"/>
  <c r="I26" i="1"/>
  <c r="H26" i="1"/>
  <c r="G26" i="1"/>
  <c r="I24" i="1"/>
  <c r="H24" i="1"/>
  <c r="G24" i="1"/>
  <c r="F24" i="1"/>
  <c r="E24" i="1"/>
  <c r="D24" i="1"/>
  <c r="F22" i="1"/>
  <c r="F21" i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E21" i="1"/>
  <c r="D21" i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E20" i="1"/>
  <c r="D20" i="1"/>
  <c r="F19" i="1"/>
  <c r="E19" i="1"/>
  <c r="D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G15" i="1"/>
  <c r="G13" i="1"/>
  <c r="F13" i="1"/>
  <c r="E13" i="1"/>
  <c r="D13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8" i="1"/>
  <c r="H8" i="1"/>
  <c r="H15" i="1" s="1"/>
  <c r="G8" i="1"/>
  <c r="F8" i="1"/>
  <c r="G9" i="1" s="1"/>
  <c r="E8" i="1"/>
  <c r="D8" i="1"/>
  <c r="D11" i="1" s="1"/>
  <c r="D14" i="1" s="1"/>
  <c r="D81" i="1" s="1"/>
  <c r="D48" i="1" l="1"/>
  <c r="P48" i="1"/>
  <c r="T47" i="1"/>
  <c r="E47" i="1"/>
  <c r="E50" i="1" s="1"/>
  <c r="K47" i="1"/>
  <c r="Q47" i="1"/>
  <c r="W47" i="1"/>
  <c r="I9" i="1"/>
  <c r="Y47" i="1"/>
  <c r="N48" i="1"/>
  <c r="D61" i="1"/>
  <c r="E22" i="1"/>
  <c r="E34" i="1" s="1"/>
  <c r="D22" i="1"/>
  <c r="D34" i="1" s="1"/>
  <c r="T48" i="1"/>
  <c r="F32" i="1"/>
  <c r="J48" i="1"/>
  <c r="M48" i="1"/>
  <c r="S48" i="1"/>
  <c r="N47" i="1"/>
  <c r="W48" i="1"/>
  <c r="I11" i="1"/>
  <c r="O47" i="1"/>
  <c r="F11" i="1"/>
  <c r="F18" i="1" s="1"/>
  <c r="H9" i="1"/>
  <c r="I15" i="1"/>
  <c r="F41" i="1"/>
  <c r="I47" i="1"/>
  <c r="O48" i="1"/>
  <c r="D47" i="1"/>
  <c r="D50" i="1" s="1"/>
  <c r="P47" i="1"/>
  <c r="K55" i="1"/>
  <c r="J47" i="1"/>
  <c r="V47" i="1"/>
  <c r="J8" i="1"/>
  <c r="J11" i="1" s="1"/>
  <c r="J19" i="1" s="1"/>
  <c r="J22" i="1" s="1"/>
  <c r="H11" i="1"/>
  <c r="H19" i="1" s="1"/>
  <c r="G48" i="1"/>
  <c r="Y48" i="1"/>
  <c r="K48" i="1"/>
  <c r="H48" i="1"/>
  <c r="Z48" i="1"/>
  <c r="Z47" i="1"/>
  <c r="G47" i="1"/>
  <c r="S47" i="1"/>
  <c r="E48" i="1"/>
  <c r="Q48" i="1"/>
  <c r="E9" i="1"/>
  <c r="E11" i="1"/>
  <c r="D82" i="1"/>
  <c r="F9" i="1"/>
  <c r="I19" i="1"/>
  <c r="D18" i="1"/>
  <c r="G11" i="1"/>
  <c r="U47" i="1"/>
  <c r="U48" i="1"/>
  <c r="F39" i="1"/>
  <c r="F40" i="1"/>
  <c r="F34" i="1"/>
  <c r="F58" i="1"/>
  <c r="F57" i="1"/>
  <c r="F90" i="1"/>
  <c r="F47" i="1"/>
  <c r="F50" i="1" s="1"/>
  <c r="F48" i="1"/>
  <c r="R47" i="1"/>
  <c r="R48" i="1"/>
  <c r="I55" i="1"/>
  <c r="H55" i="1"/>
  <c r="F56" i="1"/>
  <c r="F82" i="1"/>
  <c r="F25" i="1"/>
  <c r="F31" i="1"/>
  <c r="L47" i="1"/>
  <c r="L48" i="1"/>
  <c r="X47" i="1"/>
  <c r="X48" i="1"/>
  <c r="M47" i="1"/>
  <c r="G55" i="1"/>
  <c r="F60" i="1"/>
  <c r="F83" i="1" l="1"/>
  <c r="E82" i="1"/>
  <c r="E39" i="1"/>
  <c r="E32" i="1"/>
  <c r="E25" i="1"/>
  <c r="F84" i="1"/>
  <c r="I12" i="1"/>
  <c r="E90" i="1"/>
  <c r="D25" i="1"/>
  <c r="D40" i="1"/>
  <c r="D32" i="1"/>
  <c r="D35" i="1" s="1"/>
  <c r="D39" i="1"/>
  <c r="D31" i="1"/>
  <c r="E40" i="1"/>
  <c r="E31" i="1"/>
  <c r="E35" i="1" s="1"/>
  <c r="E38" i="1" s="1"/>
  <c r="E23" i="1"/>
  <c r="F23" i="1"/>
  <c r="K8" i="1"/>
  <c r="L8" i="1" s="1"/>
  <c r="F35" i="1"/>
  <c r="F12" i="1"/>
  <c r="F14" i="1"/>
  <c r="F81" i="1" s="1"/>
  <c r="J12" i="1"/>
  <c r="E14" i="1"/>
  <c r="E81" i="1" s="1"/>
  <c r="E12" i="1"/>
  <c r="E18" i="1"/>
  <c r="G12" i="1"/>
  <c r="G14" i="1"/>
  <c r="G81" i="1" s="1"/>
  <c r="G19" i="1"/>
  <c r="F38" i="1"/>
  <c r="F36" i="1"/>
  <c r="F92" i="1" s="1"/>
  <c r="J82" i="1"/>
  <c r="J41" i="1"/>
  <c r="J31" i="1"/>
  <c r="J32" i="1"/>
  <c r="J23" i="1"/>
  <c r="J39" i="1"/>
  <c r="J34" i="1"/>
  <c r="J40" i="1"/>
  <c r="I84" i="1"/>
  <c r="I22" i="1"/>
  <c r="I83" i="1"/>
  <c r="H84" i="1"/>
  <c r="H22" i="1"/>
  <c r="H83" i="1"/>
  <c r="H12" i="1"/>
  <c r="K11" i="1" l="1"/>
  <c r="E36" i="1"/>
  <c r="E92" i="1" s="1"/>
  <c r="H27" i="1"/>
  <c r="H85" i="1" s="1"/>
  <c r="H25" i="1"/>
  <c r="H82" i="1"/>
  <c r="H40" i="1"/>
  <c r="H31" i="1"/>
  <c r="H41" i="1"/>
  <c r="H32" i="1"/>
  <c r="H90" i="1"/>
  <c r="H39" i="1"/>
  <c r="H34" i="1"/>
  <c r="D38" i="1"/>
  <c r="D36" i="1"/>
  <c r="L11" i="1"/>
  <c r="M8" i="1"/>
  <c r="I27" i="1"/>
  <c r="I85" i="1" s="1"/>
  <c r="I25" i="1"/>
  <c r="I82" i="1"/>
  <c r="I41" i="1"/>
  <c r="I31" i="1"/>
  <c r="I90" i="1"/>
  <c r="I39" i="1"/>
  <c r="I34" i="1"/>
  <c r="I32" i="1"/>
  <c r="I23" i="1"/>
  <c r="I40" i="1"/>
  <c r="K19" i="1"/>
  <c r="K22" i="1" s="1"/>
  <c r="K12" i="1"/>
  <c r="J35" i="1"/>
  <c r="G83" i="1"/>
  <c r="G84" i="1"/>
  <c r="G22" i="1"/>
  <c r="I42" i="1" l="1"/>
  <c r="H35" i="1"/>
  <c r="H38" i="1" s="1"/>
  <c r="J42" i="1"/>
  <c r="H36" i="1"/>
  <c r="H92" i="1" s="1"/>
  <c r="H94" i="1"/>
  <c r="J38" i="1"/>
  <c r="J36" i="1"/>
  <c r="K32" i="1"/>
  <c r="K39" i="1"/>
  <c r="K34" i="1"/>
  <c r="K41" i="1"/>
  <c r="K42" i="1" s="1"/>
  <c r="K40" i="1"/>
  <c r="K23" i="1"/>
  <c r="K31" i="1"/>
  <c r="K82" i="1"/>
  <c r="M11" i="1"/>
  <c r="N8" i="1"/>
  <c r="G40" i="1"/>
  <c r="G34" i="1"/>
  <c r="G23" i="1"/>
  <c r="G27" i="1"/>
  <c r="G85" i="1" s="1"/>
  <c r="G82" i="1"/>
  <c r="G31" i="1"/>
  <c r="G25" i="1"/>
  <c r="G90" i="1"/>
  <c r="G41" i="1"/>
  <c r="G42" i="1" s="1"/>
  <c r="G32" i="1"/>
  <c r="G39" i="1"/>
  <c r="I35" i="1"/>
  <c r="L19" i="1"/>
  <c r="L22" i="1" s="1"/>
  <c r="L12" i="1"/>
  <c r="H42" i="1"/>
  <c r="H23" i="1"/>
  <c r="J43" i="1" l="1"/>
  <c r="K35" i="1"/>
  <c r="K38" i="1"/>
  <c r="K43" i="1" s="1"/>
  <c r="K36" i="1"/>
  <c r="L39" i="1"/>
  <c r="L40" i="1"/>
  <c r="L34" i="1"/>
  <c r="L41" i="1"/>
  <c r="L42" i="1" s="1"/>
  <c r="L32" i="1"/>
  <c r="L23" i="1"/>
  <c r="L82" i="1"/>
  <c r="L31" i="1"/>
  <c r="J44" i="1"/>
  <c r="J49" i="1"/>
  <c r="J50" i="1" s="1"/>
  <c r="I36" i="1"/>
  <c r="I92" i="1" s="1"/>
  <c r="I94" i="1"/>
  <c r="I38" i="1"/>
  <c r="I43" i="1" s="1"/>
  <c r="G35" i="1"/>
  <c r="O8" i="1"/>
  <c r="N11" i="1"/>
  <c r="H98" i="1"/>
  <c r="H96" i="1"/>
  <c r="M12" i="1"/>
  <c r="M19" i="1"/>
  <c r="M22" i="1" s="1"/>
  <c r="H43" i="1"/>
  <c r="N12" i="1" l="1"/>
  <c r="N19" i="1"/>
  <c r="N22" i="1" s="1"/>
  <c r="G94" i="1"/>
  <c r="G36" i="1"/>
  <c r="G92" i="1" s="1"/>
  <c r="G38" i="1"/>
  <c r="G43" i="1" s="1"/>
  <c r="H49" i="1"/>
  <c r="H50" i="1" s="1"/>
  <c r="H44" i="1"/>
  <c r="O11" i="1"/>
  <c r="P8" i="1"/>
  <c r="M40" i="1"/>
  <c r="M34" i="1"/>
  <c r="M23" i="1"/>
  <c r="M41" i="1"/>
  <c r="M42" i="1" s="1"/>
  <c r="M39" i="1"/>
  <c r="M32" i="1"/>
  <c r="M82" i="1"/>
  <c r="M31" i="1"/>
  <c r="M35" i="1" s="1"/>
  <c r="L35" i="1"/>
  <c r="I44" i="1"/>
  <c r="I49" i="1"/>
  <c r="I50" i="1" s="1"/>
  <c r="H100" i="1"/>
  <c r="H101" i="1"/>
  <c r="I98" i="1"/>
  <c r="I96" i="1"/>
  <c r="K49" i="1"/>
  <c r="K50" i="1" s="1"/>
  <c r="K44" i="1"/>
  <c r="I100" i="1" l="1"/>
  <c r="I101" i="1"/>
  <c r="L36" i="1"/>
  <c r="L38" i="1"/>
  <c r="L43" i="1" s="1"/>
  <c r="M38" i="1"/>
  <c r="M43" i="1" s="1"/>
  <c r="M36" i="1"/>
  <c r="G49" i="1"/>
  <c r="G44" i="1"/>
  <c r="P11" i="1"/>
  <c r="Q8" i="1"/>
  <c r="G98" i="1"/>
  <c r="G96" i="1"/>
  <c r="O12" i="1"/>
  <c r="O19" i="1"/>
  <c r="O22" i="1" s="1"/>
  <c r="N23" i="1"/>
  <c r="N82" i="1"/>
  <c r="N40" i="1"/>
  <c r="N31" i="1"/>
  <c r="N35" i="1" s="1"/>
  <c r="N32" i="1"/>
  <c r="N39" i="1"/>
  <c r="N41" i="1"/>
  <c r="N42" i="1" s="1"/>
  <c r="N34" i="1"/>
  <c r="G101" i="1" l="1"/>
  <c r="G100" i="1"/>
  <c r="L44" i="1"/>
  <c r="L49" i="1"/>
  <c r="L50" i="1" s="1"/>
  <c r="O82" i="1"/>
  <c r="O41" i="1"/>
  <c r="O42" i="1" s="1"/>
  <c r="O31" i="1"/>
  <c r="O23" i="1"/>
  <c r="O40" i="1"/>
  <c r="O39" i="1"/>
  <c r="O34" i="1"/>
  <c r="O32" i="1"/>
  <c r="N36" i="1"/>
  <c r="N38" i="1"/>
  <c r="N43" i="1" s="1"/>
  <c r="M49" i="1"/>
  <c r="M50" i="1" s="1"/>
  <c r="M44" i="1"/>
  <c r="Q11" i="1"/>
  <c r="R8" i="1"/>
  <c r="P19" i="1"/>
  <c r="P22" i="1" s="1"/>
  <c r="P12" i="1"/>
  <c r="G50" i="1"/>
  <c r="S8" i="1" l="1"/>
  <c r="R11" i="1"/>
  <c r="Q19" i="1"/>
  <c r="Q22" i="1" s="1"/>
  <c r="Q12" i="1"/>
  <c r="N49" i="1"/>
  <c r="N50" i="1" s="1"/>
  <c r="N44" i="1"/>
  <c r="P82" i="1"/>
  <c r="P41" i="1"/>
  <c r="P42" i="1" s="1"/>
  <c r="P31" i="1"/>
  <c r="P32" i="1"/>
  <c r="P40" i="1"/>
  <c r="P39" i="1"/>
  <c r="P34" i="1"/>
  <c r="P23" i="1"/>
  <c r="O35" i="1"/>
  <c r="R19" i="1" l="1"/>
  <c r="R22" i="1" s="1"/>
  <c r="R12" i="1"/>
  <c r="S11" i="1"/>
  <c r="T8" i="1"/>
  <c r="O36" i="1"/>
  <c r="O38" i="1"/>
  <c r="O43" i="1" s="1"/>
  <c r="P35" i="1"/>
  <c r="Q32" i="1"/>
  <c r="Q39" i="1"/>
  <c r="Q82" i="1"/>
  <c r="Q31" i="1"/>
  <c r="Q34" i="1"/>
  <c r="Q23" i="1"/>
  <c r="Q40" i="1"/>
  <c r="Q41" i="1"/>
  <c r="Q42" i="1" s="1"/>
  <c r="O44" i="1" l="1"/>
  <c r="O49" i="1"/>
  <c r="O50" i="1" s="1"/>
  <c r="Q35" i="1"/>
  <c r="U8" i="1"/>
  <c r="T11" i="1"/>
  <c r="S12" i="1"/>
  <c r="S19" i="1"/>
  <c r="S22" i="1" s="1"/>
  <c r="P38" i="1"/>
  <c r="P43" i="1" s="1"/>
  <c r="P36" i="1"/>
  <c r="R39" i="1"/>
  <c r="R40" i="1"/>
  <c r="R34" i="1"/>
  <c r="R82" i="1"/>
  <c r="R31" i="1"/>
  <c r="R23" i="1"/>
  <c r="R41" i="1"/>
  <c r="R42" i="1" s="1"/>
  <c r="R32" i="1"/>
  <c r="T12" i="1" l="1"/>
  <c r="T19" i="1"/>
  <c r="T22" i="1" s="1"/>
  <c r="V8" i="1"/>
  <c r="U11" i="1"/>
  <c r="Q38" i="1"/>
  <c r="Q43" i="1" s="1"/>
  <c r="Q36" i="1"/>
  <c r="R35" i="1"/>
  <c r="P44" i="1"/>
  <c r="P49" i="1"/>
  <c r="P50" i="1" s="1"/>
  <c r="S40" i="1"/>
  <c r="S34" i="1"/>
  <c r="S23" i="1"/>
  <c r="S39" i="1"/>
  <c r="S32" i="1"/>
  <c r="S41" i="1"/>
  <c r="S42" i="1" s="1"/>
  <c r="S82" i="1"/>
  <c r="S31" i="1"/>
  <c r="Q44" i="1" l="1"/>
  <c r="Q49" i="1"/>
  <c r="Q50" i="1" s="1"/>
  <c r="U12" i="1"/>
  <c r="U19" i="1"/>
  <c r="U22" i="1" s="1"/>
  <c r="R38" i="1"/>
  <c r="R43" i="1" s="1"/>
  <c r="R36" i="1"/>
  <c r="S35" i="1"/>
  <c r="V11" i="1"/>
  <c r="W8" i="1"/>
  <c r="T23" i="1"/>
  <c r="T41" i="1"/>
  <c r="T42" i="1" s="1"/>
  <c r="T39" i="1"/>
  <c r="T34" i="1"/>
  <c r="T32" i="1"/>
  <c r="T82" i="1"/>
  <c r="T40" i="1"/>
  <c r="T31" i="1"/>
  <c r="T35" i="1" s="1"/>
  <c r="T36" i="1" l="1"/>
  <c r="T38" i="1"/>
  <c r="T43" i="1" s="1"/>
  <c r="R49" i="1"/>
  <c r="R50" i="1" s="1"/>
  <c r="R44" i="1"/>
  <c r="U82" i="1"/>
  <c r="U41" i="1"/>
  <c r="U42" i="1" s="1"/>
  <c r="U31" i="1"/>
  <c r="U39" i="1"/>
  <c r="U34" i="1"/>
  <c r="U32" i="1"/>
  <c r="U23" i="1"/>
  <c r="U40" i="1"/>
  <c r="W11" i="1"/>
  <c r="X8" i="1"/>
  <c r="V19" i="1"/>
  <c r="V22" i="1" s="1"/>
  <c r="V12" i="1"/>
  <c r="S36" i="1"/>
  <c r="S38" i="1"/>
  <c r="S43" i="1" s="1"/>
  <c r="V82" i="1" l="1"/>
  <c r="V41" i="1"/>
  <c r="V42" i="1" s="1"/>
  <c r="V31" i="1"/>
  <c r="V32" i="1"/>
  <c r="V23" i="1"/>
  <c r="V40" i="1"/>
  <c r="V39" i="1"/>
  <c r="V34" i="1"/>
  <c r="Y8" i="1"/>
  <c r="X11" i="1"/>
  <c r="T49" i="1"/>
  <c r="T50" i="1" s="1"/>
  <c r="T44" i="1"/>
  <c r="S49" i="1"/>
  <c r="S50" i="1" s="1"/>
  <c r="S44" i="1"/>
  <c r="W19" i="1"/>
  <c r="W22" i="1" s="1"/>
  <c r="W12" i="1"/>
  <c r="U35" i="1"/>
  <c r="V35" i="1" l="1"/>
  <c r="V38" i="1" s="1"/>
  <c r="V43" i="1" s="1"/>
  <c r="U36" i="1"/>
  <c r="U38" i="1"/>
  <c r="U43" i="1" s="1"/>
  <c r="X19" i="1"/>
  <c r="X22" i="1" s="1"/>
  <c r="X12" i="1"/>
  <c r="W32" i="1"/>
  <c r="W39" i="1"/>
  <c r="W41" i="1"/>
  <c r="W42" i="1" s="1"/>
  <c r="W23" i="1"/>
  <c r="W82" i="1"/>
  <c r="W31" i="1"/>
  <c r="W40" i="1"/>
  <c r="W34" i="1"/>
  <c r="Y11" i="1"/>
  <c r="Z8" i="1"/>
  <c r="Z11" i="1" s="1"/>
  <c r="V36" i="1" l="1"/>
  <c r="W35" i="1"/>
  <c r="X39" i="1"/>
  <c r="X40" i="1"/>
  <c r="X34" i="1"/>
  <c r="X82" i="1"/>
  <c r="X31" i="1"/>
  <c r="X23" i="1"/>
  <c r="X41" i="1"/>
  <c r="X42" i="1" s="1"/>
  <c r="X32" i="1"/>
  <c r="W38" i="1"/>
  <c r="W43" i="1" s="1"/>
  <c r="W36" i="1"/>
  <c r="Z12" i="1"/>
  <c r="Z19" i="1"/>
  <c r="Z22" i="1" s="1"/>
  <c r="U44" i="1"/>
  <c r="U49" i="1"/>
  <c r="U50" i="1" s="1"/>
  <c r="Y12" i="1"/>
  <c r="Y19" i="1"/>
  <c r="Y22" i="1" s="1"/>
  <c r="V44" i="1"/>
  <c r="V49" i="1"/>
  <c r="V50" i="1" s="1"/>
  <c r="W44" i="1" l="1"/>
  <c r="W49" i="1"/>
  <c r="W50" i="1" s="1"/>
  <c r="Z23" i="1"/>
  <c r="Z82" i="1"/>
  <c r="Z40" i="1"/>
  <c r="Z31" i="1"/>
  <c r="Z35" i="1" s="1"/>
  <c r="Z41" i="1"/>
  <c r="Z34" i="1"/>
  <c r="Z32" i="1"/>
  <c r="Z39" i="1"/>
  <c r="X35" i="1"/>
  <c r="Y40" i="1"/>
  <c r="Y34" i="1"/>
  <c r="Y23" i="1"/>
  <c r="Y82" i="1"/>
  <c r="Y31" i="1"/>
  <c r="Y35" i="1" s="1"/>
  <c r="Y39" i="1"/>
  <c r="Y41" i="1"/>
  <c r="Y42" i="1" s="1"/>
  <c r="Y32" i="1"/>
  <c r="Z36" i="1" l="1"/>
  <c r="Z38" i="1"/>
  <c r="X38" i="1"/>
  <c r="X43" i="1" s="1"/>
  <c r="X36" i="1"/>
  <c r="Y38" i="1"/>
  <c r="Y43" i="1" s="1"/>
  <c r="Y36" i="1"/>
  <c r="Z42" i="1"/>
  <c r="Y49" i="1" l="1"/>
  <c r="Y50" i="1" s="1"/>
  <c r="Y44" i="1"/>
  <c r="X49" i="1"/>
  <c r="X50" i="1" s="1"/>
  <c r="X44" i="1"/>
  <c r="D64" i="1"/>
  <c r="Z43" i="1"/>
  <c r="D65" i="1" l="1"/>
  <c r="D66" i="1"/>
  <c r="D67" i="1" s="1"/>
  <c r="D68" i="1" s="1"/>
  <c r="Z49" i="1"/>
  <c r="I59" i="1" s="1"/>
  <c r="Z44" i="1"/>
  <c r="I60" i="1"/>
  <c r="Z50" i="1" l="1"/>
  <c r="D63" i="1" s="1"/>
  <c r="I58" i="1"/>
  <c r="G58" i="1"/>
  <c r="G57" i="1"/>
  <c r="J57" i="1"/>
  <c r="J58" i="1"/>
  <c r="H57" i="1"/>
  <c r="H59" i="1"/>
  <c r="I57" i="1"/>
  <c r="J56" i="1"/>
  <c r="K56" i="1"/>
  <c r="K59" i="1"/>
  <c r="K57" i="1"/>
  <c r="G56" i="1"/>
  <c r="K58" i="1"/>
  <c r="J59" i="1"/>
  <c r="H56" i="1"/>
  <c r="H60" i="1"/>
  <c r="I56" i="1"/>
  <c r="J60" i="1"/>
  <c r="G59" i="1"/>
  <c r="G60" i="1"/>
  <c r="H58" i="1"/>
  <c r="K60" i="1"/>
  <c r="D69" i="1" l="1"/>
  <c r="D73" i="1"/>
  <c r="D70" i="1" l="1"/>
  <c r="D72" i="1"/>
  <c r="D71" i="1" l="1"/>
  <c r="D86" i="1"/>
  <c r="F55" i="1" l="1"/>
  <c r="D87" i="1"/>
</calcChain>
</file>

<file path=xl/sharedStrings.xml><?xml version="1.0" encoding="utf-8"?>
<sst xmlns="http://schemas.openxmlformats.org/spreadsheetml/2006/main" count="250" uniqueCount="220">
  <si>
    <t>TER | DCF top-down</t>
  </si>
  <si>
    <t>US$ milhões, salvo ações (milhões) e WFE/TAM (US$ bilhões). Horizonte CY2023–2045; ano fiscal = ano-calendário.</t>
  </si>
  <si>
    <t>Azul / amarelo: premissas (aba Premissas e fontes). Verde: fontes internas. CY23–25B: bases do cenário (segmentação de 2025 difere da anterior).</t>
  </si>
  <si>
    <t>CY23B</t>
  </si>
  <si>
    <t>CY24B</t>
  </si>
  <si>
    <t>CY25B</t>
  </si>
  <si>
    <t>CY26E</t>
  </si>
  <si>
    <t>CY27E</t>
  </si>
  <si>
    <t>CY28E</t>
  </si>
  <si>
    <t>CY29E</t>
  </si>
  <si>
    <t>CY30E</t>
  </si>
  <si>
    <t>CY31E</t>
  </si>
  <si>
    <t>CY32E</t>
  </si>
  <si>
    <t>CY33E</t>
  </si>
  <si>
    <t>CY34E</t>
  </si>
  <si>
    <t>CY35E</t>
  </si>
  <si>
    <t>CY36E</t>
  </si>
  <si>
    <t>CY37E</t>
  </si>
  <si>
    <t>CY38E</t>
  </si>
  <si>
    <t>CY39E</t>
  </si>
  <si>
    <t>CY40E</t>
  </si>
  <si>
    <t>CY41E</t>
  </si>
  <si>
    <t>CY42E</t>
  </si>
  <si>
    <t>CY43E</t>
  </si>
  <si>
    <t>CY44E</t>
  </si>
  <si>
    <t>CY45E</t>
  </si>
  <si>
    <t>Mercado de teste (ATE) | top-down em US$ bilhões — base Advantest (SoC + memória, ex burn-in), idêntico ao Template DCF ADVANTEST</t>
  </si>
  <si>
    <t>WFE global (US$ bi)</t>
  </si>
  <si>
    <t>Crescimento WFE</t>
  </si>
  <si>
    <t>ATE / WFE (intensidade de teste)</t>
  </si>
  <si>
    <t>TAM ATE total (US$ bi)</t>
  </si>
  <si>
    <t>Crescimento TAM ATE</t>
  </si>
  <si>
    <t>TAM ATE | referência Advantest (deck 29-jul-2026; CY23 base Capstone)</t>
  </si>
  <si>
    <t>Modelo − referência (US$ bi)</t>
  </si>
  <si>
    <t>TAM ATE na base da iniciação TER (memo: 8,0% / 7,3% / 7,5% × WFE)</t>
  </si>
  <si>
    <t>Teradyne | share e receita (US$ milhões)</t>
  </si>
  <si>
    <t>Share Teradyne no TAM ATE (Semi Test ÷ TAM)</t>
  </si>
  <si>
    <t>Semiconductor Test</t>
  </si>
  <si>
    <t>Product Test</t>
  </si>
  <si>
    <t>Robotics</t>
  </si>
  <si>
    <t>Receita total do cenário</t>
  </si>
  <si>
    <t>Crescimento da receita</t>
  </si>
  <si>
    <t>Receita total | referência (CY23-25 10-K; CY26-28 consenso BBG)</t>
  </si>
  <si>
    <t>Cenário − referência</t>
  </si>
  <si>
    <t>Receita total | iniciação Capstone 2026-09-16</t>
  </si>
  <si>
    <t>Cenário − iniciação (%)</t>
  </si>
  <si>
    <t>Resultado operacional e caixa</t>
  </si>
  <si>
    <t>Margem bruta</t>
  </si>
  <si>
    <t>Lucro bruto</t>
  </si>
  <si>
    <t>Opex ajustado, ex-SBC</t>
  </si>
  <si>
    <t>Opex ex-SBC / receita</t>
  </si>
  <si>
    <t>Stock-based compensation</t>
  </si>
  <si>
    <t>EBIT após SBC (= resultado operacional non-GAAP)</t>
  </si>
  <si>
    <t>Margem EBIT após SBC</t>
  </si>
  <si>
    <t>Alíquota de imposto</t>
  </si>
  <si>
    <t>NOPAT</t>
  </si>
  <si>
    <t>Depreciação operacional</t>
  </si>
  <si>
    <t>Capex</t>
  </si>
  <si>
    <t>Capital de giro operacional (NWC)</t>
  </si>
  <si>
    <t>Variação de NWC | efeito caixa</t>
  </si>
  <si>
    <t>Fluxo de caixa livre (FCFF)</t>
  </si>
  <si>
    <t>FCFF / receita</t>
  </si>
  <si>
    <t>Data do fluxo de caixa</t>
  </si>
  <si>
    <t>Prazo de desconto (anos)</t>
  </si>
  <si>
    <t>Parcela pós-valuation do ano</t>
  </si>
  <si>
    <t>FCFF considerado no valuation</t>
  </si>
  <si>
    <t>Valor presente do FCFF</t>
  </si>
  <si>
    <t>Valuation | FCFF e ponte para equity</t>
  </si>
  <si>
    <t>Data de valuation</t>
  </si>
  <si>
    <t>Sensibilidade | WACC × g (US$ / ação)</t>
  </si>
  <si>
    <t>WACC</t>
  </si>
  <si>
    <t>Crescimento terminal (g)</t>
  </si>
  <si>
    <t>ROIC incremental terminal</t>
  </si>
  <si>
    <t>Ações diluídas (milhões)</t>
  </si>
  <si>
    <t>Caixa + aplicações</t>
  </si>
  <si>
    <t>Participação Technoprobe (equity method)</t>
  </si>
  <si>
    <t>Dívida financeira bruta</t>
  </si>
  <si>
    <t>Dívida líquida (− ativos não operacionais)</t>
  </si>
  <si>
    <t>PV dos fluxos explícitos</t>
  </si>
  <si>
    <t>NOPAT terminal</t>
  </si>
  <si>
    <t>Reinvestimento líquido terminal</t>
  </si>
  <si>
    <t>FCFF terminal</t>
  </si>
  <si>
    <t>Valor terminal não descontado</t>
  </si>
  <si>
    <t>PV do valor terminal</t>
  </si>
  <si>
    <t>Enterprise value</t>
  </si>
  <si>
    <t>Equity value</t>
  </si>
  <si>
    <t>Valor por ação (US$)</t>
  </si>
  <si>
    <t>Valor terminal / enterprise value</t>
  </si>
  <si>
    <t>Valor por ação | fluxos explícitos apenas (sem terminal)</t>
  </si>
  <si>
    <t>Top-down: TAM ATE = WFE × intensidade de teste (base Advantest, ex burn-in — a mesma do modelo oficial da Advantest); Semi Test = TAM × share; Product Test e Robotics por crescimento.</t>
  </si>
  <si>
    <t>CY26-28 reproduz a iniciação de 2026-09-16 (NEUTRAL, PT $400 = 25x CY28E): mesma WFE, mesmo crescimento de TAM (+19%/+20%), mesma receita por segmento, GM, opex, imposto e recompras; margem EBIT normaliza para ~34% até CY33 (a iniciação usava fade a 30% no DCF).</t>
  </si>
  <si>
    <t>CY23–25B: bases do cenário (segmentação de 2025 move IST para Semi Test; CY23-24 usam a segmentação antiga do peer model).</t>
  </si>
  <si>
    <t>O FCFF considera apenas a fração de CY26 após 27-ago-2026. Não há preço atual ou upside implícito na capa; preço e PT ficam em Premissas (informativo).</t>
  </si>
  <si>
    <t>Reconciliações</t>
  </si>
  <si>
    <t>TAM modelo vs referência Advantest (CY23-26)</t>
  </si>
  <si>
    <t>Receita: soma dos segmentos</t>
  </si>
  <si>
    <t>Shares: TER (ex-IST) + Advantest (modelo Advantest) ≤ 100% do TAM</t>
  </si>
  <si>
    <t>Memo: residual do TAM para outros vendors (1 − TER ex-IST − Advantest)</t>
  </si>
  <si>
    <t>Iniciação: receita CY26-28 dentro de ±1,5%</t>
  </si>
  <si>
    <t>Equity: EV − dívida líquida</t>
  </si>
  <si>
    <t>Sensibilidade: centro = DCF base</t>
  </si>
  <si>
    <t>Resumo para a wiki | estimativas de casa (CY) — Capstone estimates (house model)</t>
  </si>
  <si>
    <t>Receita (US$ mi)</t>
  </si>
  <si>
    <t>Margem operacional (EBIT após SBC)</t>
  </si>
  <si>
    <t>Outras receitas + equity method (US$ mi)</t>
  </si>
  <si>
    <t>Lucro líquido non-GAAP (US$ mi)</t>
  </si>
  <si>
    <t>Ações diluídas (mi, média) | CY24-25 10-K</t>
  </si>
  <si>
    <t>EPS non-GAAP (US$) | CY23-25 reportado</t>
  </si>
  <si>
    <t>EPS | iniciação 2026-09-16 (memo)</t>
  </si>
  <si>
    <t>FCF equity (US$ mi) = LL + D&amp;A + SBC − ΔNWC − capex</t>
  </si>
  <si>
    <t>Consenso BBG (receita) — memo</t>
  </si>
  <si>
    <t>EPS: casa ÷ consenso BBG − 1</t>
  </si>
  <si>
    <t>P/E implícito ao preço de referência (informativo)</t>
  </si>
  <si>
    <t>A tabela 'Capstone estimates (house model)' da página wiki (_wiki/&lt;TICKER&gt;.md) é transcrita deste bloco (CY24A-CY28E). Thesis-drift: ao mudar um número, mover o antigo para o Changelog da página.</t>
  </si>
  <si>
    <t>TER | Premissas e fontes</t>
  </si>
  <si>
    <t>Dados extraídos das fontes indicadas. US$ milhões salvo indicação; TAM/WFE em US$ bilhões. Ano fiscal = ano-calendário (dez).</t>
  </si>
  <si>
    <t>Arquivo, aba e células de origem. CY = ano-calendário.</t>
  </si>
  <si>
    <t>Histórico reportado (10-K) e referência de consenso / iniciação</t>
  </si>
  <si>
    <t>Receita total (US$ mi) | 10-K / consenso BBG CY26-28</t>
  </si>
  <si>
    <t>10-K FY23-FY25 (TER/TER_10-K_2026-02-19: 3.190.024; 2.819.880; 2.676.298). CY26-28: bdp BEST_SALES 1FY/2FY/3FY (2026-09-18).</t>
  </si>
  <si>
    <t>Receita total | iniciação Capstone 2026-09-16 (base)</t>
  </si>
  <si>
    <t>_wiki/_data/research/TER_Initiation_2026-09-16_model_out.json → cases.base.periods (ter_model.py). Substituído por este workbook.</t>
  </si>
  <si>
    <t>Semiconductor Test (US$ mi) | segmento</t>
  </si>
  <si>
    <t>Product Test (US$ mi) | System Test + Wireless</t>
  </si>
  <si>
    <t>Robotics (US$ mi)</t>
  </si>
  <si>
    <t>Margem bruta (non-GAAP)</t>
  </si>
  <si>
    <t>10-K FY24/FY25 (gross profit 57,4% / 58,5% / 58,2%).</t>
  </si>
  <si>
    <t>Margem operacional non-GAAP</t>
  </si>
  <si>
    <t>Wiki TER.md tabela de casa (~21% / ~22%); FY23 ~20% (aprox., base do cenário).</t>
  </si>
  <si>
    <t>Stock-based compensation (US$ mi)</t>
  </si>
  <si>
    <t>10-K cash-flow: 57.682 / 60.122 / 63.999.</t>
  </si>
  <si>
    <t>Depreciação (US$ mi)</t>
  </si>
  <si>
    <t>10-K cash-flow: 92.118 / 100.977 / 111.445.</t>
  </si>
  <si>
    <t>Capex (US$ mi) | 10-K / consenso BBG CY26-28</t>
  </si>
  <si>
    <t>10-K purchases of PP&amp;E: 159.642 / 198.095 / 224.009; CY26-28 bdp BEST_CAPEX.</t>
  </si>
  <si>
    <t>Contas a receber (US$ mi) | dez-23 / dez-24 / dez-25 / jun-26</t>
  </si>
  <si>
    <t>10-K FY24/FY25; 10-Q 2Q FY26 (2026-06-28).</t>
  </si>
  <si>
    <t>Estoques (US$ mi)</t>
  </si>
  <si>
    <t>10-K FY24/FY25; 10-Q 2Q FY26.</t>
  </si>
  <si>
    <t>Contas a pagar (US$ mi)</t>
  </si>
  <si>
    <t>EPS non-GAAP (US$) | reportado / consenso BBG CY26-28</t>
  </si>
  <si>
    <t>FY23-25 releases (wiki TER.md); CY26-28 bdp BEST_EPS 1FY/2FY/3FY (2026-09-18).</t>
  </si>
  <si>
    <t>EPS non-GAAP | iniciação Capstone 2026-09-16 (base)</t>
  </si>
  <si>
    <t>model_out.json cases.base.periods.eps: 9,026 / 11,921 / 15,992.</t>
  </si>
  <si>
    <t>Consenso BBG — EBIT (US$ mi)</t>
  </si>
  <si>
    <t>bdp BEST_EBIT 1FY/2FY/3FY. 19 analistas (13 buy / 6 hold), rating 4,32, PT médio $450,87.</t>
  </si>
  <si>
    <t>Consenso BBG — margem bruta</t>
  </si>
  <si>
    <t>bdp BEST_GROSS_MARGIN.</t>
  </si>
  <si>
    <t>Advantest test systems SoC + memória (US$ mi) | modelo oficial ADVANTEST — check de shares</t>
  </si>
  <si>
    <t>Template DCF ADVANTEST.xlsx | Capa DCF - Base linhas 24+25 (CY23-25 implícito; CY26-28 cenário base). Valores colados — atualizar se o modelo Advantest mudar.</t>
  </si>
  <si>
    <t>IST (storage test) dentro de Semi Test (US$ mi) | excluído do check de shares</t>
  </si>
  <si>
    <t>CY25 10-K FY25 (IST 129,2); CY26-28 sub-segmentação da iniciação (model_out.json subseg). IST não está no TAM SoC+memória da Advantest.</t>
  </si>
  <si>
    <t>TAM ATE (US$ bi) | referência Advantest (deck 29-jul-2026; CY23 base Capstone)</t>
  </si>
  <si>
    <t>CY24 6,0 / CY25 9,0 / CY26e 13,75 (mid 13,0-14,5) — deck Advantest; validado pelo CEO da TER ('right zip code', call 2026-07-29). Base ex burn-in. CY23 4,9 = Industry Assumptions!K26.</t>
  </si>
  <si>
    <t>Guidance 3Q FY26 (28-jul-2026) e âncoras da iniciação</t>
  </si>
  <si>
    <t>3Q FY26 receita guidance (US$ mi, ponto médio $1.250)</t>
  </si>
  <si>
    <t>Press release 2026-07-28: $1,15-1,25 bi… revisado: $1.250 mi ±; H1 = 50-52% da receita do ano → FY26 $5,02-5,22 bi.</t>
  </si>
  <si>
    <t>1H FY26 receita reportada (US$ mi)</t>
  </si>
  <si>
    <t>1Q 1.282,5 + 2Q 1.329,0 (releases 2026-04-29 / 2026-07-28).</t>
  </si>
  <si>
    <t>1H FY26 EPS non-GAAP reportado (US$)</t>
  </si>
  <si>
    <t>Idem (2,56 + 2,47; companhia: $5,02).</t>
  </si>
  <si>
    <t>Valuation e balanço</t>
  </si>
  <si>
    <t>Template DCF NVDA.xlsx | Audit &amp; Checks!D5. Mantida a data para comparabilidade com AMD/AVGO.</t>
  </si>
  <si>
    <t>Hipótese: 10% do template aplicado como WACC no FCFF (iniciação usou Ke 10% / g 3% com fade de margem a 30% → $212 rolado).</t>
  </si>
  <si>
    <t>Crescimento terminal</t>
  </si>
  <si>
    <t>Template DCF NVDA.xlsx | Capa DCF - Base!D91.</t>
  </si>
  <si>
    <t>Hipótese do template: reinvestimento terminal = g / ROIC.</t>
  </si>
  <si>
    <t>Ações diluídas | referência 2Q FY26 (mi)</t>
  </si>
  <si>
    <t>10-Q 2Q FY26: weighted diluted 157.693 mil; em circulação 156,34 mi (27-jul-2026).</t>
  </si>
  <si>
    <t>Caixa + títulos (US$ mi)</t>
  </si>
  <si>
    <t>10-Q 2Q FY26 (28-jun-2026): caixa 349,5 + títulos CP 5,3 + títulos LP 162,3.</t>
  </si>
  <si>
    <t>Participação Technoprobe (equity method, US$ mi)</t>
  </si>
  <si>
    <t>10-Q 2Q FY26: equity method investment 514.957 (10% da Technoprobe). Ativo não operacional somado ao equity.</t>
  </si>
  <si>
    <t>Dívida financeira bruta (US$ mi)</t>
  </si>
  <si>
    <t>Sem dívida em 28-jun-2026 (revolver $750 mi disponível; $200 mi de dez-25 quitados no 1H).</t>
  </si>
  <si>
    <t>Data-base do balanço no modelo</t>
  </si>
  <si>
    <t>Anterior à data de valuation; atualização manual disponível.</t>
  </si>
  <si>
    <t>Preço de referência (US$, informativo)</t>
  </si>
  <si>
    <t>BBG PX_LAST TER US, 2026-09-18. Não entra no valuation.</t>
  </si>
  <si>
    <t>PT médio consenso (US$, informativo)</t>
  </si>
  <si>
    <t>BBG BEST_TARGET_PRICE, 19 analistas, 2026-09-18. Iniciação Capstone: NEUTRAL, PT $400 (25x CY28E).</t>
  </si>
  <si>
    <t>Premissas de mercado e operação (CY)</t>
  </si>
  <si>
    <t>CY23-24 SEMI/VLSI via ASML_Peers_SemiCap_Felipe.xlsx | Industry Assumptions!K10:L10; CY25 UBS actual 116; CY26-28 158/205/240 = base da iniciação TER (2026-09-16). Idêntico ao Template DCF ADVANTEST.</t>
  </si>
  <si>
    <t>Crescimento WFE (CY29+)</t>
  </si>
  <si>
    <t>Hipótese pós-CY28: +6% CY29-30, convergindo a +3% a partir de CY34. Editável.</t>
  </si>
  <si>
    <t>ATE / WFE (intensidade de teste, base Advantest ex burn-in)</t>
  </si>
  <si>
    <t>CY23-26 calibrado ao TAM de referência (fórmula). CY27 8,0% = lag WFE→wafer (mgmt 07-29: 'could revert to 6-7%' na base TER); CY28 8,3%; fade a 8,0%. Na base da iniciação (8,0/7,3/7,5% × WFE) o TAM era 12,6/15,0/18,0 — mesmo crescimento, base menor.</t>
  </si>
  <si>
    <t>Teradyne | share do TAM ATE (Semi Test ÷ TAM)</t>
  </si>
  <si>
    <t>Calibrado para reproduzir a receita Semi Test da iniciação ($4,32 / 5,30 / 6,64 bi): +90bp/+100bp por ano — dentro do bogey de IR ('couple hundred bps', 2026-08-03; 300-400bp em 2026 na base TER). Flat 33,5% após CY30. CY23-25 implícito na capa.</t>
  </si>
  <si>
    <t>Crescimento Product Test</t>
  </si>
  <si>
    <t>CY26-28 = níveis da iniciação ($410 / 465 / 525 mi: Omnix, MLTP, CPO ~$200 mi em 2027); converge a +3%.</t>
  </si>
  <si>
    <t>Crescimento Robotics</t>
  </si>
  <si>
    <t>CY26-28 = níveis da iniciação ($396 / 460 / 530 mi; 1H26 +33% y/y, 'grow in proportion with the company'); converge a +3%.</t>
  </si>
  <si>
    <t>CY23-25 reportado. CY26 59,5% (FY 'right around 59%'), CY27 59,5%, CY28 60,2% ('60% or higher over the mid-term', IR 08-03); 60% no longo prazo.</t>
  </si>
  <si>
    <t>SBC / receita</t>
  </si>
  <si>
    <t>10-K. Non-GAAP da TER NÃO exclui SBC — opex ex-SBC + SBC = opex non-GAAP. 1,4% (iniciação).</t>
  </si>
  <si>
    <t>Opex ex-SBC / receita (non-GAAP)</t>
  </si>
  <si>
    <t>CY26-28 = opex da iniciação ($1.398 / 1.538 / 1.707 mi = 27,3% / 24,7% / 22,2% da receita, 'opex cresce menos da metade da receita', CEO 09-09) menos SBC. Normaliza para 26% (margem EBIT ~34%) até CY33 — fade mais suave que a iniciação (30%).</t>
  </si>
  <si>
    <t>Alíquota de imposto (non-GAAP)</t>
  </si>
  <si>
    <t>GAAP 10-K: 14,6% / 9,8% / 12,1%. Non-GAAP 15% / 15% / 15,5% (iniciação; 2Q FY26 15,1%); 16% no longo prazo.</t>
  </si>
  <si>
    <t>Depreciação operacional / receita</t>
  </si>
  <si>
    <t>10-K depreciação (sem amortização de intangíveis, já excluída do EBIT non-GAAP). 2,4% (iniciação).</t>
  </si>
  <si>
    <t>Capex / receita</t>
  </si>
  <si>
    <t>Iniciação: $355 / 380 / 430 mi (BEst $282 / 353 / 429); 5% no longo prazo (média FY19-25 5,8%).</t>
  </si>
  <si>
    <t>NWC operacional / receita</t>
  </si>
  <si>
    <t>NWC = recebíveis + estoques − fornecedores. Dez-25 28,1%; jun-26 $1.130 mi / LTM ~$4.460 mi = 25,3%. 25% constante.</t>
  </si>
  <si>
    <t>Outras receitas (juros) (US$ mi)</t>
  </si>
  <si>
    <t>~+$5 mi/trimestre (2Q FY26 +$5,8 mi; caixa ~$0,5 bi, sem dívida).</t>
  </si>
  <si>
    <t>Equity method Technoprobe, base non-GAAP (US$ mi)</t>
  </si>
  <si>
    <t>~+$5,5 mi/trimestre (GAAP −$1,9 mi + $7,6 mi de amortização add-back no 2Q FY26). Fora do FCFF.</t>
  </si>
  <si>
    <t>Ações diluídas para EPS (mi, média do ano)</t>
  </si>
  <si>
    <t>Iniciação: 2H26 $150 mi de recompra, $400-450 mi/ano depois (~−0,3%/ano líquido de SBC).</t>
  </si>
  <si>
    <t>Método: FCFF = EBIT non-GAAP (após SBC) × (1 − imposto) + depreciação operacional − capex − variação de NWC. Terminal: NOPAT × (1 + g) × (1 − g / ROIC).</t>
  </si>
  <si>
    <t>Desconto de fim de ano; CY26 proporcional aos dias posteriores à data de valuation. Ano fiscal da Teradyne = ano-calendário.</t>
  </si>
  <si>
    <t>TAM em US$ na base da Advantest (SoC + memória, EX burn-in) — a MESMA do Template DCF ADVANTEST — para que os shares das duas somem contra o mesmo pool. Na base TER (7-9% do WFE) o share da TER lê ~34-37%.</t>
  </si>
  <si>
    <t>CY26-28 reproduz a iniciação de 2026-09-16 (receita $5,13 / 6,22 / 7,69 bi; EPS $9,03 / 11,92 / 15,99) dentro de ~1% — as diferenças vêm da anualização (a iniciação é trimestral).</t>
  </si>
  <si>
    <t>Fontes primárias: 10-K FY23-FY25, 10-Q 2Q FY26, releases 2026-04-29 / 2026-07-28, call 2026-07-29 (TER/transcripts), UBS fireside com IR 2026-08-03. Consenso: Bloomberg (bdp) 2026-09-18.</t>
  </si>
  <si>
    <t>10-K FY25 (filed 2026-02-19), segment note restated to the 2025 segmentation: Semiconductor Test 1.957,2 / 2.123,9 / 2.523,7 (inclui IST; 2025 IST 129,2).</t>
  </si>
  <si>
    <t>10-K FY25 restated: Product Test 343,9 / 331,1 / 358,0 (System Test + Wireless Test ex-IST).</t>
  </si>
  <si>
    <t>10-K FY25 restated: Robotics 375,2 / 364,8 / 308,3.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</si>
</sst>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0.0%;\(0.0%\);&quot;-&quot;"/>
    <numFmt numFmtId="166" formatCode="#,##0.0;\(#,##0.0\);&quot;-&quot;"/>
    <numFmt numFmtId="167" formatCode="0.00;\(0.00\);&quot;-&quot;"/>
    <numFmt numFmtId="168" formatCode="dd\-mmm\-yyyy"/>
    <numFmt numFmtId="169" formatCode="0.00;\(0.00\);0.00"/>
    <numFmt numFmtId="170" formatCode="dd\-mmm\-yy"/>
    <numFmt numFmtId="171" formatCode="&quot;$&quot;0.00"/>
    <numFmt numFmtId="172" formatCode="0.0&quot;x&quot;"/>
  </numFmts>
  <fonts count="8" x14ac:knownFonts="1">
    <font>
      <sz val="11"/>
      <color theme="1"/>
      <name val="Calibri"/>
      <family val="2"/>
      <scheme val="minor"/>
    </font>
    <font>
      <b/>
      <sz val="16"/>
      <color rgb="FF203864"/>
      <name val="Arial"/>
    </font>
    <font>
      <sz val="10"/>
      <color rgb="FF202020"/>
      <name val="Arial"/>
    </font>
    <font>
      <b/>
      <sz val="10"/>
      <color rgb="FF202020"/>
      <name val="Arial"/>
    </font>
    <font>
      <sz val="9"/>
      <color rgb="FF666666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2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2" fillId="0" borderId="0" xfId="0" applyFont="1"/>
    <xf numFmtId="166" fontId="6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7" fontId="3" fillId="2" borderId="0" xfId="0" applyNumberFormat="1" applyFont="1" applyFill="1" applyAlignment="1">
      <alignment horizontal="right"/>
    </xf>
    <xf numFmtId="167" fontId="6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6" fillId="0" borderId="0" xfId="0" applyNumberFormat="1" applyFont="1"/>
    <xf numFmtId="165" fontId="6" fillId="0" borderId="0" xfId="0" applyNumberFormat="1" applyFont="1"/>
    <xf numFmtId="167" fontId="2" fillId="2" borderId="0" xfId="0" applyNumberFormat="1" applyFont="1" applyFill="1"/>
    <xf numFmtId="165" fontId="3" fillId="2" borderId="0" xfId="0" applyNumberFormat="1" applyFont="1" applyFill="1"/>
    <xf numFmtId="167" fontId="2" fillId="0" borderId="0" xfId="0" applyNumberFormat="1" applyFont="1"/>
    <xf numFmtId="166" fontId="6" fillId="0" borderId="0" xfId="0" applyNumberFormat="1" applyFont="1"/>
    <xf numFmtId="164" fontId="6" fillId="0" borderId="0" xfId="0" applyNumberFormat="1" applyFont="1"/>
    <xf numFmtId="164" fontId="2" fillId="0" borderId="0" xfId="0" applyNumberFormat="1" applyFont="1"/>
    <xf numFmtId="0" fontId="7" fillId="4" borderId="0" xfId="0" applyFont="1" applyFill="1"/>
    <xf numFmtId="171" fontId="7" fillId="4" borderId="0" xfId="0" applyNumberFormat="1" applyFont="1" applyFill="1"/>
    <xf numFmtId="165" fontId="2" fillId="0" borderId="0" xfId="0" applyNumberFormat="1" applyFont="1"/>
    <xf numFmtId="171" fontId="2" fillId="0" borderId="0" xfId="0" applyNumberFormat="1" applyFont="1"/>
    <xf numFmtId="169" fontId="2" fillId="0" borderId="0" xfId="0" applyNumberFormat="1" applyFont="1"/>
    <xf numFmtId="167" fontId="3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1" fontId="3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4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3" borderId="0" xfId="0" applyNumberFormat="1" applyFont="1" applyFill="1"/>
    <xf numFmtId="165" fontId="5" fillId="3" borderId="0" xfId="0" applyNumberFormat="1" applyFont="1" applyFill="1"/>
    <xf numFmtId="168" fontId="5" fillId="0" borderId="0" xfId="0" applyNumberFormat="1" applyFont="1"/>
    <xf numFmtId="166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Z103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47" customWidth="1"/>
    <col min="4" max="26" width="12.42578125" customWidth="1"/>
  </cols>
  <sheetData>
    <row r="1" spans="3:26" ht="18" customHeight="1" x14ac:dyDescent="0.25"/>
    <row r="2" spans="3:26" ht="18" customHeight="1" x14ac:dyDescent="0.3">
      <c r="C2" s="1" t="s">
        <v>0</v>
      </c>
    </row>
    <row r="3" spans="3:26" x14ac:dyDescent="0.25">
      <c r="C3" s="2" t="s">
        <v>1</v>
      </c>
    </row>
    <row r="4" spans="3:26" x14ac:dyDescent="0.25">
      <c r="C4" s="3" t="s">
        <v>2</v>
      </c>
    </row>
    <row r="5" spans="3:26" ht="18" customHeight="1" x14ac:dyDescent="0.25"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</row>
    <row r="7" spans="3:26" ht="18" customHeight="1" x14ac:dyDescent="0.25">
      <c r="C7" s="5" t="s">
        <v>26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3:26" x14ac:dyDescent="0.25">
      <c r="C8" s="7" t="s">
        <v>27</v>
      </c>
      <c r="D8" s="8">
        <f>'Premissas e fontes'!D50</f>
        <v>95.76</v>
      </c>
      <c r="E8" s="8">
        <f>'Premissas e fontes'!E50</f>
        <v>100.34</v>
      </c>
      <c r="F8" s="8">
        <f>'Premissas e fontes'!F50</f>
        <v>116</v>
      </c>
      <c r="G8" s="8">
        <f>'Premissas e fontes'!G50</f>
        <v>158</v>
      </c>
      <c r="H8" s="8">
        <f>'Premissas e fontes'!H50</f>
        <v>205</v>
      </c>
      <c r="I8" s="8">
        <f>'Premissas e fontes'!I50</f>
        <v>240</v>
      </c>
      <c r="J8" s="9">
        <f t="shared" ref="J8:Z8" si="0">I8*(1+J9)</f>
        <v>254.4</v>
      </c>
      <c r="K8" s="9">
        <f t="shared" si="0"/>
        <v>267.12</v>
      </c>
      <c r="L8" s="9">
        <f t="shared" si="0"/>
        <v>277.8048</v>
      </c>
      <c r="M8" s="9">
        <f t="shared" si="0"/>
        <v>287.99097599999999</v>
      </c>
      <c r="N8" s="9">
        <f t="shared" si="0"/>
        <v>297.59067520000002</v>
      </c>
      <c r="O8" s="9">
        <f t="shared" si="0"/>
        <v>306.51839545600001</v>
      </c>
      <c r="P8" s="9">
        <f t="shared" si="0"/>
        <v>315.71394731968002</v>
      </c>
      <c r="Q8" s="9">
        <f t="shared" si="0"/>
        <v>325.18536573927042</v>
      </c>
      <c r="R8" s="9">
        <f t="shared" si="0"/>
        <v>334.94092671144853</v>
      </c>
      <c r="S8" s="9">
        <f t="shared" si="0"/>
        <v>344.98915451279197</v>
      </c>
      <c r="T8" s="9">
        <f t="shared" si="0"/>
        <v>355.33882914817576</v>
      </c>
      <c r="U8" s="9">
        <f t="shared" si="0"/>
        <v>365.99899402262105</v>
      </c>
      <c r="V8" s="9">
        <f t="shared" si="0"/>
        <v>376.97896384329971</v>
      </c>
      <c r="W8" s="9">
        <f t="shared" si="0"/>
        <v>388.2883327585987</v>
      </c>
      <c r="X8" s="9">
        <f t="shared" si="0"/>
        <v>399.93698274135664</v>
      </c>
      <c r="Y8" s="9">
        <f t="shared" si="0"/>
        <v>411.93509222359734</v>
      </c>
      <c r="Z8" s="9">
        <f t="shared" si="0"/>
        <v>424.29314499030528</v>
      </c>
    </row>
    <row r="9" spans="3:26" x14ac:dyDescent="0.25">
      <c r="C9" s="7" t="s">
        <v>28</v>
      </c>
      <c r="E9" s="10">
        <f>E8/D8-1</f>
        <v>4.7827903091060886E-2</v>
      </c>
      <c r="F9" s="10">
        <f>F8/E8-1</f>
        <v>0.15606936416184958</v>
      </c>
      <c r="G9" s="10">
        <f>G8/F8-1</f>
        <v>0.36206896551724133</v>
      </c>
      <c r="H9" s="10">
        <f>H8/G8-1</f>
        <v>0.29746835443037978</v>
      </c>
      <c r="I9" s="10">
        <f>I8/H8-1</f>
        <v>0.1707317073170731</v>
      </c>
      <c r="J9" s="11">
        <f>'Premissas e fontes'!J51</f>
        <v>0.06</v>
      </c>
      <c r="K9" s="11">
        <f>'Premissas e fontes'!K51</f>
        <v>0.05</v>
      </c>
      <c r="L9" s="11">
        <f>'Premissas e fontes'!L51</f>
        <v>0.04</v>
      </c>
      <c r="M9" s="11">
        <f>'Premissas e fontes'!M51</f>
        <v>3.6666666666666667E-2</v>
      </c>
      <c r="N9" s="11">
        <f>'Premissas e fontes'!N51</f>
        <v>3.3333333333333333E-2</v>
      </c>
      <c r="O9" s="11">
        <f>'Premissas e fontes'!O51</f>
        <v>0.03</v>
      </c>
      <c r="P9" s="11">
        <f>'Premissas e fontes'!P51</f>
        <v>0.03</v>
      </c>
      <c r="Q9" s="11">
        <f>'Premissas e fontes'!Q51</f>
        <v>0.03</v>
      </c>
      <c r="R9" s="11">
        <f>'Premissas e fontes'!R51</f>
        <v>0.03</v>
      </c>
      <c r="S9" s="11">
        <f>'Premissas e fontes'!S51</f>
        <v>0.03</v>
      </c>
      <c r="T9" s="11">
        <f>'Premissas e fontes'!T51</f>
        <v>0.03</v>
      </c>
      <c r="U9" s="11">
        <f>'Premissas e fontes'!U51</f>
        <v>0.03</v>
      </c>
      <c r="V9" s="11">
        <f>'Premissas e fontes'!V51</f>
        <v>0.03</v>
      </c>
      <c r="W9" s="11">
        <f>'Premissas e fontes'!W51</f>
        <v>0.03</v>
      </c>
      <c r="X9" s="11">
        <f>'Premissas e fontes'!X51</f>
        <v>0.03</v>
      </c>
      <c r="Y9" s="11">
        <f>'Premissas e fontes'!Y51</f>
        <v>0.03</v>
      </c>
      <c r="Z9" s="11">
        <f>'Premissas e fontes'!Z51</f>
        <v>0.03</v>
      </c>
    </row>
    <row r="10" spans="3:26" x14ac:dyDescent="0.25">
      <c r="C10" s="7" t="s">
        <v>29</v>
      </c>
      <c r="D10" s="11">
        <f>'Premissas e fontes'!D52</f>
        <v>5.1169590643274858E-2</v>
      </c>
      <c r="E10" s="11">
        <f>'Premissas e fontes'!E52</f>
        <v>5.9796691249750844E-2</v>
      </c>
      <c r="F10" s="11">
        <f>'Premissas e fontes'!F52</f>
        <v>7.7586206896551727E-2</v>
      </c>
      <c r="G10" s="11">
        <f>'Premissas e fontes'!G52</f>
        <v>8.7025316455696208E-2</v>
      </c>
      <c r="H10" s="11">
        <f>'Premissas e fontes'!H52</f>
        <v>0.08</v>
      </c>
      <c r="I10" s="11">
        <f>'Premissas e fontes'!I52</f>
        <v>8.3000000000000004E-2</v>
      </c>
      <c r="J10" s="11">
        <f>'Premissas e fontes'!J52</f>
        <v>8.3000000000000004E-2</v>
      </c>
      <c r="K10" s="11">
        <f>'Premissas e fontes'!K52</f>
        <v>8.3000000000000004E-2</v>
      </c>
      <c r="L10" s="11">
        <f>'Premissas e fontes'!L52</f>
        <v>8.2250000000000004E-2</v>
      </c>
      <c r="M10" s="11">
        <f>'Premissas e fontes'!M52</f>
        <v>8.1500000000000003E-2</v>
      </c>
      <c r="N10" s="11">
        <f>'Premissas e fontes'!N52</f>
        <v>8.0750000000000002E-2</v>
      </c>
      <c r="O10" s="11">
        <f>'Premissas e fontes'!O52</f>
        <v>0.08</v>
      </c>
      <c r="P10" s="11">
        <f>'Premissas e fontes'!P52</f>
        <v>0.08</v>
      </c>
      <c r="Q10" s="11">
        <f>'Premissas e fontes'!Q52</f>
        <v>0.08</v>
      </c>
      <c r="R10" s="11">
        <f>'Premissas e fontes'!R52</f>
        <v>0.08</v>
      </c>
      <c r="S10" s="11">
        <f>'Premissas e fontes'!S52</f>
        <v>0.08</v>
      </c>
      <c r="T10" s="11">
        <f>'Premissas e fontes'!T52</f>
        <v>0.08</v>
      </c>
      <c r="U10" s="11">
        <f>'Premissas e fontes'!U52</f>
        <v>0.08</v>
      </c>
      <c r="V10" s="11">
        <f>'Premissas e fontes'!V52</f>
        <v>0.08</v>
      </c>
      <c r="W10" s="11">
        <f>'Premissas e fontes'!W52</f>
        <v>0.08</v>
      </c>
      <c r="X10" s="11">
        <f>'Premissas e fontes'!X52</f>
        <v>0.08</v>
      </c>
      <c r="Y10" s="11">
        <f>'Premissas e fontes'!Y52</f>
        <v>0.08</v>
      </c>
      <c r="Z10" s="11">
        <f>'Premissas e fontes'!Z52</f>
        <v>0.08</v>
      </c>
    </row>
    <row r="11" spans="3:26" x14ac:dyDescent="0.25">
      <c r="C11" s="5" t="s">
        <v>30</v>
      </c>
      <c r="D11" s="12">
        <f t="shared" ref="D11:Z11" si="1">D8*D10</f>
        <v>4.9000000000000004</v>
      </c>
      <c r="E11" s="12">
        <f t="shared" si="1"/>
        <v>6</v>
      </c>
      <c r="F11" s="12">
        <f t="shared" si="1"/>
        <v>9</v>
      </c>
      <c r="G11" s="12">
        <f t="shared" si="1"/>
        <v>13.750000000000002</v>
      </c>
      <c r="H11" s="12">
        <f t="shared" si="1"/>
        <v>16.399999999999999</v>
      </c>
      <c r="I11" s="12">
        <f t="shared" si="1"/>
        <v>19.920000000000002</v>
      </c>
      <c r="J11" s="12">
        <f t="shared" si="1"/>
        <v>21.115200000000002</v>
      </c>
      <c r="K11" s="12">
        <f t="shared" si="1"/>
        <v>22.170960000000001</v>
      </c>
      <c r="L11" s="12">
        <f t="shared" si="1"/>
        <v>22.849444800000001</v>
      </c>
      <c r="M11" s="12">
        <f t="shared" si="1"/>
        <v>23.471264544</v>
      </c>
      <c r="N11" s="12">
        <f t="shared" si="1"/>
        <v>24.030447022400001</v>
      </c>
      <c r="O11" s="12">
        <f t="shared" si="1"/>
        <v>24.521471636480001</v>
      </c>
      <c r="P11" s="12">
        <f t="shared" si="1"/>
        <v>25.257115785574403</v>
      </c>
      <c r="Q11" s="12">
        <f t="shared" si="1"/>
        <v>26.014829259141635</v>
      </c>
      <c r="R11" s="12">
        <f t="shared" si="1"/>
        <v>26.795274136915882</v>
      </c>
      <c r="S11" s="12">
        <f t="shared" si="1"/>
        <v>27.599132361023358</v>
      </c>
      <c r="T11" s="12">
        <f t="shared" si="1"/>
        <v>28.427106331854063</v>
      </c>
      <c r="U11" s="12">
        <f t="shared" si="1"/>
        <v>29.279919521809685</v>
      </c>
      <c r="V11" s="12">
        <f t="shared" si="1"/>
        <v>30.158317107463976</v>
      </c>
      <c r="W11" s="12">
        <f t="shared" si="1"/>
        <v>31.063066620687895</v>
      </c>
      <c r="X11" s="12">
        <f t="shared" si="1"/>
        <v>31.994958619308534</v>
      </c>
      <c r="Y11" s="12">
        <f t="shared" si="1"/>
        <v>32.954807377887789</v>
      </c>
      <c r="Z11" s="12">
        <f t="shared" si="1"/>
        <v>33.943451599224424</v>
      </c>
    </row>
    <row r="12" spans="3:26" x14ac:dyDescent="0.25">
      <c r="C12" s="7" t="s">
        <v>31</v>
      </c>
      <c r="E12" s="10">
        <f t="shared" ref="E12:Z12" si="2">E11/D11-1</f>
        <v>0.22448979591836715</v>
      </c>
      <c r="F12" s="10">
        <f t="shared" si="2"/>
        <v>0.5</v>
      </c>
      <c r="G12" s="10">
        <f t="shared" si="2"/>
        <v>0.5277777777777779</v>
      </c>
      <c r="H12" s="10">
        <f t="shared" si="2"/>
        <v>0.19272727272727241</v>
      </c>
      <c r="I12" s="10">
        <f t="shared" si="2"/>
        <v>0.21463414634146361</v>
      </c>
      <c r="J12" s="10">
        <f t="shared" si="2"/>
        <v>6.0000000000000053E-2</v>
      </c>
      <c r="K12" s="10">
        <f t="shared" si="2"/>
        <v>5.0000000000000044E-2</v>
      </c>
      <c r="L12" s="10">
        <f t="shared" si="2"/>
        <v>3.0602409638554207E-2</v>
      </c>
      <c r="M12" s="10">
        <f t="shared" si="2"/>
        <v>2.7213779128672844E-2</v>
      </c>
      <c r="N12" s="10">
        <f t="shared" si="2"/>
        <v>2.3824130879345651E-2</v>
      </c>
      <c r="O12" s="10">
        <f t="shared" si="2"/>
        <v>2.0433436532507843E-2</v>
      </c>
      <c r="P12" s="10">
        <f t="shared" si="2"/>
        <v>3.0000000000000027E-2</v>
      </c>
      <c r="Q12" s="10">
        <f t="shared" si="2"/>
        <v>3.0000000000000027E-2</v>
      </c>
      <c r="R12" s="10">
        <f t="shared" si="2"/>
        <v>3.0000000000000027E-2</v>
      </c>
      <c r="S12" s="10">
        <f t="shared" si="2"/>
        <v>3.0000000000000027E-2</v>
      </c>
      <c r="T12" s="10">
        <f t="shared" si="2"/>
        <v>3.0000000000000249E-2</v>
      </c>
      <c r="U12" s="10">
        <f t="shared" si="2"/>
        <v>3.0000000000000027E-2</v>
      </c>
      <c r="V12" s="10">
        <f t="shared" si="2"/>
        <v>3.0000000000000027E-2</v>
      </c>
      <c r="W12" s="10">
        <f t="shared" si="2"/>
        <v>3.0000000000000027E-2</v>
      </c>
      <c r="X12" s="10">
        <f t="shared" si="2"/>
        <v>3.0000000000000027E-2</v>
      </c>
      <c r="Y12" s="10">
        <f t="shared" si="2"/>
        <v>3.0000000000000027E-2</v>
      </c>
      <c r="Z12" s="10">
        <f t="shared" si="2"/>
        <v>3.0000000000000027E-2</v>
      </c>
    </row>
    <row r="13" spans="3:26" x14ac:dyDescent="0.25">
      <c r="C13" s="7" t="s">
        <v>32</v>
      </c>
      <c r="D13" s="13">
        <f>'Premissas e fontes'!D28</f>
        <v>4.9000000000000004</v>
      </c>
      <c r="E13" s="13">
        <f>'Premissas e fontes'!E28</f>
        <v>6</v>
      </c>
      <c r="F13" s="13">
        <f>'Premissas e fontes'!F28</f>
        <v>9</v>
      </c>
      <c r="G13" s="13">
        <f>'Premissas e fontes'!G28</f>
        <v>13.75</v>
      </c>
    </row>
    <row r="14" spans="3:26" x14ac:dyDescent="0.25">
      <c r="C14" s="7" t="s">
        <v>33</v>
      </c>
      <c r="D14" s="14">
        <f>D11-D13</f>
        <v>0</v>
      </c>
      <c r="E14" s="14">
        <f>E11-E13</f>
        <v>0</v>
      </c>
      <c r="F14" s="14">
        <f>F11-F13</f>
        <v>0</v>
      </c>
      <c r="G14" s="14">
        <f>G11-G13</f>
        <v>0</v>
      </c>
    </row>
    <row r="15" spans="3:26" x14ac:dyDescent="0.25">
      <c r="C15" s="7" t="s">
        <v>34</v>
      </c>
      <c r="G15" s="15">
        <f>G8*0.08</f>
        <v>12.64</v>
      </c>
      <c r="H15" s="15">
        <f>H8*0.073</f>
        <v>14.965</v>
      </c>
      <c r="I15" s="15">
        <f>I8*0.075</f>
        <v>18</v>
      </c>
    </row>
    <row r="17" spans="3:26" x14ac:dyDescent="0.25">
      <c r="C17" s="5" t="s">
        <v>35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3:26" x14ac:dyDescent="0.25">
      <c r="C18" s="7" t="s">
        <v>36</v>
      </c>
      <c r="D18" s="10">
        <f>IFERROR(D19/1000/D11,NA())</f>
        <v>0.39942857142857141</v>
      </c>
      <c r="E18" s="10">
        <f>IFERROR(E19/1000/E11,NA())</f>
        <v>0.35398333333333332</v>
      </c>
      <c r="F18" s="10">
        <f>IFERROR(F19/1000/F11,NA())</f>
        <v>0.28041111111111111</v>
      </c>
      <c r="G18" s="11">
        <f>'Premissas e fontes'!G53</f>
        <v>0.314</v>
      </c>
      <c r="H18" s="11">
        <f>'Premissas e fontes'!H53</f>
        <v>0.32300000000000001</v>
      </c>
      <c r="I18" s="11">
        <f>'Premissas e fontes'!I53</f>
        <v>0.33300000000000002</v>
      </c>
      <c r="J18" s="11">
        <f>'Premissas e fontes'!J53</f>
        <v>0.33400000000000002</v>
      </c>
      <c r="K18" s="11">
        <f>'Premissas e fontes'!K53</f>
        <v>0.33500000000000002</v>
      </c>
      <c r="L18" s="11">
        <f>'Premissas e fontes'!L53</f>
        <v>0.33500000000000002</v>
      </c>
      <c r="M18" s="11">
        <f>'Premissas e fontes'!M53</f>
        <v>0.33500000000000002</v>
      </c>
      <c r="N18" s="11">
        <f>'Premissas e fontes'!N53</f>
        <v>0.33500000000000002</v>
      </c>
      <c r="O18" s="11">
        <f>'Premissas e fontes'!O53</f>
        <v>0.33500000000000002</v>
      </c>
      <c r="P18" s="11">
        <f>'Premissas e fontes'!P53</f>
        <v>0.33500000000000002</v>
      </c>
      <c r="Q18" s="11">
        <f>'Premissas e fontes'!Q53</f>
        <v>0.33500000000000002</v>
      </c>
      <c r="R18" s="11">
        <f>'Premissas e fontes'!R53</f>
        <v>0.33500000000000002</v>
      </c>
      <c r="S18" s="11">
        <f>'Premissas e fontes'!S53</f>
        <v>0.33500000000000002</v>
      </c>
      <c r="T18" s="11">
        <f>'Premissas e fontes'!T53</f>
        <v>0.33500000000000002</v>
      </c>
      <c r="U18" s="11">
        <f>'Premissas e fontes'!U53</f>
        <v>0.33500000000000002</v>
      </c>
      <c r="V18" s="11">
        <f>'Premissas e fontes'!V53</f>
        <v>0.33500000000000002</v>
      </c>
      <c r="W18" s="11">
        <f>'Premissas e fontes'!W53</f>
        <v>0.33500000000000002</v>
      </c>
      <c r="X18" s="11">
        <f>'Premissas e fontes'!X53</f>
        <v>0.33500000000000002</v>
      </c>
      <c r="Y18" s="11">
        <f>'Premissas e fontes'!Y53</f>
        <v>0.33500000000000002</v>
      </c>
      <c r="Z18" s="11">
        <f>'Premissas e fontes'!Z53</f>
        <v>0.33500000000000002</v>
      </c>
    </row>
    <row r="19" spans="3:26" x14ac:dyDescent="0.25">
      <c r="C19" s="7" t="s">
        <v>37</v>
      </c>
      <c r="D19" s="16">
        <f>'Premissas e fontes'!D11</f>
        <v>1957.2</v>
      </c>
      <c r="E19" s="16">
        <f>'Premissas e fontes'!E11</f>
        <v>2123.9</v>
      </c>
      <c r="F19" s="16">
        <f>'Premissas e fontes'!F11</f>
        <v>2523.6999999999998</v>
      </c>
      <c r="G19" s="17">
        <f t="shared" ref="G19:Z19" si="3">G11*G18*1000</f>
        <v>4317.5000000000009</v>
      </c>
      <c r="H19" s="17">
        <f t="shared" si="3"/>
        <v>5297.2</v>
      </c>
      <c r="I19" s="17">
        <f t="shared" si="3"/>
        <v>6633.3600000000006</v>
      </c>
      <c r="J19" s="17">
        <f t="shared" si="3"/>
        <v>7052.4768000000013</v>
      </c>
      <c r="K19" s="17">
        <f t="shared" si="3"/>
        <v>7427.2716000000009</v>
      </c>
      <c r="L19" s="17">
        <f t="shared" si="3"/>
        <v>7654.5640080000003</v>
      </c>
      <c r="M19" s="17">
        <f t="shared" si="3"/>
        <v>7862.8736222400003</v>
      </c>
      <c r="N19" s="17">
        <f t="shared" si="3"/>
        <v>8050.1997525040015</v>
      </c>
      <c r="O19" s="17">
        <f t="shared" si="3"/>
        <v>8214.6929982208021</v>
      </c>
      <c r="P19" s="17">
        <f t="shared" si="3"/>
        <v>8461.1337881674244</v>
      </c>
      <c r="Q19" s="17">
        <f t="shared" si="3"/>
        <v>8714.9678018124487</v>
      </c>
      <c r="R19" s="17">
        <f t="shared" si="3"/>
        <v>8976.4168358668212</v>
      </c>
      <c r="S19" s="17">
        <f t="shared" si="3"/>
        <v>9245.7093409428253</v>
      </c>
      <c r="T19" s="17">
        <f t="shared" si="3"/>
        <v>9523.0806211711115</v>
      </c>
      <c r="U19" s="17">
        <f t="shared" si="3"/>
        <v>9808.7730398062449</v>
      </c>
      <c r="V19" s="17">
        <f t="shared" si="3"/>
        <v>10103.036231000433</v>
      </c>
      <c r="W19" s="17">
        <f t="shared" si="3"/>
        <v>10406.127317930446</v>
      </c>
      <c r="X19" s="17">
        <f t="shared" si="3"/>
        <v>10718.311137468359</v>
      </c>
      <c r="Y19" s="17">
        <f t="shared" si="3"/>
        <v>11039.86047159241</v>
      </c>
      <c r="Z19" s="17">
        <f t="shared" si="3"/>
        <v>11371.056285740184</v>
      </c>
    </row>
    <row r="20" spans="3:26" x14ac:dyDescent="0.25">
      <c r="C20" s="7" t="s">
        <v>38</v>
      </c>
      <c r="D20" s="16">
        <f>'Premissas e fontes'!D12</f>
        <v>343.9</v>
      </c>
      <c r="E20" s="16">
        <f>'Premissas e fontes'!E12</f>
        <v>331.1</v>
      </c>
      <c r="F20" s="16">
        <f>'Premissas e fontes'!F12</f>
        <v>358</v>
      </c>
      <c r="G20" s="17">
        <f>F20*(1+'Premissas e fontes'!G54)</f>
        <v>410</v>
      </c>
      <c r="H20" s="17">
        <f>G20*(1+'Premissas e fontes'!H54)</f>
        <v>464.99999999999994</v>
      </c>
      <c r="I20" s="17">
        <f>H20*(1+'Premissas e fontes'!I54)</f>
        <v>525</v>
      </c>
      <c r="J20" s="17">
        <f>I20*(1+'Premissas e fontes'!J54)</f>
        <v>579.74395161290329</v>
      </c>
      <c r="K20" s="17">
        <f>J20*(1+'Premissas e fontes'!K54)</f>
        <v>625.84294647502611</v>
      </c>
      <c r="L20" s="17">
        <f>K20*(1+'Premissas e fontes'!L54)</f>
        <v>660.11289491506989</v>
      </c>
      <c r="M20" s="17">
        <f>L20*(1+'Premissas e fontes'!M54)</f>
        <v>679.91628176252198</v>
      </c>
      <c r="N20" s="17">
        <f>M20*(1+'Premissas e fontes'!N54)</f>
        <v>700.31377021539765</v>
      </c>
      <c r="O20" s="17">
        <f>N20*(1+'Premissas e fontes'!O54)</f>
        <v>721.32318332185957</v>
      </c>
      <c r="P20" s="17">
        <f>O20*(1+'Premissas e fontes'!P54)</f>
        <v>742.96287882151535</v>
      </c>
      <c r="Q20" s="17">
        <f>P20*(1+'Premissas e fontes'!Q54)</f>
        <v>765.25176518616081</v>
      </c>
      <c r="R20" s="17">
        <f>Q20*(1+'Premissas e fontes'!R54)</f>
        <v>788.2093181417456</v>
      </c>
      <c r="S20" s="17">
        <f>R20*(1+'Premissas e fontes'!S54)</f>
        <v>811.85559768599796</v>
      </c>
      <c r="T20" s="17">
        <f>S20*(1+'Premissas e fontes'!T54)</f>
        <v>836.21126561657798</v>
      </c>
      <c r="U20" s="17">
        <f>T20*(1+'Premissas e fontes'!U54)</f>
        <v>861.29760358507531</v>
      </c>
      <c r="V20" s="17">
        <f>U20*(1+'Premissas e fontes'!V54)</f>
        <v>887.13653169262761</v>
      </c>
      <c r="W20" s="17">
        <f>V20*(1+'Premissas e fontes'!W54)</f>
        <v>913.75062764340646</v>
      </c>
      <c r="X20" s="17">
        <f>W20*(1+'Premissas e fontes'!X54)</f>
        <v>941.16314647270872</v>
      </c>
      <c r="Y20" s="17">
        <f>X20*(1+'Premissas e fontes'!Y54)</f>
        <v>969.39804086689003</v>
      </c>
      <c r="Z20" s="17">
        <f>Y20*(1+'Premissas e fontes'!Z54)</f>
        <v>998.47998209289676</v>
      </c>
    </row>
    <row r="21" spans="3:26" x14ac:dyDescent="0.25">
      <c r="C21" s="7" t="s">
        <v>39</v>
      </c>
      <c r="D21" s="16">
        <f>'Premissas e fontes'!D13</f>
        <v>375.2</v>
      </c>
      <c r="E21" s="16">
        <f>'Premissas e fontes'!E13</f>
        <v>364.8</v>
      </c>
      <c r="F21" s="16">
        <f>'Premissas e fontes'!F13</f>
        <v>308.3</v>
      </c>
      <c r="G21" s="17">
        <f>F21*(1+'Premissas e fontes'!G55)</f>
        <v>395.99999999999994</v>
      </c>
      <c r="H21" s="17">
        <f>G21*(1+'Premissas e fontes'!H55)</f>
        <v>459.99999999999989</v>
      </c>
      <c r="I21" s="17">
        <f>H21*(1+'Premissas e fontes'!I55)</f>
        <v>529.99999999999989</v>
      </c>
      <c r="J21" s="17">
        <f>I21*(1+'Premissas e fontes'!J55)</f>
        <v>597.70173913043459</v>
      </c>
      <c r="K21" s="17">
        <f>J21*(1+'Premissas e fontes'!K55)</f>
        <v>659.44692748582213</v>
      </c>
      <c r="L21" s="17">
        <f>K21*(1+'Premissas e fontes'!L55)</f>
        <v>711.4572199405734</v>
      </c>
      <c r="M21" s="17">
        <f>L21*(1+'Premissas e fontes'!M55)</f>
        <v>750.18523904342555</v>
      </c>
      <c r="N21" s="17">
        <f>M21*(1+'Premissas e fontes'!N55)</f>
        <v>772.69079621472838</v>
      </c>
      <c r="O21" s="17">
        <f>N21*(1+'Premissas e fontes'!O55)</f>
        <v>795.87152010117029</v>
      </c>
      <c r="P21" s="17">
        <f>O21*(1+'Premissas e fontes'!P55)</f>
        <v>819.74766570420547</v>
      </c>
      <c r="Q21" s="17">
        <f>P21*(1+'Premissas e fontes'!Q55)</f>
        <v>844.34009567533167</v>
      </c>
      <c r="R21" s="17">
        <f>Q21*(1+'Premissas e fontes'!R55)</f>
        <v>869.67029854559166</v>
      </c>
      <c r="S21" s="17">
        <f>R21*(1+'Premissas e fontes'!S55)</f>
        <v>895.76040750195943</v>
      </c>
      <c r="T21" s="17">
        <f>S21*(1+'Premissas e fontes'!T55)</f>
        <v>922.63321972701829</v>
      </c>
      <c r="U21" s="17">
        <f>T21*(1+'Premissas e fontes'!U55)</f>
        <v>950.31221631882886</v>
      </c>
      <c r="V21" s="17">
        <f>U21*(1+'Premissas e fontes'!V55)</f>
        <v>978.82158280839371</v>
      </c>
      <c r="W21" s="17">
        <f>V21*(1+'Premissas e fontes'!W55)</f>
        <v>1008.1862302926455</v>
      </c>
      <c r="X21" s="17">
        <f>W21*(1+'Premissas e fontes'!X55)</f>
        <v>1038.431817201425</v>
      </c>
      <c r="Y21" s="17">
        <f>X21*(1+'Premissas e fontes'!Y55)</f>
        <v>1069.5847717174679</v>
      </c>
      <c r="Z21" s="17">
        <f>Y21*(1+'Premissas e fontes'!Z55)</f>
        <v>1101.6723148689919</v>
      </c>
    </row>
    <row r="22" spans="3:26" x14ac:dyDescent="0.25">
      <c r="C22" s="5" t="s">
        <v>40</v>
      </c>
      <c r="D22" s="18">
        <f t="shared" ref="D22:Z22" si="4">SUM(D19:D21)</f>
        <v>2676.2999999999997</v>
      </c>
      <c r="E22" s="18">
        <f t="shared" si="4"/>
        <v>2819.8</v>
      </c>
      <c r="F22" s="18">
        <f t="shared" si="4"/>
        <v>3190</v>
      </c>
      <c r="G22" s="18">
        <f t="shared" si="4"/>
        <v>5123.5000000000009</v>
      </c>
      <c r="H22" s="18">
        <f t="shared" si="4"/>
        <v>6222.2</v>
      </c>
      <c r="I22" s="18">
        <f t="shared" si="4"/>
        <v>7688.3600000000006</v>
      </c>
      <c r="J22" s="18">
        <f t="shared" si="4"/>
        <v>8229.9224907433399</v>
      </c>
      <c r="K22" s="18">
        <f t="shared" si="4"/>
        <v>8712.56147396085</v>
      </c>
      <c r="L22" s="18">
        <f t="shared" si="4"/>
        <v>9026.1341228556448</v>
      </c>
      <c r="M22" s="18">
        <f t="shared" si="4"/>
        <v>9292.9751430459473</v>
      </c>
      <c r="N22" s="18">
        <f t="shared" si="4"/>
        <v>9523.2043189341275</v>
      </c>
      <c r="O22" s="18">
        <f t="shared" si="4"/>
        <v>9731.8877016438328</v>
      </c>
      <c r="P22" s="18">
        <f t="shared" si="4"/>
        <v>10023.844332693146</v>
      </c>
      <c r="Q22" s="18">
        <f t="shared" si="4"/>
        <v>10324.559662673943</v>
      </c>
      <c r="R22" s="18">
        <f t="shared" si="4"/>
        <v>10634.296452554159</v>
      </c>
      <c r="S22" s="18">
        <f t="shared" si="4"/>
        <v>10953.325346130783</v>
      </c>
      <c r="T22" s="18">
        <f t="shared" si="4"/>
        <v>11281.925106514707</v>
      </c>
      <c r="U22" s="18">
        <f t="shared" si="4"/>
        <v>11620.382859710149</v>
      </c>
      <c r="V22" s="18">
        <f t="shared" si="4"/>
        <v>11968.994345501455</v>
      </c>
      <c r="W22" s="18">
        <f t="shared" si="4"/>
        <v>12328.064175866499</v>
      </c>
      <c r="X22" s="18">
        <f t="shared" si="4"/>
        <v>12697.906101142493</v>
      </c>
      <c r="Y22" s="18">
        <f t="shared" si="4"/>
        <v>13078.843284176768</v>
      </c>
      <c r="Z22" s="18">
        <f t="shared" si="4"/>
        <v>13471.208582702073</v>
      </c>
    </row>
    <row r="23" spans="3:26" x14ac:dyDescent="0.25">
      <c r="C23" s="7" t="s">
        <v>41</v>
      </c>
      <c r="E23" s="10">
        <f t="shared" ref="E23:Z23" si="5">E22/D22-1</f>
        <v>5.3618802077495253E-2</v>
      </c>
      <c r="F23" s="10">
        <f t="shared" si="5"/>
        <v>0.13128590680190078</v>
      </c>
      <c r="G23" s="10">
        <f t="shared" si="5"/>
        <v>0.60611285266457715</v>
      </c>
      <c r="H23" s="10">
        <f t="shared" si="5"/>
        <v>0.21444325168341938</v>
      </c>
      <c r="I23" s="10">
        <f t="shared" si="5"/>
        <v>0.23563369869178108</v>
      </c>
      <c r="J23" s="10">
        <f t="shared" si="5"/>
        <v>7.0439273231656552E-2</v>
      </c>
      <c r="K23" s="10">
        <f t="shared" si="5"/>
        <v>5.8644414180128779E-2</v>
      </c>
      <c r="L23" s="10">
        <f t="shared" si="5"/>
        <v>3.5990867878747945E-2</v>
      </c>
      <c r="M23" s="10">
        <f t="shared" si="5"/>
        <v>2.9563157001469387E-2</v>
      </c>
      <c r="N23" s="10">
        <f t="shared" si="5"/>
        <v>2.4774539084015945E-2</v>
      </c>
      <c r="O23" s="10">
        <f t="shared" si="5"/>
        <v>2.191314768861985E-2</v>
      </c>
      <c r="P23" s="10">
        <f t="shared" si="5"/>
        <v>2.9999999999999805E-2</v>
      </c>
      <c r="Q23" s="10">
        <f t="shared" si="5"/>
        <v>3.0000000000000249E-2</v>
      </c>
      <c r="R23" s="10">
        <f t="shared" si="5"/>
        <v>2.9999999999999805E-2</v>
      </c>
      <c r="S23" s="10">
        <f t="shared" si="5"/>
        <v>3.0000000000000027E-2</v>
      </c>
      <c r="T23" s="10">
        <f t="shared" si="5"/>
        <v>3.0000000000000027E-2</v>
      </c>
      <c r="U23" s="10">
        <f t="shared" si="5"/>
        <v>3.0000000000000027E-2</v>
      </c>
      <c r="V23" s="10">
        <f t="shared" si="5"/>
        <v>3.0000000000000027E-2</v>
      </c>
      <c r="W23" s="10">
        <f t="shared" si="5"/>
        <v>3.0000000000000027E-2</v>
      </c>
      <c r="X23" s="10">
        <f t="shared" si="5"/>
        <v>3.0000000000000027E-2</v>
      </c>
      <c r="Y23" s="10">
        <f t="shared" si="5"/>
        <v>3.0000000000000027E-2</v>
      </c>
      <c r="Z23" s="10">
        <f t="shared" si="5"/>
        <v>3.0000000000000027E-2</v>
      </c>
    </row>
    <row r="24" spans="3:26" x14ac:dyDescent="0.25">
      <c r="C24" s="7" t="s">
        <v>42</v>
      </c>
      <c r="D24" s="16">
        <f>'Premissas e fontes'!D9</f>
        <v>2676.3</v>
      </c>
      <c r="E24" s="16">
        <f>'Premissas e fontes'!E9</f>
        <v>2819.9</v>
      </c>
      <c r="F24" s="16">
        <f>'Premissas e fontes'!F9</f>
        <v>3190</v>
      </c>
      <c r="G24" s="16">
        <f>'Premissas e fontes'!G9</f>
        <v>5065.8999999999996</v>
      </c>
      <c r="H24" s="16">
        <f>'Premissas e fontes'!H9</f>
        <v>6237.3</v>
      </c>
      <c r="I24" s="16">
        <f>'Premissas e fontes'!I9</f>
        <v>7543.4</v>
      </c>
    </row>
    <row r="25" spans="3:26" x14ac:dyDescent="0.25">
      <c r="C25" s="7" t="s">
        <v>43</v>
      </c>
      <c r="D25" s="17">
        <f t="shared" ref="D25:I25" si="6">D22-D24</f>
        <v>0</v>
      </c>
      <c r="E25" s="17">
        <f t="shared" si="6"/>
        <v>-9.9999999999909051E-2</v>
      </c>
      <c r="F25" s="17">
        <f t="shared" si="6"/>
        <v>0</v>
      </c>
      <c r="G25" s="17">
        <f t="shared" si="6"/>
        <v>57.600000000001273</v>
      </c>
      <c r="H25" s="17">
        <f t="shared" si="6"/>
        <v>-15.100000000000364</v>
      </c>
      <c r="I25" s="17">
        <f t="shared" si="6"/>
        <v>144.96000000000095</v>
      </c>
    </row>
    <row r="26" spans="3:26" x14ac:dyDescent="0.25">
      <c r="C26" s="7" t="s">
        <v>44</v>
      </c>
      <c r="G26" s="16">
        <f>'Premissas e fontes'!G10</f>
        <v>5126.5</v>
      </c>
      <c r="H26" s="16">
        <f>'Premissas e fontes'!H10</f>
        <v>6219.8</v>
      </c>
      <c r="I26" s="16">
        <f>'Premissas e fontes'!I10</f>
        <v>7693.6</v>
      </c>
    </row>
    <row r="27" spans="3:26" x14ac:dyDescent="0.25">
      <c r="C27" s="7" t="s">
        <v>45</v>
      </c>
      <c r="G27" s="10">
        <f>G22/G26-1</f>
        <v>-5.8519457719674595E-4</v>
      </c>
      <c r="H27" s="10">
        <f>H22/H26-1</f>
        <v>3.8586449725075411E-4</v>
      </c>
      <c r="I27" s="10">
        <f>I22/I26-1</f>
        <v>-6.8108557762291966E-4</v>
      </c>
    </row>
    <row r="29" spans="3:26" x14ac:dyDescent="0.25">
      <c r="C29" s="5" t="s">
        <v>46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3:26" x14ac:dyDescent="0.25">
      <c r="C30" s="7" t="s">
        <v>47</v>
      </c>
      <c r="D30" s="11">
        <f>'Premissas e fontes'!D56</f>
        <v>0.57399999999999995</v>
      </c>
      <c r="E30" s="11">
        <f>'Premissas e fontes'!E56</f>
        <v>0.58499999999999996</v>
      </c>
      <c r="F30" s="11">
        <f>'Premissas e fontes'!F56</f>
        <v>0.58199999999999996</v>
      </c>
      <c r="G30" s="11">
        <f>'Premissas e fontes'!G56</f>
        <v>0.59460000000000002</v>
      </c>
      <c r="H30" s="11">
        <f>'Premissas e fontes'!H56</f>
        <v>0.59509999999999996</v>
      </c>
      <c r="I30" s="11">
        <f>'Premissas e fontes'!I56</f>
        <v>0.60199999999999998</v>
      </c>
      <c r="J30" s="11">
        <f>'Premissas e fontes'!J56</f>
        <v>0.6</v>
      </c>
      <c r="K30" s="11">
        <f>'Premissas e fontes'!K56</f>
        <v>0.6</v>
      </c>
      <c r="L30" s="11">
        <f>'Premissas e fontes'!L56</f>
        <v>0.6</v>
      </c>
      <c r="M30" s="11">
        <f>'Premissas e fontes'!M56</f>
        <v>0.6</v>
      </c>
      <c r="N30" s="11">
        <f>'Premissas e fontes'!N56</f>
        <v>0.6</v>
      </c>
      <c r="O30" s="11">
        <f>'Premissas e fontes'!O56</f>
        <v>0.6</v>
      </c>
      <c r="P30" s="11">
        <f>'Premissas e fontes'!P56</f>
        <v>0.6</v>
      </c>
      <c r="Q30" s="11">
        <f>'Premissas e fontes'!Q56</f>
        <v>0.6</v>
      </c>
      <c r="R30" s="11">
        <f>'Premissas e fontes'!R56</f>
        <v>0.6</v>
      </c>
      <c r="S30" s="11">
        <f>'Premissas e fontes'!S56</f>
        <v>0.6</v>
      </c>
      <c r="T30" s="11">
        <f>'Premissas e fontes'!T56</f>
        <v>0.6</v>
      </c>
      <c r="U30" s="11">
        <f>'Premissas e fontes'!U56</f>
        <v>0.6</v>
      </c>
      <c r="V30" s="11">
        <f>'Premissas e fontes'!V56</f>
        <v>0.6</v>
      </c>
      <c r="W30" s="11">
        <f>'Premissas e fontes'!W56</f>
        <v>0.6</v>
      </c>
      <c r="X30" s="11">
        <f>'Premissas e fontes'!X56</f>
        <v>0.6</v>
      </c>
      <c r="Y30" s="11">
        <f>'Premissas e fontes'!Y56</f>
        <v>0.6</v>
      </c>
      <c r="Z30" s="11">
        <f>'Premissas e fontes'!Z56</f>
        <v>0.6</v>
      </c>
    </row>
    <row r="31" spans="3:26" x14ac:dyDescent="0.25">
      <c r="C31" s="7" t="s">
        <v>48</v>
      </c>
      <c r="D31" s="17">
        <f t="shared" ref="D31:Z31" si="7">D22*D30</f>
        <v>1536.1961999999996</v>
      </c>
      <c r="E31" s="17">
        <f t="shared" si="7"/>
        <v>1649.5830000000001</v>
      </c>
      <c r="F31" s="17">
        <f t="shared" si="7"/>
        <v>1856.58</v>
      </c>
      <c r="G31" s="17">
        <f t="shared" si="7"/>
        <v>3046.4331000000006</v>
      </c>
      <c r="H31" s="17">
        <f t="shared" si="7"/>
        <v>3702.8312199999996</v>
      </c>
      <c r="I31" s="17">
        <f t="shared" si="7"/>
        <v>4628.3927199999998</v>
      </c>
      <c r="J31" s="17">
        <f t="shared" si="7"/>
        <v>4937.9534944460038</v>
      </c>
      <c r="K31" s="17">
        <f t="shared" si="7"/>
        <v>5227.53688437651</v>
      </c>
      <c r="L31" s="17">
        <f t="shared" si="7"/>
        <v>5415.6804737133871</v>
      </c>
      <c r="M31" s="17">
        <f t="shared" si="7"/>
        <v>5575.7850858275679</v>
      </c>
      <c r="N31" s="17">
        <f t="shared" si="7"/>
        <v>5713.922591360476</v>
      </c>
      <c r="O31" s="17">
        <f t="shared" si="7"/>
        <v>5839.1326209862991</v>
      </c>
      <c r="P31" s="17">
        <f t="shared" si="7"/>
        <v>6014.3065996158875</v>
      </c>
      <c r="Q31" s="17">
        <f t="shared" si="7"/>
        <v>6194.735797604365</v>
      </c>
      <c r="R31" s="17">
        <f t="shared" si="7"/>
        <v>6380.577871532495</v>
      </c>
      <c r="S31" s="17">
        <f t="shared" si="7"/>
        <v>6571.9952076784693</v>
      </c>
      <c r="T31" s="17">
        <f t="shared" si="7"/>
        <v>6769.1550639088246</v>
      </c>
      <c r="U31" s="17">
        <f t="shared" si="7"/>
        <v>6972.229715826089</v>
      </c>
      <c r="V31" s="17">
        <f t="shared" si="7"/>
        <v>7181.3966073008723</v>
      </c>
      <c r="W31" s="17">
        <f t="shared" si="7"/>
        <v>7396.8385055198987</v>
      </c>
      <c r="X31" s="17">
        <f t="shared" si="7"/>
        <v>7618.7436606854953</v>
      </c>
      <c r="Y31" s="17">
        <f t="shared" si="7"/>
        <v>7847.3059705060605</v>
      </c>
      <c r="Z31" s="17">
        <f t="shared" si="7"/>
        <v>8082.725149621243</v>
      </c>
    </row>
    <row r="32" spans="3:26" x14ac:dyDescent="0.25">
      <c r="C32" s="7" t="s">
        <v>49</v>
      </c>
      <c r="D32" s="17">
        <f t="shared" ref="D32:Z32" si="8">-D22*D33</f>
        <v>-943.23619999999971</v>
      </c>
      <c r="E32" s="17">
        <f t="shared" si="8"/>
        <v>-997.32713128125113</v>
      </c>
      <c r="F32" s="17">
        <f t="shared" si="8"/>
        <v>-1090.78</v>
      </c>
      <c r="G32" s="17">
        <f t="shared" si="8"/>
        <v>-1325.9618</v>
      </c>
      <c r="H32" s="17">
        <f t="shared" si="8"/>
        <v>-1451.6392599999999</v>
      </c>
      <c r="I32" s="17">
        <f t="shared" si="8"/>
        <v>-1598.4100440000002</v>
      </c>
      <c r="J32" s="17">
        <f t="shared" si="8"/>
        <v>-1773.7128952050045</v>
      </c>
      <c r="K32" s="17">
        <f t="shared" si="8"/>
        <v>-1944.120967299624</v>
      </c>
      <c r="L32" s="17">
        <f t="shared" si="8"/>
        <v>-2082.8707101901687</v>
      </c>
      <c r="M32" s="17">
        <f t="shared" si="8"/>
        <v>-2215.259414599293</v>
      </c>
      <c r="N32" s="17">
        <f t="shared" si="8"/>
        <v>-2342.7082624577952</v>
      </c>
      <c r="O32" s="17">
        <f t="shared" si="8"/>
        <v>-2394.0443746043829</v>
      </c>
      <c r="P32" s="17">
        <f t="shared" si="8"/>
        <v>-2465.8657058425142</v>
      </c>
      <c r="Q32" s="17">
        <f t="shared" si="8"/>
        <v>-2539.8416770177896</v>
      </c>
      <c r="R32" s="17">
        <f t="shared" si="8"/>
        <v>-2616.0369273283231</v>
      </c>
      <c r="S32" s="17">
        <f t="shared" si="8"/>
        <v>-2694.5180351481727</v>
      </c>
      <c r="T32" s="17">
        <f t="shared" si="8"/>
        <v>-2775.3535762026181</v>
      </c>
      <c r="U32" s="17">
        <f t="shared" si="8"/>
        <v>-2858.6141834886967</v>
      </c>
      <c r="V32" s="17">
        <f t="shared" si="8"/>
        <v>-2944.372608993358</v>
      </c>
      <c r="W32" s="17">
        <f t="shared" si="8"/>
        <v>-3032.7037872631586</v>
      </c>
      <c r="X32" s="17">
        <f t="shared" si="8"/>
        <v>-3123.6849008810532</v>
      </c>
      <c r="Y32" s="17">
        <f t="shared" si="8"/>
        <v>-3217.395447907485</v>
      </c>
      <c r="Z32" s="17">
        <f t="shared" si="8"/>
        <v>-3313.91731134471</v>
      </c>
    </row>
    <row r="33" spans="3:26" x14ac:dyDescent="0.25">
      <c r="C33" s="7" t="s">
        <v>50</v>
      </c>
      <c r="D33" s="11">
        <f>'Premissas e fontes'!D58</f>
        <v>0.35244038411239392</v>
      </c>
      <c r="E33" s="11">
        <f>'Premissas e fontes'!E58</f>
        <v>0.35368718748891803</v>
      </c>
      <c r="F33" s="11">
        <f>'Premissas e fontes'!F58</f>
        <v>0.34193730407523509</v>
      </c>
      <c r="G33" s="11">
        <f>'Premissas e fontes'!G58</f>
        <v>0.25879999999999997</v>
      </c>
      <c r="H33" s="11">
        <f>'Premissas e fontes'!H58</f>
        <v>0.23330000000000001</v>
      </c>
      <c r="I33" s="11">
        <f>'Premissas e fontes'!I58</f>
        <v>0.2079</v>
      </c>
      <c r="J33" s="11">
        <f>'Premissas e fontes'!J58</f>
        <v>0.21551999999999999</v>
      </c>
      <c r="K33" s="11">
        <f>'Premissas e fontes'!K58</f>
        <v>0.22314000000000001</v>
      </c>
      <c r="L33" s="11">
        <f>'Premissas e fontes'!L58</f>
        <v>0.23075999999999999</v>
      </c>
      <c r="M33" s="11">
        <f>'Premissas e fontes'!M58</f>
        <v>0.23838000000000001</v>
      </c>
      <c r="N33" s="11">
        <f>'Premissas e fontes'!N58</f>
        <v>0.246</v>
      </c>
      <c r="O33" s="11">
        <f>'Premissas e fontes'!O58</f>
        <v>0.246</v>
      </c>
      <c r="P33" s="11">
        <f>'Premissas e fontes'!P58</f>
        <v>0.246</v>
      </c>
      <c r="Q33" s="11">
        <f>'Premissas e fontes'!Q58</f>
        <v>0.246</v>
      </c>
      <c r="R33" s="11">
        <f>'Premissas e fontes'!R58</f>
        <v>0.246</v>
      </c>
      <c r="S33" s="11">
        <f>'Premissas e fontes'!S58</f>
        <v>0.246</v>
      </c>
      <c r="T33" s="11">
        <f>'Premissas e fontes'!T58</f>
        <v>0.246</v>
      </c>
      <c r="U33" s="11">
        <f>'Premissas e fontes'!U58</f>
        <v>0.246</v>
      </c>
      <c r="V33" s="11">
        <f>'Premissas e fontes'!V58</f>
        <v>0.246</v>
      </c>
      <c r="W33" s="11">
        <f>'Premissas e fontes'!W58</f>
        <v>0.246</v>
      </c>
      <c r="X33" s="11">
        <f>'Premissas e fontes'!X58</f>
        <v>0.246</v>
      </c>
      <c r="Y33" s="11">
        <f>'Premissas e fontes'!Y58</f>
        <v>0.246</v>
      </c>
      <c r="Z33" s="11">
        <f>'Premissas e fontes'!Z58</f>
        <v>0.246</v>
      </c>
    </row>
    <row r="34" spans="3:26" x14ac:dyDescent="0.25">
      <c r="C34" s="7" t="s">
        <v>51</v>
      </c>
      <c r="D34" s="17">
        <f>-D22*'Premissas e fontes'!D57</f>
        <v>-57.699999999999996</v>
      </c>
      <c r="E34" s="17">
        <f>-E22*'Premissas e fontes'!E57</f>
        <v>-60.097868718748892</v>
      </c>
      <c r="F34" s="17">
        <f>-F22*'Premissas e fontes'!F57</f>
        <v>-64</v>
      </c>
      <c r="G34" s="17">
        <f>-G22*'Premissas e fontes'!G57</f>
        <v>-71.729000000000013</v>
      </c>
      <c r="H34" s="17">
        <f>-H22*'Premissas e fontes'!H57</f>
        <v>-87.110799999999998</v>
      </c>
      <c r="I34" s="17">
        <f>-I22*'Premissas e fontes'!I57</f>
        <v>-107.63704000000001</v>
      </c>
      <c r="J34" s="17">
        <f>-J22*'Premissas e fontes'!J57</f>
        <v>-115.21891487040676</v>
      </c>
      <c r="K34" s="17">
        <f>-K22*'Premissas e fontes'!K57</f>
        <v>-121.97586063545191</v>
      </c>
      <c r="L34" s="17">
        <f>-L22*'Premissas e fontes'!L57</f>
        <v>-126.36587771997903</v>
      </c>
      <c r="M34" s="17">
        <f>-M22*'Premissas e fontes'!M57</f>
        <v>-130.10165200264328</v>
      </c>
      <c r="N34" s="17">
        <f>-N22*'Premissas e fontes'!N57</f>
        <v>-133.32486046507779</v>
      </c>
      <c r="O34" s="17">
        <f>-O22*'Premissas e fontes'!O57</f>
        <v>-136.24642782301368</v>
      </c>
      <c r="P34" s="17">
        <f>-P22*'Premissas e fontes'!P57</f>
        <v>-140.33382065770405</v>
      </c>
      <c r="Q34" s="17">
        <f>-Q22*'Premissas e fontes'!Q57</f>
        <v>-144.54383527743519</v>
      </c>
      <c r="R34" s="17">
        <f>-R22*'Premissas e fontes'!R57</f>
        <v>-148.88015033575823</v>
      </c>
      <c r="S34" s="17">
        <f>-S22*'Premissas e fontes'!S57</f>
        <v>-153.34655484583098</v>
      </c>
      <c r="T34" s="17">
        <f>-T22*'Premissas e fontes'!T57</f>
        <v>-157.94695149120591</v>
      </c>
      <c r="U34" s="17">
        <f>-U22*'Premissas e fontes'!U57</f>
        <v>-162.6853600359421</v>
      </c>
      <c r="V34" s="17">
        <f>-V22*'Premissas e fontes'!V57</f>
        <v>-167.56592083702037</v>
      </c>
      <c r="W34" s="17">
        <f>-W22*'Premissas e fontes'!W57</f>
        <v>-172.59289846213099</v>
      </c>
      <c r="X34" s="17">
        <f>-X22*'Premissas e fontes'!X57</f>
        <v>-177.7706854159949</v>
      </c>
      <c r="Y34" s="17">
        <f>-Y22*'Premissas e fontes'!Y57</f>
        <v>-183.10380597847475</v>
      </c>
      <c r="Z34" s="17">
        <f>-Z22*'Premissas e fontes'!Z57</f>
        <v>-188.59692015782903</v>
      </c>
    </row>
    <row r="35" spans="3:26" x14ac:dyDescent="0.25">
      <c r="C35" s="19" t="s">
        <v>52</v>
      </c>
      <c r="D35" s="20">
        <f t="shared" ref="D35:Z35" si="9">SUM(D31:D32,D34)</f>
        <v>535.25999999999988</v>
      </c>
      <c r="E35" s="20">
        <f t="shared" si="9"/>
        <v>592.15800000000002</v>
      </c>
      <c r="F35" s="20">
        <f t="shared" si="9"/>
        <v>701.8</v>
      </c>
      <c r="G35" s="20">
        <f t="shared" si="9"/>
        <v>1648.7423000000006</v>
      </c>
      <c r="H35" s="20">
        <f t="shared" si="9"/>
        <v>2164.0811599999997</v>
      </c>
      <c r="I35" s="20">
        <f t="shared" si="9"/>
        <v>2922.3456359999996</v>
      </c>
      <c r="J35" s="20">
        <f t="shared" si="9"/>
        <v>3049.0216843705925</v>
      </c>
      <c r="K35" s="20">
        <f t="shared" si="9"/>
        <v>3161.4400564414345</v>
      </c>
      <c r="L35" s="20">
        <f t="shared" si="9"/>
        <v>3206.4438858032395</v>
      </c>
      <c r="M35" s="20">
        <f t="shared" si="9"/>
        <v>3230.4240192256316</v>
      </c>
      <c r="N35" s="20">
        <f t="shared" si="9"/>
        <v>3237.8894684376028</v>
      </c>
      <c r="O35" s="20">
        <f t="shared" si="9"/>
        <v>3308.8418185589026</v>
      </c>
      <c r="P35" s="20">
        <f t="shared" si="9"/>
        <v>3408.1070731156692</v>
      </c>
      <c r="Q35" s="20">
        <f t="shared" si="9"/>
        <v>3510.35028530914</v>
      </c>
      <c r="R35" s="20">
        <f t="shared" si="9"/>
        <v>3615.6607938684137</v>
      </c>
      <c r="S35" s="20">
        <f t="shared" si="9"/>
        <v>3724.1306176844655</v>
      </c>
      <c r="T35" s="20">
        <f t="shared" si="9"/>
        <v>3835.8545362150007</v>
      </c>
      <c r="U35" s="20">
        <f t="shared" si="9"/>
        <v>3950.9301723014501</v>
      </c>
      <c r="V35" s="20">
        <f t="shared" si="9"/>
        <v>4069.4580774704941</v>
      </c>
      <c r="W35" s="20">
        <f t="shared" si="9"/>
        <v>4191.5418197946092</v>
      </c>
      <c r="X35" s="20">
        <f t="shared" si="9"/>
        <v>4317.2880743884471</v>
      </c>
      <c r="Y35" s="20">
        <f t="shared" si="9"/>
        <v>4446.8067166200999</v>
      </c>
      <c r="Z35" s="20">
        <f t="shared" si="9"/>
        <v>4580.2109181187034</v>
      </c>
    </row>
    <row r="36" spans="3:26" x14ac:dyDescent="0.25">
      <c r="C36" s="7" t="s">
        <v>53</v>
      </c>
      <c r="D36" s="10">
        <f t="shared" ref="D36:Z36" si="10">D35/D22</f>
        <v>0.19999999999999998</v>
      </c>
      <c r="E36" s="10">
        <f t="shared" si="10"/>
        <v>0.21</v>
      </c>
      <c r="F36" s="10">
        <f t="shared" si="10"/>
        <v>0.21999999999999997</v>
      </c>
      <c r="G36" s="10">
        <f t="shared" si="10"/>
        <v>0.32180000000000003</v>
      </c>
      <c r="H36" s="10">
        <f t="shared" si="10"/>
        <v>0.34779999999999994</v>
      </c>
      <c r="I36" s="10">
        <f t="shared" si="10"/>
        <v>0.38009999999999994</v>
      </c>
      <c r="J36" s="10">
        <f t="shared" si="10"/>
        <v>0.37047999999999998</v>
      </c>
      <c r="K36" s="10">
        <f t="shared" si="10"/>
        <v>0.36286000000000007</v>
      </c>
      <c r="L36" s="10">
        <f t="shared" si="10"/>
        <v>0.35524</v>
      </c>
      <c r="M36" s="10">
        <f t="shared" si="10"/>
        <v>0.34761999999999993</v>
      </c>
      <c r="N36" s="10">
        <f t="shared" si="10"/>
        <v>0.33999999999999991</v>
      </c>
      <c r="O36" s="10">
        <f t="shared" si="10"/>
        <v>0.33999999999999991</v>
      </c>
      <c r="P36" s="10">
        <f t="shared" si="10"/>
        <v>0.33999999999999991</v>
      </c>
      <c r="Q36" s="10">
        <f t="shared" si="10"/>
        <v>0.33999999999999997</v>
      </c>
      <c r="R36" s="10">
        <f t="shared" si="10"/>
        <v>0.33999999999999997</v>
      </c>
      <c r="S36" s="10">
        <f t="shared" si="10"/>
        <v>0.33999999999999991</v>
      </c>
      <c r="T36" s="10">
        <f t="shared" si="10"/>
        <v>0.34</v>
      </c>
      <c r="U36" s="10">
        <f t="shared" si="10"/>
        <v>0.33999999999999997</v>
      </c>
      <c r="V36" s="10">
        <f t="shared" si="10"/>
        <v>0.33999999999999997</v>
      </c>
      <c r="W36" s="10">
        <f t="shared" si="10"/>
        <v>0.33999999999999997</v>
      </c>
      <c r="X36" s="10">
        <f t="shared" si="10"/>
        <v>0.33999999999999997</v>
      </c>
      <c r="Y36" s="10">
        <f t="shared" si="10"/>
        <v>0.33999999999999991</v>
      </c>
      <c r="Z36" s="10">
        <f t="shared" si="10"/>
        <v>0.33999999999999991</v>
      </c>
    </row>
    <row r="37" spans="3:26" x14ac:dyDescent="0.25">
      <c r="C37" s="7" t="s">
        <v>54</v>
      </c>
      <c r="D37" s="11">
        <f>'Premissas e fontes'!D59</f>
        <v>0.14599999999999999</v>
      </c>
      <c r="E37" s="11">
        <f>'Premissas e fontes'!E59</f>
        <v>9.8000000000000004E-2</v>
      </c>
      <c r="F37" s="11">
        <f>'Premissas e fontes'!F59</f>
        <v>0.121</v>
      </c>
      <c r="G37" s="11">
        <f>'Premissas e fontes'!G59</f>
        <v>0.15</v>
      </c>
      <c r="H37" s="11">
        <f>'Premissas e fontes'!H59</f>
        <v>0.15</v>
      </c>
      <c r="I37" s="11">
        <f>'Premissas e fontes'!I59</f>
        <v>0.155</v>
      </c>
      <c r="J37" s="11">
        <f>'Premissas e fontes'!J59</f>
        <v>0.16</v>
      </c>
      <c r="K37" s="11">
        <f>'Premissas e fontes'!K59</f>
        <v>0.16</v>
      </c>
      <c r="L37" s="11">
        <f>'Premissas e fontes'!L59</f>
        <v>0.16</v>
      </c>
      <c r="M37" s="11">
        <f>'Premissas e fontes'!M59</f>
        <v>0.16</v>
      </c>
      <c r="N37" s="11">
        <f>'Premissas e fontes'!N59</f>
        <v>0.16</v>
      </c>
      <c r="O37" s="11">
        <f>'Premissas e fontes'!O59</f>
        <v>0.16</v>
      </c>
      <c r="P37" s="11">
        <f>'Premissas e fontes'!P59</f>
        <v>0.16</v>
      </c>
      <c r="Q37" s="11">
        <f>'Premissas e fontes'!Q59</f>
        <v>0.16</v>
      </c>
      <c r="R37" s="11">
        <f>'Premissas e fontes'!R59</f>
        <v>0.16</v>
      </c>
      <c r="S37" s="11">
        <f>'Premissas e fontes'!S59</f>
        <v>0.16</v>
      </c>
      <c r="T37" s="11">
        <f>'Premissas e fontes'!T59</f>
        <v>0.16</v>
      </c>
      <c r="U37" s="11">
        <f>'Premissas e fontes'!U59</f>
        <v>0.16</v>
      </c>
      <c r="V37" s="11">
        <f>'Premissas e fontes'!V59</f>
        <v>0.16</v>
      </c>
      <c r="W37" s="11">
        <f>'Premissas e fontes'!W59</f>
        <v>0.16</v>
      </c>
      <c r="X37" s="11">
        <f>'Premissas e fontes'!X59</f>
        <v>0.16</v>
      </c>
      <c r="Y37" s="11">
        <f>'Premissas e fontes'!Y59</f>
        <v>0.16</v>
      </c>
      <c r="Z37" s="11">
        <f>'Premissas e fontes'!Z59</f>
        <v>0.16</v>
      </c>
    </row>
    <row r="38" spans="3:26" x14ac:dyDescent="0.25">
      <c r="C38" s="7" t="s">
        <v>55</v>
      </c>
      <c r="D38" s="17">
        <f t="shared" ref="D38:Z38" si="11">D35*(1-D37)</f>
        <v>457.11203999999987</v>
      </c>
      <c r="E38" s="17">
        <f t="shared" si="11"/>
        <v>534.12651600000004</v>
      </c>
      <c r="F38" s="17">
        <f t="shared" si="11"/>
        <v>616.88220000000001</v>
      </c>
      <c r="G38" s="17">
        <f t="shared" si="11"/>
        <v>1401.4309550000005</v>
      </c>
      <c r="H38" s="17">
        <f t="shared" si="11"/>
        <v>1839.4689859999996</v>
      </c>
      <c r="I38" s="17">
        <f t="shared" si="11"/>
        <v>2469.3820624199993</v>
      </c>
      <c r="J38" s="17">
        <f t="shared" si="11"/>
        <v>2561.1782148712978</v>
      </c>
      <c r="K38" s="17">
        <f t="shared" si="11"/>
        <v>2655.6096474108049</v>
      </c>
      <c r="L38" s="17">
        <f t="shared" si="11"/>
        <v>2693.4128640747213</v>
      </c>
      <c r="M38" s="17">
        <f t="shared" si="11"/>
        <v>2713.5561761495305</v>
      </c>
      <c r="N38" s="17">
        <f t="shared" si="11"/>
        <v>2719.8271534875862</v>
      </c>
      <c r="O38" s="17">
        <f t="shared" si="11"/>
        <v>2779.427127589478</v>
      </c>
      <c r="P38" s="17">
        <f t="shared" si="11"/>
        <v>2862.809941417162</v>
      </c>
      <c r="Q38" s="17">
        <f t="shared" si="11"/>
        <v>2948.6942396596774</v>
      </c>
      <c r="R38" s="17">
        <f t="shared" si="11"/>
        <v>3037.1550668494674</v>
      </c>
      <c r="S38" s="17">
        <f t="shared" si="11"/>
        <v>3128.269718854951</v>
      </c>
      <c r="T38" s="17">
        <f t="shared" si="11"/>
        <v>3222.1178104206006</v>
      </c>
      <c r="U38" s="17">
        <f t="shared" si="11"/>
        <v>3318.7813447332178</v>
      </c>
      <c r="V38" s="17">
        <f t="shared" si="11"/>
        <v>3418.344785075215</v>
      </c>
      <c r="W38" s="17">
        <f t="shared" si="11"/>
        <v>3520.8951286274714</v>
      </c>
      <c r="X38" s="17">
        <f t="shared" si="11"/>
        <v>3626.5219824862952</v>
      </c>
      <c r="Y38" s="17">
        <f t="shared" si="11"/>
        <v>3735.317641960884</v>
      </c>
      <c r="Z38" s="17">
        <f t="shared" si="11"/>
        <v>3847.3771712197108</v>
      </c>
    </row>
    <row r="39" spans="3:26" x14ac:dyDescent="0.25">
      <c r="C39" s="7" t="s">
        <v>56</v>
      </c>
      <c r="D39" s="17">
        <f>D22*'Premissas e fontes'!D60</f>
        <v>92.09999999999998</v>
      </c>
      <c r="E39" s="17">
        <f>E22*'Premissas e fontes'!E60</f>
        <v>100.99641831270613</v>
      </c>
      <c r="F39" s="17">
        <f>F22*'Premissas e fontes'!F60</f>
        <v>111.39999999999999</v>
      </c>
      <c r="G39" s="17">
        <f>G22*'Premissas e fontes'!G60</f>
        <v>122.96400000000003</v>
      </c>
      <c r="H39" s="17">
        <f>H22*'Premissas e fontes'!H60</f>
        <v>149.33279999999999</v>
      </c>
      <c r="I39" s="17">
        <f>I22*'Premissas e fontes'!I60</f>
        <v>184.52064000000001</v>
      </c>
      <c r="J39" s="17">
        <f>J22*'Premissas e fontes'!J60</f>
        <v>197.51813977784016</v>
      </c>
      <c r="K39" s="17">
        <f>K22*'Premissas e fontes'!K60</f>
        <v>209.1014753750604</v>
      </c>
      <c r="L39" s="17">
        <f>L22*'Premissas e fontes'!L60</f>
        <v>216.62721894853547</v>
      </c>
      <c r="M39" s="17">
        <f>M22*'Premissas e fontes'!M60</f>
        <v>223.03140343310275</v>
      </c>
      <c r="N39" s="17">
        <f>N22*'Premissas e fontes'!N60</f>
        <v>228.55690365441907</v>
      </c>
      <c r="O39" s="17">
        <f>O22*'Premissas e fontes'!O60</f>
        <v>233.56530483945198</v>
      </c>
      <c r="P39" s="17">
        <f>P22*'Premissas e fontes'!P60</f>
        <v>240.57226398463553</v>
      </c>
      <c r="Q39" s="17">
        <f>Q22*'Premissas e fontes'!Q60</f>
        <v>247.78943190417462</v>
      </c>
      <c r="R39" s="17">
        <f>R22*'Premissas e fontes'!R60</f>
        <v>255.22311486129982</v>
      </c>
      <c r="S39" s="17">
        <f>S22*'Premissas e fontes'!S60</f>
        <v>262.87980830713877</v>
      </c>
      <c r="T39" s="17">
        <f>T22*'Premissas e fontes'!T60</f>
        <v>270.76620255635299</v>
      </c>
      <c r="U39" s="17">
        <f>U22*'Premissas e fontes'!U60</f>
        <v>278.8891886330436</v>
      </c>
      <c r="V39" s="17">
        <f>V22*'Premissas e fontes'!V60</f>
        <v>287.25586429203491</v>
      </c>
      <c r="W39" s="17">
        <f>W22*'Premissas e fontes'!W60</f>
        <v>295.87354022079597</v>
      </c>
      <c r="X39" s="17">
        <f>X22*'Premissas e fontes'!X60</f>
        <v>304.74974642741984</v>
      </c>
      <c r="Y39" s="17">
        <f>Y22*'Premissas e fontes'!Y60</f>
        <v>313.89223882024243</v>
      </c>
      <c r="Z39" s="17">
        <f>Z22*'Premissas e fontes'!Z60</f>
        <v>323.30900598484976</v>
      </c>
    </row>
    <row r="40" spans="3:26" x14ac:dyDescent="0.25">
      <c r="C40" s="7" t="s">
        <v>57</v>
      </c>
      <c r="D40" s="17">
        <f>-D22*'Premissas e fontes'!D61</f>
        <v>-159.59999999999997</v>
      </c>
      <c r="E40" s="17">
        <f>-E22*'Premissas e fontes'!E61</f>
        <v>-198.09297492818894</v>
      </c>
      <c r="F40" s="17">
        <f>-F22*'Premissas e fontes'!F61</f>
        <v>-224</v>
      </c>
      <c r="G40" s="17">
        <f>-G22*'Premissas e fontes'!G61</f>
        <v>-353.52150000000012</v>
      </c>
      <c r="H40" s="17">
        <f>-H22*'Premissas e fontes'!H61</f>
        <v>-379.55419999999998</v>
      </c>
      <c r="I40" s="17">
        <f>-I22*'Premissas e fontes'!I61</f>
        <v>-430.54816000000005</v>
      </c>
      <c r="J40" s="17">
        <f>-J22*'Premissas e fontes'!J61</f>
        <v>-411.49612453716702</v>
      </c>
      <c r="K40" s="17">
        <f>-K22*'Premissas e fontes'!K61</f>
        <v>-435.6280736980425</v>
      </c>
      <c r="L40" s="17">
        <f>-L22*'Premissas e fontes'!L61</f>
        <v>-451.30670614278228</v>
      </c>
      <c r="M40" s="17">
        <f>-M22*'Premissas e fontes'!M61</f>
        <v>-464.64875715229738</v>
      </c>
      <c r="N40" s="17">
        <f>-N22*'Premissas e fontes'!N61</f>
        <v>-476.16021594670639</v>
      </c>
      <c r="O40" s="17">
        <f>-O22*'Premissas e fontes'!O61</f>
        <v>-486.59438508219165</v>
      </c>
      <c r="P40" s="17">
        <f>-P22*'Premissas e fontes'!P61</f>
        <v>-501.19221663465737</v>
      </c>
      <c r="Q40" s="17">
        <f>-Q22*'Premissas e fontes'!Q61</f>
        <v>-516.22798313369719</v>
      </c>
      <c r="R40" s="17">
        <f>-R22*'Premissas e fontes'!R61</f>
        <v>-531.71482262770803</v>
      </c>
      <c r="S40" s="17">
        <f>-S22*'Premissas e fontes'!S61</f>
        <v>-547.66626730653923</v>
      </c>
      <c r="T40" s="17">
        <f>-T22*'Premissas e fontes'!T61</f>
        <v>-564.09625532573534</v>
      </c>
      <c r="U40" s="17">
        <f>-U22*'Premissas e fontes'!U61</f>
        <v>-581.01914298550753</v>
      </c>
      <c r="V40" s="17">
        <f>-V22*'Premissas e fontes'!V61</f>
        <v>-598.44971727507277</v>
      </c>
      <c r="W40" s="17">
        <f>-W22*'Premissas e fontes'!W61</f>
        <v>-616.40320879332501</v>
      </c>
      <c r="X40" s="17">
        <f>-X22*'Premissas e fontes'!X61</f>
        <v>-634.89530505712469</v>
      </c>
      <c r="Y40" s="17">
        <f>-Y22*'Premissas e fontes'!Y61</f>
        <v>-653.94216420883845</v>
      </c>
      <c r="Z40" s="17">
        <f>-Z22*'Premissas e fontes'!Z61</f>
        <v>-673.56042913510373</v>
      </c>
    </row>
    <row r="41" spans="3:26" x14ac:dyDescent="0.25">
      <c r="C41" s="7" t="s">
        <v>58</v>
      </c>
      <c r="F41" s="17">
        <f>F22*'Premissas e fontes'!F62</f>
        <v>897.30000000000007</v>
      </c>
      <c r="G41" s="17">
        <f>G22*'Premissas e fontes'!G62</f>
        <v>1280.8750000000002</v>
      </c>
      <c r="H41" s="17">
        <f>H22*'Premissas e fontes'!H62</f>
        <v>1555.55</v>
      </c>
      <c r="I41" s="17">
        <f>I22*'Premissas e fontes'!I62</f>
        <v>1922.0900000000001</v>
      </c>
      <c r="J41" s="17">
        <f>J22*'Premissas e fontes'!J62</f>
        <v>2057.480622685835</v>
      </c>
      <c r="K41" s="17">
        <f>K22*'Premissas e fontes'!K62</f>
        <v>2178.1403684902125</v>
      </c>
      <c r="L41" s="17">
        <f>L22*'Premissas e fontes'!L62</f>
        <v>2256.5335307139112</v>
      </c>
      <c r="M41" s="17">
        <f>M22*'Premissas e fontes'!M62</f>
        <v>2323.2437857614868</v>
      </c>
      <c r="N41" s="17">
        <f>N22*'Premissas e fontes'!N62</f>
        <v>2380.8010797335319</v>
      </c>
      <c r="O41" s="17">
        <f>O22*'Premissas e fontes'!O62</f>
        <v>2432.9719254109582</v>
      </c>
      <c r="P41" s="17">
        <f>P22*'Premissas e fontes'!P62</f>
        <v>2505.9610831732866</v>
      </c>
      <c r="Q41" s="17">
        <f>Q22*'Premissas e fontes'!Q62</f>
        <v>2581.1399156684856</v>
      </c>
      <c r="R41" s="17">
        <f>R22*'Premissas e fontes'!R62</f>
        <v>2658.5741131385398</v>
      </c>
      <c r="S41" s="17">
        <f>S22*'Premissas e fontes'!S62</f>
        <v>2738.3313365326958</v>
      </c>
      <c r="T41" s="17">
        <f>T22*'Premissas e fontes'!T62</f>
        <v>2820.4812766286768</v>
      </c>
      <c r="U41" s="17">
        <f>U22*'Premissas e fontes'!U62</f>
        <v>2905.0957149275373</v>
      </c>
      <c r="V41" s="17">
        <f>V22*'Premissas e fontes'!V62</f>
        <v>2992.2485863753636</v>
      </c>
      <c r="W41" s="17">
        <f>W22*'Premissas e fontes'!W62</f>
        <v>3082.0160439666247</v>
      </c>
      <c r="X41" s="17">
        <f>X22*'Premissas e fontes'!X62</f>
        <v>3174.4765252856232</v>
      </c>
      <c r="Y41" s="17">
        <f>Y22*'Premissas e fontes'!Y62</f>
        <v>3269.710821044192</v>
      </c>
      <c r="Z41" s="17">
        <f>Z22*'Premissas e fontes'!Z62</f>
        <v>3367.8021456755182</v>
      </c>
    </row>
    <row r="42" spans="3:26" x14ac:dyDescent="0.25">
      <c r="C42" s="7" t="s">
        <v>59</v>
      </c>
      <c r="G42" s="17">
        <f t="shared" ref="G42:Z42" si="12">-(G41-F41)</f>
        <v>-383.57500000000016</v>
      </c>
      <c r="H42" s="17">
        <f t="shared" si="12"/>
        <v>-274.67499999999973</v>
      </c>
      <c r="I42" s="17">
        <f t="shared" si="12"/>
        <v>-366.54000000000019</v>
      </c>
      <c r="J42" s="17">
        <f t="shared" si="12"/>
        <v>-135.39062268583484</v>
      </c>
      <c r="K42" s="17">
        <f t="shared" si="12"/>
        <v>-120.65974580437751</v>
      </c>
      <c r="L42" s="17">
        <f t="shared" si="12"/>
        <v>-78.39316222369871</v>
      </c>
      <c r="M42" s="17">
        <f t="shared" si="12"/>
        <v>-66.710255047575629</v>
      </c>
      <c r="N42" s="17">
        <f t="shared" si="12"/>
        <v>-57.557293972045045</v>
      </c>
      <c r="O42" s="17">
        <f t="shared" si="12"/>
        <v>-52.170845677426314</v>
      </c>
      <c r="P42" s="17">
        <f t="shared" si="12"/>
        <v>-72.989157762328432</v>
      </c>
      <c r="Q42" s="17">
        <f t="shared" si="12"/>
        <v>-75.178832495199003</v>
      </c>
      <c r="R42" s="17">
        <f t="shared" si="12"/>
        <v>-77.434197470054187</v>
      </c>
      <c r="S42" s="17">
        <f t="shared" si="12"/>
        <v>-79.757223394155972</v>
      </c>
      <c r="T42" s="17">
        <f t="shared" si="12"/>
        <v>-82.149940095981037</v>
      </c>
      <c r="U42" s="17">
        <f t="shared" si="12"/>
        <v>-84.614438298860478</v>
      </c>
      <c r="V42" s="17">
        <f t="shared" si="12"/>
        <v>-87.152871447826328</v>
      </c>
      <c r="W42" s="17">
        <f t="shared" si="12"/>
        <v>-89.767457591261063</v>
      </c>
      <c r="X42" s="17">
        <f t="shared" si="12"/>
        <v>-92.460481318998518</v>
      </c>
      <c r="Y42" s="17">
        <f t="shared" si="12"/>
        <v>-95.234295758568805</v>
      </c>
      <c r="Z42" s="17">
        <f t="shared" si="12"/>
        <v>-98.091324631326188</v>
      </c>
    </row>
    <row r="43" spans="3:26" x14ac:dyDescent="0.25">
      <c r="C43" s="19" t="s">
        <v>60</v>
      </c>
      <c r="G43" s="20">
        <f t="shared" ref="G43:Z43" si="13">SUM(G38:G40,G42)</f>
        <v>787.29845500000022</v>
      </c>
      <c r="H43" s="20">
        <f t="shared" si="13"/>
        <v>1334.5725859999998</v>
      </c>
      <c r="I43" s="20">
        <f t="shared" si="13"/>
        <v>1856.814542419999</v>
      </c>
      <c r="J43" s="20">
        <f t="shared" si="13"/>
        <v>2211.8096074261362</v>
      </c>
      <c r="K43" s="20">
        <f t="shared" si="13"/>
        <v>2308.4233032834454</v>
      </c>
      <c r="L43" s="20">
        <f t="shared" si="13"/>
        <v>2380.3402146567755</v>
      </c>
      <c r="M43" s="20">
        <f t="shared" si="13"/>
        <v>2405.22856738276</v>
      </c>
      <c r="N43" s="20">
        <f t="shared" si="13"/>
        <v>2414.6665472232535</v>
      </c>
      <c r="O43" s="20">
        <f t="shared" si="13"/>
        <v>2474.2272016693119</v>
      </c>
      <c r="P43" s="20">
        <f t="shared" si="13"/>
        <v>2529.2008310048113</v>
      </c>
      <c r="Q43" s="20">
        <f t="shared" si="13"/>
        <v>2605.0768559349558</v>
      </c>
      <c r="R43" s="20">
        <f t="shared" si="13"/>
        <v>2683.2291616130051</v>
      </c>
      <c r="S43" s="20">
        <f t="shared" si="13"/>
        <v>2763.7260364613944</v>
      </c>
      <c r="T43" s="20">
        <f t="shared" si="13"/>
        <v>2846.6378175552372</v>
      </c>
      <c r="U43" s="20">
        <f t="shared" si="13"/>
        <v>2932.0369520818931</v>
      </c>
      <c r="V43" s="20">
        <f t="shared" si="13"/>
        <v>3019.9980606443505</v>
      </c>
      <c r="W43" s="20">
        <f t="shared" si="13"/>
        <v>3110.598002463681</v>
      </c>
      <c r="X43" s="20">
        <f t="shared" si="13"/>
        <v>3203.9159425375915</v>
      </c>
      <c r="Y43" s="20">
        <f t="shared" si="13"/>
        <v>3300.0334208137192</v>
      </c>
      <c r="Z43" s="20">
        <f t="shared" si="13"/>
        <v>3399.0344234381305</v>
      </c>
    </row>
    <row r="44" spans="3:26" x14ac:dyDescent="0.25">
      <c r="C44" s="7" t="s">
        <v>61</v>
      </c>
      <c r="G44" s="10">
        <f t="shared" ref="G44:Z44" si="14">G43/G22</f>
        <v>0.15366418561530207</v>
      </c>
      <c r="H44" s="10">
        <f t="shared" si="14"/>
        <v>0.21448564591302108</v>
      </c>
      <c r="I44" s="10">
        <f t="shared" si="14"/>
        <v>0.24150983336108076</v>
      </c>
      <c r="J44" s="10">
        <f t="shared" si="14"/>
        <v>0.26875217961212683</v>
      </c>
      <c r="K44" s="10">
        <f t="shared" si="14"/>
        <v>0.26495345945995424</v>
      </c>
      <c r="L44" s="10">
        <f t="shared" si="14"/>
        <v>0.26371646845235386</v>
      </c>
      <c r="M44" s="10">
        <f t="shared" si="14"/>
        <v>0.25882223188583731</v>
      </c>
      <c r="N44" s="10">
        <f t="shared" si="14"/>
        <v>0.25355610006417589</v>
      </c>
      <c r="O44" s="10">
        <f t="shared" si="14"/>
        <v>0.25423918539990809</v>
      </c>
      <c r="P44" s="10">
        <f t="shared" si="14"/>
        <v>0.25231844660194169</v>
      </c>
      <c r="Q44" s="10">
        <f t="shared" si="14"/>
        <v>0.25231844660194164</v>
      </c>
      <c r="R44" s="10">
        <f t="shared" si="14"/>
        <v>0.25231844660194175</v>
      </c>
      <c r="S44" s="10">
        <f t="shared" si="14"/>
        <v>0.25231844660194169</v>
      </c>
      <c r="T44" s="10">
        <f t="shared" si="14"/>
        <v>0.25231844660194175</v>
      </c>
      <c r="U44" s="10">
        <f t="shared" si="14"/>
        <v>0.25231844660194164</v>
      </c>
      <c r="V44" s="10">
        <f t="shared" si="14"/>
        <v>0.25231844660194169</v>
      </c>
      <c r="W44" s="10">
        <f t="shared" si="14"/>
        <v>0.25231844660194164</v>
      </c>
      <c r="X44" s="10">
        <f t="shared" si="14"/>
        <v>0.25231844660194169</v>
      </c>
      <c r="Y44" s="10">
        <f t="shared" si="14"/>
        <v>0.25231844660194164</v>
      </c>
      <c r="Z44" s="10">
        <f t="shared" si="14"/>
        <v>0.25231844660194164</v>
      </c>
    </row>
    <row r="46" spans="3:26" x14ac:dyDescent="0.25">
      <c r="C46" s="7" t="s">
        <v>62</v>
      </c>
      <c r="D46" s="21">
        <f>DATE(2023,12,31)</f>
        <v>45291</v>
      </c>
      <c r="E46" s="21">
        <f>DATE(2024,12,31)</f>
        <v>45657</v>
      </c>
      <c r="F46" s="21">
        <f>DATE(2025,12,31)</f>
        <v>46022</v>
      </c>
      <c r="G46" s="21">
        <f>DATE(2026,12,31)</f>
        <v>46387</v>
      </c>
      <c r="H46" s="21">
        <f>DATE(2027,12,31)</f>
        <v>46752</v>
      </c>
      <c r="I46" s="21">
        <f>DATE(2028,12,31)</f>
        <v>47118</v>
      </c>
      <c r="J46" s="21">
        <f>DATE(2029,12,31)</f>
        <v>47483</v>
      </c>
      <c r="K46" s="21">
        <f>DATE(2030,12,31)</f>
        <v>47848</v>
      </c>
      <c r="L46" s="21">
        <f>DATE(2031,12,31)</f>
        <v>48213</v>
      </c>
      <c r="M46" s="21">
        <f>DATE(2032,12,31)</f>
        <v>48579</v>
      </c>
      <c r="N46" s="21">
        <f>DATE(2033,12,31)</f>
        <v>48944</v>
      </c>
      <c r="O46" s="21">
        <f>DATE(2034,12,31)</f>
        <v>49309</v>
      </c>
      <c r="P46" s="21">
        <f>DATE(2035,12,31)</f>
        <v>49674</v>
      </c>
      <c r="Q46" s="21">
        <f>DATE(2036,12,31)</f>
        <v>50040</v>
      </c>
      <c r="R46" s="21">
        <f>DATE(2037,12,31)</f>
        <v>50405</v>
      </c>
      <c r="S46" s="21">
        <f>DATE(2038,12,31)</f>
        <v>50770</v>
      </c>
      <c r="T46" s="21">
        <f>DATE(2039,12,31)</f>
        <v>51135</v>
      </c>
      <c r="U46" s="21">
        <f>DATE(2040,12,31)</f>
        <v>51501</v>
      </c>
      <c r="V46" s="21">
        <f>DATE(2041,12,31)</f>
        <v>51866</v>
      </c>
      <c r="W46" s="21">
        <f>DATE(2042,12,31)</f>
        <v>52231</v>
      </c>
      <c r="X46" s="21">
        <f>DATE(2043,12,31)</f>
        <v>52596</v>
      </c>
      <c r="Y46" s="21">
        <f>DATE(2044,12,31)</f>
        <v>52962</v>
      </c>
      <c r="Z46" s="21">
        <f>DATE(2045,12,31)</f>
        <v>53327</v>
      </c>
    </row>
    <row r="47" spans="3:26" x14ac:dyDescent="0.25">
      <c r="C47" s="7" t="s">
        <v>63</v>
      </c>
      <c r="D47" s="15">
        <f t="shared" ref="D47:Z47" si="15">MAX(0,(D46-$D$53)/365)</f>
        <v>0</v>
      </c>
      <c r="E47" s="15">
        <f t="shared" si="15"/>
        <v>0</v>
      </c>
      <c r="F47" s="15">
        <f t="shared" si="15"/>
        <v>0</v>
      </c>
      <c r="G47" s="15">
        <f t="shared" si="15"/>
        <v>0.34520547945205482</v>
      </c>
      <c r="H47" s="15">
        <f t="shared" si="15"/>
        <v>1.3452054794520547</v>
      </c>
      <c r="I47" s="15">
        <f t="shared" si="15"/>
        <v>2.3479452054794518</v>
      </c>
      <c r="J47" s="15">
        <f t="shared" si="15"/>
        <v>3.3479452054794518</v>
      </c>
      <c r="K47" s="15">
        <f t="shared" si="15"/>
        <v>4.3479452054794523</v>
      </c>
      <c r="L47" s="15">
        <f t="shared" si="15"/>
        <v>5.3479452054794523</v>
      </c>
      <c r="M47" s="15">
        <f t="shared" si="15"/>
        <v>6.3506849315068497</v>
      </c>
      <c r="N47" s="15">
        <f t="shared" si="15"/>
        <v>7.3506849315068497</v>
      </c>
      <c r="O47" s="15">
        <f t="shared" si="15"/>
        <v>8.3506849315068497</v>
      </c>
      <c r="P47" s="15">
        <f t="shared" si="15"/>
        <v>9.3506849315068497</v>
      </c>
      <c r="Q47" s="15">
        <f t="shared" si="15"/>
        <v>10.353424657534246</v>
      </c>
      <c r="R47" s="15">
        <f t="shared" si="15"/>
        <v>11.353424657534246</v>
      </c>
      <c r="S47" s="15">
        <f t="shared" si="15"/>
        <v>12.353424657534246</v>
      </c>
      <c r="T47" s="15">
        <f t="shared" si="15"/>
        <v>13.353424657534246</v>
      </c>
      <c r="U47" s="15">
        <f t="shared" si="15"/>
        <v>14.356164383561644</v>
      </c>
      <c r="V47" s="15">
        <f t="shared" si="15"/>
        <v>15.356164383561644</v>
      </c>
      <c r="W47" s="15">
        <f t="shared" si="15"/>
        <v>16.356164383561644</v>
      </c>
      <c r="X47" s="15">
        <f t="shared" si="15"/>
        <v>17.356164383561644</v>
      </c>
      <c r="Y47" s="15">
        <f t="shared" si="15"/>
        <v>18.358904109589041</v>
      </c>
      <c r="Z47" s="15">
        <f t="shared" si="15"/>
        <v>19.358904109589041</v>
      </c>
    </row>
    <row r="48" spans="3:26" x14ac:dyDescent="0.25">
      <c r="C48" s="7" t="s">
        <v>64</v>
      </c>
      <c r="D48" s="10">
        <f>MAX(0,MIN(1,(D46-$D$53)/(D46-DATE(2023,1,1)+1)))</f>
        <v>0</v>
      </c>
      <c r="E48" s="10">
        <f>MAX(0,MIN(1,(E46-$D$53)/(E46-DATE(2024,1,1)+1)))</f>
        <v>0</v>
      </c>
      <c r="F48" s="10">
        <f>MAX(0,MIN(1,(F46-$D$53)/(F46-DATE(2025,1,1)+1)))</f>
        <v>0</v>
      </c>
      <c r="G48" s="10">
        <f>MAX(0,MIN(1,(G46-$D$53)/(G46-DATE(2026,1,1)+1)))</f>
        <v>0.34520547945205482</v>
      </c>
      <c r="H48" s="10">
        <f>MAX(0,MIN(1,(H46-$D$53)/(H46-DATE(2027,1,1)+1)))</f>
        <v>1</v>
      </c>
      <c r="I48" s="10">
        <f>MAX(0,MIN(1,(I46-$D$53)/(I46-DATE(2028,1,1)+1)))</f>
        <v>1</v>
      </c>
      <c r="J48" s="10">
        <f>MAX(0,MIN(1,(J46-$D$53)/(J46-DATE(2029,1,1)+1)))</f>
        <v>1</v>
      </c>
      <c r="K48" s="10">
        <f>MAX(0,MIN(1,(K46-$D$53)/(K46-DATE(2030,1,1)+1)))</f>
        <v>1</v>
      </c>
      <c r="L48" s="10">
        <f>MAX(0,MIN(1,(L46-$D$53)/(L46-DATE(2031,1,1)+1)))</f>
        <v>1</v>
      </c>
      <c r="M48" s="10">
        <f>MAX(0,MIN(1,(M46-$D$53)/(M46-DATE(2032,1,1)+1)))</f>
        <v>1</v>
      </c>
      <c r="N48" s="10">
        <f>MAX(0,MIN(1,(N46-$D$53)/(N46-DATE(2033,1,1)+1)))</f>
        <v>1</v>
      </c>
      <c r="O48" s="10">
        <f>MAX(0,MIN(1,(O46-$D$53)/(O46-DATE(2034,1,1)+1)))</f>
        <v>1</v>
      </c>
      <c r="P48" s="10">
        <f>MAX(0,MIN(1,(P46-$D$53)/(P46-DATE(2035,1,1)+1)))</f>
        <v>1</v>
      </c>
      <c r="Q48" s="10">
        <f>MAX(0,MIN(1,(Q46-$D$53)/(Q46-DATE(2036,1,1)+1)))</f>
        <v>1</v>
      </c>
      <c r="R48" s="10">
        <f>MAX(0,MIN(1,(R46-$D$53)/(R46-DATE(2037,1,1)+1)))</f>
        <v>1</v>
      </c>
      <c r="S48" s="10">
        <f>MAX(0,MIN(1,(S46-$D$53)/(S46-DATE(2038,1,1)+1)))</f>
        <v>1</v>
      </c>
      <c r="T48" s="10">
        <f>MAX(0,MIN(1,(T46-$D$53)/(T46-DATE(2039,1,1)+1)))</f>
        <v>1</v>
      </c>
      <c r="U48" s="10">
        <f>MAX(0,MIN(1,(U46-$D$53)/(U46-DATE(2040,1,1)+1)))</f>
        <v>1</v>
      </c>
      <c r="V48" s="10">
        <f>MAX(0,MIN(1,(V46-$D$53)/(V46-DATE(2041,1,1)+1)))</f>
        <v>1</v>
      </c>
      <c r="W48" s="10">
        <f>MAX(0,MIN(1,(W46-$D$53)/(W46-DATE(2042,1,1)+1)))</f>
        <v>1</v>
      </c>
      <c r="X48" s="10">
        <f>MAX(0,MIN(1,(X46-$D$53)/(X46-DATE(2043,1,1)+1)))</f>
        <v>1</v>
      </c>
      <c r="Y48" s="10">
        <f>MAX(0,MIN(1,(Y46-$D$53)/(Y46-DATE(2044,1,1)+1)))</f>
        <v>1</v>
      </c>
      <c r="Z48" s="10">
        <f>MAX(0,MIN(1,(Z46-$D$53)/(Z46-DATE(2045,1,1)+1)))</f>
        <v>1</v>
      </c>
    </row>
    <row r="49" spans="3:26" x14ac:dyDescent="0.25">
      <c r="C49" s="7" t="s">
        <v>65</v>
      </c>
      <c r="D49" s="17">
        <f>0</f>
        <v>0</v>
      </c>
      <c r="E49" s="17">
        <f>0</f>
        <v>0</v>
      </c>
      <c r="F49" s="17">
        <f>0</f>
        <v>0</v>
      </c>
      <c r="G49" s="17">
        <f t="shared" ref="G49:Z49" si="16">G43*G48</f>
        <v>271.7797406301371</v>
      </c>
      <c r="H49" s="17">
        <f t="shared" si="16"/>
        <v>1334.5725859999998</v>
      </c>
      <c r="I49" s="17">
        <f t="shared" si="16"/>
        <v>1856.814542419999</v>
      </c>
      <c r="J49" s="17">
        <f t="shared" si="16"/>
        <v>2211.8096074261362</v>
      </c>
      <c r="K49" s="17">
        <f t="shared" si="16"/>
        <v>2308.4233032834454</v>
      </c>
      <c r="L49" s="17">
        <f t="shared" si="16"/>
        <v>2380.3402146567755</v>
      </c>
      <c r="M49" s="17">
        <f t="shared" si="16"/>
        <v>2405.22856738276</v>
      </c>
      <c r="N49" s="17">
        <f t="shared" si="16"/>
        <v>2414.6665472232535</v>
      </c>
      <c r="O49" s="17">
        <f t="shared" si="16"/>
        <v>2474.2272016693119</v>
      </c>
      <c r="P49" s="17">
        <f t="shared" si="16"/>
        <v>2529.2008310048113</v>
      </c>
      <c r="Q49" s="17">
        <f t="shared" si="16"/>
        <v>2605.0768559349558</v>
      </c>
      <c r="R49" s="17">
        <f t="shared" si="16"/>
        <v>2683.2291616130051</v>
      </c>
      <c r="S49" s="17">
        <f t="shared" si="16"/>
        <v>2763.7260364613944</v>
      </c>
      <c r="T49" s="17">
        <f t="shared" si="16"/>
        <v>2846.6378175552372</v>
      </c>
      <c r="U49" s="17">
        <f t="shared" si="16"/>
        <v>2932.0369520818931</v>
      </c>
      <c r="V49" s="17">
        <f t="shared" si="16"/>
        <v>3019.9980606443505</v>
      </c>
      <c r="W49" s="17">
        <f t="shared" si="16"/>
        <v>3110.598002463681</v>
      </c>
      <c r="X49" s="17">
        <f t="shared" si="16"/>
        <v>3203.9159425375915</v>
      </c>
      <c r="Y49" s="17">
        <f t="shared" si="16"/>
        <v>3300.0334208137192</v>
      </c>
      <c r="Z49" s="17">
        <f t="shared" si="16"/>
        <v>3399.0344234381305</v>
      </c>
    </row>
    <row r="50" spans="3:26" x14ac:dyDescent="0.25">
      <c r="C50" s="7" t="s">
        <v>66</v>
      </c>
      <c r="D50" s="17">
        <f t="shared" ref="D50:Z50" si="17">D49/(1+$D$54)^D47</f>
        <v>0</v>
      </c>
      <c r="E50" s="17">
        <f t="shared" si="17"/>
        <v>0</v>
      </c>
      <c r="F50" s="17">
        <f t="shared" si="17"/>
        <v>0</v>
      </c>
      <c r="G50" s="17">
        <f t="shared" si="17"/>
        <v>262.98325602275384</v>
      </c>
      <c r="H50" s="17">
        <f t="shared" si="17"/>
        <v>1173.9795523431173</v>
      </c>
      <c r="I50" s="17">
        <f t="shared" si="17"/>
        <v>1484.5019491505861</v>
      </c>
      <c r="J50" s="17">
        <f t="shared" si="17"/>
        <v>1607.5603960742787</v>
      </c>
      <c r="K50" s="17">
        <f t="shared" si="17"/>
        <v>1525.2545276106653</v>
      </c>
      <c r="L50" s="17">
        <f t="shared" si="17"/>
        <v>1429.7931817770782</v>
      </c>
      <c r="M50" s="17">
        <f t="shared" si="17"/>
        <v>1313.0596370678334</v>
      </c>
      <c r="N50" s="17">
        <f t="shared" si="17"/>
        <v>1198.3745529647144</v>
      </c>
      <c r="O50" s="17">
        <f t="shared" si="17"/>
        <v>1116.3035477895992</v>
      </c>
      <c r="P50" s="17">
        <f t="shared" si="17"/>
        <v>1037.3692215412523</v>
      </c>
      <c r="Q50" s="17">
        <f t="shared" si="17"/>
        <v>971.10120580572641</v>
      </c>
      <c r="R50" s="17">
        <f t="shared" si="17"/>
        <v>909.30385634536219</v>
      </c>
      <c r="S50" s="17">
        <f t="shared" si="17"/>
        <v>851.4390654870208</v>
      </c>
      <c r="T50" s="17">
        <f t="shared" si="17"/>
        <v>797.25657950148332</v>
      </c>
      <c r="U50" s="17">
        <f t="shared" si="17"/>
        <v>746.32716068070783</v>
      </c>
      <c r="V50" s="17">
        <f t="shared" si="17"/>
        <v>698.83361409193571</v>
      </c>
      <c r="W50" s="17">
        <f t="shared" si="17"/>
        <v>654.36238410426699</v>
      </c>
      <c r="X50" s="17">
        <f t="shared" si="17"/>
        <v>612.7211414794499</v>
      </c>
      <c r="Y50" s="17">
        <f t="shared" si="17"/>
        <v>573.58000117771337</v>
      </c>
      <c r="Z50" s="17">
        <f t="shared" si="17"/>
        <v>537.07945564822239</v>
      </c>
    </row>
    <row r="52" spans="3:26" x14ac:dyDescent="0.25">
      <c r="C52" s="5" t="s">
        <v>67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3:26" x14ac:dyDescent="0.25">
      <c r="C53" s="7" t="s">
        <v>68</v>
      </c>
      <c r="D53" s="22">
        <f>'Premissas e fontes'!D36</f>
        <v>46261</v>
      </c>
      <c r="F53" s="19" t="s">
        <v>69</v>
      </c>
    </row>
    <row r="54" spans="3:26" x14ac:dyDescent="0.25">
      <c r="C54" s="7" t="s">
        <v>70</v>
      </c>
      <c r="D54" s="23">
        <f>'Premissas e fontes'!D37</f>
        <v>0.1</v>
      </c>
    </row>
    <row r="55" spans="3:26" x14ac:dyDescent="0.25">
      <c r="C55" s="7" t="s">
        <v>71</v>
      </c>
      <c r="D55" s="23">
        <f>'Premissas e fontes'!D38</f>
        <v>0.02</v>
      </c>
      <c r="F55" s="24">
        <f>D71</f>
        <v>174.43999568300202</v>
      </c>
      <c r="G55" s="25">
        <f>$D$55+-0.01</f>
        <v>0.01</v>
      </c>
      <c r="H55" s="25">
        <f>$D$55+-0.005</f>
        <v>1.4999999999999999E-2</v>
      </c>
      <c r="I55" s="25">
        <f>$D$55+0</f>
        <v>0.02</v>
      </c>
      <c r="J55" s="25">
        <f>$D$55+0.005</f>
        <v>2.5000000000000001E-2</v>
      </c>
      <c r="K55" s="25">
        <f>$D$55+0.01</f>
        <v>0.03</v>
      </c>
    </row>
    <row r="56" spans="3:26" x14ac:dyDescent="0.25">
      <c r="C56" s="7" t="s">
        <v>72</v>
      </c>
      <c r="D56" s="23">
        <f>'Premissas e fontes'!D39</f>
        <v>0.2</v>
      </c>
      <c r="F56" s="25">
        <f>$D$54+-0.02</f>
        <v>0.08</v>
      </c>
      <c r="G56" s="26">
        <f t="shared" ref="G56:K60" si="18">(SUMPRODUCT($G$49:$Z$49,1/(1+$F56)^$G$47:$Z$47)+$Z$38*(1+G$55)*(1-G$55/$D$56)/($F56-G$55)/(1+$F56)^$Z$47-$D$61)/$D$57</f>
        <v>227.19409521872439</v>
      </c>
      <c r="H56" s="26">
        <f t="shared" si="18"/>
        <v>231.24736099701744</v>
      </c>
      <c r="I56" s="26">
        <f t="shared" si="18"/>
        <v>235.95325846231106</v>
      </c>
      <c r="J56" s="26">
        <f t="shared" si="18"/>
        <v>241.48977807469629</v>
      </c>
      <c r="K56" s="26">
        <f t="shared" si="18"/>
        <v>248.10610647830077</v>
      </c>
    </row>
    <row r="57" spans="3:26" x14ac:dyDescent="0.25">
      <c r="C57" s="7" t="s">
        <v>73</v>
      </c>
      <c r="D57" s="27">
        <f>'Premissas e fontes'!D40</f>
        <v>157.69999999999999</v>
      </c>
      <c r="F57" s="25">
        <f>$D$54+-0.01</f>
        <v>9.0000000000000011E-2</v>
      </c>
      <c r="G57" s="26">
        <f t="shared" si="18"/>
        <v>195.54612781989735</v>
      </c>
      <c r="H57" s="26">
        <f t="shared" si="18"/>
        <v>197.95942927086577</v>
      </c>
      <c r="I57" s="26">
        <f t="shared" si="18"/>
        <v>200.70105801557202</v>
      </c>
      <c r="J57" s="26">
        <f t="shared" si="18"/>
        <v>203.84678189103244</v>
      </c>
      <c r="K57" s="26">
        <f t="shared" si="18"/>
        <v>207.49762467993563</v>
      </c>
    </row>
    <row r="58" spans="3:26" x14ac:dyDescent="0.25">
      <c r="C58" s="7" t="s">
        <v>74</v>
      </c>
      <c r="D58" s="28">
        <f>'Premissas e fontes'!D41</f>
        <v>517.1</v>
      </c>
      <c r="F58" s="25">
        <f>$D$54+0</f>
        <v>0.1</v>
      </c>
      <c r="G58" s="26">
        <f t="shared" si="18"/>
        <v>171.30251423017026</v>
      </c>
      <c r="H58" s="26">
        <f t="shared" si="18"/>
        <v>172.78464509917512</v>
      </c>
      <c r="I58" s="26">
        <f t="shared" si="18"/>
        <v>174.43999568300202</v>
      </c>
      <c r="J58" s="26">
        <f t="shared" si="18"/>
        <v>176.3032099246154</v>
      </c>
      <c r="K58" s="26">
        <f t="shared" si="18"/>
        <v>178.41883003639811</v>
      </c>
    </row>
    <row r="59" spans="3:26" x14ac:dyDescent="0.25">
      <c r="C59" s="7" t="s">
        <v>75</v>
      </c>
      <c r="D59" s="28">
        <f>'Premissas e fontes'!D42</f>
        <v>515</v>
      </c>
      <c r="F59" s="25">
        <f>$D$54+0.01</f>
        <v>0.11</v>
      </c>
      <c r="G59" s="26">
        <f t="shared" si="18"/>
        <v>152.19482812034681</v>
      </c>
      <c r="H59" s="26">
        <f t="shared" si="18"/>
        <v>153.12628680327262</v>
      </c>
      <c r="I59" s="26">
        <f t="shared" si="18"/>
        <v>154.15225363410039</v>
      </c>
      <c r="J59" s="26">
        <f t="shared" si="18"/>
        <v>155.28940652128344</v>
      </c>
      <c r="K59" s="26">
        <f t="shared" si="18"/>
        <v>156.55859285038835</v>
      </c>
    </row>
    <row r="60" spans="3:26" x14ac:dyDescent="0.25">
      <c r="C60" s="7" t="s">
        <v>76</v>
      </c>
      <c r="D60" s="28">
        <f>'Premissas e fontes'!D43</f>
        <v>0</v>
      </c>
      <c r="F60" s="25">
        <f>$D$54+0.02</f>
        <v>0.12000000000000001</v>
      </c>
      <c r="G60" s="26">
        <f t="shared" si="18"/>
        <v>136.78638253627327</v>
      </c>
      <c r="H60" s="26">
        <f t="shared" si="18"/>
        <v>137.38183898175737</v>
      </c>
      <c r="I60" s="26">
        <f t="shared" si="18"/>
        <v>138.03004174213555</v>
      </c>
      <c r="J60" s="26">
        <f t="shared" si="18"/>
        <v>138.73931918291743</v>
      </c>
      <c r="K60" s="26">
        <f t="shared" si="18"/>
        <v>139.51985041750362</v>
      </c>
    </row>
    <row r="61" spans="3:26" x14ac:dyDescent="0.25">
      <c r="C61" s="7" t="s">
        <v>77</v>
      </c>
      <c r="D61" s="29">
        <f>D60-D58-D59</f>
        <v>-1032.0999999999999</v>
      </c>
    </row>
    <row r="63" spans="3:26" x14ac:dyDescent="0.25">
      <c r="C63" s="7" t="s">
        <v>78</v>
      </c>
      <c r="D63" s="29">
        <f>SUM(G50:Z50)</f>
        <v>19501.184286663767</v>
      </c>
    </row>
    <row r="64" spans="3:26" x14ac:dyDescent="0.25">
      <c r="C64" s="7" t="s">
        <v>79</v>
      </c>
      <c r="D64" s="29">
        <f>Z38*(1+D55)</f>
        <v>3924.3247146441049</v>
      </c>
    </row>
    <row r="65" spans="3:26" x14ac:dyDescent="0.25">
      <c r="C65" s="7" t="s">
        <v>80</v>
      </c>
      <c r="D65" s="29">
        <f>D64*D55/D56</f>
        <v>392.43247146441047</v>
      </c>
    </row>
    <row r="66" spans="3:26" x14ac:dyDescent="0.25">
      <c r="C66" s="7" t="s">
        <v>81</v>
      </c>
      <c r="D66" s="29">
        <f>IF(AND(D54&gt;D55,D56&gt;D55),D64-D65,NA())</f>
        <v>3531.8922431796946</v>
      </c>
    </row>
    <row r="67" spans="3:26" x14ac:dyDescent="0.25">
      <c r="C67" s="7" t="s">
        <v>82</v>
      </c>
      <c r="D67" s="29">
        <f>D66/(D54-D55)</f>
        <v>44148.653039746183</v>
      </c>
    </row>
    <row r="68" spans="3:26" x14ac:dyDescent="0.25">
      <c r="C68" s="7" t="s">
        <v>83</v>
      </c>
      <c r="D68" s="29">
        <f>D67/(1+D54)^Z47</f>
        <v>6975.9030325456524</v>
      </c>
    </row>
    <row r="69" spans="3:26" x14ac:dyDescent="0.25">
      <c r="C69" s="7" t="s">
        <v>84</v>
      </c>
      <c r="D69" s="29">
        <f>SUM(D63,D68)</f>
        <v>26477.087319209419</v>
      </c>
    </row>
    <row r="70" spans="3:26" x14ac:dyDescent="0.25">
      <c r="C70" s="7" t="s">
        <v>85</v>
      </c>
      <c r="D70" s="29">
        <f>D69-D61</f>
        <v>27509.187319209417</v>
      </c>
    </row>
    <row r="71" spans="3:26" ht="15.75" x14ac:dyDescent="0.25">
      <c r="C71" s="30" t="s">
        <v>86</v>
      </c>
      <c r="D71" s="31">
        <f>D70/D57</f>
        <v>174.43999568300202</v>
      </c>
    </row>
    <row r="72" spans="3:26" x14ac:dyDescent="0.25">
      <c r="C72" s="7" t="s">
        <v>87</v>
      </c>
      <c r="D72" s="32">
        <f>D68/D69</f>
        <v>0.26346942729929956</v>
      </c>
    </row>
    <row r="73" spans="3:26" x14ac:dyDescent="0.25">
      <c r="C73" s="7" t="s">
        <v>88</v>
      </c>
      <c r="D73" s="33">
        <f>(D63-D61)/D57</f>
        <v>130.20471963642211</v>
      </c>
    </row>
    <row r="75" spans="3:26" x14ac:dyDescent="0.25">
      <c r="C75" s="3" t="s">
        <v>89</v>
      </c>
    </row>
    <row r="76" spans="3:26" x14ac:dyDescent="0.25">
      <c r="C76" s="3" t="s">
        <v>90</v>
      </c>
    </row>
    <row r="77" spans="3:26" x14ac:dyDescent="0.25">
      <c r="C77" s="3" t="s">
        <v>91</v>
      </c>
    </row>
    <row r="78" spans="3:26" x14ac:dyDescent="0.25">
      <c r="C78" s="3" t="s">
        <v>92</v>
      </c>
    </row>
    <row r="80" spans="3:26" x14ac:dyDescent="0.25">
      <c r="C80" s="5" t="s">
        <v>93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3:26" x14ac:dyDescent="0.25">
      <c r="C81" s="7" t="s">
        <v>94</v>
      </c>
      <c r="D81" s="14">
        <f>D14</f>
        <v>0</v>
      </c>
      <c r="E81" s="14">
        <f>E14</f>
        <v>0</v>
      </c>
      <c r="F81" s="14">
        <f>F14</f>
        <v>0</v>
      </c>
      <c r="G81" s="14">
        <f>G14</f>
        <v>0</v>
      </c>
    </row>
    <row r="82" spans="3:26" x14ac:dyDescent="0.25">
      <c r="C82" s="7" t="s">
        <v>95</v>
      </c>
      <c r="D82" s="14">
        <f t="shared" ref="D82:Z82" si="19">D22-SUM(D19:D21)</f>
        <v>0</v>
      </c>
      <c r="E82" s="14">
        <f t="shared" si="19"/>
        <v>0</v>
      </c>
      <c r="F82" s="14">
        <f t="shared" si="19"/>
        <v>0</v>
      </c>
      <c r="G82" s="14">
        <f t="shared" si="19"/>
        <v>0</v>
      </c>
      <c r="H82" s="14">
        <f t="shared" si="19"/>
        <v>0</v>
      </c>
      <c r="I82" s="14">
        <f t="shared" si="19"/>
        <v>0</v>
      </c>
      <c r="J82" s="14">
        <f t="shared" si="19"/>
        <v>0</v>
      </c>
      <c r="K82" s="14">
        <f t="shared" si="19"/>
        <v>0</v>
      </c>
      <c r="L82" s="14">
        <f t="shared" si="19"/>
        <v>0</v>
      </c>
      <c r="M82" s="14">
        <f t="shared" si="19"/>
        <v>0</v>
      </c>
      <c r="N82" s="14">
        <f t="shared" si="19"/>
        <v>0</v>
      </c>
      <c r="O82" s="14">
        <f t="shared" si="19"/>
        <v>0</v>
      </c>
      <c r="P82" s="14">
        <f t="shared" si="19"/>
        <v>0</v>
      </c>
      <c r="Q82" s="14">
        <f t="shared" si="19"/>
        <v>0</v>
      </c>
      <c r="R82" s="14">
        <f t="shared" si="19"/>
        <v>0</v>
      </c>
      <c r="S82" s="14">
        <f t="shared" si="19"/>
        <v>0</v>
      </c>
      <c r="T82" s="14">
        <f t="shared" si="19"/>
        <v>0</v>
      </c>
      <c r="U82" s="14">
        <f t="shared" si="19"/>
        <v>0</v>
      </c>
      <c r="V82" s="14">
        <f t="shared" si="19"/>
        <v>0</v>
      </c>
      <c r="W82" s="14">
        <f t="shared" si="19"/>
        <v>0</v>
      </c>
      <c r="X82" s="14">
        <f t="shared" si="19"/>
        <v>0</v>
      </c>
      <c r="Y82" s="14">
        <f t="shared" si="19"/>
        <v>0</v>
      </c>
      <c r="Z82" s="14">
        <f t="shared" si="19"/>
        <v>0</v>
      </c>
    </row>
    <row r="83" spans="3:26" x14ac:dyDescent="0.25">
      <c r="C83" s="7" t="s">
        <v>96</v>
      </c>
      <c r="F83" s="14">
        <f>MAX(0,(F19-'Premissas e fontes'!F27+'Premissas e fontes'!F26)/1000/F11-1)</f>
        <v>0</v>
      </c>
      <c r="G83" s="14">
        <f>MAX(0,(G19-'Premissas e fontes'!G27+'Premissas e fontes'!G26)/1000/G11-1)</f>
        <v>0</v>
      </c>
      <c r="H83" s="14">
        <f>MAX(0,(H19-'Premissas e fontes'!H27+'Premissas e fontes'!H26)/1000/H11-1)</f>
        <v>0</v>
      </c>
      <c r="I83" s="14">
        <f>MAX(0,(I19-'Premissas e fontes'!I27+'Premissas e fontes'!I26)/1000/I11-1)</f>
        <v>0</v>
      </c>
    </row>
    <row r="84" spans="3:26" x14ac:dyDescent="0.25">
      <c r="C84" s="7" t="s">
        <v>97</v>
      </c>
      <c r="F84" s="10">
        <f>1-(F19-'Premissas e fontes'!F27+'Premissas e fontes'!F26)/1000/F11</f>
        <v>0.1099444444444444</v>
      </c>
      <c r="G84" s="10">
        <f>1-(G19-'Premissas e fontes'!G27+'Premissas e fontes'!G26)/1000/G11</f>
        <v>5.8727272727272739E-2</v>
      </c>
      <c r="H84" s="10">
        <f>1-(H19-'Premissas e fontes'!H27+'Premissas e fontes'!H26)/1000/H11</f>
        <v>3.5939024390243879E-2</v>
      </c>
      <c r="I84" s="10">
        <f>1-(I19-'Premissas e fontes'!I27+'Premissas e fontes'!I26)/1000/I11</f>
        <v>2.7758032128514021E-2</v>
      </c>
    </row>
    <row r="85" spans="3:26" x14ac:dyDescent="0.25">
      <c r="C85" s="7" t="s">
        <v>98</v>
      </c>
      <c r="G85" s="14">
        <f>IF(ABS(G27)&gt;0.015,G27,0)</f>
        <v>0</v>
      </c>
      <c r="H85" s="14">
        <f>IF(ABS(H27)&gt;0.015,H27,0)</f>
        <v>0</v>
      </c>
      <c r="I85" s="14">
        <f>IF(ABS(I27)&gt;0.015,I27,0)</f>
        <v>0</v>
      </c>
    </row>
    <row r="86" spans="3:26" x14ac:dyDescent="0.25">
      <c r="C86" s="7" t="s">
        <v>99</v>
      </c>
      <c r="D86" s="34">
        <f>D70-(D69-D61)</f>
        <v>0</v>
      </c>
    </row>
    <row r="87" spans="3:26" x14ac:dyDescent="0.25">
      <c r="C87" s="7" t="s">
        <v>100</v>
      </c>
      <c r="D87" s="34">
        <f>I58-D71</f>
        <v>0</v>
      </c>
    </row>
    <row r="89" spans="3:26" x14ac:dyDescent="0.25">
      <c r="C89" s="5" t="s">
        <v>101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3:26" x14ac:dyDescent="0.25">
      <c r="C90" s="7" t="s">
        <v>102</v>
      </c>
      <c r="E90" s="17">
        <f>E22</f>
        <v>2819.8</v>
      </c>
      <c r="F90" s="17">
        <f>F22</f>
        <v>3190</v>
      </c>
      <c r="G90" s="17">
        <f>G22</f>
        <v>5123.5000000000009</v>
      </c>
      <c r="H90" s="17">
        <f>H22</f>
        <v>6222.2</v>
      </c>
      <c r="I90" s="17">
        <f>I22</f>
        <v>7688.3600000000006</v>
      </c>
    </row>
    <row r="91" spans="3:26" x14ac:dyDescent="0.25">
      <c r="C91" s="7" t="s">
        <v>47</v>
      </c>
      <c r="E91" s="10">
        <f>E30</f>
        <v>0.58499999999999996</v>
      </c>
      <c r="F91" s="10">
        <f>F30</f>
        <v>0.58199999999999996</v>
      </c>
      <c r="G91" s="10">
        <f>G30</f>
        <v>0.59460000000000002</v>
      </c>
      <c r="H91" s="10">
        <f>H30</f>
        <v>0.59509999999999996</v>
      </c>
      <c r="I91" s="10">
        <f>I30</f>
        <v>0.60199999999999998</v>
      </c>
    </row>
    <row r="92" spans="3:26" x14ac:dyDescent="0.25">
      <c r="C92" s="7" t="s">
        <v>103</v>
      </c>
      <c r="E92" s="10">
        <f>E36</f>
        <v>0.21</v>
      </c>
      <c r="F92" s="10">
        <f>F36</f>
        <v>0.21999999999999997</v>
      </c>
      <c r="G92" s="10">
        <f>G36</f>
        <v>0.32180000000000003</v>
      </c>
      <c r="H92" s="10">
        <f>H36</f>
        <v>0.34779999999999994</v>
      </c>
      <c r="I92" s="10">
        <f>I36</f>
        <v>0.38009999999999994</v>
      </c>
    </row>
    <row r="93" spans="3:26" x14ac:dyDescent="0.25">
      <c r="C93" s="7" t="s">
        <v>104</v>
      </c>
      <c r="G93" s="16">
        <f>'Premissas e fontes'!G63+'Premissas e fontes'!G64</f>
        <v>42</v>
      </c>
      <c r="H93" s="16">
        <f>'Premissas e fontes'!H63+'Premissas e fontes'!H64</f>
        <v>42</v>
      </c>
      <c r="I93" s="16">
        <f>'Premissas e fontes'!I63+'Premissas e fontes'!I64</f>
        <v>42</v>
      </c>
    </row>
    <row r="94" spans="3:26" x14ac:dyDescent="0.25">
      <c r="C94" s="7" t="s">
        <v>105</v>
      </c>
      <c r="G94" s="17">
        <f>(G35+'Premissas e fontes'!G63)*(1-G37)+'Premissas e fontes'!G64</f>
        <v>1440.4309550000005</v>
      </c>
      <c r="H94" s="17">
        <f>(H35+'Premissas e fontes'!H63)*(1-H37)+'Premissas e fontes'!H64</f>
        <v>1878.4689859999996</v>
      </c>
      <c r="I94" s="17">
        <f>(I35+'Premissas e fontes'!I63)*(1-I37)+'Premissas e fontes'!I64</f>
        <v>2508.2820624199994</v>
      </c>
    </row>
    <row r="95" spans="3:26" x14ac:dyDescent="0.25">
      <c r="C95" s="7" t="s">
        <v>106</v>
      </c>
      <c r="E95" s="8">
        <v>163.30000000000001</v>
      </c>
      <c r="F95" s="8">
        <v>159.69999999999999</v>
      </c>
      <c r="G95" s="8">
        <f>'Premissas e fontes'!G65</f>
        <v>157.80000000000001</v>
      </c>
      <c r="H95" s="8">
        <f>'Premissas e fontes'!H65</f>
        <v>157.5</v>
      </c>
      <c r="I95" s="8">
        <f>'Premissas e fontes'!I65</f>
        <v>157</v>
      </c>
    </row>
    <row r="96" spans="3:26" x14ac:dyDescent="0.25">
      <c r="C96" s="19" t="s">
        <v>107</v>
      </c>
      <c r="E96" s="35">
        <f>'Premissas e fontes'!E22</f>
        <v>3.22</v>
      </c>
      <c r="F96" s="35">
        <f>'Premissas e fontes'!F22</f>
        <v>3.97</v>
      </c>
      <c r="G96" s="35">
        <f>G94/G95</f>
        <v>9.1282063054499396</v>
      </c>
      <c r="H96" s="35">
        <f>H94/H95</f>
        <v>11.926787212698411</v>
      </c>
      <c r="I96" s="35">
        <f>I94/I95</f>
        <v>15.976318868917193</v>
      </c>
    </row>
    <row r="97" spans="3:9" x14ac:dyDescent="0.25">
      <c r="C97" s="7" t="s">
        <v>108</v>
      </c>
      <c r="G97" s="13">
        <f>'Premissas e fontes'!G23</f>
        <v>9.0299999999999994</v>
      </c>
      <c r="H97" s="13">
        <f>'Premissas e fontes'!H23</f>
        <v>11.92</v>
      </c>
      <c r="I97" s="13">
        <f>'Premissas e fontes'!I23</f>
        <v>15.99</v>
      </c>
    </row>
    <row r="98" spans="3:9" x14ac:dyDescent="0.25">
      <c r="C98" s="7" t="s">
        <v>109</v>
      </c>
      <c r="G98" s="17">
        <f>G94+G39-G34+G42+G40</f>
        <v>898.02745500000015</v>
      </c>
      <c r="H98" s="17">
        <f>H94+H39-H34+H42+H40</f>
        <v>1460.6833859999997</v>
      </c>
      <c r="I98" s="17">
        <f>I94+I39-I34+I42+I40</f>
        <v>2003.3515824199997</v>
      </c>
    </row>
    <row r="99" spans="3:9" x14ac:dyDescent="0.25">
      <c r="C99" s="7" t="s">
        <v>110</v>
      </c>
      <c r="G99" s="16">
        <f>'Premissas e fontes'!G9</f>
        <v>5065.8999999999996</v>
      </c>
      <c r="H99" s="16">
        <f>'Premissas e fontes'!H9</f>
        <v>6237.3</v>
      </c>
      <c r="I99" s="16">
        <f>'Premissas e fontes'!I9</f>
        <v>7543.4</v>
      </c>
    </row>
    <row r="100" spans="3:9" x14ac:dyDescent="0.25">
      <c r="C100" s="7" t="s">
        <v>111</v>
      </c>
      <c r="G100" s="10">
        <f>G96/'Premissas e fontes'!G22-1</f>
        <v>3.283619658858794E-2</v>
      </c>
      <c r="H100" s="10">
        <f>H96/'Premissas e fontes'!H22-1</f>
        <v>4.1367957102803832E-2</v>
      </c>
      <c r="I100" s="10">
        <f>I96/'Premissas e fontes'!I22-1</f>
        <v>8.1746825710419913E-2</v>
      </c>
    </row>
    <row r="101" spans="3:9" x14ac:dyDescent="0.25">
      <c r="C101" s="7" t="s">
        <v>112</v>
      </c>
      <c r="F101" s="36">
        <f>'Premissas e fontes'!$D$45/F96</f>
        <v>91.448362720403026</v>
      </c>
      <c r="G101" s="36">
        <f>'Premissas e fontes'!$D$45/G96</f>
        <v>39.772326331323519</v>
      </c>
      <c r="H101" s="36">
        <f>'Premissas e fontes'!$D$45/H96</f>
        <v>30.439882386218972</v>
      </c>
      <c r="I101" s="36">
        <f>'Premissas e fontes'!$D$45/I96</f>
        <v>22.724258509031998</v>
      </c>
    </row>
    <row r="103" spans="3:9" x14ac:dyDescent="0.25">
      <c r="C103" s="3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B7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47" customWidth="1"/>
    <col min="4" max="26" width="12.42578125" customWidth="1"/>
    <col min="28" max="28" width="55" customWidth="1"/>
    <col min="29" max="29" width="12.42578125" customWidth="1"/>
  </cols>
  <sheetData>
    <row r="2" spans="3:12" ht="20.25" x14ac:dyDescent="0.3">
      <c r="C2" s="1" t="s">
        <v>114</v>
      </c>
    </row>
    <row r="3" spans="3:12" x14ac:dyDescent="0.25">
      <c r="C3" s="2" t="s">
        <v>115</v>
      </c>
    </row>
    <row r="5" spans="3:12" x14ac:dyDescent="0.25">
      <c r="D5" s="37">
        <v>2023</v>
      </c>
      <c r="E5" s="37">
        <v>2024</v>
      </c>
      <c r="F5" s="37">
        <v>2025</v>
      </c>
      <c r="G5" s="37">
        <v>2026</v>
      </c>
      <c r="H5" s="37">
        <v>2027</v>
      </c>
      <c r="I5" s="37">
        <v>2028</v>
      </c>
    </row>
    <row r="6" spans="3:12" x14ac:dyDescent="0.25">
      <c r="L6" s="3" t="s">
        <v>116</v>
      </c>
    </row>
    <row r="8" spans="3:12" x14ac:dyDescent="0.25">
      <c r="C8" s="5" t="s">
        <v>117</v>
      </c>
    </row>
    <row r="9" spans="3:12" x14ac:dyDescent="0.25">
      <c r="C9" s="7" t="s">
        <v>118</v>
      </c>
      <c r="D9" s="38">
        <v>2676.3</v>
      </c>
      <c r="E9" s="38">
        <v>2819.9</v>
      </c>
      <c r="F9" s="38">
        <v>3190</v>
      </c>
      <c r="G9" s="38">
        <v>5065.8999999999996</v>
      </c>
      <c r="H9" s="38">
        <v>6237.3</v>
      </c>
      <c r="I9" s="38">
        <v>7543.4</v>
      </c>
      <c r="L9" s="3" t="s">
        <v>119</v>
      </c>
    </row>
    <row r="10" spans="3:12" x14ac:dyDescent="0.25">
      <c r="C10" s="7" t="s">
        <v>120</v>
      </c>
      <c r="G10" s="38">
        <v>5126.5</v>
      </c>
      <c r="H10" s="38">
        <v>6219.8</v>
      </c>
      <c r="I10" s="38">
        <v>7693.6</v>
      </c>
      <c r="L10" s="3" t="s">
        <v>121</v>
      </c>
    </row>
    <row r="11" spans="3:12" x14ac:dyDescent="0.25">
      <c r="C11" s="7" t="s">
        <v>122</v>
      </c>
      <c r="D11" s="38">
        <v>1957.2</v>
      </c>
      <c r="E11" s="38">
        <v>2123.9</v>
      </c>
      <c r="F11" s="38">
        <v>2523.6999999999998</v>
      </c>
      <c r="L11" s="3" t="s">
        <v>217</v>
      </c>
    </row>
    <row r="12" spans="3:12" x14ac:dyDescent="0.25">
      <c r="C12" s="7" t="s">
        <v>123</v>
      </c>
      <c r="D12" s="38">
        <v>343.9</v>
      </c>
      <c r="E12" s="38">
        <v>331.1</v>
      </c>
      <c r="F12" s="38">
        <v>358</v>
      </c>
      <c r="L12" s="3" t="s">
        <v>218</v>
      </c>
    </row>
    <row r="13" spans="3:12" x14ac:dyDescent="0.25">
      <c r="C13" s="7" t="s">
        <v>124</v>
      </c>
      <c r="D13" s="38">
        <v>375.2</v>
      </c>
      <c r="E13" s="38">
        <v>364.8</v>
      </c>
      <c r="F13" s="38">
        <v>308.3</v>
      </c>
      <c r="L13" s="3" t="s">
        <v>219</v>
      </c>
    </row>
    <row r="14" spans="3:12" x14ac:dyDescent="0.25">
      <c r="C14" s="7" t="s">
        <v>125</v>
      </c>
      <c r="D14" s="39">
        <v>0.57399999999999995</v>
      </c>
      <c r="E14" s="39">
        <v>0.58499999999999996</v>
      </c>
      <c r="F14" s="39">
        <v>0.58199999999999996</v>
      </c>
      <c r="L14" s="3" t="s">
        <v>126</v>
      </c>
    </row>
    <row r="15" spans="3:12" x14ac:dyDescent="0.25">
      <c r="C15" s="7" t="s">
        <v>127</v>
      </c>
      <c r="D15" s="39">
        <v>0.2</v>
      </c>
      <c r="E15" s="39">
        <v>0.21</v>
      </c>
      <c r="F15" s="39">
        <v>0.22</v>
      </c>
      <c r="L15" s="3" t="s">
        <v>128</v>
      </c>
    </row>
    <row r="16" spans="3:12" x14ac:dyDescent="0.25">
      <c r="C16" s="7" t="s">
        <v>129</v>
      </c>
      <c r="D16" s="40">
        <v>57.7</v>
      </c>
      <c r="E16" s="40">
        <v>60.1</v>
      </c>
      <c r="F16" s="40">
        <v>64</v>
      </c>
      <c r="L16" s="3" t="s">
        <v>130</v>
      </c>
    </row>
    <row r="17" spans="3:12" x14ac:dyDescent="0.25">
      <c r="C17" s="7" t="s">
        <v>131</v>
      </c>
      <c r="D17" s="40">
        <v>92.1</v>
      </c>
      <c r="E17" s="40">
        <v>101</v>
      </c>
      <c r="F17" s="40">
        <v>111.4</v>
      </c>
      <c r="L17" s="3" t="s">
        <v>132</v>
      </c>
    </row>
    <row r="18" spans="3:12" x14ac:dyDescent="0.25">
      <c r="C18" s="7" t="s">
        <v>133</v>
      </c>
      <c r="D18" s="40">
        <v>159.6</v>
      </c>
      <c r="E18" s="40">
        <v>198.1</v>
      </c>
      <c r="F18" s="40">
        <v>224</v>
      </c>
      <c r="G18" s="40">
        <v>281.89999999999998</v>
      </c>
      <c r="H18" s="40">
        <v>352.6</v>
      </c>
      <c r="I18" s="40">
        <v>429.4</v>
      </c>
      <c r="L18" s="3" t="s">
        <v>134</v>
      </c>
    </row>
    <row r="19" spans="3:12" x14ac:dyDescent="0.25">
      <c r="C19" s="7" t="s">
        <v>135</v>
      </c>
      <c r="D19" s="40">
        <v>422.1</v>
      </c>
      <c r="E19" s="40">
        <v>471.4</v>
      </c>
      <c r="F19" s="40">
        <v>786.9</v>
      </c>
      <c r="G19" s="40">
        <v>1109.7</v>
      </c>
      <c r="L19" s="3" t="s">
        <v>136</v>
      </c>
    </row>
    <row r="20" spans="3:12" x14ac:dyDescent="0.25">
      <c r="C20" s="7" t="s">
        <v>137</v>
      </c>
      <c r="D20" s="40">
        <v>310</v>
      </c>
      <c r="E20" s="40">
        <v>298.5</v>
      </c>
      <c r="F20" s="40">
        <v>379.6</v>
      </c>
      <c r="G20" s="40">
        <v>403.3</v>
      </c>
      <c r="L20" s="3" t="s">
        <v>138</v>
      </c>
    </row>
    <row r="21" spans="3:12" x14ac:dyDescent="0.25">
      <c r="C21" s="7" t="s">
        <v>139</v>
      </c>
      <c r="D21" s="40">
        <v>180.1</v>
      </c>
      <c r="E21" s="40">
        <v>134.80000000000001</v>
      </c>
      <c r="F21" s="40">
        <v>269.2</v>
      </c>
      <c r="G21" s="40">
        <v>383.4</v>
      </c>
      <c r="L21" s="3" t="s">
        <v>138</v>
      </c>
    </row>
    <row r="22" spans="3:12" x14ac:dyDescent="0.25">
      <c r="C22" s="7" t="s">
        <v>140</v>
      </c>
      <c r="D22" s="41">
        <v>2.93</v>
      </c>
      <c r="E22" s="41">
        <v>3.22</v>
      </c>
      <c r="F22" s="41">
        <v>3.97</v>
      </c>
      <c r="G22" s="41">
        <v>8.8379999999999992</v>
      </c>
      <c r="H22" s="41">
        <v>11.452999999999999</v>
      </c>
      <c r="I22" s="41">
        <v>14.769</v>
      </c>
      <c r="L22" s="3" t="s">
        <v>141</v>
      </c>
    </row>
    <row r="23" spans="3:12" x14ac:dyDescent="0.25">
      <c r="C23" s="7" t="s">
        <v>142</v>
      </c>
      <c r="G23" s="41">
        <v>9.0299999999999994</v>
      </c>
      <c r="H23" s="41">
        <v>11.92</v>
      </c>
      <c r="I23" s="41">
        <v>15.99</v>
      </c>
      <c r="L23" s="3" t="s">
        <v>143</v>
      </c>
    </row>
    <row r="24" spans="3:12" x14ac:dyDescent="0.25">
      <c r="C24" s="7" t="s">
        <v>144</v>
      </c>
      <c r="G24" s="38">
        <v>1655.7</v>
      </c>
      <c r="H24" s="38">
        <v>2143.5</v>
      </c>
      <c r="I24" s="38">
        <v>2724.3</v>
      </c>
      <c r="L24" s="3" t="s">
        <v>145</v>
      </c>
    </row>
    <row r="25" spans="3:12" x14ac:dyDescent="0.25">
      <c r="C25" s="7" t="s">
        <v>146</v>
      </c>
      <c r="G25" s="39">
        <v>0.59360000000000002</v>
      </c>
      <c r="H25" s="39">
        <v>0.59509999999999996</v>
      </c>
      <c r="I25" s="39">
        <v>0.59709999999999996</v>
      </c>
      <c r="L25" s="3" t="s">
        <v>147</v>
      </c>
    </row>
    <row r="26" spans="3:12" x14ac:dyDescent="0.25">
      <c r="C26" s="7" t="s">
        <v>148</v>
      </c>
      <c r="D26" s="38">
        <v>2702.8</v>
      </c>
      <c r="E26" s="38">
        <v>3450.6</v>
      </c>
      <c r="F26" s="38">
        <v>5616</v>
      </c>
      <c r="G26" s="38">
        <v>8855</v>
      </c>
      <c r="H26" s="38">
        <v>10758.4</v>
      </c>
      <c r="I26" s="38">
        <v>13023.7</v>
      </c>
      <c r="L26" s="3" t="s">
        <v>149</v>
      </c>
    </row>
    <row r="27" spans="3:12" x14ac:dyDescent="0.25">
      <c r="C27" s="7" t="s">
        <v>150</v>
      </c>
      <c r="F27" s="38">
        <v>129.19999999999999</v>
      </c>
      <c r="G27" s="38">
        <v>230</v>
      </c>
      <c r="H27" s="38">
        <v>245</v>
      </c>
      <c r="I27" s="38">
        <v>290</v>
      </c>
      <c r="L27" s="3" t="s">
        <v>151</v>
      </c>
    </row>
    <row r="28" spans="3:12" x14ac:dyDescent="0.25">
      <c r="C28" s="7" t="s">
        <v>152</v>
      </c>
      <c r="D28" s="41">
        <v>4.9000000000000004</v>
      </c>
      <c r="E28" s="41">
        <v>6</v>
      </c>
      <c r="F28" s="41">
        <v>9</v>
      </c>
      <c r="G28" s="41">
        <v>13.75</v>
      </c>
      <c r="L28" s="3" t="s">
        <v>153</v>
      </c>
    </row>
    <row r="30" spans="3:12" x14ac:dyDescent="0.25">
      <c r="C30" s="5" t="s">
        <v>154</v>
      </c>
    </row>
    <row r="31" spans="3:12" x14ac:dyDescent="0.25">
      <c r="C31" s="7" t="s">
        <v>155</v>
      </c>
      <c r="D31" s="42">
        <v>1250</v>
      </c>
      <c r="F31" s="3" t="s">
        <v>156</v>
      </c>
    </row>
    <row r="32" spans="3:12" x14ac:dyDescent="0.25">
      <c r="C32" s="7" t="s">
        <v>157</v>
      </c>
      <c r="D32" s="43">
        <v>2611.5</v>
      </c>
      <c r="F32" s="3" t="s">
        <v>158</v>
      </c>
    </row>
    <row r="33" spans="3:6" x14ac:dyDescent="0.25">
      <c r="C33" s="7" t="s">
        <v>159</v>
      </c>
      <c r="D33" s="44">
        <v>5.0199999999999996</v>
      </c>
      <c r="F33" s="3" t="s">
        <v>160</v>
      </c>
    </row>
    <row r="35" spans="3:6" x14ac:dyDescent="0.25">
      <c r="C35" s="5" t="s">
        <v>161</v>
      </c>
    </row>
    <row r="36" spans="3:6" x14ac:dyDescent="0.25">
      <c r="C36" s="7" t="s">
        <v>68</v>
      </c>
      <c r="D36" s="45">
        <v>46261</v>
      </c>
      <c r="F36" s="3" t="s">
        <v>162</v>
      </c>
    </row>
    <row r="37" spans="3:6" x14ac:dyDescent="0.25">
      <c r="C37" s="7" t="s">
        <v>70</v>
      </c>
      <c r="D37" s="46">
        <v>0.1</v>
      </c>
      <c r="F37" s="3" t="s">
        <v>163</v>
      </c>
    </row>
    <row r="38" spans="3:6" x14ac:dyDescent="0.25">
      <c r="C38" s="7" t="s">
        <v>164</v>
      </c>
      <c r="D38" s="46">
        <v>0.02</v>
      </c>
      <c r="F38" s="3" t="s">
        <v>165</v>
      </c>
    </row>
    <row r="39" spans="3:6" x14ac:dyDescent="0.25">
      <c r="C39" s="7" t="s">
        <v>72</v>
      </c>
      <c r="D39" s="46">
        <v>0.2</v>
      </c>
      <c r="F39" s="3" t="s">
        <v>166</v>
      </c>
    </row>
    <row r="40" spans="3:6" x14ac:dyDescent="0.25">
      <c r="C40" s="7" t="s">
        <v>167</v>
      </c>
      <c r="D40" s="43">
        <v>157.69999999999999</v>
      </c>
      <c r="F40" s="3" t="s">
        <v>168</v>
      </c>
    </row>
    <row r="41" spans="3:6" x14ac:dyDescent="0.25">
      <c r="C41" s="7" t="s">
        <v>169</v>
      </c>
      <c r="D41" s="43">
        <v>517.1</v>
      </c>
      <c r="F41" s="3" t="s">
        <v>170</v>
      </c>
    </row>
    <row r="42" spans="3:6" x14ac:dyDescent="0.25">
      <c r="C42" s="7" t="s">
        <v>171</v>
      </c>
      <c r="D42" s="43">
        <v>515</v>
      </c>
      <c r="F42" s="3" t="s">
        <v>172</v>
      </c>
    </row>
    <row r="43" spans="3:6" x14ac:dyDescent="0.25">
      <c r="C43" s="7" t="s">
        <v>173</v>
      </c>
      <c r="D43" s="43">
        <v>0</v>
      </c>
      <c r="F43" s="3" t="s">
        <v>174</v>
      </c>
    </row>
    <row r="44" spans="3:6" x14ac:dyDescent="0.25">
      <c r="C44" s="7" t="s">
        <v>175</v>
      </c>
      <c r="D44" s="47">
        <v>46201</v>
      </c>
      <c r="F44" s="3" t="s">
        <v>176</v>
      </c>
    </row>
    <row r="45" spans="3:6" x14ac:dyDescent="0.25">
      <c r="C45" s="7" t="s">
        <v>177</v>
      </c>
      <c r="D45" s="44">
        <v>363.05</v>
      </c>
      <c r="F45" s="3" t="s">
        <v>178</v>
      </c>
    </row>
    <row r="46" spans="3:6" x14ac:dyDescent="0.25">
      <c r="C46" s="7" t="s">
        <v>179</v>
      </c>
      <c r="D46" s="44">
        <v>450.87</v>
      </c>
      <c r="F46" s="3" t="s">
        <v>180</v>
      </c>
    </row>
    <row r="48" spans="3:6" x14ac:dyDescent="0.25">
      <c r="C48" s="5" t="s">
        <v>181</v>
      </c>
    </row>
    <row r="49" spans="3:28" x14ac:dyDescent="0.25">
      <c r="D49" s="4" t="s">
        <v>3</v>
      </c>
      <c r="E49" s="4" t="s">
        <v>4</v>
      </c>
      <c r="F49" s="4" t="s">
        <v>5</v>
      </c>
      <c r="G49" s="4" t="s">
        <v>6</v>
      </c>
      <c r="H49" s="4" t="s">
        <v>7</v>
      </c>
      <c r="I49" s="4" t="s">
        <v>8</v>
      </c>
      <c r="J49" s="4" t="s">
        <v>9</v>
      </c>
      <c r="K49" s="4" t="s">
        <v>10</v>
      </c>
      <c r="L49" s="4" t="s">
        <v>11</v>
      </c>
      <c r="M49" s="4" t="s">
        <v>12</v>
      </c>
      <c r="N49" s="4" t="s">
        <v>13</v>
      </c>
      <c r="O49" s="4" t="s">
        <v>14</v>
      </c>
      <c r="P49" s="4" t="s">
        <v>15</v>
      </c>
      <c r="Q49" s="4" t="s">
        <v>16</v>
      </c>
      <c r="R49" s="4" t="s">
        <v>17</v>
      </c>
      <c r="S49" s="4" t="s">
        <v>18</v>
      </c>
      <c r="T49" s="4" t="s">
        <v>19</v>
      </c>
      <c r="U49" s="4" t="s">
        <v>20</v>
      </c>
      <c r="V49" s="4" t="s">
        <v>21</v>
      </c>
      <c r="W49" s="4" t="s">
        <v>22</v>
      </c>
      <c r="X49" s="4" t="s">
        <v>23</v>
      </c>
      <c r="Y49" s="4" t="s">
        <v>24</v>
      </c>
      <c r="Z49" s="4" t="s">
        <v>25</v>
      </c>
    </row>
    <row r="50" spans="3:28" x14ac:dyDescent="0.25">
      <c r="C50" s="7" t="s">
        <v>27</v>
      </c>
      <c r="D50" s="48">
        <v>95.76</v>
      </c>
      <c r="E50" s="48">
        <v>100.34</v>
      </c>
      <c r="F50" s="48">
        <v>116</v>
      </c>
      <c r="G50" s="48">
        <v>158</v>
      </c>
      <c r="H50" s="48">
        <v>205</v>
      </c>
      <c r="I50" s="48">
        <v>240</v>
      </c>
      <c r="AB50" s="3" t="s">
        <v>182</v>
      </c>
    </row>
    <row r="51" spans="3:28" x14ac:dyDescent="0.25">
      <c r="C51" s="7" t="s">
        <v>183</v>
      </c>
      <c r="J51" s="49">
        <v>0.06</v>
      </c>
      <c r="K51" s="49">
        <v>0.05</v>
      </c>
      <c r="L51" s="49">
        <v>0.04</v>
      </c>
      <c r="M51" s="49">
        <v>3.6666666666666667E-2</v>
      </c>
      <c r="N51" s="49">
        <v>3.3333333333333333E-2</v>
      </c>
      <c r="O51" s="49">
        <v>0.03</v>
      </c>
      <c r="P51" s="49">
        <v>0.03</v>
      </c>
      <c r="Q51" s="49">
        <v>0.03</v>
      </c>
      <c r="R51" s="49">
        <v>0.03</v>
      </c>
      <c r="S51" s="49">
        <v>0.03</v>
      </c>
      <c r="T51" s="49">
        <v>0.03</v>
      </c>
      <c r="U51" s="49">
        <v>0.03</v>
      </c>
      <c r="V51" s="49">
        <v>0.03</v>
      </c>
      <c r="W51" s="49">
        <v>0.03</v>
      </c>
      <c r="X51" s="49">
        <v>0.03</v>
      </c>
      <c r="Y51" s="49">
        <v>0.03</v>
      </c>
      <c r="Z51" s="49">
        <v>0.03</v>
      </c>
      <c r="AB51" s="3" t="s">
        <v>184</v>
      </c>
    </row>
    <row r="52" spans="3:28" x14ac:dyDescent="0.25">
      <c r="C52" s="7" t="s">
        <v>185</v>
      </c>
      <c r="D52" s="10">
        <f>D28/D50</f>
        <v>5.1169590643274858E-2</v>
      </c>
      <c r="E52" s="10">
        <f>E28/E50</f>
        <v>5.9796691249750844E-2</v>
      </c>
      <c r="F52" s="10">
        <f>F28/F50</f>
        <v>7.7586206896551727E-2</v>
      </c>
      <c r="G52" s="10">
        <f>G28/G50</f>
        <v>8.7025316455696208E-2</v>
      </c>
      <c r="H52" s="49">
        <v>0.08</v>
      </c>
      <c r="I52" s="49">
        <v>8.3000000000000004E-2</v>
      </c>
      <c r="J52" s="49">
        <v>8.3000000000000004E-2</v>
      </c>
      <c r="K52" s="49">
        <v>8.3000000000000004E-2</v>
      </c>
      <c r="L52" s="49">
        <v>8.2250000000000004E-2</v>
      </c>
      <c r="M52" s="49">
        <v>8.1500000000000003E-2</v>
      </c>
      <c r="N52" s="49">
        <v>8.0750000000000002E-2</v>
      </c>
      <c r="O52" s="49">
        <v>0.08</v>
      </c>
      <c r="P52" s="49">
        <v>0.08</v>
      </c>
      <c r="Q52" s="49">
        <v>0.08</v>
      </c>
      <c r="R52" s="49">
        <v>0.08</v>
      </c>
      <c r="S52" s="49">
        <v>0.08</v>
      </c>
      <c r="T52" s="49">
        <v>0.08</v>
      </c>
      <c r="U52" s="49">
        <v>0.08</v>
      </c>
      <c r="V52" s="49">
        <v>0.08</v>
      </c>
      <c r="W52" s="49">
        <v>0.08</v>
      </c>
      <c r="X52" s="49">
        <v>0.08</v>
      </c>
      <c r="Y52" s="49">
        <v>0.08</v>
      </c>
      <c r="Z52" s="49">
        <v>0.08</v>
      </c>
      <c r="AB52" s="3" t="s">
        <v>186</v>
      </c>
    </row>
    <row r="53" spans="3:28" x14ac:dyDescent="0.25">
      <c r="C53" s="7" t="s">
        <v>187</v>
      </c>
      <c r="G53" s="49">
        <v>0.314</v>
      </c>
      <c r="H53" s="49">
        <v>0.32300000000000001</v>
      </c>
      <c r="I53" s="49">
        <v>0.33300000000000002</v>
      </c>
      <c r="J53" s="49">
        <v>0.33400000000000002</v>
      </c>
      <c r="K53" s="49">
        <v>0.33500000000000002</v>
      </c>
      <c r="L53" s="49">
        <v>0.33500000000000002</v>
      </c>
      <c r="M53" s="49">
        <v>0.33500000000000002</v>
      </c>
      <c r="N53" s="49">
        <v>0.33500000000000002</v>
      </c>
      <c r="O53" s="49">
        <v>0.33500000000000002</v>
      </c>
      <c r="P53" s="49">
        <v>0.33500000000000002</v>
      </c>
      <c r="Q53" s="49">
        <v>0.33500000000000002</v>
      </c>
      <c r="R53" s="49">
        <v>0.33500000000000002</v>
      </c>
      <c r="S53" s="49">
        <v>0.33500000000000002</v>
      </c>
      <c r="T53" s="49">
        <v>0.33500000000000002</v>
      </c>
      <c r="U53" s="49">
        <v>0.33500000000000002</v>
      </c>
      <c r="V53" s="49">
        <v>0.33500000000000002</v>
      </c>
      <c r="W53" s="49">
        <v>0.33500000000000002</v>
      </c>
      <c r="X53" s="49">
        <v>0.33500000000000002</v>
      </c>
      <c r="Y53" s="49">
        <v>0.33500000000000002</v>
      </c>
      <c r="Z53" s="49">
        <v>0.33500000000000002</v>
      </c>
      <c r="AB53" s="3" t="s">
        <v>188</v>
      </c>
    </row>
    <row r="54" spans="3:28" x14ac:dyDescent="0.25">
      <c r="C54" s="7" t="s">
        <v>189</v>
      </c>
      <c r="G54" s="49">
        <v>0.14525139664804471</v>
      </c>
      <c r="H54" s="49">
        <v>0.1341463414634145</v>
      </c>
      <c r="I54" s="49">
        <v>0.12903225806451621</v>
      </c>
      <c r="J54" s="49">
        <v>0.1042741935483872</v>
      </c>
      <c r="K54" s="49">
        <v>7.9516129032258118E-2</v>
      </c>
      <c r="L54" s="49">
        <v>5.4758064516129051E-2</v>
      </c>
      <c r="M54" s="49">
        <v>0.03</v>
      </c>
      <c r="N54" s="49">
        <v>0.03</v>
      </c>
      <c r="O54" s="49">
        <v>0.03</v>
      </c>
      <c r="P54" s="49">
        <v>0.03</v>
      </c>
      <c r="Q54" s="49">
        <v>0.03</v>
      </c>
      <c r="R54" s="49">
        <v>0.03</v>
      </c>
      <c r="S54" s="49">
        <v>0.03</v>
      </c>
      <c r="T54" s="49">
        <v>0.03</v>
      </c>
      <c r="U54" s="49">
        <v>0.03</v>
      </c>
      <c r="V54" s="49">
        <v>0.03</v>
      </c>
      <c r="W54" s="49">
        <v>0.03</v>
      </c>
      <c r="X54" s="49">
        <v>0.03</v>
      </c>
      <c r="Y54" s="49">
        <v>0.03</v>
      </c>
      <c r="Z54" s="49">
        <v>0.03</v>
      </c>
      <c r="AB54" s="3" t="s">
        <v>190</v>
      </c>
    </row>
    <row r="55" spans="3:28" x14ac:dyDescent="0.25">
      <c r="C55" s="7" t="s">
        <v>191</v>
      </c>
      <c r="G55" s="49">
        <v>0.28446318520921171</v>
      </c>
      <c r="H55" s="49">
        <v>0.16161616161616149</v>
      </c>
      <c r="I55" s="49">
        <v>0.1521739130434783</v>
      </c>
      <c r="J55" s="49">
        <v>0.12773913043478261</v>
      </c>
      <c r="K55" s="49">
        <v>0.103304347826087</v>
      </c>
      <c r="L55" s="49">
        <v>7.8869565217391302E-2</v>
      </c>
      <c r="M55" s="49">
        <v>5.443478260869565E-2</v>
      </c>
      <c r="N55" s="49">
        <v>0.03</v>
      </c>
      <c r="O55" s="49">
        <v>0.03</v>
      </c>
      <c r="P55" s="49">
        <v>0.03</v>
      </c>
      <c r="Q55" s="49">
        <v>0.03</v>
      </c>
      <c r="R55" s="49">
        <v>0.03</v>
      </c>
      <c r="S55" s="49">
        <v>0.03</v>
      </c>
      <c r="T55" s="49">
        <v>0.03</v>
      </c>
      <c r="U55" s="49">
        <v>0.03</v>
      </c>
      <c r="V55" s="49">
        <v>0.03</v>
      </c>
      <c r="W55" s="49">
        <v>0.03</v>
      </c>
      <c r="X55" s="49">
        <v>0.03</v>
      </c>
      <c r="Y55" s="49">
        <v>0.03</v>
      </c>
      <c r="Z55" s="49">
        <v>0.03</v>
      </c>
      <c r="AB55" s="3" t="s">
        <v>192</v>
      </c>
    </row>
    <row r="56" spans="3:28" x14ac:dyDescent="0.25">
      <c r="C56" s="7" t="s">
        <v>125</v>
      </c>
      <c r="D56" s="10">
        <f>D14</f>
        <v>0.57399999999999995</v>
      </c>
      <c r="E56" s="10">
        <f>E14</f>
        <v>0.58499999999999996</v>
      </c>
      <c r="F56" s="10">
        <f>F14</f>
        <v>0.58199999999999996</v>
      </c>
      <c r="G56" s="49">
        <v>0.59460000000000002</v>
      </c>
      <c r="H56" s="49">
        <v>0.59509999999999996</v>
      </c>
      <c r="I56" s="49">
        <v>0.60199999999999998</v>
      </c>
      <c r="J56" s="49">
        <v>0.6</v>
      </c>
      <c r="K56" s="49">
        <v>0.6</v>
      </c>
      <c r="L56" s="49">
        <v>0.6</v>
      </c>
      <c r="M56" s="49">
        <v>0.6</v>
      </c>
      <c r="N56" s="49">
        <v>0.6</v>
      </c>
      <c r="O56" s="49">
        <v>0.6</v>
      </c>
      <c r="P56" s="49">
        <v>0.6</v>
      </c>
      <c r="Q56" s="49">
        <v>0.6</v>
      </c>
      <c r="R56" s="49">
        <v>0.6</v>
      </c>
      <c r="S56" s="49">
        <v>0.6</v>
      </c>
      <c r="T56" s="49">
        <v>0.6</v>
      </c>
      <c r="U56" s="49">
        <v>0.6</v>
      </c>
      <c r="V56" s="49">
        <v>0.6</v>
      </c>
      <c r="W56" s="49">
        <v>0.6</v>
      </c>
      <c r="X56" s="49">
        <v>0.6</v>
      </c>
      <c r="Y56" s="49">
        <v>0.6</v>
      </c>
      <c r="Z56" s="49">
        <v>0.6</v>
      </c>
      <c r="AB56" s="3" t="s">
        <v>193</v>
      </c>
    </row>
    <row r="57" spans="3:28" x14ac:dyDescent="0.25">
      <c r="C57" s="7" t="s">
        <v>194</v>
      </c>
      <c r="D57" s="10">
        <f>D16/D9</f>
        <v>2.1559615887606024E-2</v>
      </c>
      <c r="E57" s="10">
        <f>E16/E9</f>
        <v>2.1312812511081951E-2</v>
      </c>
      <c r="F57" s="10">
        <f>F16/F9</f>
        <v>2.0062695924764892E-2</v>
      </c>
      <c r="G57" s="49">
        <v>1.4E-2</v>
      </c>
      <c r="H57" s="49">
        <v>1.4E-2</v>
      </c>
      <c r="I57" s="49">
        <v>1.4E-2</v>
      </c>
      <c r="J57" s="49">
        <v>1.4E-2</v>
      </c>
      <c r="K57" s="49">
        <v>1.4E-2</v>
      </c>
      <c r="L57" s="49">
        <v>1.4E-2</v>
      </c>
      <c r="M57" s="49">
        <v>1.4E-2</v>
      </c>
      <c r="N57" s="49">
        <v>1.4E-2</v>
      </c>
      <c r="O57" s="49">
        <v>1.4E-2</v>
      </c>
      <c r="P57" s="49">
        <v>1.4E-2</v>
      </c>
      <c r="Q57" s="49">
        <v>1.4E-2</v>
      </c>
      <c r="R57" s="49">
        <v>1.4E-2</v>
      </c>
      <c r="S57" s="49">
        <v>1.4E-2</v>
      </c>
      <c r="T57" s="49">
        <v>1.4E-2</v>
      </c>
      <c r="U57" s="49">
        <v>1.4E-2</v>
      </c>
      <c r="V57" s="49">
        <v>1.4E-2</v>
      </c>
      <c r="W57" s="49">
        <v>1.4E-2</v>
      </c>
      <c r="X57" s="49">
        <v>1.4E-2</v>
      </c>
      <c r="Y57" s="49">
        <v>1.4E-2</v>
      </c>
      <c r="Z57" s="49">
        <v>1.4E-2</v>
      </c>
      <c r="AB57" s="3" t="s">
        <v>195</v>
      </c>
    </row>
    <row r="58" spans="3:28" x14ac:dyDescent="0.25">
      <c r="C58" s="7" t="s">
        <v>196</v>
      </c>
      <c r="D58" s="10">
        <f>D14-D15-D57</f>
        <v>0.35244038411239392</v>
      </c>
      <c r="E58" s="10">
        <f>E14-E15-E57</f>
        <v>0.35368718748891803</v>
      </c>
      <c r="F58" s="10">
        <f>F14-F15-F57</f>
        <v>0.34193730407523509</v>
      </c>
      <c r="G58" s="49">
        <v>0.25879999999999997</v>
      </c>
      <c r="H58" s="49">
        <v>0.23330000000000001</v>
      </c>
      <c r="I58" s="49">
        <v>0.2079</v>
      </c>
      <c r="J58" s="49">
        <v>0.21551999999999999</v>
      </c>
      <c r="K58" s="49">
        <v>0.22314000000000001</v>
      </c>
      <c r="L58" s="49">
        <v>0.23075999999999999</v>
      </c>
      <c r="M58" s="49">
        <v>0.23838000000000001</v>
      </c>
      <c r="N58" s="49">
        <v>0.246</v>
      </c>
      <c r="O58" s="49">
        <v>0.246</v>
      </c>
      <c r="P58" s="49">
        <v>0.246</v>
      </c>
      <c r="Q58" s="49">
        <v>0.246</v>
      </c>
      <c r="R58" s="49">
        <v>0.246</v>
      </c>
      <c r="S58" s="49">
        <v>0.246</v>
      </c>
      <c r="T58" s="49">
        <v>0.246</v>
      </c>
      <c r="U58" s="49">
        <v>0.246</v>
      </c>
      <c r="V58" s="49">
        <v>0.246</v>
      </c>
      <c r="W58" s="49">
        <v>0.246</v>
      </c>
      <c r="X58" s="49">
        <v>0.246</v>
      </c>
      <c r="Y58" s="49">
        <v>0.246</v>
      </c>
      <c r="Z58" s="49">
        <v>0.246</v>
      </c>
      <c r="AB58" s="3" t="s">
        <v>197</v>
      </c>
    </row>
    <row r="59" spans="3:28" x14ac:dyDescent="0.25">
      <c r="C59" s="7" t="s">
        <v>198</v>
      </c>
      <c r="D59" s="49">
        <v>0.14599999999999999</v>
      </c>
      <c r="E59" s="49">
        <v>9.8000000000000004E-2</v>
      </c>
      <c r="F59" s="49">
        <v>0.121</v>
      </c>
      <c r="G59" s="49">
        <v>0.15</v>
      </c>
      <c r="H59" s="49">
        <v>0.15</v>
      </c>
      <c r="I59" s="49">
        <v>0.155</v>
      </c>
      <c r="J59" s="49">
        <v>0.16</v>
      </c>
      <c r="K59" s="49">
        <v>0.16</v>
      </c>
      <c r="L59" s="49">
        <v>0.16</v>
      </c>
      <c r="M59" s="49">
        <v>0.16</v>
      </c>
      <c r="N59" s="49">
        <v>0.16</v>
      </c>
      <c r="O59" s="49">
        <v>0.16</v>
      </c>
      <c r="P59" s="49">
        <v>0.16</v>
      </c>
      <c r="Q59" s="49">
        <v>0.16</v>
      </c>
      <c r="R59" s="49">
        <v>0.16</v>
      </c>
      <c r="S59" s="49">
        <v>0.16</v>
      </c>
      <c r="T59" s="49">
        <v>0.16</v>
      </c>
      <c r="U59" s="49">
        <v>0.16</v>
      </c>
      <c r="V59" s="49">
        <v>0.16</v>
      </c>
      <c r="W59" s="49">
        <v>0.16</v>
      </c>
      <c r="X59" s="49">
        <v>0.16</v>
      </c>
      <c r="Y59" s="49">
        <v>0.16</v>
      </c>
      <c r="Z59" s="49">
        <v>0.16</v>
      </c>
      <c r="AB59" s="3" t="s">
        <v>199</v>
      </c>
    </row>
    <row r="60" spans="3:28" x14ac:dyDescent="0.25">
      <c r="C60" s="7" t="s">
        <v>200</v>
      </c>
      <c r="D60" s="10">
        <f>D17/D9</f>
        <v>3.4413182378657099E-2</v>
      </c>
      <c r="E60" s="10">
        <f>E17/E9</f>
        <v>3.581687293875669E-2</v>
      </c>
      <c r="F60" s="10">
        <f>F17/F9</f>
        <v>3.4921630094043886E-2</v>
      </c>
      <c r="G60" s="49">
        <v>2.4E-2</v>
      </c>
      <c r="H60" s="49">
        <v>2.4E-2</v>
      </c>
      <c r="I60" s="49">
        <v>2.4E-2</v>
      </c>
      <c r="J60" s="49">
        <v>2.4E-2</v>
      </c>
      <c r="K60" s="49">
        <v>2.4E-2</v>
      </c>
      <c r="L60" s="49">
        <v>2.4E-2</v>
      </c>
      <c r="M60" s="49">
        <v>2.4E-2</v>
      </c>
      <c r="N60" s="49">
        <v>2.4E-2</v>
      </c>
      <c r="O60" s="49">
        <v>2.4E-2</v>
      </c>
      <c r="P60" s="49">
        <v>2.4E-2</v>
      </c>
      <c r="Q60" s="49">
        <v>2.4E-2</v>
      </c>
      <c r="R60" s="49">
        <v>2.4E-2</v>
      </c>
      <c r="S60" s="49">
        <v>2.4E-2</v>
      </c>
      <c r="T60" s="49">
        <v>2.4E-2</v>
      </c>
      <c r="U60" s="49">
        <v>2.4E-2</v>
      </c>
      <c r="V60" s="49">
        <v>2.4E-2</v>
      </c>
      <c r="W60" s="49">
        <v>2.4E-2</v>
      </c>
      <c r="X60" s="49">
        <v>2.4E-2</v>
      </c>
      <c r="Y60" s="49">
        <v>2.4E-2</v>
      </c>
      <c r="Z60" s="49">
        <v>2.4E-2</v>
      </c>
      <c r="AB60" s="3" t="s">
        <v>201</v>
      </c>
    </row>
    <row r="61" spans="3:28" x14ac:dyDescent="0.25">
      <c r="C61" s="7" t="s">
        <v>202</v>
      </c>
      <c r="D61" s="10">
        <f>D18/D9</f>
        <v>5.9634570115457905E-2</v>
      </c>
      <c r="E61" s="10">
        <f>E18/E9</f>
        <v>7.0250718110571292E-2</v>
      </c>
      <c r="F61" s="10">
        <f>F18/F9</f>
        <v>7.0219435736677119E-2</v>
      </c>
      <c r="G61" s="49">
        <v>6.9000000000000006E-2</v>
      </c>
      <c r="H61" s="49">
        <v>6.0999999999999999E-2</v>
      </c>
      <c r="I61" s="49">
        <v>5.6000000000000001E-2</v>
      </c>
      <c r="J61" s="49">
        <v>0.05</v>
      </c>
      <c r="K61" s="49">
        <v>0.05</v>
      </c>
      <c r="L61" s="49">
        <v>0.05</v>
      </c>
      <c r="M61" s="49">
        <v>0.05</v>
      </c>
      <c r="N61" s="49">
        <v>0.05</v>
      </c>
      <c r="O61" s="49">
        <v>0.05</v>
      </c>
      <c r="P61" s="49">
        <v>0.05</v>
      </c>
      <c r="Q61" s="49">
        <v>0.05</v>
      </c>
      <c r="R61" s="49">
        <v>0.05</v>
      </c>
      <c r="S61" s="49">
        <v>0.05</v>
      </c>
      <c r="T61" s="49">
        <v>0.05</v>
      </c>
      <c r="U61" s="49">
        <v>0.05</v>
      </c>
      <c r="V61" s="49">
        <v>0.05</v>
      </c>
      <c r="W61" s="49">
        <v>0.05</v>
      </c>
      <c r="X61" s="49">
        <v>0.05</v>
      </c>
      <c r="Y61" s="49">
        <v>0.05</v>
      </c>
      <c r="Z61" s="49">
        <v>0.05</v>
      </c>
      <c r="AB61" s="3" t="s">
        <v>203</v>
      </c>
    </row>
    <row r="62" spans="3:28" x14ac:dyDescent="0.25">
      <c r="C62" s="7" t="s">
        <v>204</v>
      </c>
      <c r="D62" s="10">
        <f>(D19+D20-D21)/D9</f>
        <v>0.20625490415872658</v>
      </c>
      <c r="E62" s="10">
        <f>(E19+E20-E21)/E9</f>
        <v>0.22522075250895418</v>
      </c>
      <c r="F62" s="10">
        <f>(F19+F20-F21)/F9</f>
        <v>0.28128526645768026</v>
      </c>
      <c r="G62" s="49">
        <v>0.25</v>
      </c>
      <c r="H62" s="49">
        <v>0.25</v>
      </c>
      <c r="I62" s="49">
        <v>0.25</v>
      </c>
      <c r="J62" s="49">
        <v>0.25</v>
      </c>
      <c r="K62" s="49">
        <v>0.25</v>
      </c>
      <c r="L62" s="49">
        <v>0.25</v>
      </c>
      <c r="M62" s="49">
        <v>0.25</v>
      </c>
      <c r="N62" s="49">
        <v>0.25</v>
      </c>
      <c r="O62" s="49">
        <v>0.25</v>
      </c>
      <c r="P62" s="49">
        <v>0.25</v>
      </c>
      <c r="Q62" s="49">
        <v>0.25</v>
      </c>
      <c r="R62" s="49">
        <v>0.25</v>
      </c>
      <c r="S62" s="49">
        <v>0.25</v>
      </c>
      <c r="T62" s="49">
        <v>0.25</v>
      </c>
      <c r="U62" s="49">
        <v>0.25</v>
      </c>
      <c r="V62" s="49">
        <v>0.25</v>
      </c>
      <c r="W62" s="49">
        <v>0.25</v>
      </c>
      <c r="X62" s="49">
        <v>0.25</v>
      </c>
      <c r="Y62" s="49">
        <v>0.25</v>
      </c>
      <c r="Z62" s="49">
        <v>0.25</v>
      </c>
      <c r="AB62" s="3" t="s">
        <v>205</v>
      </c>
    </row>
    <row r="63" spans="3:28" x14ac:dyDescent="0.25">
      <c r="C63" s="7" t="s">
        <v>206</v>
      </c>
      <c r="G63" s="48">
        <v>20</v>
      </c>
      <c r="H63" s="48">
        <v>20</v>
      </c>
      <c r="I63" s="48">
        <v>20</v>
      </c>
      <c r="J63" s="48">
        <v>20</v>
      </c>
      <c r="K63" s="48">
        <v>20</v>
      </c>
      <c r="L63" s="48">
        <v>20</v>
      </c>
      <c r="M63" s="48">
        <v>20</v>
      </c>
      <c r="N63" s="48">
        <v>20</v>
      </c>
      <c r="O63" s="48">
        <v>20</v>
      </c>
      <c r="P63" s="48">
        <v>20</v>
      </c>
      <c r="Q63" s="48">
        <v>20</v>
      </c>
      <c r="R63" s="48">
        <v>20</v>
      </c>
      <c r="S63" s="48">
        <v>20</v>
      </c>
      <c r="T63" s="48">
        <v>20</v>
      </c>
      <c r="U63" s="48">
        <v>20</v>
      </c>
      <c r="V63" s="48">
        <v>20</v>
      </c>
      <c r="W63" s="48">
        <v>20</v>
      </c>
      <c r="X63" s="48">
        <v>20</v>
      </c>
      <c r="Y63" s="48">
        <v>20</v>
      </c>
      <c r="Z63" s="48">
        <v>20</v>
      </c>
      <c r="AB63" s="3" t="s">
        <v>207</v>
      </c>
    </row>
    <row r="64" spans="3:28" x14ac:dyDescent="0.25">
      <c r="C64" s="7" t="s">
        <v>208</v>
      </c>
      <c r="G64" s="48">
        <v>22</v>
      </c>
      <c r="H64" s="48">
        <v>22</v>
      </c>
      <c r="I64" s="48">
        <v>22</v>
      </c>
      <c r="J64" s="48">
        <v>22</v>
      </c>
      <c r="K64" s="48">
        <v>22</v>
      </c>
      <c r="L64" s="48">
        <v>22</v>
      </c>
      <c r="M64" s="48">
        <v>22</v>
      </c>
      <c r="N64" s="48">
        <v>22</v>
      </c>
      <c r="O64" s="48">
        <v>22</v>
      </c>
      <c r="P64" s="48">
        <v>22</v>
      </c>
      <c r="Q64" s="48">
        <v>22</v>
      </c>
      <c r="R64" s="48">
        <v>22</v>
      </c>
      <c r="S64" s="48">
        <v>22</v>
      </c>
      <c r="T64" s="48">
        <v>22</v>
      </c>
      <c r="U64" s="48">
        <v>22</v>
      </c>
      <c r="V64" s="48">
        <v>22</v>
      </c>
      <c r="W64" s="48">
        <v>22</v>
      </c>
      <c r="X64" s="48">
        <v>22</v>
      </c>
      <c r="Y64" s="48">
        <v>22</v>
      </c>
      <c r="Z64" s="48">
        <v>22</v>
      </c>
      <c r="AB64" s="3" t="s">
        <v>209</v>
      </c>
    </row>
    <row r="65" spans="3:28" x14ac:dyDescent="0.25">
      <c r="C65" s="7" t="s">
        <v>210</v>
      </c>
      <c r="G65" s="48">
        <v>157.80000000000001</v>
      </c>
      <c r="H65" s="48">
        <v>157.5</v>
      </c>
      <c r="I65" s="48">
        <v>157</v>
      </c>
      <c r="J65" s="48">
        <v>156.5</v>
      </c>
      <c r="K65" s="48">
        <v>156</v>
      </c>
      <c r="L65" s="48">
        <v>155.5</v>
      </c>
      <c r="M65" s="48">
        <v>155</v>
      </c>
      <c r="N65" s="48">
        <v>154.5</v>
      </c>
      <c r="O65" s="48">
        <v>154</v>
      </c>
      <c r="P65" s="48">
        <v>153.5</v>
      </c>
      <c r="Q65" s="48">
        <v>153.5</v>
      </c>
      <c r="R65" s="48">
        <v>153.5</v>
      </c>
      <c r="S65" s="48">
        <v>153.5</v>
      </c>
      <c r="T65" s="48">
        <v>153.5</v>
      </c>
      <c r="U65" s="48">
        <v>153.5</v>
      </c>
      <c r="V65" s="48">
        <v>153.5</v>
      </c>
      <c r="W65" s="48">
        <v>153.5</v>
      </c>
      <c r="X65" s="48">
        <v>153.5</v>
      </c>
      <c r="Y65" s="48">
        <v>153.5</v>
      </c>
      <c r="Z65" s="48">
        <v>153.5</v>
      </c>
      <c r="AB65" s="3" t="s">
        <v>211</v>
      </c>
    </row>
    <row r="66" spans="3:28" x14ac:dyDescent="0.25">
      <c r="C66" s="3"/>
    </row>
    <row r="67" spans="3:28" x14ac:dyDescent="0.25">
      <c r="C67" s="3" t="s">
        <v>212</v>
      </c>
    </row>
    <row r="68" spans="3:28" x14ac:dyDescent="0.25">
      <c r="C68" s="3" t="s">
        <v>213</v>
      </c>
    </row>
    <row r="69" spans="3:28" x14ac:dyDescent="0.25">
      <c r="C69" s="3" t="s">
        <v>214</v>
      </c>
    </row>
    <row r="70" spans="3:28" x14ac:dyDescent="0.25">
      <c r="C70" s="3" t="s">
        <v>215</v>
      </c>
    </row>
    <row r="71" spans="3:28" x14ac:dyDescent="0.25">
      <c r="C71" s="3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 DCF - Base</vt:lpstr>
      <vt:lpstr>Premissas 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2026-09-18T14:44:37Z</dcterms:created>
  <dcterms:modified xsi:type="dcterms:W3CDTF">2026-09-18T19:03:20Z</dcterms:modified>
</cp:coreProperties>
</file>