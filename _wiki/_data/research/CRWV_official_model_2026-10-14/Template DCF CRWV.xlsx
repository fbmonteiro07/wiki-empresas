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iki Felipe empresas\_wiki\_data\research\CRWV_official_model_2026-10-14\"/>
    </mc:Choice>
  </mc:AlternateContent>
  <xr:revisionPtr revIDLastSave="0" documentId="13_ncr:1_{A03BDB17-08A6-4A65-BB40-3FA6AFC32B5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CF Cover - Base" sheetId="1" r:id="rId1"/>
    <sheet name="Assumptions &amp; sources" sheetId="2" r:id="rId2"/>
    <sheet name="History" sheetId="3" r:id="rId3"/>
    <sheet name="Deb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4" l="1"/>
  <c r="H24" i="4"/>
  <c r="H26" i="4" s="1"/>
  <c r="G24" i="4"/>
  <c r="L36" i="3"/>
  <c r="J36" i="3"/>
  <c r="L35" i="3"/>
  <c r="K35" i="3"/>
  <c r="J35" i="3"/>
  <c r="I35" i="3"/>
  <c r="H35" i="3"/>
  <c r="L33" i="3"/>
  <c r="L34" i="3" s="1"/>
  <c r="K33" i="3"/>
  <c r="K34" i="3" s="1"/>
  <c r="J33" i="3"/>
  <c r="J34" i="3" s="1"/>
  <c r="I33" i="3"/>
  <c r="I34" i="3" s="1"/>
  <c r="H33" i="3"/>
  <c r="H34" i="3" s="1"/>
  <c r="L21" i="3"/>
  <c r="K21" i="3"/>
  <c r="J21" i="3"/>
  <c r="I21" i="3"/>
  <c r="H21" i="3"/>
  <c r="G21" i="3"/>
  <c r="F21" i="3"/>
  <c r="E21" i="3"/>
  <c r="D70" i="2"/>
  <c r="D69" i="2"/>
  <c r="I144" i="1"/>
  <c r="H144" i="1"/>
  <c r="G144" i="1"/>
  <c r="I143" i="1"/>
  <c r="H143" i="1"/>
  <c r="G143" i="1"/>
  <c r="F142" i="1"/>
  <c r="E142" i="1"/>
  <c r="F141" i="1"/>
  <c r="E141" i="1"/>
  <c r="G136" i="1"/>
  <c r="F134" i="1"/>
  <c r="E134" i="1"/>
  <c r="G133" i="1"/>
  <c r="G145" i="1" s="1"/>
  <c r="F133" i="1"/>
  <c r="E133" i="1"/>
  <c r="G127" i="1"/>
  <c r="I113" i="1"/>
  <c r="H113" i="1"/>
  <c r="G113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I110" i="1"/>
  <c r="H110" i="1"/>
  <c r="G110" i="1"/>
  <c r="F110" i="1"/>
  <c r="E110" i="1"/>
  <c r="D110" i="1"/>
  <c r="F106" i="1"/>
  <c r="E106" i="1"/>
  <c r="D106" i="1"/>
  <c r="F104" i="1"/>
  <c r="D87" i="1"/>
  <c r="E71" i="1"/>
  <c r="E70" i="1"/>
  <c r="E69" i="1"/>
  <c r="E68" i="1"/>
  <c r="D63" i="1"/>
  <c r="D62" i="1"/>
  <c r="D61" i="1"/>
  <c r="D60" i="1"/>
  <c r="D59" i="1"/>
  <c r="D58" i="1"/>
  <c r="D57" i="1"/>
  <c r="F53" i="1"/>
  <c r="E53" i="1"/>
  <c r="D53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F44" i="1"/>
  <c r="F45" i="1" s="1"/>
  <c r="E44" i="1"/>
  <c r="I41" i="1"/>
  <c r="H41" i="1"/>
  <c r="G41" i="1"/>
  <c r="G40" i="1"/>
  <c r="G139" i="1" s="1"/>
  <c r="F40" i="1"/>
  <c r="F139" i="1" s="1"/>
  <c r="E40" i="1"/>
  <c r="E139" i="1" s="1"/>
  <c r="D40" i="1"/>
  <c r="I37" i="1"/>
  <c r="I39" i="1" s="1"/>
  <c r="H37" i="1"/>
  <c r="H39" i="1" s="1"/>
  <c r="G37" i="1"/>
  <c r="G39" i="1" s="1"/>
  <c r="F37" i="1"/>
  <c r="E37" i="1"/>
  <c r="D37" i="1"/>
  <c r="Z35" i="1"/>
  <c r="Y35" i="1"/>
  <c r="X35" i="1"/>
  <c r="W35" i="1"/>
  <c r="V35" i="1"/>
  <c r="U35" i="1"/>
  <c r="T35" i="1"/>
  <c r="S35" i="1"/>
  <c r="R35" i="1"/>
  <c r="Q35" i="1"/>
  <c r="P35" i="1"/>
  <c r="D91" i="1" s="1"/>
  <c r="O35" i="1"/>
  <c r="O36" i="1" s="1"/>
  <c r="N35" i="1"/>
  <c r="N36" i="1" s="1"/>
  <c r="M35" i="1"/>
  <c r="L35" i="1"/>
  <c r="K35" i="1"/>
  <c r="J35" i="1"/>
  <c r="I35" i="1"/>
  <c r="H35" i="1"/>
  <c r="G35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0" i="1"/>
  <c r="E30" i="1"/>
  <c r="D30" i="1"/>
  <c r="I29" i="1"/>
  <c r="H29" i="1"/>
  <c r="G29" i="1"/>
  <c r="F26" i="1"/>
  <c r="E26" i="1"/>
  <c r="D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I24" i="1"/>
  <c r="H24" i="1"/>
  <c r="G24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K136" i="1" s="1"/>
  <c r="J22" i="1"/>
  <c r="J136" i="1" s="1"/>
  <c r="I22" i="1"/>
  <c r="I136" i="1" s="1"/>
  <c r="H22" i="1"/>
  <c r="H136" i="1" s="1"/>
  <c r="G22" i="1"/>
  <c r="I17" i="1"/>
  <c r="H17" i="1"/>
  <c r="G17" i="1"/>
  <c r="G15" i="1"/>
  <c r="F15" i="1"/>
  <c r="E15" i="1"/>
  <c r="D15" i="1"/>
  <c r="Z12" i="1"/>
  <c r="Z122" i="1" s="1"/>
  <c r="Y12" i="1"/>
  <c r="Y122" i="1" s="1"/>
  <c r="X12" i="1"/>
  <c r="X122" i="1" s="1"/>
  <c r="W12" i="1"/>
  <c r="W122" i="1" s="1"/>
  <c r="V12" i="1"/>
  <c r="V122" i="1" s="1"/>
  <c r="U12" i="1"/>
  <c r="U122" i="1" s="1"/>
  <c r="T12" i="1"/>
  <c r="T122" i="1" s="1"/>
  <c r="S12" i="1"/>
  <c r="S122" i="1" s="1"/>
  <c r="R12" i="1"/>
  <c r="R122" i="1" s="1"/>
  <c r="Q12" i="1"/>
  <c r="Q122" i="1" s="1"/>
  <c r="P12" i="1"/>
  <c r="O12" i="1"/>
  <c r="O122" i="1" s="1"/>
  <c r="N12" i="1"/>
  <c r="N122" i="1" s="1"/>
  <c r="M12" i="1"/>
  <c r="M122" i="1" s="1"/>
  <c r="L12" i="1"/>
  <c r="L122" i="1" s="1"/>
  <c r="K12" i="1"/>
  <c r="J12" i="1"/>
  <c r="I12" i="1"/>
  <c r="H12" i="1"/>
  <c r="G11" i="1"/>
  <c r="G12" i="1" s="1"/>
  <c r="P9" i="1"/>
  <c r="O9" i="1"/>
  <c r="N9" i="1"/>
  <c r="M9" i="1"/>
  <c r="L9" i="1"/>
  <c r="K9" i="1"/>
  <c r="J9" i="1"/>
  <c r="I9" i="1"/>
  <c r="H9" i="1"/>
  <c r="G9" i="1"/>
  <c r="F8" i="1"/>
  <c r="E8" i="1"/>
  <c r="D8" i="1"/>
  <c r="M36" i="1" l="1"/>
  <c r="L36" i="1"/>
  <c r="K36" i="1"/>
  <c r="J36" i="1"/>
  <c r="I36" i="1"/>
  <c r="I40" i="1" s="1"/>
  <c r="H36" i="1"/>
  <c r="H40" i="1" s="1"/>
  <c r="G36" i="1"/>
  <c r="G42" i="1" s="1"/>
  <c r="G121" i="1" s="1"/>
  <c r="I38" i="1"/>
  <c r="O37" i="1" s="1"/>
  <c r="H38" i="1"/>
  <c r="N37" i="1" s="1"/>
  <c r="G38" i="1"/>
  <c r="D64" i="1"/>
  <c r="D77" i="1" s="1"/>
  <c r="P122" i="1"/>
  <c r="D85" i="1"/>
  <c r="K135" i="1"/>
  <c r="K122" i="1"/>
  <c r="J135" i="1"/>
  <c r="J122" i="1"/>
  <c r="I135" i="1"/>
  <c r="I122" i="1"/>
  <c r="H135" i="1"/>
  <c r="H122" i="1"/>
  <c r="G26" i="4"/>
  <c r="G28" i="4"/>
  <c r="G25" i="4"/>
  <c r="D93" i="1"/>
  <c r="D99" i="1" s="1"/>
  <c r="D92" i="1"/>
  <c r="H59" i="1"/>
  <c r="J59" i="1"/>
  <c r="K59" i="1"/>
  <c r="I59" i="1"/>
  <c r="G59" i="1"/>
  <c r="F63" i="1"/>
  <c r="F62" i="1"/>
  <c r="F61" i="1"/>
  <c r="F60" i="1"/>
  <c r="F64" i="1"/>
  <c r="Z52" i="1"/>
  <c r="Z51" i="1"/>
  <c r="Y51" i="1"/>
  <c r="Y52" i="1"/>
  <c r="X52" i="1"/>
  <c r="X51" i="1"/>
  <c r="W51" i="1"/>
  <c r="W52" i="1"/>
  <c r="V52" i="1"/>
  <c r="V51" i="1"/>
  <c r="U52" i="1"/>
  <c r="U51" i="1"/>
  <c r="T52" i="1"/>
  <c r="T51" i="1"/>
  <c r="S52" i="1"/>
  <c r="S51" i="1"/>
  <c r="R52" i="1"/>
  <c r="R51" i="1"/>
  <c r="Q51" i="1"/>
  <c r="Q52" i="1"/>
  <c r="P52" i="1"/>
  <c r="P51" i="1"/>
  <c r="O51" i="1"/>
  <c r="O52" i="1"/>
  <c r="N52" i="1"/>
  <c r="N51" i="1"/>
  <c r="M52" i="1"/>
  <c r="M51" i="1"/>
  <c r="L52" i="1"/>
  <c r="L51" i="1"/>
  <c r="K51" i="1"/>
  <c r="K52" i="1"/>
  <c r="J51" i="1"/>
  <c r="J52" i="1"/>
  <c r="I52" i="1"/>
  <c r="I51" i="1"/>
  <c r="H51" i="1"/>
  <c r="H52" i="1"/>
  <c r="G51" i="1"/>
  <c r="G52" i="1"/>
  <c r="F52" i="1"/>
  <c r="F51" i="1"/>
  <c r="F54" i="1" s="1"/>
  <c r="E52" i="1"/>
  <c r="E51" i="1"/>
  <c r="E54" i="1" s="1"/>
  <c r="D51" i="1"/>
  <c r="D54" i="1" s="1"/>
  <c r="D52" i="1"/>
  <c r="G16" i="1"/>
  <c r="G44" i="1"/>
  <c r="G45" i="1" s="1"/>
  <c r="G18" i="1"/>
  <c r="G23" i="1"/>
  <c r="G30" i="1"/>
  <c r="F16" i="1"/>
  <c r="F22" i="1"/>
  <c r="E16" i="1"/>
  <c r="E22" i="1"/>
  <c r="G122" i="1"/>
  <c r="G135" i="1"/>
  <c r="G8" i="1"/>
  <c r="F9" i="1"/>
  <c r="F38" i="1" s="1"/>
  <c r="G10" i="1"/>
  <c r="E9" i="1"/>
  <c r="E38" i="1" s="1"/>
  <c r="F10" i="1"/>
  <c r="F11" i="1"/>
  <c r="F12" i="1" s="1"/>
  <c r="D9" i="1"/>
  <c r="D38" i="1" s="1"/>
  <c r="J37" i="1" s="1"/>
  <c r="E10" i="1"/>
  <c r="E11" i="1"/>
  <c r="E12" i="1" s="1"/>
  <c r="I139" i="1" l="1"/>
  <c r="I43" i="1"/>
  <c r="I123" i="1" s="1"/>
  <c r="H43" i="1"/>
  <c r="H123" i="1" s="1"/>
  <c r="H139" i="1"/>
  <c r="O39" i="1"/>
  <c r="O40" i="1" s="1"/>
  <c r="O43" i="1" s="1"/>
  <c r="O123" i="1" s="1"/>
  <c r="O38" i="1"/>
  <c r="U37" i="1" s="1"/>
  <c r="U39" i="1" s="1"/>
  <c r="N39" i="1"/>
  <c r="N40" i="1" s="1"/>
  <c r="N38" i="1"/>
  <c r="T37" i="1" s="1"/>
  <c r="T39" i="1" s="1"/>
  <c r="M37" i="1"/>
  <c r="G43" i="1"/>
  <c r="G123" i="1" s="1"/>
  <c r="G146" i="1"/>
  <c r="D88" i="1"/>
  <c r="D86" i="1"/>
  <c r="D90" i="1" s="1"/>
  <c r="F136" i="1"/>
  <c r="F23" i="1"/>
  <c r="E136" i="1"/>
  <c r="E23" i="1"/>
  <c r="D89" i="1"/>
  <c r="G137" i="1"/>
  <c r="F27" i="1"/>
  <c r="F137" i="1"/>
  <c r="E27" i="1"/>
  <c r="E137" i="1"/>
  <c r="H8" i="1"/>
  <c r="H10" i="1"/>
  <c r="H26" i="1" s="1"/>
  <c r="H11" i="1"/>
  <c r="H15" i="1" s="1"/>
  <c r="G134" i="1"/>
  <c r="F43" i="1"/>
  <c r="L37" i="1"/>
  <c r="G13" i="1"/>
  <c r="G26" i="1"/>
  <c r="G27" i="1" s="1"/>
  <c r="E43" i="1"/>
  <c r="K37" i="1"/>
  <c r="F13" i="1"/>
  <c r="F25" i="1"/>
  <c r="F122" i="1"/>
  <c r="F135" i="1"/>
  <c r="J38" i="1"/>
  <c r="P37" i="1" s="1"/>
  <c r="J39" i="1"/>
  <c r="J40" i="1" s="1"/>
  <c r="E13" i="1"/>
  <c r="E25" i="1"/>
  <c r="E122" i="1"/>
  <c r="E135" i="1"/>
  <c r="N43" i="1" l="1"/>
  <c r="N123" i="1" s="1"/>
  <c r="M38" i="1"/>
  <c r="M39" i="1"/>
  <c r="M40" i="1" s="1"/>
  <c r="F107" i="1"/>
  <c r="F146" i="1"/>
  <c r="D96" i="1"/>
  <c r="D94" i="1"/>
  <c r="G28" i="1"/>
  <c r="G138" i="1" s="1"/>
  <c r="G31" i="1"/>
  <c r="G119" i="1"/>
  <c r="G120" i="1"/>
  <c r="F28" i="1"/>
  <c r="F138" i="1" s="1"/>
  <c r="F31" i="1"/>
  <c r="F32" i="1" s="1"/>
  <c r="F119" i="1"/>
  <c r="E28" i="1"/>
  <c r="E138" i="1" s="1"/>
  <c r="E31" i="1"/>
  <c r="E32" i="1" s="1"/>
  <c r="E119" i="1"/>
  <c r="I8" i="1"/>
  <c r="I10" i="1"/>
  <c r="I26" i="1" s="1"/>
  <c r="I11" i="1"/>
  <c r="I15" i="1" s="1"/>
  <c r="G124" i="1" s="1"/>
  <c r="H134" i="1"/>
  <c r="H16" i="1"/>
  <c r="H18" i="1"/>
  <c r="H23" i="1"/>
  <c r="H30" i="1"/>
  <c r="H44" i="1"/>
  <c r="H45" i="1" s="1"/>
  <c r="H118" i="1"/>
  <c r="H133" i="1"/>
  <c r="H145" i="1" s="1"/>
  <c r="H13" i="1"/>
  <c r="L38" i="1"/>
  <c r="R37" i="1" s="1"/>
  <c r="R39" i="1" s="1"/>
  <c r="L39" i="1"/>
  <c r="L40" i="1" s="1"/>
  <c r="L43" i="1" s="1"/>
  <c r="L123" i="1" s="1"/>
  <c r="K38" i="1"/>
  <c r="Q37" i="1" s="1"/>
  <c r="Q39" i="1" s="1"/>
  <c r="K39" i="1"/>
  <c r="K40" i="1" s="1"/>
  <c r="P38" i="1"/>
  <c r="V37" i="1" s="1"/>
  <c r="V39" i="1" s="1"/>
  <c r="P39" i="1"/>
  <c r="J139" i="1"/>
  <c r="J43" i="1"/>
  <c r="J123" i="1" s="1"/>
  <c r="M43" i="1" l="1"/>
  <c r="M123" i="1" s="1"/>
  <c r="S37" i="1"/>
  <c r="S39" i="1" s="1"/>
  <c r="D95" i="1"/>
  <c r="D97" i="1"/>
  <c r="D98" i="1" s="1"/>
  <c r="G32" i="1"/>
  <c r="G34" i="1"/>
  <c r="G46" i="1" s="1"/>
  <c r="J8" i="1"/>
  <c r="J10" i="1" s="1"/>
  <c r="J26" i="1" s="1"/>
  <c r="J11" i="1"/>
  <c r="J15" i="1" s="1"/>
  <c r="I134" i="1"/>
  <c r="D79" i="1"/>
  <c r="I16" i="1"/>
  <c r="I18" i="1"/>
  <c r="I23" i="1"/>
  <c r="I30" i="1"/>
  <c r="I44" i="1"/>
  <c r="I45" i="1" s="1"/>
  <c r="I118" i="1"/>
  <c r="I133" i="1"/>
  <c r="I145" i="1" s="1"/>
  <c r="I13" i="1"/>
  <c r="D78" i="1"/>
  <c r="H146" i="1"/>
  <c r="H27" i="1"/>
  <c r="H137" i="1"/>
  <c r="K139" i="1"/>
  <c r="K43" i="1"/>
  <c r="K123" i="1" s="1"/>
  <c r="G105" i="1" l="1"/>
  <c r="G47" i="1"/>
  <c r="G53" i="1"/>
  <c r="G115" i="1"/>
  <c r="G140" i="1"/>
  <c r="K8" i="1"/>
  <c r="K10" i="1"/>
  <c r="K26" i="1" s="1"/>
  <c r="K11" i="1"/>
  <c r="K15" i="1" s="1"/>
  <c r="J134" i="1"/>
  <c r="J16" i="1"/>
  <c r="J23" i="1"/>
  <c r="J30" i="1"/>
  <c r="J44" i="1"/>
  <c r="J45" i="1" s="1"/>
  <c r="J118" i="1"/>
  <c r="J133" i="1"/>
  <c r="J13" i="1"/>
  <c r="I146" i="1"/>
  <c r="E78" i="1"/>
  <c r="I27" i="1"/>
  <c r="I137" i="1"/>
  <c r="H28" i="1"/>
  <c r="H138" i="1" s="1"/>
  <c r="H31" i="1"/>
  <c r="H119" i="1"/>
  <c r="G104" i="1" l="1"/>
  <c r="G114" i="1"/>
  <c r="G107" i="1"/>
  <c r="G109" i="1"/>
  <c r="G108" i="1"/>
  <c r="G54" i="1"/>
  <c r="L8" i="1"/>
  <c r="L10" i="1"/>
  <c r="L26" i="1" s="1"/>
  <c r="L11" i="1"/>
  <c r="L15" i="1" s="1"/>
  <c r="K134" i="1"/>
  <c r="G125" i="1"/>
  <c r="K16" i="1"/>
  <c r="K19" i="1"/>
  <c r="K23" i="1"/>
  <c r="K30" i="1"/>
  <c r="K44" i="1"/>
  <c r="K45" i="1" s="1"/>
  <c r="K118" i="1"/>
  <c r="K133" i="1"/>
  <c r="K13" i="1"/>
  <c r="J146" i="1"/>
  <c r="J27" i="1"/>
  <c r="J137" i="1"/>
  <c r="I28" i="1"/>
  <c r="I138" i="1" s="1"/>
  <c r="I31" i="1"/>
  <c r="I119" i="1"/>
  <c r="H32" i="1"/>
  <c r="H34" i="1"/>
  <c r="H46" i="1" s="1"/>
  <c r="H105" i="1" l="1"/>
  <c r="H104" i="1"/>
  <c r="H107" i="1"/>
  <c r="G141" i="1"/>
  <c r="G112" i="1"/>
  <c r="G142" i="1" s="1"/>
  <c r="M8" i="1"/>
  <c r="M10" i="1"/>
  <c r="M26" i="1" s="1"/>
  <c r="M11" i="1"/>
  <c r="M15" i="1" s="1"/>
  <c r="L16" i="1"/>
  <c r="L23" i="1"/>
  <c r="L27" i="1" s="1"/>
  <c r="L30" i="1"/>
  <c r="L44" i="1"/>
  <c r="L45" i="1" s="1"/>
  <c r="L118" i="1"/>
  <c r="L13" i="1"/>
  <c r="K146" i="1"/>
  <c r="K27" i="1"/>
  <c r="K137" i="1"/>
  <c r="J28" i="1"/>
  <c r="J138" i="1" s="1"/>
  <c r="J31" i="1"/>
  <c r="J119" i="1"/>
  <c r="I32" i="1"/>
  <c r="I34" i="1"/>
  <c r="H115" i="1"/>
  <c r="H47" i="1"/>
  <c r="H53" i="1"/>
  <c r="H140" i="1"/>
  <c r="H114" i="1" l="1"/>
  <c r="H108" i="1"/>
  <c r="H109" i="1"/>
  <c r="N8" i="1"/>
  <c r="N10" i="1"/>
  <c r="N26" i="1" s="1"/>
  <c r="N11" i="1"/>
  <c r="N15" i="1" s="1"/>
  <c r="M16" i="1"/>
  <c r="M23" i="1"/>
  <c r="M27" i="1" s="1"/>
  <c r="M30" i="1"/>
  <c r="M44" i="1"/>
  <c r="M45" i="1" s="1"/>
  <c r="M118" i="1"/>
  <c r="M13" i="1"/>
  <c r="L28" i="1"/>
  <c r="L31" i="1"/>
  <c r="L119" i="1"/>
  <c r="K28" i="1"/>
  <c r="K31" i="1"/>
  <c r="K119" i="1"/>
  <c r="J32" i="1"/>
  <c r="J34" i="1"/>
  <c r="I46" i="1"/>
  <c r="I48" i="1"/>
  <c r="H54" i="1"/>
  <c r="H141" i="1" l="1"/>
  <c r="H112" i="1"/>
  <c r="H142" i="1" s="1"/>
  <c r="O8" i="1"/>
  <c r="O10" i="1"/>
  <c r="O26" i="1" s="1"/>
  <c r="O11" i="1"/>
  <c r="O15" i="1" s="1"/>
  <c r="N16" i="1"/>
  <c r="N23" i="1"/>
  <c r="N27" i="1" s="1"/>
  <c r="N30" i="1"/>
  <c r="N44" i="1"/>
  <c r="N45" i="1" s="1"/>
  <c r="N118" i="1"/>
  <c r="N13" i="1"/>
  <c r="M28" i="1"/>
  <c r="M31" i="1"/>
  <c r="M119" i="1"/>
  <c r="L32" i="1"/>
  <c r="L34" i="1"/>
  <c r="K130" i="1"/>
  <c r="K138" i="1"/>
  <c r="K32" i="1"/>
  <c r="K34" i="1"/>
  <c r="J46" i="1"/>
  <c r="J48" i="1"/>
  <c r="I105" i="1"/>
  <c r="I104" i="1" s="1"/>
  <c r="I115" i="1"/>
  <c r="J115" i="1" s="1"/>
  <c r="I47" i="1"/>
  <c r="I53" i="1"/>
  <c r="I114" i="1"/>
  <c r="I140" i="1"/>
  <c r="P8" i="1" l="1"/>
  <c r="P10" i="1"/>
  <c r="P26" i="1" s="1"/>
  <c r="P11" i="1"/>
  <c r="P15" i="1" s="1"/>
  <c r="O16" i="1"/>
  <c r="O23" i="1"/>
  <c r="O27" i="1" s="1"/>
  <c r="O30" i="1"/>
  <c r="O44" i="1"/>
  <c r="O45" i="1" s="1"/>
  <c r="O118" i="1"/>
  <c r="O13" i="1"/>
  <c r="N28" i="1"/>
  <c r="N31" i="1"/>
  <c r="N119" i="1"/>
  <c r="M32" i="1"/>
  <c r="M34" i="1"/>
  <c r="L46" i="1"/>
  <c r="L48" i="1"/>
  <c r="K46" i="1"/>
  <c r="K48" i="1"/>
  <c r="J47" i="1"/>
  <c r="J53" i="1"/>
  <c r="J140" i="1"/>
  <c r="I109" i="1"/>
  <c r="I108" i="1"/>
  <c r="J105" i="1"/>
  <c r="I107" i="1"/>
  <c r="I54" i="1"/>
  <c r="J114" i="1" l="1"/>
  <c r="J104" i="1"/>
  <c r="Q9" i="1"/>
  <c r="P16" i="1"/>
  <c r="P23" i="1"/>
  <c r="P27" i="1" s="1"/>
  <c r="P30" i="1"/>
  <c r="P44" i="1"/>
  <c r="P45" i="1" s="1"/>
  <c r="P118" i="1"/>
  <c r="P13" i="1"/>
  <c r="O28" i="1"/>
  <c r="O31" i="1"/>
  <c r="O119" i="1"/>
  <c r="N32" i="1"/>
  <c r="N34" i="1"/>
  <c r="M46" i="1"/>
  <c r="M48" i="1"/>
  <c r="L47" i="1"/>
  <c r="L53" i="1"/>
  <c r="L54" i="1" s="1"/>
  <c r="K115" i="1"/>
  <c r="L115" i="1" s="1"/>
  <c r="K47" i="1"/>
  <c r="K53" i="1"/>
  <c r="K140" i="1"/>
  <c r="I141" i="1"/>
  <c r="I112" i="1"/>
  <c r="I142" i="1" s="1"/>
  <c r="J109" i="1"/>
  <c r="J108" i="1"/>
  <c r="J54" i="1"/>
  <c r="M115" i="1" l="1"/>
  <c r="J107" i="1"/>
  <c r="K105" i="1"/>
  <c r="Q8" i="1"/>
  <c r="Q10" i="1" s="1"/>
  <c r="Q26" i="1" s="1"/>
  <c r="Q11" i="1"/>
  <c r="Q15" i="1" s="1"/>
  <c r="R9" i="1"/>
  <c r="P36" i="1"/>
  <c r="P40" i="1" s="1"/>
  <c r="P43" i="1" s="1"/>
  <c r="P123" i="1" s="1"/>
  <c r="Q36" i="1"/>
  <c r="Q40" i="1" s="1"/>
  <c r="Q38" i="1"/>
  <c r="W37" i="1" s="1"/>
  <c r="W39" i="1" s="1"/>
  <c r="Q16" i="1"/>
  <c r="Q23" i="1"/>
  <c r="Q27" i="1" s="1"/>
  <c r="P28" i="1"/>
  <c r="P31" i="1"/>
  <c r="P119" i="1"/>
  <c r="O32" i="1"/>
  <c r="O34" i="1"/>
  <c r="N46" i="1"/>
  <c r="N48" i="1"/>
  <c r="M47" i="1"/>
  <c r="M53" i="1"/>
  <c r="K54" i="1"/>
  <c r="J112" i="1"/>
  <c r="J142" i="1" s="1"/>
  <c r="J141" i="1"/>
  <c r="K109" i="1" l="1"/>
  <c r="K108" i="1"/>
  <c r="K114" i="1"/>
  <c r="K104" i="1"/>
  <c r="Q30" i="1"/>
  <c r="Q44" i="1"/>
  <c r="Q45" i="1" s="1"/>
  <c r="Q118" i="1"/>
  <c r="Q13" i="1"/>
  <c r="Q43" i="1"/>
  <c r="Q123" i="1" s="1"/>
  <c r="R38" i="1"/>
  <c r="X37" i="1" s="1"/>
  <c r="X39" i="1" s="1"/>
  <c r="Q28" i="1"/>
  <c r="Q31" i="1"/>
  <c r="Q119" i="1"/>
  <c r="P32" i="1"/>
  <c r="P34" i="1"/>
  <c r="O46" i="1"/>
  <c r="O48" i="1"/>
  <c r="N115" i="1"/>
  <c r="O115" i="1" s="1"/>
  <c r="N47" i="1"/>
  <c r="N53" i="1"/>
  <c r="M54" i="1"/>
  <c r="R8" i="1"/>
  <c r="R11" i="1"/>
  <c r="R15" i="1" s="1"/>
  <c r="K141" i="1" l="1"/>
  <c r="K112" i="1"/>
  <c r="K142" i="1" s="1"/>
  <c r="K107" i="1"/>
  <c r="G126" i="1" s="1"/>
  <c r="L105" i="1"/>
  <c r="L104" i="1"/>
  <c r="Q32" i="1"/>
  <c r="Q34" i="1"/>
  <c r="P46" i="1"/>
  <c r="P48" i="1"/>
  <c r="O47" i="1"/>
  <c r="O53" i="1"/>
  <c r="N54" i="1"/>
  <c r="S9" i="1"/>
  <c r="S11" i="1" s="1"/>
  <c r="S15" i="1" s="1"/>
  <c r="S8" i="1"/>
  <c r="S10" i="1" s="1"/>
  <c r="S26" i="1" s="1"/>
  <c r="R10" i="1"/>
  <c r="R26" i="1" s="1"/>
  <c r="R13" i="1"/>
  <c r="R118" i="1"/>
  <c r="R44" i="1"/>
  <c r="R45" i="1" s="1"/>
  <c r="R30" i="1"/>
  <c r="R23" i="1"/>
  <c r="R27" i="1" s="1"/>
  <c r="R16" i="1"/>
  <c r="L114" i="1" l="1"/>
  <c r="L109" i="1"/>
  <c r="L108" i="1"/>
  <c r="L112" i="1" s="1"/>
  <c r="L107" i="1"/>
  <c r="M105" i="1"/>
  <c r="M104" i="1" s="1"/>
  <c r="N105" i="1" s="1"/>
  <c r="N104" i="1" s="1"/>
  <c r="Q46" i="1"/>
  <c r="Q48" i="1"/>
  <c r="P115" i="1"/>
  <c r="Q115" i="1" s="1"/>
  <c r="P47" i="1"/>
  <c r="P53" i="1"/>
  <c r="O54" i="1"/>
  <c r="M107" i="1"/>
  <c r="M114" i="1"/>
  <c r="M109" i="1"/>
  <c r="M108" i="1"/>
  <c r="M112" i="1" s="1"/>
  <c r="S16" i="1"/>
  <c r="S23" i="1"/>
  <c r="S27" i="1" s="1"/>
  <c r="S30" i="1"/>
  <c r="S44" i="1"/>
  <c r="S45" i="1" s="1"/>
  <c r="S118" i="1"/>
  <c r="S13" i="1"/>
  <c r="R36" i="1"/>
  <c r="R40" i="1" s="1"/>
  <c r="R43" i="1" s="1"/>
  <c r="R123" i="1" s="1"/>
  <c r="S38" i="1"/>
  <c r="Y37" i="1" s="1"/>
  <c r="Y39" i="1" s="1"/>
  <c r="T9" i="1"/>
  <c r="T11" i="1"/>
  <c r="T15" i="1" s="1"/>
  <c r="R28" i="1"/>
  <c r="R31" i="1"/>
  <c r="R119" i="1"/>
  <c r="Q47" i="1" l="1"/>
  <c r="Q53" i="1"/>
  <c r="P54" i="1"/>
  <c r="N114" i="1"/>
  <c r="N109" i="1"/>
  <c r="N108" i="1"/>
  <c r="N112" i="1" s="1"/>
  <c r="O105" i="1"/>
  <c r="O104" i="1" s="1"/>
  <c r="N107" i="1"/>
  <c r="S28" i="1"/>
  <c r="S31" i="1"/>
  <c r="S119" i="1"/>
  <c r="T38" i="1"/>
  <c r="Z37" i="1" s="1"/>
  <c r="Z39" i="1" s="1"/>
  <c r="T16" i="1"/>
  <c r="T23" i="1"/>
  <c r="T30" i="1"/>
  <c r="T44" i="1"/>
  <c r="T45" i="1" s="1"/>
  <c r="T118" i="1"/>
  <c r="R32" i="1"/>
  <c r="R34" i="1"/>
  <c r="S36" i="1"/>
  <c r="S40" i="1" s="1"/>
  <c r="S43" i="1" s="1"/>
  <c r="S123" i="1" s="1"/>
  <c r="T8" i="1"/>
  <c r="Q54" i="1" l="1"/>
  <c r="P105" i="1"/>
  <c r="P104" i="1" s="1"/>
  <c r="O107" i="1"/>
  <c r="O114" i="1"/>
  <c r="O109" i="1"/>
  <c r="O108" i="1"/>
  <c r="O112" i="1" s="1"/>
  <c r="S32" i="1"/>
  <c r="S34" i="1"/>
  <c r="R46" i="1"/>
  <c r="R48" i="1"/>
  <c r="U9" i="1"/>
  <c r="U11" i="1" s="1"/>
  <c r="U15" i="1" s="1"/>
  <c r="U8" i="1"/>
  <c r="U10" i="1" s="1"/>
  <c r="U26" i="1" s="1"/>
  <c r="T10" i="1"/>
  <c r="P114" i="1" l="1"/>
  <c r="P109" i="1"/>
  <c r="P108" i="1"/>
  <c r="P112" i="1" s="1"/>
  <c r="Q105" i="1"/>
  <c r="Q104" i="1" s="1"/>
  <c r="P107" i="1"/>
  <c r="S46" i="1"/>
  <c r="S48" i="1"/>
  <c r="R115" i="1"/>
  <c r="S115" i="1" s="1"/>
  <c r="R47" i="1"/>
  <c r="R53" i="1"/>
  <c r="U16" i="1"/>
  <c r="U23" i="1"/>
  <c r="U27" i="1" s="1"/>
  <c r="U30" i="1"/>
  <c r="U44" i="1"/>
  <c r="U45" i="1" s="1"/>
  <c r="U118" i="1"/>
  <c r="U13" i="1"/>
  <c r="T36" i="1"/>
  <c r="T40" i="1" s="1"/>
  <c r="T43" i="1" s="1"/>
  <c r="T123" i="1" s="1"/>
  <c r="U38" i="1"/>
  <c r="V9" i="1"/>
  <c r="V11" i="1"/>
  <c r="V15" i="1" s="1"/>
  <c r="T13" i="1"/>
  <c r="T26" i="1"/>
  <c r="T27" i="1" s="1"/>
  <c r="R105" i="1" l="1"/>
  <c r="R104" i="1" s="1"/>
  <c r="Q107" i="1"/>
  <c r="Q114" i="1"/>
  <c r="Q109" i="1"/>
  <c r="Q108" i="1"/>
  <c r="Q112" i="1" s="1"/>
  <c r="S47" i="1"/>
  <c r="S53" i="1"/>
  <c r="R54" i="1"/>
  <c r="U28" i="1"/>
  <c r="U31" i="1"/>
  <c r="U119" i="1"/>
  <c r="V38" i="1"/>
  <c r="V16" i="1"/>
  <c r="V23" i="1"/>
  <c r="V30" i="1"/>
  <c r="V44" i="1"/>
  <c r="V45" i="1" s="1"/>
  <c r="V118" i="1"/>
  <c r="T119" i="1"/>
  <c r="T31" i="1"/>
  <c r="T28" i="1"/>
  <c r="U36" i="1"/>
  <c r="U40" i="1" s="1"/>
  <c r="U43" i="1" s="1"/>
  <c r="U123" i="1" s="1"/>
  <c r="V8" i="1"/>
  <c r="S105" i="1" l="1"/>
  <c r="S104" i="1"/>
  <c r="R107" i="1"/>
  <c r="R114" i="1"/>
  <c r="R109" i="1"/>
  <c r="R108" i="1"/>
  <c r="R112" i="1" s="1"/>
  <c r="U32" i="1"/>
  <c r="U34" i="1"/>
  <c r="T32" i="1"/>
  <c r="T34" i="1"/>
  <c r="W9" i="1"/>
  <c r="V10" i="1"/>
  <c r="S54" i="1"/>
  <c r="W11" i="1" l="1"/>
  <c r="W15" i="1" s="1"/>
  <c r="W8" i="1"/>
  <c r="W10" i="1" s="1"/>
  <c r="W26" i="1" s="1"/>
  <c r="S114" i="1"/>
  <c r="S109" i="1"/>
  <c r="S108" i="1"/>
  <c r="S112" i="1" s="1"/>
  <c r="S107" i="1"/>
  <c r="U46" i="1"/>
  <c r="U48" i="1"/>
  <c r="T46" i="1"/>
  <c r="T48" i="1"/>
  <c r="W16" i="1"/>
  <c r="W23" i="1"/>
  <c r="W27" i="1" s="1"/>
  <c r="W30" i="1"/>
  <c r="W44" i="1"/>
  <c r="W45" i="1" s="1"/>
  <c r="W118" i="1"/>
  <c r="W13" i="1"/>
  <c r="V36" i="1"/>
  <c r="V40" i="1" s="1"/>
  <c r="V43" i="1" s="1"/>
  <c r="V123" i="1" s="1"/>
  <c r="W38" i="1"/>
  <c r="X9" i="1"/>
  <c r="X11" i="1"/>
  <c r="X15" i="1" s="1"/>
  <c r="V13" i="1"/>
  <c r="V26" i="1"/>
  <c r="V27" i="1" s="1"/>
  <c r="U47" i="1" l="1"/>
  <c r="U53" i="1"/>
  <c r="U54" i="1" s="1"/>
  <c r="T115" i="1"/>
  <c r="U115" i="1" s="1"/>
  <c r="T53" i="1"/>
  <c r="T47" i="1"/>
  <c r="W28" i="1"/>
  <c r="W31" i="1"/>
  <c r="W119" i="1"/>
  <c r="X38" i="1"/>
  <c r="X16" i="1"/>
  <c r="X23" i="1"/>
  <c r="X30" i="1"/>
  <c r="X44" i="1"/>
  <c r="X45" i="1" s="1"/>
  <c r="X118" i="1"/>
  <c r="V119" i="1"/>
  <c r="V31" i="1"/>
  <c r="V28" i="1"/>
  <c r="T105" i="1"/>
  <c r="W36" i="1"/>
  <c r="W40" i="1" s="1"/>
  <c r="W43" i="1" s="1"/>
  <c r="W123" i="1" s="1"/>
  <c r="X8" i="1"/>
  <c r="T54" i="1" l="1"/>
  <c r="W32" i="1"/>
  <c r="W34" i="1"/>
  <c r="V32" i="1"/>
  <c r="V34" i="1"/>
  <c r="T108" i="1"/>
  <c r="T112" i="1" s="1"/>
  <c r="T109" i="1"/>
  <c r="Y9" i="1"/>
  <c r="X10" i="1"/>
  <c r="T114" i="1"/>
  <c r="T104" i="1"/>
  <c r="Y11" i="1" l="1"/>
  <c r="Y15" i="1" s="1"/>
  <c r="Y8" i="1"/>
  <c r="Y10" i="1" s="1"/>
  <c r="Y26" i="1" s="1"/>
  <c r="W46" i="1"/>
  <c r="W48" i="1"/>
  <c r="V46" i="1"/>
  <c r="V48" i="1"/>
  <c r="Y16" i="1"/>
  <c r="Y23" i="1"/>
  <c r="Y27" i="1" s="1"/>
  <c r="Y30" i="1"/>
  <c r="Y44" i="1"/>
  <c r="Y45" i="1" s="1"/>
  <c r="Y118" i="1"/>
  <c r="Y13" i="1"/>
  <c r="X36" i="1"/>
  <c r="X40" i="1" s="1"/>
  <c r="X43" i="1" s="1"/>
  <c r="X123" i="1" s="1"/>
  <c r="Y38" i="1"/>
  <c r="Z9" i="1"/>
  <c r="Z11" i="1"/>
  <c r="Z15" i="1" s="1"/>
  <c r="X13" i="1"/>
  <c r="X26" i="1"/>
  <c r="X27" i="1" s="1"/>
  <c r="U105" i="1"/>
  <c r="U104" i="1" s="1"/>
  <c r="T107" i="1"/>
  <c r="W47" i="1" l="1"/>
  <c r="W53" i="1"/>
  <c r="W54" i="1" s="1"/>
  <c r="V115" i="1"/>
  <c r="W115" i="1" s="1"/>
  <c r="V47" i="1"/>
  <c r="V53" i="1"/>
  <c r="Y28" i="1"/>
  <c r="Y31" i="1"/>
  <c r="Y119" i="1"/>
  <c r="Z36" i="1"/>
  <c r="Z40" i="1" s="1"/>
  <c r="Z38" i="1"/>
  <c r="Z16" i="1"/>
  <c r="Z23" i="1"/>
  <c r="Z30" i="1"/>
  <c r="Z44" i="1"/>
  <c r="Z45" i="1" s="1"/>
  <c r="Z118" i="1"/>
  <c r="X119" i="1"/>
  <c r="X31" i="1"/>
  <c r="X28" i="1"/>
  <c r="U114" i="1"/>
  <c r="U109" i="1"/>
  <c r="U108" i="1"/>
  <c r="U112" i="1" s="1"/>
  <c r="V105" i="1"/>
  <c r="U107" i="1"/>
  <c r="Y36" i="1"/>
  <c r="Y40" i="1" s="1"/>
  <c r="Y43" i="1" s="1"/>
  <c r="Y123" i="1" s="1"/>
  <c r="Z8" i="1"/>
  <c r="Z10" i="1" s="1"/>
  <c r="V54" i="1" l="1"/>
  <c r="Y32" i="1"/>
  <c r="Y34" i="1"/>
  <c r="X32" i="1"/>
  <c r="X34" i="1"/>
  <c r="V109" i="1"/>
  <c r="V108" i="1"/>
  <c r="V112" i="1" s="1"/>
  <c r="Z43" i="1"/>
  <c r="Z123" i="1" s="1"/>
  <c r="V104" i="1"/>
  <c r="V114" i="1"/>
  <c r="Z26" i="1"/>
  <c r="Z27" i="1" s="1"/>
  <c r="Z13" i="1"/>
  <c r="Y46" i="1" l="1"/>
  <c r="Y48" i="1"/>
  <c r="X46" i="1"/>
  <c r="X48" i="1"/>
  <c r="V107" i="1"/>
  <c r="W105" i="1"/>
  <c r="W104" i="1" s="1"/>
  <c r="Z119" i="1"/>
  <c r="Z31" i="1"/>
  <c r="Z28" i="1"/>
  <c r="Y47" i="1" l="1"/>
  <c r="Y53" i="1"/>
  <c r="Y54" i="1" s="1"/>
  <c r="X115" i="1"/>
  <c r="Y115" i="1" s="1"/>
  <c r="X47" i="1"/>
  <c r="X53" i="1"/>
  <c r="W114" i="1"/>
  <c r="W109" i="1"/>
  <c r="W108" i="1"/>
  <c r="W112" i="1" s="1"/>
  <c r="X105" i="1"/>
  <c r="W107" i="1"/>
  <c r="Z32" i="1"/>
  <c r="Z34" i="1"/>
  <c r="X54" i="1" l="1"/>
  <c r="X109" i="1"/>
  <c r="X108" i="1"/>
  <c r="X112" i="1" s="1"/>
  <c r="Z46" i="1"/>
  <c r="Z48" i="1"/>
  <c r="D67" i="1"/>
  <c r="X114" i="1"/>
  <c r="X104" i="1"/>
  <c r="Z115" i="1" l="1"/>
  <c r="Z47" i="1"/>
  <c r="Z53" i="1"/>
  <c r="D68" i="1"/>
  <c r="D69" i="1" s="1"/>
  <c r="D70" i="1" s="1"/>
  <c r="D71" i="1" s="1"/>
  <c r="X107" i="1"/>
  <c r="Y105" i="1"/>
  <c r="Y104" i="1" s="1"/>
  <c r="J63" i="1" l="1"/>
  <c r="H60" i="1"/>
  <c r="J64" i="1"/>
  <c r="H62" i="1"/>
  <c r="J61" i="1"/>
  <c r="I64" i="1"/>
  <c r="K64" i="1"/>
  <c r="I63" i="1"/>
  <c r="I60" i="1"/>
  <c r="H61" i="1"/>
  <c r="G60" i="1"/>
  <c r="K60" i="1"/>
  <c r="J62" i="1"/>
  <c r="K63" i="1"/>
  <c r="G64" i="1"/>
  <c r="G61" i="1"/>
  <c r="K62" i="1"/>
  <c r="H64" i="1"/>
  <c r="G62" i="1"/>
  <c r="K61" i="1"/>
  <c r="I62" i="1"/>
  <c r="G63" i="1"/>
  <c r="J60" i="1"/>
  <c r="I61" i="1"/>
  <c r="H63" i="1"/>
  <c r="Z54" i="1"/>
  <c r="D66" i="1" s="1"/>
  <c r="Y114" i="1"/>
  <c r="Y109" i="1"/>
  <c r="Y108" i="1"/>
  <c r="Y112" i="1" s="1"/>
  <c r="Z105" i="1"/>
  <c r="Z104" i="1" s="1"/>
  <c r="Z107" i="1" s="1"/>
  <c r="Y107" i="1"/>
  <c r="D76" i="1" l="1"/>
  <c r="D72" i="1"/>
  <c r="Z114" i="1"/>
  <c r="Z109" i="1"/>
  <c r="Z108" i="1"/>
  <c r="Z112" i="1" s="1"/>
  <c r="D75" i="1" l="1"/>
  <c r="D73" i="1"/>
  <c r="D74" i="1" l="1"/>
  <c r="D128" i="1"/>
  <c r="D129" i="1" l="1"/>
  <c r="F77" i="1"/>
  <c r="F59" i="1"/>
  <c r="F67" i="1"/>
</calcChain>
</file>

<file path=xl/sharedStrings.xml><?xml version="1.0" encoding="utf-8"?>
<sst xmlns="http://schemas.openxmlformats.org/spreadsheetml/2006/main" count="479" uniqueCount="418">
  <si>
    <t>CRWV | Power-driven DCF (IT-load GW x revenue per GW)</t>
  </si>
  <si>
    <t>US$ millions, except power (MW), revenue/GW, build cost/GW and D&amp;A/GW (US$ billions per GW) and shares (millions). Horizon CY2023–2045; fiscal year = calendar year.</t>
  </si>
  <si>
    <t>Blue / yellow: assumptions (Assumptions &amp; sources sheet; salmon = no source). Green: internal sources. CY23–25A: reported bases (10-K). 2026: company guide.</t>
  </si>
  <si>
    <t>CY23A</t>
  </si>
  <si>
    <t>CY24A</t>
  </si>
  <si>
    <t>CY25A</t>
  </si>
  <si>
    <t>CY26E</t>
  </si>
  <si>
    <t>CY27E</t>
  </si>
  <si>
    <t>CY28E</t>
  </si>
  <si>
    <t>CY29E</t>
  </si>
  <si>
    <t>CY30E</t>
  </si>
  <si>
    <t>CY31E</t>
  </si>
  <si>
    <t>CY32E</t>
  </si>
  <si>
    <t>CY33E</t>
  </si>
  <si>
    <t>CY34E</t>
  </si>
  <si>
    <t>CY35E</t>
  </si>
  <si>
    <t>CY36E</t>
  </si>
  <si>
    <t>CY37E</t>
  </si>
  <si>
    <t>CY38E</t>
  </si>
  <si>
    <t>CY39E</t>
  </si>
  <si>
    <t>CY40E</t>
  </si>
  <si>
    <t>CY41E</t>
  </si>
  <si>
    <t>CY42E</t>
  </si>
  <si>
    <t>CY43E</t>
  </si>
  <si>
    <t>CY44E</t>
  </si>
  <si>
    <t>CY45E</t>
  </si>
  <si>
    <t>Grid inputs: D6 revenue/GW multiplier 2027+ (1.00 = base) | E6 EBITDA-margin adjustment 2027+ (pp) | F6 replacement life (years) | G6 replacement cost (% of build)</t>
  </si>
  <si>
    <t>Capacity | active power (critical IT load, MW) and billable power</t>
  </si>
  <si>
    <t>Active power at year-end (MW)</t>
  </si>
  <si>
    <t>Active power added in the year (MW)</t>
  </si>
  <si>
    <t>Average active power in the year (MW) — D&amp;A basis</t>
  </si>
  <si>
    <t>Average billable power (MW) = prior YE + (0.5 − lag) x adds | 2026: quarterly build</t>
  </si>
  <si>
    <t>Revenue per billable GW (US$ bn / GW-year) | CY24-26 implied</t>
  </si>
  <si>
    <t>Memo: revenue per average ACTIVE GW (US$ bn / GW-year) — alternative, lower basis</t>
  </si>
  <si>
    <t>Revenue (US$ millions)</t>
  </si>
  <si>
    <t>Scenario revenue</t>
  </si>
  <si>
    <t>Revenue growth</t>
  </si>
  <si>
    <t>Revenue | BBG consensus CY26-28 (memo)</t>
  </si>
  <si>
    <t>Scenario ÷ consensus − 1</t>
  </si>
  <si>
    <t>Memo: 2030 revenue — UBS $84.8bn / Street ~$80bn (UBS 09-22) vs scenario</t>
  </si>
  <si>
    <t>Operating result and cash (company adjusted basis; SBC deducted below)</t>
  </si>
  <si>
    <t>Adjusted EBITDA margin</t>
  </si>
  <si>
    <t>Adjusted EBITDA</t>
  </si>
  <si>
    <t>EBITDA | BBG consensus (memo)</t>
  </si>
  <si>
    <t>D&amp;A per average active GW (US$ bn / GW-year) | CY24-25 implied</t>
  </si>
  <si>
    <t>Depreciation and amortization</t>
  </si>
  <si>
    <t>Adjusted operating income (AOI = EBITDA − D&amp;A)</t>
  </si>
  <si>
    <t>Adjusted operating margin</t>
  </si>
  <si>
    <t>AOI | BBG consensus EBIT (memo) / FY26 guide midpoint</t>
  </si>
  <si>
    <t>Stock-based compensation</t>
  </si>
  <si>
    <t>EBIT after SBC</t>
  </si>
  <si>
    <t>EBIT margin after SBC</t>
  </si>
  <si>
    <t>Cash tax rate</t>
  </si>
  <si>
    <t>NOPAT</t>
  </si>
  <si>
    <t>Build cost per GW added (US$ bn / GW)</t>
  </si>
  <si>
    <t>Growth capex = build x ((1 − pre-build) x adds t + pre-build x adds t+1)</t>
  </si>
  <si>
    <t>Power replaced in the year (MW) = power installed in (t − life), adds and replacements included</t>
  </si>
  <si>
    <t>Power installed in the year (MW) = adds + replacements</t>
  </si>
  <si>
    <t>Replacement capex = power replaced x build x replacement %</t>
  </si>
  <si>
    <t>Total capex | CY23-25 reported cash; 2026 guide (midpoint)</t>
  </si>
  <si>
    <t>Capex | BBG consensus (memo)</t>
  </si>
  <si>
    <t>Memo: 2026 capex by the formula (calibration check)</t>
  </si>
  <si>
    <t>Memo: total capex per GW INSTALLED in the year (adds + replacements; US$ bn / GW) — flow basis, includes pre-build</t>
  </si>
  <si>
    <t>Operating NWC (receivables − deferred revenue)</t>
  </si>
  <si>
    <t>Change in NWC | cash effect (customer prepayments)</t>
  </si>
  <si>
    <t>Free cash flow to the firm (FCFF)</t>
  </si>
  <si>
    <t>FCFF / revenue</t>
  </si>
  <si>
    <t>Memo: implied incremental ROIC = ΔNOPAT ÷ prior year's (capex − D&amp;A)</t>
  </si>
  <si>
    <t>Cash-flow date</t>
  </si>
  <si>
    <t>Discount period (years)</t>
  </si>
  <si>
    <t>Post-valuation fraction of the year</t>
  </si>
  <si>
    <t>FCFF included in the valuation</t>
  </si>
  <si>
    <t>Present value of FCFF</t>
  </si>
  <si>
    <t>Valuation | FCFF and bridge to equity</t>
  </si>
  <si>
    <t>Valuation date</t>
  </si>
  <si>
    <t>Sensitivity | WACC x g (US$ / share)</t>
  </si>
  <si>
    <t>WACC</t>
  </si>
  <si>
    <t>Terminal growth (g)</t>
  </si>
  <si>
    <t>Terminal incremental ROIC</t>
  </si>
  <si>
    <t>Diluted shares (millions)</t>
  </si>
  <si>
    <t>Cash + securities (unrestricted)</t>
  </si>
  <si>
    <t>Gross financial debt (principal + finance leases)</t>
  </si>
  <si>
    <t>Net debt</t>
  </si>
  <si>
    <t>PV of explicit cash flows</t>
  </si>
  <si>
    <t>Sensitivity | revenue per GW in 2030 (US$ bn/GW, columns) x LT EBITDA margin (rows) — US$ / share (data table, filled by Excel)</t>
  </si>
  <si>
    <t>Terminal NOPAT</t>
  </si>
  <si>
    <t>Terminal net reinvestment</t>
  </si>
  <si>
    <t>Terminal FCFF</t>
  </si>
  <si>
    <t>Undiscounted terminal value</t>
  </si>
  <si>
    <t>PV of terminal value</t>
  </si>
  <si>
    <t>Enterprise value</t>
  </si>
  <si>
    <t>Equity value</t>
  </si>
  <si>
    <t>Rows: EBITDA-margin adjustment (pp) over the WHOLE 2027+ path (column E = resulting LT margin). Columns: revenue/GW multiplier over the WHOLE 2027+ path (top row) — the bottom row shows the equivalent 2030 level (LT = 14.0 x mult). Base 2030 = 13.0 sits BELOW management's floor for new contracts (15-16): 1.9 GW legacy at 11 + 6.1 GW new at 15.5 would blend to ~14.4.</t>
  </si>
  <si>
    <t>Value per share (US$)</t>
  </si>
  <si>
    <t>Terminal value / enterprise value</t>
  </si>
  <si>
    <t>Value per share | explicit cash flows only (no terminal)</t>
  </si>
  <si>
    <t>Sensitivity | replacement life (years, columns) x replacement cost (% of build, rows) — US$ / share (data table)</t>
  </si>
  <si>
    <t>Memo: EV at the reference price (market cap + net debt)</t>
  </si>
  <si>
    <t>Memo: EV/EBITDA CY27E and CY28E at the reference price</t>
  </si>
  <si>
    <t>Memo: EV/revenue CY28E at the price (UBS PT $120 = 3.8x CY28E; peers ~4.5x)</t>
  </si>
  <si>
    <t>Replacement is what the Street rarely charges explicitly: at 6 years / 80% a mature fleet consumes ~$5.3bn per GW-year (≈ D&amp;A). Longer life = re-contracting old GPUs (A100/H100 still rented in year 9) without replacing them — but the 7-10-year columns keep full pricing on old GPUs (DB 2025-06-16: 50-75% of ASP in years 5-6), so they are the UPPER BOUND, not a case.</t>
  </si>
  <si>
    <t>Steady-state unit economics per GW (column CY35E) — the arithmetic behind the DCF</t>
  </si>
  <si>
    <t>Revenue per billable GW (US$ bn / GW-year)</t>
  </si>
  <si>
    <t>EBITDA per GW (US$ bn)</t>
  </si>
  <si>
    <t>D&amp;A per GW (US$ bn)</t>
  </si>
  <si>
    <t>SBC per GW (US$ bn)</t>
  </si>
  <si>
    <t>Tax per GW = (EBITDA − D&amp;A − SBC) x tax rate (US$ bn)</t>
  </si>
  <si>
    <t>Operating cash per GW before capex = EBITDA − SBC − tax (US$ bn)</t>
  </si>
  <si>
    <t>Build cost per GW (US$ bn)</t>
  </si>
  <si>
    <t>Replacement per GW-year, mature fleet = build x replacement % ÷ life (US$ bn) — memo, what the DCF charges at steady state</t>
  </si>
  <si>
    <t>Replacement of 1 NEW GW, annual equivalent (sinking fund: first swap in year 'life') = build x % x WACC ÷ ((1+WACC)^life − 1)</t>
  </si>
  <si>
    <t>FCF per GW-year of 1 new GW, no growth = operating cash − equivalent replacement (US$ bn)</t>
  </si>
  <si>
    <t>Cash yield on build cost (FCF ÷ build)</t>
  </si>
  <si>
    <t>Gross payback of the build = build ÷ operating cash (years)</t>
  </si>
  <si>
    <t>Value of 1 GW in perpetuity at WACC = FCF ÷ WACC (US$ bn)</t>
  </si>
  <si>
    <t>NPV of 1 new GW = value − build (US$ bn) — negative = each GW destroys value at WACC</t>
  </si>
  <si>
    <t>Break-even revenue/GW (NPV = 0) at the same margin, life and replacement (US$ bn / GW-year)</t>
  </si>
  <si>
    <t>Break-even: (EBITDA − SBC) x (1 − t) + D&amp;A x t − equivalent replacement = build x WACC. Compare with the marks: installed book ~11, management's floor for new contracts 15-16 (= the break-even), short-dated ~40. A MATURE fleet replaces ~fleet ÷ life per year (memo row) — that is what the DCF charges from 2032.</t>
  </si>
  <si>
    <t>Memo outside the DCF | implied net debt, interest, net income and EPS (no equity raised after 2026)</t>
  </si>
  <si>
    <t>Net debt at year-end (US$ m)</t>
  </si>
  <si>
    <t>Net interest = (prior net debt − 0.5 x FCFF of the year) x cost of debt</t>
  </si>
  <si>
    <t>Interest | reported FY23-25 (memo)</t>
  </si>
  <si>
    <t>Net debt / EBITDA</t>
  </si>
  <si>
    <t>Adjusted net income (company basis, EX-SBC) = (AOI − interest) x (1 − tax if positive)</t>
  </si>
  <si>
    <t>Memo: net income after SBC</t>
  </si>
  <si>
    <t>Net income | GAAP reported / BBG consensus (memo)</t>
  </si>
  <si>
    <t>Diluted shares (m)</t>
  </si>
  <si>
    <t>Adjusted EPS (US$, company / consensus basis: ex-SBC)</t>
  </si>
  <si>
    <t>EPS | BBG consensus (memo)</t>
  </si>
  <si>
    <t>Free cash flow to equity = FCFF − interest</t>
  </si>
  <si>
    <t>Cumulative FCFF since 2026 (financing need until it turns positive)</t>
  </si>
  <si>
    <t>Reconciliations and guardrails (0 / green expected)</t>
  </si>
  <si>
    <t>Revenue − billable power x revenue/GW (2027+)</t>
  </si>
  <si>
    <t>AOI − (EBITDA − D&amp;A)</t>
  </si>
  <si>
    <t>FY26 guide: model AOI inside $960-1,150m (0 = ok; otherwise the deviation)</t>
  </si>
  <si>
    <t>2026 capex calibration: formula ÷ guide (midpoint) − 1 (|x| &lt; 10%)</t>
  </si>
  <si>
    <t>Revenue per billable GW between 10 and 20 US$ bn/GW (0 = inside; otherwise the excess)</t>
  </si>
  <si>
    <t>Total capex per GW installed between 25 and 60 US$ bn/GW (flow; 0 = inside)</t>
  </si>
  <si>
    <t>RPO coverage: model revenue 2H26 + 2027 + 1H28 ÷ 41% of the Jun-26 RPO (US$ 42.5bn) — &gt;1 = model above the contracted book</t>
  </si>
  <si>
    <t>RPO coverage: revenue months 25-48 (2H28 + 2029 + 1H30) ÷ 39% of RPO (US$ 40.4bn)</t>
  </si>
  <si>
    <t>Maximum net debt / EBITDA 2026-30 (UBS: 5.7x 2026E, 4.2x 2027E)</t>
  </si>
  <si>
    <t>Adds 2026-30 − (8,000 − YE25): 0 = 8.0 GW fleet in 2030 (management target ≥8 GW)</t>
  </si>
  <si>
    <t>Equity: EV − net debt</t>
  </si>
  <si>
    <t>Sensitivity: centre = base DCF</t>
  </si>
  <si>
    <t>2030 adjusted operating margin vs management's 25-30% long-term target (4Q25 call) — shortfall to the floor</t>
  </si>
  <si>
    <t>Summary for the wiki | house estimates (CY) — Capstone estimates (house model)</t>
  </si>
  <si>
    <t>Revenue (US$ m)</t>
  </si>
  <si>
    <t>Revenue per billable GW (US$ bn)</t>
  </si>
  <si>
    <t>Adjusted EBITDA (US$ m)</t>
  </si>
  <si>
    <t>Adjusted operating margin (AOI)</t>
  </si>
  <si>
    <t>Capex (US$ m)</t>
  </si>
  <si>
    <t>FCFF (US$ m)</t>
  </si>
  <si>
    <t>Adjusted net income (US$ m) | CY24-25 GAAP reported</t>
  </si>
  <si>
    <t>Adjusted EPS (US$) | CY24-25 GAAP reported</t>
  </si>
  <si>
    <t>BBG consensus — revenue (memo)</t>
  </si>
  <si>
    <t>BBG consensus — EPS (memo)</t>
  </si>
  <si>
    <t>Revenue: house ÷ consensus − 1</t>
  </si>
  <si>
    <t>EV/EBITDA at the reference price (informational)</t>
  </si>
  <si>
    <t>The 'Capstone estimates (house model)' table on the wiki page (_wiki/CRWV.md) is transcribed from this block (CY24A-CY30E). Thesis-drift rule: when a number changes, move the old one to the page's Changelog.</t>
  </si>
  <si>
    <t>Reading the model: at the current price the DCF is a bet on revenue per GW and on replacement — a GW costs ~$40bn and generates ~$8-9bn of EBITDA a year; with replacement every 6 years the unlevered return sits near the WACC. The revenue/GW x margin grid is the answer.</t>
  </si>
  <si>
    <t>CRWV | Assumptions &amp; sources</t>
  </si>
  <si>
    <t>Data taken from the sources named. US$ millions unless stated; power in MW (critical IT load, the company's basis); revenue per GW and build cost per GW in US$ billions per GW. Fiscal year = calendar year.</t>
  </si>
  <si>
    <t>Blue = HARD input (filing / consensus); yellow = PARTIAL assumption (sourced range, point is ours); salmon = ESTIMATE (no source). Source in column L (tables) or AB (series).</t>
  </si>
  <si>
    <t>File, sheet and source cells. CY = calendar year (= CoreWeave's fiscal year).</t>
  </si>
  <si>
    <t>Reported history (10-K FY25, 10-Q 2Q26) and BBG consensus (2026-10-13)</t>
  </si>
  <si>
    <t>Revenue (US$ m) | 10-K FY23-25 / BBG consensus CY26-28</t>
  </si>
  <si>
    <t>10-K FY25 (CRWV/CRWV_10-K_2026-03-02): 229 / 1,915 / 5,131. CY26-28: _wiki/_data/estimates.json CRWV CY2026 / CY2027 / 3FY (BEst 2026-10-13; 47 analysts, 33 buy / 10 hold / 4 sell).</t>
  </si>
  <si>
    <t>Adjusted EBITDA (US$ m) | company / consensus</t>
  </si>
  <si>
    <t>FY24: 64% margin (DB CRWV unit economics 2025-06-16) x 1,915 = 1,226 (PARTIAL). FY25 = sum of quarters: 1Q25 ~609 (1Q26 ~1,164 = 56% x 2,078, '+91% y/y', call 2026-05-07 — PARTIAL) + 2Q 753 + 3Q 838 + 4Q 898 (calls). CY26-28 BEst EBITDA.</t>
  </si>
  <si>
    <t>Adjusted operating income (AOI, US$ m) | consensus EBIT CY26-28</t>
  </si>
  <si>
    <t>BEst EBIT (estimates.json). FY26 guide (call 2026-08-11): AOI $960-1,150m; 3Q26 $200-260m.</t>
  </si>
  <si>
    <t>GAAP net income (US$ m) | 10-K / consensus</t>
  </si>
  <si>
    <t>10-K FY25 (net loss); BEst NI CY26-28.</t>
  </si>
  <si>
    <t>GAAP diluted EPS (US$) | 10-K / consensus</t>
  </si>
  <si>
    <t>10-K FY25 p.1508: net loss per share attributable to common stockholders, diluted: (3.09) / (4.30) / (2.81) (two-class method; post 20:1 split of Mar-25). CY26-28 BEst EPS (ex-SBC).</t>
  </si>
  <si>
    <t>Depreciation and amortization (US$ m)</t>
  </si>
  <si>
    <t>10-K cash flow FY23-25; 1H26 = 2,540 (10-Q 2Q26). 2026 column = 1H26 (memo).</t>
  </si>
  <si>
    <t>Stock-based compensation (US$ m)</t>
  </si>
  <si>
    <t>10-K cash flow (FY25 includes $177m of RSUs vested at the IPO); 1H26 = 318 (memo).</t>
  </si>
  <si>
    <t>Cash capex (US$ m) | 10-K / BBG consensus CY26-28</t>
  </si>
  <si>
    <t>10-K 'Purchase of property and equipment' 2,943 / 8,702 / 10,309 (FY25 company basis ~$14bn incl. OEM financing: 3Q25 guide $12-14bn). CY26-28 BEst capex. FY26 guide (company basis): $35-39bn.</t>
  </si>
  <si>
    <t>Net interest expense (US$ m)</t>
  </si>
  <si>
    <t>10-K FY23-25; 1H26 = 1,176 (10-Q 2Q26). 3Q26 guide: $860-940m.</t>
  </si>
  <si>
    <t>Active power at year-end (MW, IT load)</t>
  </si>
  <si>
    <t>10-K FY25 p.194: ~70 MW (Dec-23), ~360 MW (Dec-24), &gt;850 MW (Dec-25). 2026 column = Jun-26: 1.5 GW (call 2026-08-11). YE26 guide: &gt;1.85 GW.</t>
  </si>
  <si>
    <t>Contracted power (MW)</t>
  </si>
  <si>
    <t>10-K FY25: ~3.1 GW (Dec-25). Call 2026-08-11: 3.7 GW at 2Q-end, 4.2 GW as of 11-Aug-26 (2026 column). Target: &gt;=8 GW active by 2030.</t>
  </si>
  <si>
    <t>Unsatisfied RPO (US$ m)</t>
  </si>
  <si>
    <t>10-K FY25: $60.7bn (43% within 24 months). 10-Q 2Q26: $103.7bn, 41% in the 24 months to Jun-28, 39% months 25-48, balance months 49-78. Backlog (company metric): $66.8bn Dec-25 / $104bn Jun-26.</t>
  </si>
  <si>
    <t>Total deferred revenue (US$ m) | Dec-24 / Dec-25 / Jun-26</t>
  </si>
  <si>
    <t>10-K FY25 balance sheet (769+3,295; 1,709+6,476); 10-Q 2Q26 (2,686+7,006). Customer prepayments = 15-25% of TCV (UBS 2026-09-22).</t>
  </si>
  <si>
    <t>Accounts receivable (US$ m) | Dec-24 / Dec-25 / Jun-26</t>
  </si>
  <si>
    <t>10-K FY25; 10-Q 2Q26.</t>
  </si>
  <si>
    <t>Cash and equivalents (US$ m) | Dec-24 / Dec-25 / Jun-26</t>
  </si>
  <si>
    <t>10-K FY25; 10-Q 2Q26. Additional restricted cash: 1,003 (Dec-25: 819 + 184) / 1,380 (Jun-26: 873 + 507) — debt-service coverage, excluded from net cash.</t>
  </si>
  <si>
    <t>Gross debt, principal (US$ m) | Dec-24 / Dec-25 / Jun-26</t>
  </si>
  <si>
    <t>10-K FY25 note 10 (Dec-24 carrying value 7,926; Dec-25 carrying 21,373 + discount 242 = 21,615). 10-Q 2Q26 note 10: total principal 35,551 (recourse + non-recourse). See Debt sheet.</t>
  </si>
  <si>
    <t>Operating lease liabilities (US$ m) | Dec-24 / Dec-25 / Jun-26</t>
  </si>
  <si>
    <t>10-K FY25; 10-Q 2Q26 (10% rate, 12-year term). Plus $35.5bn of leases not yet commenced (Jun-26). Rent sits in EBITDA — NOT added to net debt.</t>
  </si>
  <si>
    <t>FY26 guidance (2Q26 call, 2026-08-11) — company basis</t>
  </si>
  <si>
    <t>FY26 revenue — low end (US$ m)</t>
  </si>
  <si>
    <t>Call 2026-08-11: $12.4-13.2bn (raised from $12.0-13.0bn in Feb-26).</t>
  </si>
  <si>
    <t>FY26 revenue — high end (US$ m)</t>
  </si>
  <si>
    <t>Same.</t>
  </si>
  <si>
    <t>FY26 AOI — low end (US$ m)</t>
  </si>
  <si>
    <t>Call 2026-08-11: $960-1,150m (from $900-1,100m).</t>
  </si>
  <si>
    <t>FY26 AOI — high end (US$ m)</t>
  </si>
  <si>
    <t>FY26 capex — low end (US$ m, company basis)</t>
  </si>
  <si>
    <t>Call 2026-08-11: $35-39bn (from $31-35bn). 1H26 reported: 6.8 + 9.4 = $16.2bn (cash: 14.1).</t>
  </si>
  <si>
    <t>FY26 capex — high end (US$ m)</t>
  </si>
  <si>
    <t>Active power YE26 — guide (MW)</t>
  </si>
  <si>
    <t>Call 2026-08-11: '&gt;1.85 GW' (from &gt;1.7 GW). UBS 09-22: 1,900 MW FY26E, 3,200 FY27E, 4,720 FY28E, 6,320 FY29E, 8,000 FY30E.</t>
  </si>
  <si>
    <t>3Q26 revenue — midpoint (US$ m)</t>
  </si>
  <si>
    <t>Call 2026-08-11: $3.45-3.60bn; 3Q AOI $200-260m; 3Q interest $860-940m; 3Q capex $11.5-13.5bn.</t>
  </si>
  <si>
    <t>1H26 reported revenue (US$ m)</t>
  </si>
  <si>
    <t>10-Q 2Q26: 2,078 + 2,575.</t>
  </si>
  <si>
    <t>1H26 reported AOI (US$ m)</t>
  </si>
  <si>
    <t>Calls: 1Q26 $21m + 2Q26 $128m.</t>
  </si>
  <si>
    <t>Average billable power 2026 (MW) — quarterly build</t>
  </si>
  <si>
    <t>Average over four quarters of the PRIOR quarter's average active power (UBS 09-22: 'it takes about a quarter for active power to generate revs'): 1Q (590+850)/2=720; 2Q (850+1,000)/2=925; 3Q (1,000+1,500)/2=1,250; 4Q (1,500+1,700)/2=1,600 (3Q26 YE estimated 1,700). Average 1,124. Overrides the annual formula in 2026 (adds were front-loaded in 1H).</t>
  </si>
  <si>
    <t>Revenue-per-GW marks (US$ bn per IT-load GW per YEAR) — wiki ledger; NEVER net different bases</t>
  </si>
  <si>
    <t>Realised on the installed book (UBS, 09-22)</t>
  </si>
  <si>
    <t>UBS Keirstead 2026-09-22: 2Q26 $2.575bn x4 / 925 MW average active power in 1Q26 = ~$11bn/GW; 'closer to $15bn by end of 2027'. This model: 2026 implied by the guide = ~11.4.</t>
  </si>
  <si>
    <t>Floor for new long-dated contracts (4-6 years) — management</t>
  </si>
  <si>
    <t>Nick Robbins (VP Corp Dev) @ BTG Pactual, 2026-09-21: mid-teens $/W/year is 'the absolute floor'; long-dated Vera Rubin 'clearing higher'. Seller of the capacity, not audited.</t>
  </si>
  <si>
    <t>Nscale's filed book (S-1 2026-09-18) — blended / VR tranche</t>
  </si>
  <si>
    <t>Nscale S-1: $103.4bn TCV / 5.7 years / 1.37 GW IT = ~$13.2bn/GW-year; Anthropic Vera Rubin tranche ~$16.2bn. Read by the wiki as the CEILING of a contracted book (open conflict with management).</t>
  </si>
  <si>
    <t>Short-dated contracts (3-6 months) — annualised</t>
  </si>
  <si>
    <t>Robbins 09-21: 'about $40 million a megawatt' on short-dated contracts for PRIOR generations (Blackwell / Grace Blackwell), term and time basis not stated; JPM 09-24 repeats the print without a basis; only UBS 09-22 gives the term (3-6 months) and the annualised basis ($40bn/GW). Small slice of the book. Arete 08-21: $20-25m/MW on 2-3-year contracts.</t>
  </si>
  <si>
    <t>Revenue / capex on a 5-year contract (management)</t>
  </si>
  <si>
    <t>Robbins 09-21: 'historically… two to one ratio for a five-year deal between revenue and capex', 'expanded' since early 2026. 2:1 over 5 years on $40bn/GW = $16bn/GW-year.</t>
  </si>
  <si>
    <t>Bear memo: monetisation per connected MW did not improve in 2025 (Hedgeye, Dec-25)</t>
  </si>
  <si>
    <t>HE Global Technology BB, Dec-2025 (short since Apr-25). This model's quarterly calibration: 2Q25 ~12.4 → 2Q26 ~11.1 US$bn/GW (History sheet) — revenue per installed GW FELL as the fleet scaled.</t>
  </si>
  <si>
    <t>Build cost per GW (CoreWeave's capex; it leases the shell) — US$ bn per IT-load GW</t>
  </si>
  <si>
    <t>Blackwell — UBS</t>
  </si>
  <si>
    <t>UBS 09-22: 'capex to CoreWeave might be closer to $35bn per Blackwell-based GW and $40bn per Vera Rubin-based GW' (Crusoe all-in $57bn/GW, $30bn of it GPUs).</t>
  </si>
  <si>
    <t>Vera Rubin — UBS</t>
  </si>
  <si>
    <t>Same. Arete 08-21: VR NVL72 racks 70-80% more expensive than Blackwell, ~+20% GPU capex per MW.</t>
  </si>
  <si>
    <t>Backward check: 2024-26 capex / 1.85 GW</t>
  </si>
  <si>
    <t>UBS: $62bn of 2024-26 capex to stand up 1.85 GW by YE26 = $34bn/GW ('flattered' — part of 2026 capex buys 2027 capacity). Calibration basis for the pre-build share.</t>
  </si>
  <si>
    <t>Valuation and balance sheet</t>
  </si>
  <si>
    <t>Same as the balance-sheet date (30-Jun-26). DEVIATION from the family convention (27-Aug-26): with ~$26bn/year of cash burn, valuing in August against June net debt would leave ~$5.6bn of July-August burn out of the bridge (~−$9/share; double-check 2026-10-14). Update both together at the 10-Q 3Q26.</t>
  </si>
  <si>
    <t>Family convention (10%), kept for comparability — but for CRWV it is a SUBSIDY: with no tax shield (NOLs; 5% cash tax to 2028) Kd 10% x 65% + Ke 14% x 35% = 11.4%; at market weights (net debt 30bn vs market cap 43bn) 12-13%. Arete 11%; Redburn Ke 20%. See the WACC x g grid: 11% and 12% are the honest reading.</t>
  </si>
  <si>
    <t>Terminal growth</t>
  </si>
  <si>
    <t>Template DCF NVDA.xlsx | Capa DCF - Base!D91.</t>
  </si>
  <si>
    <t>ESTIMATE. The template uses 20%; here 8% because a new GW costs ~$40bn and generates NOPAT of ~$2-3bn (5-7% gross). See the 'implied incremental ROIC' row on the cover. Sensitivity in the grid.</t>
  </si>
  <si>
    <t>Diluted shares (m) | 551 outstanding + 29 RSUs + 23.4 options (treasury)</t>
  </si>
  <si>
    <t>10-Q 2Q26: 457m class A + 94m class B (30-Jun-26); 29m unvested RSUs/RSAs; 24m options at $1.84 (intrinsic value $2,341m) → treasury method at $77.81 = 23.4m. Out-of-the-money converts (2031: $107.80 / cap $215.60; 2032: $119.60 / cap $230) stay in debt. No ATM (management 09-21: 'not at these prices').</t>
  </si>
  <si>
    <t>Cash + securities, unrestricted (US$ m, 30-Jun-26)</t>
  </si>
  <si>
    <t>10-Q 2Q26: cash 5,524 + securities 15. Restricted cash 1,380 excluded (mandatory interest/principal coverage under the DDTLs).</t>
  </si>
  <si>
    <t>Gross financial debt, principal (US$ m, 30-Jun-26)</t>
  </si>
  <si>
    <t>10-Q 2Q26 note 10: principal 35,551 (DDTLs, senior notes, converts, OEM financing, Magnetar) + finance leases 221. Operating leases (16,319) NOT added: rent already sits in EBITDA.</t>
  </si>
  <si>
    <t>Balance-sheet date used in the model</t>
  </si>
  <si>
    <t>Update at the 10-Q 3Q26.</t>
  </si>
  <si>
    <t>Reference price (US$, informational)</t>
  </si>
  <si>
    <t>BBG PX_LAST CRWV US, 2026-10-13 (estimates.json). Not used in the valuation.</t>
  </si>
  <si>
    <t>Consensus average PT (US$, informational)</t>
  </si>
  <si>
    <t>BBG BEST_TARGET_PRICE, 47 analysts (hi 278 / lo 39), 2026-10-13. UBS Buy $120; JPM OW $125; Bernstein UP $74; Redburn Sell $54; Arete Buy $317.</t>
  </si>
  <si>
    <t>Market cap (US$ m, informational)</t>
  </si>
  <si>
    <t>BBG 2026-10-13.</t>
  </si>
  <si>
    <t>Net debt Dec-25 (US$ m) — anchor of the debt roll</t>
  </si>
  <si>
    <t>Principal 21,615 − cash 3,127 (10-K FY25). Used only in the debt/EPS memo block, not in the DCF.</t>
  </si>
  <si>
    <t>Equity raised in 2026 (US$ m, net of capped calls)</t>
  </si>
  <si>
    <t>10-Q 2Q26 cash flow: private placements 2,982 (NVDA $2bn at $87.20 in Jan-26 + Jane Street $1bn) − capped calls 492. No ATM assumed in 2H26.</t>
  </si>
  <si>
    <t>Lag from active power to billing (years)</t>
  </si>
  <si>
    <t>UBS 09-22: ~1 quarter (GPU install/test ~6 weeks after energising). Average billable power = prior YE + (0.5 − lag) x adds (uniform adds).</t>
  </si>
  <si>
    <t>Share of the year's capex that buys NEXT year's capacity</t>
  </si>
  <si>
    <t>Calibrated: FY26 guide $37bn (mid) vs formula 33 x (0.8 x 1.05 GW + 0.2 x 1.3 GW) = 36.3 (−1.9%; the current-year build cost also prices the pre-built share). UBS: backward check 'flattered' by 2026 capex buying 2027.</t>
  </si>
  <si>
    <t>Useful life for replacement (years) — INPUT ON THE COVER, F6 (memo)</t>
  </si>
  <si>
    <t>CoreWeave GPU depreciation: 6 years (10-K; MS AI Factories). Replacement in t = everything installed in t−6 (adds and replacements). Re-contracting in years 5-6 at 50-75% of ASP (DB 2025-06-16) is the optimistic side — sensitise 8 years.</t>
  </si>
  <si>
    <t>Replacement cost (% of the year's build cost) — INPUT ON THE COVER, G6 (memo)</t>
  </si>
  <si>
    <t>ESTIMATE: the shell is leased; GPUs/servers/network (~80% of capex) are replaced, part of the MEP/fit-out is kept.</t>
  </si>
  <si>
    <t>Fleet growth after 2035 (% of prior YE)</t>
  </si>
  <si>
    <t>ESTIMATE: adds = 3% of the prior year's active power from 2036.</t>
  </si>
  <si>
    <t>Assumptions by year (CY)</t>
  </si>
  <si>
    <t>Active power additions (MW, IT load)</t>
  </si>
  <si>
    <t>2026: +1,050 → YE 1,900 (guide &gt;1,850; UBS 1,900; 1.5 GW already in Jun-26). 2027-30: 1,300 / 1,500 / 1,600 / 1,700 → 3.2 / 4.7 / 6.3 / 8.0 GW = UBS 09-22 path to management's ≥8 GW-by-2030 target. Contracted 4.2 GW + 1.5 GW powered land = ~6 GW visible (call 08-11). 2031-35 ESTIMATE: decelerates to 800 MW/year; 2036+ formula (g_fleet).</t>
  </si>
  <si>
    <t>Revenue per billable GW (US$ bn / GW-year), base</t>
  </si>
  <si>
    <t>2026 implied by the guide = 12,800 / 1,124 MW = ~11.4 (cover). 2027 12.0 → 2030 13.0: blend of the legacy book (~11) with new long-dated contracts at mid-teens (management 09-21; Nscale 13.2-16.2) and a short-dated slice at ~40. UBS: ~15 at the 2027 EXIT; UBS 2030 target $85bn / ~6.7 GW billable = 12.7. 2031-33 rises to 14.0 and stays flat nominal: the legacy book (2025-26, ~2 GW at ~11) is re-contracted and the fleet becomes mostly 2027+ vintages contracted at &gt;=15; 14.0 is BELOW every forward mark (management floor 15-16, Nscale VR 16.2, UBS 15 exit-27). PARTIAL.</t>
  </si>
  <si>
    <t>2026 57.5%: 1H 57.6% (2.71bn / 4.65) + implied 2H (AOI guide 1,055 − 149 + D&amp;A ~3.6bn) ≈ 56%; consensus 58.6%. 2027-28 62/64% (consensus 62.9/66.1%). LT 62%: between the contract-level mid-70s (management) and the long-term 25-30% operating-margin target after D&amp;A (4Q25 call). DC rent (leases) and overhead sit here.</t>
  </si>
  <si>
    <t>D&amp;A per average active GW (US$ bn / GW-year)</t>
  </si>
  <si>
    <t>Calibrated: FY25 2,454 / 605 MW average = 4.1; 1H26 annualised 5,080 / ~1,090 MW = 4.7. VR at $40bn/GW with mixed 6-15-year lives → ~5.0-5.5. 5.0 flat (PARTIAL). Drives EBIT/EPS, not FCFF (only through tax).</t>
  </si>
  <si>
    <t>SBC / revenue (deducted in EBIT after SBC)</t>
  </si>
  <si>
    <t>FY25 12.3% (includes $177m from the IPO); 1H26 6.8%. 5% → 2% LT. The company's AOI EXCLUDES SBC; the FCFF here deducts it.</t>
  </si>
  <si>
    <t>Cash tax rate on EBIT</t>
  </si>
  <si>
    <t>NOLs &gt;$3bn (DB 2025-06-16); GAAP provision positive despite losses (146m in 1H26 — state/foreign). 5% to 2028, 21% from 2031.</t>
  </si>
  <si>
    <t>2026 33 (Blackwell; UBS 35 / backward check 34), 2027 38, 2028+ 40 (Vera Rubin, UBS). Flat nominal after 2028: memory/rack inflation vs density gains. PARTIAL.</t>
  </si>
  <si>
    <t>Operating NWC / revenue = (receivables − deferred revenue) / revenue</t>
  </si>
  <si>
    <t>Dec-25: (3,169 − 8,185) / 5,131 = −98%; Jun-26: (2,541 − 9,692) / LTM 7,590 = −94%. Prepayments (15-25% of TCV) scale with bookings, not revenue: the ratio compresses to −35% by 2030 (ESTIMATE — the only anchor is the prepayment %). Cash inflow = 35-70% of the revenue increment; UBS implies much larger inflows (12/27E net debt $56.5bn vs ~$80bn here).</t>
  </si>
  <si>
    <t>Average cost of debt (memo, debt/EPS block)</t>
  </si>
  <si>
    <t>10-Q 2Q26: effective rates 9-11% (DDTLs 9-15%, notes 9-10%, DDTL 4.0 7%, converts 2%). 1H26 interest 1,176 / average debt ~29bn = 8.1% + capitalised. UBS: every 100bp = ~$30m/quarter.</t>
  </si>
  <si>
    <t>Diluted shares for EPS (m, year average)</t>
  </si>
  <si>
    <t>603.4 flat: no ATM, net SBC dilution ~1%/year ignored. The 2032 convert only dilutes above ~$200 (capped call).</t>
  </si>
  <si>
    <t>Method: revenue = average billable power (prior YE + (0.5 − lag) x adds; 2026 from the quarterly build) x revenue per GW. EBITDA = revenue x margin. D&amp;A = average active power x D&amp;A/GW. FCFF = (EBITDA − D&amp;A − SBC) x (1 − tax) + D&amp;A − capex − change in NWC.</t>
  </si>
  <si>
    <t>Capex = growth [build cost x ((1 − pre-build) x adds of the year + pre-build x adds of the next year)] + replacement [power installed in t−life (adds AND prior replacements) x build cost x replacement % — at steady state replacement ≈ fleet ÷ life]. 2023-25 = reported cash capex; 2026 = guide (midpoint).</t>
  </si>
  <si>
    <t>Terminal: NOPAT x (1 + g) x (1 − g / ROIC). End-of-year discounting; CY26 pro rata for the days after the valuation date. Net debt = principal + finance leases − unrestricted cash (30-Jun-26).</t>
  </si>
  <si>
    <t>GW bases: ALL CoreWeave power is critical IT load (UBS 09-22) — never compare with facility GW (10-25% larger; Galaxy Helios 526 MW IT = 800 MW gross). Revenue/GW, build cost/GW and D&amp;A/GW are three different bases — never net them.</t>
  </si>
  <si>
    <t>Primary sources: 10-K FY25 (2026-03-02), 10-Qs 1Q25-2Q26, calls 2Q25-2Q26 (CRWV/transcripts), BTG Pactual websession with Nick Robbins 2026-09-21 (Capstone notes). Sell-side: UBS 09-22, JPM 09-24, Arete 08-21, Bernstein 07-01/09-24, DB 2025-06-16, Redburn 09-21. BBG consensus 2026-10-13.</t>
  </si>
  <si>
    <t>CRWV | Reported history (annual and quarterly)</t>
  </si>
  <si>
    <t>US$ millions unless stated. Source: 10-K FY25, 10-Qs 1Q25-2Q26 (CRWV/), earnings calls (CRWV/transcripts). Blue = reported; derived/PARTIAL noted in the source column.</t>
  </si>
  <si>
    <t>FY23</t>
  </si>
  <si>
    <t>FY24</t>
  </si>
  <si>
    <t>FY25</t>
  </si>
  <si>
    <t>1Q25</t>
  </si>
  <si>
    <t>2Q25</t>
  </si>
  <si>
    <t>3Q25</t>
  </si>
  <si>
    <t>4Q25</t>
  </si>
  <si>
    <t>1Q26</t>
  </si>
  <si>
    <t>2Q26</t>
  </si>
  <si>
    <t>Source</t>
  </si>
  <si>
    <t>Income statement and cash flow</t>
  </si>
  <si>
    <t>Revenue</t>
  </si>
  <si>
    <t>10-K FY25; 10-Qs (1Q25-3Q25 in US$ thousands, converted); 4Q25 = FY − 9M.</t>
  </si>
  <si>
    <t>Cost of revenue</t>
  </si>
  <si>
    <t>Technology and infrastructure</t>
  </si>
  <si>
    <t>Same (includes DC rent, power, D&amp;A).</t>
  </si>
  <si>
    <t>Sales and marketing</t>
  </si>
  <si>
    <t>General and administrative</t>
  </si>
  <si>
    <t>GAAP operating income</t>
  </si>
  <si>
    <t>Net interest expense</t>
  </si>
  <si>
    <t>Same; 3Q25 call ($311m).</t>
  </si>
  <si>
    <t>GAAP net income</t>
  </si>
  <si>
    <t>Cash-flow YTD figures differenced by quarter.</t>
  </si>
  <si>
    <t>Cash-flow YTD differenced (9M25 473.4): 3Q 144.4 / 4Q 156.6 (the statement of equity shows 156.9 in 3Q — different basis).</t>
  </si>
  <si>
    <t>Cash capex (purchase of PP&amp;E)</t>
  </si>
  <si>
    <t>Cash-flow YTD differenced.</t>
  </si>
  <si>
    <t>Capex, company basis (calls)</t>
  </si>
  <si>
    <t>Calls 1Q26 (05-07) and 2Q26 (08-11). FY26 guide $35-39bn. Includes OEM financing; differs from cash.</t>
  </si>
  <si>
    <t>Adjusted EBITDA (company)</t>
  </si>
  <si>
    <t>Calls; FY24 = 64% (DB 2025-06-16) PARTIAL; 1Q26 = '$1.2bn, ~56%' x 2,078 = 1,164 PARTIAL; 1Q25 = 1,164/1.91 ('+91% y/y') PARTIAL.</t>
  </si>
  <si>
    <t>Calculated.</t>
  </si>
  <si>
    <t>AOI (adjusted operating income, company)</t>
  </si>
  <si>
    <t>Calls: 2Q25 $200m (cited on the 2Q26 call, 08-11), 3Q25 $217m, 1Q26 $21m, 2Q26 $128m. FY25 guide $690-720m (3Q25 call).</t>
  </si>
  <si>
    <t>Operating and balance sheet</t>
  </si>
  <si>
    <t>Active power at period-end (MW)</t>
  </si>
  <si>
    <t>10-K FY25 (70 / 360 / &gt;850); calls (3Q25 590 = +120 q/q → 2Q25 470; 1Q25 ~420 ESTIMATE; 1Q26 '&gt;1 GW'; 2Q26 1.5 GW).</t>
  </si>
  <si>
    <t>Contracted power at period-end (MW)</t>
  </si>
  <si>
    <t>Calls; 4.2 GW as of 11-Aug-26.</t>
  </si>
  <si>
    <t>Revenue backlog (company, US$ bn)</t>
  </si>
  <si>
    <t>Calls (2Q25 'doubled YTD' → Dec-24 ~15.1 PARTIAL). RPO 10-K/10-Q: 60.7 (Dec-25) / 103.7 (Jun-26).</t>
  </si>
  <si>
    <t>Total deferred revenue (US$ m)</t>
  </si>
  <si>
    <t>Balance sheets.</t>
  </si>
  <si>
    <t>Unrestricted cash (US$ m)</t>
  </si>
  <si>
    <t>Gross debt, principal (US$ m)</t>
  </si>
  <si>
    <t>Debt notes (Dec-24 carrying value).</t>
  </si>
  <si>
    <t>Weighted diluted shares (m)</t>
  </si>
  <si>
    <t>10-K / 10-Q (post 20:1 split).</t>
  </si>
  <si>
    <t>Calibration | annualised quarterly revenue ÷ average active power of the PRIOR quarter (US$ bn / GW-year)</t>
  </si>
  <si>
    <t>Average active power of the prior quarter (MW)</t>
  </si>
  <si>
    <t>Prior quarter = average of the end of the quarter before last and the end of the prior quarter (2Q25 uses Dec-24 360 and 1Q25 ~420 ESTIMATE). 1Q25 omitted (3Q24 not reported). Basis UBS 09-22 ('about a quarter for active power to generate revs'); 2Q26 = 2,575 x 4 / 925 = 11.1 = UBS.</t>
  </si>
  <si>
    <t>Falls from ~12.4 (2Q25) to ~11.1 (2Q26): the fleet scaled faster than the average price (legacy MSFT/OpenAI book). UBS: ~11 → ~15 at the 2027 exit. Anchor of the model (cover row 12).</t>
  </si>
  <si>
    <t>Annualised D&amp;A ÷ average active power of the quarter (US$ bn / GW-year)</t>
  </si>
  <si>
    <t>Anchor of D&amp;A per GW (cover): ~4.5-5.0.</t>
  </si>
  <si>
    <t>Annualised interest ÷ period-end gross debt (memo)</t>
  </si>
  <si>
    <t>4Q25 ~7.2% and 2Q26 ~7.2% on END-of-period principal (debt grew during the period; capitalised interest excluded) — contractual effective rates 9-11%.</t>
  </si>
  <si>
    <t>CRWV | Debt (10-Q 2Q26, note 10 — principal, US$ millions)</t>
  </si>
  <si>
    <t>Source: CRWV/CRWV_10-Q_2026-08-12 note 10 (total debt obligations; future principal payments). Rates = 'effective interest rates' from the table.</t>
  </si>
  <si>
    <t>Type</t>
  </si>
  <si>
    <t>Instrument</t>
  </si>
  <si>
    <t>Maturity</t>
  </si>
  <si>
    <t>Effective rate</t>
  </si>
  <si>
    <t>30-Jun-2026</t>
  </si>
  <si>
    <t>31-Dec-2025</t>
  </si>
  <si>
    <t>Recourse</t>
  </si>
  <si>
    <t>DDTL 1.0 Facility</t>
  </si>
  <si>
    <t>Mar-2028</t>
  </si>
  <si>
    <t>DDTL 2.0 Facility</t>
  </si>
  <si>
    <t>Aug-2030</t>
  </si>
  <si>
    <t>DDTL 2.1 Facility</t>
  </si>
  <si>
    <t>Mar-2031</t>
  </si>
  <si>
    <t>DDTL 3.0 Facility</t>
  </si>
  <si>
    <t>DDTL 5.0 Facility (SOFR + 4.50%, May-26)</t>
  </si>
  <si>
    <t>Nov-2031</t>
  </si>
  <si>
    <t>2030 Senior Notes (9.25%)</t>
  </si>
  <si>
    <t>Jun-2030</t>
  </si>
  <si>
    <t>2031 9.00% Senior Notes</t>
  </si>
  <si>
    <t>Feb-2031</t>
  </si>
  <si>
    <t>2031 9.75% Senior Notes (Apr-26)</t>
  </si>
  <si>
    <t>Oct-2031</t>
  </si>
  <si>
    <t>2032 9.625% Senior Notes (Jun-26)</t>
  </si>
  <si>
    <t>Jul-2032</t>
  </si>
  <si>
    <t>2032 EUR Senior Notes (8.50%, EUR 2.0bn, swapped to US$)</t>
  </si>
  <si>
    <t>2031 Convertible Senior Notes (1.75%)</t>
  </si>
  <si>
    <t>Dec-2031</t>
  </si>
  <si>
    <t>2032 Convertible Senior Notes (1.75%; conv. $119.60; cap call $230)</t>
  </si>
  <si>
    <t>Oct-2032</t>
  </si>
  <si>
    <t>Convertible Promissory Notes</t>
  </si>
  <si>
    <t>Apr-2026</t>
  </si>
  <si>
    <t>Revolving Credit Facility</t>
  </si>
  <si>
    <t>Nov-2029</t>
  </si>
  <si>
    <t>OEM and Software License Financing Arrangements</t>
  </si>
  <si>
    <t>Dec-26 to Jul-30</t>
  </si>
  <si>
    <t>Magnetar Loan</t>
  </si>
  <si>
    <t>Jan-2029</t>
  </si>
  <si>
    <t>Non-recourse</t>
  </si>
  <si>
    <t>DDTL 4.0 Facility (SOFR + 2.25% / UST + 2.00%; Meta take-or-pay)</t>
  </si>
  <si>
    <t>Mar-2032</t>
  </si>
  <si>
    <t>Aug-26 to Aug-28</t>
  </si>
  <si>
    <t>Total principal (recourse + non-recourse)</t>
  </si>
  <si>
    <t>Weighted-average effective rate (Jun-26)</t>
  </si>
  <si>
    <t>Check: note total = 35,551 (Jun-26) / 21,615 (Dec-25)</t>
  </si>
  <si>
    <t>Less: unamortized discount and issuance costs (Jun-26: 427 + 56)</t>
  </si>
  <si>
    <t>Carrying value (recourse 31,405 + non-recourse 3,663 = 35,068)</t>
  </si>
  <si>
    <t>Principal amortization (Jun-26)</t>
  </si>
  <si>
    <t>US$ m</t>
  </si>
  <si>
    <t>Remainder of 2026</t>
  </si>
  <si>
    <t>2027</t>
  </si>
  <si>
    <t>2028</t>
  </si>
  <si>
    <t>2029</t>
  </si>
  <si>
    <t>2030</t>
  </si>
  <si>
    <t>Thereafter</t>
  </si>
  <si>
    <t>Total</t>
  </si>
  <si>
    <t>2Q26 interest: contractual 592 + discount amortization 45 − capitalised 79 = 558 (note 10); 'interest expense, net' on the P&amp;L = 640. 3Q26 guide: $860-940m. 1H26 cash paid 806.</t>
  </si>
  <si>
    <t>Operating leases (Jun-26): PV 16,319 (10% rate, 12 years); future payments 29,135; not yet commenced 35,500 (a single site = 14,700, 393 MW to be delivered). Rent sits in EBITDA — do not add to debt.</t>
  </si>
  <si>
    <t>DDTL spreads (Redburn 09-21, Fig 70): S+962 (Jul-23), +425 (Sep-24), +400 (OpenAI, Jul-25), +225 (Meta, Mar-26), +450 (non-IG, May-26), +550 (Aug-26, $2.6bn DDTL 5.5, Sep-31). Term loan S+550 yields 9.15% (MS Credit 08-20).</t>
  </si>
  <si>
    <t>Capital raised: &gt;$32bn of debt + equity through 2Q26 (call 08-11); WACD −300bp in 12 months (~$1.1bn/year of interest). S&amp;P B+ positive (Apr-26). ATM registered, 'not at these prices' (Robbins 09-21).</t>
  </si>
  <si>
    <t>2031 convert: 9.2764 shares per $1,000 (conv. $107.80; capped call strike 107.80 / cap 215.60 — 10-K FY25). 2032 convert: 8.3612 shares per $1,000 (conv. $119.60); capped calls cost 492m, strike 119.60 / cap 230. Management: effective strike ~$200. Both treated as debt in the model (out of the money at $77.81).</t>
  </si>
  <si>
    <t>Subsequent events (10-Q 2Q26 note 16): Aug-26 $2.6bn DDTL 5.5 (JPMorgan agent; SOFR+550, matures Sep-31) and a $1.2bn draw on the Revolving Credit Facility — NOT in the model's 30-Jun-26 net debt (the draw funds 2H26 capex already discounted in the FCFF).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</si>
</sst>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;\(#,##0\);&quot;-&quot;"/>
    <numFmt numFmtId="165" formatCode="0.00;\(0.00\);&quot;-&quot;"/>
    <numFmt numFmtId="166" formatCode="#,##0.0;\(#,##0.0\);&quot;-&quot;"/>
    <numFmt numFmtId="168" formatCode="dd\-mmm\-yyyy"/>
    <numFmt numFmtId="169" formatCode="0.0%;\(0.0%\);&quot;-&quot;"/>
    <numFmt numFmtId="170" formatCode="\+0.0%;\-0.0%;0.0%"/>
    <numFmt numFmtId="171" formatCode="0&quot; yrs&quot;"/>
    <numFmt numFmtId="172" formatCode="dd\-mmm\-yy"/>
    <numFmt numFmtId="173" formatCode="&quot;$&quot;0.00;\(&quot;$&quot;0.00\)"/>
    <numFmt numFmtId="174" formatCode="0.0&quot;x&quot;;\(0.0&quot;x&quot;\);&quot;n/m&quot;"/>
    <numFmt numFmtId="175" formatCode="0&quot; bn/GW&quot;"/>
    <numFmt numFmtId="176" formatCode="0.0&quot; yrs&quot;"/>
    <numFmt numFmtId="177" formatCode="0.00;\(0.00\);0.00"/>
  </numFmts>
  <fonts count="9" x14ac:knownFonts="1">
    <font>
      <sz val="11"/>
      <color theme="1"/>
      <name val="Calibri"/>
      <family val="2"/>
      <scheme val="minor"/>
    </font>
    <font>
      <b/>
      <sz val="16"/>
      <color rgb="FF203864"/>
      <name val="Arial"/>
    </font>
    <font>
      <sz val="10"/>
      <color rgb="FF202020"/>
      <name val="Arial"/>
    </font>
    <font>
      <sz val="9"/>
      <color rgb="FF666666"/>
      <name val="Arial"/>
    </font>
    <font>
      <b/>
      <sz val="10"/>
      <color rgb="FF20202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008000"/>
      <name val="Arial"/>
    </font>
    <font>
      <b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2" fillId="0" borderId="0" xfId="0" applyFont="1"/>
    <xf numFmtId="165" fontId="5" fillId="3" borderId="0" xfId="0" applyNumberFormat="1" applyFont="1" applyFill="1" applyAlignment="1">
      <alignment horizontal="right"/>
    </xf>
    <xf numFmtId="170" fontId="5" fillId="3" borderId="0" xfId="0" applyNumberFormat="1" applyFont="1" applyFill="1" applyAlignment="1">
      <alignment horizontal="right"/>
    </xf>
    <xf numFmtId="171" fontId="5" fillId="3" borderId="0" xfId="0" applyNumberFormat="1" applyFont="1" applyFill="1" applyAlignment="1">
      <alignment horizontal="right"/>
    </xf>
    <xf numFmtId="169" fontId="5" fillId="4" borderId="0" xfId="0" applyNumberFormat="1" applyFont="1" applyFill="1" applyAlignment="1">
      <alignment horizontal="right"/>
    </xf>
    <xf numFmtId="0" fontId="4" fillId="2" borderId="0" xfId="0" applyFont="1" applyFill="1"/>
    <xf numFmtId="0" fontId="0" fillId="2" borderId="0" xfId="0" applyFill="1"/>
    <xf numFmtId="164" fontId="6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69" fontId="2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172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8" fontId="6" fillId="0" borderId="0" xfId="0" applyNumberFormat="1" applyFont="1"/>
    <xf numFmtId="169" fontId="6" fillId="0" borderId="0" xfId="0" applyNumberFormat="1" applyFont="1"/>
    <xf numFmtId="165" fontId="2" fillId="2" borderId="0" xfId="0" applyNumberFormat="1" applyFont="1" applyFill="1"/>
    <xf numFmtId="169" fontId="4" fillId="2" borderId="0" xfId="0" applyNumberFormat="1" applyFont="1" applyFill="1"/>
    <xf numFmtId="165" fontId="2" fillId="0" borderId="0" xfId="0" applyNumberFormat="1" applyFont="1"/>
    <xf numFmtId="166" fontId="6" fillId="0" borderId="0" xfId="0" applyNumberFormat="1" applyFont="1"/>
    <xf numFmtId="164" fontId="6" fillId="0" borderId="0" xfId="0" applyNumberFormat="1" applyFont="1"/>
    <xf numFmtId="164" fontId="2" fillId="0" borderId="0" xfId="0" applyNumberFormat="1" applyFont="1"/>
    <xf numFmtId="165" fontId="4" fillId="2" borderId="0" xfId="0" applyNumberFormat="1" applyFont="1" applyFill="1"/>
    <xf numFmtId="169" fontId="3" fillId="0" borderId="0" xfId="0" applyNumberFormat="1" applyFont="1"/>
    <xf numFmtId="170" fontId="4" fillId="2" borderId="0" xfId="0" applyNumberFormat="1" applyFont="1" applyFill="1"/>
    <xf numFmtId="0" fontId="8" fillId="5" borderId="0" xfId="0" applyFont="1" applyFill="1"/>
    <xf numFmtId="173" fontId="8" fillId="5" borderId="0" xfId="0" applyNumberFormat="1" applyFont="1" applyFill="1"/>
    <xf numFmtId="175" fontId="3" fillId="0" borderId="0" xfId="0" applyNumberFormat="1" applyFont="1" applyAlignment="1">
      <alignment horizontal="center"/>
    </xf>
    <xf numFmtId="169" fontId="2" fillId="0" borderId="0" xfId="0" applyNumberFormat="1" applyFont="1"/>
    <xf numFmtId="173" fontId="2" fillId="0" borderId="0" xfId="0" applyNumberFormat="1" applyFont="1"/>
    <xf numFmtId="171" fontId="4" fillId="2" borderId="0" xfId="0" applyNumberFormat="1" applyFont="1" applyFill="1"/>
    <xf numFmtId="174" fontId="2" fillId="0" borderId="0" xfId="0" applyNumberFormat="1" applyFont="1"/>
    <xf numFmtId="165" fontId="4" fillId="0" borderId="0" xfId="0" applyNumberFormat="1" applyFont="1"/>
    <xf numFmtId="176" fontId="2" fillId="0" borderId="0" xfId="0" applyNumberFormat="1" applyFont="1"/>
    <xf numFmtId="174" fontId="2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7" fontId="2" fillId="0" borderId="0" xfId="0" applyNumberFormat="1" applyFont="1"/>
    <xf numFmtId="1" fontId="4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/>
    <xf numFmtId="164" fontId="5" fillId="3" borderId="0" xfId="0" applyNumberFormat="1" applyFont="1" applyFill="1"/>
    <xf numFmtId="166" fontId="5" fillId="0" borderId="0" xfId="0" applyNumberFormat="1" applyFont="1"/>
    <xf numFmtId="166" fontId="3" fillId="0" borderId="0" xfId="0" applyNumberFormat="1" applyFont="1"/>
    <xf numFmtId="168" fontId="5" fillId="3" borderId="0" xfId="0" applyNumberFormat="1" applyFont="1" applyFill="1"/>
    <xf numFmtId="169" fontId="5" fillId="3" borderId="0" xfId="0" applyNumberFormat="1" applyFont="1" applyFill="1"/>
    <xf numFmtId="169" fontId="5" fillId="4" borderId="0" xfId="0" applyNumberFormat="1" applyFont="1" applyFill="1"/>
    <xf numFmtId="168" fontId="5" fillId="0" borderId="0" xfId="0" applyNumberFormat="1" applyFont="1"/>
    <xf numFmtId="165" fontId="5" fillId="0" borderId="0" xfId="0" applyNumberFormat="1" applyFont="1"/>
    <xf numFmtId="165" fontId="5" fillId="3" borderId="0" xfId="0" applyNumberFormat="1" applyFont="1" applyFill="1"/>
    <xf numFmtId="1" fontId="6" fillId="0" borderId="0" xfId="0" applyNumberFormat="1" applyFont="1"/>
    <xf numFmtId="164" fontId="5" fillId="3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169" fontId="5" fillId="3" borderId="0" xfId="0" applyNumberFormat="1" applyFont="1" applyFill="1" applyAlignment="1">
      <alignment horizontal="right"/>
    </xf>
    <xf numFmtId="0" fontId="1" fillId="0" borderId="0" xfId="0" applyFont="1"/>
    <xf numFmtId="166" fontId="5" fillId="0" borderId="0" xfId="0" applyNumberFormat="1" applyFont="1" applyAlignment="1">
      <alignment horizontal="right"/>
    </xf>
    <xf numFmtId="0" fontId="3" fillId="0" borderId="0" xfId="0" applyFont="1"/>
    <xf numFmtId="166" fontId="4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9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Z149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.28515625" customWidth="1"/>
    <col min="3" max="3" width="56" customWidth="1"/>
    <col min="4" max="26" width="12.42578125" customWidth="1"/>
  </cols>
  <sheetData>
    <row r="1" spans="3:26" ht="18" customHeight="1" x14ac:dyDescent="0.25"/>
    <row r="2" spans="3:26" ht="18" customHeight="1" x14ac:dyDescent="0.3">
      <c r="C2" s="1" t="s">
        <v>0</v>
      </c>
    </row>
    <row r="3" spans="3:26" x14ac:dyDescent="0.25">
      <c r="C3" s="2" t="s">
        <v>1</v>
      </c>
    </row>
    <row r="4" spans="3:26" x14ac:dyDescent="0.25">
      <c r="C4" s="3" t="s">
        <v>2</v>
      </c>
    </row>
    <row r="5" spans="3:26" ht="18" customHeight="1" x14ac:dyDescent="0.25"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</row>
    <row r="6" spans="3:26" x14ac:dyDescent="0.25">
      <c r="C6" s="5" t="s">
        <v>26</v>
      </c>
      <c r="D6" s="6">
        <v>1</v>
      </c>
      <c r="E6" s="7">
        <v>0</v>
      </c>
      <c r="F6" s="8">
        <v>6</v>
      </c>
      <c r="G6" s="9">
        <v>0.8</v>
      </c>
    </row>
    <row r="7" spans="3:26" ht="18" customHeight="1" x14ac:dyDescent="0.25">
      <c r="C7" s="10" t="s">
        <v>27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3:26" x14ac:dyDescent="0.25">
      <c r="C8" s="5" t="s">
        <v>28</v>
      </c>
      <c r="D8" s="12">
        <f>'Assumptions &amp; sources'!D18</f>
        <v>70</v>
      </c>
      <c r="E8" s="12">
        <f>'Assumptions &amp; sources'!E18</f>
        <v>360</v>
      </c>
      <c r="F8" s="12">
        <f>'Assumptions &amp; sources'!F18</f>
        <v>850</v>
      </c>
      <c r="G8" s="13">
        <f t="shared" ref="G8:Z8" si="0">F8+G9</f>
        <v>1900</v>
      </c>
      <c r="H8" s="13">
        <f t="shared" si="0"/>
        <v>3200</v>
      </c>
      <c r="I8" s="13">
        <f t="shared" si="0"/>
        <v>4700</v>
      </c>
      <c r="J8" s="13">
        <f t="shared" si="0"/>
        <v>6300</v>
      </c>
      <c r="K8" s="13">
        <f t="shared" si="0"/>
        <v>8000</v>
      </c>
      <c r="L8" s="13">
        <f t="shared" si="0"/>
        <v>9400</v>
      </c>
      <c r="M8" s="13">
        <f t="shared" si="0"/>
        <v>10600</v>
      </c>
      <c r="N8" s="13">
        <f t="shared" si="0"/>
        <v>11600</v>
      </c>
      <c r="O8" s="13">
        <f t="shared" si="0"/>
        <v>12500</v>
      </c>
      <c r="P8" s="13">
        <f t="shared" si="0"/>
        <v>13300</v>
      </c>
      <c r="Q8" s="13">
        <f t="shared" si="0"/>
        <v>13699</v>
      </c>
      <c r="R8" s="13">
        <f t="shared" si="0"/>
        <v>14109.97</v>
      </c>
      <c r="S8" s="13">
        <f t="shared" si="0"/>
        <v>14533.2691</v>
      </c>
      <c r="T8" s="13">
        <f t="shared" si="0"/>
        <v>14969.267173</v>
      </c>
      <c r="U8" s="13">
        <f t="shared" si="0"/>
        <v>15418.34518819</v>
      </c>
      <c r="V8" s="13">
        <f t="shared" si="0"/>
        <v>15880.895543835701</v>
      </c>
      <c r="W8" s="13">
        <f t="shared" si="0"/>
        <v>16357.322410150771</v>
      </c>
      <c r="X8" s="13">
        <f t="shared" si="0"/>
        <v>16848.042082455293</v>
      </c>
      <c r="Y8" s="13">
        <f t="shared" si="0"/>
        <v>17353.483344928951</v>
      </c>
      <c r="Z8" s="13">
        <f t="shared" si="0"/>
        <v>17874.087845276819</v>
      </c>
    </row>
    <row r="9" spans="3:26" x14ac:dyDescent="0.25">
      <c r="C9" s="5" t="s">
        <v>29</v>
      </c>
      <c r="D9" s="13">
        <f>D8</f>
        <v>70</v>
      </c>
      <c r="E9" s="13">
        <f>E8-D8</f>
        <v>290</v>
      </c>
      <c r="F9" s="13">
        <f>F8-E8</f>
        <v>490</v>
      </c>
      <c r="G9" s="12">
        <f>'Assumptions &amp; sources'!G75</f>
        <v>1050</v>
      </c>
      <c r="H9" s="12">
        <f>'Assumptions &amp; sources'!H75</f>
        <v>1300</v>
      </c>
      <c r="I9" s="12">
        <f>'Assumptions &amp; sources'!I75</f>
        <v>1500</v>
      </c>
      <c r="J9" s="12">
        <f>'Assumptions &amp; sources'!J75</f>
        <v>1600</v>
      </c>
      <c r="K9" s="12">
        <f>'Assumptions &amp; sources'!K75</f>
        <v>1700</v>
      </c>
      <c r="L9" s="12">
        <f>'Assumptions &amp; sources'!L75</f>
        <v>1400</v>
      </c>
      <c r="M9" s="12">
        <f>'Assumptions &amp; sources'!M75</f>
        <v>1200</v>
      </c>
      <c r="N9" s="12">
        <f>'Assumptions &amp; sources'!N75</f>
        <v>1000</v>
      </c>
      <c r="O9" s="12">
        <f>'Assumptions &amp; sources'!O75</f>
        <v>900</v>
      </c>
      <c r="P9" s="12">
        <f>'Assumptions &amp; sources'!P75</f>
        <v>800</v>
      </c>
      <c r="Q9" s="12">
        <f>P8*'Assumptions &amp; sources'!$D$71</f>
        <v>399</v>
      </c>
      <c r="R9" s="12">
        <f>Q8*'Assumptions &amp; sources'!$D$71</f>
        <v>410.96999999999997</v>
      </c>
      <c r="S9" s="12">
        <f>R8*'Assumptions &amp; sources'!$D$71</f>
        <v>423.29909999999995</v>
      </c>
      <c r="T9" s="12">
        <f>S8*'Assumptions &amp; sources'!$D$71</f>
        <v>435.99807299999998</v>
      </c>
      <c r="U9" s="12">
        <f>T8*'Assumptions &amp; sources'!$D$71</f>
        <v>449.07801518999997</v>
      </c>
      <c r="V9" s="12">
        <f>U8*'Assumptions &amp; sources'!$D$71</f>
        <v>462.55035564569999</v>
      </c>
      <c r="W9" s="12">
        <f>V8*'Assumptions &amp; sources'!$D$71</f>
        <v>476.42686631507098</v>
      </c>
      <c r="X9" s="12">
        <f>W8*'Assumptions &amp; sources'!$D$71</f>
        <v>490.7196723045231</v>
      </c>
      <c r="Y9" s="12">
        <f>X8*'Assumptions &amp; sources'!$D$71</f>
        <v>505.44126247365875</v>
      </c>
      <c r="Z9" s="12">
        <f>Y8*'Assumptions &amp; sources'!$D$71</f>
        <v>520.60450034786845</v>
      </c>
    </row>
    <row r="10" spans="3:26" x14ac:dyDescent="0.25">
      <c r="C10" s="5" t="s">
        <v>30</v>
      </c>
      <c r="E10" s="13">
        <f t="shared" ref="E10:Z10" si="1">(D8+E8)/2</f>
        <v>215</v>
      </c>
      <c r="F10" s="13">
        <f t="shared" si="1"/>
        <v>605</v>
      </c>
      <c r="G10" s="13">
        <f t="shared" si="1"/>
        <v>1375</v>
      </c>
      <c r="H10" s="13">
        <f t="shared" si="1"/>
        <v>2550</v>
      </c>
      <c r="I10" s="13">
        <f t="shared" si="1"/>
        <v>3950</v>
      </c>
      <c r="J10" s="13">
        <f t="shared" si="1"/>
        <v>5500</v>
      </c>
      <c r="K10" s="13">
        <f t="shared" si="1"/>
        <v>7150</v>
      </c>
      <c r="L10" s="13">
        <f t="shared" si="1"/>
        <v>8700</v>
      </c>
      <c r="M10" s="13">
        <f t="shared" si="1"/>
        <v>10000</v>
      </c>
      <c r="N10" s="13">
        <f t="shared" si="1"/>
        <v>11100</v>
      </c>
      <c r="O10" s="13">
        <f t="shared" si="1"/>
        <v>12050</v>
      </c>
      <c r="P10" s="13">
        <f t="shared" si="1"/>
        <v>12900</v>
      </c>
      <c r="Q10" s="13">
        <f t="shared" si="1"/>
        <v>13499.5</v>
      </c>
      <c r="R10" s="13">
        <f t="shared" si="1"/>
        <v>13904.485000000001</v>
      </c>
      <c r="S10" s="13">
        <f t="shared" si="1"/>
        <v>14321.619549999999</v>
      </c>
      <c r="T10" s="13">
        <f t="shared" si="1"/>
        <v>14751.268136499999</v>
      </c>
      <c r="U10" s="13">
        <f t="shared" si="1"/>
        <v>15193.806180595</v>
      </c>
      <c r="V10" s="13">
        <f t="shared" si="1"/>
        <v>15649.62036601285</v>
      </c>
      <c r="W10" s="13">
        <f t="shared" si="1"/>
        <v>16119.108976993237</v>
      </c>
      <c r="X10" s="13">
        <f t="shared" si="1"/>
        <v>16602.682246303033</v>
      </c>
      <c r="Y10" s="13">
        <f t="shared" si="1"/>
        <v>17100.762713692122</v>
      </c>
      <c r="Z10" s="13">
        <f t="shared" si="1"/>
        <v>17613.785595102883</v>
      </c>
    </row>
    <row r="11" spans="3:26" x14ac:dyDescent="0.25">
      <c r="C11" s="5" t="s">
        <v>31</v>
      </c>
      <c r="E11" s="13">
        <f>D8+(0.5-'Assumptions &amp; sources'!$D$67)*E9</f>
        <v>142.5</v>
      </c>
      <c r="F11" s="13">
        <f>E8+(0.5-'Assumptions &amp; sources'!$D$67)*F9</f>
        <v>482.5</v>
      </c>
      <c r="G11" s="12">
        <f>'Assumptions &amp; sources'!$D$38</f>
        <v>1124</v>
      </c>
      <c r="H11" s="13">
        <f>G8+(0.5-'Assumptions &amp; sources'!$D$67)*H9</f>
        <v>2225</v>
      </c>
      <c r="I11" s="13">
        <f>H8+(0.5-'Assumptions &amp; sources'!$D$67)*I9</f>
        <v>3575</v>
      </c>
      <c r="J11" s="13">
        <f>I8+(0.5-'Assumptions &amp; sources'!$D$67)*J9</f>
        <v>5100</v>
      </c>
      <c r="K11" s="13">
        <f>J8+(0.5-'Assumptions &amp; sources'!$D$67)*K9</f>
        <v>6725</v>
      </c>
      <c r="L11" s="13">
        <f>K8+(0.5-'Assumptions &amp; sources'!$D$67)*L9</f>
        <v>8350</v>
      </c>
      <c r="M11" s="13">
        <f>L8+(0.5-'Assumptions &amp; sources'!$D$67)*M9</f>
        <v>9700</v>
      </c>
      <c r="N11" s="13">
        <f>M8+(0.5-'Assumptions &amp; sources'!$D$67)*N9</f>
        <v>10850</v>
      </c>
      <c r="O11" s="13">
        <f>N8+(0.5-'Assumptions &amp; sources'!$D$67)*O9</f>
        <v>11825</v>
      </c>
      <c r="P11" s="13">
        <f>O8+(0.5-'Assumptions &amp; sources'!$D$67)*P9</f>
        <v>12700</v>
      </c>
      <c r="Q11" s="13">
        <f>P8+(0.5-'Assumptions &amp; sources'!$D$67)*Q9</f>
        <v>13399.75</v>
      </c>
      <c r="R11" s="13">
        <f>Q8+(0.5-'Assumptions &amp; sources'!$D$67)*R9</f>
        <v>13801.7425</v>
      </c>
      <c r="S11" s="13">
        <f>R8+(0.5-'Assumptions &amp; sources'!$D$67)*S9</f>
        <v>14215.794774999998</v>
      </c>
      <c r="T11" s="13">
        <f>S8+(0.5-'Assumptions &amp; sources'!$D$67)*T9</f>
        <v>14642.26861825</v>
      </c>
      <c r="U11" s="13">
        <f>T8+(0.5-'Assumptions &amp; sources'!$D$67)*U9</f>
        <v>15081.536676797501</v>
      </c>
      <c r="V11" s="13">
        <f>U8+(0.5-'Assumptions &amp; sources'!$D$67)*V9</f>
        <v>15533.982777101424</v>
      </c>
      <c r="W11" s="13">
        <f>V8+(0.5-'Assumptions &amp; sources'!$D$67)*W9</f>
        <v>16000.002260414469</v>
      </c>
      <c r="X11" s="13">
        <f>W8+(0.5-'Assumptions &amp; sources'!$D$67)*X9</f>
        <v>16480.002328226903</v>
      </c>
      <c r="Y11" s="13">
        <f>X8+(0.5-'Assumptions &amp; sources'!$D$67)*Y9</f>
        <v>16974.402398073707</v>
      </c>
      <c r="Z11" s="13">
        <f>Y8+(0.5-'Assumptions &amp; sources'!$D$67)*Z9</f>
        <v>17483.634470015917</v>
      </c>
    </row>
    <row r="12" spans="3:26" x14ac:dyDescent="0.25">
      <c r="C12" s="5" t="s">
        <v>32</v>
      </c>
      <c r="E12" s="14">
        <f>E15/E11</f>
        <v>13.43859649122807</v>
      </c>
      <c r="F12" s="14">
        <f>F15/F11</f>
        <v>10.63419689119171</v>
      </c>
      <c r="G12" s="14">
        <f>G15/G11</f>
        <v>11.387900355871887</v>
      </c>
      <c r="H12" s="15">
        <f>'Assumptions &amp; sources'!H76*$D$6</f>
        <v>12</v>
      </c>
      <c r="I12" s="15">
        <f>'Assumptions &amp; sources'!I76*$D$6</f>
        <v>12.5</v>
      </c>
      <c r="J12" s="15">
        <f>'Assumptions &amp; sources'!J76*$D$6</f>
        <v>12.8</v>
      </c>
      <c r="K12" s="15">
        <f>'Assumptions &amp; sources'!K76*$D$6</f>
        <v>13</v>
      </c>
      <c r="L12" s="15">
        <f>'Assumptions &amp; sources'!L76*$D$6</f>
        <v>13.3</v>
      </c>
      <c r="M12" s="15">
        <f>'Assumptions &amp; sources'!M76*$D$6</f>
        <v>13.7</v>
      </c>
      <c r="N12" s="15">
        <f>'Assumptions &amp; sources'!N76*$D$6</f>
        <v>14</v>
      </c>
      <c r="O12" s="15">
        <f>'Assumptions &amp; sources'!O76*$D$6</f>
        <v>14</v>
      </c>
      <c r="P12" s="15">
        <f>'Assumptions &amp; sources'!P76*$D$6</f>
        <v>14</v>
      </c>
      <c r="Q12" s="15">
        <f>'Assumptions &amp; sources'!Q76*$D$6</f>
        <v>14</v>
      </c>
      <c r="R12" s="15">
        <f>'Assumptions &amp; sources'!R76*$D$6</f>
        <v>14</v>
      </c>
      <c r="S12" s="15">
        <f>'Assumptions &amp; sources'!S76*$D$6</f>
        <v>14</v>
      </c>
      <c r="T12" s="15">
        <f>'Assumptions &amp; sources'!T76*$D$6</f>
        <v>14</v>
      </c>
      <c r="U12" s="15">
        <f>'Assumptions &amp; sources'!U76*$D$6</f>
        <v>14</v>
      </c>
      <c r="V12" s="15">
        <f>'Assumptions &amp; sources'!V76*$D$6</f>
        <v>14</v>
      </c>
      <c r="W12" s="15">
        <f>'Assumptions &amp; sources'!W76*$D$6</f>
        <v>14</v>
      </c>
      <c r="X12" s="15">
        <f>'Assumptions &amp; sources'!X76*$D$6</f>
        <v>14</v>
      </c>
      <c r="Y12" s="15">
        <f>'Assumptions &amp; sources'!Y76*$D$6</f>
        <v>14</v>
      </c>
      <c r="Z12" s="15">
        <f>'Assumptions &amp; sources'!Z76*$D$6</f>
        <v>14</v>
      </c>
    </row>
    <row r="13" spans="3:26" x14ac:dyDescent="0.25">
      <c r="C13" s="5" t="s">
        <v>33</v>
      </c>
      <c r="E13" s="14">
        <f t="shared" ref="E13:Z13" si="2">E15/E10</f>
        <v>8.9069767441860463</v>
      </c>
      <c r="F13" s="14">
        <f t="shared" si="2"/>
        <v>8.4809917355371898</v>
      </c>
      <c r="G13" s="14">
        <f t="shared" si="2"/>
        <v>9.3090909090909086</v>
      </c>
      <c r="H13" s="14">
        <f t="shared" si="2"/>
        <v>10.470588235294118</v>
      </c>
      <c r="I13" s="14">
        <f t="shared" si="2"/>
        <v>11.313291139240507</v>
      </c>
      <c r="J13" s="14">
        <f t="shared" si="2"/>
        <v>11.869090909090909</v>
      </c>
      <c r="K13" s="14">
        <f t="shared" si="2"/>
        <v>12.227272727272727</v>
      </c>
      <c r="L13" s="14">
        <f t="shared" si="2"/>
        <v>12.764942528735633</v>
      </c>
      <c r="M13" s="14">
        <f t="shared" si="2"/>
        <v>13.289</v>
      </c>
      <c r="N13" s="14">
        <f t="shared" si="2"/>
        <v>13.684684684684685</v>
      </c>
      <c r="O13" s="14">
        <f t="shared" si="2"/>
        <v>13.738589211618256</v>
      </c>
      <c r="P13" s="14">
        <f t="shared" si="2"/>
        <v>13.782945736434108</v>
      </c>
      <c r="Q13" s="14">
        <f t="shared" si="2"/>
        <v>13.896551724137931</v>
      </c>
      <c r="R13" s="14">
        <f t="shared" si="2"/>
        <v>13.896551724137932</v>
      </c>
      <c r="S13" s="14">
        <f t="shared" si="2"/>
        <v>13.896551724137929</v>
      </c>
      <c r="T13" s="14">
        <f t="shared" si="2"/>
        <v>13.896551724137932</v>
      </c>
      <c r="U13" s="14">
        <f t="shared" si="2"/>
        <v>13.896551724137931</v>
      </c>
      <c r="V13" s="14">
        <f t="shared" si="2"/>
        <v>13.896551724137931</v>
      </c>
      <c r="W13" s="14">
        <f t="shared" si="2"/>
        <v>13.896551724137931</v>
      </c>
      <c r="X13" s="14">
        <f t="shared" si="2"/>
        <v>13.896551724137932</v>
      </c>
      <c r="Y13" s="14">
        <f t="shared" si="2"/>
        <v>13.896551724137931</v>
      </c>
      <c r="Z13" s="14">
        <f t="shared" si="2"/>
        <v>13.896551724137932</v>
      </c>
    </row>
    <row r="14" spans="3:26" x14ac:dyDescent="0.25">
      <c r="C14" s="10" t="s">
        <v>34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3:26" x14ac:dyDescent="0.25">
      <c r="C15" s="10" t="s">
        <v>35</v>
      </c>
      <c r="D15" s="16">
        <f>'Assumptions &amp; sources'!D9</f>
        <v>229</v>
      </c>
      <c r="E15" s="16">
        <f>'Assumptions &amp; sources'!E9</f>
        <v>1915</v>
      </c>
      <c r="F15" s="16">
        <f>'Assumptions &amp; sources'!F9</f>
        <v>5131</v>
      </c>
      <c r="G15" s="16">
        <f>('Assumptions &amp; sources'!$D$28+'Assumptions &amp; sources'!$D$29)/2</f>
        <v>12800</v>
      </c>
      <c r="H15" s="17">
        <f t="shared" ref="H15:Z15" si="3">H11*H12</f>
        <v>26700</v>
      </c>
      <c r="I15" s="17">
        <f t="shared" si="3"/>
        <v>44687.5</v>
      </c>
      <c r="J15" s="17">
        <f t="shared" si="3"/>
        <v>65280</v>
      </c>
      <c r="K15" s="17">
        <f t="shared" si="3"/>
        <v>87425</v>
      </c>
      <c r="L15" s="17">
        <f t="shared" si="3"/>
        <v>111055</v>
      </c>
      <c r="M15" s="17">
        <f t="shared" si="3"/>
        <v>132890</v>
      </c>
      <c r="N15" s="17">
        <f t="shared" si="3"/>
        <v>151900</v>
      </c>
      <c r="O15" s="17">
        <f t="shared" si="3"/>
        <v>165550</v>
      </c>
      <c r="P15" s="17">
        <f t="shared" si="3"/>
        <v>177800</v>
      </c>
      <c r="Q15" s="17">
        <f t="shared" si="3"/>
        <v>187596.5</v>
      </c>
      <c r="R15" s="17">
        <f t="shared" si="3"/>
        <v>193224.39500000002</v>
      </c>
      <c r="S15" s="17">
        <f t="shared" si="3"/>
        <v>199021.12684999997</v>
      </c>
      <c r="T15" s="17">
        <f t="shared" si="3"/>
        <v>204991.76065549999</v>
      </c>
      <c r="U15" s="17">
        <f t="shared" si="3"/>
        <v>211141.513475165</v>
      </c>
      <c r="V15" s="17">
        <f t="shared" si="3"/>
        <v>217475.75887941994</v>
      </c>
      <c r="W15" s="17">
        <f t="shared" si="3"/>
        <v>224000.03164580255</v>
      </c>
      <c r="X15" s="17">
        <f t="shared" si="3"/>
        <v>230720.03259517666</v>
      </c>
      <c r="Y15" s="17">
        <f t="shared" si="3"/>
        <v>237641.6335730319</v>
      </c>
      <c r="Z15" s="17">
        <f t="shared" si="3"/>
        <v>244770.88258022285</v>
      </c>
    </row>
    <row r="16" spans="3:26" x14ac:dyDescent="0.25">
      <c r="C16" s="5" t="s">
        <v>36</v>
      </c>
      <c r="E16" s="18">
        <f t="shared" ref="E16:Z16" si="4">E15/D15-1</f>
        <v>7.3624454148471621</v>
      </c>
      <c r="F16" s="18">
        <f t="shared" si="4"/>
        <v>1.679373368146214</v>
      </c>
      <c r="G16" s="18">
        <f t="shared" si="4"/>
        <v>1.4946404209705713</v>
      </c>
      <c r="H16" s="18">
        <f t="shared" si="4"/>
        <v>1.0859375</v>
      </c>
      <c r="I16" s="18">
        <f t="shared" si="4"/>
        <v>0.67368913857677892</v>
      </c>
      <c r="J16" s="18">
        <f t="shared" si="4"/>
        <v>0.46081118881118877</v>
      </c>
      <c r="K16" s="18">
        <f t="shared" si="4"/>
        <v>0.33923100490196068</v>
      </c>
      <c r="L16" s="18">
        <f t="shared" si="4"/>
        <v>0.27028881898770374</v>
      </c>
      <c r="M16" s="18">
        <f t="shared" si="4"/>
        <v>0.1966142902165593</v>
      </c>
      <c r="N16" s="18">
        <f t="shared" si="4"/>
        <v>0.14305064338926932</v>
      </c>
      <c r="O16" s="18">
        <f t="shared" si="4"/>
        <v>8.9861751152073843E-2</v>
      </c>
      <c r="P16" s="18">
        <f t="shared" si="4"/>
        <v>7.3995771670190225E-2</v>
      </c>
      <c r="Q16" s="18">
        <f t="shared" si="4"/>
        <v>5.5098425196850487E-2</v>
      </c>
      <c r="R16" s="18">
        <f t="shared" si="4"/>
        <v>3.0000000000000027E-2</v>
      </c>
      <c r="S16" s="18">
        <f t="shared" si="4"/>
        <v>2.9999999999999805E-2</v>
      </c>
      <c r="T16" s="18">
        <f t="shared" si="4"/>
        <v>3.0000000000000027E-2</v>
      </c>
      <c r="U16" s="18">
        <f t="shared" si="4"/>
        <v>3.0000000000000027E-2</v>
      </c>
      <c r="V16" s="18">
        <f t="shared" si="4"/>
        <v>3.0000000000000027E-2</v>
      </c>
      <c r="W16" s="18">
        <f t="shared" si="4"/>
        <v>3.0000000000000027E-2</v>
      </c>
      <c r="X16" s="18">
        <f t="shared" si="4"/>
        <v>3.0000000000000249E-2</v>
      </c>
      <c r="Y16" s="18">
        <f t="shared" si="4"/>
        <v>2.9999999999999805E-2</v>
      </c>
      <c r="Z16" s="18">
        <f t="shared" si="4"/>
        <v>3.0000000000000027E-2</v>
      </c>
    </row>
    <row r="17" spans="3:26" x14ac:dyDescent="0.25">
      <c r="C17" s="5" t="s">
        <v>37</v>
      </c>
      <c r="G17" s="12">
        <f>'Assumptions &amp; sources'!G9</f>
        <v>12770.37</v>
      </c>
      <c r="H17" s="12">
        <f>'Assumptions &amp; sources'!H9</f>
        <v>26439.52</v>
      </c>
      <c r="I17" s="12">
        <f>'Assumptions &amp; sources'!I9</f>
        <v>42212.08</v>
      </c>
    </row>
    <row r="18" spans="3:26" x14ac:dyDescent="0.25">
      <c r="C18" s="5" t="s">
        <v>38</v>
      </c>
      <c r="G18" s="18">
        <f>G15/G17-1</f>
        <v>2.320214684460975E-3</v>
      </c>
      <c r="H18" s="18">
        <f>H15/H17-1</f>
        <v>9.8519186430010564E-3</v>
      </c>
      <c r="I18" s="18">
        <f>I15/I17-1</f>
        <v>5.864245495602205E-2</v>
      </c>
    </row>
    <row r="19" spans="3:26" x14ac:dyDescent="0.25">
      <c r="C19" s="5" t="s">
        <v>39</v>
      </c>
      <c r="K19" s="18">
        <f>K15/84800-1</f>
        <v>3.0955188679245182E-2</v>
      </c>
    </row>
    <row r="21" spans="3:26" x14ac:dyDescent="0.25">
      <c r="C21" s="10" t="s">
        <v>40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3:26" x14ac:dyDescent="0.25">
      <c r="C22" s="5" t="s">
        <v>41</v>
      </c>
      <c r="E22" s="19">
        <f>'Assumptions &amp; sources'!E10/E15</f>
        <v>0.6402088772845953</v>
      </c>
      <c r="F22" s="19">
        <f>'Assumptions &amp; sources'!F10/F15</f>
        <v>0.60378093938803357</v>
      </c>
      <c r="G22" s="19">
        <f>'Assumptions &amp; sources'!G77</f>
        <v>0.57499999999999996</v>
      </c>
      <c r="H22" s="19">
        <f>'Assumptions &amp; sources'!H77+$E$6</f>
        <v>0.62</v>
      </c>
      <c r="I22" s="19">
        <f>'Assumptions &amp; sources'!I77+$E$6</f>
        <v>0.64</v>
      </c>
      <c r="J22" s="19">
        <f>'Assumptions &amp; sources'!J77+$E$6</f>
        <v>0.64</v>
      </c>
      <c r="K22" s="19">
        <f>'Assumptions &amp; sources'!K77+$E$6</f>
        <v>0.63</v>
      </c>
      <c r="L22" s="19">
        <f>'Assumptions &amp; sources'!L77+$E$6</f>
        <v>0.62</v>
      </c>
      <c r="M22" s="19">
        <f>'Assumptions &amp; sources'!M77+$E$6</f>
        <v>0.62</v>
      </c>
      <c r="N22" s="19">
        <f>'Assumptions &amp; sources'!N77+$E$6</f>
        <v>0.62</v>
      </c>
      <c r="O22" s="19">
        <f>'Assumptions &amp; sources'!O77+$E$6</f>
        <v>0.62</v>
      </c>
      <c r="P22" s="19">
        <f>'Assumptions &amp; sources'!P77+$E$6</f>
        <v>0.62</v>
      </c>
      <c r="Q22" s="19">
        <f>'Assumptions &amp; sources'!Q77+$E$6</f>
        <v>0.62</v>
      </c>
      <c r="R22" s="19">
        <f>'Assumptions &amp; sources'!R77+$E$6</f>
        <v>0.62</v>
      </c>
      <c r="S22" s="19">
        <f>'Assumptions &amp; sources'!S77+$E$6</f>
        <v>0.62</v>
      </c>
      <c r="T22" s="19">
        <f>'Assumptions &amp; sources'!T77+$E$6</f>
        <v>0.62</v>
      </c>
      <c r="U22" s="19">
        <f>'Assumptions &amp; sources'!U77+$E$6</f>
        <v>0.62</v>
      </c>
      <c r="V22" s="19">
        <f>'Assumptions &amp; sources'!V77+$E$6</f>
        <v>0.62</v>
      </c>
      <c r="W22" s="19">
        <f>'Assumptions &amp; sources'!W77+$E$6</f>
        <v>0.62</v>
      </c>
      <c r="X22" s="19">
        <f>'Assumptions &amp; sources'!X77+$E$6</f>
        <v>0.62</v>
      </c>
      <c r="Y22" s="19">
        <f>'Assumptions &amp; sources'!Y77+$E$6</f>
        <v>0.62</v>
      </c>
      <c r="Z22" s="19">
        <f>'Assumptions &amp; sources'!Z77+$E$6</f>
        <v>0.62</v>
      </c>
    </row>
    <row r="23" spans="3:26" x14ac:dyDescent="0.25">
      <c r="C23" s="20" t="s">
        <v>42</v>
      </c>
      <c r="E23" s="21">
        <f t="shared" ref="E23:Z23" si="5">E15*E22</f>
        <v>1226</v>
      </c>
      <c r="F23" s="21">
        <f t="shared" si="5"/>
        <v>3098.0000000000005</v>
      </c>
      <c r="G23" s="21">
        <f t="shared" si="5"/>
        <v>7359.9999999999991</v>
      </c>
      <c r="H23" s="21">
        <f t="shared" si="5"/>
        <v>16554</v>
      </c>
      <c r="I23" s="21">
        <f t="shared" si="5"/>
        <v>28600</v>
      </c>
      <c r="J23" s="21">
        <f t="shared" si="5"/>
        <v>41779.200000000004</v>
      </c>
      <c r="K23" s="21">
        <f t="shared" si="5"/>
        <v>55077.75</v>
      </c>
      <c r="L23" s="21">
        <f t="shared" si="5"/>
        <v>68854.100000000006</v>
      </c>
      <c r="M23" s="21">
        <f t="shared" si="5"/>
        <v>82391.8</v>
      </c>
      <c r="N23" s="21">
        <f t="shared" si="5"/>
        <v>94178</v>
      </c>
      <c r="O23" s="21">
        <f t="shared" si="5"/>
        <v>102641</v>
      </c>
      <c r="P23" s="21">
        <f t="shared" si="5"/>
        <v>110236</v>
      </c>
      <c r="Q23" s="21">
        <f t="shared" si="5"/>
        <v>116309.83</v>
      </c>
      <c r="R23" s="21">
        <f t="shared" si="5"/>
        <v>119799.12490000001</v>
      </c>
      <c r="S23" s="21">
        <f t="shared" si="5"/>
        <v>123393.09864699998</v>
      </c>
      <c r="T23" s="21">
        <f t="shared" si="5"/>
        <v>127094.89160640999</v>
      </c>
      <c r="U23" s="21">
        <f t="shared" si="5"/>
        <v>130907.7383546023</v>
      </c>
      <c r="V23" s="21">
        <f t="shared" si="5"/>
        <v>134834.97050524037</v>
      </c>
      <c r="W23" s="21">
        <f t="shared" si="5"/>
        <v>138880.01962039756</v>
      </c>
      <c r="X23" s="21">
        <f t="shared" si="5"/>
        <v>143046.42020900952</v>
      </c>
      <c r="Y23" s="21">
        <f t="shared" si="5"/>
        <v>147337.81281527979</v>
      </c>
      <c r="Z23" s="21">
        <f t="shared" si="5"/>
        <v>151757.94719973818</v>
      </c>
    </row>
    <row r="24" spans="3:26" x14ac:dyDescent="0.25">
      <c r="C24" s="5" t="s">
        <v>43</v>
      </c>
      <c r="G24" s="12">
        <f>'Assumptions &amp; sources'!G10</f>
        <v>7482.66</v>
      </c>
      <c r="H24" s="12">
        <f>'Assumptions &amp; sources'!H10</f>
        <v>16630.37</v>
      </c>
      <c r="I24" s="12">
        <f>'Assumptions &amp; sources'!I10</f>
        <v>27896.76</v>
      </c>
    </row>
    <row r="25" spans="3:26" x14ac:dyDescent="0.25">
      <c r="C25" s="5" t="s">
        <v>44</v>
      </c>
      <c r="E25" s="15">
        <f>E26/E10</f>
        <v>4.0139534883720929</v>
      </c>
      <c r="F25" s="15">
        <f>F26/F10</f>
        <v>4.0561983471074381</v>
      </c>
      <c r="G25" s="15">
        <f>'Assumptions &amp; sources'!G78</f>
        <v>4.5999999999999996</v>
      </c>
      <c r="H25" s="15">
        <f>'Assumptions &amp; sources'!H78</f>
        <v>4.8</v>
      </c>
      <c r="I25" s="15">
        <f>'Assumptions &amp; sources'!I78</f>
        <v>5</v>
      </c>
      <c r="J25" s="15">
        <f>'Assumptions &amp; sources'!J78</f>
        <v>5</v>
      </c>
      <c r="K25" s="15">
        <f>'Assumptions &amp; sources'!K78</f>
        <v>5</v>
      </c>
      <c r="L25" s="15">
        <f>'Assumptions &amp; sources'!L78</f>
        <v>5</v>
      </c>
      <c r="M25" s="15">
        <f>'Assumptions &amp; sources'!M78</f>
        <v>5</v>
      </c>
      <c r="N25" s="15">
        <f>'Assumptions &amp; sources'!N78</f>
        <v>5</v>
      </c>
      <c r="O25" s="15">
        <f>'Assumptions &amp; sources'!O78</f>
        <v>5</v>
      </c>
      <c r="P25" s="15">
        <f>'Assumptions &amp; sources'!P78</f>
        <v>5</v>
      </c>
      <c r="Q25" s="15">
        <f>'Assumptions &amp; sources'!Q78</f>
        <v>5</v>
      </c>
      <c r="R25" s="15">
        <f>'Assumptions &amp; sources'!R78</f>
        <v>5</v>
      </c>
      <c r="S25" s="15">
        <f>'Assumptions &amp; sources'!S78</f>
        <v>5</v>
      </c>
      <c r="T25" s="15">
        <f>'Assumptions &amp; sources'!T78</f>
        <v>5</v>
      </c>
      <c r="U25" s="15">
        <f>'Assumptions &amp; sources'!U78</f>
        <v>5</v>
      </c>
      <c r="V25" s="15">
        <f>'Assumptions &amp; sources'!V78</f>
        <v>5</v>
      </c>
      <c r="W25" s="15">
        <f>'Assumptions &amp; sources'!W78</f>
        <v>5</v>
      </c>
      <c r="X25" s="15">
        <f>'Assumptions &amp; sources'!X78</f>
        <v>5</v>
      </c>
      <c r="Y25" s="15">
        <f>'Assumptions &amp; sources'!Y78</f>
        <v>5</v>
      </c>
      <c r="Z25" s="15">
        <f>'Assumptions &amp; sources'!Z78</f>
        <v>5</v>
      </c>
    </row>
    <row r="26" spans="3:26" x14ac:dyDescent="0.25">
      <c r="C26" s="5" t="s">
        <v>45</v>
      </c>
      <c r="D26" s="12">
        <f>'Assumptions &amp; sources'!D14</f>
        <v>103</v>
      </c>
      <c r="E26" s="12">
        <f>'Assumptions &amp; sources'!E14</f>
        <v>863</v>
      </c>
      <c r="F26" s="12">
        <f>'Assumptions &amp; sources'!F14</f>
        <v>2454</v>
      </c>
      <c r="G26" s="13">
        <f t="shared" ref="G26:Z26" si="6">G10*G25</f>
        <v>6324.9999999999991</v>
      </c>
      <c r="H26" s="13">
        <f t="shared" si="6"/>
        <v>12240</v>
      </c>
      <c r="I26" s="13">
        <f t="shared" si="6"/>
        <v>19750</v>
      </c>
      <c r="J26" s="13">
        <f t="shared" si="6"/>
        <v>27500</v>
      </c>
      <c r="K26" s="13">
        <f t="shared" si="6"/>
        <v>35750</v>
      </c>
      <c r="L26" s="13">
        <f t="shared" si="6"/>
        <v>43500</v>
      </c>
      <c r="M26" s="13">
        <f t="shared" si="6"/>
        <v>50000</v>
      </c>
      <c r="N26" s="13">
        <f t="shared" si="6"/>
        <v>55500</v>
      </c>
      <c r="O26" s="13">
        <f t="shared" si="6"/>
        <v>60250</v>
      </c>
      <c r="P26" s="13">
        <f t="shared" si="6"/>
        <v>64500</v>
      </c>
      <c r="Q26" s="13">
        <f t="shared" si="6"/>
        <v>67497.5</v>
      </c>
      <c r="R26" s="13">
        <f t="shared" si="6"/>
        <v>69522.425000000003</v>
      </c>
      <c r="S26" s="13">
        <f t="shared" si="6"/>
        <v>71608.097750000001</v>
      </c>
      <c r="T26" s="13">
        <f t="shared" si="6"/>
        <v>73756.340682499998</v>
      </c>
      <c r="U26" s="13">
        <f t="shared" si="6"/>
        <v>75969.030902975006</v>
      </c>
      <c r="V26" s="13">
        <f t="shared" si="6"/>
        <v>78248.101830064246</v>
      </c>
      <c r="W26" s="13">
        <f t="shared" si="6"/>
        <v>80595.544884966192</v>
      </c>
      <c r="X26" s="13">
        <f t="shared" si="6"/>
        <v>83013.411231515172</v>
      </c>
      <c r="Y26" s="13">
        <f t="shared" si="6"/>
        <v>85503.81356846061</v>
      </c>
      <c r="Z26" s="13">
        <f t="shared" si="6"/>
        <v>88068.927975514409</v>
      </c>
    </row>
    <row r="27" spans="3:26" x14ac:dyDescent="0.25">
      <c r="C27" s="20" t="s">
        <v>46</v>
      </c>
      <c r="E27" s="21">
        <f t="shared" ref="E27:Z27" si="7">E23-E26</f>
        <v>363</v>
      </c>
      <c r="F27" s="21">
        <f t="shared" si="7"/>
        <v>644.00000000000045</v>
      </c>
      <c r="G27" s="21">
        <f t="shared" si="7"/>
        <v>1035</v>
      </c>
      <c r="H27" s="21">
        <f t="shared" si="7"/>
        <v>4314</v>
      </c>
      <c r="I27" s="21">
        <f t="shared" si="7"/>
        <v>8850</v>
      </c>
      <c r="J27" s="21">
        <f t="shared" si="7"/>
        <v>14279.200000000004</v>
      </c>
      <c r="K27" s="21">
        <f t="shared" si="7"/>
        <v>19327.75</v>
      </c>
      <c r="L27" s="21">
        <f t="shared" si="7"/>
        <v>25354.100000000006</v>
      </c>
      <c r="M27" s="21">
        <f t="shared" si="7"/>
        <v>32391.800000000003</v>
      </c>
      <c r="N27" s="21">
        <f t="shared" si="7"/>
        <v>38678</v>
      </c>
      <c r="O27" s="21">
        <f t="shared" si="7"/>
        <v>42391</v>
      </c>
      <c r="P27" s="21">
        <f t="shared" si="7"/>
        <v>45736</v>
      </c>
      <c r="Q27" s="21">
        <f t="shared" si="7"/>
        <v>48812.33</v>
      </c>
      <c r="R27" s="21">
        <f t="shared" si="7"/>
        <v>50276.699900000007</v>
      </c>
      <c r="S27" s="21">
        <f t="shared" si="7"/>
        <v>51785.000896999976</v>
      </c>
      <c r="T27" s="21">
        <f t="shared" si="7"/>
        <v>53338.550923909992</v>
      </c>
      <c r="U27" s="21">
        <f t="shared" si="7"/>
        <v>54938.707451627299</v>
      </c>
      <c r="V27" s="21">
        <f t="shared" si="7"/>
        <v>56586.868675176127</v>
      </c>
      <c r="W27" s="21">
        <f t="shared" si="7"/>
        <v>58284.474735431373</v>
      </c>
      <c r="X27" s="21">
        <f t="shared" si="7"/>
        <v>60033.008977494348</v>
      </c>
      <c r="Y27" s="21">
        <f t="shared" si="7"/>
        <v>61833.999246819178</v>
      </c>
      <c r="Z27" s="21">
        <f t="shared" si="7"/>
        <v>63689.019224223768</v>
      </c>
    </row>
    <row r="28" spans="3:26" x14ac:dyDescent="0.25">
      <c r="C28" s="5" t="s">
        <v>47</v>
      </c>
      <c r="E28" s="18">
        <f t="shared" ref="E28:Z28" si="8">E27/E15</f>
        <v>0.18955613577023497</v>
      </c>
      <c r="F28" s="18">
        <f t="shared" si="8"/>
        <v>0.12551159618008195</v>
      </c>
      <c r="G28" s="18">
        <f t="shared" si="8"/>
        <v>8.0859374999999997E-2</v>
      </c>
      <c r="H28" s="18">
        <f t="shared" si="8"/>
        <v>0.16157303370786516</v>
      </c>
      <c r="I28" s="18">
        <f t="shared" si="8"/>
        <v>0.19804195804195804</v>
      </c>
      <c r="J28" s="18">
        <f t="shared" si="8"/>
        <v>0.21873774509803928</v>
      </c>
      <c r="K28" s="18">
        <f t="shared" si="8"/>
        <v>0.22107806691449813</v>
      </c>
      <c r="L28" s="18">
        <f t="shared" si="8"/>
        <v>0.22830219260726672</v>
      </c>
      <c r="M28" s="18">
        <f t="shared" si="8"/>
        <v>0.24374896530965462</v>
      </c>
      <c r="N28" s="18">
        <f t="shared" si="8"/>
        <v>0.25462804476629364</v>
      </c>
      <c r="O28" s="18">
        <f t="shared" si="8"/>
        <v>0.25606161280579887</v>
      </c>
      <c r="P28" s="18">
        <f t="shared" si="8"/>
        <v>0.25723284589426321</v>
      </c>
      <c r="Q28" s="18">
        <f t="shared" si="8"/>
        <v>0.26019851116625309</v>
      </c>
      <c r="R28" s="18">
        <f t="shared" si="8"/>
        <v>0.26019851116625309</v>
      </c>
      <c r="S28" s="18">
        <f t="shared" si="8"/>
        <v>0.26019851116625303</v>
      </c>
      <c r="T28" s="18">
        <f t="shared" si="8"/>
        <v>0.26019851116625309</v>
      </c>
      <c r="U28" s="18">
        <f t="shared" si="8"/>
        <v>0.26019851116625309</v>
      </c>
      <c r="V28" s="18">
        <f t="shared" si="8"/>
        <v>0.26019851116625314</v>
      </c>
      <c r="W28" s="18">
        <f t="shared" si="8"/>
        <v>0.26019851116625298</v>
      </c>
      <c r="X28" s="18">
        <f t="shared" si="8"/>
        <v>0.26019851116625309</v>
      </c>
      <c r="Y28" s="18">
        <f t="shared" si="8"/>
        <v>0.26019851116625314</v>
      </c>
      <c r="Z28" s="18">
        <f t="shared" si="8"/>
        <v>0.2601985111662532</v>
      </c>
    </row>
    <row r="29" spans="3:26" x14ac:dyDescent="0.25">
      <c r="C29" s="5" t="s">
        <v>48</v>
      </c>
      <c r="G29" s="12">
        <f>('Assumptions &amp; sources'!$D$30+'Assumptions &amp; sources'!$D$31)/2</f>
        <v>1055</v>
      </c>
      <c r="H29" s="12">
        <f>'Assumptions &amp; sources'!H11</f>
        <v>4113.1000000000004</v>
      </c>
      <c r="I29" s="12">
        <f>'Assumptions &amp; sources'!I11</f>
        <v>7363.56</v>
      </c>
    </row>
    <row r="30" spans="3:26" x14ac:dyDescent="0.25">
      <c r="C30" s="5" t="s">
        <v>49</v>
      </c>
      <c r="D30" s="13">
        <f>-'Assumptions &amp; sources'!D15</f>
        <v>-15</v>
      </c>
      <c r="E30" s="13">
        <f>-'Assumptions &amp; sources'!E15</f>
        <v>-31</v>
      </c>
      <c r="F30" s="13">
        <f>-'Assumptions &amp; sources'!F15</f>
        <v>-630</v>
      </c>
      <c r="G30" s="13">
        <f>-G15*'Assumptions &amp; sources'!G79</f>
        <v>-640</v>
      </c>
      <c r="H30" s="13">
        <f>-H15*'Assumptions &amp; sources'!H79</f>
        <v>-801</v>
      </c>
      <c r="I30" s="13">
        <f>-I15*'Assumptions &amp; sources'!I79</f>
        <v>-1117.1875</v>
      </c>
      <c r="J30" s="13">
        <f>-J15*'Assumptions &amp; sources'!J79</f>
        <v>-1305.6000000000001</v>
      </c>
      <c r="K30" s="13">
        <f>-K15*'Assumptions &amp; sources'!K79</f>
        <v>-1748.5</v>
      </c>
      <c r="L30" s="13">
        <f>-L15*'Assumptions &amp; sources'!L79</f>
        <v>-2221.1</v>
      </c>
      <c r="M30" s="13">
        <f>-M15*'Assumptions &amp; sources'!M79</f>
        <v>-2657.8</v>
      </c>
      <c r="N30" s="13">
        <f>-N15*'Assumptions &amp; sources'!N79</f>
        <v>-3038</v>
      </c>
      <c r="O30" s="13">
        <f>-O15*'Assumptions &amp; sources'!O79</f>
        <v>-3311</v>
      </c>
      <c r="P30" s="13">
        <f>-P15*'Assumptions &amp; sources'!P79</f>
        <v>-3556</v>
      </c>
      <c r="Q30" s="13">
        <f>-Q15*'Assumptions &amp; sources'!Q79</f>
        <v>-3751.9300000000003</v>
      </c>
      <c r="R30" s="13">
        <f>-R15*'Assumptions &amp; sources'!R79</f>
        <v>-3864.4879000000005</v>
      </c>
      <c r="S30" s="13">
        <f>-S15*'Assumptions &amp; sources'!S79</f>
        <v>-3980.4225369999995</v>
      </c>
      <c r="T30" s="13">
        <f>-T15*'Assumptions &amp; sources'!T79</f>
        <v>-4099.83521311</v>
      </c>
      <c r="U30" s="13">
        <f>-U15*'Assumptions &amp; sources'!U79</f>
        <v>-4222.8302695032999</v>
      </c>
      <c r="V30" s="13">
        <f>-V15*'Assumptions &amp; sources'!V79</f>
        <v>-4349.5151775883987</v>
      </c>
      <c r="W30" s="13">
        <f>-W15*'Assumptions &amp; sources'!W79</f>
        <v>-4480.0006329160515</v>
      </c>
      <c r="X30" s="13">
        <f>-X15*'Assumptions &amp; sources'!X79</f>
        <v>-4614.4006519035329</v>
      </c>
      <c r="Y30" s="13">
        <f>-Y15*'Assumptions &amp; sources'!Y79</f>
        <v>-4752.8326714606383</v>
      </c>
      <c r="Z30" s="13">
        <f>-Z15*'Assumptions &amp; sources'!Z79</f>
        <v>-4895.4176516044572</v>
      </c>
    </row>
    <row r="31" spans="3:26" x14ac:dyDescent="0.25">
      <c r="C31" s="20" t="s">
        <v>50</v>
      </c>
      <c r="E31" s="21">
        <f t="shared" ref="E31:Z31" si="9">E27+E30</f>
        <v>332</v>
      </c>
      <c r="F31" s="21">
        <f t="shared" si="9"/>
        <v>14.000000000000455</v>
      </c>
      <c r="G31" s="21">
        <f t="shared" si="9"/>
        <v>395</v>
      </c>
      <c r="H31" s="21">
        <f t="shared" si="9"/>
        <v>3513</v>
      </c>
      <c r="I31" s="21">
        <f t="shared" si="9"/>
        <v>7732.8125</v>
      </c>
      <c r="J31" s="21">
        <f t="shared" si="9"/>
        <v>12973.600000000004</v>
      </c>
      <c r="K31" s="21">
        <f t="shared" si="9"/>
        <v>17579.25</v>
      </c>
      <c r="L31" s="21">
        <f t="shared" si="9"/>
        <v>23133.000000000007</v>
      </c>
      <c r="M31" s="21">
        <f t="shared" si="9"/>
        <v>29734.000000000004</v>
      </c>
      <c r="N31" s="21">
        <f t="shared" si="9"/>
        <v>35640</v>
      </c>
      <c r="O31" s="21">
        <f t="shared" si="9"/>
        <v>39080</v>
      </c>
      <c r="P31" s="21">
        <f t="shared" si="9"/>
        <v>42180</v>
      </c>
      <c r="Q31" s="21">
        <f t="shared" si="9"/>
        <v>45060.4</v>
      </c>
      <c r="R31" s="21">
        <f t="shared" si="9"/>
        <v>46412.212000000007</v>
      </c>
      <c r="S31" s="21">
        <f t="shared" si="9"/>
        <v>47804.578359999978</v>
      </c>
      <c r="T31" s="21">
        <f t="shared" si="9"/>
        <v>49238.715710799996</v>
      </c>
      <c r="U31" s="21">
        <f t="shared" si="9"/>
        <v>50715.877182124001</v>
      </c>
      <c r="V31" s="21">
        <f t="shared" si="9"/>
        <v>52237.353497587726</v>
      </c>
      <c r="W31" s="21">
        <f t="shared" si="9"/>
        <v>53804.47410251532</v>
      </c>
      <c r="X31" s="21">
        <f t="shared" si="9"/>
        <v>55418.608325590816</v>
      </c>
      <c r="Y31" s="21">
        <f t="shared" si="9"/>
        <v>57081.16657535854</v>
      </c>
      <c r="Z31" s="21">
        <f t="shared" si="9"/>
        <v>58793.601572619315</v>
      </c>
    </row>
    <row r="32" spans="3:26" x14ac:dyDescent="0.25">
      <c r="C32" s="5" t="s">
        <v>51</v>
      </c>
      <c r="E32" s="18">
        <f t="shared" ref="E32:Z32" si="10">E31/E15</f>
        <v>0.17336814621409921</v>
      </c>
      <c r="F32" s="18">
        <f t="shared" si="10"/>
        <v>2.7285129604366506E-3</v>
      </c>
      <c r="G32" s="18">
        <f t="shared" si="10"/>
        <v>3.0859375000000001E-2</v>
      </c>
      <c r="H32" s="18">
        <f t="shared" si="10"/>
        <v>0.13157303370786516</v>
      </c>
      <c r="I32" s="18">
        <f t="shared" si="10"/>
        <v>0.17304195804195804</v>
      </c>
      <c r="J32" s="18">
        <f t="shared" si="10"/>
        <v>0.19873774509803926</v>
      </c>
      <c r="K32" s="18">
        <f t="shared" si="10"/>
        <v>0.20107806691449814</v>
      </c>
      <c r="L32" s="18">
        <f t="shared" si="10"/>
        <v>0.20830219260726673</v>
      </c>
      <c r="M32" s="18">
        <f t="shared" si="10"/>
        <v>0.22374896530965463</v>
      </c>
      <c r="N32" s="18">
        <f t="shared" si="10"/>
        <v>0.23462804476629362</v>
      </c>
      <c r="O32" s="18">
        <f t="shared" si="10"/>
        <v>0.23606161280579885</v>
      </c>
      <c r="P32" s="18">
        <f t="shared" si="10"/>
        <v>0.23723284589426322</v>
      </c>
      <c r="Q32" s="18">
        <f t="shared" si="10"/>
        <v>0.2401985111662531</v>
      </c>
      <c r="R32" s="18">
        <f t="shared" si="10"/>
        <v>0.24019851116625313</v>
      </c>
      <c r="S32" s="18">
        <f t="shared" si="10"/>
        <v>0.24019851116625301</v>
      </c>
      <c r="T32" s="18">
        <f t="shared" si="10"/>
        <v>0.2401985111662531</v>
      </c>
      <c r="U32" s="18">
        <f t="shared" si="10"/>
        <v>0.2401985111662531</v>
      </c>
      <c r="V32" s="18">
        <f t="shared" si="10"/>
        <v>0.24019851116625315</v>
      </c>
      <c r="W32" s="18">
        <f t="shared" si="10"/>
        <v>0.24019851116625296</v>
      </c>
      <c r="X32" s="18">
        <f t="shared" si="10"/>
        <v>0.2401985111662531</v>
      </c>
      <c r="Y32" s="18">
        <f t="shared" si="10"/>
        <v>0.24019851116625315</v>
      </c>
      <c r="Z32" s="18">
        <f t="shared" si="10"/>
        <v>0.24019851116625321</v>
      </c>
    </row>
    <row r="33" spans="3:26" x14ac:dyDescent="0.25">
      <c r="C33" s="5" t="s">
        <v>52</v>
      </c>
      <c r="G33" s="19">
        <f>'Assumptions &amp; sources'!G80</f>
        <v>0.05</v>
      </c>
      <c r="H33" s="19">
        <f>'Assumptions &amp; sources'!H80</f>
        <v>0.05</v>
      </c>
      <c r="I33" s="19">
        <f>'Assumptions &amp; sources'!I80</f>
        <v>0.05</v>
      </c>
      <c r="J33" s="19">
        <f>'Assumptions &amp; sources'!J80</f>
        <v>0.1</v>
      </c>
      <c r="K33" s="19">
        <f>'Assumptions &amp; sources'!K80</f>
        <v>0.15</v>
      </c>
      <c r="L33" s="19">
        <f>'Assumptions &amp; sources'!L80</f>
        <v>0.21</v>
      </c>
      <c r="M33" s="19">
        <f>'Assumptions &amp; sources'!M80</f>
        <v>0.21</v>
      </c>
      <c r="N33" s="19">
        <f>'Assumptions &amp; sources'!N80</f>
        <v>0.21</v>
      </c>
      <c r="O33" s="19">
        <f>'Assumptions &amp; sources'!O80</f>
        <v>0.21</v>
      </c>
      <c r="P33" s="19">
        <f>'Assumptions &amp; sources'!P80</f>
        <v>0.21</v>
      </c>
      <c r="Q33" s="19">
        <f>'Assumptions &amp; sources'!Q80</f>
        <v>0.21</v>
      </c>
      <c r="R33" s="19">
        <f>'Assumptions &amp; sources'!R80</f>
        <v>0.21</v>
      </c>
      <c r="S33" s="19">
        <f>'Assumptions &amp; sources'!S80</f>
        <v>0.21</v>
      </c>
      <c r="T33" s="19">
        <f>'Assumptions &amp; sources'!T80</f>
        <v>0.21</v>
      </c>
      <c r="U33" s="19">
        <f>'Assumptions &amp; sources'!U80</f>
        <v>0.21</v>
      </c>
      <c r="V33" s="19">
        <f>'Assumptions &amp; sources'!V80</f>
        <v>0.21</v>
      </c>
      <c r="W33" s="19">
        <f>'Assumptions &amp; sources'!W80</f>
        <v>0.21</v>
      </c>
      <c r="X33" s="19">
        <f>'Assumptions &amp; sources'!X80</f>
        <v>0.21</v>
      </c>
      <c r="Y33" s="19">
        <f>'Assumptions &amp; sources'!Y80</f>
        <v>0.21</v>
      </c>
      <c r="Z33" s="19">
        <f>'Assumptions &amp; sources'!Z80</f>
        <v>0.21</v>
      </c>
    </row>
    <row r="34" spans="3:26" x14ac:dyDescent="0.25">
      <c r="C34" s="5" t="s">
        <v>53</v>
      </c>
      <c r="G34" s="13">
        <f t="shared" ref="G34:Z34" si="11">G31*(1-G33)</f>
        <v>375.25</v>
      </c>
      <c r="H34" s="13">
        <f t="shared" si="11"/>
        <v>3337.35</v>
      </c>
      <c r="I34" s="13">
        <f t="shared" si="11"/>
        <v>7346.171875</v>
      </c>
      <c r="J34" s="13">
        <f t="shared" si="11"/>
        <v>11676.240000000003</v>
      </c>
      <c r="K34" s="13">
        <f t="shared" si="11"/>
        <v>14942.362499999999</v>
      </c>
      <c r="L34" s="13">
        <f t="shared" si="11"/>
        <v>18275.070000000007</v>
      </c>
      <c r="M34" s="13">
        <f t="shared" si="11"/>
        <v>23489.860000000004</v>
      </c>
      <c r="N34" s="13">
        <f t="shared" si="11"/>
        <v>28155.600000000002</v>
      </c>
      <c r="O34" s="13">
        <f t="shared" si="11"/>
        <v>30873.200000000001</v>
      </c>
      <c r="P34" s="13">
        <f t="shared" si="11"/>
        <v>33322.200000000004</v>
      </c>
      <c r="Q34" s="13">
        <f t="shared" si="11"/>
        <v>35597.716</v>
      </c>
      <c r="R34" s="13">
        <f t="shared" si="11"/>
        <v>36665.647480000007</v>
      </c>
      <c r="S34" s="13">
        <f t="shared" si="11"/>
        <v>37765.616904399983</v>
      </c>
      <c r="T34" s="13">
        <f t="shared" si="11"/>
        <v>38898.585411531996</v>
      </c>
      <c r="U34" s="13">
        <f t="shared" si="11"/>
        <v>40065.542973877964</v>
      </c>
      <c r="V34" s="13">
        <f t="shared" si="11"/>
        <v>41267.509263094304</v>
      </c>
      <c r="W34" s="13">
        <f t="shared" si="11"/>
        <v>42505.534540987108</v>
      </c>
      <c r="X34" s="13">
        <f t="shared" si="11"/>
        <v>43780.700577216747</v>
      </c>
      <c r="Y34" s="13">
        <f t="shared" si="11"/>
        <v>45094.121594533251</v>
      </c>
      <c r="Z34" s="13">
        <f t="shared" si="11"/>
        <v>46446.945242369264</v>
      </c>
    </row>
    <row r="35" spans="3:26" x14ac:dyDescent="0.25">
      <c r="C35" s="5" t="s">
        <v>54</v>
      </c>
      <c r="G35" s="15">
        <f>'Assumptions &amp; sources'!G81</f>
        <v>33</v>
      </c>
      <c r="H35" s="15">
        <f>'Assumptions &amp; sources'!H81</f>
        <v>38</v>
      </c>
      <c r="I35" s="15">
        <f>'Assumptions &amp; sources'!I81</f>
        <v>40</v>
      </c>
      <c r="J35" s="15">
        <f>'Assumptions &amp; sources'!J81</f>
        <v>40</v>
      </c>
      <c r="K35" s="15">
        <f>'Assumptions &amp; sources'!K81</f>
        <v>40</v>
      </c>
      <c r="L35" s="15">
        <f>'Assumptions &amp; sources'!L81</f>
        <v>40</v>
      </c>
      <c r="M35" s="15">
        <f>'Assumptions &amp; sources'!M81</f>
        <v>40</v>
      </c>
      <c r="N35" s="15">
        <f>'Assumptions &amp; sources'!N81</f>
        <v>40</v>
      </c>
      <c r="O35" s="15">
        <f>'Assumptions &amp; sources'!O81</f>
        <v>40</v>
      </c>
      <c r="P35" s="15">
        <f>'Assumptions &amp; sources'!P81</f>
        <v>40</v>
      </c>
      <c r="Q35" s="15">
        <f>'Assumptions &amp; sources'!Q81</f>
        <v>40</v>
      </c>
      <c r="R35" s="15">
        <f>'Assumptions &amp; sources'!R81</f>
        <v>40</v>
      </c>
      <c r="S35" s="15">
        <f>'Assumptions &amp; sources'!S81</f>
        <v>40</v>
      </c>
      <c r="T35" s="15">
        <f>'Assumptions &amp; sources'!T81</f>
        <v>40</v>
      </c>
      <c r="U35" s="15">
        <f>'Assumptions &amp; sources'!U81</f>
        <v>40</v>
      </c>
      <c r="V35" s="15">
        <f>'Assumptions &amp; sources'!V81</f>
        <v>40</v>
      </c>
      <c r="W35" s="15">
        <f>'Assumptions &amp; sources'!W81</f>
        <v>40</v>
      </c>
      <c r="X35" s="15">
        <f>'Assumptions &amp; sources'!X81</f>
        <v>40</v>
      </c>
      <c r="Y35" s="15">
        <f>'Assumptions &amp; sources'!Y81</f>
        <v>40</v>
      </c>
      <c r="Z35" s="15">
        <f>'Assumptions &amp; sources'!Z81</f>
        <v>40</v>
      </c>
    </row>
    <row r="36" spans="3:26" x14ac:dyDescent="0.25">
      <c r="C36" s="5" t="s">
        <v>55</v>
      </c>
      <c r="G36" s="13">
        <f>-G35*((1-'Assumptions &amp; sources'!$D$68)*G9+'Assumptions &amp; sources'!$D$68*H9)</f>
        <v>-36300</v>
      </c>
      <c r="H36" s="13">
        <f>-H35*((1-'Assumptions &amp; sources'!$D$68)*H9+'Assumptions &amp; sources'!$D$68*I9)</f>
        <v>-50920</v>
      </c>
      <c r="I36" s="13">
        <f>-I35*((1-'Assumptions &amp; sources'!$D$68)*I9+'Assumptions &amp; sources'!$D$68*J9)</f>
        <v>-60800</v>
      </c>
      <c r="J36" s="13">
        <f>-J35*((1-'Assumptions &amp; sources'!$D$68)*J9+'Assumptions &amp; sources'!$D$68*K9)</f>
        <v>-64800</v>
      </c>
      <c r="K36" s="13">
        <f>-K35*((1-'Assumptions &amp; sources'!$D$68)*K9+'Assumptions &amp; sources'!$D$68*L9)</f>
        <v>-65600</v>
      </c>
      <c r="L36" s="13">
        <f>-L35*((1-'Assumptions &amp; sources'!$D$68)*L9+'Assumptions &amp; sources'!$D$68*M9)</f>
        <v>-54400</v>
      </c>
      <c r="M36" s="13">
        <f>-M35*((1-'Assumptions &amp; sources'!$D$68)*M9+'Assumptions &amp; sources'!$D$68*N9)</f>
        <v>-46400</v>
      </c>
      <c r="N36" s="13">
        <f>-N35*((1-'Assumptions &amp; sources'!$D$68)*N9+'Assumptions &amp; sources'!$D$68*O9)</f>
        <v>-39200</v>
      </c>
      <c r="O36" s="13">
        <f>-O35*((1-'Assumptions &amp; sources'!$D$68)*O9+'Assumptions &amp; sources'!$D$68*P9)</f>
        <v>-35200</v>
      </c>
      <c r="P36" s="13">
        <f>-P35*((1-'Assumptions &amp; sources'!$D$68)*P9+'Assumptions &amp; sources'!$D$68*Q9)</f>
        <v>-28792</v>
      </c>
      <c r="Q36" s="13">
        <f>-Q35*((1-'Assumptions &amp; sources'!$D$68)*Q9+'Assumptions &amp; sources'!$D$68*R9)</f>
        <v>-16055.760000000002</v>
      </c>
      <c r="R36" s="13">
        <f>-R35*((1-'Assumptions &amp; sources'!$D$68)*R9+'Assumptions &amp; sources'!$D$68*S9)</f>
        <v>-16537.432800000002</v>
      </c>
      <c r="S36" s="13">
        <f>-S35*((1-'Assumptions &amp; sources'!$D$68)*S9+'Assumptions &amp; sources'!$D$68*T9)</f>
        <v>-17033.555784</v>
      </c>
      <c r="T36" s="13">
        <f>-T35*((1-'Assumptions &amp; sources'!$D$68)*T9+'Assumptions &amp; sources'!$D$68*U9)</f>
        <v>-17544.562457520002</v>
      </c>
      <c r="U36" s="13">
        <f>-U35*((1-'Assumptions &amp; sources'!$D$68)*U9+'Assumptions &amp; sources'!$D$68*V9)</f>
        <v>-18070.8993312456</v>
      </c>
      <c r="V36" s="13">
        <f>-V35*((1-'Assumptions &amp; sources'!$D$68)*V9+'Assumptions &amp; sources'!$D$68*W9)</f>
        <v>-18613.02631118297</v>
      </c>
      <c r="W36" s="13">
        <f>-W35*((1-'Assumptions &amp; sources'!$D$68)*W9+'Assumptions &amp; sources'!$D$68*X9)</f>
        <v>-19171.417100518458</v>
      </c>
      <c r="X36" s="13">
        <f>-X35*((1-'Assumptions &amp; sources'!$D$68)*X9+'Assumptions &amp; sources'!$D$68*Y9)</f>
        <v>-19746.559613534013</v>
      </c>
      <c r="Y36" s="13">
        <f>-Y35*((1-'Assumptions &amp; sources'!$D$68)*Y9+'Assumptions &amp; sources'!$D$68*Z9)</f>
        <v>-20338.956401940028</v>
      </c>
      <c r="Z36" s="13">
        <f>-Z35*((1-'Assumptions &amp; sources'!$D$68)*Z9+'Assumptions &amp; sources'!$D$68*Z9)</f>
        <v>-20824.180013914738</v>
      </c>
    </row>
    <row r="37" spans="3:26" x14ac:dyDescent="0.25">
      <c r="C37" s="5" t="s">
        <v>56</v>
      </c>
      <c r="D37" s="13">
        <f t="shared" ref="D37:Z37" si="12">IF(COLUMN(D9)-COLUMN($D$9)+1-$F$6&gt;=1,INDEX($D$38:$Z$38,1,COLUMN(D9)-COLUMN($D$9)+1-$F$6),0)</f>
        <v>0</v>
      </c>
      <c r="E37" s="13">
        <f t="shared" si="12"/>
        <v>0</v>
      </c>
      <c r="F37" s="13">
        <f t="shared" si="12"/>
        <v>0</v>
      </c>
      <c r="G37" s="13">
        <f t="shared" si="12"/>
        <v>0</v>
      </c>
      <c r="H37" s="13">
        <f t="shared" si="12"/>
        <v>0</v>
      </c>
      <c r="I37" s="13">
        <f t="shared" si="12"/>
        <v>0</v>
      </c>
      <c r="J37" s="13">
        <f t="shared" si="12"/>
        <v>70</v>
      </c>
      <c r="K37" s="13">
        <f t="shared" si="12"/>
        <v>290</v>
      </c>
      <c r="L37" s="13">
        <f t="shared" si="12"/>
        <v>490</v>
      </c>
      <c r="M37" s="13">
        <f t="shared" si="12"/>
        <v>1050</v>
      </c>
      <c r="N37" s="13">
        <f t="shared" si="12"/>
        <v>1300</v>
      </c>
      <c r="O37" s="13">
        <f t="shared" si="12"/>
        <v>1500</v>
      </c>
      <c r="P37" s="13">
        <f t="shared" si="12"/>
        <v>1670</v>
      </c>
      <c r="Q37" s="13">
        <f t="shared" si="12"/>
        <v>1990</v>
      </c>
      <c r="R37" s="13">
        <f t="shared" si="12"/>
        <v>1890</v>
      </c>
      <c r="S37" s="13">
        <f t="shared" si="12"/>
        <v>2250</v>
      </c>
      <c r="T37" s="13">
        <f t="shared" si="12"/>
        <v>2300</v>
      </c>
      <c r="U37" s="13">
        <f t="shared" si="12"/>
        <v>2400</v>
      </c>
      <c r="V37" s="13">
        <f t="shared" si="12"/>
        <v>2470</v>
      </c>
      <c r="W37" s="13">
        <f t="shared" si="12"/>
        <v>2389</v>
      </c>
      <c r="X37" s="13">
        <f t="shared" si="12"/>
        <v>2300.9699999999998</v>
      </c>
      <c r="Y37" s="13">
        <f t="shared" si="12"/>
        <v>2673.2991000000002</v>
      </c>
      <c r="Z37" s="13">
        <f t="shared" si="12"/>
        <v>2735.9980729999997</v>
      </c>
    </row>
    <row r="38" spans="3:26" x14ac:dyDescent="0.25">
      <c r="C38" s="5" t="s">
        <v>57</v>
      </c>
      <c r="D38" s="13">
        <f t="shared" ref="D38:Z38" si="13">D9+D37</f>
        <v>70</v>
      </c>
      <c r="E38" s="13">
        <f t="shared" si="13"/>
        <v>290</v>
      </c>
      <c r="F38" s="13">
        <f t="shared" si="13"/>
        <v>490</v>
      </c>
      <c r="G38" s="13">
        <f t="shared" si="13"/>
        <v>1050</v>
      </c>
      <c r="H38" s="13">
        <f t="shared" si="13"/>
        <v>1300</v>
      </c>
      <c r="I38" s="13">
        <f t="shared" si="13"/>
        <v>1500</v>
      </c>
      <c r="J38" s="13">
        <f t="shared" si="13"/>
        <v>1670</v>
      </c>
      <c r="K38" s="13">
        <f t="shared" si="13"/>
        <v>1990</v>
      </c>
      <c r="L38" s="13">
        <f t="shared" si="13"/>
        <v>1890</v>
      </c>
      <c r="M38" s="13">
        <f t="shared" si="13"/>
        <v>2250</v>
      </c>
      <c r="N38" s="13">
        <f t="shared" si="13"/>
        <v>2300</v>
      </c>
      <c r="O38" s="13">
        <f t="shared" si="13"/>
        <v>2400</v>
      </c>
      <c r="P38" s="13">
        <f t="shared" si="13"/>
        <v>2470</v>
      </c>
      <c r="Q38" s="13">
        <f t="shared" si="13"/>
        <v>2389</v>
      </c>
      <c r="R38" s="13">
        <f t="shared" si="13"/>
        <v>2300.9699999999998</v>
      </c>
      <c r="S38" s="13">
        <f t="shared" si="13"/>
        <v>2673.2991000000002</v>
      </c>
      <c r="T38" s="13">
        <f t="shared" si="13"/>
        <v>2735.9980729999997</v>
      </c>
      <c r="U38" s="13">
        <f t="shared" si="13"/>
        <v>2849.0780151899999</v>
      </c>
      <c r="V38" s="13">
        <f t="shared" si="13"/>
        <v>2932.5503556457002</v>
      </c>
      <c r="W38" s="13">
        <f t="shared" si="13"/>
        <v>2865.426866315071</v>
      </c>
      <c r="X38" s="13">
        <f t="shared" si="13"/>
        <v>2791.6896723045229</v>
      </c>
      <c r="Y38" s="13">
        <f t="shared" si="13"/>
        <v>3178.7403624736589</v>
      </c>
      <c r="Z38" s="13">
        <f t="shared" si="13"/>
        <v>3256.6025733478682</v>
      </c>
    </row>
    <row r="39" spans="3:26" x14ac:dyDescent="0.25">
      <c r="C39" s="5" t="s">
        <v>58</v>
      </c>
      <c r="G39" s="13">
        <f t="shared" ref="G39:Z39" si="14">-G37*G35*$G$6</f>
        <v>0</v>
      </c>
      <c r="H39" s="13">
        <f t="shared" si="14"/>
        <v>0</v>
      </c>
      <c r="I39" s="13">
        <f t="shared" si="14"/>
        <v>0</v>
      </c>
      <c r="J39" s="13">
        <f t="shared" si="14"/>
        <v>-2240</v>
      </c>
      <c r="K39" s="13">
        <f t="shared" si="14"/>
        <v>-9280</v>
      </c>
      <c r="L39" s="13">
        <f t="shared" si="14"/>
        <v>-15680</v>
      </c>
      <c r="M39" s="13">
        <f t="shared" si="14"/>
        <v>-33600</v>
      </c>
      <c r="N39" s="13">
        <f t="shared" si="14"/>
        <v>-41600</v>
      </c>
      <c r="O39" s="13">
        <f t="shared" si="14"/>
        <v>-48000</v>
      </c>
      <c r="P39" s="13">
        <f t="shared" si="14"/>
        <v>-53440</v>
      </c>
      <c r="Q39" s="13">
        <f t="shared" si="14"/>
        <v>-63680</v>
      </c>
      <c r="R39" s="13">
        <f t="shared" si="14"/>
        <v>-60480</v>
      </c>
      <c r="S39" s="13">
        <f t="shared" si="14"/>
        <v>-72000</v>
      </c>
      <c r="T39" s="13">
        <f t="shared" si="14"/>
        <v>-73600</v>
      </c>
      <c r="U39" s="13">
        <f t="shared" si="14"/>
        <v>-76800</v>
      </c>
      <c r="V39" s="13">
        <f t="shared" si="14"/>
        <v>-79040</v>
      </c>
      <c r="W39" s="13">
        <f t="shared" si="14"/>
        <v>-76448</v>
      </c>
      <c r="X39" s="13">
        <f t="shared" si="14"/>
        <v>-73631.039999999994</v>
      </c>
      <c r="Y39" s="13">
        <f t="shared" si="14"/>
        <v>-85545.571200000006</v>
      </c>
      <c r="Z39" s="13">
        <f t="shared" si="14"/>
        <v>-87551.938335999992</v>
      </c>
    </row>
    <row r="40" spans="3:26" x14ac:dyDescent="0.25">
      <c r="C40" s="20" t="s">
        <v>59</v>
      </c>
      <c r="D40" s="21">
        <f>-'Assumptions &amp; sources'!D16</f>
        <v>-2943</v>
      </c>
      <c r="E40" s="21">
        <f>-'Assumptions &amp; sources'!E16</f>
        <v>-8702</v>
      </c>
      <c r="F40" s="21">
        <f>-'Assumptions &amp; sources'!F16</f>
        <v>-10309</v>
      </c>
      <c r="G40" s="21">
        <f>-('Assumptions &amp; sources'!$D$32+'Assumptions &amp; sources'!$D$33)/2</f>
        <v>-37000</v>
      </c>
      <c r="H40" s="21">
        <f t="shared" ref="H40:Z40" si="15">H36+H39</f>
        <v>-50920</v>
      </c>
      <c r="I40" s="21">
        <f t="shared" si="15"/>
        <v>-60800</v>
      </c>
      <c r="J40" s="21">
        <f t="shared" si="15"/>
        <v>-67040</v>
      </c>
      <c r="K40" s="21">
        <f t="shared" si="15"/>
        <v>-74880</v>
      </c>
      <c r="L40" s="21">
        <f t="shared" si="15"/>
        <v>-70080</v>
      </c>
      <c r="M40" s="21">
        <f t="shared" si="15"/>
        <v>-80000</v>
      </c>
      <c r="N40" s="21">
        <f t="shared" si="15"/>
        <v>-80800</v>
      </c>
      <c r="O40" s="21">
        <f t="shared" si="15"/>
        <v>-83200</v>
      </c>
      <c r="P40" s="21">
        <f t="shared" si="15"/>
        <v>-82232</v>
      </c>
      <c r="Q40" s="21">
        <f t="shared" si="15"/>
        <v>-79735.760000000009</v>
      </c>
      <c r="R40" s="21">
        <f t="shared" si="15"/>
        <v>-77017.43280000001</v>
      </c>
      <c r="S40" s="21">
        <f t="shared" si="15"/>
        <v>-89033.555783999996</v>
      </c>
      <c r="T40" s="21">
        <f t="shared" si="15"/>
        <v>-91144.562457520005</v>
      </c>
      <c r="U40" s="21">
        <f t="shared" si="15"/>
        <v>-94870.8993312456</v>
      </c>
      <c r="V40" s="21">
        <f t="shared" si="15"/>
        <v>-97653.02631118297</v>
      </c>
      <c r="W40" s="21">
        <f t="shared" si="15"/>
        <v>-95619.417100518462</v>
      </c>
      <c r="X40" s="21">
        <f t="shared" si="15"/>
        <v>-93377.59961353401</v>
      </c>
      <c r="Y40" s="21">
        <f t="shared" si="15"/>
        <v>-105884.52760194003</v>
      </c>
      <c r="Z40" s="21">
        <f t="shared" si="15"/>
        <v>-108376.11834991473</v>
      </c>
    </row>
    <row r="41" spans="3:26" x14ac:dyDescent="0.25">
      <c r="C41" s="5" t="s">
        <v>60</v>
      </c>
      <c r="G41" s="12">
        <f>-'Assumptions &amp; sources'!G16</f>
        <v>-35670.67</v>
      </c>
      <c r="H41" s="12">
        <f>-'Assumptions &amp; sources'!H16</f>
        <v>-47897.41</v>
      </c>
      <c r="I41" s="12">
        <f>-'Assumptions &amp; sources'!I16</f>
        <v>-50387.97</v>
      </c>
    </row>
    <row r="42" spans="3:26" x14ac:dyDescent="0.25">
      <c r="C42" s="5" t="s">
        <v>61</v>
      </c>
      <c r="G42" s="13">
        <f>G36+G39</f>
        <v>-36300</v>
      </c>
    </row>
    <row r="43" spans="3:26" x14ac:dyDescent="0.25">
      <c r="C43" s="5" t="s">
        <v>62</v>
      </c>
      <c r="E43" s="14">
        <f t="shared" ref="E43:Z43" si="16">-E40/E38</f>
        <v>30.006896551724139</v>
      </c>
      <c r="F43" s="14">
        <f t="shared" si="16"/>
        <v>21.038775510204083</v>
      </c>
      <c r="G43" s="14">
        <f t="shared" si="16"/>
        <v>35.238095238095241</v>
      </c>
      <c r="H43" s="14">
        <f t="shared" si="16"/>
        <v>39.169230769230772</v>
      </c>
      <c r="I43" s="14">
        <f t="shared" si="16"/>
        <v>40.533333333333331</v>
      </c>
      <c r="J43" s="14">
        <f t="shared" si="16"/>
        <v>40.143712574850298</v>
      </c>
      <c r="K43" s="14">
        <f t="shared" si="16"/>
        <v>37.628140703517587</v>
      </c>
      <c r="L43" s="14">
        <f t="shared" si="16"/>
        <v>37.079365079365083</v>
      </c>
      <c r="M43" s="14">
        <f t="shared" si="16"/>
        <v>35.555555555555557</v>
      </c>
      <c r="N43" s="14">
        <f t="shared" si="16"/>
        <v>35.130434782608695</v>
      </c>
      <c r="O43" s="14">
        <f t="shared" si="16"/>
        <v>34.666666666666664</v>
      </c>
      <c r="P43" s="14">
        <f t="shared" si="16"/>
        <v>33.292307692307695</v>
      </c>
      <c r="Q43" s="14">
        <f t="shared" si="16"/>
        <v>33.376207618250319</v>
      </c>
      <c r="R43" s="14">
        <f t="shared" si="16"/>
        <v>33.471724012047098</v>
      </c>
      <c r="S43" s="14">
        <f t="shared" si="16"/>
        <v>33.304749095976575</v>
      </c>
      <c r="T43" s="14">
        <f t="shared" si="16"/>
        <v>33.313094536496045</v>
      </c>
      <c r="U43" s="14">
        <f t="shared" si="16"/>
        <v>33.298807131793765</v>
      </c>
      <c r="V43" s="14">
        <f t="shared" si="16"/>
        <v>33.299692918548828</v>
      </c>
      <c r="W43" s="14">
        <f t="shared" si="16"/>
        <v>33.370042776029635</v>
      </c>
      <c r="X43" s="14">
        <f t="shared" si="16"/>
        <v>33.448416756312092</v>
      </c>
      <c r="Y43" s="14">
        <f t="shared" si="16"/>
        <v>33.310215849004393</v>
      </c>
      <c r="Z43" s="14">
        <f t="shared" si="16"/>
        <v>33.278889858058854</v>
      </c>
    </row>
    <row r="44" spans="3:26" x14ac:dyDescent="0.25">
      <c r="C44" s="5" t="s">
        <v>63</v>
      </c>
      <c r="E44" s="13">
        <f>'Assumptions &amp; sources'!E22-'Assumptions &amp; sources'!E21</f>
        <v>-3647</v>
      </c>
      <c r="F44" s="13">
        <f>'Assumptions &amp; sources'!F22-'Assumptions &amp; sources'!F21</f>
        <v>-5016</v>
      </c>
      <c r="G44" s="13">
        <f>G15*'Assumptions &amp; sources'!G82</f>
        <v>-8960</v>
      </c>
      <c r="H44" s="13">
        <f>H15*'Assumptions &amp; sources'!H82</f>
        <v>-14685.000000000002</v>
      </c>
      <c r="I44" s="13">
        <f>I15*'Assumptions &amp; sources'!I82</f>
        <v>-20109.375</v>
      </c>
      <c r="J44" s="13">
        <f>J15*'Assumptions &amp; sources'!J82</f>
        <v>-26112</v>
      </c>
      <c r="K44" s="13">
        <f>K15*'Assumptions &amp; sources'!K82</f>
        <v>-30598.749999999996</v>
      </c>
      <c r="L44" s="13">
        <f>L15*'Assumptions &amp; sources'!L82</f>
        <v>-38869.25</v>
      </c>
      <c r="M44" s="13">
        <f>M15*'Assumptions &amp; sources'!M82</f>
        <v>-46511.5</v>
      </c>
      <c r="N44" s="13">
        <f>N15*'Assumptions &amp; sources'!N82</f>
        <v>-53165</v>
      </c>
      <c r="O44" s="13">
        <f>O15*'Assumptions &amp; sources'!O82</f>
        <v>-57942.499999999993</v>
      </c>
      <c r="P44" s="13">
        <f>P15*'Assumptions &amp; sources'!P82</f>
        <v>-62229.999999999993</v>
      </c>
      <c r="Q44" s="13">
        <f>Q15*'Assumptions &amp; sources'!Q82</f>
        <v>-65658.774999999994</v>
      </c>
      <c r="R44" s="13">
        <f>R15*'Assumptions &amp; sources'!R82</f>
        <v>-67628.538249999998</v>
      </c>
      <c r="S44" s="13">
        <f>S15*'Assumptions &amp; sources'!S82</f>
        <v>-69657.394397499986</v>
      </c>
      <c r="T44" s="13">
        <f>T15*'Assumptions &amp; sources'!T82</f>
        <v>-71747.116229424995</v>
      </c>
      <c r="U44" s="13">
        <f>U15*'Assumptions &amp; sources'!U82</f>
        <v>-73899.529716307748</v>
      </c>
      <c r="V44" s="13">
        <f>V15*'Assumptions &amp; sources'!V82</f>
        <v>-76116.515607796973</v>
      </c>
      <c r="W44" s="13">
        <f>W15*'Assumptions &amp; sources'!W82</f>
        <v>-78400.011076030889</v>
      </c>
      <c r="X44" s="13">
        <f>X15*'Assumptions &amp; sources'!X82</f>
        <v>-80752.011408311824</v>
      </c>
      <c r="Y44" s="13">
        <f>Y15*'Assumptions &amp; sources'!Y82</f>
        <v>-83174.571750561154</v>
      </c>
      <c r="Z44" s="13">
        <f>Z15*'Assumptions &amp; sources'!Z82</f>
        <v>-85669.808903077996</v>
      </c>
    </row>
    <row r="45" spans="3:26" x14ac:dyDescent="0.25">
      <c r="C45" s="5" t="s">
        <v>64</v>
      </c>
      <c r="F45" s="13">
        <f t="shared" ref="F45:Z45" si="17">-(F44-E44)</f>
        <v>1369</v>
      </c>
      <c r="G45" s="13">
        <f t="shared" si="17"/>
        <v>3944</v>
      </c>
      <c r="H45" s="13">
        <f t="shared" si="17"/>
        <v>5725.0000000000018</v>
      </c>
      <c r="I45" s="13">
        <f t="shared" si="17"/>
        <v>5424.3749999999982</v>
      </c>
      <c r="J45" s="13">
        <f t="shared" si="17"/>
        <v>6002.625</v>
      </c>
      <c r="K45" s="13">
        <f t="shared" si="17"/>
        <v>4486.7499999999964</v>
      </c>
      <c r="L45" s="13">
        <f t="shared" si="17"/>
        <v>8270.5000000000036</v>
      </c>
      <c r="M45" s="13">
        <f t="shared" si="17"/>
        <v>7642.25</v>
      </c>
      <c r="N45" s="13">
        <f t="shared" si="17"/>
        <v>6653.5</v>
      </c>
      <c r="O45" s="13">
        <f t="shared" si="17"/>
        <v>4777.4999999999927</v>
      </c>
      <c r="P45" s="13">
        <f t="shared" si="17"/>
        <v>4287.5</v>
      </c>
      <c r="Q45" s="13">
        <f t="shared" si="17"/>
        <v>3428.7750000000015</v>
      </c>
      <c r="R45" s="13">
        <f t="shared" si="17"/>
        <v>1969.7632500000036</v>
      </c>
      <c r="S45" s="13">
        <f t="shared" si="17"/>
        <v>2028.8561474999879</v>
      </c>
      <c r="T45" s="13">
        <f t="shared" si="17"/>
        <v>2089.7218319250096</v>
      </c>
      <c r="U45" s="13">
        <f t="shared" si="17"/>
        <v>2152.4134868827532</v>
      </c>
      <c r="V45" s="13">
        <f t="shared" si="17"/>
        <v>2216.9858914892247</v>
      </c>
      <c r="W45" s="13">
        <f t="shared" si="17"/>
        <v>2283.4954682339157</v>
      </c>
      <c r="X45" s="13">
        <f t="shared" si="17"/>
        <v>2352.0003322809353</v>
      </c>
      <c r="Y45" s="13">
        <f t="shared" si="17"/>
        <v>2422.5603422493296</v>
      </c>
      <c r="Z45" s="13">
        <f t="shared" si="17"/>
        <v>2495.2371525168419</v>
      </c>
    </row>
    <row r="46" spans="3:26" x14ac:dyDescent="0.25">
      <c r="C46" s="20" t="s">
        <v>65</v>
      </c>
      <c r="G46" s="21">
        <f t="shared" ref="G46:Z46" si="18">G34+G26+G40+G45</f>
        <v>-26355.75</v>
      </c>
      <c r="H46" s="21">
        <f t="shared" si="18"/>
        <v>-29617.65</v>
      </c>
      <c r="I46" s="21">
        <f t="shared" si="18"/>
        <v>-28279.453125</v>
      </c>
      <c r="J46" s="21">
        <f t="shared" si="18"/>
        <v>-21861.134999999995</v>
      </c>
      <c r="K46" s="21">
        <f t="shared" si="18"/>
        <v>-19700.887500000001</v>
      </c>
      <c r="L46" s="21">
        <f t="shared" si="18"/>
        <v>-34.429999999989377</v>
      </c>
      <c r="M46" s="21">
        <f t="shared" si="18"/>
        <v>1132.1100000000006</v>
      </c>
      <c r="N46" s="21">
        <f t="shared" si="18"/>
        <v>9509.1000000000058</v>
      </c>
      <c r="O46" s="21">
        <f t="shared" si="18"/>
        <v>12700.69999999999</v>
      </c>
      <c r="P46" s="21">
        <f t="shared" si="18"/>
        <v>19877.700000000012</v>
      </c>
      <c r="Q46" s="21">
        <f t="shared" si="18"/>
        <v>26788.230999999992</v>
      </c>
      <c r="R46" s="21">
        <f t="shared" si="18"/>
        <v>31140.402929999997</v>
      </c>
      <c r="S46" s="21">
        <f t="shared" si="18"/>
        <v>22369.015017899976</v>
      </c>
      <c r="T46" s="21">
        <f t="shared" si="18"/>
        <v>23600.085468436999</v>
      </c>
      <c r="U46" s="21">
        <f t="shared" si="18"/>
        <v>23316.088032490123</v>
      </c>
      <c r="V46" s="21">
        <f t="shared" si="18"/>
        <v>24079.570673464797</v>
      </c>
      <c r="W46" s="21">
        <f t="shared" si="18"/>
        <v>29765.157793668754</v>
      </c>
      <c r="X46" s="21">
        <f t="shared" si="18"/>
        <v>35768.512527478844</v>
      </c>
      <c r="Y46" s="21">
        <f t="shared" si="18"/>
        <v>27135.967903303157</v>
      </c>
      <c r="Z46" s="21">
        <f t="shared" si="18"/>
        <v>28634.992020485777</v>
      </c>
    </row>
    <row r="47" spans="3:26" x14ac:dyDescent="0.25">
      <c r="C47" s="5" t="s">
        <v>66</v>
      </c>
      <c r="G47" s="18">
        <f t="shared" ref="G47:Z47" si="19">G46/G15</f>
        <v>-2.05904296875</v>
      </c>
      <c r="H47" s="18">
        <f t="shared" si="19"/>
        <v>-1.1092752808988764</v>
      </c>
      <c r="I47" s="18">
        <f t="shared" si="19"/>
        <v>-0.63282692307692312</v>
      </c>
      <c r="J47" s="18">
        <f t="shared" si="19"/>
        <v>-0.33488258272058813</v>
      </c>
      <c r="K47" s="18">
        <f t="shared" si="19"/>
        <v>-0.22534615384615386</v>
      </c>
      <c r="L47" s="18">
        <f t="shared" si="19"/>
        <v>-3.1002656341442869E-4</v>
      </c>
      <c r="M47" s="18">
        <f t="shared" si="19"/>
        <v>8.5191511776657423E-3</v>
      </c>
      <c r="N47" s="18">
        <f t="shared" si="19"/>
        <v>6.2601053324555664E-2</v>
      </c>
      <c r="O47" s="18">
        <f t="shared" si="19"/>
        <v>7.6718212020537538E-2</v>
      </c>
      <c r="P47" s="18">
        <f t="shared" si="19"/>
        <v>0.11179808773903269</v>
      </c>
      <c r="Q47" s="18">
        <f t="shared" si="19"/>
        <v>0.14279707244005083</v>
      </c>
      <c r="R47" s="18">
        <f t="shared" si="19"/>
        <v>0.16116186017816225</v>
      </c>
      <c r="S47" s="18">
        <f t="shared" si="19"/>
        <v>0.11239517820014784</v>
      </c>
      <c r="T47" s="18">
        <f t="shared" si="19"/>
        <v>0.11512699531420802</v>
      </c>
      <c r="U47" s="18">
        <f t="shared" si="19"/>
        <v>0.1104287245493891</v>
      </c>
      <c r="V47" s="18">
        <f t="shared" si="19"/>
        <v>0.11072301022209921</v>
      </c>
      <c r="W47" s="18">
        <f t="shared" si="19"/>
        <v>0.13288014994897218</v>
      </c>
      <c r="X47" s="18">
        <f t="shared" si="19"/>
        <v>0.15502993877535803</v>
      </c>
      <c r="Y47" s="18">
        <f t="shared" si="19"/>
        <v>0.11418861036807233</v>
      </c>
      <c r="Z47" s="18">
        <f t="shared" si="19"/>
        <v>0.1169869214778876</v>
      </c>
    </row>
    <row r="48" spans="3:26" x14ac:dyDescent="0.25">
      <c r="C48" s="5" t="s">
        <v>67</v>
      </c>
      <c r="I48" s="18">
        <f t="shared" ref="I48:Z48" si="20">IFERROR((I34-H34)/(-H40-H26),NA())</f>
        <v>0.10364068963288521</v>
      </c>
      <c r="J48" s="18">
        <f t="shared" si="20"/>
        <v>0.1054827801461633</v>
      </c>
      <c r="K48" s="18">
        <f t="shared" si="20"/>
        <v>8.2602996965098527E-2</v>
      </c>
      <c r="L48" s="18">
        <f t="shared" si="20"/>
        <v>8.5170138001533544E-2</v>
      </c>
      <c r="M48" s="18">
        <f t="shared" si="20"/>
        <v>0.19619224981188854</v>
      </c>
      <c r="N48" s="18">
        <f t="shared" si="20"/>
        <v>0.15552466666666659</v>
      </c>
      <c r="O48" s="18">
        <f t="shared" si="20"/>
        <v>0.10741501976284579</v>
      </c>
      <c r="P48" s="18">
        <f t="shared" si="20"/>
        <v>0.10671023965141628</v>
      </c>
      <c r="Q48" s="18">
        <f t="shared" si="20"/>
        <v>0.12832822016692963</v>
      </c>
      <c r="R48" s="18">
        <f t="shared" si="20"/>
        <v>8.7261708772325947E-2</v>
      </c>
      <c r="S48" s="18">
        <f t="shared" si="20"/>
        <v>0.14676027747429102</v>
      </c>
      <c r="T48" s="18">
        <f t="shared" si="20"/>
        <v>6.5018004400309068E-2</v>
      </c>
      <c r="U48" s="18">
        <f t="shared" si="20"/>
        <v>6.7111955290472772E-2</v>
      </c>
      <c r="V48" s="18">
        <f t="shared" si="20"/>
        <v>6.3589813556135952E-2</v>
      </c>
      <c r="W48" s="18">
        <f t="shared" si="20"/>
        <v>6.379954114727017E-2</v>
      </c>
      <c r="X48" s="18">
        <f t="shared" si="20"/>
        <v>8.4875990552530423E-2</v>
      </c>
      <c r="Y48" s="18">
        <f t="shared" si="20"/>
        <v>0.12672685683668206</v>
      </c>
      <c r="Z48" s="18">
        <f t="shared" si="20"/>
        <v>6.6377637486779273E-2</v>
      </c>
    </row>
    <row r="50" spans="3:26" x14ac:dyDescent="0.25">
      <c r="C50" s="5" t="s">
        <v>68</v>
      </c>
      <c r="D50" s="22">
        <f>DATE(2023,12,31)</f>
        <v>45291</v>
      </c>
      <c r="E50" s="22">
        <f>DATE(2024,12,31)</f>
        <v>45657</v>
      </c>
      <c r="F50" s="22">
        <f>DATE(2025,12,31)</f>
        <v>46022</v>
      </c>
      <c r="G50" s="22">
        <f>DATE(2026,12,31)</f>
        <v>46387</v>
      </c>
      <c r="H50" s="22">
        <f>DATE(2027,12,31)</f>
        <v>46752</v>
      </c>
      <c r="I50" s="22">
        <f>DATE(2028,12,31)</f>
        <v>47118</v>
      </c>
      <c r="J50" s="22">
        <f>DATE(2029,12,31)</f>
        <v>47483</v>
      </c>
      <c r="K50" s="22">
        <f>DATE(2030,12,31)</f>
        <v>47848</v>
      </c>
      <c r="L50" s="22">
        <f>DATE(2031,12,31)</f>
        <v>48213</v>
      </c>
      <c r="M50" s="22">
        <f>DATE(2032,12,31)</f>
        <v>48579</v>
      </c>
      <c r="N50" s="22">
        <f>DATE(2033,12,31)</f>
        <v>48944</v>
      </c>
      <c r="O50" s="22">
        <f>DATE(2034,12,31)</f>
        <v>49309</v>
      </c>
      <c r="P50" s="22">
        <f>DATE(2035,12,31)</f>
        <v>49674</v>
      </c>
      <c r="Q50" s="22">
        <f>DATE(2036,12,31)</f>
        <v>50040</v>
      </c>
      <c r="R50" s="22">
        <f>DATE(2037,12,31)</f>
        <v>50405</v>
      </c>
      <c r="S50" s="22">
        <f>DATE(2038,12,31)</f>
        <v>50770</v>
      </c>
      <c r="T50" s="22">
        <f>DATE(2039,12,31)</f>
        <v>51135</v>
      </c>
      <c r="U50" s="22">
        <f>DATE(2040,12,31)</f>
        <v>51501</v>
      </c>
      <c r="V50" s="22">
        <f>DATE(2041,12,31)</f>
        <v>51866</v>
      </c>
      <c r="W50" s="22">
        <f>DATE(2042,12,31)</f>
        <v>52231</v>
      </c>
      <c r="X50" s="22">
        <f>DATE(2043,12,31)</f>
        <v>52596</v>
      </c>
      <c r="Y50" s="22">
        <f>DATE(2044,12,31)</f>
        <v>52962</v>
      </c>
      <c r="Z50" s="22">
        <f>DATE(2045,12,31)</f>
        <v>53327</v>
      </c>
    </row>
    <row r="51" spans="3:26" x14ac:dyDescent="0.25">
      <c r="C51" s="5" t="s">
        <v>69</v>
      </c>
      <c r="D51" s="23">
        <f t="shared" ref="D51:Z51" si="21">MAX(0,(D50-$D$57)/365)</f>
        <v>0</v>
      </c>
      <c r="E51" s="23">
        <f t="shared" si="21"/>
        <v>0</v>
      </c>
      <c r="F51" s="23">
        <f t="shared" si="21"/>
        <v>0</v>
      </c>
      <c r="G51" s="23">
        <f t="shared" si="21"/>
        <v>0.50410958904109593</v>
      </c>
      <c r="H51" s="23">
        <f t="shared" si="21"/>
        <v>1.5041095890410958</v>
      </c>
      <c r="I51" s="23">
        <f t="shared" si="21"/>
        <v>2.506849315068493</v>
      </c>
      <c r="J51" s="23">
        <f t="shared" si="21"/>
        <v>3.506849315068493</v>
      </c>
      <c r="K51" s="23">
        <f t="shared" si="21"/>
        <v>4.506849315068493</v>
      </c>
      <c r="L51" s="23">
        <f t="shared" si="21"/>
        <v>5.506849315068493</v>
      </c>
      <c r="M51" s="23">
        <f t="shared" si="21"/>
        <v>6.5095890410958903</v>
      </c>
      <c r="N51" s="23">
        <f t="shared" si="21"/>
        <v>7.5095890410958903</v>
      </c>
      <c r="O51" s="23">
        <f t="shared" si="21"/>
        <v>8.5095890410958912</v>
      </c>
      <c r="P51" s="23">
        <f t="shared" si="21"/>
        <v>9.5095890410958912</v>
      </c>
      <c r="Q51" s="23">
        <f t="shared" si="21"/>
        <v>10.512328767123288</v>
      </c>
      <c r="R51" s="23">
        <f t="shared" si="21"/>
        <v>11.512328767123288</v>
      </c>
      <c r="S51" s="23">
        <f t="shared" si="21"/>
        <v>12.512328767123288</v>
      </c>
      <c r="T51" s="23">
        <f t="shared" si="21"/>
        <v>13.512328767123288</v>
      </c>
      <c r="U51" s="23">
        <f t="shared" si="21"/>
        <v>14.515068493150684</v>
      </c>
      <c r="V51" s="23">
        <f t="shared" si="21"/>
        <v>15.515068493150684</v>
      </c>
      <c r="W51" s="23">
        <f t="shared" si="21"/>
        <v>16.515068493150686</v>
      </c>
      <c r="X51" s="23">
        <f t="shared" si="21"/>
        <v>17.515068493150686</v>
      </c>
      <c r="Y51" s="23">
        <f t="shared" si="21"/>
        <v>18.517808219178082</v>
      </c>
      <c r="Z51" s="23">
        <f t="shared" si="21"/>
        <v>19.517808219178082</v>
      </c>
    </row>
    <row r="52" spans="3:26" x14ac:dyDescent="0.25">
      <c r="C52" s="5" t="s">
        <v>70</v>
      </c>
      <c r="D52" s="18">
        <f>MAX(0,MIN(1,(D50-$D$57)/(D50-DATE(2023,1,1)+1)))</f>
        <v>0</v>
      </c>
      <c r="E52" s="18">
        <f>MAX(0,MIN(1,(E50-$D$57)/(E50-DATE(2024,1,1)+1)))</f>
        <v>0</v>
      </c>
      <c r="F52" s="18">
        <f>MAX(0,MIN(1,(F50-$D$57)/(F50-DATE(2025,1,1)+1)))</f>
        <v>0</v>
      </c>
      <c r="G52" s="18">
        <f>MAX(0,MIN(1,(G50-$D$57)/(G50-DATE(2026,1,1)+1)))</f>
        <v>0.50410958904109593</v>
      </c>
      <c r="H52" s="18">
        <f>MAX(0,MIN(1,(H50-$D$57)/(H50-DATE(2027,1,1)+1)))</f>
        <v>1</v>
      </c>
      <c r="I52" s="18">
        <f>MAX(0,MIN(1,(I50-$D$57)/(I50-DATE(2028,1,1)+1)))</f>
        <v>1</v>
      </c>
      <c r="J52" s="18">
        <f>MAX(0,MIN(1,(J50-$D$57)/(J50-DATE(2029,1,1)+1)))</f>
        <v>1</v>
      </c>
      <c r="K52" s="18">
        <f>MAX(0,MIN(1,(K50-$D$57)/(K50-DATE(2030,1,1)+1)))</f>
        <v>1</v>
      </c>
      <c r="L52" s="18">
        <f>MAX(0,MIN(1,(L50-$D$57)/(L50-DATE(2031,1,1)+1)))</f>
        <v>1</v>
      </c>
      <c r="M52" s="18">
        <f>MAX(0,MIN(1,(M50-$D$57)/(M50-DATE(2032,1,1)+1)))</f>
        <v>1</v>
      </c>
      <c r="N52" s="18">
        <f>MAX(0,MIN(1,(N50-$D$57)/(N50-DATE(2033,1,1)+1)))</f>
        <v>1</v>
      </c>
      <c r="O52" s="18">
        <f>MAX(0,MIN(1,(O50-$D$57)/(O50-DATE(2034,1,1)+1)))</f>
        <v>1</v>
      </c>
      <c r="P52" s="18">
        <f>MAX(0,MIN(1,(P50-$D$57)/(P50-DATE(2035,1,1)+1)))</f>
        <v>1</v>
      </c>
      <c r="Q52" s="18">
        <f>MAX(0,MIN(1,(Q50-$D$57)/(Q50-DATE(2036,1,1)+1)))</f>
        <v>1</v>
      </c>
      <c r="R52" s="18">
        <f>MAX(0,MIN(1,(R50-$D$57)/(R50-DATE(2037,1,1)+1)))</f>
        <v>1</v>
      </c>
      <c r="S52" s="18">
        <f>MAX(0,MIN(1,(S50-$D$57)/(S50-DATE(2038,1,1)+1)))</f>
        <v>1</v>
      </c>
      <c r="T52" s="18">
        <f>MAX(0,MIN(1,(T50-$D$57)/(T50-DATE(2039,1,1)+1)))</f>
        <v>1</v>
      </c>
      <c r="U52" s="18">
        <f>MAX(0,MIN(1,(U50-$D$57)/(U50-DATE(2040,1,1)+1)))</f>
        <v>1</v>
      </c>
      <c r="V52" s="18">
        <f>MAX(0,MIN(1,(V50-$D$57)/(V50-DATE(2041,1,1)+1)))</f>
        <v>1</v>
      </c>
      <c r="W52" s="18">
        <f>MAX(0,MIN(1,(W50-$D$57)/(W50-DATE(2042,1,1)+1)))</f>
        <v>1</v>
      </c>
      <c r="X52" s="18">
        <f>MAX(0,MIN(1,(X50-$D$57)/(X50-DATE(2043,1,1)+1)))</f>
        <v>1</v>
      </c>
      <c r="Y52" s="18">
        <f>MAX(0,MIN(1,(Y50-$D$57)/(Y50-DATE(2044,1,1)+1)))</f>
        <v>1</v>
      </c>
      <c r="Z52" s="18">
        <f>MAX(0,MIN(1,(Z50-$D$57)/(Z50-DATE(2045,1,1)+1)))</f>
        <v>1</v>
      </c>
    </row>
    <row r="53" spans="3:26" x14ac:dyDescent="0.25">
      <c r="C53" s="5" t="s">
        <v>71</v>
      </c>
      <c r="D53" s="13">
        <f>0</f>
        <v>0</v>
      </c>
      <c r="E53" s="13">
        <f>0</f>
        <v>0</v>
      </c>
      <c r="F53" s="13">
        <f>0</f>
        <v>0</v>
      </c>
      <c r="G53" s="13">
        <f t="shared" ref="G53:Z53" si="22">G46*G52</f>
        <v>-13286.186301369864</v>
      </c>
      <c r="H53" s="13">
        <f t="shared" si="22"/>
        <v>-29617.65</v>
      </c>
      <c r="I53" s="13">
        <f t="shared" si="22"/>
        <v>-28279.453125</v>
      </c>
      <c r="J53" s="13">
        <f t="shared" si="22"/>
        <v>-21861.134999999995</v>
      </c>
      <c r="K53" s="13">
        <f t="shared" si="22"/>
        <v>-19700.887500000001</v>
      </c>
      <c r="L53" s="13">
        <f t="shared" si="22"/>
        <v>-34.429999999989377</v>
      </c>
      <c r="M53" s="13">
        <f t="shared" si="22"/>
        <v>1132.1100000000006</v>
      </c>
      <c r="N53" s="13">
        <f t="shared" si="22"/>
        <v>9509.1000000000058</v>
      </c>
      <c r="O53" s="13">
        <f t="shared" si="22"/>
        <v>12700.69999999999</v>
      </c>
      <c r="P53" s="13">
        <f t="shared" si="22"/>
        <v>19877.700000000012</v>
      </c>
      <c r="Q53" s="13">
        <f t="shared" si="22"/>
        <v>26788.230999999992</v>
      </c>
      <c r="R53" s="13">
        <f t="shared" si="22"/>
        <v>31140.402929999997</v>
      </c>
      <c r="S53" s="13">
        <f t="shared" si="22"/>
        <v>22369.015017899976</v>
      </c>
      <c r="T53" s="13">
        <f t="shared" si="22"/>
        <v>23600.085468436999</v>
      </c>
      <c r="U53" s="13">
        <f t="shared" si="22"/>
        <v>23316.088032490123</v>
      </c>
      <c r="V53" s="13">
        <f t="shared" si="22"/>
        <v>24079.570673464797</v>
      </c>
      <c r="W53" s="13">
        <f t="shared" si="22"/>
        <v>29765.157793668754</v>
      </c>
      <c r="X53" s="13">
        <f t="shared" si="22"/>
        <v>35768.512527478844</v>
      </c>
      <c r="Y53" s="13">
        <f t="shared" si="22"/>
        <v>27135.967903303157</v>
      </c>
      <c r="Z53" s="13">
        <f t="shared" si="22"/>
        <v>28634.992020485777</v>
      </c>
    </row>
    <row r="54" spans="3:26" x14ac:dyDescent="0.25">
      <c r="C54" s="5" t="s">
        <v>72</v>
      </c>
      <c r="D54" s="13">
        <f t="shared" ref="D54:Z54" si="23">D53/(1+$D$58)^D51</f>
        <v>0</v>
      </c>
      <c r="E54" s="13">
        <f t="shared" si="23"/>
        <v>0</v>
      </c>
      <c r="F54" s="13">
        <f t="shared" si="23"/>
        <v>0</v>
      </c>
      <c r="G54" s="13">
        <f t="shared" si="23"/>
        <v>-12662.920736020658</v>
      </c>
      <c r="H54" s="13">
        <f t="shared" si="23"/>
        <v>-25662.05680437593</v>
      </c>
      <c r="I54" s="13">
        <f t="shared" si="23"/>
        <v>-22269.259818505143</v>
      </c>
      <c r="J54" s="13">
        <f t="shared" si="23"/>
        <v>-15650.016385026291</v>
      </c>
      <c r="K54" s="13">
        <f t="shared" si="23"/>
        <v>-12821.392525409288</v>
      </c>
      <c r="L54" s="13">
        <f t="shared" si="23"/>
        <v>-20.370127287168501</v>
      </c>
      <c r="M54" s="13">
        <f t="shared" si="23"/>
        <v>608.75039619355425</v>
      </c>
      <c r="N54" s="13">
        <f t="shared" si="23"/>
        <v>4648.334359128391</v>
      </c>
      <c r="O54" s="13">
        <f t="shared" si="23"/>
        <v>5644.076840746985</v>
      </c>
      <c r="P54" s="13">
        <f t="shared" si="23"/>
        <v>8030.4282596676112</v>
      </c>
      <c r="Q54" s="13">
        <f t="shared" si="23"/>
        <v>9835.8188221958135</v>
      </c>
      <c r="R54" s="13">
        <f t="shared" si="23"/>
        <v>10394.366543401964</v>
      </c>
      <c r="S54" s="13">
        <f t="shared" si="23"/>
        <v>6787.7834065858224</v>
      </c>
      <c r="T54" s="13">
        <f t="shared" si="23"/>
        <v>6510.3150459149083</v>
      </c>
      <c r="U54" s="13">
        <f t="shared" si="23"/>
        <v>5845.7202239080725</v>
      </c>
      <c r="V54" s="13">
        <f t="shared" si="23"/>
        <v>5488.3069684740476</v>
      </c>
      <c r="W54" s="13">
        <f t="shared" si="23"/>
        <v>6167.4432032786726</v>
      </c>
      <c r="X54" s="13">
        <f t="shared" si="23"/>
        <v>6737.5990719259553</v>
      </c>
      <c r="Y54" s="13">
        <f t="shared" si="23"/>
        <v>4645.6181679203555</v>
      </c>
      <c r="Z54" s="13">
        <f t="shared" si="23"/>
        <v>4456.5889162529766</v>
      </c>
    </row>
    <row r="56" spans="3:26" x14ac:dyDescent="0.25">
      <c r="C56" s="10" t="s">
        <v>73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3:26" x14ac:dyDescent="0.25">
      <c r="C57" s="5" t="s">
        <v>74</v>
      </c>
      <c r="D57" s="24">
        <f>'Assumptions &amp; sources'!D54</f>
        <v>46203</v>
      </c>
      <c r="F57" s="20" t="s">
        <v>75</v>
      </c>
    </row>
    <row r="58" spans="3:26" x14ac:dyDescent="0.25">
      <c r="C58" s="5" t="s">
        <v>76</v>
      </c>
      <c r="D58" s="25">
        <f>'Assumptions &amp; sources'!D55</f>
        <v>0.1</v>
      </c>
    </row>
    <row r="59" spans="3:26" x14ac:dyDescent="0.25">
      <c r="C59" s="5" t="s">
        <v>77</v>
      </c>
      <c r="D59" s="25">
        <f>'Assumptions &amp; sources'!D56</f>
        <v>0.02</v>
      </c>
      <c r="F59" s="26">
        <f>D74</f>
        <v>59.010556531397903</v>
      </c>
      <c r="G59" s="27">
        <f>$D$59+-0.01</f>
        <v>0.01</v>
      </c>
      <c r="H59" s="27">
        <f>$D$59+-0.005</f>
        <v>1.4999999999999999E-2</v>
      </c>
      <c r="I59" s="27">
        <f>$D$59+0</f>
        <v>0.02</v>
      </c>
      <c r="J59" s="27">
        <f>$D$59+0.005</f>
        <v>2.5000000000000001E-2</v>
      </c>
      <c r="K59" s="27">
        <f>$D$59+0.01</f>
        <v>0.03</v>
      </c>
    </row>
    <row r="60" spans="3:26" x14ac:dyDescent="0.25">
      <c r="C60" s="5" t="s">
        <v>78</v>
      </c>
      <c r="D60" s="25">
        <f>'Assumptions &amp; sources'!D57</f>
        <v>0.08</v>
      </c>
      <c r="F60" s="27">
        <f>$D$58+-0.02</f>
        <v>0.08</v>
      </c>
      <c r="G60" s="28">
        <f t="shared" ref="G60:K64" si="24">(SUMPRODUCT($G$53:$Z$53,1/(1+$F60)^$G$51:$Z$51)+$Z$34*(1+G$59)*(1-G$59/$D$60)/($F60-G$59)/(1+$F60)^$Z$51-$D$64)/$D$61</f>
        <v>193.09544913620942</v>
      </c>
      <c r="H60" s="28">
        <f t="shared" si="24"/>
        <v>194.16665617621214</v>
      </c>
      <c r="I60" s="28">
        <f t="shared" si="24"/>
        <v>195.23786321621495</v>
      </c>
      <c r="J60" s="28">
        <f t="shared" si="24"/>
        <v>196.30907025621767</v>
      </c>
      <c r="K60" s="28">
        <f t="shared" si="24"/>
        <v>197.38027729622041</v>
      </c>
    </row>
    <row r="61" spans="3:26" x14ac:dyDescent="0.25">
      <c r="C61" s="5" t="s">
        <v>79</v>
      </c>
      <c r="D61" s="29">
        <f>'Assumptions &amp; sources'!D58</f>
        <v>603.4</v>
      </c>
      <c r="F61" s="27">
        <f>$D$58+-0.01</f>
        <v>9.0000000000000011E-2</v>
      </c>
      <c r="G61" s="28">
        <f t="shared" si="24"/>
        <v>117.45880161522686</v>
      </c>
      <c r="H61" s="28">
        <f t="shared" si="24"/>
        <v>116.72801011361325</v>
      </c>
      <c r="I61" s="28">
        <f t="shared" si="24"/>
        <v>115.7649845779593</v>
      </c>
      <c r="J61" s="28">
        <f t="shared" si="24"/>
        <v>114.51613253887082</v>
      </c>
      <c r="K61" s="28">
        <f t="shared" si="24"/>
        <v>112.90999737048938</v>
      </c>
    </row>
    <row r="62" spans="3:26" x14ac:dyDescent="0.25">
      <c r="C62" s="5" t="s">
        <v>80</v>
      </c>
      <c r="D62" s="30">
        <f>'Assumptions &amp; sources'!D59</f>
        <v>5539</v>
      </c>
      <c r="F62" s="27">
        <f>$D$58+0</f>
        <v>0.1</v>
      </c>
      <c r="G62" s="28">
        <f t="shared" si="24"/>
        <v>62.088754815843124</v>
      </c>
      <c r="H62" s="28">
        <f t="shared" si="24"/>
        <v>60.684235089872082</v>
      </c>
      <c r="I62" s="28">
        <f t="shared" si="24"/>
        <v>59.010556531397903</v>
      </c>
      <c r="J62" s="28">
        <f t="shared" si="24"/>
        <v>57.013887373919879</v>
      </c>
      <c r="K62" s="28">
        <f t="shared" si="24"/>
        <v>54.625015346223023</v>
      </c>
    </row>
    <row r="63" spans="3:26" x14ac:dyDescent="0.25">
      <c r="C63" s="5" t="s">
        <v>81</v>
      </c>
      <c r="D63" s="30">
        <f>'Assumptions &amp; sources'!D60</f>
        <v>35772</v>
      </c>
      <c r="F63" s="27">
        <f>$D$58+0.01</f>
        <v>0.11</v>
      </c>
      <c r="G63" s="28">
        <f t="shared" si="24"/>
        <v>20.534155241561951</v>
      </c>
      <c r="H63" s="28">
        <f t="shared" si="24"/>
        <v>18.962055806426349</v>
      </c>
      <c r="I63" s="28">
        <f t="shared" si="24"/>
        <v>17.1455543582655</v>
      </c>
      <c r="J63" s="28">
        <f t="shared" si="24"/>
        <v>15.041521130074869</v>
      </c>
      <c r="K63" s="28">
        <f t="shared" si="24"/>
        <v>12.596043913098942</v>
      </c>
    </row>
    <row r="64" spans="3:26" x14ac:dyDescent="0.25">
      <c r="C64" s="5" t="s">
        <v>82</v>
      </c>
      <c r="D64" s="31">
        <f>D63-D62</f>
        <v>30233</v>
      </c>
      <c r="F64" s="27">
        <f>$D$58+0.02</f>
        <v>0.12000000000000001</v>
      </c>
      <c r="G64" s="28">
        <f t="shared" si="24"/>
        <v>-11.260389438386005</v>
      </c>
      <c r="H64" s="28">
        <f t="shared" si="24"/>
        <v>-12.776788844879423</v>
      </c>
      <c r="I64" s="28">
        <f t="shared" si="24"/>
        <v>-14.497503118774043</v>
      </c>
      <c r="J64" s="28">
        <f t="shared" si="24"/>
        <v>-16.454792502291141</v>
      </c>
      <c r="K64" s="28">
        <f t="shared" si="24"/>
        <v>-18.688086180367772</v>
      </c>
    </row>
    <row r="66" spans="3:12" x14ac:dyDescent="0.25">
      <c r="C66" s="5" t="s">
        <v>83</v>
      </c>
      <c r="D66" s="31">
        <f>SUM(G54:Z54)</f>
        <v>-3284.8661710293591</v>
      </c>
      <c r="F66" s="20" t="s">
        <v>84</v>
      </c>
    </row>
    <row r="67" spans="3:12" x14ac:dyDescent="0.25">
      <c r="C67" s="5" t="s">
        <v>85</v>
      </c>
      <c r="D67" s="31">
        <f>Z34*(1+D59)</f>
        <v>47375.884147216653</v>
      </c>
      <c r="F67" s="26">
        <f>D74</f>
        <v>59.010556531397903</v>
      </c>
      <c r="G67" s="32">
        <v>0.84615399999999996</v>
      </c>
      <c r="H67" s="32">
        <v>0.92307700000000004</v>
      </c>
      <c r="I67" s="32">
        <v>1</v>
      </c>
      <c r="J67" s="32">
        <v>1.0769230000000001</v>
      </c>
      <c r="K67" s="32">
        <v>1.1538459999999999</v>
      </c>
      <c r="L67" s="32">
        <v>1.230769</v>
      </c>
    </row>
    <row r="68" spans="3:12" x14ac:dyDescent="0.25">
      <c r="C68" s="5" t="s">
        <v>86</v>
      </c>
      <c r="D68" s="31">
        <f>D67*D59/D60</f>
        <v>11843.971036804163</v>
      </c>
      <c r="E68" s="33">
        <f>'Assumptions &amp; sources'!$Z$77+F68</f>
        <v>0.56999999999999995</v>
      </c>
      <c r="F68" s="34">
        <v>-0.05</v>
      </c>
      <c r="G68">
        <f t="dataTable" ref="G68:L71" dt2D="1" dtr="1" r1="D6" r2="E6" ca="1"/>
        <v>-204.70713710230154</v>
      </c>
      <c r="H68">
        <v>-119.56101406096073</v>
      </c>
      <c r="I68">
        <v>-34.414891019619994</v>
      </c>
      <c r="J68">
        <v>50.731232021720828</v>
      </c>
      <c r="K68">
        <v>135.8773550630614</v>
      </c>
      <c r="L68">
        <v>221.02347810440219</v>
      </c>
    </row>
    <row r="69" spans="3:12" x14ac:dyDescent="0.25">
      <c r="C69" s="5" t="s">
        <v>87</v>
      </c>
      <c r="D69" s="31">
        <f>IF(AND(D58&gt;D59,D60&gt;D59),D67-D68,NA())</f>
        <v>35531.91311041249</v>
      </c>
      <c r="E69" s="33">
        <f>'Assumptions &amp; sources'!$Z$77+F69</f>
        <v>0.62</v>
      </c>
      <c r="F69" s="34">
        <v>0</v>
      </c>
      <c r="G69">
        <v>-125.65482095521763</v>
      </c>
      <c r="H69">
        <v>-33.322132211909903</v>
      </c>
      <c r="I69">
        <v>59.010556531397903</v>
      </c>
      <c r="J69">
        <v>151.34324527470571</v>
      </c>
      <c r="K69">
        <v>243.67593401801318</v>
      </c>
      <c r="L69">
        <v>336.00862276132085</v>
      </c>
    </row>
    <row r="70" spans="3:12" x14ac:dyDescent="0.25">
      <c r="C70" s="5" t="s">
        <v>88</v>
      </c>
      <c r="D70" s="31">
        <f>D69/(D58-D59)</f>
        <v>444148.91388015612</v>
      </c>
      <c r="E70" s="33">
        <f>'Assumptions &amp; sources'!$Z$77+F70</f>
        <v>0.67</v>
      </c>
      <c r="F70" s="34">
        <v>0.05</v>
      </c>
      <c r="G70">
        <v>-46.602504808133673</v>
      </c>
      <c r="H70">
        <v>52.916749637141066</v>
      </c>
      <c r="I70">
        <v>152.43600408241568</v>
      </c>
      <c r="J70">
        <v>251.95525852769046</v>
      </c>
      <c r="K70">
        <v>351.47451297296482</v>
      </c>
      <c r="L70">
        <v>450.99376741823949</v>
      </c>
    </row>
    <row r="71" spans="3:12" x14ac:dyDescent="0.25">
      <c r="C71" s="5" t="s">
        <v>89</v>
      </c>
      <c r="D71" s="31">
        <f>D70/(1+D58)^Z51</f>
        <v>69124.835982074845</v>
      </c>
      <c r="E71" s="33">
        <f>'Assumptions &amp; sources'!$Z$77+F71</f>
        <v>0.72</v>
      </c>
      <c r="F71" s="34">
        <v>0.1</v>
      </c>
      <c r="G71">
        <v>32.449811338950013</v>
      </c>
      <c r="H71">
        <v>139.15563148619177</v>
      </c>
      <c r="I71">
        <v>245.86145163343338</v>
      </c>
      <c r="J71">
        <v>352.56727178067501</v>
      </c>
      <c r="K71">
        <v>459.27309192791637</v>
      </c>
      <c r="L71">
        <v>565.97891207515795</v>
      </c>
    </row>
    <row r="72" spans="3:12" x14ac:dyDescent="0.25">
      <c r="C72" s="5" t="s">
        <v>90</v>
      </c>
      <c r="D72" s="31">
        <f>SUM(D66,D71)</f>
        <v>65839.969811045492</v>
      </c>
    </row>
    <row r="73" spans="3:12" x14ac:dyDescent="0.25">
      <c r="C73" s="5" t="s">
        <v>91</v>
      </c>
      <c r="D73" s="31">
        <f>D72-D64</f>
        <v>35606.969811045492</v>
      </c>
      <c r="F73" s="3" t="s">
        <v>92</v>
      </c>
    </row>
    <row r="74" spans="3:12" ht="15.75" x14ac:dyDescent="0.25">
      <c r="C74" s="35" t="s">
        <v>93</v>
      </c>
      <c r="D74" s="36">
        <f>D73/D61</f>
        <v>59.010556531397903</v>
      </c>
      <c r="G74" s="37">
        <v>11</v>
      </c>
      <c r="H74" s="37">
        <v>12</v>
      </c>
      <c r="I74" s="37">
        <v>13</v>
      </c>
      <c r="J74" s="37">
        <v>14</v>
      </c>
      <c r="K74" s="37">
        <v>15</v>
      </c>
      <c r="L74" s="37">
        <v>16</v>
      </c>
    </row>
    <row r="75" spans="3:12" x14ac:dyDescent="0.25">
      <c r="C75" s="5" t="s">
        <v>94</v>
      </c>
      <c r="D75" s="38">
        <f>D71/D72</f>
        <v>1.0498916718895317</v>
      </c>
    </row>
    <row r="76" spans="3:12" x14ac:dyDescent="0.25">
      <c r="C76" s="5" t="s">
        <v>95</v>
      </c>
      <c r="D76" s="39">
        <f>(D66-D64)/D61</f>
        <v>-55.548336378901823</v>
      </c>
      <c r="F76" s="20" t="s">
        <v>96</v>
      </c>
    </row>
    <row r="77" spans="3:12" x14ac:dyDescent="0.25">
      <c r="C77" s="5" t="s">
        <v>97</v>
      </c>
      <c r="D77" s="31">
        <f>'Assumptions &amp; sources'!$D$64+D64</f>
        <v>73718.600000000006</v>
      </c>
      <c r="F77" s="26">
        <f>D74</f>
        <v>59.010556531397903</v>
      </c>
      <c r="G77" s="40">
        <v>5</v>
      </c>
      <c r="H77" s="40">
        <v>6</v>
      </c>
      <c r="I77" s="40">
        <v>7</v>
      </c>
      <c r="J77" s="40">
        <v>8</v>
      </c>
      <c r="K77" s="40">
        <v>10</v>
      </c>
    </row>
    <row r="78" spans="3:12" x14ac:dyDescent="0.25">
      <c r="C78" s="5" t="s">
        <v>98</v>
      </c>
      <c r="D78" s="41">
        <f>D77/H23</f>
        <v>4.4532197656155619</v>
      </c>
      <c r="E78" s="41">
        <f>D77/I23</f>
        <v>2.5775734265734269</v>
      </c>
      <c r="F78" s="27">
        <v>1</v>
      </c>
      <c r="G78">
        <f t="dataTable" ref="G78:K81" dt2D="1" dtr="1" r1="F6" r2="G6"/>
        <v>-229.40076395149893</v>
      </c>
      <c r="H78">
        <v>-56.673156816959057</v>
      </c>
      <c r="I78">
        <v>63.960999703168881</v>
      </c>
      <c r="J78">
        <v>151.46103481409941</v>
      </c>
      <c r="K78">
        <v>277.9901359897363</v>
      </c>
    </row>
    <row r="79" spans="3:12" x14ac:dyDescent="0.25">
      <c r="C79" s="5" t="s">
        <v>99</v>
      </c>
      <c r="D79" s="41">
        <f>D77/I15</f>
        <v>1.6496469930069932</v>
      </c>
      <c r="F79" s="27">
        <v>0.8</v>
      </c>
      <c r="G79">
        <v>-79.17152917623396</v>
      </c>
      <c r="H79">
        <v>59.010556531397903</v>
      </c>
      <c r="I79">
        <v>155.51788174750021</v>
      </c>
      <c r="J79">
        <v>225.51790983624468</v>
      </c>
      <c r="K79">
        <v>326.74119077675425</v>
      </c>
    </row>
    <row r="80" spans="3:12" x14ac:dyDescent="0.25">
      <c r="F80" s="27">
        <v>0.6</v>
      </c>
      <c r="G80">
        <v>71.057705599030939</v>
      </c>
      <c r="H80">
        <v>174.69426987975484</v>
      </c>
      <c r="I80">
        <v>247.07476379183163</v>
      </c>
      <c r="J80">
        <v>299.57478485838993</v>
      </c>
      <c r="K80">
        <v>375.49224556377209</v>
      </c>
    </row>
    <row r="81" spans="3:11" x14ac:dyDescent="0.25">
      <c r="F81" s="27">
        <v>0.4</v>
      </c>
      <c r="G81">
        <v>221.28694037429585</v>
      </c>
      <c r="H81">
        <v>290.37798322811182</v>
      </c>
      <c r="I81">
        <v>338.63164583616299</v>
      </c>
      <c r="J81">
        <v>373.63165988053521</v>
      </c>
      <c r="K81">
        <v>424.24330035078992</v>
      </c>
    </row>
    <row r="82" spans="3:11" x14ac:dyDescent="0.25">
      <c r="F82" s="3" t="s">
        <v>100</v>
      </c>
    </row>
    <row r="84" spans="3:11" x14ac:dyDescent="0.25">
      <c r="C84" s="10" t="s">
        <v>101</v>
      </c>
      <c r="D84" s="11"/>
      <c r="E84" s="11"/>
      <c r="F84" s="11"/>
    </row>
    <row r="85" spans="3:11" x14ac:dyDescent="0.25">
      <c r="C85" s="5" t="s">
        <v>102</v>
      </c>
      <c r="D85" s="28">
        <f>P12</f>
        <v>14</v>
      </c>
    </row>
    <row r="86" spans="3:11" x14ac:dyDescent="0.25">
      <c r="C86" s="5" t="s">
        <v>103</v>
      </c>
      <c r="D86" s="28">
        <f>D85*P22</f>
        <v>8.68</v>
      </c>
    </row>
    <row r="87" spans="3:11" x14ac:dyDescent="0.25">
      <c r="C87" s="5" t="s">
        <v>104</v>
      </c>
      <c r="D87" s="28">
        <f>P25</f>
        <v>5</v>
      </c>
    </row>
    <row r="88" spans="3:11" x14ac:dyDescent="0.25">
      <c r="C88" s="5" t="s">
        <v>105</v>
      </c>
      <c r="D88" s="28">
        <f>D85*'Assumptions &amp; sources'!P79</f>
        <v>0.28000000000000003</v>
      </c>
    </row>
    <row r="89" spans="3:11" x14ac:dyDescent="0.25">
      <c r="C89" s="5" t="s">
        <v>106</v>
      </c>
      <c r="D89" s="28">
        <f>(D86-D87-D88)*P33</f>
        <v>0.71399999999999986</v>
      </c>
    </row>
    <row r="90" spans="3:11" x14ac:dyDescent="0.25">
      <c r="C90" s="5" t="s">
        <v>107</v>
      </c>
      <c r="D90" s="42">
        <f>D86-D88-D89</f>
        <v>7.6860000000000008</v>
      </c>
    </row>
    <row r="91" spans="3:11" x14ac:dyDescent="0.25">
      <c r="C91" s="5" t="s">
        <v>108</v>
      </c>
      <c r="D91" s="28">
        <f>P35</f>
        <v>40</v>
      </c>
    </row>
    <row r="92" spans="3:11" x14ac:dyDescent="0.25">
      <c r="C92" s="5" t="s">
        <v>109</v>
      </c>
      <c r="D92" s="28">
        <f>D91*$G$6/$F$6</f>
        <v>5.333333333333333</v>
      </c>
    </row>
    <row r="93" spans="3:11" x14ac:dyDescent="0.25">
      <c r="C93" s="5" t="s">
        <v>110</v>
      </c>
      <c r="D93" s="28">
        <f>D91*$G$6*D58/((1+D58)^$F$6-1)</f>
        <v>4.1474361716053521</v>
      </c>
    </row>
    <row r="94" spans="3:11" x14ac:dyDescent="0.25">
      <c r="C94" s="20" t="s">
        <v>111</v>
      </c>
      <c r="D94" s="42">
        <f>D90-D93</f>
        <v>3.5385638283946488</v>
      </c>
    </row>
    <row r="95" spans="3:11" x14ac:dyDescent="0.25">
      <c r="C95" s="5" t="s">
        <v>112</v>
      </c>
      <c r="D95" s="38">
        <f>D94/D91</f>
        <v>8.8464095709866214E-2</v>
      </c>
    </row>
    <row r="96" spans="3:11" x14ac:dyDescent="0.25">
      <c r="C96" s="5" t="s">
        <v>113</v>
      </c>
      <c r="D96" s="43">
        <f>D91/D90</f>
        <v>5.2042674993494664</v>
      </c>
    </row>
    <row r="97" spans="3:26" x14ac:dyDescent="0.25">
      <c r="C97" s="5" t="s">
        <v>114</v>
      </c>
      <c r="D97" s="28">
        <f>D94/D58</f>
        <v>35.385638283946484</v>
      </c>
    </row>
    <row r="98" spans="3:26" x14ac:dyDescent="0.25">
      <c r="C98" s="20" t="s">
        <v>115</v>
      </c>
      <c r="D98" s="42">
        <f>D97-D91</f>
        <v>-4.6143617160535157</v>
      </c>
    </row>
    <row r="99" spans="3:26" x14ac:dyDescent="0.25">
      <c r="C99" s="5" t="s">
        <v>116</v>
      </c>
      <c r="D99" s="28">
        <f>(D91*D58+D93-D87*P33)/((P22-'Assumptions &amp; sources'!P79)*(1-P33))</f>
        <v>14.973494032922687</v>
      </c>
    </row>
    <row r="100" spans="3:26" x14ac:dyDescent="0.25">
      <c r="C100" s="3" t="s">
        <v>117</v>
      </c>
    </row>
    <row r="103" spans="3:26" x14ac:dyDescent="0.25">
      <c r="C103" s="10" t="s">
        <v>118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3:26" x14ac:dyDescent="0.25">
      <c r="C104" s="5" t="s">
        <v>119</v>
      </c>
      <c r="F104" s="13">
        <f>'Assumptions &amp; sources'!$D$65</f>
        <v>18488</v>
      </c>
      <c r="G104" s="13">
        <f>F104-G46+G105-'Assumptions &amp; sources'!$D$66</f>
        <v>45362.008125</v>
      </c>
      <c r="H104" s="13">
        <f t="shared" ref="H104:Z104" si="25">G104-H46+H105</f>
        <v>80395.033106250004</v>
      </c>
      <c r="I104" s="13">
        <f t="shared" si="25"/>
        <v>117182.6146014375</v>
      </c>
      <c r="J104" s="13">
        <f t="shared" si="25"/>
        <v>150573.93599056685</v>
      </c>
      <c r="K104" s="13">
        <f t="shared" si="25"/>
        <v>184713.01766721788</v>
      </c>
      <c r="L104" s="13">
        <f t="shared" si="25"/>
        <v>201373.16860726749</v>
      </c>
      <c r="M104" s="13">
        <f t="shared" si="25"/>
        <v>218313.69883192159</v>
      </c>
      <c r="N104" s="13">
        <f t="shared" si="25"/>
        <v>228024.92222679453</v>
      </c>
      <c r="O104" s="13">
        <f t="shared" si="25"/>
        <v>235274.93372720605</v>
      </c>
      <c r="P104" s="13">
        <f t="shared" si="25"/>
        <v>235677.48126265459</v>
      </c>
      <c r="Q104" s="13">
        <f t="shared" si="25"/>
        <v>228894.75318129349</v>
      </c>
      <c r="R104" s="13">
        <f t="shared" si="25"/>
        <v>216953.55990575993</v>
      </c>
      <c r="S104" s="13">
        <f t="shared" si="25"/>
        <v>213103.75960357283</v>
      </c>
      <c r="T104" s="13">
        <f t="shared" si="25"/>
        <v>207621.00865337774</v>
      </c>
      <c r="U104" s="13">
        <f t="shared" si="25"/>
        <v>201941.58743822953</v>
      </c>
      <c r="V104" s="13">
        <f t="shared" si="25"/>
        <v>194953.17895389948</v>
      </c>
      <c r="W104" s="13">
        <f t="shared" si="25"/>
        <v>181394.3751653666</v>
      </c>
      <c r="X104" s="13">
        <f t="shared" si="25"/>
        <v>160341.7733390342</v>
      </c>
      <c r="Y104" s="13">
        <f t="shared" si="25"/>
        <v>146415.44648059548</v>
      </c>
      <c r="Z104" s="13">
        <f t="shared" si="25"/>
        <v>129669.27000244144</v>
      </c>
    </row>
    <row r="105" spans="3:26" x14ac:dyDescent="0.25">
      <c r="C105" s="5" t="s">
        <v>120</v>
      </c>
      <c r="G105" s="13">
        <f>(F104-0.5*G46)*'Assumptions &amp; sources'!G83</f>
        <v>3008.2581249999998</v>
      </c>
      <c r="H105" s="13">
        <f>(G104-0.5*H46)*'Assumptions &amp; sources'!H83</f>
        <v>5415.37498125</v>
      </c>
      <c r="I105" s="13">
        <f>(H104-0.5*I46)*'Assumptions &amp; sources'!I83</f>
        <v>8508.1283701875</v>
      </c>
      <c r="J105" s="13">
        <f>(I104-0.5*J46)*'Assumptions &amp; sources'!J83</f>
        <v>11530.186389129374</v>
      </c>
      <c r="K105" s="13">
        <f>(J104-0.5*K46)*'Assumptions &amp; sources'!K83</f>
        <v>14438.194176651017</v>
      </c>
      <c r="L105" s="13">
        <f>(K104-0.5*L46)*'Assumptions &amp; sources'!L83</f>
        <v>16625.720940049607</v>
      </c>
      <c r="M105" s="13">
        <f>(L104-0.5*M46)*'Assumptions &amp; sources'!M83</f>
        <v>18072.640224654075</v>
      </c>
      <c r="N105" s="13">
        <f>(M104-0.5*N46)*'Assumptions &amp; sources'!N83</f>
        <v>19220.323394872939</v>
      </c>
      <c r="O105" s="13">
        <f>(N104-0.5*O46)*'Assumptions &amp; sources'!O83</f>
        <v>19950.711500411508</v>
      </c>
      <c r="P105" s="13">
        <f>(O104-0.5*P46)*'Assumptions &amp; sources'!P83</f>
        <v>20280.247535448543</v>
      </c>
      <c r="Q105" s="13">
        <f>(P104-0.5*Q46)*'Assumptions &amp; sources'!Q83</f>
        <v>20005.502918638915</v>
      </c>
      <c r="R105" s="13">
        <f>(Q104-0.5*R46)*'Assumptions &amp; sources'!R83</f>
        <v>19199.209654466413</v>
      </c>
      <c r="S105" s="13">
        <f>(R104-0.5*S46)*'Assumptions &amp; sources'!S83</f>
        <v>18519.214715712893</v>
      </c>
      <c r="T105" s="13">
        <f>(S104-0.5*T46)*'Assumptions &amp; sources'!T83</f>
        <v>18117.334518241889</v>
      </c>
      <c r="U105" s="13">
        <f>(T104-0.5*U46)*'Assumptions &amp; sources'!U83</f>
        <v>17636.666817341942</v>
      </c>
      <c r="V105" s="13">
        <f>(U104-0.5*V46)*'Assumptions &amp; sources'!V83</f>
        <v>17091.162189134742</v>
      </c>
      <c r="W105" s="13">
        <f>(V104-0.5*W46)*'Assumptions &amp; sources'!W83</f>
        <v>16206.35400513586</v>
      </c>
      <c r="X105" s="13">
        <f>(W104-0.5*X46)*'Assumptions &amp; sources'!X83</f>
        <v>14715.910701146444</v>
      </c>
      <c r="Y105" s="13">
        <f>(X104-0.5*Y46)*'Assumptions &amp; sources'!Y83</f>
        <v>13209.641044864436</v>
      </c>
      <c r="Z105" s="13">
        <f>(Y104-0.5*Z46)*'Assumptions &amp; sources'!Z83</f>
        <v>11888.815542331733</v>
      </c>
    </row>
    <row r="106" spans="3:26" x14ac:dyDescent="0.25">
      <c r="C106" s="5" t="s">
        <v>121</v>
      </c>
      <c r="D106" s="12">
        <f>'Assumptions &amp; sources'!D17</f>
        <v>28</v>
      </c>
      <c r="E106" s="12">
        <f>'Assumptions &amp; sources'!E17</f>
        <v>361</v>
      </c>
      <c r="F106" s="12">
        <f>'Assumptions &amp; sources'!F17</f>
        <v>1229</v>
      </c>
    </row>
    <row r="107" spans="3:26" x14ac:dyDescent="0.25">
      <c r="C107" s="5" t="s">
        <v>122</v>
      </c>
      <c r="F107" s="44">
        <f t="shared" ref="F107:Z107" si="26">F104/F23</f>
        <v>5.9677211103938017</v>
      </c>
      <c r="G107" s="44">
        <f t="shared" si="26"/>
        <v>6.1633163213315223</v>
      </c>
      <c r="H107" s="44">
        <f t="shared" si="26"/>
        <v>4.8565321436661835</v>
      </c>
      <c r="I107" s="44">
        <f t="shared" si="26"/>
        <v>4.0972942168334789</v>
      </c>
      <c r="J107" s="44">
        <f t="shared" si="26"/>
        <v>3.6040406707300963</v>
      </c>
      <c r="K107" s="44">
        <f t="shared" si="26"/>
        <v>3.3536776224013849</v>
      </c>
      <c r="L107" s="44">
        <f t="shared" si="26"/>
        <v>2.9246358402370736</v>
      </c>
      <c r="M107" s="44">
        <f t="shared" si="26"/>
        <v>2.6497017765350628</v>
      </c>
      <c r="N107" s="44">
        <f t="shared" si="26"/>
        <v>2.4212121963387898</v>
      </c>
      <c r="O107" s="44">
        <f t="shared" si="26"/>
        <v>2.2922120178798537</v>
      </c>
      <c r="P107" s="44">
        <f t="shared" si="26"/>
        <v>2.1379357130397927</v>
      </c>
      <c r="Q107" s="44">
        <f t="shared" si="26"/>
        <v>1.9679742733807923</v>
      </c>
      <c r="R107" s="44">
        <f t="shared" si="26"/>
        <v>1.8109778354963586</v>
      </c>
      <c r="S107" s="44">
        <f t="shared" si="26"/>
        <v>1.7270314299603982</v>
      </c>
      <c r="T107" s="44">
        <f t="shared" si="26"/>
        <v>1.6335905088643738</v>
      </c>
      <c r="U107" s="44">
        <f t="shared" si="26"/>
        <v>1.5426252869116954</v>
      </c>
      <c r="V107" s="44">
        <f t="shared" si="26"/>
        <v>1.4458651062360903</v>
      </c>
      <c r="W107" s="44">
        <f t="shared" si="26"/>
        <v>1.3061229085449011</v>
      </c>
      <c r="X107" s="44">
        <f t="shared" si="26"/>
        <v>1.1209072768458932</v>
      </c>
      <c r="Y107" s="44">
        <f t="shared" si="26"/>
        <v>0.99373978534729102</v>
      </c>
      <c r="Z107" s="44">
        <f t="shared" si="26"/>
        <v>0.85444797056839172</v>
      </c>
    </row>
    <row r="108" spans="3:26" x14ac:dyDescent="0.25">
      <c r="C108" s="5" t="s">
        <v>123</v>
      </c>
      <c r="G108" s="13">
        <f t="shared" ref="G108:Z108" si="27">IF(G27-G105&gt;0,(G27-G105)*(1-G33),G27-G105)</f>
        <v>-1973.2581249999998</v>
      </c>
      <c r="H108" s="13">
        <f t="shared" si="27"/>
        <v>-1101.37498125</v>
      </c>
      <c r="I108" s="13">
        <f t="shared" si="27"/>
        <v>324.77804832187502</v>
      </c>
      <c r="J108" s="13">
        <f t="shared" si="27"/>
        <v>2474.1122497835672</v>
      </c>
      <c r="K108" s="13">
        <f t="shared" si="27"/>
        <v>4156.1224498466354</v>
      </c>
      <c r="L108" s="13">
        <f t="shared" si="27"/>
        <v>6895.4194573608156</v>
      </c>
      <c r="M108" s="13">
        <f t="shared" si="27"/>
        <v>11312.136222523284</v>
      </c>
      <c r="N108" s="13">
        <f t="shared" si="27"/>
        <v>15371.564518050378</v>
      </c>
      <c r="O108" s="13">
        <f t="shared" si="27"/>
        <v>17727.827914674908</v>
      </c>
      <c r="P108" s="13">
        <f t="shared" si="27"/>
        <v>20110.044446995653</v>
      </c>
      <c r="Q108" s="13">
        <f t="shared" si="27"/>
        <v>22757.393394275259</v>
      </c>
      <c r="R108" s="13">
        <f t="shared" si="27"/>
        <v>24551.217293971542</v>
      </c>
      <c r="S108" s="13">
        <f t="shared" si="27"/>
        <v>26279.971083216798</v>
      </c>
      <c r="T108" s="13">
        <f t="shared" si="27"/>
        <v>27824.760960477804</v>
      </c>
      <c r="U108" s="13">
        <f t="shared" si="27"/>
        <v>29468.612101085429</v>
      </c>
      <c r="V108" s="13">
        <f t="shared" si="27"/>
        <v>31201.608123972692</v>
      </c>
      <c r="W108" s="13">
        <f t="shared" si="27"/>
        <v>33241.715376933462</v>
      </c>
      <c r="X108" s="13">
        <f t="shared" si="27"/>
        <v>35800.507638314848</v>
      </c>
      <c r="Y108" s="13">
        <f t="shared" si="27"/>
        <v>38413.242979544244</v>
      </c>
      <c r="Z108" s="13">
        <f t="shared" si="27"/>
        <v>40922.160908694706</v>
      </c>
    </row>
    <row r="109" spans="3:26" x14ac:dyDescent="0.25">
      <c r="C109" s="5" t="s">
        <v>124</v>
      </c>
      <c r="G109" s="13">
        <f t="shared" ref="G109:Z109" si="28">IF(G31-G105&gt;0,(G31-G105)*(1-G33),G31-G105)</f>
        <v>-2613.2581249999998</v>
      </c>
      <c r="H109" s="13">
        <f t="shared" si="28"/>
        <v>-1902.37498125</v>
      </c>
      <c r="I109" s="13">
        <f t="shared" si="28"/>
        <v>-775.31587018749997</v>
      </c>
      <c r="J109" s="13">
        <f t="shared" si="28"/>
        <v>1299.0722497835668</v>
      </c>
      <c r="K109" s="13">
        <f t="shared" si="28"/>
        <v>2669.8974498466355</v>
      </c>
      <c r="L109" s="13">
        <f t="shared" si="28"/>
        <v>5140.7504573608167</v>
      </c>
      <c r="M109" s="13">
        <f t="shared" si="28"/>
        <v>9212.474222523284</v>
      </c>
      <c r="N109" s="13">
        <f t="shared" si="28"/>
        <v>12971.544518050379</v>
      </c>
      <c r="O109" s="13">
        <f t="shared" si="28"/>
        <v>15112.13791467491</v>
      </c>
      <c r="P109" s="13">
        <f t="shared" si="28"/>
        <v>17300.804446995651</v>
      </c>
      <c r="Q109" s="13">
        <f t="shared" si="28"/>
        <v>19793.368694275261</v>
      </c>
      <c r="R109" s="13">
        <f t="shared" si="28"/>
        <v>21498.271852971538</v>
      </c>
      <c r="S109" s="13">
        <f t="shared" si="28"/>
        <v>23135.437278986799</v>
      </c>
      <c r="T109" s="13">
        <f t="shared" si="28"/>
        <v>24585.891142120905</v>
      </c>
      <c r="U109" s="13">
        <f t="shared" si="28"/>
        <v>26132.576188177831</v>
      </c>
      <c r="V109" s="13">
        <f t="shared" si="28"/>
        <v>27765.491133677857</v>
      </c>
      <c r="W109" s="13">
        <f t="shared" si="28"/>
        <v>29702.514876929778</v>
      </c>
      <c r="X109" s="13">
        <f t="shared" si="28"/>
        <v>32155.131123311054</v>
      </c>
      <c r="Y109" s="13">
        <f t="shared" si="28"/>
        <v>34658.505169090342</v>
      </c>
      <c r="Z109" s="13">
        <f t="shared" si="28"/>
        <v>37054.780963927187</v>
      </c>
    </row>
    <row r="110" spans="3:26" x14ac:dyDescent="0.25">
      <c r="C110" s="5" t="s">
        <v>125</v>
      </c>
      <c r="D110" s="12">
        <f>'Assumptions &amp; sources'!D12</f>
        <v>-594</v>
      </c>
      <c r="E110" s="12">
        <f>'Assumptions &amp; sources'!E12</f>
        <v>-863</v>
      </c>
      <c r="F110" s="12">
        <f>'Assumptions &amp; sources'!F12</f>
        <v>-1167</v>
      </c>
      <c r="G110" s="12">
        <f>'Assumptions &amp; sources'!G12</f>
        <v>-2197.83</v>
      </c>
      <c r="H110" s="12">
        <f>'Assumptions &amp; sources'!H12</f>
        <v>-1132.69</v>
      </c>
      <c r="I110" s="12">
        <f>'Assumptions &amp; sources'!I12</f>
        <v>974.96</v>
      </c>
    </row>
    <row r="111" spans="3:26" x14ac:dyDescent="0.25">
      <c r="C111" s="5" t="s">
        <v>126</v>
      </c>
      <c r="G111" s="15">
        <f>'Assumptions &amp; sources'!G84</f>
        <v>603.4</v>
      </c>
      <c r="H111" s="15">
        <f>'Assumptions &amp; sources'!H84</f>
        <v>603.4</v>
      </c>
      <c r="I111" s="15">
        <f>'Assumptions &amp; sources'!I84</f>
        <v>603.4</v>
      </c>
      <c r="J111" s="15">
        <f>'Assumptions &amp; sources'!J84</f>
        <v>603.4</v>
      </c>
      <c r="K111" s="15">
        <f>'Assumptions &amp; sources'!K84</f>
        <v>603.4</v>
      </c>
      <c r="L111" s="15">
        <f>'Assumptions &amp; sources'!L84</f>
        <v>603.4</v>
      </c>
      <c r="M111" s="15">
        <f>'Assumptions &amp; sources'!M84</f>
        <v>603.4</v>
      </c>
      <c r="N111" s="15">
        <f>'Assumptions &amp; sources'!N84</f>
        <v>603.4</v>
      </c>
      <c r="O111" s="15">
        <f>'Assumptions &amp; sources'!O84</f>
        <v>603.4</v>
      </c>
      <c r="P111" s="15">
        <f>'Assumptions &amp; sources'!P84</f>
        <v>603.4</v>
      </c>
      <c r="Q111" s="15">
        <f>'Assumptions &amp; sources'!Q84</f>
        <v>603.4</v>
      </c>
      <c r="R111" s="15">
        <f>'Assumptions &amp; sources'!R84</f>
        <v>603.4</v>
      </c>
      <c r="S111" s="15">
        <f>'Assumptions &amp; sources'!S84</f>
        <v>603.4</v>
      </c>
      <c r="T111" s="15">
        <f>'Assumptions &amp; sources'!T84</f>
        <v>603.4</v>
      </c>
      <c r="U111" s="15">
        <f>'Assumptions &amp; sources'!U84</f>
        <v>603.4</v>
      </c>
      <c r="V111" s="15">
        <f>'Assumptions &amp; sources'!V84</f>
        <v>603.4</v>
      </c>
      <c r="W111" s="15">
        <f>'Assumptions &amp; sources'!W84</f>
        <v>603.4</v>
      </c>
      <c r="X111" s="15">
        <f>'Assumptions &amp; sources'!X84</f>
        <v>603.4</v>
      </c>
      <c r="Y111" s="15">
        <f>'Assumptions &amp; sources'!Y84</f>
        <v>603.4</v>
      </c>
      <c r="Z111" s="15">
        <f>'Assumptions &amp; sources'!Z84</f>
        <v>603.4</v>
      </c>
    </row>
    <row r="112" spans="3:26" x14ac:dyDescent="0.25">
      <c r="C112" s="20" t="s">
        <v>127</v>
      </c>
      <c r="G112" s="45">
        <f t="shared" ref="G112:Z112" si="29">G108/G111</f>
        <v>-3.2702322257209149</v>
      </c>
      <c r="H112" s="45">
        <f t="shared" si="29"/>
        <v>-1.8252817057507458</v>
      </c>
      <c r="I112" s="45">
        <f t="shared" si="29"/>
        <v>0.53824668266800635</v>
      </c>
      <c r="J112" s="45">
        <f t="shared" si="29"/>
        <v>4.1002854653357099</v>
      </c>
      <c r="K112" s="45">
        <f t="shared" si="29"/>
        <v>6.887839658347092</v>
      </c>
      <c r="L112" s="45">
        <f t="shared" si="29"/>
        <v>11.427609309514112</v>
      </c>
      <c r="M112" s="45">
        <f t="shared" si="29"/>
        <v>18.747325526223541</v>
      </c>
      <c r="N112" s="45">
        <f t="shared" si="29"/>
        <v>25.474916337504769</v>
      </c>
      <c r="O112" s="45">
        <f t="shared" si="29"/>
        <v>29.379893792964715</v>
      </c>
      <c r="P112" s="45">
        <f t="shared" si="29"/>
        <v>33.32788274278365</v>
      </c>
      <c r="Q112" s="45">
        <f t="shared" si="29"/>
        <v>37.715269132043851</v>
      </c>
      <c r="R112" s="45">
        <f t="shared" si="29"/>
        <v>40.688129423220985</v>
      </c>
      <c r="S112" s="45">
        <f t="shared" si="29"/>
        <v>43.553150618523034</v>
      </c>
      <c r="T112" s="45">
        <f t="shared" si="29"/>
        <v>46.113292940798488</v>
      </c>
      <c r="U112" s="45">
        <f t="shared" si="29"/>
        <v>48.837607061792227</v>
      </c>
      <c r="V112" s="45">
        <f t="shared" si="29"/>
        <v>51.709658806716426</v>
      </c>
      <c r="W112" s="45">
        <f t="shared" si="29"/>
        <v>55.090678450337194</v>
      </c>
      <c r="X112" s="45">
        <f t="shared" si="29"/>
        <v>59.331302019083275</v>
      </c>
      <c r="Y112" s="45">
        <f t="shared" si="29"/>
        <v>63.661324129175085</v>
      </c>
      <c r="Z112" s="45">
        <f t="shared" si="29"/>
        <v>67.819292192069454</v>
      </c>
    </row>
    <row r="113" spans="3:26" x14ac:dyDescent="0.25">
      <c r="C113" s="5" t="s">
        <v>128</v>
      </c>
      <c r="G113" s="46">
        <f>'Assumptions &amp; sources'!G13</f>
        <v>-3.92</v>
      </c>
      <c r="H113" s="46">
        <f>'Assumptions &amp; sources'!H13</f>
        <v>-2.09</v>
      </c>
      <c r="I113" s="46">
        <f>'Assumptions &amp; sources'!I13</f>
        <v>1.431</v>
      </c>
    </row>
    <row r="114" spans="3:26" x14ac:dyDescent="0.25">
      <c r="C114" s="5" t="s">
        <v>129</v>
      </c>
      <c r="G114" s="13">
        <f t="shared" ref="G114:Z114" si="30">G46-G105</f>
        <v>-29364.008125</v>
      </c>
      <c r="H114" s="13">
        <f t="shared" si="30"/>
        <v>-35033.024981250004</v>
      </c>
      <c r="I114" s="13">
        <f t="shared" si="30"/>
        <v>-36787.5814951875</v>
      </c>
      <c r="J114" s="13">
        <f t="shared" si="30"/>
        <v>-33391.321389129371</v>
      </c>
      <c r="K114" s="13">
        <f t="shared" si="30"/>
        <v>-34139.081676651018</v>
      </c>
      <c r="L114" s="13">
        <f t="shared" si="30"/>
        <v>-16660.150940049596</v>
      </c>
      <c r="M114" s="13">
        <f t="shared" si="30"/>
        <v>-16940.530224654074</v>
      </c>
      <c r="N114" s="13">
        <f t="shared" si="30"/>
        <v>-9711.2233948729336</v>
      </c>
      <c r="O114" s="13">
        <f t="shared" si="30"/>
        <v>-7250.0115004115178</v>
      </c>
      <c r="P114" s="13">
        <f t="shared" si="30"/>
        <v>-402.54753544853156</v>
      </c>
      <c r="Q114" s="13">
        <f t="shared" si="30"/>
        <v>6782.7280813610778</v>
      </c>
      <c r="R114" s="13">
        <f t="shared" si="30"/>
        <v>11941.193275533584</v>
      </c>
      <c r="S114" s="13">
        <f t="shared" si="30"/>
        <v>3849.8003021870827</v>
      </c>
      <c r="T114" s="13">
        <f t="shared" si="30"/>
        <v>5482.7509501951099</v>
      </c>
      <c r="U114" s="13">
        <f t="shared" si="30"/>
        <v>5679.4212151481806</v>
      </c>
      <c r="V114" s="13">
        <f t="shared" si="30"/>
        <v>6988.4084843300552</v>
      </c>
      <c r="W114" s="13">
        <f t="shared" si="30"/>
        <v>13558.803788532894</v>
      </c>
      <c r="X114" s="13">
        <f t="shared" si="30"/>
        <v>21052.6018263324</v>
      </c>
      <c r="Y114" s="13">
        <f t="shared" si="30"/>
        <v>13926.326858438721</v>
      </c>
      <c r="Z114" s="13">
        <f t="shared" si="30"/>
        <v>16746.176478154044</v>
      </c>
    </row>
    <row r="115" spans="3:26" x14ac:dyDescent="0.25">
      <c r="C115" s="5" t="s">
        <v>130</v>
      </c>
      <c r="G115" s="13">
        <f>G46</f>
        <v>-26355.75</v>
      </c>
      <c r="H115" s="13">
        <f t="shared" ref="H115:Z115" si="31">G115+H46</f>
        <v>-55973.4</v>
      </c>
      <c r="I115" s="13">
        <f t="shared" si="31"/>
        <v>-84252.853124999994</v>
      </c>
      <c r="J115" s="13">
        <f t="shared" si="31"/>
        <v>-106113.98812499999</v>
      </c>
      <c r="K115" s="13">
        <f t="shared" si="31"/>
        <v>-125814.87562499999</v>
      </c>
      <c r="L115" s="13">
        <f t="shared" si="31"/>
        <v>-125849.30562499998</v>
      </c>
      <c r="M115" s="13">
        <f t="shared" si="31"/>
        <v>-124717.19562499998</v>
      </c>
      <c r="N115" s="13">
        <f t="shared" si="31"/>
        <v>-115208.09562499997</v>
      </c>
      <c r="O115" s="13">
        <f t="shared" si="31"/>
        <v>-102507.39562499998</v>
      </c>
      <c r="P115" s="13">
        <f t="shared" si="31"/>
        <v>-82629.695624999964</v>
      </c>
      <c r="Q115" s="13">
        <f t="shared" si="31"/>
        <v>-55841.464624999971</v>
      </c>
      <c r="R115" s="13">
        <f t="shared" si="31"/>
        <v>-24701.061694999975</v>
      </c>
      <c r="S115" s="13">
        <f t="shared" si="31"/>
        <v>-2332.0466770999992</v>
      </c>
      <c r="T115" s="13">
        <f t="shared" si="31"/>
        <v>21268.038791337</v>
      </c>
      <c r="U115" s="13">
        <f t="shared" si="31"/>
        <v>44584.126823827122</v>
      </c>
      <c r="V115" s="13">
        <f t="shared" si="31"/>
        <v>68663.697497291927</v>
      </c>
      <c r="W115" s="13">
        <f t="shared" si="31"/>
        <v>98428.855290960681</v>
      </c>
      <c r="X115" s="13">
        <f t="shared" si="31"/>
        <v>134197.36781843952</v>
      </c>
      <c r="Y115" s="13">
        <f t="shared" si="31"/>
        <v>161333.33572174268</v>
      </c>
      <c r="Z115" s="13">
        <f t="shared" si="31"/>
        <v>189968.32774222846</v>
      </c>
    </row>
    <row r="117" spans="3:26" x14ac:dyDescent="0.25">
      <c r="C117" s="10" t="s">
        <v>131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3:26" x14ac:dyDescent="0.25">
      <c r="C118" s="5" t="s">
        <v>132</v>
      </c>
      <c r="H118" s="47">
        <f t="shared" ref="H118:Z118" si="32">H15-H11*H12</f>
        <v>0</v>
      </c>
      <c r="I118" s="47">
        <f t="shared" si="32"/>
        <v>0</v>
      </c>
      <c r="J118" s="47">
        <f t="shared" si="32"/>
        <v>0</v>
      </c>
      <c r="K118" s="47">
        <f t="shared" si="32"/>
        <v>0</v>
      </c>
      <c r="L118" s="47">
        <f t="shared" si="32"/>
        <v>0</v>
      </c>
      <c r="M118" s="47">
        <f t="shared" si="32"/>
        <v>0</v>
      </c>
      <c r="N118" s="47">
        <f t="shared" si="32"/>
        <v>0</v>
      </c>
      <c r="O118" s="47">
        <f t="shared" si="32"/>
        <v>0</v>
      </c>
      <c r="P118" s="47">
        <f t="shared" si="32"/>
        <v>0</v>
      </c>
      <c r="Q118" s="47">
        <f t="shared" si="32"/>
        <v>0</v>
      </c>
      <c r="R118" s="47">
        <f t="shared" si="32"/>
        <v>0</v>
      </c>
      <c r="S118" s="47">
        <f t="shared" si="32"/>
        <v>0</v>
      </c>
      <c r="T118" s="47">
        <f t="shared" si="32"/>
        <v>0</v>
      </c>
      <c r="U118" s="47">
        <f t="shared" si="32"/>
        <v>0</v>
      </c>
      <c r="V118" s="47">
        <f t="shared" si="32"/>
        <v>0</v>
      </c>
      <c r="W118" s="47">
        <f t="shared" si="32"/>
        <v>0</v>
      </c>
      <c r="X118" s="47">
        <f t="shared" si="32"/>
        <v>0</v>
      </c>
      <c r="Y118" s="47">
        <f t="shared" si="32"/>
        <v>0</v>
      </c>
      <c r="Z118" s="47">
        <f t="shared" si="32"/>
        <v>0</v>
      </c>
    </row>
    <row r="119" spans="3:26" x14ac:dyDescent="0.25">
      <c r="C119" s="5" t="s">
        <v>133</v>
      </c>
      <c r="E119" s="47">
        <f t="shared" ref="E119:Z119" si="33">E27-(E23-E26)</f>
        <v>0</v>
      </c>
      <c r="F119" s="47">
        <f t="shared" si="33"/>
        <v>0</v>
      </c>
      <c r="G119" s="47">
        <f t="shared" si="33"/>
        <v>0</v>
      </c>
      <c r="H119" s="47">
        <f t="shared" si="33"/>
        <v>0</v>
      </c>
      <c r="I119" s="47">
        <f t="shared" si="33"/>
        <v>0</v>
      </c>
      <c r="J119" s="47">
        <f t="shared" si="33"/>
        <v>0</v>
      </c>
      <c r="K119" s="47">
        <f t="shared" si="33"/>
        <v>0</v>
      </c>
      <c r="L119" s="47">
        <f t="shared" si="33"/>
        <v>0</v>
      </c>
      <c r="M119" s="47">
        <f t="shared" si="33"/>
        <v>0</v>
      </c>
      <c r="N119" s="47">
        <f t="shared" si="33"/>
        <v>0</v>
      </c>
      <c r="O119" s="47">
        <f t="shared" si="33"/>
        <v>0</v>
      </c>
      <c r="P119" s="47">
        <f t="shared" si="33"/>
        <v>0</v>
      </c>
      <c r="Q119" s="47">
        <f t="shared" si="33"/>
        <v>0</v>
      </c>
      <c r="R119" s="47">
        <f t="shared" si="33"/>
        <v>0</v>
      </c>
      <c r="S119" s="47">
        <f t="shared" si="33"/>
        <v>0</v>
      </c>
      <c r="T119" s="47">
        <f t="shared" si="33"/>
        <v>0</v>
      </c>
      <c r="U119" s="47">
        <f t="shared" si="33"/>
        <v>0</v>
      </c>
      <c r="V119" s="47">
        <f t="shared" si="33"/>
        <v>0</v>
      </c>
      <c r="W119" s="47">
        <f t="shared" si="33"/>
        <v>0</v>
      </c>
      <c r="X119" s="47">
        <f t="shared" si="33"/>
        <v>0</v>
      </c>
      <c r="Y119" s="47">
        <f t="shared" si="33"/>
        <v>0</v>
      </c>
      <c r="Z119" s="47">
        <f t="shared" si="33"/>
        <v>0</v>
      </c>
    </row>
    <row r="120" spans="3:26" x14ac:dyDescent="0.25">
      <c r="C120" s="5" t="s">
        <v>134</v>
      </c>
      <c r="G120" s="47">
        <f>IF(G27&lt;'Assumptions &amp; sources'!$D$30,G27-'Assumptions &amp; sources'!$D$30,IF(G27&gt;'Assumptions &amp; sources'!$D$31,G27-'Assumptions &amp; sources'!$D$31,0))</f>
        <v>0</v>
      </c>
    </row>
    <row r="121" spans="3:26" x14ac:dyDescent="0.25">
      <c r="C121" s="5" t="s">
        <v>135</v>
      </c>
      <c r="G121" s="18">
        <f>G42/G40-1</f>
        <v>-1.8918918918918948E-2</v>
      </c>
    </row>
    <row r="122" spans="3:26" x14ac:dyDescent="0.25">
      <c r="C122" s="5" t="s">
        <v>136</v>
      </c>
      <c r="E122" s="47">
        <f t="shared" ref="E122:Z122" si="34">IF(E12&lt;10,E12-10,IF(E12&gt;20,E12-20,0))</f>
        <v>0</v>
      </c>
      <c r="F122" s="47">
        <f t="shared" si="34"/>
        <v>0</v>
      </c>
      <c r="G122" s="47">
        <f t="shared" si="34"/>
        <v>0</v>
      </c>
      <c r="H122" s="47">
        <f t="shared" si="34"/>
        <v>0</v>
      </c>
      <c r="I122" s="47">
        <f t="shared" si="34"/>
        <v>0</v>
      </c>
      <c r="J122" s="47">
        <f t="shared" si="34"/>
        <v>0</v>
      </c>
      <c r="K122" s="47">
        <f t="shared" si="34"/>
        <v>0</v>
      </c>
      <c r="L122" s="47">
        <f t="shared" si="34"/>
        <v>0</v>
      </c>
      <c r="M122" s="47">
        <f t="shared" si="34"/>
        <v>0</v>
      </c>
      <c r="N122" s="47">
        <f t="shared" si="34"/>
        <v>0</v>
      </c>
      <c r="O122" s="47">
        <f t="shared" si="34"/>
        <v>0</v>
      </c>
      <c r="P122" s="47">
        <f t="shared" si="34"/>
        <v>0</v>
      </c>
      <c r="Q122" s="47">
        <f t="shared" si="34"/>
        <v>0</v>
      </c>
      <c r="R122" s="47">
        <f t="shared" si="34"/>
        <v>0</v>
      </c>
      <c r="S122" s="47">
        <f t="shared" si="34"/>
        <v>0</v>
      </c>
      <c r="T122" s="47">
        <f t="shared" si="34"/>
        <v>0</v>
      </c>
      <c r="U122" s="47">
        <f t="shared" si="34"/>
        <v>0</v>
      </c>
      <c r="V122" s="47">
        <f t="shared" si="34"/>
        <v>0</v>
      </c>
      <c r="W122" s="47">
        <f t="shared" si="34"/>
        <v>0</v>
      </c>
      <c r="X122" s="47">
        <f t="shared" si="34"/>
        <v>0</v>
      </c>
      <c r="Y122" s="47">
        <f t="shared" si="34"/>
        <v>0</v>
      </c>
      <c r="Z122" s="47">
        <f t="shared" si="34"/>
        <v>0</v>
      </c>
    </row>
    <row r="123" spans="3:26" x14ac:dyDescent="0.25">
      <c r="C123" s="5" t="s">
        <v>137</v>
      </c>
      <c r="G123" s="47">
        <f t="shared" ref="G123:Z123" si="35">IF(G43&lt;25,G43-25,IF(G43&gt;60,G43-60,0))</f>
        <v>0</v>
      </c>
      <c r="H123" s="47">
        <f t="shared" si="35"/>
        <v>0</v>
      </c>
      <c r="I123" s="47">
        <f t="shared" si="35"/>
        <v>0</v>
      </c>
      <c r="J123" s="47">
        <f t="shared" si="35"/>
        <v>0</v>
      </c>
      <c r="K123" s="47">
        <f t="shared" si="35"/>
        <v>0</v>
      </c>
      <c r="L123" s="47">
        <f t="shared" si="35"/>
        <v>0</v>
      </c>
      <c r="M123" s="47">
        <f t="shared" si="35"/>
        <v>0</v>
      </c>
      <c r="N123" s="47">
        <f t="shared" si="35"/>
        <v>0</v>
      </c>
      <c r="O123" s="47">
        <f t="shared" si="35"/>
        <v>0</v>
      </c>
      <c r="P123" s="47">
        <f t="shared" si="35"/>
        <v>0</v>
      </c>
      <c r="Q123" s="47">
        <f t="shared" si="35"/>
        <v>0</v>
      </c>
      <c r="R123" s="47">
        <f t="shared" si="35"/>
        <v>0</v>
      </c>
      <c r="S123" s="47">
        <f t="shared" si="35"/>
        <v>0</v>
      </c>
      <c r="T123" s="47">
        <f t="shared" si="35"/>
        <v>0</v>
      </c>
      <c r="U123" s="47">
        <f t="shared" si="35"/>
        <v>0</v>
      </c>
      <c r="V123" s="47">
        <f t="shared" si="35"/>
        <v>0</v>
      </c>
      <c r="W123" s="47">
        <f t="shared" si="35"/>
        <v>0</v>
      </c>
      <c r="X123" s="47">
        <f t="shared" si="35"/>
        <v>0</v>
      </c>
      <c r="Y123" s="47">
        <f t="shared" si="35"/>
        <v>0</v>
      </c>
      <c r="Z123" s="47">
        <f t="shared" si="35"/>
        <v>0</v>
      </c>
    </row>
    <row r="124" spans="3:26" x14ac:dyDescent="0.25">
      <c r="C124" s="5" t="s">
        <v>138</v>
      </c>
      <c r="G124" s="44">
        <f>(G15-'Assumptions &amp; sources'!$D$36+H15+I15/2)/(0.41*'Assumptions &amp; sources'!G20)</f>
        <v>1.3451266552202648</v>
      </c>
    </row>
    <row r="125" spans="3:26" x14ac:dyDescent="0.25">
      <c r="C125" s="5" t="s">
        <v>139</v>
      </c>
      <c r="G125" s="44">
        <f>(I15/2+J15+K15/2)/(0.39*'Assumptions &amp; sources'!G20)</f>
        <v>3.2474408426674577</v>
      </c>
    </row>
    <row r="126" spans="3:26" x14ac:dyDescent="0.25">
      <c r="C126" s="5" t="s">
        <v>140</v>
      </c>
      <c r="G126" s="44">
        <f>MAX(G107:K107)</f>
        <v>6.1633163213315223</v>
      </c>
    </row>
    <row r="127" spans="3:26" x14ac:dyDescent="0.25">
      <c r="C127" s="5" t="s">
        <v>141</v>
      </c>
      <c r="G127" s="47">
        <f>SUM(G9:K9)-(8000-F8)</f>
        <v>0</v>
      </c>
    </row>
    <row r="128" spans="3:26" x14ac:dyDescent="0.25">
      <c r="C128" s="5" t="s">
        <v>142</v>
      </c>
      <c r="D128" s="48">
        <f>D73-(D72-D64)</f>
        <v>0</v>
      </c>
    </row>
    <row r="129" spans="3:26" x14ac:dyDescent="0.25">
      <c r="C129" s="5" t="s">
        <v>143</v>
      </c>
      <c r="D129" s="48">
        <f>I62-D74</f>
        <v>0</v>
      </c>
    </row>
    <row r="130" spans="3:26" x14ac:dyDescent="0.25">
      <c r="C130" s="5" t="s">
        <v>144</v>
      </c>
      <c r="K130" s="18">
        <f>MIN(0,K28-0.25)</f>
        <v>-2.8921933085501866E-2</v>
      </c>
    </row>
    <row r="132" spans="3:26" x14ac:dyDescent="0.25">
      <c r="C132" s="10" t="s">
        <v>145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3:26" x14ac:dyDescent="0.25">
      <c r="C133" s="5" t="s">
        <v>146</v>
      </c>
      <c r="E133" s="13">
        <f t="shared" ref="E133:K133" si="36">E15</f>
        <v>1915</v>
      </c>
      <c r="F133" s="13">
        <f t="shared" si="36"/>
        <v>5131</v>
      </c>
      <c r="G133" s="13">
        <f t="shared" si="36"/>
        <v>12800</v>
      </c>
      <c r="H133" s="13">
        <f t="shared" si="36"/>
        <v>26700</v>
      </c>
      <c r="I133" s="13">
        <f t="shared" si="36"/>
        <v>44687.5</v>
      </c>
      <c r="J133" s="13">
        <f t="shared" si="36"/>
        <v>65280</v>
      </c>
      <c r="K133" s="13">
        <f t="shared" si="36"/>
        <v>87425</v>
      </c>
    </row>
    <row r="134" spans="3:26" x14ac:dyDescent="0.25">
      <c r="C134" s="5" t="s">
        <v>28</v>
      </c>
      <c r="E134" s="13">
        <f t="shared" ref="E134:K134" si="37">E8</f>
        <v>360</v>
      </c>
      <c r="F134" s="13">
        <f t="shared" si="37"/>
        <v>850</v>
      </c>
      <c r="G134" s="13">
        <f t="shared" si="37"/>
        <v>1900</v>
      </c>
      <c r="H134" s="13">
        <f t="shared" si="37"/>
        <v>3200</v>
      </c>
      <c r="I134" s="13">
        <f t="shared" si="37"/>
        <v>4700</v>
      </c>
      <c r="J134" s="13">
        <f t="shared" si="37"/>
        <v>6300</v>
      </c>
      <c r="K134" s="13">
        <f t="shared" si="37"/>
        <v>8000</v>
      </c>
    </row>
    <row r="135" spans="3:26" x14ac:dyDescent="0.25">
      <c r="C135" s="5" t="s">
        <v>147</v>
      </c>
      <c r="E135" s="14">
        <f t="shared" ref="E135:K135" si="38">E12</f>
        <v>13.43859649122807</v>
      </c>
      <c r="F135" s="14">
        <f t="shared" si="38"/>
        <v>10.63419689119171</v>
      </c>
      <c r="G135" s="14">
        <f t="shared" si="38"/>
        <v>11.387900355871887</v>
      </c>
      <c r="H135" s="14">
        <f t="shared" si="38"/>
        <v>12</v>
      </c>
      <c r="I135" s="14">
        <f t="shared" si="38"/>
        <v>12.5</v>
      </c>
      <c r="J135" s="14">
        <f t="shared" si="38"/>
        <v>12.8</v>
      </c>
      <c r="K135" s="14">
        <f t="shared" si="38"/>
        <v>13</v>
      </c>
    </row>
    <row r="136" spans="3:26" x14ac:dyDescent="0.25">
      <c r="C136" s="5" t="s">
        <v>41</v>
      </c>
      <c r="E136" s="18">
        <f t="shared" ref="E136:K137" si="39">E22</f>
        <v>0.6402088772845953</v>
      </c>
      <c r="F136" s="18">
        <f t="shared" si="39"/>
        <v>0.60378093938803357</v>
      </c>
      <c r="G136" s="18">
        <f t="shared" si="39"/>
        <v>0.57499999999999996</v>
      </c>
      <c r="H136" s="18">
        <f t="shared" si="39"/>
        <v>0.62</v>
      </c>
      <c r="I136" s="18">
        <f t="shared" si="39"/>
        <v>0.64</v>
      </c>
      <c r="J136" s="18">
        <f t="shared" si="39"/>
        <v>0.64</v>
      </c>
      <c r="K136" s="18">
        <f t="shared" si="39"/>
        <v>0.63</v>
      </c>
    </row>
    <row r="137" spans="3:26" x14ac:dyDescent="0.25">
      <c r="C137" s="5" t="s">
        <v>148</v>
      </c>
      <c r="E137" s="13">
        <f t="shared" si="39"/>
        <v>1226</v>
      </c>
      <c r="F137" s="13">
        <f t="shared" si="39"/>
        <v>3098.0000000000005</v>
      </c>
      <c r="G137" s="13">
        <f t="shared" si="39"/>
        <v>7359.9999999999991</v>
      </c>
      <c r="H137" s="13">
        <f t="shared" si="39"/>
        <v>16554</v>
      </c>
      <c r="I137" s="13">
        <f t="shared" si="39"/>
        <v>28600</v>
      </c>
      <c r="J137" s="13">
        <f t="shared" si="39"/>
        <v>41779.200000000004</v>
      </c>
      <c r="K137" s="13">
        <f t="shared" si="39"/>
        <v>55077.75</v>
      </c>
    </row>
    <row r="138" spans="3:26" x14ac:dyDescent="0.25">
      <c r="C138" s="5" t="s">
        <v>149</v>
      </c>
      <c r="E138" s="18">
        <f t="shared" ref="E138:K138" si="40">E28</f>
        <v>0.18955613577023497</v>
      </c>
      <c r="F138" s="18">
        <f t="shared" si="40"/>
        <v>0.12551159618008195</v>
      </c>
      <c r="G138" s="18">
        <f t="shared" si="40"/>
        <v>8.0859374999999997E-2</v>
      </c>
      <c r="H138" s="18">
        <f t="shared" si="40"/>
        <v>0.16157303370786516</v>
      </c>
      <c r="I138" s="18">
        <f t="shared" si="40"/>
        <v>0.19804195804195804</v>
      </c>
      <c r="J138" s="18">
        <f t="shared" si="40"/>
        <v>0.21873774509803928</v>
      </c>
      <c r="K138" s="18">
        <f t="shared" si="40"/>
        <v>0.22107806691449813</v>
      </c>
    </row>
    <row r="139" spans="3:26" x14ac:dyDescent="0.25">
      <c r="C139" s="5" t="s">
        <v>150</v>
      </c>
      <c r="E139" s="13">
        <f t="shared" ref="E139:K139" si="41">-E40</f>
        <v>8702</v>
      </c>
      <c r="F139" s="13">
        <f t="shared" si="41"/>
        <v>10309</v>
      </c>
      <c r="G139" s="13">
        <f t="shared" si="41"/>
        <v>37000</v>
      </c>
      <c r="H139" s="13">
        <f t="shared" si="41"/>
        <v>50920</v>
      </c>
      <c r="I139" s="13">
        <f t="shared" si="41"/>
        <v>60800</v>
      </c>
      <c r="J139" s="13">
        <f t="shared" si="41"/>
        <v>67040</v>
      </c>
      <c r="K139" s="13">
        <f t="shared" si="41"/>
        <v>74880</v>
      </c>
    </row>
    <row r="140" spans="3:26" x14ac:dyDescent="0.25">
      <c r="C140" s="5" t="s">
        <v>151</v>
      </c>
      <c r="G140" s="13">
        <f>G46</f>
        <v>-26355.75</v>
      </c>
      <c r="H140" s="13">
        <f>H46</f>
        <v>-29617.65</v>
      </c>
      <c r="I140" s="13">
        <f>I46</f>
        <v>-28279.453125</v>
      </c>
      <c r="J140" s="13">
        <f>J46</f>
        <v>-21861.134999999995</v>
      </c>
      <c r="K140" s="13">
        <f>K46</f>
        <v>-19700.887500000001</v>
      </c>
    </row>
    <row r="141" spans="3:26" x14ac:dyDescent="0.25">
      <c r="C141" s="5" t="s">
        <v>152</v>
      </c>
      <c r="E141" s="13">
        <f>'Assumptions &amp; sources'!E12</f>
        <v>-863</v>
      </c>
      <c r="F141" s="13">
        <f>'Assumptions &amp; sources'!F12</f>
        <v>-1167</v>
      </c>
      <c r="G141" s="13">
        <f>G108</f>
        <v>-1973.2581249999998</v>
      </c>
      <c r="H141" s="13">
        <f>H108</f>
        <v>-1101.37498125</v>
      </c>
      <c r="I141" s="13">
        <f>I108</f>
        <v>324.77804832187502</v>
      </c>
      <c r="J141" s="13">
        <f>J108</f>
        <v>2474.1122497835672</v>
      </c>
      <c r="K141" s="13">
        <f>K108</f>
        <v>4156.1224498466354</v>
      </c>
    </row>
    <row r="142" spans="3:26" x14ac:dyDescent="0.25">
      <c r="C142" s="20" t="s">
        <v>153</v>
      </c>
      <c r="E142" s="45">
        <f>'Assumptions &amp; sources'!E13</f>
        <v>-4.3</v>
      </c>
      <c r="F142" s="45">
        <f>'Assumptions &amp; sources'!F13</f>
        <v>-2.81</v>
      </c>
      <c r="G142" s="45">
        <f>G112</f>
        <v>-3.2702322257209149</v>
      </c>
      <c r="H142" s="45">
        <f>H112</f>
        <v>-1.8252817057507458</v>
      </c>
      <c r="I142" s="45">
        <f>I112</f>
        <v>0.53824668266800635</v>
      </c>
      <c r="J142" s="45">
        <f>J112</f>
        <v>4.1002854653357099</v>
      </c>
      <c r="K142" s="45">
        <f>K112</f>
        <v>6.887839658347092</v>
      </c>
    </row>
    <row r="143" spans="3:26" x14ac:dyDescent="0.25">
      <c r="C143" s="5" t="s">
        <v>154</v>
      </c>
      <c r="G143" s="12">
        <f>'Assumptions &amp; sources'!G9</f>
        <v>12770.37</v>
      </c>
      <c r="H143" s="12">
        <f>'Assumptions &amp; sources'!H9</f>
        <v>26439.52</v>
      </c>
      <c r="I143" s="12">
        <f>'Assumptions &amp; sources'!I9</f>
        <v>42212.08</v>
      </c>
    </row>
    <row r="144" spans="3:26" x14ac:dyDescent="0.25">
      <c r="C144" s="5" t="s">
        <v>155</v>
      </c>
      <c r="G144" s="46">
        <f>'Assumptions &amp; sources'!G13</f>
        <v>-3.92</v>
      </c>
      <c r="H144" s="46">
        <f>'Assumptions &amp; sources'!H13</f>
        <v>-2.09</v>
      </c>
      <c r="I144" s="46">
        <f>'Assumptions &amp; sources'!I13</f>
        <v>1.431</v>
      </c>
    </row>
    <row r="145" spans="3:11" x14ac:dyDescent="0.25">
      <c r="C145" s="5" t="s">
        <v>156</v>
      </c>
      <c r="G145" s="18">
        <f>G133/G143-1</f>
        <v>2.320214684460975E-3</v>
      </c>
      <c r="H145" s="18">
        <f>H133/H143-1</f>
        <v>9.8519186430010564E-3</v>
      </c>
      <c r="I145" s="18">
        <f>I133/I143-1</f>
        <v>5.864245495602205E-2</v>
      </c>
    </row>
    <row r="146" spans="3:11" x14ac:dyDescent="0.25">
      <c r="C146" s="5" t="s">
        <v>157</v>
      </c>
      <c r="F146" s="44">
        <f t="shared" ref="F146:K146" si="42">$D$77/F23</f>
        <v>23.795545513234345</v>
      </c>
      <c r="G146" s="44">
        <f t="shared" si="42"/>
        <v>10.016114130434785</v>
      </c>
      <c r="H146" s="44">
        <f t="shared" si="42"/>
        <v>4.4532197656155619</v>
      </c>
      <c r="I146" s="44">
        <f t="shared" si="42"/>
        <v>2.5775734265734269</v>
      </c>
      <c r="J146" s="44">
        <f t="shared" si="42"/>
        <v>1.7644808900122548</v>
      </c>
      <c r="K146" s="44">
        <f t="shared" si="42"/>
        <v>1.3384461057323511</v>
      </c>
    </row>
    <row r="148" spans="3:11" x14ac:dyDescent="0.25">
      <c r="C148" s="3" t="s">
        <v>158</v>
      </c>
    </row>
    <row r="149" spans="3:11" x14ac:dyDescent="0.25">
      <c r="C149" s="3" t="s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AB90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.28515625" customWidth="1"/>
    <col min="3" max="3" width="60" customWidth="1"/>
    <col min="4" max="26" width="12.42578125" customWidth="1"/>
    <col min="28" max="28" width="70" customWidth="1"/>
    <col min="29" max="29" width="12.42578125" customWidth="1"/>
  </cols>
  <sheetData>
    <row r="2" spans="3:12" ht="20.25" x14ac:dyDescent="0.3">
      <c r="C2" s="1" t="s">
        <v>160</v>
      </c>
    </row>
    <row r="3" spans="3:12" x14ac:dyDescent="0.25">
      <c r="C3" s="2" t="s">
        <v>161</v>
      </c>
    </row>
    <row r="4" spans="3:12" x14ac:dyDescent="0.25">
      <c r="C4" s="3" t="s">
        <v>162</v>
      </c>
    </row>
    <row r="5" spans="3:12" x14ac:dyDescent="0.25">
      <c r="D5" s="49">
        <v>2023</v>
      </c>
      <c r="E5" s="49">
        <v>2024</v>
      </c>
      <c r="F5" s="49">
        <v>2025</v>
      </c>
      <c r="G5" s="49">
        <v>2026</v>
      </c>
      <c r="H5" s="49">
        <v>2027</v>
      </c>
      <c r="I5" s="49">
        <v>2028</v>
      </c>
    </row>
    <row r="6" spans="3:12" x14ac:dyDescent="0.25">
      <c r="L6" s="3" t="s">
        <v>163</v>
      </c>
    </row>
    <row r="8" spans="3:12" x14ac:dyDescent="0.25">
      <c r="C8" s="10" t="s">
        <v>164</v>
      </c>
    </row>
    <row r="9" spans="3:12" x14ac:dyDescent="0.25">
      <c r="C9" s="5" t="s">
        <v>165</v>
      </c>
      <c r="D9" s="50">
        <v>229</v>
      </c>
      <c r="E9" s="50">
        <v>1915</v>
      </c>
      <c r="F9" s="50">
        <v>5131</v>
      </c>
      <c r="G9" s="50">
        <v>12770.37</v>
      </c>
      <c r="H9" s="50">
        <v>26439.52</v>
      </c>
      <c r="I9" s="50">
        <v>42212.08</v>
      </c>
      <c r="L9" s="3" t="s">
        <v>166</v>
      </c>
    </row>
    <row r="10" spans="3:12" x14ac:dyDescent="0.25">
      <c r="C10" s="5" t="s">
        <v>167</v>
      </c>
      <c r="E10" s="50">
        <v>1226</v>
      </c>
      <c r="F10" s="50">
        <v>3098</v>
      </c>
      <c r="G10" s="50">
        <v>7482.66</v>
      </c>
      <c r="H10" s="50">
        <v>16630.37</v>
      </c>
      <c r="I10" s="50">
        <v>27896.76</v>
      </c>
      <c r="L10" s="3" t="s">
        <v>168</v>
      </c>
    </row>
    <row r="11" spans="3:12" x14ac:dyDescent="0.25">
      <c r="C11" s="5" t="s">
        <v>169</v>
      </c>
      <c r="G11" s="50">
        <v>1004.25</v>
      </c>
      <c r="H11" s="50">
        <v>4113.1000000000004</v>
      </c>
      <c r="I11" s="50">
        <v>7363.56</v>
      </c>
      <c r="L11" s="3" t="s">
        <v>170</v>
      </c>
    </row>
    <row r="12" spans="3:12" x14ac:dyDescent="0.25">
      <c r="C12" s="5" t="s">
        <v>171</v>
      </c>
      <c r="D12" s="50">
        <v>-594</v>
      </c>
      <c r="E12" s="50">
        <v>-863</v>
      </c>
      <c r="F12" s="50">
        <v>-1167</v>
      </c>
      <c r="G12" s="50">
        <v>-2197.83</v>
      </c>
      <c r="H12" s="50">
        <v>-1132.69</v>
      </c>
      <c r="I12" s="50">
        <v>974.96</v>
      </c>
      <c r="L12" s="3" t="s">
        <v>172</v>
      </c>
    </row>
    <row r="13" spans="3:12" x14ac:dyDescent="0.25">
      <c r="C13" s="5" t="s">
        <v>173</v>
      </c>
      <c r="D13" s="51">
        <v>-3.09</v>
      </c>
      <c r="E13" s="51">
        <v>-4.3</v>
      </c>
      <c r="F13" s="51">
        <v>-2.81</v>
      </c>
      <c r="G13" s="51">
        <v>-3.92</v>
      </c>
      <c r="H13" s="51">
        <v>-2.09</v>
      </c>
      <c r="I13" s="51">
        <v>1.431</v>
      </c>
      <c r="L13" s="3" t="s">
        <v>174</v>
      </c>
    </row>
    <row r="14" spans="3:12" x14ac:dyDescent="0.25">
      <c r="C14" s="5" t="s">
        <v>175</v>
      </c>
      <c r="D14" s="50">
        <v>103</v>
      </c>
      <c r="E14" s="50">
        <v>863</v>
      </c>
      <c r="F14" s="50">
        <v>2454</v>
      </c>
      <c r="G14" s="50">
        <v>2540</v>
      </c>
      <c r="L14" s="3" t="s">
        <v>176</v>
      </c>
    </row>
    <row r="15" spans="3:12" x14ac:dyDescent="0.25">
      <c r="C15" s="5" t="s">
        <v>177</v>
      </c>
      <c r="D15" s="50">
        <v>15</v>
      </c>
      <c r="E15" s="50">
        <v>31</v>
      </c>
      <c r="F15" s="50">
        <v>630</v>
      </c>
      <c r="G15" s="50">
        <v>318</v>
      </c>
      <c r="L15" s="3" t="s">
        <v>178</v>
      </c>
    </row>
    <row r="16" spans="3:12" x14ac:dyDescent="0.25">
      <c r="C16" s="5" t="s">
        <v>179</v>
      </c>
      <c r="D16" s="50">
        <v>2943</v>
      </c>
      <c r="E16" s="50">
        <v>8702</v>
      </c>
      <c r="F16" s="50">
        <v>10309</v>
      </c>
      <c r="G16" s="50">
        <v>35670.67</v>
      </c>
      <c r="H16" s="50">
        <v>47897.41</v>
      </c>
      <c r="I16" s="50">
        <v>50387.97</v>
      </c>
      <c r="L16" s="3" t="s">
        <v>180</v>
      </c>
    </row>
    <row r="17" spans="3:12" x14ac:dyDescent="0.25">
      <c r="C17" s="5" t="s">
        <v>181</v>
      </c>
      <c r="D17" s="50">
        <v>28</v>
      </c>
      <c r="E17" s="50">
        <v>361</v>
      </c>
      <c r="F17" s="50">
        <v>1229</v>
      </c>
      <c r="G17" s="50">
        <v>1176</v>
      </c>
      <c r="L17" s="3" t="s">
        <v>182</v>
      </c>
    </row>
    <row r="18" spans="3:12" x14ac:dyDescent="0.25">
      <c r="C18" s="5" t="s">
        <v>183</v>
      </c>
      <c r="D18" s="50">
        <v>70</v>
      </c>
      <c r="E18" s="50">
        <v>360</v>
      </c>
      <c r="F18" s="50">
        <v>850</v>
      </c>
      <c r="G18" s="50">
        <v>1500</v>
      </c>
      <c r="L18" s="3" t="s">
        <v>184</v>
      </c>
    </row>
    <row r="19" spans="3:12" x14ac:dyDescent="0.25">
      <c r="C19" s="5" t="s">
        <v>185</v>
      </c>
      <c r="F19" s="50">
        <v>3100</v>
      </c>
      <c r="G19" s="50">
        <v>4200</v>
      </c>
      <c r="L19" s="3" t="s">
        <v>186</v>
      </c>
    </row>
    <row r="20" spans="3:12" x14ac:dyDescent="0.25">
      <c r="C20" s="5" t="s">
        <v>187</v>
      </c>
      <c r="F20" s="50">
        <v>60700</v>
      </c>
      <c r="G20" s="50">
        <v>103700</v>
      </c>
      <c r="L20" s="3" t="s">
        <v>188</v>
      </c>
    </row>
    <row r="21" spans="3:12" x14ac:dyDescent="0.25">
      <c r="C21" s="5" t="s">
        <v>189</v>
      </c>
      <c r="E21" s="50">
        <v>4064</v>
      </c>
      <c r="F21" s="50">
        <v>8185</v>
      </c>
      <c r="G21" s="50">
        <v>9692</v>
      </c>
      <c r="L21" s="3" t="s">
        <v>190</v>
      </c>
    </row>
    <row r="22" spans="3:12" x14ac:dyDescent="0.25">
      <c r="C22" s="5" t="s">
        <v>191</v>
      </c>
      <c r="E22" s="50">
        <v>417</v>
      </c>
      <c r="F22" s="50">
        <v>3169</v>
      </c>
      <c r="G22" s="50">
        <v>2541</v>
      </c>
      <c r="L22" s="3" t="s">
        <v>192</v>
      </c>
    </row>
    <row r="23" spans="3:12" x14ac:dyDescent="0.25">
      <c r="C23" s="5" t="s">
        <v>193</v>
      </c>
      <c r="E23" s="50">
        <v>1361</v>
      </c>
      <c r="F23" s="50">
        <v>3127</v>
      </c>
      <c r="G23" s="50">
        <v>5524</v>
      </c>
      <c r="L23" s="3" t="s">
        <v>194</v>
      </c>
    </row>
    <row r="24" spans="3:12" x14ac:dyDescent="0.25">
      <c r="C24" s="5" t="s">
        <v>195</v>
      </c>
      <c r="E24" s="50">
        <v>7926</v>
      </c>
      <c r="F24" s="50">
        <v>21615</v>
      </c>
      <c r="G24" s="50">
        <v>35551</v>
      </c>
      <c r="L24" s="3" t="s">
        <v>196</v>
      </c>
    </row>
    <row r="25" spans="3:12" x14ac:dyDescent="0.25">
      <c r="C25" s="5" t="s">
        <v>197</v>
      </c>
      <c r="E25" s="50">
        <v>2602</v>
      </c>
      <c r="F25" s="50">
        <v>8195</v>
      </c>
      <c r="G25" s="50">
        <v>16319</v>
      </c>
      <c r="L25" s="3" t="s">
        <v>198</v>
      </c>
    </row>
    <row r="27" spans="3:12" x14ac:dyDescent="0.25">
      <c r="C27" s="10" t="s">
        <v>199</v>
      </c>
    </row>
    <row r="28" spans="3:12" x14ac:dyDescent="0.25">
      <c r="C28" s="5" t="s">
        <v>200</v>
      </c>
      <c r="D28" s="52">
        <v>12400</v>
      </c>
      <c r="F28" s="3" t="s">
        <v>201</v>
      </c>
    </row>
    <row r="29" spans="3:12" x14ac:dyDescent="0.25">
      <c r="C29" s="5" t="s">
        <v>202</v>
      </c>
      <c r="D29" s="52">
        <v>13200</v>
      </c>
      <c r="F29" s="3" t="s">
        <v>203</v>
      </c>
    </row>
    <row r="30" spans="3:12" x14ac:dyDescent="0.25">
      <c r="C30" s="5" t="s">
        <v>204</v>
      </c>
      <c r="D30" s="52">
        <v>960</v>
      </c>
      <c r="F30" s="3" t="s">
        <v>205</v>
      </c>
    </row>
    <row r="31" spans="3:12" x14ac:dyDescent="0.25">
      <c r="C31" s="5" t="s">
        <v>206</v>
      </c>
      <c r="D31" s="52">
        <v>1150</v>
      </c>
      <c r="F31" s="3" t="s">
        <v>203</v>
      </c>
    </row>
    <row r="32" spans="3:12" x14ac:dyDescent="0.25">
      <c r="C32" s="5" t="s">
        <v>207</v>
      </c>
      <c r="D32" s="52">
        <v>35000</v>
      </c>
      <c r="F32" s="3" t="s">
        <v>208</v>
      </c>
    </row>
    <row r="33" spans="3:6" x14ac:dyDescent="0.25">
      <c r="C33" s="5" t="s">
        <v>209</v>
      </c>
      <c r="D33" s="52">
        <v>39000</v>
      </c>
      <c r="F33" s="3" t="s">
        <v>203</v>
      </c>
    </row>
    <row r="34" spans="3:6" x14ac:dyDescent="0.25">
      <c r="C34" s="5" t="s">
        <v>210</v>
      </c>
      <c r="D34" s="52">
        <v>1850</v>
      </c>
      <c r="F34" s="3" t="s">
        <v>211</v>
      </c>
    </row>
    <row r="35" spans="3:6" x14ac:dyDescent="0.25">
      <c r="C35" s="5" t="s">
        <v>212</v>
      </c>
      <c r="D35" s="52">
        <v>3525</v>
      </c>
      <c r="F35" s="3" t="s">
        <v>213</v>
      </c>
    </row>
    <row r="36" spans="3:6" x14ac:dyDescent="0.25">
      <c r="C36" s="5" t="s">
        <v>214</v>
      </c>
      <c r="D36" s="52">
        <v>4653</v>
      </c>
      <c r="F36" s="3" t="s">
        <v>215</v>
      </c>
    </row>
    <row r="37" spans="3:6" x14ac:dyDescent="0.25">
      <c r="C37" s="5" t="s">
        <v>216</v>
      </c>
      <c r="D37" s="52">
        <v>149</v>
      </c>
      <c r="F37" s="3" t="s">
        <v>217</v>
      </c>
    </row>
    <row r="38" spans="3:6" x14ac:dyDescent="0.25">
      <c r="C38" s="5" t="s">
        <v>218</v>
      </c>
      <c r="D38" s="53">
        <v>1124</v>
      </c>
      <c r="F38" s="3" t="s">
        <v>219</v>
      </c>
    </row>
    <row r="40" spans="3:6" x14ac:dyDescent="0.25">
      <c r="C40" s="10" t="s">
        <v>220</v>
      </c>
    </row>
    <row r="41" spans="3:6" x14ac:dyDescent="0.25">
      <c r="C41" s="5" t="s">
        <v>221</v>
      </c>
      <c r="D41" s="54">
        <v>11</v>
      </c>
      <c r="F41" s="3" t="s">
        <v>222</v>
      </c>
    </row>
    <row r="42" spans="3:6" x14ac:dyDescent="0.25">
      <c r="C42" s="5" t="s">
        <v>223</v>
      </c>
      <c r="D42" s="54">
        <v>15.5</v>
      </c>
      <c r="F42" s="3" t="s">
        <v>224</v>
      </c>
    </row>
    <row r="43" spans="3:6" x14ac:dyDescent="0.25">
      <c r="C43" s="5" t="s">
        <v>225</v>
      </c>
      <c r="D43" s="54">
        <v>13.2</v>
      </c>
      <c r="F43" s="3" t="s">
        <v>226</v>
      </c>
    </row>
    <row r="44" spans="3:6" x14ac:dyDescent="0.25">
      <c r="C44" s="5" t="s">
        <v>227</v>
      </c>
      <c r="D44" s="54">
        <v>40</v>
      </c>
      <c r="F44" s="3" t="s">
        <v>228</v>
      </c>
    </row>
    <row r="45" spans="3:6" x14ac:dyDescent="0.25">
      <c r="C45" s="5" t="s">
        <v>229</v>
      </c>
      <c r="D45" s="54">
        <v>2</v>
      </c>
      <c r="F45" s="3" t="s">
        <v>230</v>
      </c>
    </row>
    <row r="46" spans="3:6" x14ac:dyDescent="0.25">
      <c r="C46" s="5" t="s">
        <v>231</v>
      </c>
      <c r="D46" s="55">
        <v>0</v>
      </c>
      <c r="F46" s="3" t="s">
        <v>232</v>
      </c>
    </row>
    <row r="48" spans="3:6" x14ac:dyDescent="0.25">
      <c r="C48" s="10" t="s">
        <v>233</v>
      </c>
    </row>
    <row r="49" spans="3:6" x14ac:dyDescent="0.25">
      <c r="C49" s="5" t="s">
        <v>234</v>
      </c>
      <c r="D49" s="54">
        <v>35</v>
      </c>
      <c r="F49" s="3" t="s">
        <v>235</v>
      </c>
    </row>
    <row r="50" spans="3:6" x14ac:dyDescent="0.25">
      <c r="C50" s="5" t="s">
        <v>236</v>
      </c>
      <c r="D50" s="54">
        <v>40</v>
      </c>
      <c r="F50" s="3" t="s">
        <v>237</v>
      </c>
    </row>
    <row r="51" spans="3:6" x14ac:dyDescent="0.25">
      <c r="C51" s="5" t="s">
        <v>238</v>
      </c>
      <c r="D51" s="54">
        <v>34</v>
      </c>
      <c r="F51" s="3" t="s">
        <v>239</v>
      </c>
    </row>
    <row r="53" spans="3:6" x14ac:dyDescent="0.25">
      <c r="C53" s="10" t="s">
        <v>240</v>
      </c>
    </row>
    <row r="54" spans="3:6" x14ac:dyDescent="0.25">
      <c r="C54" s="5" t="s">
        <v>74</v>
      </c>
      <c r="D54" s="56">
        <v>46203</v>
      </c>
      <c r="F54" s="3" t="s">
        <v>241</v>
      </c>
    </row>
    <row r="55" spans="3:6" x14ac:dyDescent="0.25">
      <c r="C55" s="5" t="s">
        <v>76</v>
      </c>
      <c r="D55" s="57">
        <v>0.1</v>
      </c>
      <c r="F55" s="3" t="s">
        <v>242</v>
      </c>
    </row>
    <row r="56" spans="3:6" x14ac:dyDescent="0.25">
      <c r="C56" s="5" t="s">
        <v>243</v>
      </c>
      <c r="D56" s="57">
        <v>0.02</v>
      </c>
      <c r="F56" s="3" t="s">
        <v>244</v>
      </c>
    </row>
    <row r="57" spans="3:6" x14ac:dyDescent="0.25">
      <c r="C57" s="5" t="s">
        <v>78</v>
      </c>
      <c r="D57" s="58">
        <v>0.08</v>
      </c>
      <c r="F57" s="3" t="s">
        <v>245</v>
      </c>
    </row>
    <row r="58" spans="3:6" x14ac:dyDescent="0.25">
      <c r="C58" s="5" t="s">
        <v>246</v>
      </c>
      <c r="D58" s="54">
        <v>603.4</v>
      </c>
      <c r="F58" s="3" t="s">
        <v>247</v>
      </c>
    </row>
    <row r="59" spans="3:6" x14ac:dyDescent="0.25">
      <c r="C59" s="5" t="s">
        <v>248</v>
      </c>
      <c r="D59" s="54">
        <v>5539</v>
      </c>
      <c r="F59" s="3" t="s">
        <v>249</v>
      </c>
    </row>
    <row r="60" spans="3:6" x14ac:dyDescent="0.25">
      <c r="C60" s="5" t="s">
        <v>250</v>
      </c>
      <c r="D60" s="54">
        <v>35772</v>
      </c>
      <c r="F60" s="3" t="s">
        <v>251</v>
      </c>
    </row>
    <row r="61" spans="3:6" x14ac:dyDescent="0.25">
      <c r="C61" s="5" t="s">
        <v>252</v>
      </c>
      <c r="D61" s="59">
        <v>46203</v>
      </c>
      <c r="F61" s="3" t="s">
        <v>253</v>
      </c>
    </row>
    <row r="62" spans="3:6" x14ac:dyDescent="0.25">
      <c r="C62" s="5" t="s">
        <v>254</v>
      </c>
      <c r="D62" s="60">
        <v>77.81</v>
      </c>
      <c r="F62" s="3" t="s">
        <v>255</v>
      </c>
    </row>
    <row r="63" spans="3:6" x14ac:dyDescent="0.25">
      <c r="C63" s="5" t="s">
        <v>256</v>
      </c>
      <c r="D63" s="60">
        <v>139.77000000000001</v>
      </c>
      <c r="F63" s="3" t="s">
        <v>257</v>
      </c>
    </row>
    <row r="64" spans="3:6" x14ac:dyDescent="0.25">
      <c r="C64" s="5" t="s">
        <v>258</v>
      </c>
      <c r="D64" s="52">
        <v>43485.599999999999</v>
      </c>
      <c r="F64" s="3" t="s">
        <v>259</v>
      </c>
    </row>
    <row r="65" spans="3:28" x14ac:dyDescent="0.25">
      <c r="C65" s="5" t="s">
        <v>260</v>
      </c>
      <c r="D65" s="52">
        <v>18488</v>
      </c>
      <c r="F65" s="3" t="s">
        <v>261</v>
      </c>
    </row>
    <row r="66" spans="3:28" x14ac:dyDescent="0.25">
      <c r="C66" s="5" t="s">
        <v>262</v>
      </c>
      <c r="D66" s="52">
        <v>2490</v>
      </c>
      <c r="F66" s="3" t="s">
        <v>263</v>
      </c>
    </row>
    <row r="67" spans="3:28" x14ac:dyDescent="0.25">
      <c r="C67" s="5" t="s">
        <v>264</v>
      </c>
      <c r="D67" s="61">
        <v>0.25</v>
      </c>
      <c r="F67" s="3" t="s">
        <v>265</v>
      </c>
    </row>
    <row r="68" spans="3:28" x14ac:dyDescent="0.25">
      <c r="C68" s="5" t="s">
        <v>266</v>
      </c>
      <c r="D68" s="57">
        <v>0.2</v>
      </c>
      <c r="F68" s="3" t="s">
        <v>267</v>
      </c>
    </row>
    <row r="69" spans="3:28" x14ac:dyDescent="0.25">
      <c r="C69" s="5" t="s">
        <v>268</v>
      </c>
      <c r="D69" s="62">
        <f>'DCF Cover - Base'!F6</f>
        <v>6</v>
      </c>
      <c r="F69" s="3" t="s">
        <v>269</v>
      </c>
    </row>
    <row r="70" spans="3:28" x14ac:dyDescent="0.25">
      <c r="C70" s="5" t="s">
        <v>270</v>
      </c>
      <c r="D70" s="25">
        <f>'DCF Cover - Base'!G6</f>
        <v>0.8</v>
      </c>
      <c r="F70" s="3" t="s">
        <v>271</v>
      </c>
    </row>
    <row r="71" spans="3:28" x14ac:dyDescent="0.25">
      <c r="C71" s="5" t="s">
        <v>272</v>
      </c>
      <c r="D71" s="58">
        <v>0.03</v>
      </c>
      <c r="F71" s="3" t="s">
        <v>273</v>
      </c>
    </row>
    <row r="73" spans="3:28" x14ac:dyDescent="0.25">
      <c r="C73" s="10" t="s">
        <v>274</v>
      </c>
    </row>
    <row r="74" spans="3:28" x14ac:dyDescent="0.25">
      <c r="D74" s="4" t="s">
        <v>3</v>
      </c>
      <c r="E74" s="4" t="s">
        <v>4</v>
      </c>
      <c r="F74" s="4" t="s">
        <v>5</v>
      </c>
      <c r="G74" s="4" t="s">
        <v>6</v>
      </c>
      <c r="H74" s="4" t="s">
        <v>7</v>
      </c>
      <c r="I74" s="4" t="s">
        <v>8</v>
      </c>
      <c r="J74" s="4" t="s">
        <v>9</v>
      </c>
      <c r="K74" s="4" t="s">
        <v>10</v>
      </c>
      <c r="L74" s="4" t="s">
        <v>11</v>
      </c>
      <c r="M74" s="4" t="s">
        <v>12</v>
      </c>
      <c r="N74" s="4" t="s">
        <v>13</v>
      </c>
      <c r="O74" s="4" t="s">
        <v>14</v>
      </c>
      <c r="P74" s="4" t="s">
        <v>15</v>
      </c>
      <c r="Q74" s="4" t="s">
        <v>16</v>
      </c>
      <c r="R74" s="4" t="s">
        <v>17</v>
      </c>
      <c r="S74" s="4" t="s">
        <v>18</v>
      </c>
      <c r="T74" s="4" t="s">
        <v>19</v>
      </c>
      <c r="U74" s="4" t="s">
        <v>20</v>
      </c>
      <c r="V74" s="4" t="s">
        <v>21</v>
      </c>
      <c r="W74" s="4" t="s">
        <v>22</v>
      </c>
      <c r="X74" s="4" t="s">
        <v>23</v>
      </c>
      <c r="Y74" s="4" t="s">
        <v>24</v>
      </c>
      <c r="Z74" s="4" t="s">
        <v>25</v>
      </c>
    </row>
    <row r="75" spans="3:28" x14ac:dyDescent="0.25">
      <c r="C75" s="5" t="s">
        <v>275</v>
      </c>
      <c r="G75" s="63">
        <v>1050</v>
      </c>
      <c r="H75" s="63">
        <v>1300</v>
      </c>
      <c r="I75" s="63">
        <v>1500</v>
      </c>
      <c r="J75" s="63">
        <v>1600</v>
      </c>
      <c r="K75" s="63">
        <v>1700</v>
      </c>
      <c r="L75" s="64">
        <v>1400</v>
      </c>
      <c r="M75" s="64">
        <v>1200</v>
      </c>
      <c r="N75" s="64">
        <v>1000</v>
      </c>
      <c r="O75" s="64">
        <v>900</v>
      </c>
      <c r="P75" s="64">
        <v>800</v>
      </c>
      <c r="AB75" s="3" t="s">
        <v>276</v>
      </c>
    </row>
    <row r="76" spans="3:28" x14ac:dyDescent="0.25">
      <c r="C76" s="5" t="s">
        <v>277</v>
      </c>
      <c r="H76" s="65">
        <v>12</v>
      </c>
      <c r="I76" s="65">
        <v>12.5</v>
      </c>
      <c r="J76" s="65">
        <v>12.8</v>
      </c>
      <c r="K76" s="65">
        <v>13</v>
      </c>
      <c r="L76" s="65">
        <v>13.3</v>
      </c>
      <c r="M76" s="65">
        <v>13.7</v>
      </c>
      <c r="N76" s="65">
        <v>14</v>
      </c>
      <c r="O76" s="65">
        <v>14</v>
      </c>
      <c r="P76" s="65">
        <v>14</v>
      </c>
      <c r="Q76" s="65">
        <v>14</v>
      </c>
      <c r="R76" s="65">
        <v>14</v>
      </c>
      <c r="S76" s="65">
        <v>14</v>
      </c>
      <c r="T76" s="65">
        <v>14</v>
      </c>
      <c r="U76" s="65">
        <v>14</v>
      </c>
      <c r="V76" s="65">
        <v>14</v>
      </c>
      <c r="W76" s="65">
        <v>14</v>
      </c>
      <c r="X76" s="65">
        <v>14</v>
      </c>
      <c r="Y76" s="65">
        <v>14</v>
      </c>
      <c r="Z76" s="65">
        <v>14</v>
      </c>
      <c r="AB76" s="3" t="s">
        <v>278</v>
      </c>
    </row>
    <row r="77" spans="3:28" x14ac:dyDescent="0.25">
      <c r="C77" s="5" t="s">
        <v>41</v>
      </c>
      <c r="G77" s="66">
        <v>0.57499999999999996</v>
      </c>
      <c r="H77" s="66">
        <v>0.62</v>
      </c>
      <c r="I77" s="66">
        <v>0.64</v>
      </c>
      <c r="J77" s="66">
        <v>0.64</v>
      </c>
      <c r="K77" s="66">
        <v>0.63</v>
      </c>
      <c r="L77" s="66">
        <v>0.62</v>
      </c>
      <c r="M77" s="66">
        <v>0.62</v>
      </c>
      <c r="N77" s="66">
        <v>0.62</v>
      </c>
      <c r="O77" s="66">
        <v>0.62</v>
      </c>
      <c r="P77" s="66">
        <v>0.62</v>
      </c>
      <c r="Q77" s="66">
        <v>0.62</v>
      </c>
      <c r="R77" s="66">
        <v>0.62</v>
      </c>
      <c r="S77" s="66">
        <v>0.62</v>
      </c>
      <c r="T77" s="66">
        <v>0.62</v>
      </c>
      <c r="U77" s="66">
        <v>0.62</v>
      </c>
      <c r="V77" s="66">
        <v>0.62</v>
      </c>
      <c r="W77" s="66">
        <v>0.62</v>
      </c>
      <c r="X77" s="66">
        <v>0.62</v>
      </c>
      <c r="Y77" s="66">
        <v>0.62</v>
      </c>
      <c r="Z77" s="66">
        <v>0.62</v>
      </c>
      <c r="AB77" s="3" t="s">
        <v>279</v>
      </c>
    </row>
    <row r="78" spans="3:28" x14ac:dyDescent="0.25">
      <c r="C78" s="5" t="s">
        <v>280</v>
      </c>
      <c r="G78" s="65">
        <v>4.5999999999999996</v>
      </c>
      <c r="H78" s="65">
        <v>4.8</v>
      </c>
      <c r="I78" s="65">
        <v>5</v>
      </c>
      <c r="J78" s="65">
        <v>5</v>
      </c>
      <c r="K78" s="65">
        <v>5</v>
      </c>
      <c r="L78" s="65">
        <v>5</v>
      </c>
      <c r="M78" s="65">
        <v>5</v>
      </c>
      <c r="N78" s="65">
        <v>5</v>
      </c>
      <c r="O78" s="65">
        <v>5</v>
      </c>
      <c r="P78" s="65">
        <v>5</v>
      </c>
      <c r="Q78" s="65">
        <v>5</v>
      </c>
      <c r="R78" s="65">
        <v>5</v>
      </c>
      <c r="S78" s="65">
        <v>5</v>
      </c>
      <c r="T78" s="65">
        <v>5</v>
      </c>
      <c r="U78" s="65">
        <v>5</v>
      </c>
      <c r="V78" s="65">
        <v>5</v>
      </c>
      <c r="W78" s="65">
        <v>5</v>
      </c>
      <c r="X78" s="65">
        <v>5</v>
      </c>
      <c r="Y78" s="65">
        <v>5</v>
      </c>
      <c r="Z78" s="65">
        <v>5</v>
      </c>
      <c r="AB78" s="3" t="s">
        <v>281</v>
      </c>
    </row>
    <row r="79" spans="3:28" x14ac:dyDescent="0.25">
      <c r="C79" s="5" t="s">
        <v>282</v>
      </c>
      <c r="G79" s="66">
        <v>0.05</v>
      </c>
      <c r="H79" s="66">
        <v>0.03</v>
      </c>
      <c r="I79" s="66">
        <v>2.5000000000000001E-2</v>
      </c>
      <c r="J79" s="66">
        <v>0.02</v>
      </c>
      <c r="K79" s="66">
        <v>0.02</v>
      </c>
      <c r="L79" s="66">
        <v>0.02</v>
      </c>
      <c r="M79" s="66">
        <v>0.02</v>
      </c>
      <c r="N79" s="66">
        <v>0.02</v>
      </c>
      <c r="O79" s="66">
        <v>0.02</v>
      </c>
      <c r="P79" s="66">
        <v>0.02</v>
      </c>
      <c r="Q79" s="66">
        <v>0.02</v>
      </c>
      <c r="R79" s="66">
        <v>0.02</v>
      </c>
      <c r="S79" s="66">
        <v>0.02</v>
      </c>
      <c r="T79" s="66">
        <v>0.02</v>
      </c>
      <c r="U79" s="66">
        <v>0.02</v>
      </c>
      <c r="V79" s="66">
        <v>0.02</v>
      </c>
      <c r="W79" s="66">
        <v>0.02</v>
      </c>
      <c r="X79" s="66">
        <v>0.02</v>
      </c>
      <c r="Y79" s="66">
        <v>0.02</v>
      </c>
      <c r="Z79" s="66">
        <v>0.02</v>
      </c>
      <c r="AB79" s="3" t="s">
        <v>283</v>
      </c>
    </row>
    <row r="80" spans="3:28" x14ac:dyDescent="0.25">
      <c r="C80" s="5" t="s">
        <v>284</v>
      </c>
      <c r="G80" s="66">
        <v>0.05</v>
      </c>
      <c r="H80" s="66">
        <v>0.05</v>
      </c>
      <c r="I80" s="66">
        <v>0.05</v>
      </c>
      <c r="J80" s="66">
        <v>0.1</v>
      </c>
      <c r="K80" s="66">
        <v>0.15</v>
      </c>
      <c r="L80" s="66">
        <v>0.21</v>
      </c>
      <c r="M80" s="66">
        <v>0.21</v>
      </c>
      <c r="N80" s="66">
        <v>0.21</v>
      </c>
      <c r="O80" s="66">
        <v>0.21</v>
      </c>
      <c r="P80" s="66">
        <v>0.21</v>
      </c>
      <c r="Q80" s="66">
        <v>0.21</v>
      </c>
      <c r="R80" s="66">
        <v>0.21</v>
      </c>
      <c r="S80" s="66">
        <v>0.21</v>
      </c>
      <c r="T80" s="66">
        <v>0.21</v>
      </c>
      <c r="U80" s="66">
        <v>0.21</v>
      </c>
      <c r="V80" s="66">
        <v>0.21</v>
      </c>
      <c r="W80" s="66">
        <v>0.21</v>
      </c>
      <c r="X80" s="66">
        <v>0.21</v>
      </c>
      <c r="Y80" s="66">
        <v>0.21</v>
      </c>
      <c r="Z80" s="66">
        <v>0.21</v>
      </c>
      <c r="AB80" s="3" t="s">
        <v>285</v>
      </c>
    </row>
    <row r="81" spans="3:28" x14ac:dyDescent="0.25">
      <c r="C81" s="5" t="s">
        <v>54</v>
      </c>
      <c r="G81" s="65">
        <v>33</v>
      </c>
      <c r="H81" s="65">
        <v>38</v>
      </c>
      <c r="I81" s="65">
        <v>40</v>
      </c>
      <c r="J81" s="65">
        <v>40</v>
      </c>
      <c r="K81" s="65">
        <v>40</v>
      </c>
      <c r="L81" s="65">
        <v>40</v>
      </c>
      <c r="M81" s="65">
        <v>40</v>
      </c>
      <c r="N81" s="65">
        <v>40</v>
      </c>
      <c r="O81" s="65">
        <v>40</v>
      </c>
      <c r="P81" s="65">
        <v>40</v>
      </c>
      <c r="Q81" s="65">
        <v>40</v>
      </c>
      <c r="R81" s="65">
        <v>40</v>
      </c>
      <c r="S81" s="65">
        <v>40</v>
      </c>
      <c r="T81" s="65">
        <v>40</v>
      </c>
      <c r="U81" s="65">
        <v>40</v>
      </c>
      <c r="V81" s="65">
        <v>40</v>
      </c>
      <c r="W81" s="65">
        <v>40</v>
      </c>
      <c r="X81" s="65">
        <v>40</v>
      </c>
      <c r="Y81" s="65">
        <v>40</v>
      </c>
      <c r="Z81" s="65">
        <v>40</v>
      </c>
      <c r="AB81" s="3" t="s">
        <v>286</v>
      </c>
    </row>
    <row r="82" spans="3:28" x14ac:dyDescent="0.25">
      <c r="C82" s="5" t="s">
        <v>287</v>
      </c>
      <c r="G82" s="9">
        <v>-0.7</v>
      </c>
      <c r="H82" s="9">
        <v>-0.55000000000000004</v>
      </c>
      <c r="I82" s="9">
        <v>-0.45</v>
      </c>
      <c r="J82" s="9">
        <v>-0.4</v>
      </c>
      <c r="K82" s="9">
        <v>-0.35</v>
      </c>
      <c r="L82" s="9">
        <v>-0.35</v>
      </c>
      <c r="M82" s="9">
        <v>-0.35</v>
      </c>
      <c r="N82" s="9">
        <v>-0.35</v>
      </c>
      <c r="O82" s="9">
        <v>-0.35</v>
      </c>
      <c r="P82" s="9">
        <v>-0.35</v>
      </c>
      <c r="Q82" s="9">
        <v>-0.35</v>
      </c>
      <c r="R82" s="9">
        <v>-0.35</v>
      </c>
      <c r="S82" s="9">
        <v>-0.35</v>
      </c>
      <c r="T82" s="9">
        <v>-0.35</v>
      </c>
      <c r="U82" s="9">
        <v>-0.35</v>
      </c>
      <c r="V82" s="9">
        <v>-0.35</v>
      </c>
      <c r="W82" s="9">
        <v>-0.35</v>
      </c>
      <c r="X82" s="9">
        <v>-0.35</v>
      </c>
      <c r="Y82" s="9">
        <v>-0.35</v>
      </c>
      <c r="Z82" s="9">
        <v>-0.35</v>
      </c>
      <c r="AB82" s="3" t="s">
        <v>288</v>
      </c>
    </row>
    <row r="83" spans="3:28" x14ac:dyDescent="0.25">
      <c r="C83" s="5" t="s">
        <v>289</v>
      </c>
      <c r="G83" s="66">
        <v>9.5000000000000001E-2</v>
      </c>
      <c r="H83" s="66">
        <v>0.09</v>
      </c>
      <c r="I83" s="66">
        <v>0.09</v>
      </c>
      <c r="J83" s="66">
        <v>0.09</v>
      </c>
      <c r="K83" s="66">
        <v>0.09</v>
      </c>
      <c r="L83" s="66">
        <v>0.09</v>
      </c>
      <c r="M83" s="66">
        <v>0.09</v>
      </c>
      <c r="N83" s="66">
        <v>0.09</v>
      </c>
      <c r="O83" s="66">
        <v>0.09</v>
      </c>
      <c r="P83" s="66">
        <v>0.09</v>
      </c>
      <c r="Q83" s="66">
        <v>0.09</v>
      </c>
      <c r="R83" s="66">
        <v>0.09</v>
      </c>
      <c r="S83" s="66">
        <v>0.09</v>
      </c>
      <c r="T83" s="66">
        <v>0.09</v>
      </c>
      <c r="U83" s="66">
        <v>0.09</v>
      </c>
      <c r="V83" s="66">
        <v>0.09</v>
      </c>
      <c r="W83" s="66">
        <v>0.09</v>
      </c>
      <c r="X83" s="66">
        <v>0.09</v>
      </c>
      <c r="Y83" s="66">
        <v>0.09</v>
      </c>
      <c r="Z83" s="66">
        <v>0.09</v>
      </c>
      <c r="AB83" s="3" t="s">
        <v>290</v>
      </c>
    </row>
    <row r="84" spans="3:28" x14ac:dyDescent="0.25">
      <c r="C84" s="5" t="s">
        <v>291</v>
      </c>
      <c r="G84" s="65">
        <v>603.4</v>
      </c>
      <c r="H84" s="65">
        <v>603.4</v>
      </c>
      <c r="I84" s="65">
        <v>603.4</v>
      </c>
      <c r="J84" s="65">
        <v>603.4</v>
      </c>
      <c r="K84" s="65">
        <v>603.4</v>
      </c>
      <c r="L84" s="65">
        <v>603.4</v>
      </c>
      <c r="M84" s="65">
        <v>603.4</v>
      </c>
      <c r="N84" s="65">
        <v>603.4</v>
      </c>
      <c r="O84" s="65">
        <v>603.4</v>
      </c>
      <c r="P84" s="65">
        <v>603.4</v>
      </c>
      <c r="Q84" s="65">
        <v>603.4</v>
      </c>
      <c r="R84" s="65">
        <v>603.4</v>
      </c>
      <c r="S84" s="65">
        <v>603.4</v>
      </c>
      <c r="T84" s="65">
        <v>603.4</v>
      </c>
      <c r="U84" s="65">
        <v>603.4</v>
      </c>
      <c r="V84" s="65">
        <v>603.4</v>
      </c>
      <c r="W84" s="65">
        <v>603.4</v>
      </c>
      <c r="X84" s="65">
        <v>603.4</v>
      </c>
      <c r="Y84" s="65">
        <v>603.4</v>
      </c>
      <c r="Z84" s="65">
        <v>603.4</v>
      </c>
      <c r="AB84" s="3" t="s">
        <v>292</v>
      </c>
    </row>
    <row r="85" spans="3:28" x14ac:dyDescent="0.25">
      <c r="C85" s="3"/>
    </row>
    <row r="86" spans="3:28" x14ac:dyDescent="0.25">
      <c r="C86" s="3" t="s">
        <v>293</v>
      </c>
    </row>
    <row r="87" spans="3:28" x14ac:dyDescent="0.25">
      <c r="C87" s="3" t="s">
        <v>294</v>
      </c>
    </row>
    <row r="88" spans="3:28" x14ac:dyDescent="0.25">
      <c r="C88" s="3" t="s">
        <v>295</v>
      </c>
    </row>
    <row r="89" spans="3:28" x14ac:dyDescent="0.25">
      <c r="C89" s="3" t="s">
        <v>296</v>
      </c>
    </row>
    <row r="90" spans="3:28" x14ac:dyDescent="0.25">
      <c r="C90" s="3" t="s">
        <v>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N36"/>
  <sheetViews>
    <sheetView showGridLines="0" workbookViewId="0"/>
  </sheetViews>
  <sheetFormatPr defaultRowHeight="15" x14ac:dyDescent="0.25"/>
  <cols>
    <col min="1" max="2" width="2.28515625" customWidth="1"/>
    <col min="3" max="3" width="52" customWidth="1"/>
    <col min="4" max="12" width="11.42578125" customWidth="1"/>
    <col min="14" max="14" width="80" customWidth="1"/>
  </cols>
  <sheetData>
    <row r="2" spans="3:14" ht="20.25" x14ac:dyDescent="0.3">
      <c r="C2" s="67" t="s">
        <v>298</v>
      </c>
    </row>
    <row r="3" spans="3:14" x14ac:dyDescent="0.25">
      <c r="C3" s="5" t="s">
        <v>299</v>
      </c>
    </row>
    <row r="5" spans="3:14" x14ac:dyDescent="0.25">
      <c r="D5" s="4" t="s">
        <v>300</v>
      </c>
      <c r="E5" s="4" t="s">
        <v>301</v>
      </c>
      <c r="F5" s="4" t="s">
        <v>302</v>
      </c>
      <c r="G5" s="4" t="s">
        <v>303</v>
      </c>
      <c r="H5" s="4" t="s">
        <v>304</v>
      </c>
      <c r="I5" s="4" t="s">
        <v>305</v>
      </c>
      <c r="J5" s="4" t="s">
        <v>306</v>
      </c>
      <c r="K5" s="4" t="s">
        <v>307</v>
      </c>
      <c r="L5" s="4" t="s">
        <v>308</v>
      </c>
      <c r="N5" s="10" t="s">
        <v>309</v>
      </c>
    </row>
    <row r="7" spans="3:14" x14ac:dyDescent="0.25">
      <c r="C7" s="10" t="s">
        <v>310</v>
      </c>
      <c r="D7" s="11"/>
      <c r="E7" s="11"/>
      <c r="F7" s="11"/>
      <c r="G7" s="11"/>
      <c r="H7" s="11"/>
      <c r="I7" s="11"/>
      <c r="J7" s="11"/>
      <c r="K7" s="11"/>
      <c r="L7" s="11"/>
    </row>
    <row r="8" spans="3:14" x14ac:dyDescent="0.25">
      <c r="C8" s="5" t="s">
        <v>311</v>
      </c>
      <c r="D8" s="68">
        <v>229</v>
      </c>
      <c r="E8" s="68">
        <v>1915</v>
      </c>
      <c r="F8" s="68">
        <v>5131</v>
      </c>
      <c r="G8" s="68">
        <v>981.6</v>
      </c>
      <c r="H8" s="68">
        <v>1212.8</v>
      </c>
      <c r="I8" s="68">
        <v>1364.7</v>
      </c>
      <c r="J8" s="68">
        <v>1571.9</v>
      </c>
      <c r="K8" s="68">
        <v>2078</v>
      </c>
      <c r="L8" s="68">
        <v>2575</v>
      </c>
      <c r="N8" s="69" t="s">
        <v>312</v>
      </c>
    </row>
    <row r="9" spans="3:14" x14ac:dyDescent="0.25">
      <c r="C9" s="5" t="s">
        <v>313</v>
      </c>
      <c r="D9" s="68">
        <v>69</v>
      </c>
      <c r="E9" s="68">
        <v>493</v>
      </c>
      <c r="F9" s="68">
        <v>1453</v>
      </c>
      <c r="G9" s="68">
        <v>262.39999999999998</v>
      </c>
      <c r="H9" s="68">
        <v>312.7</v>
      </c>
      <c r="I9" s="68">
        <v>368.8</v>
      </c>
      <c r="J9" s="68">
        <v>509.1</v>
      </c>
      <c r="K9" s="68">
        <v>716</v>
      </c>
      <c r="L9" s="68">
        <v>879</v>
      </c>
      <c r="N9" s="69" t="s">
        <v>203</v>
      </c>
    </row>
    <row r="10" spans="3:14" x14ac:dyDescent="0.25">
      <c r="C10" s="5" t="s">
        <v>314</v>
      </c>
      <c r="D10" s="68">
        <v>131</v>
      </c>
      <c r="E10" s="68">
        <v>961</v>
      </c>
      <c r="F10" s="68">
        <v>2929</v>
      </c>
      <c r="G10" s="68">
        <v>561.4</v>
      </c>
      <c r="H10" s="68">
        <v>669.9</v>
      </c>
      <c r="I10" s="68">
        <v>747.5</v>
      </c>
      <c r="J10" s="68">
        <v>950.2</v>
      </c>
      <c r="K10" s="68">
        <v>1273</v>
      </c>
      <c r="L10" s="68">
        <v>1507</v>
      </c>
      <c r="N10" s="69" t="s">
        <v>315</v>
      </c>
    </row>
    <row r="11" spans="3:14" x14ac:dyDescent="0.25">
      <c r="C11" s="5" t="s">
        <v>316</v>
      </c>
      <c r="D11" s="68">
        <v>13</v>
      </c>
      <c r="E11" s="68">
        <v>18</v>
      </c>
      <c r="F11" s="68">
        <v>144</v>
      </c>
      <c r="G11" s="68">
        <v>10.5</v>
      </c>
      <c r="H11" s="68">
        <v>36.799999999999997</v>
      </c>
      <c r="I11" s="68">
        <v>44.6</v>
      </c>
      <c r="J11" s="68">
        <v>52</v>
      </c>
      <c r="K11" s="68">
        <v>69</v>
      </c>
      <c r="L11" s="68">
        <v>60</v>
      </c>
      <c r="N11" s="69" t="s">
        <v>203</v>
      </c>
    </row>
    <row r="12" spans="3:14" x14ac:dyDescent="0.25">
      <c r="C12" s="5" t="s">
        <v>317</v>
      </c>
      <c r="D12" s="68">
        <v>30</v>
      </c>
      <c r="E12" s="68">
        <v>119</v>
      </c>
      <c r="F12" s="68">
        <v>651</v>
      </c>
      <c r="G12" s="68">
        <v>174.8</v>
      </c>
      <c r="H12" s="68">
        <v>174.2</v>
      </c>
      <c r="I12" s="68">
        <v>151.9</v>
      </c>
      <c r="J12" s="68">
        <v>150.19999999999999</v>
      </c>
      <c r="K12" s="68">
        <v>164</v>
      </c>
      <c r="L12" s="68">
        <v>178</v>
      </c>
      <c r="N12" s="69" t="s">
        <v>203</v>
      </c>
    </row>
    <row r="13" spans="3:14" x14ac:dyDescent="0.25">
      <c r="C13" s="5" t="s">
        <v>318</v>
      </c>
      <c r="D13" s="68">
        <v>-14</v>
      </c>
      <c r="E13" s="68">
        <v>324</v>
      </c>
      <c r="F13" s="68">
        <v>-46</v>
      </c>
      <c r="G13" s="68">
        <v>-27.5</v>
      </c>
      <c r="H13" s="68">
        <v>19.2</v>
      </c>
      <c r="I13" s="68">
        <v>51.9</v>
      </c>
      <c r="J13" s="68">
        <v>-89.6</v>
      </c>
      <c r="K13" s="68">
        <v>-144</v>
      </c>
      <c r="L13" s="68">
        <v>-49</v>
      </c>
      <c r="N13" s="69" t="s">
        <v>203</v>
      </c>
    </row>
    <row r="14" spans="3:14" x14ac:dyDescent="0.25">
      <c r="C14" s="5" t="s">
        <v>319</v>
      </c>
      <c r="D14" s="68">
        <v>-28</v>
      </c>
      <c r="E14" s="68">
        <v>-361</v>
      </c>
      <c r="F14" s="68">
        <v>-1229</v>
      </c>
      <c r="G14" s="68">
        <v>-263.8</v>
      </c>
      <c r="H14" s="68">
        <v>-267.2</v>
      </c>
      <c r="I14" s="68">
        <v>-311</v>
      </c>
      <c r="J14" s="68">
        <v>-387</v>
      </c>
      <c r="K14" s="68">
        <v>-536</v>
      </c>
      <c r="L14" s="68">
        <v>-640</v>
      </c>
      <c r="N14" s="69" t="s">
        <v>320</v>
      </c>
    </row>
    <row r="15" spans="3:14" x14ac:dyDescent="0.25">
      <c r="C15" s="5" t="s">
        <v>321</v>
      </c>
      <c r="D15" s="68">
        <v>-594</v>
      </c>
      <c r="E15" s="68">
        <v>-863</v>
      </c>
      <c r="F15" s="68">
        <v>-1167</v>
      </c>
      <c r="G15" s="68">
        <v>-314.60000000000002</v>
      </c>
      <c r="H15" s="68">
        <v>-290.5</v>
      </c>
      <c r="I15" s="68">
        <v>-110.1</v>
      </c>
      <c r="J15" s="68">
        <v>-451.8</v>
      </c>
      <c r="K15" s="68">
        <v>-740</v>
      </c>
      <c r="L15" s="68">
        <v>-626</v>
      </c>
      <c r="N15" s="69" t="s">
        <v>203</v>
      </c>
    </row>
    <row r="16" spans="3:14" x14ac:dyDescent="0.25">
      <c r="C16" s="5" t="s">
        <v>45</v>
      </c>
      <c r="D16" s="68">
        <v>103</v>
      </c>
      <c r="E16" s="68">
        <v>863</v>
      </c>
      <c r="F16" s="68">
        <v>2454</v>
      </c>
      <c r="G16" s="68">
        <v>443.5</v>
      </c>
      <c r="H16" s="68">
        <v>559.5</v>
      </c>
      <c r="I16" s="68">
        <v>630.5</v>
      </c>
      <c r="J16" s="68">
        <v>820.5</v>
      </c>
      <c r="K16" s="68">
        <v>1147</v>
      </c>
      <c r="L16" s="68">
        <v>1393</v>
      </c>
      <c r="N16" s="69" t="s">
        <v>322</v>
      </c>
    </row>
    <row r="17" spans="3:14" x14ac:dyDescent="0.25">
      <c r="C17" s="5" t="s">
        <v>49</v>
      </c>
      <c r="D17" s="68">
        <v>15</v>
      </c>
      <c r="E17" s="68">
        <v>31</v>
      </c>
      <c r="F17" s="68">
        <v>630</v>
      </c>
      <c r="G17" s="68">
        <v>184</v>
      </c>
      <c r="H17" s="68">
        <v>145</v>
      </c>
      <c r="I17" s="68">
        <v>144.4</v>
      </c>
      <c r="J17" s="68">
        <v>156.6</v>
      </c>
      <c r="K17" s="68">
        <v>153</v>
      </c>
      <c r="L17" s="68">
        <v>165</v>
      </c>
      <c r="N17" s="69" t="s">
        <v>323</v>
      </c>
    </row>
    <row r="18" spans="3:14" x14ac:dyDescent="0.25">
      <c r="C18" s="5" t="s">
        <v>324</v>
      </c>
      <c r="D18" s="68">
        <v>2943</v>
      </c>
      <c r="E18" s="68">
        <v>8702</v>
      </c>
      <c r="F18" s="68">
        <v>10309</v>
      </c>
      <c r="G18" s="68">
        <v>1407</v>
      </c>
      <c r="H18" s="68">
        <v>2453</v>
      </c>
      <c r="I18" s="68">
        <v>2389</v>
      </c>
      <c r="J18" s="68">
        <v>4060</v>
      </c>
      <c r="K18" s="68">
        <v>7695</v>
      </c>
      <c r="L18" s="68">
        <v>6422</v>
      </c>
      <c r="N18" s="69" t="s">
        <v>325</v>
      </c>
    </row>
    <row r="19" spans="3:14" x14ac:dyDescent="0.25">
      <c r="C19" s="5" t="s">
        <v>326</v>
      </c>
      <c r="K19" s="68">
        <v>6800</v>
      </c>
      <c r="L19" s="68">
        <v>9400</v>
      </c>
      <c r="N19" s="69" t="s">
        <v>327</v>
      </c>
    </row>
    <row r="20" spans="3:14" x14ac:dyDescent="0.25">
      <c r="C20" s="5" t="s">
        <v>328</v>
      </c>
      <c r="E20" s="68">
        <v>1226</v>
      </c>
      <c r="F20" s="68">
        <v>3098</v>
      </c>
      <c r="G20" s="68">
        <v>609</v>
      </c>
      <c r="H20" s="68">
        <v>753</v>
      </c>
      <c r="I20" s="68">
        <v>838</v>
      </c>
      <c r="J20" s="68">
        <v>898</v>
      </c>
      <c r="K20" s="68">
        <v>1164</v>
      </c>
      <c r="L20" s="68">
        <v>1510</v>
      </c>
      <c r="N20" s="69" t="s">
        <v>329</v>
      </c>
    </row>
    <row r="21" spans="3:14" x14ac:dyDescent="0.25">
      <c r="C21" s="5" t="s">
        <v>41</v>
      </c>
      <c r="E21" s="18">
        <f t="shared" ref="E21:L21" si="0">E20/E8</f>
        <v>0.6402088772845953</v>
      </c>
      <c r="F21" s="18">
        <f t="shared" si="0"/>
        <v>0.60378093938803357</v>
      </c>
      <c r="G21" s="18">
        <f t="shared" si="0"/>
        <v>0.6204156479217604</v>
      </c>
      <c r="H21" s="18">
        <f t="shared" si="0"/>
        <v>0.62087730870712399</v>
      </c>
      <c r="I21" s="18">
        <f t="shared" si="0"/>
        <v>0.6140543709240126</v>
      </c>
      <c r="J21" s="18">
        <f t="shared" si="0"/>
        <v>0.57128316050639349</v>
      </c>
      <c r="K21" s="18">
        <f t="shared" si="0"/>
        <v>0.5601539942252165</v>
      </c>
      <c r="L21" s="18">
        <f t="shared" si="0"/>
        <v>0.58640776699029129</v>
      </c>
      <c r="N21" s="69" t="s">
        <v>330</v>
      </c>
    </row>
    <row r="22" spans="3:14" x14ac:dyDescent="0.25">
      <c r="C22" s="5" t="s">
        <v>331</v>
      </c>
      <c r="H22" s="68">
        <v>200</v>
      </c>
      <c r="I22" s="68">
        <v>217</v>
      </c>
      <c r="K22" s="68">
        <v>21</v>
      </c>
      <c r="L22" s="68">
        <v>128</v>
      </c>
      <c r="N22" s="69" t="s">
        <v>332</v>
      </c>
    </row>
    <row r="23" spans="3:14" x14ac:dyDescent="0.25">
      <c r="C23" s="10" t="s">
        <v>333</v>
      </c>
      <c r="D23" s="11"/>
      <c r="E23" s="11"/>
      <c r="F23" s="11"/>
      <c r="G23" s="11"/>
      <c r="H23" s="11"/>
      <c r="I23" s="11"/>
      <c r="J23" s="11"/>
      <c r="K23" s="11"/>
      <c r="L23" s="11"/>
    </row>
    <row r="24" spans="3:14" x14ac:dyDescent="0.25">
      <c r="C24" s="5" t="s">
        <v>334</v>
      </c>
      <c r="D24" s="50">
        <v>70</v>
      </c>
      <c r="E24" s="50">
        <v>360</v>
      </c>
      <c r="F24" s="50">
        <v>850</v>
      </c>
      <c r="G24" s="50">
        <v>420</v>
      </c>
      <c r="H24" s="50">
        <v>470</v>
      </c>
      <c r="I24" s="50">
        <v>590</v>
      </c>
      <c r="J24" s="50">
        <v>850</v>
      </c>
      <c r="K24" s="50">
        <v>1000</v>
      </c>
      <c r="L24" s="50">
        <v>1500</v>
      </c>
      <c r="N24" s="69" t="s">
        <v>335</v>
      </c>
    </row>
    <row r="25" spans="3:14" x14ac:dyDescent="0.25">
      <c r="C25" s="5" t="s">
        <v>336</v>
      </c>
      <c r="F25" s="50">
        <v>3100</v>
      </c>
      <c r="I25" s="50">
        <v>2900</v>
      </c>
      <c r="J25" s="50">
        <v>3100</v>
      </c>
      <c r="K25" s="50">
        <v>3500</v>
      </c>
      <c r="L25" s="50">
        <v>3700</v>
      </c>
      <c r="N25" s="69" t="s">
        <v>337</v>
      </c>
    </row>
    <row r="26" spans="3:14" x14ac:dyDescent="0.25">
      <c r="C26" s="5" t="s">
        <v>338</v>
      </c>
      <c r="E26" s="68">
        <v>15.1</v>
      </c>
      <c r="F26" s="68">
        <v>66.8</v>
      </c>
      <c r="H26" s="68">
        <v>30.1</v>
      </c>
      <c r="I26" s="68">
        <v>55.6</v>
      </c>
      <c r="J26" s="68">
        <v>66.8</v>
      </c>
      <c r="K26" s="68">
        <v>99.4</v>
      </c>
      <c r="L26" s="68">
        <v>104</v>
      </c>
      <c r="N26" s="69" t="s">
        <v>339</v>
      </c>
    </row>
    <row r="27" spans="3:14" x14ac:dyDescent="0.25">
      <c r="C27" s="5" t="s">
        <v>340</v>
      </c>
      <c r="E27" s="50">
        <v>4064</v>
      </c>
      <c r="F27" s="50">
        <v>8185</v>
      </c>
      <c r="J27" s="50">
        <v>8185</v>
      </c>
      <c r="L27" s="50">
        <v>9692</v>
      </c>
      <c r="N27" s="69" t="s">
        <v>341</v>
      </c>
    </row>
    <row r="28" spans="3:14" x14ac:dyDescent="0.25">
      <c r="C28" s="5" t="s">
        <v>342</v>
      </c>
      <c r="D28" s="50">
        <v>217</v>
      </c>
      <c r="E28" s="50">
        <v>1361</v>
      </c>
      <c r="F28" s="50">
        <v>3127</v>
      </c>
      <c r="J28" s="50">
        <v>3127</v>
      </c>
      <c r="L28" s="50">
        <v>5524</v>
      </c>
      <c r="N28" s="69" t="s">
        <v>341</v>
      </c>
    </row>
    <row r="29" spans="3:14" x14ac:dyDescent="0.25">
      <c r="C29" s="5" t="s">
        <v>343</v>
      </c>
      <c r="E29" s="50">
        <v>7926</v>
      </c>
      <c r="F29" s="50">
        <v>21615</v>
      </c>
      <c r="J29" s="50">
        <v>21615</v>
      </c>
      <c r="L29" s="50">
        <v>35551</v>
      </c>
      <c r="N29" s="69" t="s">
        <v>344</v>
      </c>
    </row>
    <row r="30" spans="3:14" x14ac:dyDescent="0.25">
      <c r="C30" s="5" t="s">
        <v>345</v>
      </c>
      <c r="D30" s="50">
        <v>192</v>
      </c>
      <c r="E30" s="50">
        <v>218</v>
      </c>
      <c r="F30" s="50">
        <v>436</v>
      </c>
      <c r="H30" s="50">
        <v>487</v>
      </c>
      <c r="L30" s="50">
        <v>551</v>
      </c>
      <c r="N30" s="69" t="s">
        <v>346</v>
      </c>
    </row>
    <row r="32" spans="3:14" x14ac:dyDescent="0.25">
      <c r="C32" s="10" t="s">
        <v>347</v>
      </c>
      <c r="D32" s="11"/>
      <c r="E32" s="11"/>
      <c r="F32" s="11"/>
      <c r="G32" s="11"/>
      <c r="H32" s="11"/>
      <c r="I32" s="11"/>
      <c r="J32" s="11"/>
      <c r="K32" s="11"/>
      <c r="L32" s="11"/>
    </row>
    <row r="33" spans="3:14" x14ac:dyDescent="0.25">
      <c r="C33" s="5" t="s">
        <v>348</v>
      </c>
      <c r="H33" s="13">
        <f>(E24+G24)/2</f>
        <v>390</v>
      </c>
      <c r="I33" s="13">
        <f>(G24+H24)/2</f>
        <v>445</v>
      </c>
      <c r="J33" s="13">
        <f>(H24+I24)/2</f>
        <v>530</v>
      </c>
      <c r="K33" s="13">
        <f>(I24+J24)/2</f>
        <v>720</v>
      </c>
      <c r="L33" s="13">
        <f>(J24+K24)/2</f>
        <v>925</v>
      </c>
      <c r="N33" s="69" t="s">
        <v>349</v>
      </c>
    </row>
    <row r="34" spans="3:14" x14ac:dyDescent="0.25">
      <c r="C34" s="20" t="s">
        <v>102</v>
      </c>
      <c r="H34" s="70">
        <f>H8*4/H33</f>
        <v>12.438974358974358</v>
      </c>
      <c r="I34" s="70">
        <f>I8*4/I33</f>
        <v>12.266966292134832</v>
      </c>
      <c r="J34" s="70">
        <f>J8*4/J33</f>
        <v>11.863396226415095</v>
      </c>
      <c r="K34" s="70">
        <f>K8*4/K33</f>
        <v>11.544444444444444</v>
      </c>
      <c r="L34" s="70">
        <f>L8*4/L33</f>
        <v>11.135135135135135</v>
      </c>
      <c r="N34" s="69" t="s">
        <v>350</v>
      </c>
    </row>
    <row r="35" spans="3:14" x14ac:dyDescent="0.25">
      <c r="C35" s="5" t="s">
        <v>351</v>
      </c>
      <c r="H35" s="14">
        <f>H16*4/((G24+H24)/2)</f>
        <v>5.0292134831460675</v>
      </c>
      <c r="I35" s="14">
        <f>I16*4/((H24+I24)/2)</f>
        <v>4.7584905660377359</v>
      </c>
      <c r="J35" s="14">
        <f>J16*4/((I24+J24)/2)</f>
        <v>4.5583333333333336</v>
      </c>
      <c r="K35" s="14">
        <f>K16*4/((J24+K24)/2)</f>
        <v>4.96</v>
      </c>
      <c r="L35" s="14">
        <f>L16*4/((K24+L24)/2)</f>
        <v>4.4576000000000002</v>
      </c>
      <c r="N35" s="69" t="s">
        <v>352</v>
      </c>
    </row>
    <row r="36" spans="3:14" x14ac:dyDescent="0.25">
      <c r="C36" s="5" t="s">
        <v>353</v>
      </c>
      <c r="J36" s="18">
        <f>-J14*4/J29</f>
        <v>7.1616932685634974E-2</v>
      </c>
      <c r="L36" s="18">
        <f>-L14*4/L29</f>
        <v>7.2009226182104577E-2</v>
      </c>
      <c r="N36" s="69" t="s">
        <v>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44"/>
  <sheetViews>
    <sheetView showGridLines="0" workbookViewId="0"/>
  </sheetViews>
  <sheetFormatPr defaultRowHeight="15" x14ac:dyDescent="0.25"/>
  <cols>
    <col min="1" max="2" width="2.28515625" customWidth="1"/>
    <col min="3" max="3" width="14" customWidth="1"/>
    <col min="4" max="4" width="66" customWidth="1"/>
    <col min="5" max="5" width="16" customWidth="1"/>
    <col min="6" max="8" width="14" customWidth="1"/>
  </cols>
  <sheetData>
    <row r="2" spans="3:8" ht="20.25" x14ac:dyDescent="0.3">
      <c r="C2" s="67" t="s">
        <v>355</v>
      </c>
    </row>
    <row r="3" spans="3:8" x14ac:dyDescent="0.25">
      <c r="C3" s="5" t="s">
        <v>356</v>
      </c>
    </row>
    <row r="5" spans="3:8" x14ac:dyDescent="0.25">
      <c r="C5" s="4" t="s">
        <v>357</v>
      </c>
      <c r="D5" s="4" t="s">
        <v>358</v>
      </c>
      <c r="E5" s="4" t="s">
        <v>359</v>
      </c>
      <c r="F5" s="4" t="s">
        <v>360</v>
      </c>
      <c r="G5" s="4" t="s">
        <v>361</v>
      </c>
      <c r="H5" s="4" t="s">
        <v>362</v>
      </c>
    </row>
    <row r="6" spans="3:8" x14ac:dyDescent="0.25">
      <c r="C6" s="5" t="s">
        <v>363</v>
      </c>
      <c r="D6" s="5" t="s">
        <v>364</v>
      </c>
      <c r="E6" s="71" t="s">
        <v>365</v>
      </c>
      <c r="F6" s="72">
        <v>0.15</v>
      </c>
      <c r="G6" s="50">
        <v>1300</v>
      </c>
      <c r="H6" s="50">
        <v>1553</v>
      </c>
    </row>
    <row r="7" spans="3:8" x14ac:dyDescent="0.25">
      <c r="C7" s="5" t="s">
        <v>363</v>
      </c>
      <c r="D7" s="5" t="s">
        <v>366</v>
      </c>
      <c r="E7" s="71" t="s">
        <v>367</v>
      </c>
      <c r="F7" s="72">
        <v>0.11</v>
      </c>
      <c r="G7" s="50">
        <v>3190</v>
      </c>
      <c r="H7" s="50">
        <v>5037</v>
      </c>
    </row>
    <row r="8" spans="3:8" x14ac:dyDescent="0.25">
      <c r="C8" s="5" t="s">
        <v>363</v>
      </c>
      <c r="D8" s="5" t="s">
        <v>368</v>
      </c>
      <c r="E8" s="71" t="s">
        <v>369</v>
      </c>
      <c r="F8" s="72">
        <v>0.09</v>
      </c>
      <c r="G8" s="50">
        <v>3000</v>
      </c>
      <c r="H8" s="50">
        <v>2741</v>
      </c>
    </row>
    <row r="9" spans="3:8" x14ac:dyDescent="0.25">
      <c r="C9" s="5" t="s">
        <v>363</v>
      </c>
      <c r="D9" s="5" t="s">
        <v>370</v>
      </c>
      <c r="E9" s="71" t="s">
        <v>367</v>
      </c>
      <c r="F9" s="72">
        <v>0.09</v>
      </c>
      <c r="G9" s="50">
        <v>2215</v>
      </c>
      <c r="H9" s="50">
        <v>340</v>
      </c>
    </row>
    <row r="10" spans="3:8" x14ac:dyDescent="0.25">
      <c r="C10" s="5" t="s">
        <v>363</v>
      </c>
      <c r="D10" s="5" t="s">
        <v>371</v>
      </c>
      <c r="E10" s="71" t="s">
        <v>372</v>
      </c>
      <c r="F10" s="72">
        <v>0.09</v>
      </c>
      <c r="G10" s="50">
        <v>1101</v>
      </c>
      <c r="H10" s="50">
        <v>0</v>
      </c>
    </row>
    <row r="11" spans="3:8" x14ac:dyDescent="0.25">
      <c r="C11" s="5" t="s">
        <v>363</v>
      </c>
      <c r="D11" s="5" t="s">
        <v>373</v>
      </c>
      <c r="E11" s="71" t="s">
        <v>374</v>
      </c>
      <c r="F11" s="72">
        <v>0.1</v>
      </c>
      <c r="G11" s="50">
        <v>2000</v>
      </c>
      <c r="H11" s="50">
        <v>2000</v>
      </c>
    </row>
    <row r="12" spans="3:8" x14ac:dyDescent="0.25">
      <c r="C12" s="5" t="s">
        <v>363</v>
      </c>
      <c r="D12" s="5" t="s">
        <v>375</v>
      </c>
      <c r="E12" s="71" t="s">
        <v>376</v>
      </c>
      <c r="F12" s="72">
        <v>0.1</v>
      </c>
      <c r="G12" s="50">
        <v>1750</v>
      </c>
      <c r="H12" s="50">
        <v>1750</v>
      </c>
    </row>
    <row r="13" spans="3:8" x14ac:dyDescent="0.25">
      <c r="C13" s="5" t="s">
        <v>363</v>
      </c>
      <c r="D13" s="5" t="s">
        <v>377</v>
      </c>
      <c r="E13" s="71" t="s">
        <v>378</v>
      </c>
      <c r="F13" s="72">
        <v>0.1</v>
      </c>
      <c r="G13" s="50">
        <v>2750</v>
      </c>
      <c r="H13" s="50">
        <v>0</v>
      </c>
    </row>
    <row r="14" spans="3:8" x14ac:dyDescent="0.25">
      <c r="C14" s="5" t="s">
        <v>363</v>
      </c>
      <c r="D14" s="5" t="s">
        <v>379</v>
      </c>
      <c r="E14" s="71" t="s">
        <v>380</v>
      </c>
      <c r="F14" s="72">
        <v>0.1</v>
      </c>
      <c r="G14" s="50">
        <v>1250</v>
      </c>
      <c r="H14" s="50">
        <v>0</v>
      </c>
    </row>
    <row r="15" spans="3:8" x14ac:dyDescent="0.25">
      <c r="C15" s="5" t="s">
        <v>363</v>
      </c>
      <c r="D15" s="5" t="s">
        <v>381</v>
      </c>
      <c r="E15" s="71" t="s">
        <v>380</v>
      </c>
      <c r="F15" s="72">
        <v>0.09</v>
      </c>
      <c r="G15" s="50">
        <v>2279</v>
      </c>
      <c r="H15" s="50">
        <v>0</v>
      </c>
    </row>
    <row r="16" spans="3:8" x14ac:dyDescent="0.25">
      <c r="C16" s="5" t="s">
        <v>363</v>
      </c>
      <c r="D16" s="5" t="s">
        <v>382</v>
      </c>
      <c r="E16" s="71" t="s">
        <v>383</v>
      </c>
      <c r="F16" s="72">
        <v>0.02</v>
      </c>
      <c r="G16" s="50">
        <v>2588</v>
      </c>
      <c r="H16" s="50">
        <v>2588</v>
      </c>
    </row>
    <row r="17" spans="3:8" x14ac:dyDescent="0.25">
      <c r="C17" s="5" t="s">
        <v>363</v>
      </c>
      <c r="D17" s="5" t="s">
        <v>384</v>
      </c>
      <c r="E17" s="71" t="s">
        <v>385</v>
      </c>
      <c r="F17" s="72">
        <v>0.02</v>
      </c>
      <c r="G17" s="50">
        <v>4000</v>
      </c>
      <c r="H17" s="50">
        <v>0</v>
      </c>
    </row>
    <row r="18" spans="3:8" x14ac:dyDescent="0.25">
      <c r="C18" s="5" t="s">
        <v>363</v>
      </c>
      <c r="D18" s="5" t="s">
        <v>386</v>
      </c>
      <c r="E18" s="71" t="s">
        <v>387</v>
      </c>
      <c r="F18" s="72">
        <v>7.0000000000000007E-2</v>
      </c>
      <c r="G18" s="50">
        <v>0</v>
      </c>
      <c r="H18" s="50">
        <v>168</v>
      </c>
    </row>
    <row r="19" spans="3:8" x14ac:dyDescent="0.25">
      <c r="C19" s="5" t="s">
        <v>363</v>
      </c>
      <c r="D19" s="5" t="s">
        <v>388</v>
      </c>
      <c r="E19" s="71" t="s">
        <v>389</v>
      </c>
      <c r="F19" s="72">
        <v>7.0000000000000007E-2</v>
      </c>
      <c r="G19" s="50">
        <v>0</v>
      </c>
      <c r="H19" s="50">
        <v>1000</v>
      </c>
    </row>
    <row r="20" spans="3:8" x14ac:dyDescent="0.25">
      <c r="C20" s="5" t="s">
        <v>363</v>
      </c>
      <c r="D20" s="5" t="s">
        <v>390</v>
      </c>
      <c r="E20" s="71" t="s">
        <v>391</v>
      </c>
      <c r="F20" s="72">
        <v>0.11</v>
      </c>
      <c r="G20" s="50">
        <v>4220</v>
      </c>
      <c r="H20" s="50">
        <v>3518</v>
      </c>
    </row>
    <row r="21" spans="3:8" x14ac:dyDescent="0.25">
      <c r="C21" s="5" t="s">
        <v>363</v>
      </c>
      <c r="D21" s="5" t="s">
        <v>392</v>
      </c>
      <c r="E21" s="71" t="s">
        <v>393</v>
      </c>
      <c r="F21" s="72">
        <v>0.12</v>
      </c>
      <c r="G21" s="50">
        <v>189</v>
      </c>
      <c r="H21" s="50">
        <v>273</v>
      </c>
    </row>
    <row r="22" spans="3:8" x14ac:dyDescent="0.25">
      <c r="C22" s="5" t="s">
        <v>394</v>
      </c>
      <c r="D22" s="5" t="s">
        <v>395</v>
      </c>
      <c r="E22" s="71" t="s">
        <v>396</v>
      </c>
      <c r="F22" s="72">
        <v>7.0000000000000007E-2</v>
      </c>
      <c r="G22" s="50">
        <v>2837</v>
      </c>
      <c r="H22" s="50">
        <v>0</v>
      </c>
    </row>
    <row r="23" spans="3:8" x14ac:dyDescent="0.25">
      <c r="C23" s="5" t="s">
        <v>394</v>
      </c>
      <c r="D23" s="5" t="s">
        <v>390</v>
      </c>
      <c r="E23" s="71" t="s">
        <v>397</v>
      </c>
      <c r="F23" s="72">
        <v>0.09</v>
      </c>
      <c r="G23" s="50">
        <v>882</v>
      </c>
      <c r="H23" s="50">
        <v>647</v>
      </c>
    </row>
    <row r="24" spans="3:8" x14ac:dyDescent="0.25">
      <c r="D24" s="20" t="s">
        <v>398</v>
      </c>
      <c r="G24" s="21">
        <f>SUM(G6:G23)</f>
        <v>35551</v>
      </c>
      <c r="H24" s="21">
        <f>SUM(H6:H23)</f>
        <v>21615</v>
      </c>
    </row>
    <row r="25" spans="3:8" x14ac:dyDescent="0.25">
      <c r="D25" s="5" t="s">
        <v>399</v>
      </c>
      <c r="G25" s="18">
        <f>SUMPRODUCT(F6:F23,G6:G23)/G24</f>
        <v>8.4134342212595983E-2</v>
      </c>
    </row>
    <row r="26" spans="3:8" x14ac:dyDescent="0.25">
      <c r="D26" s="69" t="s">
        <v>400</v>
      </c>
      <c r="G26" s="47">
        <f>G24-35551</f>
        <v>0</v>
      </c>
      <c r="H26" s="47">
        <f>H24-21615</f>
        <v>0</v>
      </c>
    </row>
    <row r="27" spans="3:8" x14ac:dyDescent="0.25">
      <c r="D27" s="69" t="s">
        <v>401</v>
      </c>
      <c r="G27" s="50">
        <v>-483</v>
      </c>
    </row>
    <row r="28" spans="3:8" x14ac:dyDescent="0.25">
      <c r="D28" s="69" t="s">
        <v>402</v>
      </c>
      <c r="G28" s="13">
        <f>G24+G27</f>
        <v>35068</v>
      </c>
    </row>
    <row r="30" spans="3:8" x14ac:dyDescent="0.25">
      <c r="D30" s="10" t="s">
        <v>403</v>
      </c>
      <c r="G30" s="4" t="s">
        <v>404</v>
      </c>
    </row>
    <row r="31" spans="3:8" x14ac:dyDescent="0.25">
      <c r="D31" s="5" t="s">
        <v>405</v>
      </c>
      <c r="G31" s="50">
        <v>4413</v>
      </c>
    </row>
    <row r="32" spans="3:8" x14ac:dyDescent="0.25">
      <c r="D32" s="5" t="s">
        <v>406</v>
      </c>
      <c r="G32" s="50">
        <v>6184</v>
      </c>
    </row>
    <row r="33" spans="4:7" x14ac:dyDescent="0.25">
      <c r="D33" s="5" t="s">
        <v>407</v>
      </c>
      <c r="G33" s="50">
        <v>4416</v>
      </c>
    </row>
    <row r="34" spans="4:7" x14ac:dyDescent="0.25">
      <c r="D34" s="5" t="s">
        <v>408</v>
      </c>
      <c r="G34" s="50">
        <v>2421</v>
      </c>
    </row>
    <row r="35" spans="4:7" x14ac:dyDescent="0.25">
      <c r="D35" s="5" t="s">
        <v>409</v>
      </c>
      <c r="G35" s="50">
        <v>3221</v>
      </c>
    </row>
    <row r="36" spans="4:7" x14ac:dyDescent="0.25">
      <c r="D36" s="5" t="s">
        <v>410</v>
      </c>
      <c r="G36" s="50">
        <v>14896</v>
      </c>
    </row>
    <row r="37" spans="4:7" x14ac:dyDescent="0.25">
      <c r="D37" s="20" t="s">
        <v>411</v>
      </c>
      <c r="G37" s="21">
        <f>SUM(G31:G36)</f>
        <v>35551</v>
      </c>
    </row>
    <row r="39" spans="4:7" x14ac:dyDescent="0.25">
      <c r="D39" s="69" t="s">
        <v>412</v>
      </c>
    </row>
    <row r="40" spans="4:7" x14ac:dyDescent="0.25">
      <c r="D40" s="69" t="s">
        <v>413</v>
      </c>
    </row>
    <row r="41" spans="4:7" x14ac:dyDescent="0.25">
      <c r="D41" s="69" t="s">
        <v>414</v>
      </c>
    </row>
    <row r="42" spans="4:7" x14ac:dyDescent="0.25">
      <c r="D42" s="69" t="s">
        <v>415</v>
      </c>
    </row>
    <row r="43" spans="4:7" x14ac:dyDescent="0.25">
      <c r="D43" s="69" t="s">
        <v>416</v>
      </c>
    </row>
    <row r="44" spans="4:7" x14ac:dyDescent="0.25">
      <c r="D44" s="69" t="s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Cover - Base</vt:lpstr>
      <vt:lpstr>Assumptions &amp; sources</vt:lpstr>
      <vt:lpstr>History</vt:lpstr>
      <vt:lpstr>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2026-10-14T21:04:38Z</dcterms:created>
  <dcterms:modified xsi:type="dcterms:W3CDTF">2026-10-14T21:04:43Z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