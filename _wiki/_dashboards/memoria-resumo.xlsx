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52" authorId="0" shapeId="0">
      <text>
        <t>O aperto que o blended esconde: −14,6% em 27E. Vira ≈0 em 28E porque a demanda de wafers HBM flatten (~695k) e os adds novos vão p/ DDR.</t>
      </text>
    </comment>
    <comment ref="A56" authorId="0" shapeId="0">
      <text>
        <t>Caem 1.535→1.486 até 27E mesmo com capex recorde — tudo que entra é absorvido pelo HBM. 28E: 1.786 (a virada).</t>
      </text>
    </comment>
    <comment ref="A58" authorId="0" shapeId="0">
      <text>
        <t>Cada wafer migrado p/ HBM entrega ~1/3 dos bits (TSV/stacking/yield). Melhora ~25%/ano de densidade HBM (HBM4 12-16Hi).</t>
      </text>
    </comment>
    <comment ref="A59" authorId="0" shapeId="0">
      <text>
        <t>129 bn Gb em 27E = 24% da demanda — maior que o crescimento da própria demanda; driver #1 do preço de DDR.</t>
      </text>
    </comment>
    <comment ref="A71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4" authorId="0" shapeId="0">
      <text>
        <t>46→66 GB (25→27E) — cruza com mix 64→96/128GB RDIMM. MRDIMM = 12% do mix em 28E (Bernstein).</t>
      </text>
    </comment>
    <comment ref="A75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0" t="inlineStr">
        <is>
          <t>HBM — capacidade por fornecedor</t>
        </is>
      </c>
      <c r="B42" s="19" t="inlineStr">
        <is>
          <t>k wpm 26E: Samsung 689 UBS / 740 TF · SK Hynix 609 / 610 · Micron 317 / 365  —  27E UBS: 737 / 671 / 357</t>
        </is>
      </c>
      <c r="C42" s="9" t="n"/>
      <c r="D42" s="9" t="n"/>
      <c r="E42" s="9" t="n"/>
      <c r="F42" s="9" t="n"/>
      <c r="G42" s="9" t="n"/>
      <c r="H42" s="9" t="n"/>
      <c r="I42" s="13" t="inlineStr">
        <is>
          <t>UBS vs TrendForce</t>
        </is>
      </c>
    </row>
    <row r="43">
      <c r="A43" s="14" t="inlineStr">
        <is>
          <t>NAND — Samsung</t>
        </is>
      </c>
      <c r="B43" s="11" t="inlineStr">
        <is>
          <t>bn GB</t>
        </is>
      </c>
      <c r="C43" s="21" t="n">
        <v>254.1842295</v>
      </c>
      <c r="D43" s="21" t="n">
        <v>296.67056581</v>
      </c>
      <c r="E43" s="21" t="n">
        <v>305.67011685</v>
      </c>
      <c r="F43" s="21" t="n">
        <v>347.88733109</v>
      </c>
      <c r="G43" s="21" t="n">
        <v>405.81331861</v>
      </c>
      <c r="H43" s="15" t="inlineStr">
        <is>
          <t>—</t>
        </is>
      </c>
      <c r="I43" s="13" t="inlineStr">
        <is>
          <t>UBS</t>
        </is>
      </c>
    </row>
    <row r="44">
      <c r="A44" s="14" t="inlineStr">
        <is>
          <t>NAND — Kioxia</t>
        </is>
      </c>
      <c r="B44" s="11" t="inlineStr">
        <is>
          <t>bn GB</t>
        </is>
      </c>
      <c r="C44" s="21" t="n">
        <v>105.82072995</v>
      </c>
      <c r="D44" s="21" t="n">
        <v>130.475883</v>
      </c>
      <c r="E44" s="21" t="n">
        <v>148.05620765</v>
      </c>
      <c r="F44" s="21" t="n">
        <v>173.85671617</v>
      </c>
      <c r="G44" s="21" t="n">
        <v>211.10658193</v>
      </c>
      <c r="H44" s="15" t="inlineStr">
        <is>
          <t>—</t>
        </is>
      </c>
      <c r="I44" s="13" t="inlineStr">
        <is>
          <t>UBS</t>
        </is>
      </c>
    </row>
    <row r="45">
      <c r="A45" s="14" t="inlineStr">
        <is>
          <t>NAND — SanDisk</t>
        </is>
      </c>
      <c r="B45" s="11" t="inlineStr">
        <is>
          <t>bn GB</t>
        </is>
      </c>
      <c r="C45" s="21" t="n">
        <v>100.91351069</v>
      </c>
      <c r="D45" s="21" t="n">
        <v>101.29813451</v>
      </c>
      <c r="E45" s="21" t="n">
        <v>119.22047837</v>
      </c>
      <c r="F45" s="21" t="n">
        <v>139.43212069</v>
      </c>
      <c r="G45" s="21" t="n">
        <v>162.97394192</v>
      </c>
      <c r="H45" s="15" t="inlineStr">
        <is>
          <t>—</t>
        </is>
      </c>
      <c r="I45" s="13" t="inlineStr">
        <is>
          <t>UBS</t>
        </is>
      </c>
    </row>
    <row r="46">
      <c r="A46" s="14" t="inlineStr">
        <is>
          <t>NAND — SK Hynix</t>
        </is>
      </c>
      <c r="B46" s="11" t="inlineStr">
        <is>
          <t>bn GB</t>
        </is>
      </c>
      <c r="C46" s="21" t="n">
        <v>148.50344718</v>
      </c>
      <c r="D46" s="21" t="n">
        <v>143.57220984</v>
      </c>
      <c r="E46" s="21" t="n">
        <v>160.56266612</v>
      </c>
      <c r="F46" s="21" t="n">
        <v>192.3809966</v>
      </c>
      <c r="G46" s="21" t="n">
        <v>233.67540086</v>
      </c>
      <c r="H46" s="15" t="inlineStr">
        <is>
          <t>—</t>
        </is>
      </c>
      <c r="I46" s="13" t="inlineStr">
        <is>
          <t>UBS</t>
        </is>
      </c>
    </row>
    <row r="47">
      <c r="A47" s="14" t="inlineStr">
        <is>
          <t>NAND — Micron</t>
        </is>
      </c>
      <c r="B47" s="11" t="inlineStr">
        <is>
          <t>bn GB</t>
        </is>
      </c>
      <c r="C47" s="21" t="n">
        <v>90.02957563000001</v>
      </c>
      <c r="D47" s="21" t="n">
        <v>106.60903975</v>
      </c>
      <c r="E47" s="21" t="n">
        <v>133.88101337</v>
      </c>
      <c r="F47" s="21" t="n">
        <v>161.21827732</v>
      </c>
      <c r="G47" s="21" t="n">
        <v>188.92000809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YMTC</t>
        </is>
      </c>
      <c r="B48" s="11" t="inlineStr">
        <is>
          <t>bn GB</t>
        </is>
      </c>
      <c r="C48" s="21" t="n">
        <v>41.82680343</v>
      </c>
      <c r="D48" s="21" t="n">
        <v>75.74131974999999</v>
      </c>
      <c r="E48" s="21" t="n">
        <v>119.13197936</v>
      </c>
      <c r="F48" s="21" t="n">
        <v>148.33805253</v>
      </c>
      <c r="G48" s="21" t="n">
        <v>197.47627264</v>
      </c>
      <c r="H48" s="15" t="inlineStr">
        <is>
          <t>—</t>
        </is>
      </c>
      <c r="I48" s="13" t="inlineStr">
        <is>
          <t>UBS</t>
        </is>
      </c>
    </row>
    <row r="49">
      <c r="A49" s="10" t="inlineStr">
        <is>
          <t>NAND — total oferta</t>
        </is>
      </c>
      <c r="B49" s="11" t="inlineStr">
        <is>
          <t>bn GB</t>
        </is>
      </c>
      <c r="C49" s="20" t="n">
        <v>748.35829638</v>
      </c>
      <c r="D49" s="20" t="n">
        <v>862.08715266</v>
      </c>
      <c r="E49" s="20" t="n">
        <v>994.88246172</v>
      </c>
      <c r="F49" s="20" t="n">
        <v>1172.1134944</v>
      </c>
      <c r="G49" s="20" t="n">
        <v>1409.60552405</v>
      </c>
      <c r="H49" s="15" t="inlineStr">
        <is>
          <t>—</t>
        </is>
      </c>
      <c r="I49" s="13" t="inlineStr">
        <is>
          <t>UBS</t>
        </is>
      </c>
    </row>
    <row r="50" ht="15" customHeight="1">
      <c r="A50" s="8" t="inlineStr">
        <is>
          <t>D · SUFICIÊNCIA (S/D − 1) — a síntese</t>
        </is>
      </c>
      <c r="B50" s="9" t="n"/>
      <c r="C50" s="9" t="n"/>
      <c r="D50" s="9" t="n"/>
      <c r="E50" s="9" t="n"/>
      <c r="F50" s="9" t="n"/>
      <c r="G50" s="9" t="n"/>
      <c r="H50" s="9" t="n"/>
      <c r="I50" s="9" t="n"/>
    </row>
    <row r="51">
      <c r="A51" s="10" t="inlineStr">
        <is>
          <t>DRAM blended</t>
        </is>
      </c>
      <c r="B51" s="11" t="inlineStr">
        <is>
          <t>%</t>
        </is>
      </c>
      <c r="C51" s="24" t="n">
        <v>-0.0036</v>
      </c>
      <c r="D51" s="24" t="n">
        <v>-0.0233</v>
      </c>
      <c r="E51" s="24" t="n">
        <v>-0.0235</v>
      </c>
      <c r="F51" s="24" t="n">
        <v>-0.0813</v>
      </c>
      <c r="G51" s="24" t="n">
        <v>-0.012</v>
      </c>
      <c r="H51" s="15" t="inlineStr">
        <is>
          <t>≈0 eng.</t>
        </is>
      </c>
      <c r="I51" s="13" t="inlineStr">
        <is>
          <t>UBS · engine</t>
        </is>
      </c>
    </row>
    <row r="52">
      <c r="A52" s="10" t="inlineStr">
        <is>
          <t>DDR ex-HBM</t>
        </is>
      </c>
      <c r="B52" s="11" t="inlineStr">
        <is>
          <t>%</t>
        </is>
      </c>
      <c r="C52" s="15" t="inlineStr">
        <is>
          <t>—</t>
        </is>
      </c>
      <c r="D52" s="15" t="inlineStr">
        <is>
          <t>—</t>
        </is>
      </c>
      <c r="E52" s="24" t="n">
        <v>-0.0433</v>
      </c>
      <c r="F52" s="24" t="n">
        <v>-0.0156</v>
      </c>
      <c r="G52" s="24" t="n">
        <v>-0.1461</v>
      </c>
      <c r="H52" s="24" t="n">
        <v>-0.0032</v>
      </c>
      <c r="I52" s="13" t="inlineStr">
        <is>
          <t>engine house</t>
        </is>
      </c>
    </row>
    <row r="53">
      <c r="A53" s="10" t="inlineStr">
        <is>
          <t>HBM</t>
        </is>
      </c>
      <c r="B53" s="19" t="inlineStr">
        <is>
          <t>sold out CY26 incl. HBM4 (Micron Q1 FY26) · 27E oferta revisada 60→50 bn Gb-equiv por alocação, não demanda</t>
        </is>
      </c>
      <c r="C53" s="9" t="n"/>
      <c r="D53" s="9" t="n"/>
      <c r="E53" s="9" t="n"/>
      <c r="F53" s="9" t="n"/>
      <c r="G53" s="9" t="n"/>
      <c r="H53" s="9" t="n"/>
      <c r="I53" s="13" t="inlineStr">
        <is>
          <t>assumptions ledger</t>
        </is>
      </c>
    </row>
    <row r="54">
      <c r="A54" s="10" t="inlineStr">
        <is>
          <t>NAND</t>
        </is>
      </c>
      <c r="B54" s="19" t="inlineStr">
        <is>
          <t>sem série S/D no modelo — proxy: ASP $/GB 0,066 → 0,256 → 0,33-0,37 (25→27E, +5,5× do vale)</t>
        </is>
      </c>
      <c r="C54" s="9" t="n"/>
      <c r="D54" s="9" t="n"/>
      <c r="E54" s="9" t="n"/>
      <c r="F54" s="9" t="n"/>
      <c r="G54" s="9" t="n"/>
      <c r="H54" s="9" t="n"/>
      <c r="I54" s="13" t="inlineStr">
        <is>
          <t>UBS · cenários</t>
        </is>
      </c>
    </row>
    <row r="55" ht="15" customHeight="1">
      <c r="A55" s="8" t="inlineStr">
        <is>
          <t>E · CAPACIDADE, CANIBALIZAÇÃO HBM E CAPEX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14" t="inlineStr">
        <is>
          <t>Wafers DDR</t>
        </is>
      </c>
      <c r="B56" s="11" t="inlineStr">
        <is>
          <t>k wpm</t>
        </is>
      </c>
      <c r="C56" s="15" t="inlineStr">
        <is>
          <t>—</t>
        </is>
      </c>
      <c r="D56" s="15" t="inlineStr">
        <is>
          <t>—</t>
        </is>
      </c>
      <c r="E56" s="16" t="n">
        <v>1535</v>
      </c>
      <c r="F56" s="16" t="n">
        <v>1498</v>
      </c>
      <c r="G56" s="16" t="n">
        <v>1486</v>
      </c>
      <c r="H56" s="16" t="n">
        <v>1785.5</v>
      </c>
      <c r="I56" s="13" t="inlineStr">
        <is>
          <t>engine (Fig.9 UBS)</t>
        </is>
      </c>
    </row>
    <row r="57">
      <c r="A57" s="14" t="inlineStr">
        <is>
          <t>Wafers HBM</t>
        </is>
      </c>
      <c r="B57" s="11" t="inlineStr">
        <is>
          <t>k wpm</t>
        </is>
      </c>
      <c r="C57" s="15" t="inlineStr">
        <is>
          <t>—</t>
        </is>
      </c>
      <c r="D57" s="15" t="inlineStr">
        <is>
          <t>—</t>
        </is>
      </c>
      <c r="E57" s="16" t="n">
        <v>390</v>
      </c>
      <c r="F57" s="16" t="n">
        <v>500</v>
      </c>
      <c r="G57" s="16" t="n">
        <v>690</v>
      </c>
      <c r="H57" s="16" t="n">
        <v>694.5</v>
      </c>
      <c r="I57" s="13" t="inlineStr">
        <is>
          <t>SemiAnalysis · engine</t>
        </is>
      </c>
    </row>
    <row r="58">
      <c r="A58" s="14" t="inlineStr">
        <is>
          <t>Penalidade de wafer HBM (bits DDR ÷ bits HBM por wafer)</t>
        </is>
      </c>
      <c r="B58" s="11" t="inlineStr">
        <is>
          <t>×</t>
        </is>
      </c>
      <c r="C58" s="15" t="inlineStr">
        <is>
          <t>—</t>
        </is>
      </c>
      <c r="D58" s="15" t="inlineStr">
        <is>
          <t>—</t>
        </is>
      </c>
      <c r="E58" s="25" t="n">
        <v>3.5</v>
      </c>
      <c r="F58" s="25" t="n">
        <v>3.2</v>
      </c>
      <c r="G58" s="25" t="n">
        <v>3.2</v>
      </c>
      <c r="H58" s="25" t="n">
        <v>3.1</v>
      </c>
      <c r="I58" s="13" t="inlineStr">
        <is>
          <t>engine</t>
        </is>
      </c>
    </row>
    <row r="59">
      <c r="A59" s="10" t="inlineStr">
        <is>
          <t>Bits líquidos perdidos p/ HBM (% da demanda)</t>
        </is>
      </c>
      <c r="B59" s="11" t="inlineStr">
        <is>
          <t>%</t>
        </is>
      </c>
      <c r="C59" s="15" t="inlineStr">
        <is>
          <t>—</t>
        </is>
      </c>
      <c r="D59" s="15" t="inlineStr">
        <is>
          <t>—</t>
        </is>
      </c>
      <c r="E59" s="24" t="n">
        <v>0.1646</v>
      </c>
      <c r="F59" s="24" t="n">
        <v>0.2042</v>
      </c>
      <c r="G59" s="24" t="n">
        <v>0.2415</v>
      </c>
      <c r="H59" s="24" t="n">
        <v>0.2323</v>
      </c>
      <c r="I59" s="13" t="inlineStr">
        <is>
          <t>engine</t>
        </is>
      </c>
    </row>
    <row r="60">
      <c r="A60" s="14" t="inlineStr">
        <is>
          <t>Capex memória</t>
        </is>
      </c>
      <c r="B60" s="11" t="inlineStr">
        <is>
          <t>$bn</t>
        </is>
      </c>
      <c r="C60" s="15" t="inlineStr">
        <is>
          <t>—</t>
        </is>
      </c>
      <c r="D60" s="15" t="inlineStr">
        <is>
          <t>—</t>
        </is>
      </c>
      <c r="E60" s="16" t="n">
        <v>75</v>
      </c>
      <c r="F60" s="16" t="n">
        <v>85</v>
      </c>
      <c r="G60" s="16" t="n">
        <v>120</v>
      </c>
      <c r="H60" s="16" t="n">
        <v>140</v>
      </c>
      <c r="I60" s="13" t="inlineStr">
        <is>
          <t>UBS · bridge</t>
        </is>
      </c>
    </row>
    <row r="61">
      <c r="A61" s="10" t="inlineStr">
        <is>
          <t>Conta do capex (26E→27E)</t>
        </is>
      </c>
      <c r="B61" s="19" t="inlineStr">
        <is>
          <t>greenfield/net-add 17→32 · conversão HBM+packaging 20→30 · node/manutenção 48→58 $bn</t>
        </is>
      </c>
      <c r="C61" s="9" t="n"/>
      <c r="D61" s="9" t="n"/>
      <c r="E61" s="9" t="n"/>
      <c r="F61" s="9" t="n"/>
      <c r="G61" s="9" t="n"/>
      <c r="H61" s="9" t="n"/>
      <c r="I61" s="13" t="inlineStr">
        <is>
          <t>bíblia (ponte)</t>
        </is>
      </c>
    </row>
    <row r="62" ht="15" customHeight="1">
      <c r="A62" s="8" t="inlineStr">
        <is>
          <t>F · P&amp;L 27E POR EMPRESA → P/E (muda com o cenário ASP)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</row>
    <row r="63">
      <c r="A63" s="5" t="inlineStr">
        <is>
          <t>vendor →</t>
        </is>
      </c>
      <c r="B63" s="9" t="n"/>
      <c r="C63" s="6" t="inlineStr">
        <is>
          <t>Micron</t>
        </is>
      </c>
      <c r="D63" s="6" t="inlineStr">
        <is>
          <t>SK Hynix</t>
        </is>
      </c>
      <c r="E63" s="6" t="inlineStr">
        <is>
          <t>Samsung*</t>
        </is>
      </c>
      <c r="F63" s="6" t="inlineStr">
        <is>
          <t>Kioxia</t>
        </is>
      </c>
      <c r="G63" s="6" t="inlineStr">
        <is>
          <t>SanDisk</t>
        </is>
      </c>
      <c r="H63" s="9" t="n"/>
      <c r="I63" s="13" t="inlineStr">
        <is>
          <t>BBG 02-jul · bíblia SxD</t>
        </is>
      </c>
    </row>
    <row r="64">
      <c r="A64" s="14" t="inlineStr">
        <is>
          <t>Receita memória 27E (bits × ASP cenário)</t>
        </is>
      </c>
      <c r="B64" s="11" t="inlineStr">
        <is>
          <t>$bn</t>
        </is>
      </c>
      <c r="C64" s="16">
        <f>(_dados!B7*INDEX(_dados!$B$2:$B$4,MATCH($C$2,_dados!$A$2:$A$4,0))+_dados!C7*INDEX(_dados!$C$2:$C$4,MATCH($C$2,_dados!$A$2:$A$4,0)))/1000</f>
        <v/>
      </c>
      <c r="D64" s="16">
        <f>(_dados!B8*INDEX(_dados!$B$2:$B$4,MATCH($C$2,_dados!$A$2:$A$4,0))+_dados!C8*INDEX(_dados!$C$2:$C$4,MATCH($C$2,_dados!$A$2:$A$4,0)))/1000</f>
        <v/>
      </c>
      <c r="E64" s="16">
        <f>(_dados!B9*INDEX(_dados!$B$2:$B$4,MATCH($C$2,_dados!$A$2:$A$4,0))+_dados!C9*INDEX(_dados!$C$2:$C$4,MATCH($C$2,_dados!$A$2:$A$4,0)))/1000</f>
        <v/>
      </c>
      <c r="F64" s="16">
        <f>(_dados!B10*INDEX(_dados!$B$2:$B$4,MATCH($C$2,_dados!$A$2:$A$4,0))+_dados!C10*INDEX(_dados!$C$2:$C$4,MATCH($C$2,_dados!$A$2:$A$4,0)))/1000</f>
        <v/>
      </c>
      <c r="G64" s="16">
        <f>(_dados!B11*INDEX(_dados!$B$2:$B$4,MATCH($C$2,_dados!$A$2:$A$4,0))+_dados!C11*INDEX(_dados!$C$2:$C$4,MATCH($C$2,_dados!$A$2:$A$4,0)))/1000</f>
        <v/>
      </c>
      <c r="H64" s="9" t="n"/>
      <c r="I64" s="13" t="inlineStr">
        <is>
          <t>fórmula = dashboard P&amp;L</t>
        </is>
      </c>
    </row>
    <row r="65">
      <c r="A65" s="14" t="inlineStr">
        <is>
          <t>EPS 27E house (modelo)</t>
        </is>
      </c>
      <c r="B65" s="11" t="inlineStr">
        <is>
          <t>local</t>
        </is>
      </c>
      <c r="C65" s="16">
        <f>((_dados!B7*INDEX(_dados!$B$2:$B$4,MATCH($C$2,_dados!$A$2:$A$4,0))+_dados!C7*INDEX(_dados!$C$2:$C$4,MATCH($C$2,_dados!$A$2:$A$4,0)))*_dados!D7-_dados!E7)*(1-_dados!F7)*_dados!G7/_dados!H7</f>
        <v/>
      </c>
      <c r="D65" s="16">
        <f>((_dados!B8*INDEX(_dados!$B$2:$B$4,MATCH($C$2,_dados!$A$2:$A$4,0))+_dados!C8*INDEX(_dados!$C$2:$C$4,MATCH($C$2,_dados!$A$2:$A$4,0)))*_dados!D8-_dados!E8)*(1-_dados!F8)*_dados!G8/_dados!H8</f>
        <v/>
      </c>
      <c r="E65" s="16">
        <f>((_dados!B9*INDEX(_dados!$B$2:$B$4,MATCH($C$2,_dados!$A$2:$A$4,0))+_dados!C9*INDEX(_dados!$C$2:$C$4,MATCH($C$2,_dados!$A$2:$A$4,0)))*_dados!D9-_dados!E9)*(1-_dados!F9)*_dados!G9/_dados!H9</f>
        <v/>
      </c>
      <c r="F65" s="16">
        <f>((_dados!B10*INDEX(_dados!$B$2:$B$4,MATCH($C$2,_dados!$A$2:$A$4,0))+_dados!C10*INDEX(_dados!$C$2:$C$4,MATCH($C$2,_dados!$A$2:$A$4,0)))*_dados!D10-_dados!E10)*(1-_dados!F10)*_dados!G10/_dados!H10</f>
        <v/>
      </c>
      <c r="G65" s="16">
        <f>((_dados!B11*INDEX(_dados!$B$2:$B$4,MATCH($C$2,_dados!$A$2:$A$4,0))+_dados!C11*INDEX(_dados!$C$2:$C$4,MATCH($C$2,_dados!$A$2:$A$4,0)))*_dados!D11-_dados!E11)*(1-_dados!F11)*_dados!G11/_dados!H11</f>
        <v/>
      </c>
      <c r="H65" s="9" t="n"/>
      <c r="I65" s="13" t="inlineStr">
        <is>
          <t>gm×rev−opex, ×(1−tax)×fx÷ações</t>
        </is>
      </c>
    </row>
    <row r="66">
      <c r="A66" s="14" t="inlineStr">
        <is>
          <t>P/E house @ px atual</t>
        </is>
      </c>
      <c r="B66" s="11" t="inlineStr">
        <is>
          <t>×</t>
        </is>
      </c>
      <c r="C66" s="25">
        <f>_dados!I7/C65</f>
        <v/>
      </c>
      <c r="D66" s="25">
        <f>_dados!I8/D65</f>
        <v/>
      </c>
      <c r="E66" s="25">
        <f>_dados!I9/E65</f>
        <v/>
      </c>
      <c r="F66" s="25">
        <f>_dados!I10/F65</f>
        <v/>
      </c>
      <c r="G66" s="25">
        <f>_dados!I11/G65</f>
        <v/>
      </c>
      <c r="H66" s="9" t="n"/>
      <c r="I66" s="13" t="inlineStr">
        <is>
          <t>px BBG ÷ EPS modelo</t>
        </is>
      </c>
    </row>
    <row r="67">
      <c r="A67" s="10" t="inlineStr">
        <is>
          <t>P/E consenso 27E (BBG)</t>
        </is>
      </c>
      <c r="B67" s="11" t="inlineStr">
        <is>
          <t>×</t>
        </is>
      </c>
      <c r="C67" s="26">
        <f>_dados!I7/_dados!J7</f>
        <v/>
      </c>
      <c r="D67" s="26">
        <f>_dados!I8/_dados!J8</f>
        <v/>
      </c>
      <c r="E67" s="26">
        <f>_dados!I9/_dados!J9</f>
        <v/>
      </c>
      <c r="F67" s="26">
        <f>_dados!I10/_dados!J10</f>
        <v/>
      </c>
      <c r="G67" s="26">
        <f>_dados!I11/_dados!J11</f>
        <v/>
      </c>
      <c r="H67" s="9" t="n"/>
      <c r="I67" s="13" t="inlineStr"/>
    </row>
    <row r="68">
      <c r="A68" s="10" t="inlineStr">
        <is>
          <t>Δ EPS house vs consenso (o edge)</t>
        </is>
      </c>
      <c r="B68" s="11" t="inlineStr">
        <is>
          <t>%</t>
        </is>
      </c>
      <c r="C68" s="27">
        <f>C65/_dados!J7-1</f>
        <v/>
      </c>
      <c r="D68" s="27">
        <f>D65/_dados!J8-1</f>
        <v/>
      </c>
      <c r="E68" s="27">
        <f>E65/_dados!J9-1</f>
        <v/>
      </c>
      <c r="F68" s="27">
        <f>F65/_dados!J10-1</f>
        <v/>
      </c>
      <c r="G68" s="27">
        <f>G65/_dados!J11-1</f>
        <v/>
      </c>
      <c r="H68" s="9" t="n"/>
      <c r="I68" s="13" t="inlineStr">
        <is>
          <t>modelo ÷ BBG − 1</t>
        </is>
      </c>
    </row>
    <row r="69">
      <c r="A69" s="10" t="inlineStr">
        <is>
          <t>*Samsung</t>
        </is>
      </c>
      <c r="B69" s="19" t="inlineStr">
        <is>
          <t>consenso = empresa inteira (foundry/mobile/display) — P/E consenso não é 1:1 com o P&amp;L memória-only. EPS local: MU/SNDK $, SK/Samsung ₩, Kioxia ¥.</t>
        </is>
      </c>
      <c r="C69" s="9" t="n"/>
      <c r="D69" s="9" t="n"/>
      <c r="E69" s="9" t="n"/>
      <c r="F69" s="9" t="n"/>
      <c r="G69" s="9" t="n"/>
      <c r="H69" s="9" t="n"/>
      <c r="I69" s="13" t="inlineStr"/>
    </row>
    <row r="70" ht="15" customHeight="1">
      <c r="A70" s="8" t="inlineStr">
        <is>
          <t>G · BUILDS — CROSS-CHECKS BOTTOM-UP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</row>
    <row r="71">
      <c r="A71" s="14" t="inlineStr">
        <is>
          <t>CPUs de servidor</t>
        </is>
      </c>
      <c r="B71" s="11" t="inlineStr">
        <is>
          <t>M</t>
        </is>
      </c>
      <c r="C71" s="21" t="n">
        <v>22.6</v>
      </c>
      <c r="D71" s="21" t="n">
        <v>24</v>
      </c>
      <c r="E71" s="21" t="n">
        <v>32.2</v>
      </c>
      <c r="F71" s="21" t="n">
        <v>40.6</v>
      </c>
      <c r="G71" s="21" t="n">
        <v>52.8</v>
      </c>
      <c r="H71" s="21" t="n">
        <v>61.2</v>
      </c>
      <c r="I71" s="13" t="inlineStr">
        <is>
          <t>Bernstein/Mercury (recal.)</t>
        </is>
      </c>
    </row>
    <row r="72">
      <c r="A72" s="10" t="inlineStr">
        <is>
          <t>DRAM convencional por CPU</t>
        </is>
      </c>
      <c r="B72" s="11" t="inlineStr">
        <is>
          <t>GB</t>
        </is>
      </c>
      <c r="C72" s="12" t="n">
        <v>314</v>
      </c>
      <c r="D72" s="12" t="n">
        <v>340</v>
      </c>
      <c r="E72" s="12" t="n">
        <v>393</v>
      </c>
      <c r="F72" s="12" t="n">
        <v>475</v>
      </c>
      <c r="G72" s="12" t="n">
        <v>590</v>
      </c>
      <c r="H72" s="12" t="n">
        <v>683</v>
      </c>
      <c r="I72" s="13" t="inlineStr">
        <is>
          <t>modelo (conv ÷ CPUs)</t>
        </is>
      </c>
    </row>
    <row r="73">
      <c r="A73" s="14" t="inlineStr">
        <is>
          <t>DIMMs por CPU</t>
        </is>
      </c>
      <c r="B73" s="11" t="inlineStr">
        <is>
          <t>un.</t>
        </is>
      </c>
      <c r="C73" s="25" t="n">
        <v>7.9</v>
      </c>
      <c r="D73" s="25" t="n">
        <v>8.9</v>
      </c>
      <c r="E73" s="25" t="n">
        <v>9</v>
      </c>
      <c r="F73" s="25" t="n">
        <v>9.5</v>
      </c>
      <c r="G73" s="25" t="n">
        <v>10.3</v>
      </c>
      <c r="H73" s="25" t="n">
        <v>11.7</v>
      </c>
      <c r="I73" s="13" t="inlineStr">
        <is>
          <t>Bernstein (canais×slots×ocup.)</t>
        </is>
      </c>
    </row>
    <row r="74">
      <c r="A74" s="14" t="inlineStr">
        <is>
          <t>GB por DIMM implícito</t>
        </is>
      </c>
      <c r="B74" s="11" t="inlineStr">
        <is>
          <t>GB</t>
        </is>
      </c>
      <c r="C74" s="16" t="n">
        <v>39</v>
      </c>
      <c r="D74" s="16" t="n">
        <v>38</v>
      </c>
      <c r="E74" s="16" t="n">
        <v>46</v>
      </c>
      <c r="F74" s="16" t="n">
        <v>54</v>
      </c>
      <c r="G74" s="16" t="n">
        <v>66</v>
      </c>
      <c r="H74" s="16" t="n">
        <v>65</v>
      </c>
      <c r="I74" s="13" t="inlineStr">
        <is>
          <t>modelo ÷ DIMMs Bernstein</t>
        </is>
      </c>
    </row>
    <row r="75">
      <c r="A75" s="14" t="inlineStr">
        <is>
          <t>HBM $/GB blended (build)</t>
        </is>
      </c>
      <c r="B75" s="11" t="inlineStr">
        <is>
          <t>$/GB</t>
        </is>
      </c>
      <c r="C75" s="25" t="n">
        <v>10.5</v>
      </c>
      <c r="D75" s="25" t="n">
        <v>14.6</v>
      </c>
      <c r="E75" s="25" t="n">
        <v>16.7</v>
      </c>
      <c r="F75" s="25" t="n">
        <v>17.9</v>
      </c>
      <c r="G75" s="25" t="n">
        <v>21.3</v>
      </c>
      <c r="H75" s="25" t="n">
        <v>25.9</v>
      </c>
      <c r="I75" s="13" t="inlineStr">
        <is>
          <t>build (rev ÷ bits × 8)</t>
        </is>
      </c>
    </row>
    <row r="76">
      <c r="A76" s="10" t="inlineStr">
        <is>
          <t>HBM $/GB por geração</t>
        </is>
      </c>
      <c r="B76" s="19" t="inlineStr">
        <is>
          <t>preço build: HBM3E $17 · HBM4 $26 · HBM4E $29 — mix bits: 26E 3E 84% / 4 13% → 27E 3E 51% / 4 46% → 28E 3E 14% / 4 45% / 4E 41%</t>
        </is>
      </c>
      <c r="C76" s="9" t="n"/>
      <c r="D76" s="9" t="n"/>
      <c r="E76" s="9" t="n"/>
      <c r="F76" s="9" t="n"/>
      <c r="G76" s="9" t="n"/>
      <c r="H76" s="9" t="n"/>
      <c r="I76" s="13" t="inlineStr">
        <is>
          <t>build (por gen) · debate Redburn vs JPM</t>
        </is>
      </c>
    </row>
    <row r="77">
      <c r="A77" s="14" t="inlineStr">
        <is>
          <t>Smartphone GB/unidade</t>
        </is>
      </c>
      <c r="B77" s="11" t="inlineStr">
        <is>
          <t>GB</t>
        </is>
      </c>
      <c r="C77" s="15" t="inlineStr">
        <is>
          <t>—</t>
        </is>
      </c>
      <c r="D77" s="15" t="inlineStr">
        <is>
          <t>—</t>
        </is>
      </c>
      <c r="E77" s="25" t="n">
        <v>8.1</v>
      </c>
      <c r="F77" s="25" t="n">
        <v>8.9</v>
      </c>
      <c r="G77" s="25" t="n">
        <v>9.4</v>
      </c>
      <c r="H77" s="15" t="inlineStr">
        <is>
          <t>—</t>
        </is>
      </c>
      <c r="I77" s="13" t="inlineStr">
        <is>
          <t>UBS Fig. (BOM 12→40%)</t>
        </is>
      </c>
    </row>
    <row r="78" ht="15" customHeight="1">
      <c r="A78" s="8" t="inlineStr">
        <is>
          <t>H · DEBATES VIVOS, CATALISADORES E CONVENÇÕES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</row>
    <row r="79">
      <c r="A79" s="10" t="inlineStr">
        <is>
          <t>Virada 2028</t>
        </is>
      </c>
      <c r="B79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79" s="9" t="n"/>
      <c r="D79" s="9" t="n"/>
      <c r="E79" s="9" t="n"/>
      <c r="F79" s="9" t="n"/>
      <c r="G79" s="9" t="n"/>
      <c r="H79" s="9" t="n"/>
      <c r="I79" s="13" t="inlineStr">
        <is>
          <t>engine · Bernstein SxD</t>
        </is>
      </c>
    </row>
    <row r="80">
      <c r="A80" s="10" t="inlineStr">
        <is>
          <t>Alocação 26</t>
        </is>
      </c>
      <c r="B80" s="19" t="inlineStr">
        <is>
          <t>general-server DDR ultrapassou HBM como prioridade #1 de alocação (Redburn/TrendForce) — e ainda assim HBM sobe: $17-18 → $30-32/GB 27E (Redburn) vs blended +30% (JPM/Micron)</t>
        </is>
      </c>
      <c r="C80" s="9" t="n"/>
      <c r="D80" s="9" t="n"/>
      <c r="E80" s="9" t="n"/>
      <c r="F80" s="9" t="n"/>
      <c r="G80" s="9" t="n"/>
      <c r="H80" s="9" t="n"/>
      <c r="I80" s="13" t="inlineStr">
        <is>
          <t>assumptions ledger</t>
        </is>
      </c>
    </row>
    <row r="81">
      <c r="A81" s="10" t="inlineStr">
        <is>
          <t>China</t>
        </is>
      </c>
      <c r="B81" s="19" t="inlineStr">
        <is>
          <t>CXMT: 4% da oferta DRAM 25 → 12% 27E (UBS) + IPO a caminho; YMTC 41→? bn GB NAND — o wildcard de oferta pós-28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UBS · ledger</t>
        </is>
      </c>
    </row>
    <row r="82">
      <c r="A82" s="10" t="inlineStr">
        <is>
          <t>Conteúdo</t>
        </is>
      </c>
      <c r="B82" s="19" t="inlineStr">
        <is>
          <t>MRDIMM 12% do mix 28E (Bernstein) + 12/16-canais → DIMMs/CPU 9→11,7 — upside de conteúdo independente de units</t>
        </is>
      </c>
      <c r="C82" s="9" t="n"/>
      <c r="D82" s="9" t="n"/>
      <c r="E82" s="9" t="n"/>
      <c r="F82" s="9" t="n"/>
      <c r="G82" s="9" t="n"/>
      <c r="H82" s="9" t="n"/>
      <c r="I82" s="13" t="inlineStr">
        <is>
          <t>Bernstein</t>
        </is>
      </c>
    </row>
    <row r="83">
      <c r="A83" s="10" t="inlineStr">
        <is>
          <t>Catalisadores</t>
        </is>
      </c>
      <c r="B83" s="19" t="inlineStr">
        <is>
          <t>SK Hynix results 10-jul-26 (amanhã) · Micron FQ4 set-26 · TrendForce/UBS monthly (Fig.9 wafer adds) · Samsung prelim 2Q</t>
        </is>
      </c>
      <c r="C83" s="9" t="n"/>
      <c r="D83" s="9" t="n"/>
      <c r="E83" s="9" t="n"/>
      <c r="F83" s="9" t="n"/>
      <c r="G83" s="9" t="n"/>
      <c r="H83" s="9" t="n"/>
      <c r="I83" s="13" t="inlineStr">
        <is>
          <t>catalysts.md</t>
        </is>
      </c>
    </row>
    <row r="84">
      <c r="A84" s="10" t="inlineStr">
        <is>
          <t>CONVENÇÕES</t>
        </is>
      </c>
      <c r="B84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regras da wiki</t>
        </is>
      </c>
    </row>
  </sheetData>
  <mergeCells count="26">
    <mergeCell ref="B84:H84"/>
    <mergeCell ref="D2:I2"/>
    <mergeCell ref="B9:H9"/>
    <mergeCell ref="B83:H83"/>
    <mergeCell ref="B33:H33"/>
    <mergeCell ref="A55:I55"/>
    <mergeCell ref="A50:I50"/>
    <mergeCell ref="A12:I12"/>
    <mergeCell ref="B80:H80"/>
    <mergeCell ref="B76:H76"/>
    <mergeCell ref="A26:I26"/>
    <mergeCell ref="B41:H41"/>
    <mergeCell ref="B79:H79"/>
    <mergeCell ref="B54:H54"/>
    <mergeCell ref="A4:I4"/>
    <mergeCell ref="A62:I62"/>
    <mergeCell ref="B81:H81"/>
    <mergeCell ref="B42:H42"/>
    <mergeCell ref="A34:I34"/>
    <mergeCell ref="B61:H61"/>
    <mergeCell ref="B53:H53"/>
    <mergeCell ref="A1:F1"/>
    <mergeCell ref="B82:H82"/>
    <mergeCell ref="B69:H69"/>
    <mergeCell ref="A70:I70"/>
    <mergeCell ref="A78:I78"/>
  </mergeCells>
  <conditionalFormatting sqref="C51:H5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2:H52">
    <cfRule type="cellIs" priority="3" operator="lessThan" dxfId="0">
      <formula>0</formula>
    </cfRule>
    <cfRule type="cellIs" priority="4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975.5599999999999</v>
      </c>
      <c r="J7" t="n">
        <v>165.44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2229000</v>
      </c>
      <c r="J8" t="n">
        <v>595061.38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290500</v>
      </c>
      <c r="J9" t="n">
        <v>67535.34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76260</v>
      </c>
      <c r="J10" t="n">
        <v>12123.54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1745</v>
      </c>
      <c r="J11" t="n">
        <v>214.99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2026-07-09T20:30:10Z</dcterms:created>
  <dcterms:modified xmlns:dcterms="http://purl.org/dc/terms/" xmlns:xsi="http://www.w3.org/2001/XMLSchema-instance" xsi:type="dcterms:W3CDTF">2026-07-09T20:30:10Z</dcterms:modified>
</cp:coreProperties>
</file>