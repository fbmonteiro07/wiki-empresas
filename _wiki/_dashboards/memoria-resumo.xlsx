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_dados" sheetId="2" state="hidden" r:id="rId2"/>
  </sheets>
  <definedNames>
    <definedName name="_xlnm.Print_Area" localSheetId="0">'RESUMO'!$A$1:$I$89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"/>
  </numFmts>
  <fonts count="10">
    <font>
      <name val="Calibri"/>
      <family val="2"/>
      <color theme="1"/>
      <sz val="11"/>
      <scheme val="minor"/>
    </font>
    <font>
      <b val="1"/>
      <color rgb="001F3A5F"/>
      <sz val="13"/>
    </font>
    <font>
      <color rgb="006B7280"/>
      <sz val="8"/>
    </font>
    <font>
      <b val="1"/>
      <color rgb="006B7280"/>
      <sz val="9"/>
    </font>
    <font>
      <b val="1"/>
      <color rgb="00B45309"/>
      <sz val="10"/>
    </font>
    <font>
      <b val="1"/>
      <color rgb="00FFFFFF"/>
      <sz val="10"/>
    </font>
    <font>
      <b val="1"/>
      <sz val="10"/>
    </font>
    <font>
      <i val="1"/>
      <color rgb="006B7280"/>
      <sz val="8"/>
    </font>
    <font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FBF3E4"/>
      </patternFill>
    </fill>
    <fill>
      <patternFill patternType="solid">
        <fgColor rgb="001F3A5F"/>
      </patternFill>
    </fill>
    <fill>
      <patternFill patternType="solid">
        <fgColor rgb="00FFF7DF"/>
      </patternFill>
    </fill>
  </fills>
  <borders count="2">
    <border>
      <left/>
      <right/>
      <top/>
      <bottom/>
      <diagonal/>
    </border>
    <border>
      <top style="hair">
        <color rgb="00D8DDE6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3" fillId="2" borderId="1" applyAlignment="1" pivotButton="0" quotePrefix="0" xfId="0">
      <alignment horizontal="right"/>
    </xf>
    <xf numFmtId="0" fontId="5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3" fontId="6" fillId="0" borderId="1" applyAlignment="1" pivotButton="0" quotePrefix="0" xfId="0">
      <alignment horizontal="right"/>
    </xf>
    <xf numFmtId="0" fontId="2" fillId="0" borderId="1" pivotButton="0" quotePrefix="0" xfId="0"/>
    <xf numFmtId="0" fontId="8" fillId="0" borderId="1" pivotButton="0" quotePrefix="0" xfId="0"/>
    <xf numFmtId="0" fontId="2" fillId="0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2" fontId="8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left"/>
    </xf>
    <xf numFmtId="165" fontId="6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166" fontId="8" fillId="4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9" fontId="6" fillId="0" borderId="1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b val="1"/>
        <color rgb="00C0392B"/>
      </font>
    </dxf>
    <dxf>
      <font>
        <color rgb="001D9E7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Capstone wiki</author>
  </authors>
  <commentList>
    <comment ref="A5" authorId="0" shapeId="0">
      <text>
        <t>CY23/24 = bits × ASP blended (UBS). CY25-27E = modelo UBS (street-high; o preço carrega, não os bits). 28E = bits ex-HBM engine (528,5 bn Gb) × DDR ASP do cenário + receita HBM do build (258,7 $bn).</t>
      </text>
    </comment>
    <comment ref="A7" authorId="0" shapeId="0">
      <text>
        <t>Negativo = déficit. Sub-oferta até ≥2Q28 (pior em 30 anos). 28E ≈ 0: virada mecânica — wafers de HBM estabilizam (~695k) e os adds novos vão inteiros para DDR.</t>
      </text>
    </comment>
    <comment ref="A8" authorId="0" shapeId="0">
      <text>
        <t>27E: UBS 2,67 / House 2,38 / Soft 1,69 $/Gb (dropdown). DDR ultrapassa HBM em prioridade de alocação em 26 (Redburn/TrendForce).</t>
      </text>
    </comment>
    <comment ref="A10" authorId="0" shapeId="0">
      <text>
        <t>Bottom-up por SKU (NVDA/TPU/AMD/AWS/MTIA...). 2,1× em 26E; 80 bn Gb em 28E.</t>
      </text>
    </comment>
    <comment ref="A11" authorId="0" shapeId="0">
      <text>
        <t>CY28 é o debate genuíno: house top-end $260bn vs UBS $250bn vs MS ~$230-240bn; teto cético "nunca $300bn".</t>
      </text>
    </comment>
    <comment ref="A13" authorId="0" shapeId="0">
      <text>
        <t>O driver: 100,6 -&gt; 253,6 bn Gb (25-&gt;27E). AI-server conv. (SOCAMM/RDIMM de rack) dentro.</t>
      </text>
    </comment>
    <comment ref="A22" authorId="0" shapeId="0">
      <text>
        <t>O segmento IA do NAND: eSSD de data center.</t>
      </text>
    </comment>
    <comment ref="A27" authorId="0" shapeId="0">
      <text>
        <t>UBS JÁ EMBUTE destruição: 1.249 → 1.124M em 26E (−10% a/a) quando o BOM de memória salta de 12% → 32% do custo. Edite para testar cortes maiores/menores.</t>
      </text>
    </comment>
    <comment ref="A31" authorId="0" shapeId="0">
      <text>
        <t>Quanto de demanda o próprio preço matou: units cortadas + conteúdo desacelerado vs a trajetória pré-aperto. ~10 bn Gb em 26E e ~13 bn Gb em 27E — ordem de 2-3% da demanda DRAM total.</t>
      </text>
    </comment>
    <comment ref="A32" authorId="0" shapeId="0">
      <text>
        <t>Se o handset NÃO tivesse cortado: 26E ≈ −10,7% (vs −8,1%) e 27E ≈ −3,7% (vs −1,2%). Denominadores: 386,7 = 358,3 bn Gb ex-HBM (engine, aba capacidade) + 28,4 HBM (build); 520,1 = 474,5 + 45,6 — base engine, ~2% abaixo da soma das linhas da banda B (bases UBS ligeiramente distintas). A destruição de demanda é o amortecedor que o bear case subestima.</t>
      </text>
    </comment>
    <comment ref="A45" authorId="0" shapeId="0">
      <text>
        <t>Oferta UBS 59,1 bn Gb 27E vs demanda house 45,6 (units Capstone abaixo da street) e vs Redburn 50 revisado por alocação — a folga é o debate. Share Fig 8: Hynix 59→48→39%, Samsung 20→30→41% (ULTRAPASSA em 27E), Micron ~21/21/20%.</t>
      </text>
    </comment>
    <comment ref="A56" authorId="0" shapeId="0">
      <text>
        <t>O aperto que o blended esconde: −14,6% em 27E. Vira ≈0 em 28E porque a demanda de wafers HBM flatten (~695k) e os adds novos vão p/ DDR.</t>
      </text>
    </comment>
    <comment ref="A57" authorId="0" shapeId="0">
      <text>
        <t>O DEBATE de 2027: com as NOSSAS units de IA (abaixo da street), 2026 segue ~−9% mas 2027 FLIPA para ~+3% equilibrado — vs UBS −1,2%. O 28E house é a visão do engine de wafers (≈0), não desta linha.</t>
      </text>
    </comment>
    <comment ref="A58" authorId="0" shapeId="0">
      <text>
        <t>Supply 995/1.172/1.410 vs demanda inv-adj 1.005/1.293/1.419 bn GB → −1,0%/−9,3%/−0,7%. ASP $/GB 0,07→0,26→0,37 (+5,5× do vale). Mesma forma da DRAM: aperto máximo em 26E.</t>
      </text>
    </comment>
    <comment ref="A61" authorId="0" shapeId="0">
      <text>
        <t>Caem 1.535→1.486 até 27E mesmo com capex recorde — tudo que entra é absorvido pelo HBM. 28E: 1.786 (a virada).</t>
      </text>
    </comment>
    <comment ref="A63" authorId="0" shapeId="0">
      <text>
        <t>Cada wafer migrado p/ HBM entrega ~1/3 dos bits (TSV/stacking/yield). Melhora ~25%/ano de densidade HBM (HBM4 12-16Hi).</t>
      </text>
    </comment>
    <comment ref="A64" authorId="0" shapeId="0">
      <text>
        <t>129 bn Gb em 27E = 24% da demanda — maior que o crescimento da própria demanda; driver #1 do preço de DDR.</t>
      </text>
    </comment>
    <comment ref="A76" authorId="0" shapeId="0">
      <text>
        <t>Sockets recalibrados = CPUs Bernstein ÷ servidores UBS (1,5-2,0×; o 2S flat superestimava ~25%). Bernstein: 31,8 / 51,6 / 61,6M em 25/27/28E, incl. Grace 6,1M (27E) sem DIMM.</t>
      </text>
    </comment>
    <comment ref="A79" authorId="0" shapeId="0">
      <text>
        <t>46→66 GB (25→27E) — cruza com mix 64→96/128GB RDIMM. MRDIMM = 12% do mix em 28E (Bernstein).</t>
      </text>
    </comment>
    <comment ref="A80" authorId="0" shapeId="0">
      <text>
        <t>Redburn: NVDA HBM ~$17-18/GB 2026 → $30-32/GB 2027 (+70-80%); JPM/Micron: blended +~30%. O build fica entre os dois.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I8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30" customWidth="1" min="9" max="9"/>
  </cols>
  <sheetData>
    <row r="1">
      <c r="A1" s="1" t="inlineStr">
        <is>
          <t>MEMÓRIA — RESUMO CAPSTONE  ·  DRAM ex-HBM · HBM · NAND</t>
        </is>
      </c>
      <c r="G1" s="2" t="inlineStr">
        <is>
          <t>gerado 2026-07-09</t>
        </is>
      </c>
    </row>
    <row r="2">
      <c r="A2" s="3" t="inlineStr">
        <is>
          <t>Cenário ASP 27E/28E →</t>
        </is>
      </c>
      <c r="C2" s="4" t="inlineStr">
        <is>
          <t>House</t>
        </is>
      </c>
      <c r="D2" s="2" t="inlineStr">
        <is>
          <t>dropdown muda ASPs 27E/28E e o P&amp;L (banda F). Fontes: coluna I + comentários nas células. Números em bn Gb salvo indicação.</t>
        </is>
      </c>
    </row>
    <row r="3">
      <c r="A3" s="5" t="inlineStr">
        <is>
          <t>linha</t>
        </is>
      </c>
      <c r="B3" s="5" t="inlineStr">
        <is>
          <t>unid.</t>
        </is>
      </c>
      <c r="C3" s="6" t="inlineStr">
        <is>
          <t>CY23</t>
        </is>
      </c>
      <c r="D3" s="6" t="inlineStr">
        <is>
          <t>CY24</t>
        </is>
      </c>
      <c r="E3" s="6" t="inlineStr">
        <is>
          <t>CY25</t>
        </is>
      </c>
      <c r="F3" s="7" t="inlineStr">
        <is>
          <t>CY26E</t>
        </is>
      </c>
      <c r="G3" s="7" t="inlineStr">
        <is>
          <t>CY27E</t>
        </is>
      </c>
      <c r="H3" s="7" t="inlineStr">
        <is>
          <t>CY28E</t>
        </is>
      </c>
      <c r="I3" s="5" t="inlineStr">
        <is>
          <t>fonte</t>
        </is>
      </c>
    </row>
    <row r="4" ht="15" customHeight="1">
      <c r="A4" s="8" t="inlineStr">
        <is>
          <t>A · O CICLO EM 6 LINHAS</t>
        </is>
      </c>
      <c r="B4" s="9" t="n"/>
      <c r="C4" s="9" t="n"/>
      <c r="D4" s="9" t="n"/>
      <c r="E4" s="9" t="n"/>
      <c r="F4" s="9" t="n"/>
      <c r="G4" s="9" t="n"/>
      <c r="H4" s="9" t="n"/>
      <c r="I4" s="9" t="n"/>
    </row>
    <row r="5">
      <c r="A5" s="10" t="inlineStr">
        <is>
          <t>Receita DRAM (indústria)</t>
        </is>
      </c>
      <c r="B5" s="11" t="inlineStr">
        <is>
          <t>$bn</t>
        </is>
      </c>
      <c r="C5" s="12" t="n">
        <v>56.1770773127564</v>
      </c>
      <c r="D5" s="12" t="n">
        <v>92.395741643463</v>
      </c>
      <c r="E5" s="12" t="n">
        <v>150.894</v>
      </c>
      <c r="F5" s="12" t="n">
        <v>691.595</v>
      </c>
      <c r="G5" s="12" t="n">
        <v>1248.138</v>
      </c>
      <c r="H5" s="12">
        <f>ROUND(528.5/8*INDEX(_dados!$D$2:$D$4,MATCH($C$2,_dados!$A$2:$A$4,0))*8,0)+258.7</f>
        <v/>
      </c>
      <c r="I5" s="13" t="inlineStr">
        <is>
          <t>UBS 03-jul-26 · 28E engine+build</t>
        </is>
      </c>
    </row>
    <row r="6">
      <c r="A6" s="14" t="inlineStr">
        <is>
          <t>Receita NAND (indústria)</t>
        </is>
      </c>
      <c r="B6" s="11" t="inlineStr">
        <is>
          <t>$bn</t>
        </is>
      </c>
      <c r="C6" s="15" t="inlineStr">
        <is>
          <t>···</t>
        </is>
      </c>
      <c r="D6" s="15" t="inlineStr">
        <is>
          <t>···</t>
        </is>
      </c>
      <c r="E6" s="16" t="n">
        <v>65.31699999999999</v>
      </c>
      <c r="F6" s="16" t="n">
        <v>300.248</v>
      </c>
      <c r="G6" s="16" t="n">
        <v>515.12</v>
      </c>
      <c r="H6" s="15" t="inlineStr">
        <is>
          <t>—</t>
        </is>
      </c>
      <c r="I6" s="13" t="inlineStr">
        <is>
          <t>UBS 03-jul-26</t>
        </is>
      </c>
    </row>
    <row r="7">
      <c r="A7" s="14" t="inlineStr">
        <is>
          <t>Suficiência DRAM (S/D−1)</t>
        </is>
      </c>
      <c r="B7" s="11" t="inlineStr">
        <is>
          <t>%</t>
        </is>
      </c>
      <c r="C7" s="17" t="n">
        <v>-0.0036</v>
      </c>
      <c r="D7" s="17" t="n">
        <v>-0.0233</v>
      </c>
      <c r="E7" s="17" t="n">
        <v>-0.0235</v>
      </c>
      <c r="F7" s="17" t="n">
        <v>-0.0813</v>
      </c>
      <c r="G7" s="17" t="n">
        <v>-0.012</v>
      </c>
      <c r="H7" s="15" t="inlineStr">
        <is>
          <t>≈0 eng.</t>
        </is>
      </c>
      <c r="I7" s="13" t="inlineStr">
        <is>
          <t>UBS · engine 28E</t>
        </is>
      </c>
    </row>
    <row r="8">
      <c r="A8" s="14" t="inlineStr">
        <is>
          <t>ASP DRAM blended</t>
        </is>
      </c>
      <c r="B8" s="11" t="inlineStr">
        <is>
          <t>$/Gb</t>
        </is>
      </c>
      <c r="C8" s="18" t="n">
        <v>0.25756</v>
      </c>
      <c r="D8" s="18" t="n">
        <v>0.36345</v>
      </c>
      <c r="E8" s="18" t="n">
        <v>0.4797825153813135</v>
      </c>
      <c r="F8" s="18" t="n">
        <v>1.778638184932388</v>
      </c>
      <c r="G8" s="18">
        <f>INDEX(_dados!$B$2:$B$4,MATCH($C$2,_dados!$A$2:$A$4,0))</f>
        <v/>
      </c>
      <c r="H8" s="18">
        <f>INDEX(_dados!$D$2:$D$4,MATCH($C$2,_dados!$A$2:$A$4,0))</f>
        <v/>
      </c>
      <c r="I8" s="13" t="inlineStr">
        <is>
          <t>UBS · 27/28E = cenário</t>
        </is>
      </c>
    </row>
    <row r="9">
      <c r="A9" s="10" t="inlineStr">
        <is>
          <t>Marcação a mercado (spot vs modelo)</t>
        </is>
      </c>
      <c r="B9" s="19" t="inlineStr">
        <is>
          <t>DDR5 spot 22.47 (jul) vs contract 12.25 (jun) — meses e bases distintos, spot ~80% acima · RDIMM 64GB 20.47 (jun) · NAND 512Gb 0.384 contract / 0.322 spot — série e unidades = aba de preços da bíblia (TrendForce); direção valida o 26E</t>
        </is>
      </c>
      <c r="C9" s="9" t="n"/>
      <c r="D9" s="9" t="n"/>
      <c r="E9" s="9" t="n"/>
      <c r="F9" s="9" t="n"/>
      <c r="G9" s="9" t="n"/>
      <c r="H9" s="9" t="n"/>
      <c r="I9" s="13" t="inlineStr">
        <is>
          <t>bíblia px (TrendForce/spot)</t>
        </is>
      </c>
    </row>
    <row r="10">
      <c r="A10" s="10" t="inlineStr">
        <is>
          <t>Demanda HBM</t>
        </is>
      </c>
      <c r="B10" s="11" t="inlineStr">
        <is>
          <t>bn Gb</t>
        </is>
      </c>
      <c r="C10" s="20" t="n">
        <v>2.2</v>
      </c>
      <c r="D10" s="20" t="n">
        <v>5.6</v>
      </c>
      <c r="E10" s="20" t="n">
        <v>13.4</v>
      </c>
      <c r="F10" s="20" t="n">
        <v>28.4</v>
      </c>
      <c r="G10" s="20" t="n">
        <v>45.6</v>
      </c>
      <c r="H10" s="20" t="n">
        <v>80</v>
      </c>
      <c r="I10" s="13" t="inlineStr">
        <is>
          <t>build Capstone 40+ SKUs</t>
        </is>
      </c>
    </row>
    <row r="11">
      <c r="A11" s="14" t="inlineStr">
        <is>
          <t>WFE total</t>
        </is>
      </c>
      <c r="B11" s="11" t="inlineStr">
        <is>
          <t>$bn</t>
        </is>
      </c>
      <c r="C11" s="21" t="n">
        <v>95.76000000000001</v>
      </c>
      <c r="D11" s="21" t="n">
        <v>100.34</v>
      </c>
      <c r="E11" s="21" t="n">
        <v>109.62</v>
      </c>
      <c r="F11" s="21" t="n">
        <v>158.4</v>
      </c>
      <c r="G11" s="21" t="n">
        <v>214.9</v>
      </c>
      <c r="H11" s="21" t="n">
        <v>260</v>
      </c>
      <c r="I11" s="13" t="inlineStr">
        <is>
          <t>UBS · ledger wfe-tam</t>
        </is>
      </c>
    </row>
    <row r="12" ht="15" customHeight="1">
      <c r="A12" s="8" t="inlineStr">
        <is>
          <t>B · DEMANDA POR APLICAÇÃO (bn Gb)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14" t="inlineStr">
        <is>
          <t>DRAM ex-HBM — Servidor DDR</t>
        </is>
      </c>
      <c r="B13" s="11" t="inlineStr">
        <is>
          <t>bn Gb</t>
        </is>
      </c>
      <c r="C13" s="21" t="n">
        <v>56.355</v>
      </c>
      <c r="D13" s="21" t="n">
        <v>65.224</v>
      </c>
      <c r="E13" s="21" t="n">
        <v>100.602</v>
      </c>
      <c r="F13" s="21" t="n">
        <v>146.482</v>
      </c>
      <c r="G13" s="21" t="n">
        <v>253.56</v>
      </c>
      <c r="H13" s="15" t="inlineStr">
        <is>
          <t>—</t>
        </is>
      </c>
      <c r="I13" s="13" t="inlineStr">
        <is>
          <t>UBS Fig.30-39</t>
        </is>
      </c>
    </row>
    <row r="14">
      <c r="A14" s="14" t="inlineStr">
        <is>
          <t xml:space="preserve">    Mobile</t>
        </is>
      </c>
      <c r="B14" s="11" t="inlineStr">
        <is>
          <t>bn Gb</t>
        </is>
      </c>
      <c r="C14" s="21" t="n">
        <v>62.9542871</v>
      </c>
      <c r="D14" s="21" t="n">
        <v>74.63466022</v>
      </c>
      <c r="E14" s="21" t="n">
        <v>86.2634848</v>
      </c>
      <c r="F14" s="21" t="n">
        <v>85.74260989999999</v>
      </c>
      <c r="G14" s="21" t="n">
        <v>92.14804747000001</v>
      </c>
      <c r="H14" s="15" t="inlineStr">
        <is>
          <t>—</t>
        </is>
      </c>
      <c r="I14" s="13" t="inlineStr">
        <is>
          <t>UBS</t>
        </is>
      </c>
    </row>
    <row r="15">
      <c r="A15" s="14" t="inlineStr">
        <is>
          <t xml:space="preserve">    PC</t>
        </is>
      </c>
      <c r="B15" s="11" t="inlineStr">
        <is>
          <t>bn Gb</t>
        </is>
      </c>
      <c r="C15" s="21" t="n">
        <v>21.91033044</v>
      </c>
      <c r="D15" s="21" t="n">
        <v>23.09051243</v>
      </c>
      <c r="E15" s="21" t="n">
        <v>27.75808971</v>
      </c>
      <c r="F15" s="21" t="n">
        <v>26.48964219</v>
      </c>
      <c r="G15" s="21" t="n">
        <v>27.80600655</v>
      </c>
      <c r="H15" s="15" t="inlineStr">
        <is>
          <t>—</t>
        </is>
      </c>
      <c r="I15" s="13" t="inlineStr">
        <is>
          <t>UBS</t>
        </is>
      </c>
    </row>
    <row r="16">
      <c r="A16" s="14" t="inlineStr">
        <is>
          <t xml:space="preserve">    Graphics + consumer + outros</t>
        </is>
      </c>
      <c r="B16" s="11" t="inlineStr">
        <is>
          <t>bn Gb</t>
        </is>
      </c>
      <c r="C16" s="21" t="n">
        <v>79.77858463</v>
      </c>
      <c r="D16" s="21" t="n">
        <v>87.12158190000001</v>
      </c>
      <c r="E16" s="21" t="n">
        <v>98.08684427</v>
      </c>
      <c r="F16" s="21" t="n">
        <v>108.48115314</v>
      </c>
      <c r="G16" s="21" t="n">
        <v>111.01416067</v>
      </c>
      <c r="H16" s="15" t="inlineStr">
        <is>
          <t>—</t>
        </is>
      </c>
      <c r="I16" s="13" t="inlineStr">
        <is>
          <t>UBS (agregado)</t>
        </is>
      </c>
    </row>
    <row r="17">
      <c r="A17" s="10" t="inlineStr">
        <is>
          <t>DRAM ex-HBM — total</t>
        </is>
      </c>
      <c r="B17" s="11" t="inlineStr">
        <is>
          <t>bn Gb</t>
        </is>
      </c>
      <c r="C17" s="20" t="n">
        <v>220.99820217</v>
      </c>
      <c r="D17" s="20" t="n">
        <v>250.07075455</v>
      </c>
      <c r="E17" s="20" t="n">
        <v>312.71041878</v>
      </c>
      <c r="F17" s="20" t="n">
        <v>367.19540523</v>
      </c>
      <c r="G17" s="20" t="n">
        <v>484.52821469</v>
      </c>
      <c r="H17" s="20" t="n">
        <v>528.5</v>
      </c>
      <c r="I17" s="13" t="inlineStr">
        <is>
          <t>UBS · 28E engine</t>
        </is>
      </c>
    </row>
    <row r="18">
      <c r="A18" s="14" t="inlineStr">
        <is>
          <t>HBM — NVIDIA</t>
        </is>
      </c>
      <c r="B18" s="11" t="inlineStr">
        <is>
          <t>bn Gb</t>
        </is>
      </c>
      <c r="C18" s="21" t="n">
        <v>1.65312</v>
      </c>
      <c r="D18" s="21" t="n">
        <v>3.870488</v>
      </c>
      <c r="E18" s="21" t="n">
        <v>9.43032</v>
      </c>
      <c r="F18" s="21" t="n">
        <v>17.18208</v>
      </c>
      <c r="G18" s="21" t="n">
        <v>17.6832</v>
      </c>
      <c r="H18" s="21" t="n">
        <v>30.2464</v>
      </c>
      <c r="I18" s="13" t="inlineStr">
        <is>
          <t>build (SKUs)</t>
        </is>
      </c>
    </row>
    <row r="19">
      <c r="A19" s="14" t="inlineStr">
        <is>
          <t xml:space="preserve">    Google TPU + AMD + AWS + outros</t>
        </is>
      </c>
      <c r="B19" s="11" t="inlineStr">
        <is>
          <t>bn Gb</t>
        </is>
      </c>
      <c r="C19" s="21" t="n">
        <v>0.5622782842226663</v>
      </c>
      <c r="D19" s="21" t="n">
        <v>1.713812191255346</v>
      </c>
      <c r="E19" s="21" t="n">
        <v>3.976088314703881</v>
      </c>
      <c r="F19" s="21" t="n">
        <v>11.19697517303506</v>
      </c>
      <c r="G19" s="21" t="n">
        <v>27.9392</v>
      </c>
      <c r="H19" s="21" t="n">
        <v>49.7632</v>
      </c>
      <c r="I19" s="13" t="inlineStr">
        <is>
          <t>build (agregado)</t>
        </is>
      </c>
    </row>
    <row r="20">
      <c r="A20" s="10" t="inlineStr">
        <is>
          <t>HBM — total</t>
        </is>
      </c>
      <c r="B20" s="11" t="inlineStr">
        <is>
          <t>bn Gb</t>
        </is>
      </c>
      <c r="C20" s="20" t="n">
        <v>2.2</v>
      </c>
      <c r="D20" s="20" t="n">
        <v>5.6</v>
      </c>
      <c r="E20" s="20" t="n">
        <v>13.4</v>
      </c>
      <c r="F20" s="20" t="n">
        <v>28.4</v>
      </c>
      <c r="G20" s="20" t="n">
        <v>45.6</v>
      </c>
      <c r="H20" s="20" t="n">
        <v>80</v>
      </c>
      <c r="I20" s="13" t="inlineStr">
        <is>
          <t>build</t>
        </is>
      </c>
    </row>
    <row r="21">
      <c r="A21" s="14" t="inlineStr">
        <is>
          <t>NAND — Mobile</t>
        </is>
      </c>
      <c r="B21" s="11" t="inlineStr">
        <is>
          <t>bn GB</t>
        </is>
      </c>
      <c r="C21" s="21" t="n">
        <v>215.36717617</v>
      </c>
      <c r="D21" s="21" t="n">
        <v>245.34244162</v>
      </c>
      <c r="E21" s="21" t="n">
        <v>286.59089957</v>
      </c>
      <c r="F21" s="21" t="n">
        <v>292.58646033</v>
      </c>
      <c r="G21" s="21" t="n">
        <v>316.88347452</v>
      </c>
      <c r="H21" s="15" t="inlineStr">
        <is>
          <t>—</t>
        </is>
      </c>
      <c r="I21" s="13" t="inlineStr">
        <is>
          <t>UBS</t>
        </is>
      </c>
    </row>
    <row r="22">
      <c r="A22" s="14" t="inlineStr">
        <is>
          <t xml:space="preserve">    eSSD (servidores)</t>
        </is>
      </c>
      <c r="B22" s="11" t="inlineStr">
        <is>
          <t>bn GB</t>
        </is>
      </c>
      <c r="C22" s="21" t="n">
        <v>142.33054081</v>
      </c>
      <c r="D22" s="21" t="n">
        <v>177.36584798</v>
      </c>
      <c r="E22" s="21" t="n">
        <v>257.32064393</v>
      </c>
      <c r="F22" s="21" t="n">
        <v>402.12782862</v>
      </c>
      <c r="G22" s="21" t="n">
        <v>591.1952695000001</v>
      </c>
      <c r="H22" s="15" t="inlineStr">
        <is>
          <t>—</t>
        </is>
      </c>
      <c r="I22" s="13" t="inlineStr">
        <is>
          <t>UBS</t>
        </is>
      </c>
    </row>
    <row r="23">
      <c r="A23" s="14" t="inlineStr">
        <is>
          <t xml:space="preserve">    SSD client + storage + outros</t>
        </is>
      </c>
      <c r="B23" s="11" t="inlineStr">
        <is>
          <t>bn GB</t>
        </is>
      </c>
      <c r="C23" s="21" t="n">
        <v>307.23105626</v>
      </c>
      <c r="D23" s="21" t="n">
        <v>317.98989307</v>
      </c>
      <c r="E23" s="21" t="n">
        <v>345.98533822</v>
      </c>
      <c r="F23" s="21" t="n">
        <v>392.45068771</v>
      </c>
      <c r="G23" s="21" t="n">
        <v>471.40197771</v>
      </c>
      <c r="H23" s="15" t="inlineStr">
        <is>
          <t>—</t>
        </is>
      </c>
      <c r="I23" s="13" t="inlineStr">
        <is>
          <t>UBS (agregado)</t>
        </is>
      </c>
    </row>
    <row r="24">
      <c r="A24" s="14" t="inlineStr">
        <is>
          <t xml:space="preserve">    Embedded + cartões + tablet</t>
        </is>
      </c>
      <c r="B24" s="11" t="inlineStr">
        <is>
          <t>bn GB</t>
        </is>
      </c>
      <c r="C24" s="21" t="n">
        <v>149.9296335</v>
      </c>
      <c r="D24" s="21" t="n">
        <v>175.80577849</v>
      </c>
      <c r="E24" s="21" t="n">
        <v>190.72433304</v>
      </c>
      <c r="F24" s="21" t="n">
        <v>209.29109086</v>
      </c>
      <c r="G24" s="21" t="n">
        <v>215.75090386</v>
      </c>
      <c r="H24" s="15" t="inlineStr">
        <is>
          <t>—</t>
        </is>
      </c>
      <c r="I24" s="13" t="inlineStr">
        <is>
          <t>UBS (agregado)</t>
        </is>
      </c>
    </row>
    <row r="25">
      <c r="A25" s="10" t="inlineStr">
        <is>
          <t>NAND — total</t>
        </is>
      </c>
      <c r="B25" s="11" t="inlineStr">
        <is>
          <t>bn GB</t>
        </is>
      </c>
      <c r="C25" s="20" t="n">
        <v>814.8584067300001</v>
      </c>
      <c r="D25" s="20" t="n">
        <v>916.5039611599999</v>
      </c>
      <c r="E25" s="20" t="n">
        <v>1080.62121476</v>
      </c>
      <c r="F25" s="20" t="n">
        <v>1296.45606753</v>
      </c>
      <c r="G25" s="20" t="n">
        <v>1595.23162558</v>
      </c>
      <c r="H25" s="15" t="inlineStr">
        <is>
          <t>—</t>
        </is>
      </c>
      <c r="I25" s="13" t="inlineStr">
        <is>
          <t>UBS</t>
        </is>
      </c>
    </row>
    <row r="26" ht="15" customHeight="1">
      <c r="A26" s="8" t="inlineStr">
        <is>
          <t>B2 · SMARTPHONE — DESTRUIÇÃO DE DEMANDA (células amarelas: edite p/ sensibilizar)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14" t="inlineStr">
        <is>
          <t>Units smartphone (base UBS — já com corte)</t>
        </is>
      </c>
      <c r="B27" s="11" t="inlineStr">
        <is>
          <t>M</t>
        </is>
      </c>
      <c r="C27" s="22" t="n">
        <v>1152</v>
      </c>
      <c r="D27" s="22" t="n">
        <v>1217</v>
      </c>
      <c r="E27" s="22" t="n">
        <v>1249</v>
      </c>
      <c r="F27" s="22" t="n">
        <v>1124</v>
      </c>
      <c r="G27" s="22" t="n">
        <v>1146</v>
      </c>
      <c r="H27" s="22" t="n">
        <v>1160</v>
      </c>
      <c r="I27" s="13" t="inlineStr">
        <is>
          <t>UBS via engine Capstone (handset)</t>
        </is>
      </c>
    </row>
    <row r="28">
      <c r="A28" s="14" t="inlineStr">
        <is>
          <t>DRAM GB/unidade (base UBS — conteúdo desacelera)</t>
        </is>
      </c>
      <c r="B28" s="11" t="inlineStr">
        <is>
          <t>GB</t>
        </is>
      </c>
      <c r="C28" s="23" t="n">
        <v>6.8</v>
      </c>
      <c r="D28" s="23" t="n">
        <v>7.7</v>
      </c>
      <c r="E28" s="23" t="n">
        <v>8.1</v>
      </c>
      <c r="F28" s="23" t="n">
        <v>8.9</v>
      </c>
      <c r="G28" s="23" t="n">
        <v>9.4</v>
      </c>
      <c r="H28" s="23" t="n">
        <v>10.2</v>
      </c>
      <c r="I28" s="13" t="inlineStr">
        <is>
          <t>UBS</t>
        </is>
      </c>
    </row>
    <row r="29">
      <c r="A29" s="14" t="inlineStr">
        <is>
          <t>Units contrafactual (sem aperto de preço)</t>
        </is>
      </c>
      <c r="B29" s="11" t="inlineStr">
        <is>
          <t>M</t>
        </is>
      </c>
      <c r="C29" s="22" t="n">
        <v>1152</v>
      </c>
      <c r="D29" s="22" t="n">
        <v>1217</v>
      </c>
      <c r="E29" s="22" t="n">
        <v>1249</v>
      </c>
      <c r="F29" s="22" t="n">
        <v>1249</v>
      </c>
      <c r="G29" s="22" t="n">
        <v>1249</v>
      </c>
      <c r="H29" s="22" t="n">
        <v>1249</v>
      </c>
      <c r="I29" s="13" t="inlineStr">
        <is>
          <t>EST: flat @ 1.249M pós-25</t>
        </is>
      </c>
    </row>
    <row r="30">
      <c r="A30" s="14" t="inlineStr">
        <is>
          <t>GB/unidade contrafactual (tendência +10,5%/ano)</t>
        </is>
      </c>
      <c r="B30" s="11" t="inlineStr">
        <is>
          <t>GB</t>
        </is>
      </c>
      <c r="C30" s="23" t="n">
        <v>6.8</v>
      </c>
      <c r="D30" s="23" t="n">
        <v>7.7</v>
      </c>
      <c r="E30" s="23" t="n">
        <v>8.1</v>
      </c>
      <c r="F30" s="23" t="n">
        <v>9</v>
      </c>
      <c r="G30" s="23" t="n">
        <v>9.9</v>
      </c>
      <c r="H30" s="23" t="n">
        <v>10.9</v>
      </c>
      <c r="I30" s="13" t="inlineStr">
        <is>
          <t>EST: CAGR 22-25 real mantido</t>
        </is>
      </c>
    </row>
    <row r="31">
      <c r="A31" s="10" t="inlineStr">
        <is>
          <t>Demanda DRAM destruída (contrafactual − base)</t>
        </is>
      </c>
      <c r="B31" s="11" t="inlineStr">
        <is>
          <t>bn Gb</t>
        </is>
      </c>
      <c r="C31" s="20">
        <f>(C29*C30-C27*C28)*8/1000</f>
        <v/>
      </c>
      <c r="D31" s="20">
        <f>(D29*D30-D27*D28)*8/1000</f>
        <v/>
      </c>
      <c r="E31" s="20">
        <f>(E29*E30-E27*E28)*8/1000</f>
        <v/>
      </c>
      <c r="F31" s="20">
        <f>(F29*F30-F27*F28)*8/1000</f>
        <v/>
      </c>
      <c r="G31" s="20">
        <f>(G29*G30-G27*G28)*8/1000</f>
        <v/>
      </c>
      <c r="H31" s="20">
        <f>(H29*H30-H27*H28)*8/1000</f>
        <v/>
      </c>
      <c r="I31" s="13" t="inlineStr">
        <is>
          <t>fórmula (viva)</t>
        </is>
      </c>
    </row>
    <row r="32">
      <c r="A32" s="10" t="inlineStr">
        <is>
          <t>Suficiência DRAM sem a destruição (contrafactual)</t>
        </is>
      </c>
      <c r="B32" s="11" t="inlineStr">
        <is>
          <t>%</t>
        </is>
      </c>
      <c r="C32" s="15" t="inlineStr">
        <is>
          <t>—</t>
        </is>
      </c>
      <c r="D32" s="15" t="inlineStr">
        <is>
          <t>—</t>
        </is>
      </c>
      <c r="E32" s="15" t="inlineStr">
        <is>
          <t>—</t>
        </is>
      </c>
      <c r="F32" s="24">
        <f>-0.0813-F31/386.7</f>
        <v/>
      </c>
      <c r="G32" s="24">
        <f>-0.012-G31/520.1</f>
        <v/>
      </c>
      <c r="H32" s="15" t="inlineStr">
        <is>
          <t>—</t>
        </is>
      </c>
      <c r="I32" s="13" t="inlineStr">
        <is>
          <t>aprox.: suff − destruição ÷ demanda</t>
        </is>
      </c>
    </row>
    <row r="33">
      <c r="A33" s="10" t="inlineStr">
        <is>
          <t xml:space="preserve">    leitura</t>
        </is>
      </c>
      <c r="B33" s="19" t="inlineStr">
        <is>
          <t>a elasticidade já trabalhou: sem o corte de units+conteúdo o déficit 27E seria ~3× maior (−3,7% vs −1,2%). NAND análogo (238→253 GB/unit) não modelado aqui.</t>
        </is>
      </c>
      <c r="C33" s="9" t="n"/>
      <c r="D33" s="9" t="n"/>
      <c r="E33" s="9" t="n"/>
      <c r="F33" s="9" t="n"/>
      <c r="G33" s="9" t="n"/>
      <c r="H33" s="9" t="n"/>
      <c r="I33" s="13" t="inlineStr">
        <is>
          <t>Capstone</t>
        </is>
      </c>
    </row>
    <row r="34" ht="15" customHeight="1">
      <c r="A34" s="8" t="inlineStr">
        <is>
          <t>C · OFERTA POR EMPRESA (bn Gb produção)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</row>
    <row r="35">
      <c r="A35" s="14" t="inlineStr">
        <is>
          <t>DRAM — Samsung</t>
        </is>
      </c>
      <c r="B35" s="11" t="inlineStr">
        <is>
          <t>bn Gb</t>
        </is>
      </c>
      <c r="C35" s="21" t="n">
        <v>96.09808794</v>
      </c>
      <c r="D35" s="21" t="n">
        <v>109.60590702</v>
      </c>
      <c r="E35" s="21" t="n">
        <v>120.25075122</v>
      </c>
      <c r="F35" s="21" t="n">
        <v>146.50516424</v>
      </c>
      <c r="G35" s="21" t="n">
        <v>173.7490395</v>
      </c>
      <c r="H35" s="15" t="inlineStr">
        <is>
          <t>—</t>
        </is>
      </c>
      <c r="I35" s="13" t="inlineStr">
        <is>
          <t>UBS</t>
        </is>
      </c>
    </row>
    <row r="36">
      <c r="A36" s="14" t="inlineStr">
        <is>
          <t>DRAM — SK Hynix</t>
        </is>
      </c>
      <c r="B36" s="11" t="inlineStr">
        <is>
          <t>bn Gb</t>
        </is>
      </c>
      <c r="C36" s="21" t="n">
        <v>63.9216435</v>
      </c>
      <c r="D36" s="21" t="n">
        <v>74.84890897000001</v>
      </c>
      <c r="E36" s="21" t="n">
        <v>93.01435189</v>
      </c>
      <c r="F36" s="21" t="n">
        <v>116.90085167</v>
      </c>
      <c r="G36" s="21" t="n">
        <v>137.40942497</v>
      </c>
      <c r="H36" s="15" t="inlineStr">
        <is>
          <t>—</t>
        </is>
      </c>
      <c r="I36" s="13" t="inlineStr">
        <is>
          <t>UBS</t>
        </is>
      </c>
    </row>
    <row r="37">
      <c r="A37" s="14" t="inlineStr">
        <is>
          <t>DRAM — Micron</t>
        </is>
      </c>
      <c r="B37" s="11" t="inlineStr">
        <is>
          <t>bn Gb</t>
        </is>
      </c>
      <c r="C37" s="21" t="n">
        <v>47.45259624</v>
      </c>
      <c r="D37" s="21" t="n">
        <v>60.41300758</v>
      </c>
      <c r="E37" s="21" t="n">
        <v>73.60479121</v>
      </c>
      <c r="F37" s="21" t="n">
        <v>90.90226071000001</v>
      </c>
      <c r="G37" s="21" t="n">
        <v>107.16543114</v>
      </c>
      <c r="H37" s="15" t="inlineStr">
        <is>
          <t>—</t>
        </is>
      </c>
      <c r="I37" s="13" t="inlineStr">
        <is>
          <t>UBS</t>
        </is>
      </c>
    </row>
    <row r="38">
      <c r="A38" s="14" t="inlineStr">
        <is>
          <t>DRAM — CXMT</t>
        </is>
      </c>
      <c r="B38" s="11" t="inlineStr">
        <is>
          <t>bn Gb</t>
        </is>
      </c>
      <c r="C38" s="21" t="n">
        <v>2.08802045</v>
      </c>
      <c r="D38" s="21" t="n">
        <v>11.04604147</v>
      </c>
      <c r="E38" s="21" t="n">
        <v>22.16155778</v>
      </c>
      <c r="F38" s="21" t="n">
        <v>28.3206042</v>
      </c>
      <c r="G38" s="21" t="n">
        <v>38.76585458</v>
      </c>
      <c r="H38" s="15" t="inlineStr">
        <is>
          <t>—</t>
        </is>
      </c>
      <c r="I38" s="13" t="inlineStr">
        <is>
          <t>UBS</t>
        </is>
      </c>
    </row>
    <row r="39">
      <c r="A39" s="14" t="inlineStr">
        <is>
          <t xml:space="preserve">    Nanya + outros</t>
        </is>
      </c>
      <c r="B39" s="11" t="inlineStr">
        <is>
          <t>bn Gb</t>
        </is>
      </c>
      <c r="C39" s="21" t="n">
        <v>3.78080579</v>
      </c>
      <c r="D39" s="21" t="n">
        <v>3.81357428</v>
      </c>
      <c r="E39" s="21" t="n">
        <v>5.473114359999999</v>
      </c>
      <c r="F39" s="21" t="n">
        <v>6.20557936</v>
      </c>
      <c r="G39" s="21" t="n">
        <v>6.72468912</v>
      </c>
      <c r="H39" s="15" t="inlineStr">
        <is>
          <t>—</t>
        </is>
      </c>
      <c r="I39" s="13" t="inlineStr">
        <is>
          <t>UBS (agregado)</t>
        </is>
      </c>
    </row>
    <row r="40">
      <c r="A40" s="10" t="inlineStr">
        <is>
          <t>DRAM — total oferta</t>
        </is>
      </c>
      <c r="B40" s="11" t="inlineStr">
        <is>
          <t>bn Gb</t>
        </is>
      </c>
      <c r="C40" s="20" t="n">
        <v>213.34115392</v>
      </c>
      <c r="D40" s="20" t="n">
        <v>259.72743932</v>
      </c>
      <c r="E40" s="20" t="n">
        <v>314.50456646</v>
      </c>
      <c r="F40" s="20" t="n">
        <v>388.83446018</v>
      </c>
      <c r="G40" s="20" t="n">
        <v>463.81443931</v>
      </c>
      <c r="H40" s="15" t="inlineStr">
        <is>
          <t>—</t>
        </is>
      </c>
      <c r="I40" s="13" t="inlineStr">
        <is>
          <t>UBS</t>
        </is>
      </c>
    </row>
    <row r="41">
      <c r="A41" s="10" t="inlineStr">
        <is>
          <t xml:space="preserve">    share 27E</t>
        </is>
      </c>
      <c r="B41" s="19" t="inlineStr">
        <is>
          <t>Samsung 37% · SK Hynix 30% · Micron 23% · CXMT 8%</t>
        </is>
      </c>
      <c r="C41" s="9" t="n"/>
      <c r="D41" s="9" t="n"/>
      <c r="E41" s="9" t="n"/>
      <c r="F41" s="9" t="n"/>
      <c r="G41" s="9" t="n"/>
      <c r="H41" s="9" t="n"/>
      <c r="I41" s="13" t="inlineStr">
        <is>
          <t>calc</t>
        </is>
      </c>
    </row>
    <row r="42">
      <c r="A42" s="14" t="inlineStr">
        <is>
          <t>HBM — SK Hynix</t>
        </is>
      </c>
      <c r="B42" s="11" t="inlineStr">
        <is>
          <t>bn Gb</t>
        </is>
      </c>
      <c r="C42" s="15" t="inlineStr">
        <is>
          <t>—</t>
        </is>
      </c>
      <c r="D42" s="15" t="inlineStr">
        <is>
          <t>—</t>
        </is>
      </c>
      <c r="E42" s="21" t="n">
        <v>12.7</v>
      </c>
      <c r="F42" s="21" t="n">
        <v>17.5</v>
      </c>
      <c r="G42" s="21" t="n">
        <v>23</v>
      </c>
      <c r="H42" s="15" t="inlineStr">
        <is>
          <t>—</t>
        </is>
      </c>
      <c r="I42" s="13" t="inlineStr">
        <is>
          <t>UBS Fig 3 × Fig 8 (03-jul)</t>
        </is>
      </c>
    </row>
    <row r="43">
      <c r="A43" s="14" t="inlineStr">
        <is>
          <t>HBM — Samsung</t>
        </is>
      </c>
      <c r="B43" s="11" t="inlineStr">
        <is>
          <t>bn Gb</t>
        </is>
      </c>
      <c r="C43" s="15" t="inlineStr">
        <is>
          <t>—</t>
        </is>
      </c>
      <c r="D43" s="15" t="inlineStr">
        <is>
          <t>—</t>
        </is>
      </c>
      <c r="E43" s="21" t="n">
        <v>4.3</v>
      </c>
      <c r="F43" s="21" t="n">
        <v>11</v>
      </c>
      <c r="G43" s="21" t="n">
        <v>24.2</v>
      </c>
      <c r="H43" s="15" t="inlineStr">
        <is>
          <t>—</t>
        </is>
      </c>
      <c r="I43" s="13" t="inlineStr">
        <is>
          <t>UBS Fig 3 × Fig 8 (03-jul)</t>
        </is>
      </c>
    </row>
    <row r="44">
      <c r="A44" s="14" t="inlineStr">
        <is>
          <t>HBM — Micron</t>
        </is>
      </c>
      <c r="B44" s="11" t="inlineStr">
        <is>
          <t>bn Gb</t>
        </is>
      </c>
      <c r="C44" s="15" t="inlineStr">
        <is>
          <t>—</t>
        </is>
      </c>
      <c r="D44" s="15" t="inlineStr">
        <is>
          <t>—</t>
        </is>
      </c>
      <c r="E44" s="21" t="n">
        <v>4.5</v>
      </c>
      <c r="F44" s="21" t="n">
        <v>7.7</v>
      </c>
      <c r="G44" s="21" t="n">
        <v>11.8</v>
      </c>
      <c r="H44" s="15" t="inlineStr">
        <is>
          <t>—</t>
        </is>
      </c>
      <c r="I44" s="13" t="inlineStr">
        <is>
          <t>UBS Fig 3 × Fig 8 (03-jul)</t>
        </is>
      </c>
    </row>
    <row r="45">
      <c r="A45" s="10" t="inlineStr">
        <is>
          <t>HBM — total oferta (UBS)</t>
        </is>
      </c>
      <c r="B45" s="11" t="inlineStr">
        <is>
          <t>bn Gb</t>
        </is>
      </c>
      <c r="C45" s="15" t="inlineStr">
        <is>
          <t>—</t>
        </is>
      </c>
      <c r="D45" s="15" t="inlineStr">
        <is>
          <t>—</t>
        </is>
      </c>
      <c r="E45" s="20" t="n">
        <v>21.5</v>
      </c>
      <c r="F45" s="20" t="n">
        <v>36.5</v>
      </c>
      <c r="G45" s="20" t="n">
        <v>59.1</v>
      </c>
      <c r="H45" s="15" t="inlineStr">
        <is>
          <t>—</t>
        </is>
      </c>
      <c r="I45" s="13" t="inlineStr">
        <is>
          <t>UBS Fig 3</t>
        </is>
      </c>
    </row>
    <row r="46">
      <c r="A46" s="10" t="inlineStr">
        <is>
          <t xml:space="preserve">    share HBM (Fig 8)</t>
        </is>
      </c>
      <c r="B46" s="19" t="inlineStr">
        <is>
          <t>Hynix 59% → 48% → 39% · Samsung 20% → 30% → 41% (ultrapassa em 27E) · Micron 21% → 21% → 20% — capacidade k wpm 26E: Samsung 689 UBS / 740 TF · SK 609/610 · MU 317/365</t>
        </is>
      </c>
      <c r="C46" s="9" t="n"/>
      <c r="D46" s="9" t="n"/>
      <c r="E46" s="9" t="n"/>
      <c r="F46" s="9" t="n"/>
      <c r="G46" s="9" t="n"/>
      <c r="H46" s="9" t="n"/>
      <c r="I46" s="13" t="inlineStr">
        <is>
          <t>UBS Fig 8 · TrendForce</t>
        </is>
      </c>
    </row>
    <row r="47">
      <c r="A47" s="14" t="inlineStr">
        <is>
          <t>NAND — Samsung</t>
        </is>
      </c>
      <c r="B47" s="11" t="inlineStr">
        <is>
          <t>bn GB</t>
        </is>
      </c>
      <c r="C47" s="21" t="n">
        <v>254.1842295</v>
      </c>
      <c r="D47" s="21" t="n">
        <v>296.67056581</v>
      </c>
      <c r="E47" s="21" t="n">
        <v>305.67011685</v>
      </c>
      <c r="F47" s="21" t="n">
        <v>347.88733109</v>
      </c>
      <c r="G47" s="21" t="n">
        <v>405.81331861</v>
      </c>
      <c r="H47" s="15" t="inlineStr">
        <is>
          <t>—</t>
        </is>
      </c>
      <c r="I47" s="13" t="inlineStr">
        <is>
          <t>UBS</t>
        </is>
      </c>
    </row>
    <row r="48">
      <c r="A48" s="14" t="inlineStr">
        <is>
          <t>NAND — Kioxia</t>
        </is>
      </c>
      <c r="B48" s="11" t="inlineStr">
        <is>
          <t>bn GB</t>
        </is>
      </c>
      <c r="C48" s="21" t="n">
        <v>105.82072995</v>
      </c>
      <c r="D48" s="21" t="n">
        <v>130.475883</v>
      </c>
      <c r="E48" s="21" t="n">
        <v>148.05620765</v>
      </c>
      <c r="F48" s="21" t="n">
        <v>173.85671617</v>
      </c>
      <c r="G48" s="21" t="n">
        <v>211.10658193</v>
      </c>
      <c r="H48" s="15" t="inlineStr">
        <is>
          <t>—</t>
        </is>
      </c>
      <c r="I48" s="13" t="inlineStr">
        <is>
          <t>UBS</t>
        </is>
      </c>
    </row>
    <row r="49">
      <c r="A49" s="14" t="inlineStr">
        <is>
          <t>NAND — SanDisk</t>
        </is>
      </c>
      <c r="B49" s="11" t="inlineStr">
        <is>
          <t>bn GB</t>
        </is>
      </c>
      <c r="C49" s="21" t="n">
        <v>100.91351069</v>
      </c>
      <c r="D49" s="21" t="n">
        <v>101.29813451</v>
      </c>
      <c r="E49" s="21" t="n">
        <v>119.22047837</v>
      </c>
      <c r="F49" s="21" t="n">
        <v>139.43212069</v>
      </c>
      <c r="G49" s="21" t="n">
        <v>162.97394192</v>
      </c>
      <c r="H49" s="15" t="inlineStr">
        <is>
          <t>—</t>
        </is>
      </c>
      <c r="I49" s="13" t="inlineStr">
        <is>
          <t>UBS</t>
        </is>
      </c>
    </row>
    <row r="50">
      <c r="A50" s="14" t="inlineStr">
        <is>
          <t>NAND — SK Hynix</t>
        </is>
      </c>
      <c r="B50" s="11" t="inlineStr">
        <is>
          <t>bn GB</t>
        </is>
      </c>
      <c r="C50" s="21" t="n">
        <v>148.50344718</v>
      </c>
      <c r="D50" s="21" t="n">
        <v>143.57220984</v>
      </c>
      <c r="E50" s="21" t="n">
        <v>160.56266612</v>
      </c>
      <c r="F50" s="21" t="n">
        <v>192.3809966</v>
      </c>
      <c r="G50" s="21" t="n">
        <v>233.67540086</v>
      </c>
      <c r="H50" s="15" t="inlineStr">
        <is>
          <t>—</t>
        </is>
      </c>
      <c r="I50" s="13" t="inlineStr">
        <is>
          <t>UBS</t>
        </is>
      </c>
    </row>
    <row r="51">
      <c r="A51" s="14" t="inlineStr">
        <is>
          <t>NAND — Micron</t>
        </is>
      </c>
      <c r="B51" s="11" t="inlineStr">
        <is>
          <t>bn GB</t>
        </is>
      </c>
      <c r="C51" s="21" t="n">
        <v>90.02957563000001</v>
      </c>
      <c r="D51" s="21" t="n">
        <v>106.60903975</v>
      </c>
      <c r="E51" s="21" t="n">
        <v>133.88101337</v>
      </c>
      <c r="F51" s="21" t="n">
        <v>161.21827732</v>
      </c>
      <c r="G51" s="21" t="n">
        <v>188.92000809</v>
      </c>
      <c r="H51" s="15" t="inlineStr">
        <is>
          <t>—</t>
        </is>
      </c>
      <c r="I51" s="13" t="inlineStr">
        <is>
          <t>UBS</t>
        </is>
      </c>
    </row>
    <row r="52">
      <c r="A52" s="14" t="inlineStr">
        <is>
          <t>NAND — YMTC</t>
        </is>
      </c>
      <c r="B52" s="11" t="inlineStr">
        <is>
          <t>bn GB</t>
        </is>
      </c>
      <c r="C52" s="21" t="n">
        <v>41.82680343</v>
      </c>
      <c r="D52" s="21" t="n">
        <v>75.74131974999999</v>
      </c>
      <c r="E52" s="21" t="n">
        <v>119.13197936</v>
      </c>
      <c r="F52" s="21" t="n">
        <v>148.33805253</v>
      </c>
      <c r="G52" s="21" t="n">
        <v>197.47627264</v>
      </c>
      <c r="H52" s="15" t="inlineStr">
        <is>
          <t>—</t>
        </is>
      </c>
      <c r="I52" s="13" t="inlineStr">
        <is>
          <t>UBS</t>
        </is>
      </c>
    </row>
    <row r="53">
      <c r="A53" s="10" t="inlineStr">
        <is>
          <t>NAND — total oferta</t>
        </is>
      </c>
      <c r="B53" s="11" t="inlineStr">
        <is>
          <t>bn GB</t>
        </is>
      </c>
      <c r="C53" s="20" t="n">
        <v>748.35829638</v>
      </c>
      <c r="D53" s="20" t="n">
        <v>862.08715266</v>
      </c>
      <c r="E53" s="20" t="n">
        <v>994.88246172</v>
      </c>
      <c r="F53" s="20" t="n">
        <v>1172.1134944</v>
      </c>
      <c r="G53" s="20" t="n">
        <v>1409.60552405</v>
      </c>
      <c r="H53" s="15" t="inlineStr">
        <is>
          <t>—</t>
        </is>
      </c>
      <c r="I53" s="13" t="inlineStr">
        <is>
          <t>UBS</t>
        </is>
      </c>
    </row>
    <row r="54" ht="15" customHeight="1">
      <c r="A54" s="8" t="inlineStr">
        <is>
          <t>D · SUFICIÊNCIA (S/D − 1) — a síntese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</row>
    <row r="55">
      <c r="A55" s="10" t="inlineStr">
        <is>
          <t>DRAM blended</t>
        </is>
      </c>
      <c r="B55" s="11" t="inlineStr">
        <is>
          <t>%</t>
        </is>
      </c>
      <c r="C55" s="24" t="n">
        <v>-0.0036</v>
      </c>
      <c r="D55" s="24" t="n">
        <v>-0.0233</v>
      </c>
      <c r="E55" s="24" t="n">
        <v>-0.0235</v>
      </c>
      <c r="F55" s="24" t="n">
        <v>-0.0813</v>
      </c>
      <c r="G55" s="24" t="n">
        <v>-0.012</v>
      </c>
      <c r="H55" s="15" t="inlineStr">
        <is>
          <t>≈0 eng.</t>
        </is>
      </c>
      <c r="I55" s="13" t="inlineStr">
        <is>
          <t>UBS · engine</t>
        </is>
      </c>
    </row>
    <row r="56">
      <c r="A56" s="10" t="inlineStr">
        <is>
          <t>DDR ex-HBM</t>
        </is>
      </c>
      <c r="B56" s="11" t="inlineStr">
        <is>
          <t>%</t>
        </is>
      </c>
      <c r="C56" s="15" t="inlineStr">
        <is>
          <t>—</t>
        </is>
      </c>
      <c r="D56" s="15" t="inlineStr">
        <is>
          <t>—</t>
        </is>
      </c>
      <c r="E56" s="24" t="n">
        <v>-0.0433</v>
      </c>
      <c r="F56" s="24" t="n">
        <v>-0.0156</v>
      </c>
      <c r="G56" s="24" t="n">
        <v>-0.1461</v>
      </c>
      <c r="H56" s="24" t="n">
        <v>-0.0032</v>
      </c>
      <c r="I56" s="13" t="inlineStr">
        <is>
          <t>engine house</t>
        </is>
      </c>
    </row>
    <row r="57">
      <c r="A57" s="10" t="inlineStr">
        <is>
          <t>DRAM blended — HOUSE (units Capstone, inv-adj)</t>
        </is>
      </c>
      <c r="B57" s="11" t="inlineStr">
        <is>
          <t>%</t>
        </is>
      </c>
      <c r="C57" s="15" t="inlineStr">
        <is>
          <t>—</t>
        </is>
      </c>
      <c r="D57" s="15" t="inlineStr">
        <is>
          <t>—</t>
        </is>
      </c>
      <c r="E57" s="24" t="n">
        <v>-0.0131</v>
      </c>
      <c r="F57" s="24" t="n">
        <v>-0.0881</v>
      </c>
      <c r="G57" s="24" t="n">
        <v>0.0262</v>
      </c>
      <c r="H57" s="15" t="inlineStr">
        <is>
          <t>—</t>
        </is>
      </c>
      <c r="I57" s="13" t="inlineStr">
        <is>
          <t>bíblia Memory S&amp;D (modelo)</t>
        </is>
      </c>
    </row>
    <row r="58">
      <c r="A58" s="14" t="inlineStr">
        <is>
          <t>NAND (S/D−1)</t>
        </is>
      </c>
      <c r="B58" s="11" t="inlineStr">
        <is>
          <t>%</t>
        </is>
      </c>
      <c r="C58" s="15" t="inlineStr">
        <is>
          <t>—</t>
        </is>
      </c>
      <c r="D58" s="15" t="inlineStr">
        <is>
          <t>—</t>
        </is>
      </c>
      <c r="E58" s="17" t="n">
        <v>-0.0101</v>
      </c>
      <c r="F58" s="17" t="n">
        <v>-0.0935</v>
      </c>
      <c r="G58" s="17" t="n">
        <v>-0.0066</v>
      </c>
      <c r="H58" s="15" t="inlineStr">
        <is>
          <t>—</t>
        </is>
      </c>
      <c r="I58" s="13" t="inlineStr">
        <is>
          <t>UBS Fig.41</t>
        </is>
      </c>
    </row>
    <row r="59">
      <c r="A59" s="10" t="inlineStr">
        <is>
          <t>HBM</t>
        </is>
      </c>
      <c r="B59" s="19" t="inlineStr">
        <is>
          <t>sold out CY26 incl. HBM4 (Micron Q1 FY26) · 27E oferta revisada 60→50 bn Gb-equiv por alocação, não demanda · oferta UBS por vendor na banda C</t>
        </is>
      </c>
      <c r="C59" s="9" t="n"/>
      <c r="D59" s="9" t="n"/>
      <c r="E59" s="9" t="n"/>
      <c r="F59" s="9" t="n"/>
      <c r="G59" s="9" t="n"/>
      <c r="H59" s="9" t="n"/>
      <c r="I59" s="13" t="inlineStr">
        <is>
          <t>assumptions ledger</t>
        </is>
      </c>
    </row>
    <row r="60" ht="15" customHeight="1">
      <c r="A60" s="8" t="inlineStr">
        <is>
          <t>E · CAPACIDADE, CANIBALIZAÇÃO HBM E CAPEX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</row>
    <row r="61">
      <c r="A61" s="14" t="inlineStr">
        <is>
          <t>Wafers DDR</t>
        </is>
      </c>
      <c r="B61" s="11" t="inlineStr">
        <is>
          <t>k wpm</t>
        </is>
      </c>
      <c r="C61" s="15" t="inlineStr">
        <is>
          <t>—</t>
        </is>
      </c>
      <c r="D61" s="15" t="inlineStr">
        <is>
          <t>—</t>
        </is>
      </c>
      <c r="E61" s="16" t="n">
        <v>1535</v>
      </c>
      <c r="F61" s="16" t="n">
        <v>1498</v>
      </c>
      <c r="G61" s="16" t="n">
        <v>1486</v>
      </c>
      <c r="H61" s="16" t="n">
        <v>1785.5</v>
      </c>
      <c r="I61" s="13" t="inlineStr">
        <is>
          <t>engine (Fig.9 UBS)</t>
        </is>
      </c>
    </row>
    <row r="62">
      <c r="A62" s="14" t="inlineStr">
        <is>
          <t>Wafers HBM</t>
        </is>
      </c>
      <c r="B62" s="11" t="inlineStr">
        <is>
          <t>k wpm</t>
        </is>
      </c>
      <c r="C62" s="15" t="inlineStr">
        <is>
          <t>—</t>
        </is>
      </c>
      <c r="D62" s="15" t="inlineStr">
        <is>
          <t>—</t>
        </is>
      </c>
      <c r="E62" s="16" t="n">
        <v>390</v>
      </c>
      <c r="F62" s="16" t="n">
        <v>500</v>
      </c>
      <c r="G62" s="16" t="n">
        <v>690</v>
      </c>
      <c r="H62" s="16" t="n">
        <v>694.5</v>
      </c>
      <c r="I62" s="13" t="inlineStr">
        <is>
          <t>SemiAnalysis · engine</t>
        </is>
      </c>
    </row>
    <row r="63">
      <c r="A63" s="14" t="inlineStr">
        <is>
          <t>Penalidade de wafer HBM (bits DDR ÷ bits HBM por wafer)</t>
        </is>
      </c>
      <c r="B63" s="11" t="inlineStr">
        <is>
          <t>×</t>
        </is>
      </c>
      <c r="C63" s="15" t="inlineStr">
        <is>
          <t>—</t>
        </is>
      </c>
      <c r="D63" s="15" t="inlineStr">
        <is>
          <t>—</t>
        </is>
      </c>
      <c r="E63" s="25" t="n">
        <v>3.5</v>
      </c>
      <c r="F63" s="25" t="n">
        <v>3.2</v>
      </c>
      <c r="G63" s="25" t="n">
        <v>3.2</v>
      </c>
      <c r="H63" s="25" t="n">
        <v>3.1</v>
      </c>
      <c r="I63" s="13" t="inlineStr">
        <is>
          <t>engine</t>
        </is>
      </c>
    </row>
    <row r="64">
      <c r="A64" s="10" t="inlineStr">
        <is>
          <t>Bits líquidos perdidos p/ HBM (% da demanda)</t>
        </is>
      </c>
      <c r="B64" s="11" t="inlineStr">
        <is>
          <t>%</t>
        </is>
      </c>
      <c r="C64" s="15" t="inlineStr">
        <is>
          <t>—</t>
        </is>
      </c>
      <c r="D64" s="15" t="inlineStr">
        <is>
          <t>—</t>
        </is>
      </c>
      <c r="E64" s="24" t="n">
        <v>0.1646</v>
      </c>
      <c r="F64" s="24" t="n">
        <v>0.2042</v>
      </c>
      <c r="G64" s="24" t="n">
        <v>0.2415</v>
      </c>
      <c r="H64" s="24" t="n">
        <v>0.2323</v>
      </c>
      <c r="I64" s="13" t="inlineStr">
        <is>
          <t>engine</t>
        </is>
      </c>
    </row>
    <row r="65">
      <c r="A65" s="14" t="inlineStr">
        <is>
          <t>Capex memória</t>
        </is>
      </c>
      <c r="B65" s="11" t="inlineStr">
        <is>
          <t>$bn</t>
        </is>
      </c>
      <c r="C65" s="15" t="inlineStr">
        <is>
          <t>—</t>
        </is>
      </c>
      <c r="D65" s="15" t="inlineStr">
        <is>
          <t>—</t>
        </is>
      </c>
      <c r="E65" s="16" t="n">
        <v>75</v>
      </c>
      <c r="F65" s="16" t="n">
        <v>85</v>
      </c>
      <c r="G65" s="16" t="n">
        <v>120</v>
      </c>
      <c r="H65" s="16" t="n">
        <v>140</v>
      </c>
      <c r="I65" s="13" t="inlineStr">
        <is>
          <t>UBS · bridge</t>
        </is>
      </c>
    </row>
    <row r="66">
      <c r="A66" s="10" t="inlineStr">
        <is>
          <t>Conta do capex (26E→27E)</t>
        </is>
      </c>
      <c r="B66" s="19" t="inlineStr">
        <is>
          <t>greenfield/net-add 17→32 · conversão HBM+packaging 20→30 · node/manutenção 48→58 $bn</t>
        </is>
      </c>
      <c r="C66" s="9" t="n"/>
      <c r="D66" s="9" t="n"/>
      <c r="E66" s="9" t="n"/>
      <c r="F66" s="9" t="n"/>
      <c r="G66" s="9" t="n"/>
      <c r="H66" s="9" t="n"/>
      <c r="I66" s="13" t="inlineStr">
        <is>
          <t>bíblia (ponte)</t>
        </is>
      </c>
    </row>
    <row r="67" ht="15" customHeight="1">
      <c r="A67" s="8" t="inlineStr">
        <is>
          <t>F · P&amp;L 27E POR EMPRESA → P/E (muda com o cenário ASP)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</row>
    <row r="68">
      <c r="A68" s="5" t="inlineStr">
        <is>
          <t>vendor →</t>
        </is>
      </c>
      <c r="B68" s="9" t="n"/>
      <c r="C68" s="6" t="inlineStr">
        <is>
          <t>Micron</t>
        </is>
      </c>
      <c r="D68" s="6" t="inlineStr">
        <is>
          <t>SK Hynix</t>
        </is>
      </c>
      <c r="E68" s="6" t="inlineStr">
        <is>
          <t>Samsung*</t>
        </is>
      </c>
      <c r="F68" s="6" t="inlineStr">
        <is>
          <t>Kioxia</t>
        </is>
      </c>
      <c r="G68" s="6" t="inlineStr">
        <is>
          <t>SanDisk</t>
        </is>
      </c>
      <c r="H68" s="9" t="n"/>
      <c r="I68" s="13" t="inlineStr">
        <is>
          <t>BBG 02-jul · bíblia SxD</t>
        </is>
      </c>
    </row>
    <row r="69">
      <c r="A69" s="14" t="inlineStr">
        <is>
          <t>Receita memória 27E (bits × ASP cenário)</t>
        </is>
      </c>
      <c r="B69" s="11" t="inlineStr">
        <is>
          <t>$bn</t>
        </is>
      </c>
      <c r="C69" s="16">
        <f>(_dados!B7*INDEX(_dados!$B$2:$B$4,MATCH($C$2,_dados!$A$2:$A$4,0))+_dados!C7*INDEX(_dados!$C$2:$C$4,MATCH($C$2,_dados!$A$2:$A$4,0)))/1000</f>
        <v/>
      </c>
      <c r="D69" s="16">
        <f>(_dados!B8*INDEX(_dados!$B$2:$B$4,MATCH($C$2,_dados!$A$2:$A$4,0))+_dados!C8*INDEX(_dados!$C$2:$C$4,MATCH($C$2,_dados!$A$2:$A$4,0)))/1000</f>
        <v/>
      </c>
      <c r="E69" s="16">
        <f>(_dados!B9*INDEX(_dados!$B$2:$B$4,MATCH($C$2,_dados!$A$2:$A$4,0))+_dados!C9*INDEX(_dados!$C$2:$C$4,MATCH($C$2,_dados!$A$2:$A$4,0)))/1000</f>
        <v/>
      </c>
      <c r="F69" s="16">
        <f>(_dados!B10*INDEX(_dados!$B$2:$B$4,MATCH($C$2,_dados!$A$2:$A$4,0))+_dados!C10*INDEX(_dados!$C$2:$C$4,MATCH($C$2,_dados!$A$2:$A$4,0)))/1000</f>
        <v/>
      </c>
      <c r="G69" s="16">
        <f>(_dados!B11*INDEX(_dados!$B$2:$B$4,MATCH($C$2,_dados!$A$2:$A$4,0))+_dados!C11*INDEX(_dados!$C$2:$C$4,MATCH($C$2,_dados!$A$2:$A$4,0)))/1000</f>
        <v/>
      </c>
      <c r="H69" s="9" t="n"/>
      <c r="I69" s="13" t="inlineStr">
        <is>
          <t>fórmula = dashboard P&amp;L</t>
        </is>
      </c>
    </row>
    <row r="70">
      <c r="A70" s="14" t="inlineStr">
        <is>
          <t>EPS 27E house (modelo)</t>
        </is>
      </c>
      <c r="B70" s="11" t="inlineStr">
        <is>
          <t>local</t>
        </is>
      </c>
      <c r="C70" s="16">
        <f>((_dados!B7*INDEX(_dados!$B$2:$B$4,MATCH($C$2,_dados!$A$2:$A$4,0))+_dados!C7*INDEX(_dados!$C$2:$C$4,MATCH($C$2,_dados!$A$2:$A$4,0)))*_dados!D7-_dados!E7)*(1-_dados!F7)*_dados!G7/_dados!H7</f>
        <v/>
      </c>
      <c r="D70" s="16">
        <f>((_dados!B8*INDEX(_dados!$B$2:$B$4,MATCH($C$2,_dados!$A$2:$A$4,0))+_dados!C8*INDEX(_dados!$C$2:$C$4,MATCH($C$2,_dados!$A$2:$A$4,0)))*_dados!D8-_dados!E8)*(1-_dados!F8)*_dados!G8/_dados!H8</f>
        <v/>
      </c>
      <c r="E70" s="16">
        <f>((_dados!B9*INDEX(_dados!$B$2:$B$4,MATCH($C$2,_dados!$A$2:$A$4,0))+_dados!C9*INDEX(_dados!$C$2:$C$4,MATCH($C$2,_dados!$A$2:$A$4,0)))*_dados!D9-_dados!E9)*(1-_dados!F9)*_dados!G9/_dados!H9</f>
        <v/>
      </c>
      <c r="F70" s="16">
        <f>((_dados!B10*INDEX(_dados!$B$2:$B$4,MATCH($C$2,_dados!$A$2:$A$4,0))+_dados!C10*INDEX(_dados!$C$2:$C$4,MATCH($C$2,_dados!$A$2:$A$4,0)))*_dados!D10-_dados!E10)*(1-_dados!F10)*_dados!G10/_dados!H10</f>
        <v/>
      </c>
      <c r="G70" s="16">
        <f>((_dados!B11*INDEX(_dados!$B$2:$B$4,MATCH($C$2,_dados!$A$2:$A$4,0))+_dados!C11*INDEX(_dados!$C$2:$C$4,MATCH($C$2,_dados!$A$2:$A$4,0)))*_dados!D11-_dados!E11)*(1-_dados!F11)*_dados!G11/_dados!H11</f>
        <v/>
      </c>
      <c r="H70" s="9" t="n"/>
      <c r="I70" s="13" t="inlineStr">
        <is>
          <t>gm×rev−opex, ×(1−tax)×fx÷ações</t>
        </is>
      </c>
    </row>
    <row r="71">
      <c r="A71" s="14" t="inlineStr">
        <is>
          <t>P/E house @ px atual</t>
        </is>
      </c>
      <c r="B71" s="11" t="inlineStr">
        <is>
          <t>×</t>
        </is>
      </c>
      <c r="C71" s="25">
        <f>_dados!I7/C70</f>
        <v/>
      </c>
      <c r="D71" s="25">
        <f>_dados!I8/D70</f>
        <v/>
      </c>
      <c r="E71" s="25">
        <f>_dados!I9/E70</f>
        <v/>
      </c>
      <c r="F71" s="25">
        <f>_dados!I10/F70</f>
        <v/>
      </c>
      <c r="G71" s="25">
        <f>_dados!I11/G70</f>
        <v/>
      </c>
      <c r="H71" s="9" t="n"/>
      <c r="I71" s="13" t="inlineStr">
        <is>
          <t>px BBG ÷ EPS modelo</t>
        </is>
      </c>
    </row>
    <row r="72">
      <c r="A72" s="10" t="inlineStr">
        <is>
          <t>P/E consenso 27E (BBG)</t>
        </is>
      </c>
      <c r="B72" s="11" t="inlineStr">
        <is>
          <t>×</t>
        </is>
      </c>
      <c r="C72" s="26">
        <f>_dados!I7/_dados!J7</f>
        <v/>
      </c>
      <c r="D72" s="26">
        <f>_dados!I8/_dados!J8</f>
        <v/>
      </c>
      <c r="E72" s="26">
        <f>_dados!I9/_dados!J9</f>
        <v/>
      </c>
      <c r="F72" s="26">
        <f>_dados!I10/_dados!J10</f>
        <v/>
      </c>
      <c r="G72" s="26">
        <f>_dados!I11/_dados!J11</f>
        <v/>
      </c>
      <c r="H72" s="9" t="n"/>
      <c r="I72" s="13" t="inlineStr"/>
    </row>
    <row r="73">
      <c r="A73" s="10" t="inlineStr">
        <is>
          <t>Δ EPS house vs consenso (o edge)</t>
        </is>
      </c>
      <c r="B73" s="11" t="inlineStr">
        <is>
          <t>%</t>
        </is>
      </c>
      <c r="C73" s="27">
        <f>C70/_dados!J7-1</f>
        <v/>
      </c>
      <c r="D73" s="27">
        <f>D70/_dados!J8-1</f>
        <v/>
      </c>
      <c r="E73" s="27">
        <f>E70/_dados!J9-1</f>
        <v/>
      </c>
      <c r="F73" s="27">
        <f>F70/_dados!J10-1</f>
        <v/>
      </c>
      <c r="G73" s="27">
        <f>G70/_dados!J11-1</f>
        <v/>
      </c>
      <c r="H73" s="9" t="n"/>
      <c r="I73" s="13" t="inlineStr">
        <is>
          <t>modelo ÷ BBG − 1</t>
        </is>
      </c>
    </row>
    <row r="74">
      <c r="A74" s="10" t="inlineStr">
        <is>
          <t>*Samsung</t>
        </is>
      </c>
      <c r="B74" s="19" t="inlineStr">
        <is>
          <t>consenso = empresa inteira (foundry/mobile/display) — P/E consenso não é 1:1 com o P&amp;L memória-only. EPS local: MU/SNDK $, SK/Samsung ₩, Kioxia ¥.</t>
        </is>
      </c>
      <c r="C74" s="9" t="n"/>
      <c r="D74" s="9" t="n"/>
      <c r="E74" s="9" t="n"/>
      <c r="F74" s="9" t="n"/>
      <c r="G74" s="9" t="n"/>
      <c r="H74" s="9" t="n"/>
      <c r="I74" s="13" t="inlineStr"/>
    </row>
    <row r="75" ht="15" customHeight="1">
      <c r="A75" s="8" t="inlineStr">
        <is>
          <t>G · BUILDS — CROSS-CHECKS BOTTOM-UP</t>
        </is>
      </c>
      <c r="B75" s="9" t="n"/>
      <c r="C75" s="9" t="n"/>
      <c r="D75" s="9" t="n"/>
      <c r="E75" s="9" t="n"/>
      <c r="F75" s="9" t="n"/>
      <c r="G75" s="9" t="n"/>
      <c r="H75" s="9" t="n"/>
      <c r="I75" s="9" t="n"/>
    </row>
    <row r="76">
      <c r="A76" s="14" t="inlineStr">
        <is>
          <t>CPUs de servidor</t>
        </is>
      </c>
      <c r="B76" s="11" t="inlineStr">
        <is>
          <t>M</t>
        </is>
      </c>
      <c r="C76" s="21" t="n">
        <v>22.6</v>
      </c>
      <c r="D76" s="21" t="n">
        <v>24</v>
      </c>
      <c r="E76" s="21" t="n">
        <v>32.2</v>
      </c>
      <c r="F76" s="21" t="n">
        <v>40.6</v>
      </c>
      <c r="G76" s="21" t="n">
        <v>52.8</v>
      </c>
      <c r="H76" s="21" t="n">
        <v>61.2</v>
      </c>
      <c r="I76" s="13" t="inlineStr">
        <is>
          <t>Bernstein/Mercury (recal.)</t>
        </is>
      </c>
    </row>
    <row r="77">
      <c r="A77" s="10" t="inlineStr">
        <is>
          <t>DRAM convencional por CPU</t>
        </is>
      </c>
      <c r="B77" s="11" t="inlineStr">
        <is>
          <t>GB</t>
        </is>
      </c>
      <c r="C77" s="12" t="n">
        <v>314</v>
      </c>
      <c r="D77" s="12" t="n">
        <v>340</v>
      </c>
      <c r="E77" s="12" t="n">
        <v>393</v>
      </c>
      <c r="F77" s="12" t="n">
        <v>475</v>
      </c>
      <c r="G77" s="12" t="n">
        <v>590</v>
      </c>
      <c r="H77" s="12" t="n">
        <v>683</v>
      </c>
      <c r="I77" s="13" t="inlineStr">
        <is>
          <t>modelo (conv ÷ CPUs)</t>
        </is>
      </c>
    </row>
    <row r="78">
      <c r="A78" s="14" t="inlineStr">
        <is>
          <t>DIMMs por CPU</t>
        </is>
      </c>
      <c r="B78" s="11" t="inlineStr">
        <is>
          <t>un.</t>
        </is>
      </c>
      <c r="C78" s="25" t="n">
        <v>7.9</v>
      </c>
      <c r="D78" s="25" t="n">
        <v>8.9</v>
      </c>
      <c r="E78" s="25" t="n">
        <v>9</v>
      </c>
      <c r="F78" s="25" t="n">
        <v>9.5</v>
      </c>
      <c r="G78" s="25" t="n">
        <v>10.3</v>
      </c>
      <c r="H78" s="25" t="n">
        <v>11.7</v>
      </c>
      <c r="I78" s="13" t="inlineStr">
        <is>
          <t>Bernstein (canais×slots×ocup.)</t>
        </is>
      </c>
    </row>
    <row r="79">
      <c r="A79" s="14" t="inlineStr">
        <is>
          <t>GB por DIMM implícito</t>
        </is>
      </c>
      <c r="B79" s="11" t="inlineStr">
        <is>
          <t>GB</t>
        </is>
      </c>
      <c r="C79" s="16" t="n">
        <v>39</v>
      </c>
      <c r="D79" s="16" t="n">
        <v>38</v>
      </c>
      <c r="E79" s="16" t="n">
        <v>46</v>
      </c>
      <c r="F79" s="16" t="n">
        <v>54</v>
      </c>
      <c r="G79" s="16" t="n">
        <v>66</v>
      </c>
      <c r="H79" s="16" t="n">
        <v>65</v>
      </c>
      <c r="I79" s="13" t="inlineStr">
        <is>
          <t>modelo ÷ DIMMs Bernstein</t>
        </is>
      </c>
    </row>
    <row r="80">
      <c r="A80" s="14" t="inlineStr">
        <is>
          <t>HBM $/GB blended (build)</t>
        </is>
      </c>
      <c r="B80" s="11" t="inlineStr">
        <is>
          <t>$/GB</t>
        </is>
      </c>
      <c r="C80" s="25" t="n">
        <v>10.5</v>
      </c>
      <c r="D80" s="25" t="n">
        <v>14.6</v>
      </c>
      <c r="E80" s="25" t="n">
        <v>16.7</v>
      </c>
      <c r="F80" s="25" t="n">
        <v>17.9</v>
      </c>
      <c r="G80" s="25" t="n">
        <v>21.3</v>
      </c>
      <c r="H80" s="25" t="n">
        <v>25.9</v>
      </c>
      <c r="I80" s="13" t="inlineStr">
        <is>
          <t>build (rev ÷ bits × 8)</t>
        </is>
      </c>
    </row>
    <row r="81">
      <c r="A81" s="10" t="inlineStr">
        <is>
          <t>HBM $/GB por geração</t>
        </is>
      </c>
      <c r="B81" s="19" t="inlineStr">
        <is>
          <t>preço build: HBM3E $17 · HBM4 $26 · HBM4E $29 — mix bits: 26E 3E 84% / 4 13% → 27E 3E 51% / 4 46% → 28E 3E 14% / 4 45% / 4E 41%</t>
        </is>
      </c>
      <c r="C81" s="9" t="n"/>
      <c r="D81" s="9" t="n"/>
      <c r="E81" s="9" t="n"/>
      <c r="F81" s="9" t="n"/>
      <c r="G81" s="9" t="n"/>
      <c r="H81" s="9" t="n"/>
      <c r="I81" s="13" t="inlineStr">
        <is>
          <t>build (por gen) · debate Redburn vs JPM</t>
        </is>
      </c>
    </row>
    <row r="82">
      <c r="A82" s="14" t="inlineStr">
        <is>
          <t>Smartphone GB/unidade</t>
        </is>
      </c>
      <c r="B82" s="11" t="inlineStr">
        <is>
          <t>GB</t>
        </is>
      </c>
      <c r="C82" s="15" t="inlineStr">
        <is>
          <t>—</t>
        </is>
      </c>
      <c r="D82" s="15" t="inlineStr">
        <is>
          <t>—</t>
        </is>
      </c>
      <c r="E82" s="25" t="n">
        <v>8.1</v>
      </c>
      <c r="F82" s="25" t="n">
        <v>8.9</v>
      </c>
      <c r="G82" s="25" t="n">
        <v>9.4</v>
      </c>
      <c r="H82" s="15" t="inlineStr">
        <is>
          <t>—</t>
        </is>
      </c>
      <c r="I82" s="13" t="inlineStr">
        <is>
          <t>UBS Fig. (BOM 12→40%)</t>
        </is>
      </c>
    </row>
    <row r="83" ht="15" customHeight="1">
      <c r="A83" s="8" t="inlineStr">
        <is>
          <t>H · DEBATES VIVOS, CATALISADORES E CONVENÇÕES</t>
        </is>
      </c>
      <c r="B83" s="9" t="n"/>
      <c r="C83" s="9" t="n"/>
      <c r="D83" s="9" t="n"/>
      <c r="E83" s="9" t="n"/>
      <c r="F83" s="9" t="n"/>
      <c r="G83" s="9" t="n"/>
      <c r="H83" s="9" t="n"/>
      <c r="I83" s="9" t="n"/>
    </row>
    <row r="84">
      <c r="A84" s="10" t="inlineStr">
        <is>
          <t>Virada 2028</t>
        </is>
      </c>
      <c r="B84" s="19" t="inlineStr">
        <is>
          <t>house: déficit fecha ≈0 (wafers HBM flatten ~695k, adds vão p/ DDR) vs Bernstein +5% surplus — os 109,6 bn Gb de HBM deles em 28E exigiriam ~1,1M wafers e matariam o próprio surplus</t>
        </is>
      </c>
      <c r="C84" s="9" t="n"/>
      <c r="D84" s="9" t="n"/>
      <c r="E84" s="9" t="n"/>
      <c r="F84" s="9" t="n"/>
      <c r="G84" s="9" t="n"/>
      <c r="H84" s="9" t="n"/>
      <c r="I84" s="13" t="inlineStr">
        <is>
          <t>engine · Bernstein SxD</t>
        </is>
      </c>
    </row>
    <row r="85">
      <c r="A85" s="10" t="inlineStr">
        <is>
          <t>Alocação 26</t>
        </is>
      </c>
      <c r="B85" s="19" t="inlineStr">
        <is>
          <t>general-server DDR ultrapassou HBM como prioridade #1 de alocação (Redburn/TrendForce) — e ainda assim HBM sobe: $17-18 → $30-32/GB 27E (Redburn) vs blended +30% (JPM/Micron)</t>
        </is>
      </c>
      <c r="C85" s="9" t="n"/>
      <c r="D85" s="9" t="n"/>
      <c r="E85" s="9" t="n"/>
      <c r="F85" s="9" t="n"/>
      <c r="G85" s="9" t="n"/>
      <c r="H85" s="9" t="n"/>
      <c r="I85" s="13" t="inlineStr">
        <is>
          <t>assumptions ledger</t>
        </is>
      </c>
    </row>
    <row r="86">
      <c r="A86" s="10" t="inlineStr">
        <is>
          <t>China</t>
        </is>
      </c>
      <c r="B86" s="19" t="inlineStr">
        <is>
          <t>CXMT: 4% da oferta DRAM 25 → 12% 27E (UBS) + IPO a caminho; YMTC 41→? bn GB NAND — o wildcard de oferta pós-28</t>
        </is>
      </c>
      <c r="C86" s="9" t="n"/>
      <c r="D86" s="9" t="n"/>
      <c r="E86" s="9" t="n"/>
      <c r="F86" s="9" t="n"/>
      <c r="G86" s="9" t="n"/>
      <c r="H86" s="9" t="n"/>
      <c r="I86" s="13" t="inlineStr">
        <is>
          <t>UBS · ledger</t>
        </is>
      </c>
    </row>
    <row r="87">
      <c r="A87" s="10" t="inlineStr">
        <is>
          <t>Conteúdo</t>
        </is>
      </c>
      <c r="B87" s="19" t="inlineStr">
        <is>
          <t>MRDIMM 12% do mix 28E (Bernstein) + 12/16-canais → DIMMs/CPU 9→11,7 — upside de conteúdo independente de units</t>
        </is>
      </c>
      <c r="C87" s="9" t="n"/>
      <c r="D87" s="9" t="n"/>
      <c r="E87" s="9" t="n"/>
      <c r="F87" s="9" t="n"/>
      <c r="G87" s="9" t="n"/>
      <c r="H87" s="9" t="n"/>
      <c r="I87" s="13" t="inlineStr">
        <is>
          <t>Bernstein</t>
        </is>
      </c>
    </row>
    <row r="88">
      <c r="A88" s="10" t="inlineStr">
        <is>
          <t>Catalisadores</t>
        </is>
      </c>
      <c r="B88" s="19" t="inlineStr">
        <is>
          <t>SK Hynix results 10-jul-26 (amanhã) · Micron FQ4 set-26 · TrendForce/UBS monthly (Fig.9 wafer adds) · Samsung prelim 2Q</t>
        </is>
      </c>
      <c r="C88" s="9" t="n"/>
      <c r="D88" s="9" t="n"/>
      <c r="E88" s="9" t="n"/>
      <c r="F88" s="9" t="n"/>
      <c r="G88" s="9" t="n"/>
      <c r="H88" s="9" t="n"/>
      <c r="I88" s="13" t="inlineStr">
        <is>
          <t>catalysts.md</t>
        </is>
      </c>
    </row>
    <row r="89">
      <c r="A89" s="10" t="inlineStr">
        <is>
          <t>CONVENÇÕES</t>
        </is>
      </c>
      <c r="B89" s="19" t="inlineStr">
        <is>
          <t>Gb vs GB: ÷8 · wafer HBM ≈ 1/3 dos bits de um wafer DDR (penalidade 3,1-3,5×) · servidores UBS (20,1M em 25) ≠ Gartner (12,5M) — bases distintas · GW facility ≠ GW IT-load (fora deste arquivo)</t>
        </is>
      </c>
      <c r="C89" s="9" t="n"/>
      <c r="D89" s="9" t="n"/>
      <c r="E89" s="9" t="n"/>
      <c r="F89" s="9" t="n"/>
      <c r="G89" s="9" t="n"/>
      <c r="H89" s="9" t="n"/>
      <c r="I89" s="13" t="inlineStr">
        <is>
          <t>regras da wiki</t>
        </is>
      </c>
    </row>
  </sheetData>
  <mergeCells count="25">
    <mergeCell ref="B84:H84"/>
    <mergeCell ref="D2:I2"/>
    <mergeCell ref="B9:H9"/>
    <mergeCell ref="B74:H74"/>
    <mergeCell ref="A75:I75"/>
    <mergeCell ref="B33:H33"/>
    <mergeCell ref="A12:I12"/>
    <mergeCell ref="A26:I26"/>
    <mergeCell ref="B89:H89"/>
    <mergeCell ref="B85:H85"/>
    <mergeCell ref="B41:H41"/>
    <mergeCell ref="B59:H59"/>
    <mergeCell ref="A4:I4"/>
    <mergeCell ref="B81:H81"/>
    <mergeCell ref="B46:H46"/>
    <mergeCell ref="B66:H66"/>
    <mergeCell ref="A67:I67"/>
    <mergeCell ref="B86:H86"/>
    <mergeCell ref="A83:I83"/>
    <mergeCell ref="A34:I34"/>
    <mergeCell ref="B88:H88"/>
    <mergeCell ref="A60:I60"/>
    <mergeCell ref="A1:F1"/>
    <mergeCell ref="B87:H87"/>
    <mergeCell ref="A54:I54"/>
  </mergeCells>
  <conditionalFormatting sqref="C55:H55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C56:H56">
    <cfRule type="cellIs" priority="3" operator="lessThan" dxfId="0">
      <formula>0</formula>
    </cfRule>
    <cfRule type="cellIs" priority="4" operator="greaterThanOrEqual" dxfId="1">
      <formula>0</formula>
    </cfRule>
  </conditionalFormatting>
  <conditionalFormatting sqref="C57:H57">
    <cfRule type="cellIs" priority="5" operator="lessThan" dxfId="0">
      <formula>0</formula>
    </cfRule>
    <cfRule type="cellIs" priority="6" operator="greaterThanOrEqual" dxfId="1">
      <formula>0</formula>
    </cfRule>
  </conditionalFormatting>
  <conditionalFormatting sqref="C58:H58">
    <cfRule type="cellIs" priority="7" operator="lessThan" dxfId="0">
      <formula>0</formula>
    </cfRule>
    <cfRule type="cellIs" priority="8" operator="greaterThanOrEqual" dxfId="1">
      <formula>0</formula>
    </cfRule>
  </conditionalFormatting>
  <dataValidations count="1">
    <dataValidation sqref="C2" showDropDown="0" showInputMessage="0" showErrorMessage="0" allowBlank="0" type="list">
      <formula1>"House,UBS base,Soft landing"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DDR 27E $/Gb</t>
        </is>
      </c>
      <c r="C1" t="inlineStr">
        <is>
          <t>NAND 27E $/GB</t>
        </is>
      </c>
      <c r="D1" t="inlineStr">
        <is>
          <t>DDR 28E $/Gb</t>
        </is>
      </c>
      <c r="E1" t="inlineStr">
        <is>
          <t>NAND 28E $/GB</t>
        </is>
      </c>
    </row>
    <row r="2">
      <c r="A2" t="inlineStr">
        <is>
          <t>House</t>
        </is>
      </c>
      <c r="B2" t="n">
        <v>2.375</v>
      </c>
      <c r="C2" t="n">
        <v>0.33</v>
      </c>
      <c r="D2" t="n">
        <v>1.625</v>
      </c>
      <c r="E2" t="n">
        <v>0.28</v>
      </c>
    </row>
    <row r="3">
      <c r="A3" t="inlineStr">
        <is>
          <t>UBS base</t>
        </is>
      </c>
      <c r="B3" t="n">
        <v>2.67</v>
      </c>
      <c r="C3" t="n">
        <v>0.365</v>
      </c>
      <c r="D3" t="n">
        <v>2.25</v>
      </c>
      <c r="E3" t="n">
        <v>0.37</v>
      </c>
    </row>
    <row r="4">
      <c r="A4" t="inlineStr">
        <is>
          <t>Soft landing</t>
        </is>
      </c>
      <c r="B4" t="n">
        <v>1.6875</v>
      </c>
      <c r="C4" t="n">
        <v>0.28</v>
      </c>
      <c r="D4" t="n">
        <v>1.25</v>
      </c>
      <c r="E4" t="n">
        <v>0.28</v>
      </c>
    </row>
    <row r="6">
      <c r="A6" t="inlineStr">
        <is>
          <t>vendor</t>
        </is>
      </c>
      <c r="B6" t="inlineStr">
        <is>
          <t>dram MGb</t>
        </is>
      </c>
      <c r="C6" t="inlineStr">
        <is>
          <t>nand MGB</t>
        </is>
      </c>
      <c r="D6" t="inlineStr">
        <is>
          <t>gm</t>
        </is>
      </c>
      <c r="E6" t="inlineStr">
        <is>
          <t>opex $M</t>
        </is>
      </c>
      <c r="F6" t="inlineStr">
        <is>
          <t>tax</t>
        </is>
      </c>
      <c r="G6" t="inlineStr">
        <is>
          <t>fx</t>
        </is>
      </c>
      <c r="H6" t="inlineStr">
        <is>
          <t>shares M</t>
        </is>
      </c>
      <c r="I6" t="inlineStr">
        <is>
          <t>px</t>
        </is>
      </c>
      <c r="J6" t="inlineStr">
        <is>
          <t>eps27 cons</t>
        </is>
      </c>
    </row>
    <row r="7">
      <c r="A7" t="inlineStr">
        <is>
          <t>MU</t>
        </is>
      </c>
      <c r="B7" t="n">
        <v>107165.43114</v>
      </c>
      <c r="C7" t="n">
        <v>188920.00809</v>
      </c>
      <c r="D7" t="n">
        <v>0.86</v>
      </c>
      <c r="E7" t="n">
        <v>3500</v>
      </c>
      <c r="F7" t="n">
        <v>0.15</v>
      </c>
      <c r="G7" t="n">
        <v>1</v>
      </c>
      <c r="H7" t="n">
        <v>1120</v>
      </c>
      <c r="I7" t="n">
        <v>878.84</v>
      </c>
      <c r="J7" t="n">
        <v>187.56</v>
      </c>
    </row>
    <row r="8">
      <c r="A8" t="inlineStr">
        <is>
          <t>SKHYNIX</t>
        </is>
      </c>
      <c r="B8" t="n">
        <v>137409.42497</v>
      </c>
      <c r="C8" t="n">
        <v>233675.40086</v>
      </c>
      <c r="D8" t="n">
        <v>0.84</v>
      </c>
      <c r="E8" t="n">
        <v>4000</v>
      </c>
      <c r="F8" t="n">
        <v>0.15</v>
      </c>
      <c r="G8" t="n">
        <v>1380</v>
      </c>
      <c r="H8" t="n">
        <v>728</v>
      </c>
      <c r="I8" t="n">
        <v>1272000</v>
      </c>
      <c r="J8" t="n">
        <v>488486.58</v>
      </c>
    </row>
    <row r="9">
      <c r="A9" t="inlineStr">
        <is>
          <t>SAMSUNG</t>
        </is>
      </c>
      <c r="B9" t="n">
        <v>173749.0395</v>
      </c>
      <c r="C9" t="n">
        <v>405813.31861</v>
      </c>
      <c r="D9" t="n">
        <v>0.84</v>
      </c>
      <c r="E9" t="n">
        <v>3000</v>
      </c>
      <c r="F9" t="n">
        <v>0.15</v>
      </c>
      <c r="G9" t="n">
        <v>1380</v>
      </c>
      <c r="H9" t="n">
        <v>5969</v>
      </c>
      <c r="I9" t="n">
        <v>215500</v>
      </c>
      <c r="J9" t="n">
        <v>74718.08</v>
      </c>
    </row>
    <row r="10">
      <c r="A10" t="inlineStr">
        <is>
          <t>KIOXIA</t>
        </is>
      </c>
      <c r="B10" t="n">
        <v>0</v>
      </c>
      <c r="C10" t="n">
        <v>211106.58193</v>
      </c>
      <c r="D10" t="n">
        <v>0.84</v>
      </c>
      <c r="E10" t="n">
        <v>3000</v>
      </c>
      <c r="F10" t="n">
        <v>0.15</v>
      </c>
      <c r="G10" t="n">
        <v>150</v>
      </c>
      <c r="H10" t="n">
        <v>540</v>
      </c>
      <c r="I10" t="n">
        <v>13375</v>
      </c>
      <c r="J10" t="n">
        <v>4797.53</v>
      </c>
    </row>
    <row r="11">
      <c r="A11" t="inlineStr">
        <is>
          <t>SNDK</t>
        </is>
      </c>
      <c r="B11" t="n">
        <v>0</v>
      </c>
      <c r="C11" t="n">
        <v>162973.94192</v>
      </c>
      <c r="D11" t="n">
        <v>0.84</v>
      </c>
      <c r="E11" t="n">
        <v>3000</v>
      </c>
      <c r="F11" t="n">
        <v>0.15</v>
      </c>
      <c r="G11" t="n">
        <v>1</v>
      </c>
      <c r="H11" t="n">
        <v>145</v>
      </c>
      <c r="I11" t="n">
        <v>1299.3</v>
      </c>
      <c r="J11" t="n">
        <v>241.9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2026-10-16T21:36:20Z</dcterms:created>
  <dcterms:modified xmlns:dcterms="http://purl.org/dc/terms/" xmlns:xsi="http://www.w3.org/2001/XMLSchema-instance" xsi:type="dcterms:W3CDTF">2026-10-16T21:36:20Z</dcterms:modified>
</cp:coreProperties>
</file>